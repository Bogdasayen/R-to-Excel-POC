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98e5cc837f6cd5/Documents/Thomstat/R-to-Excel-POC/output/"/>
    </mc:Choice>
  </mc:AlternateContent>
  <xr:revisionPtr revIDLastSave="80120" documentId="11_0333441543BEAC6F8EC5A923BA38B861DAE7DD18" xr6:coauthVersionLast="47" xr6:coauthVersionMax="47" xr10:uidLastSave="{A7E3FBE7-4ACE-4E93-9304-81CEB6260878}"/>
  <bookViews>
    <workbookView xWindow="-96" yWindow="-96" windowWidth="23232" windowHeight="12432" firstSheet="1" activeTab="7" xr2:uid="{00000000-000D-0000-FFFF-FFFF00000000}"/>
  </bookViews>
  <sheets>
    <sheet name="input_parameters" sheetId="9" r:id="rId1"/>
    <sheet name="markov_trace" sheetId="8" r:id="rId2"/>
    <sheet name="state_costs" sheetId="10" r:id="rId3"/>
    <sheet name="state_qalys" sheetId="11" r:id="rId4"/>
    <sheet name="model_settings" sheetId="12" r:id="rId5"/>
    <sheet name="Results" sheetId="13" r:id="rId6"/>
    <sheet name="PSA" sheetId="7" r:id="rId7"/>
    <sheet name="Results PSA" sheetId="14" r:id="rId8"/>
  </sheets>
  <definedNames>
    <definedName name="analysis_type">#REF!</definedName>
    <definedName name="average_costs_aspirin">#REF!</definedName>
    <definedName name="average_costs_warfarin">#REF!</definedName>
    <definedName name="average_incremental_costs">#REF!</definedName>
    <definedName name="average_incremental_net_benefit">#REF!</definedName>
    <definedName name="average_incremental_qalys">#REF!</definedName>
    <definedName name="average_net_benefit_aspirin">#REF!</definedName>
    <definedName name="average_net_benefit_warfarin">#REF!</definedName>
    <definedName name="average_qalys_aspirin">#REF!</definedName>
    <definedName name="average_qalys_warfarin">#REF!</definedName>
    <definedName name="hidden_named_cell">#REF!</definedName>
    <definedName name="last_psa_run_samples">PSA!$G$6</definedName>
    <definedName name="n_cycles">PSA!$G$2</definedName>
    <definedName name="n_samples">PSA!$G$5</definedName>
    <definedName name="n_states">PSA!$G$3</definedName>
    <definedName name="n_treatments">PSA!$G$4</definedName>
    <definedName name="net_benefit_aspirin">#REF!</definedName>
    <definedName name="net_benefit_warfarin">#REF!</definedName>
    <definedName name="test_name">#REF!</definedName>
    <definedName name="total_costs_aspirin">#REF!</definedName>
    <definedName name="total_costs_warfarin">#REF!</definedName>
    <definedName name="total_qalys_aspirin">#REF!</definedName>
    <definedName name="total_qalys_warfarin">#REF!</definedName>
    <definedName name="willingness_to_pa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Z14" i="14" l="1"/>
  <c r="BY14" i="14"/>
  <c r="BX14" i="14"/>
  <c r="BW14" i="14"/>
  <c r="BV14" i="14"/>
  <c r="BU14" i="14"/>
  <c r="BT14" i="14"/>
  <c r="BS14" i="14"/>
  <c r="BR14" i="14"/>
  <c r="BQ14" i="14"/>
  <c r="BP14" i="14"/>
  <c r="BO14" i="14"/>
  <c r="BN14" i="14"/>
  <c r="BM14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AZ14" i="14"/>
  <c r="AY14" i="14"/>
  <c r="AX14" i="14"/>
  <c r="AW14" i="14"/>
  <c r="AV14" i="14"/>
  <c r="AU14" i="14"/>
  <c r="AT14" i="14"/>
  <c r="AS14" i="14"/>
  <c r="AR14" i="14"/>
  <c r="AQ14" i="14"/>
  <c r="AP14" i="14"/>
  <c r="AO14" i="14"/>
  <c r="AN14" i="14"/>
  <c r="AM14" i="14"/>
  <c r="AL14" i="14"/>
  <c r="AK14" i="14"/>
  <c r="AJ14" i="14"/>
  <c r="AI14" i="14"/>
  <c r="AH14" i="14"/>
  <c r="AG14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BZ13" i="14"/>
  <c r="BZ15" i="14" s="1"/>
  <c r="BY13" i="14"/>
  <c r="BY15" i="14" s="1"/>
  <c r="BX13" i="14"/>
  <c r="BX15" i="14" s="1"/>
  <c r="BW13" i="14"/>
  <c r="BW15" i="14" s="1"/>
  <c r="BV13" i="14"/>
  <c r="BV15" i="14" s="1"/>
  <c r="BU13" i="14"/>
  <c r="BU15" i="14" s="1"/>
  <c r="BT13" i="14"/>
  <c r="BT15" i="14" s="1"/>
  <c r="BS13" i="14"/>
  <c r="BS15" i="14" s="1"/>
  <c r="BR13" i="14"/>
  <c r="BR15" i="14" s="1"/>
  <c r="BQ13" i="14"/>
  <c r="BQ15" i="14" s="1"/>
  <c r="BP13" i="14"/>
  <c r="BP15" i="14" s="1"/>
  <c r="BO13" i="14"/>
  <c r="BO15" i="14" s="1"/>
  <c r="BN13" i="14"/>
  <c r="BN15" i="14" s="1"/>
  <c r="BM13" i="14"/>
  <c r="BM15" i="14" s="1"/>
  <c r="BL13" i="14"/>
  <c r="BL15" i="14" s="1"/>
  <c r="BK13" i="14"/>
  <c r="BK15" i="14" s="1"/>
  <c r="BJ13" i="14"/>
  <c r="BJ15" i="14" s="1"/>
  <c r="BI13" i="14"/>
  <c r="BI15" i="14" s="1"/>
  <c r="BH13" i="14"/>
  <c r="BH15" i="14" s="1"/>
  <c r="BG13" i="14"/>
  <c r="BG15" i="14" s="1"/>
  <c r="BF13" i="14"/>
  <c r="BF15" i="14" s="1"/>
  <c r="BE13" i="14"/>
  <c r="BE15" i="14" s="1"/>
  <c r="BD13" i="14"/>
  <c r="BD15" i="14" s="1"/>
  <c r="BC13" i="14"/>
  <c r="BC15" i="14" s="1"/>
  <c r="BB13" i="14"/>
  <c r="BB15" i="14" s="1"/>
  <c r="BA13" i="14"/>
  <c r="BA15" i="14" s="1"/>
  <c r="AZ13" i="14"/>
  <c r="AZ15" i="14" s="1"/>
  <c r="AY13" i="14"/>
  <c r="AY15" i="14" s="1"/>
  <c r="AX13" i="14"/>
  <c r="AX15" i="14" s="1"/>
  <c r="AW13" i="14"/>
  <c r="AW15" i="14" s="1"/>
  <c r="AV13" i="14"/>
  <c r="AV15" i="14" s="1"/>
  <c r="AU13" i="14"/>
  <c r="AU15" i="14" s="1"/>
  <c r="AT13" i="14"/>
  <c r="AT15" i="14" s="1"/>
  <c r="AS13" i="14"/>
  <c r="AS15" i="14" s="1"/>
  <c r="AR13" i="14"/>
  <c r="AR15" i="14" s="1"/>
  <c r="AQ13" i="14"/>
  <c r="AQ15" i="14" s="1"/>
  <c r="AP13" i="14"/>
  <c r="AP15" i="14" s="1"/>
  <c r="AO13" i="14"/>
  <c r="AO15" i="14" s="1"/>
  <c r="AN13" i="14"/>
  <c r="AN15" i="14" s="1"/>
  <c r="AM13" i="14"/>
  <c r="AM15" i="14" s="1"/>
  <c r="AL13" i="14"/>
  <c r="AL15" i="14" s="1"/>
  <c r="AK13" i="14"/>
  <c r="AK15" i="14" s="1"/>
  <c r="AJ13" i="14"/>
  <c r="AJ15" i="14" s="1"/>
  <c r="AI13" i="14"/>
  <c r="AI15" i="14" s="1"/>
  <c r="AH13" i="14"/>
  <c r="AH15" i="14" s="1"/>
  <c r="AG13" i="14"/>
  <c r="AG15" i="14" s="1"/>
  <c r="AF13" i="14"/>
  <c r="AF15" i="14" s="1"/>
  <c r="AE13" i="14"/>
  <c r="AE15" i="14" s="1"/>
  <c r="AD13" i="14"/>
  <c r="AD15" i="14" s="1"/>
  <c r="AC13" i="14"/>
  <c r="AC15" i="14" s="1"/>
  <c r="AB13" i="14"/>
  <c r="AB15" i="14" s="1"/>
  <c r="AA13" i="14"/>
  <c r="AA15" i="14" s="1"/>
  <c r="Z13" i="14"/>
  <c r="Z15" i="14" s="1"/>
  <c r="Y13" i="14"/>
  <c r="Y15" i="14" s="1"/>
  <c r="X13" i="14"/>
  <c r="X15" i="14" s="1"/>
  <c r="W13" i="14"/>
  <c r="W15" i="14" s="1"/>
  <c r="V13" i="14"/>
  <c r="V15" i="14" s="1"/>
  <c r="U13" i="14"/>
  <c r="U15" i="14" s="1"/>
  <c r="T13" i="14"/>
  <c r="T15" i="14" s="1"/>
  <c r="S13" i="14"/>
  <c r="S15" i="14" s="1"/>
  <c r="R13" i="14"/>
  <c r="R15" i="14" s="1"/>
  <c r="Q13" i="14"/>
  <c r="Q15" i="14" s="1"/>
  <c r="P13" i="14"/>
  <c r="P15" i="14" s="1"/>
  <c r="O13" i="14"/>
  <c r="O15" i="14" s="1"/>
  <c r="N13" i="14"/>
  <c r="N15" i="14" s="1"/>
  <c r="M13" i="14"/>
  <c r="M15" i="14" s="1"/>
  <c r="L13" i="14"/>
  <c r="L15" i="14" s="1"/>
  <c r="K13" i="14"/>
  <c r="K15" i="14" s="1"/>
  <c r="J13" i="14"/>
  <c r="J15" i="14" s="1"/>
  <c r="I13" i="14"/>
  <c r="I15" i="14" s="1"/>
  <c r="H13" i="14"/>
  <c r="H15" i="14" s="1"/>
  <c r="BZ8" i="14"/>
  <c r="BY8" i="14"/>
  <c r="BX8" i="14"/>
  <c r="BW8" i="14"/>
  <c r="BV8" i="14"/>
  <c r="BU8" i="14"/>
  <c r="BT8" i="14"/>
  <c r="BS8" i="14"/>
  <c r="BR8" i="14"/>
  <c r="BQ8" i="14"/>
  <c r="BP8" i="14"/>
  <c r="BO8" i="14"/>
  <c r="BN8" i="14"/>
  <c r="BM8" i="14"/>
  <c r="BL8" i="14"/>
  <c r="BK8" i="14"/>
  <c r="BJ8" i="14"/>
  <c r="BI8" i="14"/>
  <c r="BH8" i="14"/>
  <c r="BG8" i="14"/>
  <c r="BF8" i="14"/>
  <c r="BE8" i="14"/>
  <c r="BD8" i="14"/>
  <c r="BC8" i="14"/>
  <c r="BB8" i="14"/>
  <c r="BA8" i="14"/>
  <c r="AZ8" i="14"/>
  <c r="AY8" i="14"/>
  <c r="AX8" i="14"/>
  <c r="AW8" i="14"/>
  <c r="AV8" i="14"/>
  <c r="AU8" i="14"/>
  <c r="AT8" i="14"/>
  <c r="AS8" i="14"/>
  <c r="AR8" i="14"/>
  <c r="AQ8" i="14"/>
  <c r="AP8" i="14"/>
  <c r="AO8" i="14"/>
  <c r="AN8" i="14"/>
  <c r="AM8" i="14"/>
  <c r="AL8" i="14"/>
  <c r="AK8" i="14"/>
  <c r="AJ8" i="14"/>
  <c r="AI8" i="14"/>
  <c r="AH8" i="14"/>
  <c r="AG8" i="14"/>
  <c r="AF8" i="14"/>
  <c r="AE8" i="14"/>
  <c r="AD8" i="14"/>
  <c r="AC8" i="14"/>
  <c r="AB8" i="14"/>
  <c r="AA8" i="14"/>
  <c r="Z8" i="14"/>
  <c r="Y8" i="14"/>
  <c r="X8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BZ7" i="7"/>
  <c r="BY7" i="7"/>
  <c r="BX7" i="7"/>
  <c r="BW7" i="7"/>
  <c r="BV7" i="7"/>
  <c r="BU7" i="7"/>
  <c r="BT7" i="7"/>
  <c r="BS7" i="7"/>
  <c r="BR7" i="7"/>
  <c r="BQ7" i="7"/>
  <c r="BP7" i="7"/>
  <c r="BO7" i="7"/>
  <c r="BN7" i="7"/>
  <c r="BM7" i="7"/>
  <c r="BL7" i="7"/>
  <c r="BK7" i="7"/>
  <c r="BJ7" i="7"/>
  <c r="BI7" i="7"/>
  <c r="BH7" i="7"/>
  <c r="BG7" i="7"/>
  <c r="BF7" i="7"/>
  <c r="BE7" i="7"/>
  <c r="BD7" i="7"/>
  <c r="BC7" i="7"/>
  <c r="BB7" i="7"/>
  <c r="BA7" i="7"/>
  <c r="AZ7" i="7"/>
  <c r="AY7" i="7"/>
  <c r="AX7" i="7"/>
  <c r="AW7" i="7"/>
  <c r="AV7" i="7"/>
  <c r="AU7" i="7"/>
  <c r="AT7" i="7"/>
  <c r="AS7" i="7"/>
  <c r="AR7" i="7"/>
  <c r="AQ7" i="7"/>
  <c r="AP7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G4" i="7"/>
  <c r="G3" i="7"/>
  <c r="BZ2" i="7"/>
  <c r="BY2" i="7"/>
  <c r="BX2" i="7"/>
  <c r="BW2" i="7"/>
  <c r="BV2" i="7"/>
  <c r="BU2" i="7"/>
  <c r="BT2" i="7"/>
  <c r="BS2" i="7"/>
  <c r="BR2" i="7"/>
  <c r="BQ2" i="7"/>
  <c r="BP2" i="7"/>
  <c r="BO2" i="7"/>
  <c r="BN2" i="7"/>
  <c r="BM2" i="7"/>
  <c r="BL2" i="7"/>
  <c r="BK2" i="7"/>
  <c r="BJ2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G2" i="7"/>
  <c r="H9" i="11"/>
  <c r="I9" i="8"/>
  <c r="H9" i="8"/>
  <c r="G9" i="8"/>
  <c r="F9" i="8"/>
  <c r="O16" i="9"/>
  <c r="O15" i="9"/>
  <c r="O14" i="9"/>
  <c r="O13" i="9"/>
  <c r="F9" i="11" s="1"/>
  <c r="O12" i="9"/>
  <c r="G9" i="11" s="1"/>
  <c r="O11" i="9"/>
  <c r="O10" i="9"/>
  <c r="O9" i="9"/>
  <c r="G9" i="10" l="1"/>
  <c r="P9" i="8" s="1"/>
  <c r="G10" i="8"/>
  <c r="H10" i="8"/>
  <c r="I10" i="8"/>
  <c r="Q9" i="8"/>
  <c r="F10" i="8"/>
  <c r="E9" i="10"/>
  <c r="L9" i="8" s="1"/>
  <c r="O9" i="8"/>
  <c r="E9" i="11"/>
  <c r="N9" i="8" l="1"/>
  <c r="H11" i="8"/>
  <c r="P10" i="8"/>
  <c r="N10" i="8"/>
  <c r="O10" i="8"/>
  <c r="Q10" i="8"/>
  <c r="I11" i="8"/>
  <c r="M10" i="8"/>
  <c r="K10" i="8"/>
  <c r="J10" i="8"/>
  <c r="F11" i="8"/>
  <c r="L10" i="8"/>
  <c r="M9" i="8"/>
  <c r="K9" i="8"/>
  <c r="G11" i="8"/>
  <c r="J9" i="8"/>
  <c r="H12" i="8" l="1"/>
  <c r="Q11" i="8"/>
  <c r="I12" i="8"/>
  <c r="P11" i="8"/>
  <c r="N11" i="8"/>
  <c r="O11" i="8"/>
  <c r="M11" i="8"/>
  <c r="K11" i="8"/>
  <c r="J11" i="8"/>
  <c r="F12" i="8"/>
  <c r="L11" i="8"/>
  <c r="G12" i="8"/>
  <c r="H13" i="8" l="1"/>
  <c r="P12" i="8"/>
  <c r="I13" i="8"/>
  <c r="N12" i="8"/>
  <c r="O12" i="8"/>
  <c r="Q12" i="8"/>
  <c r="M12" i="8"/>
  <c r="L12" i="8"/>
  <c r="K12" i="8"/>
  <c r="J12" i="8"/>
  <c r="F13" i="8"/>
  <c r="G13" i="8"/>
  <c r="N13" i="8" l="1"/>
  <c r="O13" i="8"/>
  <c r="I14" i="8"/>
  <c r="H14" i="8"/>
  <c r="Q13" i="8"/>
  <c r="P13" i="8"/>
  <c r="M13" i="8"/>
  <c r="L13" i="8"/>
  <c r="J13" i="8"/>
  <c r="K13" i="8"/>
  <c r="F14" i="8"/>
  <c r="H15" i="8"/>
  <c r="G14" i="8"/>
  <c r="N14" i="8" l="1"/>
  <c r="I15" i="8"/>
  <c r="I16" i="8" s="1"/>
  <c r="O14" i="8"/>
  <c r="Q14" i="8"/>
  <c r="P14" i="8"/>
  <c r="M14" i="8"/>
  <c r="K14" i="8"/>
  <c r="L14" i="8"/>
  <c r="J14" i="8"/>
  <c r="F15" i="8"/>
  <c r="G15" i="8"/>
  <c r="G16" i="8" l="1"/>
  <c r="P15" i="8"/>
  <c r="Q15" i="8"/>
  <c r="N15" i="8"/>
  <c r="O15" i="8"/>
  <c r="H16" i="8"/>
  <c r="P16" i="8" s="1"/>
  <c r="M15" i="8"/>
  <c r="L15" i="8"/>
  <c r="K15" i="8"/>
  <c r="J15" i="8"/>
  <c r="F16" i="8"/>
  <c r="G17" i="8" l="1"/>
  <c r="I17" i="8"/>
  <c r="H17" i="8"/>
  <c r="N16" i="8"/>
  <c r="O16" i="8"/>
  <c r="Q16" i="8"/>
  <c r="M16" i="8"/>
  <c r="L16" i="8"/>
  <c r="K16" i="8"/>
  <c r="J16" i="8"/>
  <c r="F17" i="8"/>
  <c r="P17" i="8" l="1"/>
  <c r="O17" i="8"/>
  <c r="I18" i="8"/>
  <c r="Q17" i="8"/>
  <c r="H18" i="8"/>
  <c r="N17" i="8"/>
  <c r="M17" i="8"/>
  <c r="L17" i="8"/>
  <c r="J17" i="8"/>
  <c r="F18" i="8"/>
  <c r="K17" i="8"/>
  <c r="G18" i="8"/>
  <c r="O18" i="8" l="1"/>
  <c r="G12" i="13" s="1"/>
  <c r="P18" i="8"/>
  <c r="G9" i="13" s="1"/>
  <c r="N18" i="8"/>
  <c r="G11" i="13" s="1"/>
  <c r="Q18" i="8"/>
  <c r="G10" i="13" s="1"/>
  <c r="M18" i="8"/>
  <c r="F10" i="13" s="1"/>
  <c r="F14" i="13" s="1"/>
  <c r="L18" i="8"/>
  <c r="F9" i="13" s="1"/>
  <c r="F13" i="13" s="1"/>
  <c r="K18" i="8"/>
  <c r="F12" i="13" s="1"/>
  <c r="J18" i="8"/>
  <c r="F11" i="13" s="1"/>
  <c r="G14" i="13" l="1"/>
  <c r="G13" i="13"/>
  <c r="G15" i="13" l="1"/>
</calcChain>
</file>

<file path=xl/sharedStrings.xml><?xml version="1.0" encoding="utf-8"?>
<sst xmlns="http://schemas.openxmlformats.org/spreadsheetml/2006/main" count="155" uniqueCount="118">
  <si>
    <t>n samples</t>
  </si>
  <si>
    <t>Last n samples used</t>
  </si>
  <si>
    <t>sample</t>
  </si>
  <si>
    <t>This sheet uses an Excel Macro to calculate average time spent in each state</t>
  </si>
  <si>
    <t>Setting</t>
  </si>
  <si>
    <t>Value</t>
  </si>
  <si>
    <t>Modifiable</t>
  </si>
  <si>
    <t>excel_value_location</t>
  </si>
  <si>
    <t>cycle_length</t>
  </si>
  <si>
    <t>0.5</t>
  </si>
  <si>
    <t>Y</t>
  </si>
  <si>
    <t>model_settings!F9</t>
  </si>
  <si>
    <t>costs_dr</t>
  </si>
  <si>
    <t>0.035</t>
  </si>
  <si>
    <t>model_settings!F10</t>
  </si>
  <si>
    <t>qalys_dr</t>
  </si>
  <si>
    <t>model_settings!F11</t>
  </si>
  <si>
    <t>n_samples</t>
  </si>
  <si>
    <t>1000</t>
  </si>
  <si>
    <t>model_settings!F12</t>
  </si>
  <si>
    <t>willingness_to_pay</t>
  </si>
  <si>
    <t>20000</t>
  </si>
  <si>
    <t>model_settings!F13</t>
  </si>
  <si>
    <t>reference_treatment</t>
  </si>
  <si>
    <t>SoC</t>
  </si>
  <si>
    <t>N</t>
  </si>
  <si>
    <t>model_settings!F14</t>
  </si>
  <si>
    <t>n_cycles</t>
  </si>
  <si>
    <t>10</t>
  </si>
  <si>
    <t>model_settings!F15</t>
  </si>
  <si>
    <t>n_states</t>
  </si>
  <si>
    <t>2</t>
  </si>
  <si>
    <t>model_settings!F16</t>
  </si>
  <si>
    <t>n_parameters</t>
  </si>
  <si>
    <t>8</t>
  </si>
  <si>
    <t>model_settings!F17</t>
  </si>
  <si>
    <t>n_treatments</t>
  </si>
  <si>
    <t>model_settings!F18</t>
  </si>
  <si>
    <t>v_names</t>
  </si>
  <si>
    <t>v_descriptions</t>
  </si>
  <si>
    <t>v_type</t>
  </si>
  <si>
    <t>v_distributions</t>
  </si>
  <si>
    <t>hp_1</t>
  </si>
  <si>
    <t>hp_2</t>
  </si>
  <si>
    <t>from</t>
  </si>
  <si>
    <t>to</t>
  </si>
  <si>
    <t>v_treatment</t>
  </si>
  <si>
    <t>v_state</t>
  </si>
  <si>
    <t>excel_formulae</t>
  </si>
  <si>
    <t>Probability quit smoking website</t>
  </si>
  <si>
    <t>Probability of quitting if on smoking website, follows a beta distribution</t>
  </si>
  <si>
    <t>transition_probability</t>
  </si>
  <si>
    <t>beta</t>
  </si>
  <si>
    <t>input_parameters!O9</t>
  </si>
  <si>
    <t>Probability quit smoking SoC</t>
  </si>
  <si>
    <t>Probability of quitting smoking if on SoC, follows a beta distribution</t>
  </si>
  <si>
    <t>input_parameters!O10</t>
  </si>
  <si>
    <t>Probability relapse</t>
  </si>
  <si>
    <t>Probability relapse, which is same across treatments and follows a beta distribution</t>
  </si>
  <si>
    <t>input_parameters!O11</t>
  </si>
  <si>
    <t>Utility smoking</t>
  </si>
  <si>
    <t>Utility smoking, follows a Normal distribution</t>
  </si>
  <si>
    <t>utility</t>
  </si>
  <si>
    <t>normal</t>
  </si>
  <si>
    <t>input_parameters!O12</t>
  </si>
  <si>
    <t>Utility not smoking</t>
  </si>
  <si>
    <t>Utility not smoking, follows a Normal distribution</t>
  </si>
  <si>
    <t>fixed</t>
  </si>
  <si>
    <t>input_parameters!O13</t>
  </si>
  <si>
    <t>Cost website</t>
  </si>
  <si>
    <t>Cost website, fixed value and model assumes no cost of SoC and no state costs</t>
  </si>
  <si>
    <t>one_off_cost</t>
  </si>
  <si>
    <t>input_parameters!O14</t>
  </si>
  <si>
    <t>Cost GP smoking</t>
  </si>
  <si>
    <t>Cost of 6-monthly, on average, GP visit (£49 from PRSSU) for smoking related illness, follows Normal distribution</t>
  </si>
  <si>
    <t>cost</t>
  </si>
  <si>
    <t>input_parameters!O15</t>
  </si>
  <si>
    <t>Cost statin smoking</t>
  </si>
  <si>
    <t>Cost of roughly 20% of smokers taking statins (pravastatin at £3.45 per month), follows Normal distribution</t>
  </si>
  <si>
    <t>input_parameters!O16</t>
  </si>
  <si>
    <t>SoC_Smoking</t>
  </si>
  <si>
    <t>SoC_Not smoking</t>
  </si>
  <si>
    <t>SoC with website_Smoking</t>
  </si>
  <si>
    <t>SoC with website_Not smoking</t>
  </si>
  <si>
    <t>cycle</t>
  </si>
  <si>
    <t>SoC Undiscounted Costs</t>
  </si>
  <si>
    <t>SoC Undiscounted QALYs</t>
  </si>
  <si>
    <t>SoC Discounted Costs</t>
  </si>
  <si>
    <t>SoC Discounted QALYs</t>
  </si>
  <si>
    <t>SoC with website Undiscounted Costs</t>
  </si>
  <si>
    <t>SoC with website Undiscounted QALYs</t>
  </si>
  <si>
    <t>SoC with website Discounted Costs</t>
  </si>
  <si>
    <t>SoC with website Discounted QALYs</t>
  </si>
  <si>
    <t>setting_names</t>
  </si>
  <si>
    <t>settings</t>
  </si>
  <si>
    <t>n cycles</t>
  </si>
  <si>
    <t>n states</t>
  </si>
  <si>
    <t>n treatments</t>
  </si>
  <si>
    <t>Result</t>
  </si>
  <si>
    <t>SoC with website</t>
  </si>
  <si>
    <t>Total Costs</t>
  </si>
  <si>
    <t>Total QALYs</t>
  </si>
  <si>
    <t>Total Costs (undiscounted)</t>
  </si>
  <si>
    <t>Total QALYs (undiscounted)</t>
  </si>
  <si>
    <t>Incremental Costs</t>
  </si>
  <si>
    <t>Incremental QALYs</t>
  </si>
  <si>
    <t>ICER</t>
  </si>
  <si>
    <t>Average of totals</t>
  </si>
  <si>
    <t>307.63 (241.82, 368.97)</t>
  </si>
  <si>
    <t>4.402 (4.278, 4.521)</t>
  </si>
  <si>
    <t>333.90 (260.27, 402.66)</t>
  </si>
  <si>
    <t>4.835 (4.700, 4.964)</t>
  </si>
  <si>
    <t>332.33 (274.00, 393.30)</t>
  </si>
  <si>
    <t>4.415 (4.290, 4.526)</t>
  </si>
  <si>
    <t>355.64 (290.73, 423.57)</t>
  </si>
  <si>
    <t>4.849 (4.713, 4.969)</t>
  </si>
  <si>
    <t>24.70 (-57.24, 109.18)</t>
  </si>
  <si>
    <t>0.012 (-0.029, 0.061)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</si>
</sst>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/>
    <xf numFmtId="0" fontId="2" fillId="0" borderId="0" xfId="0" applyFont="1"/>
    <xf numFmtId="0" fontId="1" fillId="0" borderId="2" xfId="0" applyFont="1" applyBorder="1"/>
    <xf numFmtId="0" fontId="3" fillId="0" borderId="2" xfId="0" applyFont="1" applyBorder="1"/>
    <xf numFmtId="0" fontId="1" fillId="0" borderId="0" xfId="0" applyFont="1"/>
    <xf numFmtId="2" fontId="3" fillId="0" borderId="0" xfId="0" applyNumberFormat="1" applyFont="1"/>
    <xf numFmtId="0" fontId="0" fillId="0" borderId="1" xfId="0" applyBorder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145" name="Button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1F09452-8640-1DFE-A2E0-85E41B577ED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510A97C-C4DC-7D73-EA9A-D084C9248AD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BCD6BD5-B10A-65A2-270D-BC26563CF61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1AE9DB6-D72B-5859-D6A0-5AB2A146CFA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B037739-9D0E-AED3-0E3C-4955076F9F0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4578EB84-BB67-AD3F-0F07-62E7A908642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8E1C8FB-B34D-60BC-20FB-01B95A6319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0268208-8C80-3912-5498-C14F57CBD2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3FA6979-53F6-F25B-3F38-AC706A52743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0CFC387-7A4A-CA1F-FD09-E1095C2F17A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38BCB9F-86C5-ED5F-758A-15039BC2FC0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77E90AE-5F17-D6EB-3CD8-280D83BDE8D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8DACDE3-13D0-6F2B-0E09-020CCB84F5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4F206B3-5803-BA18-0181-793D4C0F425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F54A614-8FBA-E5A6-9E0E-28704DB163A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777A101-ACF7-E3B4-7120-C10D08220D2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9289C9-4EB5-74F9-AA39-E50BA420266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FB9AE5-0F30-834B-46CC-9C0DB32D3DE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B7E11A8-0246-E4F1-4D02-BFB5661A7E9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B61C7B5-1E72-7771-60EC-A37DFDF3ECA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61E8C40-2044-865F-2043-1740F3B4402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E69DC08-0A3D-3F03-17B1-EA1CAD7B8B1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6E70AC89-9215-671D-9DBC-4B77237B152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FDAD461-9EF2-2549-D4A0-936EB2317CE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B16AD0F-73AE-AF9C-C82B-1F9E970B5AA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3FE3DFE-8C9E-345B-896A-F222A793785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D61FC1-9B4F-43B4-B0CE-99B6F8CB73E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3483FA-8F19-6161-AF02-380EFFD6A3A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635419A-C9B5-1449-B163-ABC77BC5945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7E342E9-FD02-D289-3084-8BA9977CB69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A84FCC8-46F7-91B6-35FC-0E87556EC8C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540E9CB-2E1D-9720-1FC4-D7F272A78C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27F8D2-23F8-FF2D-E390-FCC9029D192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D7D736-5FA0-27B8-7FED-0569EDF5B04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CB529B7-5FED-E52D-30A2-E0D820645FA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D07F993-E65D-16D4-E859-0FD22BC849C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544C5AD-327E-AD84-E21A-C2C7B414C1E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0793B9A-3DE2-D387-FDD3-B2D87F32922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B48F8DE-6043-8F17-9DD9-A2878D6DEBA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A14A289-CA21-4690-4288-F9CBF99DC06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4C209E4-F5BE-575A-5AFE-7F04D954988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2FF3A4E3-F87E-AB4D-8649-4585748A372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6618261-18A0-1F67-8DCB-152B2D5C0E5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640080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640080</xdr:colOff>
          <xdr:row>3</xdr:row>
          <xdr:rowOff>3810</xdr:rowOff>
        </xdr:from>
        <xdr:to>
          <xdr:col>3</xdr:col>
          <xdr:colOff>1306830</xdr:colOff>
          <xdr:row>5</xdr:row>
          <xdr:rowOff>0</xdr:rowOff>
        </xdr:to>
        <xdr:sp macro="" textlink="">
          <xdr:nvSpPr>
            <xdr:cNvPr id="54" name="Button 1025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F74C3C6F-7FB0-16B7-D61A-E4FCC1325F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/>
  <dimension ref="E8:P16"/>
  <sheetViews>
    <sheetView topLeftCell="D1" workbookViewId="0">
      <selection activeCell="O16" sqref="O16"/>
    </sheetView>
  </sheetViews>
  <sheetFormatPr defaultColWidth="10.9453125" defaultRowHeight="14.4" x14ac:dyDescent="0.55000000000000004"/>
  <cols>
    <col min="5" max="5" width="31.578125" customWidth="1"/>
    <col min="6" max="6" width="13.3125" customWidth="1"/>
  </cols>
  <sheetData>
    <row r="8" spans="5:16" x14ac:dyDescent="0.55000000000000004">
      <c r="E8" t="s">
        <v>38</v>
      </c>
      <c r="F8" t="s">
        <v>39</v>
      </c>
      <c r="G8" t="s">
        <v>40</v>
      </c>
      <c r="H8" t="s">
        <v>41</v>
      </c>
      <c r="I8" t="s">
        <v>42</v>
      </c>
      <c r="J8" t="s">
        <v>43</v>
      </c>
      <c r="K8" t="s">
        <v>44</v>
      </c>
      <c r="L8" t="s">
        <v>45</v>
      </c>
      <c r="M8" t="s">
        <v>46</v>
      </c>
      <c r="N8" t="s">
        <v>47</v>
      </c>
      <c r="O8" t="s">
        <v>48</v>
      </c>
      <c r="P8" t="s">
        <v>7</v>
      </c>
    </row>
    <row r="9" spans="5:16" x14ac:dyDescent="0.55000000000000004">
      <c r="E9" t="s">
        <v>49</v>
      </c>
      <c r="F9" t="s">
        <v>50</v>
      </c>
      <c r="G9" t="s">
        <v>51</v>
      </c>
      <c r="H9" t="s">
        <v>52</v>
      </c>
      <c r="I9">
        <v>15</v>
      </c>
      <c r="J9">
        <v>85</v>
      </c>
      <c r="K9">
        <v>1</v>
      </c>
      <c r="L9">
        <v>2</v>
      </c>
      <c r="M9">
        <v>2</v>
      </c>
      <c r="N9">
        <v>1</v>
      </c>
      <c r="O9">
        <f ca="1">_xlfn.BETA.INV(RAND(), I9, J9)</f>
        <v>0.16343731785569582</v>
      </c>
      <c r="P9" t="s">
        <v>53</v>
      </c>
    </row>
    <row r="10" spans="5:16" x14ac:dyDescent="0.55000000000000004">
      <c r="E10" t="s">
        <v>54</v>
      </c>
      <c r="F10" t="s">
        <v>55</v>
      </c>
      <c r="G10" t="s">
        <v>51</v>
      </c>
      <c r="H10" t="s">
        <v>52</v>
      </c>
      <c r="I10">
        <v>12</v>
      </c>
      <c r="J10">
        <v>88</v>
      </c>
      <c r="K10">
        <v>1</v>
      </c>
      <c r="L10">
        <v>2</v>
      </c>
      <c r="M10">
        <v>1</v>
      </c>
      <c r="N10">
        <v>1</v>
      </c>
      <c r="O10">
        <f ca="1">_xlfn.BETA.INV(RAND(), I10, J10)</f>
        <v>0.10230179603902083</v>
      </c>
      <c r="P10" t="s">
        <v>56</v>
      </c>
    </row>
    <row r="11" spans="5:16" x14ac:dyDescent="0.55000000000000004">
      <c r="E11" t="s">
        <v>57</v>
      </c>
      <c r="F11" t="s">
        <v>58</v>
      </c>
      <c r="G11" t="s">
        <v>51</v>
      </c>
      <c r="H11" t="s">
        <v>52</v>
      </c>
      <c r="I11">
        <v>8</v>
      </c>
      <c r="J11">
        <v>92</v>
      </c>
      <c r="K11">
        <v>2</v>
      </c>
      <c r="L11">
        <v>1</v>
      </c>
      <c r="N11">
        <v>2</v>
      </c>
      <c r="O11">
        <f ca="1">_xlfn.BETA.INV(RAND(), I11, J11)</f>
        <v>8.498803007527489E-2</v>
      </c>
      <c r="P11" t="s">
        <v>59</v>
      </c>
    </row>
    <row r="12" spans="5:16" x14ac:dyDescent="0.55000000000000004">
      <c r="E12" t="s">
        <v>60</v>
      </c>
      <c r="F12" t="s">
        <v>61</v>
      </c>
      <c r="G12" t="s">
        <v>62</v>
      </c>
      <c r="H12" t="s">
        <v>63</v>
      </c>
      <c r="I12">
        <v>0.95</v>
      </c>
      <c r="J12">
        <v>0.02</v>
      </c>
      <c r="N12">
        <v>1</v>
      </c>
      <c r="O12">
        <f ca="1">_xlfn.NORM.INV(RAND(), I12, J12)</f>
        <v>0.966283649154001</v>
      </c>
      <c r="P12" t="s">
        <v>64</v>
      </c>
    </row>
    <row r="13" spans="5:16" x14ac:dyDescent="0.55000000000000004">
      <c r="E13" t="s">
        <v>65</v>
      </c>
      <c r="F13" t="s">
        <v>66</v>
      </c>
      <c r="G13" t="s">
        <v>62</v>
      </c>
      <c r="H13" t="s">
        <v>67</v>
      </c>
      <c r="I13">
        <v>1</v>
      </c>
      <c r="N13">
        <v>2</v>
      </c>
      <c r="O13">
        <f>I13</f>
        <v>1</v>
      </c>
      <c r="P13" t="s">
        <v>68</v>
      </c>
    </row>
    <row r="14" spans="5:16" x14ac:dyDescent="0.55000000000000004">
      <c r="E14" t="s">
        <v>69</v>
      </c>
      <c r="F14" t="s">
        <v>70</v>
      </c>
      <c r="G14" t="s">
        <v>71</v>
      </c>
      <c r="H14" t="s">
        <v>67</v>
      </c>
      <c r="I14">
        <v>50</v>
      </c>
      <c r="M14">
        <v>2</v>
      </c>
      <c r="O14">
        <f>I14</f>
        <v>50</v>
      </c>
      <c r="P14" t="s">
        <v>72</v>
      </c>
    </row>
    <row r="15" spans="5:16" x14ac:dyDescent="0.55000000000000004">
      <c r="E15" t="s">
        <v>73</v>
      </c>
      <c r="F15" t="s">
        <v>74</v>
      </c>
      <c r="G15" t="s">
        <v>75</v>
      </c>
      <c r="H15" t="s">
        <v>63</v>
      </c>
      <c r="I15">
        <v>49</v>
      </c>
      <c r="J15">
        <v>2</v>
      </c>
      <c r="N15">
        <v>1</v>
      </c>
      <c r="O15">
        <f ca="1">_xlfn.NORM.INV(RAND(), I15, J15)</f>
        <v>49.77449715994414</v>
      </c>
      <c r="P15" t="s">
        <v>76</v>
      </c>
    </row>
    <row r="16" spans="5:16" x14ac:dyDescent="0.55000000000000004">
      <c r="E16" t="s">
        <v>77</v>
      </c>
      <c r="F16" t="s">
        <v>78</v>
      </c>
      <c r="G16" t="s">
        <v>75</v>
      </c>
      <c r="H16" t="s">
        <v>63</v>
      </c>
      <c r="I16">
        <v>0.69</v>
      </c>
      <c r="J16">
        <v>6.9000000000000006E-2</v>
      </c>
      <c r="N16">
        <v>1</v>
      </c>
      <c r="O16">
        <f ca="1">_xlfn.NORM.INV(RAND(), I16, J16)</f>
        <v>0.74452089593896764</v>
      </c>
      <c r="P16" t="s">
        <v>79</v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/>
  <dimension ref="E8:Q18"/>
  <sheetViews>
    <sheetView workbookViewId="0">
      <selection activeCell="F9" sqref="F9"/>
    </sheetView>
  </sheetViews>
  <sheetFormatPr defaultColWidth="10.9453125" defaultRowHeight="14.4" x14ac:dyDescent="0.55000000000000004"/>
  <sheetData>
    <row r="8" spans="5:17" x14ac:dyDescent="0.55000000000000004">
      <c r="E8" t="s">
        <v>84</v>
      </c>
      <c r="F8" t="s">
        <v>80</v>
      </c>
      <c r="G8" t="s">
        <v>81</v>
      </c>
      <c r="H8" t="s">
        <v>82</v>
      </c>
      <c r="I8" t="s">
        <v>83</v>
      </c>
      <c r="J8" t="s">
        <v>85</v>
      </c>
      <c r="K8" t="s">
        <v>86</v>
      </c>
      <c r="L8" t="s">
        <v>87</v>
      </c>
      <c r="M8" t="s">
        <v>88</v>
      </c>
      <c r="N8" t="s">
        <v>89</v>
      </c>
      <c r="O8" t="s">
        <v>90</v>
      </c>
      <c r="P8" t="s">
        <v>91</v>
      </c>
      <c r="Q8" t="s">
        <v>92</v>
      </c>
    </row>
    <row r="9" spans="5:17" x14ac:dyDescent="0.55000000000000004">
      <c r="E9">
        <v>1</v>
      </c>
      <c r="F9">
        <f>1</f>
        <v>1</v>
      </c>
      <c r="G9">
        <f>0</f>
        <v>0</v>
      </c>
      <c r="H9">
        <f>1</f>
        <v>1</v>
      </c>
      <c r="I9">
        <f>0</f>
        <v>0</v>
      </c>
      <c r="J9">
        <f ca="1">F9 * state_costs!E9 + G9 * state_costs!F9</f>
        <v>50.519018055883109</v>
      </c>
      <c r="K9">
        <f ca="1">F9 * state_qalys!E9 + G9 * state_qalys!F9</f>
        <v>0.4831418245770005</v>
      </c>
      <c r="L9">
        <f ca="1">(F9 * state_costs!E9 + G9 * state_costs!F9) * (1 / (1 + model_settings!F10)^(1 * model_settings!F9))</f>
        <v>49.657485634559826</v>
      </c>
      <c r="M9">
        <f ca="1">(F9 * state_qalys!E9 + G9 * state_qalys!F9) * (1 / (1 + model_settings!F11)^(1 * model_settings!F9))</f>
        <v>0.47490250477252738</v>
      </c>
      <c r="N9">
        <f ca="1">input_parameters!O14+H9 * state_costs!G9 + I9 * state_costs!H9</f>
        <v>100.51901805588311</v>
      </c>
      <c r="O9">
        <f ca="1">H9 * state_qalys!G9 + I9 * state_qalys!H9</f>
        <v>0.4831418245770005</v>
      </c>
      <c r="P9">
        <f ca="1">input_parameters!O14+(H9 * state_costs!G9 + I9 * state_costs!H9) * (1 / (1 + model_settings!F10)^(1 * model_settings!F9))</f>
        <v>99.657485634559833</v>
      </c>
      <c r="Q9">
        <f ca="1">(H9 * state_qalys!G9 + I9 * state_qalys!H9) * (1 / (1 + model_settings!F11)^(1 * model_settings!F9))</f>
        <v>0.47490250477252738</v>
      </c>
    </row>
    <row r="10" spans="5:17" x14ac:dyDescent="0.55000000000000004">
      <c r="E10">
        <v>2</v>
      </c>
      <c r="F10">
        <f ca="1">F9 * (1 - (input_parameters!O10)) + G9 * input_parameters!O11</f>
        <v>0.89769820396097921</v>
      </c>
      <c r="G10">
        <f ca="1">G9 * (1 - (input_parameters!O11)) + F9 * input_parameters!O10</f>
        <v>0.10230179603902083</v>
      </c>
      <c r="H10">
        <f ca="1">H9 * (1 - (input_parameters!O9)) + I9 * input_parameters!O11</f>
        <v>0.83656268214430418</v>
      </c>
      <c r="I10">
        <f ca="1">I9 * (1 - (input_parameters!O11)) + H9 * input_parameters!O9</f>
        <v>0.16343731785569582</v>
      </c>
      <c r="J10">
        <f ca="1">F10 * state_costs!E9 + G10 * state_costs!F9</f>
        <v>45.35083177463855</v>
      </c>
      <c r="K10">
        <f ca="1">F10 * state_qalys!E9 + G10 * state_qalys!F9</f>
        <v>0.48486644620071423</v>
      </c>
      <c r="L10">
        <f ca="1">(F10 * state_costs!E9 + G10 * state_costs!F9) * (1 / (1 + model_settings!F10)^(2 * model_settings!F9))</f>
        <v>43.817228767766721</v>
      </c>
      <c r="M10">
        <f ca="1">(F10 * state_qalys!E9 + G10 * state_qalys!F9) * (1 / (1 + model_settings!F11)^(2 * model_settings!F9))</f>
        <v>0.46846999632919251</v>
      </c>
      <c r="N10">
        <f ca="1">H10 * state_costs!G9 + I10 * state_costs!H9</f>
        <v>42.262325244126103</v>
      </c>
      <c r="O10">
        <f ca="1">H10 * state_qalys!G9 + I10 * state_qalys!H9</f>
        <v>0.48589707955207634</v>
      </c>
      <c r="P10">
        <f ca="1">(H10 * state_costs!G9 + I10 * state_costs!H9) * (1 / (1 + model_settings!F10)^(2 * model_settings!F9))</f>
        <v>40.833164487078363</v>
      </c>
      <c r="Q10">
        <f ca="1">(H10 * state_qalys!G9 + I10 * state_qalys!H9) * (1 / (1 + model_settings!F11)^(2 * model_settings!F9))</f>
        <v>0.46946577734500133</v>
      </c>
    </row>
    <row r="11" spans="5:17" x14ac:dyDescent="0.55000000000000004">
      <c r="E11">
        <v>3</v>
      </c>
      <c r="F11">
        <f ca="1">F10 * (1 - (input_parameters!O10)) + G10 * input_parameters!O11</f>
        <v>0.81455649351328674</v>
      </c>
      <c r="G11">
        <f ca="1">G10 * (1 - (input_parameters!O11)) + F10 * input_parameters!O10</f>
        <v>0.18544350648671332</v>
      </c>
      <c r="H11">
        <f ca="1">H10 * (1 - (input_parameters!O9)) + I10 * input_parameters!O11</f>
        <v>0.71372733684181422</v>
      </c>
      <c r="I11">
        <f ca="1">I10 * (1 - (input_parameters!O11)) + H10 * input_parameters!O9</f>
        <v>0.28627266315818578</v>
      </c>
      <c r="J11">
        <f ca="1">F11 * state_costs!E9 + G11 * state_costs!F9</f>
        <v>41.150594203334563</v>
      </c>
      <c r="K11">
        <f ca="1">F11 * state_qalys!E9 + G11 * state_qalys!F9</f>
        <v>0.48626806374040965</v>
      </c>
      <c r="L11">
        <f ca="1">(F11 * state_costs!E9 + G11 * state_costs!F9) * (1 / (1 + model_settings!F10)^(3 * model_settings!F9))</f>
        <v>39.080992633017836</v>
      </c>
      <c r="M11">
        <f ca="1">(F11 * state_qalys!E9 + G11 * state_qalys!F9) * (1 / (1 + model_settings!F11)^(3 * model_settings!F9))</f>
        <v>0.46181200987787574</v>
      </c>
      <c r="N11">
        <f ca="1">H11 * state_costs!G9 + I11 * state_costs!H9</f>
        <v>36.056804216888978</v>
      </c>
      <c r="O11">
        <f ca="1">H11 * state_qalys!G9 + I11 * state_qalys!H9</f>
        <v>0.48796785935133047</v>
      </c>
      <c r="P11">
        <f ca="1">(H11 * state_costs!G9 + I11 * state_costs!H9) * (1 / (1 + model_settings!F10)^(3 * model_settings!F9))</f>
        <v>34.243386450449307</v>
      </c>
      <c r="Q11">
        <f ca="1">(H11 * state_qalys!G9 + I11 * state_qalys!H9) * (1 / (1 + model_settings!F11)^(3 * model_settings!F9))</f>
        <v>0.46342631705943887</v>
      </c>
    </row>
    <row r="12" spans="5:17" x14ac:dyDescent="0.55000000000000004">
      <c r="E12">
        <v>4</v>
      </c>
      <c r="F12">
        <f ca="1">F11 * (1 - (input_parameters!O10)) + G11 * input_parameters!O11</f>
        <v>0.74698637955818781</v>
      </c>
      <c r="G12">
        <f ca="1">G11 * (1 - (input_parameters!O11)) + F11 * input_parameters!O10</f>
        <v>0.25301362044181236</v>
      </c>
      <c r="H12">
        <f ca="1">H11 * (1 - (input_parameters!O9)) + I11 * input_parameters!O11</f>
        <v>0.62140740493431623</v>
      </c>
      <c r="I12">
        <f ca="1">I11 * (1 - (input_parameters!O11)) + H11 * input_parameters!O9</f>
        <v>0.37859259506568371</v>
      </c>
      <c r="J12">
        <f ca="1">F12 * state_costs!E9 + G12 * state_costs!F9</f>
        <v>37.737018396398845</v>
      </c>
      <c r="K12">
        <f ca="1">F12 * state_qalys!E9 + G12 * state_qalys!F9</f>
        <v>0.48740717257481692</v>
      </c>
      <c r="L12">
        <f ca="1">(F12 * state_costs!E9 + G12 * state_costs!F9) * (1 / (1 + model_settings!F10)^(4 * model_settings!F9))</f>
        <v>35.227910472962122</v>
      </c>
      <c r="M12">
        <f ca="1">(F12 * state_qalys!E9 + G12 * state_qalys!F9) * (1 / (1 + model_settings!F11)^(4 * model_settings!F9))</f>
        <v>0.45499981103392562</v>
      </c>
      <c r="N12">
        <f ca="1">H12 * state_costs!G9 + I12 * state_costs!H9</f>
        <v>31.392891909936189</v>
      </c>
      <c r="O12">
        <f ca="1">H12 * state_qalys!G9 + I12 * state_qalys!H9</f>
        <v>0.48952420495846638</v>
      </c>
      <c r="P12">
        <f ca="1">(H12 * state_costs!G9 + I12 * state_costs!H9) * (1 / (1 + model_settings!F10)^(4 * model_settings!F9))</f>
        <v>29.305600513371321</v>
      </c>
      <c r="Q12">
        <f ca="1">(H12 * state_qalys!G9 + I12 * state_qalys!H9) * (1 / (1 + model_settings!F11)^(4 * model_settings!F9))</f>
        <v>0.45697608341708457</v>
      </c>
    </row>
    <row r="13" spans="5:17" x14ac:dyDescent="0.55000000000000004">
      <c r="E13">
        <v>5</v>
      </c>
      <c r="F13">
        <f ca="1">F12 * (1 - (input_parameters!O10)) + G12 * input_parameters!O11</f>
        <v>0.69207146049626245</v>
      </c>
      <c r="G13">
        <f ca="1">G12 * (1 - (input_parameters!O11)) + F12 * input_parameters!O10</f>
        <v>0.30792853950373777</v>
      </c>
      <c r="H13">
        <f ca="1">H12 * (1 - (input_parameters!O9)) + I12 * input_parameters!O11</f>
        <v>0.55202208423190202</v>
      </c>
      <c r="I13">
        <f ca="1">I12 * (1 - (input_parameters!O11)) + H12 * input_parameters!O9</f>
        <v>0.44797791576809798</v>
      </c>
      <c r="J13">
        <f ca="1">F13 * state_costs!E9 + G13 * state_costs!F9</f>
        <v>34.962770608772075</v>
      </c>
      <c r="K13">
        <f ca="1">F13 * state_qalys!E9 + G13 * state_qalys!F9</f>
        <v>0.48833293791370264</v>
      </c>
      <c r="L13">
        <f ca="1">(F13 * state_costs!E9 + G13 * state_costs!F9) * (1 / (1 + model_settings!F10)^(5 * model_settings!F9))</f>
        <v>32.081522189719244</v>
      </c>
      <c r="M13">
        <f ca="1">(F13 * state_qalys!E9 + G13 * state_qalys!F9) * (1 / (1 + model_settings!F11)^(5 * model_settings!F9))</f>
        <v>0.44808988849752551</v>
      </c>
      <c r="N13">
        <f ca="1">H13 * state_costs!G9 + I13 * state_costs!H9</f>
        <v>27.887613640557685</v>
      </c>
      <c r="O13">
        <f ca="1">H13 * state_qalys!G9 + I13 * state_qalys!H9</f>
        <v>0.49069391486664882</v>
      </c>
      <c r="P13">
        <f ca="1">(H13 * state_costs!G9 + I13 * state_costs!H9) * (1 / (1 + model_settings!F10)^(5 * model_settings!F9))</f>
        <v>25.589422126729172</v>
      </c>
      <c r="Q13">
        <f ca="1">(H13 * state_qalys!G9 + I13 * state_qalys!H9) * (1 / (1 + model_settings!F11)^(5 * model_settings!F9))</f>
        <v>0.45025629960243818</v>
      </c>
    </row>
    <row r="14" spans="5:17" x14ac:dyDescent="0.55000000000000004">
      <c r="E14">
        <v>6</v>
      </c>
      <c r="F14">
        <f ca="1">F13 * (1 - (input_parameters!O10)) + G13 * input_parameters!O11</f>
        <v>0.64744154707652568</v>
      </c>
      <c r="G14">
        <f ca="1">G13 * (1 - (input_parameters!O11)) + F13 * input_parameters!O10</f>
        <v>0.35255845292347454</v>
      </c>
      <c r="H14">
        <f ca="1">H13 * (1 - (input_parameters!O9)) + I13 * input_parameters!O11</f>
        <v>0.49987383596628704</v>
      </c>
      <c r="I14">
        <f ca="1">I13 * (1 - (input_parameters!O11)) + H13 * input_parameters!O9</f>
        <v>0.50012616403371302</v>
      </c>
      <c r="J14">
        <f ca="1">F14 * state_costs!E9 + G14 * state_costs!F9</f>
        <v>32.708111206887892</v>
      </c>
      <c r="K14">
        <f ca="1">F14 * state_qalys!E9 + G14 * state_qalys!F9</f>
        <v>0.48908531682324585</v>
      </c>
      <c r="L14">
        <f ca="1">(F14 * state_costs!E9 + G14 * state_costs!F9) * (1 / (1 + model_settings!F10)^(6 * model_settings!F9))</f>
        <v>29.50084231923103</v>
      </c>
      <c r="M14">
        <f ca="1">(F14 * state_qalys!E9 + G14 * state_qalys!F9) * (1 / (1 + model_settings!F11)^(6 * model_settings!F9))</f>
        <v>0.4411269339580603</v>
      </c>
      <c r="N14">
        <f ca="1">H14 * state_costs!G9 + I14 * state_costs!H9</f>
        <v>25.253135344844406</v>
      </c>
      <c r="O14">
        <f ca="1">H14 * state_qalys!G9 + I14 * state_qalys!H9</f>
        <v>0.49157303918391271</v>
      </c>
      <c r="P14">
        <f ca="1">(H14 * state_costs!G9 + I14 * state_costs!H9) * (1 / (1 + model_settings!F10)^(6 * model_settings!F9))</f>
        <v>22.776881219529731</v>
      </c>
      <c r="Q14">
        <f ca="1">(H14 * state_qalys!G9 + I14 * state_qalys!H9) * (1 / (1 + model_settings!F11)^(6 * model_settings!F9))</f>
        <v>0.44337071699499103</v>
      </c>
    </row>
    <row r="15" spans="5:17" x14ac:dyDescent="0.55000000000000004">
      <c r="E15">
        <v>7</v>
      </c>
      <c r="F15">
        <f ca="1">F14 * (1 - (input_parameters!O10)) + G14 * input_parameters!O11</f>
        <v>0.61117036238066758</v>
      </c>
      <c r="G15">
        <f ca="1">G14 * (1 - (input_parameters!O11)) + F14 * input_parameters!O10</f>
        <v>0.38882963761933276</v>
      </c>
      <c r="H15">
        <f ca="1">H14 * (1 - (input_parameters!O9)) + I14 * input_parameters!O11</f>
        <v>0.46068053442004808</v>
      </c>
      <c r="I15">
        <f ca="1">I14 * (1 - (input_parameters!O11)) + H14 * input_parameters!O9</f>
        <v>0.53931946557995192</v>
      </c>
      <c r="J15">
        <f ca="1">F15 * state_costs!E9 + G15 * state_costs!F9</f>
        <v>30.875726572329569</v>
      </c>
      <c r="K15">
        <f ca="1">F15 * state_qalys!E9 + G15 * state_qalys!F9</f>
        <v>0.48969678281764872</v>
      </c>
      <c r="L15">
        <f ca="1">(F15 * state_costs!E9 + G15 * state_costs!F9) * (1 / (1 + model_settings!F10)^(7 * model_settings!F9))</f>
        <v>27.37322467195429</v>
      </c>
      <c r="M15">
        <f ca="1">(F15 * state_qalys!E9 + G15 * state_qalys!F9) * (1 / (1 + model_settings!F11)^(7 * model_settings!F9))</f>
        <v>0.43414622246375628</v>
      </c>
      <c r="N15">
        <f ca="1">H15 * state_costs!G9 + I15 * state_costs!H9</f>
        <v>23.273128236360289</v>
      </c>
      <c r="O15">
        <f ca="1">H15 * state_qalys!G9 + I15 * state_qalys!H9</f>
        <v>0.49223376673678565</v>
      </c>
      <c r="P15">
        <f ca="1">(H15 * state_costs!G9 + I15 * state_costs!H9) * (1 / (1 + model_settings!F10)^(7 * model_settings!F9))</f>
        <v>20.633055113398338</v>
      </c>
      <c r="Q15">
        <f ca="1">(H15 * state_qalys!G9 + I15 * state_qalys!H9) * (1 / (1 + model_settings!F11)^(7 * model_settings!F9))</f>
        <v>0.43639541425670036</v>
      </c>
    </row>
    <row r="16" spans="5:17" x14ac:dyDescent="0.55000000000000004">
      <c r="E16">
        <v>8</v>
      </c>
      <c r="F16">
        <f ca="1">F15 * (1 - (input_parameters!O10)) + G15 * input_parameters!O11</f>
        <v>0.58169240155945623</v>
      </c>
      <c r="G16">
        <f ca="1">G15 * (1 - (input_parameters!O11)) + F15 * input_parameters!O10</f>
        <v>0.41830759844054416</v>
      </c>
      <c r="H16">
        <f ca="1">H15 * (1 - (input_parameters!O9)) + I15 * input_parameters!O11</f>
        <v>0.43122384244699702</v>
      </c>
      <c r="I16">
        <f ca="1">I15 * (1 - (input_parameters!O11)) + H15 * input_parameters!O9</f>
        <v>0.56877615755300304</v>
      </c>
      <c r="J16">
        <f ca="1">F16 * state_costs!E9 + G16 * state_costs!F9</f>
        <v>29.386528937352178</v>
      </c>
      <c r="K16">
        <f ca="1">F16 * state_qalys!E9 + G16 * state_qalys!F9</f>
        <v>0.49019372745228507</v>
      </c>
      <c r="L16">
        <f ca="1">(F16 * state_costs!E9 + G16 * state_costs!F9) * (1 / (1 + model_settings!F10)^(8 * model_settings!F9))</f>
        <v>25.608662241494745</v>
      </c>
      <c r="M16">
        <f ca="1">(F16 * state_qalys!E9 + G16 * state_qalys!F9) * (1 / (1 + model_settings!F11)^(8 * model_settings!F9))</f>
        <v>0.42717551385488611</v>
      </c>
      <c r="N16">
        <f ca="1">H16 * state_costs!G9 + I16 * state_costs!H9</f>
        <v>21.785005082707137</v>
      </c>
      <c r="O16">
        <f ca="1">H16 * state_qalys!G9 + I16 * state_qalys!H9</f>
        <v>0.49273035281744865</v>
      </c>
      <c r="P16">
        <f ca="1">(H16 * state_costs!G9 + I16 * state_costs!H9) * (1 / (1 + model_settings!F10)^(8 * model_settings!F9))</f>
        <v>18.984373359699031</v>
      </c>
      <c r="Q16">
        <f ca="1">(H16 * state_qalys!G9 + I16 * state_qalys!H9) * (1 / (1 + model_settings!F11)^(8 * model_settings!F9))</f>
        <v>0.42938603631394101</v>
      </c>
    </row>
    <row r="17" spans="5:17" x14ac:dyDescent="0.55000000000000004">
      <c r="E17">
        <v>9</v>
      </c>
      <c r="F17">
        <f ca="1">F16 * (1 - (input_parameters!O10)) + G16 * input_parameters!O11</f>
        <v>0.55773536289465353</v>
      </c>
      <c r="G17">
        <f ca="1">G16 * (1 - (input_parameters!O11)) + F16 * input_parameters!O10</f>
        <v>0.44226463710534691</v>
      </c>
      <c r="H17">
        <f ca="1">H16 * (1 - (input_parameters!O9)) + I16 * input_parameters!O11</f>
        <v>0.40908493942624657</v>
      </c>
      <c r="I17">
        <f ca="1">I16 * (1 - (input_parameters!O11)) + H16 * input_parameters!O9</f>
        <v>0.59091506057375354</v>
      </c>
      <c r="J17">
        <f ca="1">F17 * state_costs!E9 + G17 * state_costs!F9</f>
        <v>28.17624286847952</v>
      </c>
      <c r="K17">
        <f ca="1">F17 * state_qalys!E9 + G17 * state_qalys!F9</f>
        <v>0.49059759941271186</v>
      </c>
      <c r="L17">
        <f ca="1">(F17 * state_costs!E9 + G17 * state_costs!F9) * (1 / (1 + model_settings!F10)^(9 * model_settings!F9))</f>
        <v>24.135233677880755</v>
      </c>
      <c r="M17">
        <f ca="1">(F17 * state_qalys!E9 + G17 * state_qalys!F9) * (1 / (1 + model_settings!F11)^(9 * model_settings!F9))</f>
        <v>0.42023657160050942</v>
      </c>
      <c r="N17">
        <f ca="1">H17 * state_costs!G9 + I17 * state_costs!H9</f>
        <v>20.6665694412644</v>
      </c>
      <c r="O17">
        <f ca="1">H17 * state_qalys!G9 + I17 * state_qalys!H9</f>
        <v>0.49310357432824525</v>
      </c>
      <c r="P17">
        <f ca="1">(H17 * state_costs!G9 + I17 * state_costs!H9) * (1 / (1 + model_settings!F10)^(9 * model_settings!F9))</f>
        <v>17.702590267741481</v>
      </c>
      <c r="Q17">
        <f ca="1">(H17 * state_qalys!G9 + I17 * state_qalys!H9) * (1 / (1 + model_settings!F11)^(9 * model_settings!F9))</f>
        <v>0.42238314204496591</v>
      </c>
    </row>
    <row r="18" spans="5:17" x14ac:dyDescent="0.55000000000000004">
      <c r="E18">
        <v>10</v>
      </c>
      <c r="F18">
        <f ca="1">F17 * (1 - (input_parameters!O10)) + G17 * input_parameters!O11</f>
        <v>0.53826523383559521</v>
      </c>
      <c r="G18">
        <f ca="1">G17 * (1 - (input_parameters!O11)) + F17 * input_parameters!O10</f>
        <v>0.46173476616440523</v>
      </c>
      <c r="H18">
        <f ca="1">H17 * (1 - (input_parameters!O9)) + I17 * input_parameters!O11</f>
        <v>0.39244590109123612</v>
      </c>
      <c r="I18">
        <f ca="1">I17 * (1 - (input_parameters!O11)) + H17 * input_parameters!O9</f>
        <v>0.607554098908764</v>
      </c>
      <c r="J18">
        <f ca="1">F18 * state_costs!E9 + G18 * state_costs!F9</f>
        <v>27.192631066994579</v>
      </c>
      <c r="K18">
        <f ca="1">F18 * state_qalys!E9 + G18 * state_qalys!F9</f>
        <v>0.49092583026389791</v>
      </c>
      <c r="L18">
        <f ca="1">(F18 * state_costs!E9 + G18 * state_costs!F9) * (1 / (1 + model_settings!F10)^(10 * model_settings!F9))</f>
        <v>22.895465694692916</v>
      </c>
      <c r="M18">
        <f ca="1">(F18 * state_qalys!E9 + G18 * state_qalys!F9) * (1 / (1 + model_settings!F11)^(10 * model_settings!F9))</f>
        <v>0.41334637599994445</v>
      </c>
      <c r="N18">
        <f ca="1">H18 * state_costs!G9 + I18 * state_costs!H9</f>
        <v>19.825981563185476</v>
      </c>
      <c r="O18">
        <f ca="1">H18 * state_qalys!G9 + I18 * state_qalys!H9</f>
        <v>0.49338407815536689</v>
      </c>
      <c r="P18">
        <f ca="1">(H18 * state_costs!G9 + I18 * state_costs!H9) * (1 / (1 + model_settings!F10)^(10 * model_settings!F9))</f>
        <v>16.69294448283399</v>
      </c>
      <c r="Q18">
        <f ca="1">(H18 * state_qalys!G9 + I18 * state_qalys!H9) * (1 / (1 + model_settings!F11)^(10 * model_settings!F9))</f>
        <v>0.41541615476204785</v>
      </c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9">
    <tabColor rgb="FFFFFF00"/>
  </sheetPr>
  <dimension ref="E8:H9"/>
  <sheetViews>
    <sheetView workbookViewId="0">
      <selection activeCell="E9" sqref="E9"/>
    </sheetView>
  </sheetViews>
  <sheetFormatPr defaultColWidth="10.9453125" defaultRowHeight="14.4" x14ac:dyDescent="0.55000000000000004"/>
  <sheetData>
    <row r="8" spans="5:8" x14ac:dyDescent="0.55000000000000004">
      <c r="E8" t="s">
        <v>80</v>
      </c>
      <c r="F8" t="s">
        <v>81</v>
      </c>
      <c r="G8" t="s">
        <v>82</v>
      </c>
      <c r="H8" t="s">
        <v>83</v>
      </c>
    </row>
    <row r="9" spans="5:8" x14ac:dyDescent="0.55000000000000004">
      <c r="E9">
        <f ca="1">input_parameters!O15 + input_parameters!O16</f>
        <v>50.519018055883109</v>
      </c>
      <c r="F9">
        <v>0</v>
      </c>
      <c r="G9">
        <f ca="1">input_parameters!O15 + input_parameters!O16</f>
        <v>50.519018055883109</v>
      </c>
      <c r="H9">
        <v>0</v>
      </c>
    </row>
  </sheetData>
  <pageMargins left="0.7" right="0.7" top="0.75" bottom="0.75" header="0.3" footer="0.3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0">
    <tabColor rgb="FFFFFF00"/>
  </sheetPr>
  <dimension ref="E8:H9"/>
  <sheetViews>
    <sheetView workbookViewId="0">
      <selection activeCell="H9" sqref="H9"/>
    </sheetView>
  </sheetViews>
  <sheetFormatPr defaultColWidth="10.9453125" defaultRowHeight="14.4" x14ac:dyDescent="0.55000000000000004"/>
  <sheetData>
    <row r="8" spans="5:8" x14ac:dyDescent="0.55000000000000004">
      <c r="E8" t="s">
        <v>80</v>
      </c>
      <c r="F8" t="s">
        <v>81</v>
      </c>
      <c r="G8" t="s">
        <v>82</v>
      </c>
      <c r="H8" t="s">
        <v>83</v>
      </c>
    </row>
    <row r="9" spans="5:8" x14ac:dyDescent="0.55000000000000004">
      <c r="E9">
        <f ca="1">model_settings!F9 * input_parameters!O12</f>
        <v>0.4831418245770005</v>
      </c>
      <c r="F9">
        <f>model_settings!F9 * input_parameters!O13</f>
        <v>0.5</v>
      </c>
      <c r="G9">
        <f ca="1">model_settings!F9 * input_parameters!O12</f>
        <v>0.4831418245770005</v>
      </c>
      <c r="H9">
        <f>model_settings!F9 * input_parameters!O13</f>
        <v>0.5</v>
      </c>
    </row>
  </sheetData>
  <pageMargins left="0.7" right="0.7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>
    <tabColor rgb="FF00FF00"/>
  </sheetPr>
  <dimension ref="E8:H18"/>
  <sheetViews>
    <sheetView workbookViewId="0">
      <selection activeCell="H9" sqref="H9"/>
    </sheetView>
  </sheetViews>
  <sheetFormatPr defaultColWidth="10.9453125" defaultRowHeight="14.4" x14ac:dyDescent="0.55000000000000004"/>
  <sheetData>
    <row r="8" spans="5:8" x14ac:dyDescent="0.55000000000000004">
      <c r="E8" t="s">
        <v>4</v>
      </c>
      <c r="F8" t="s">
        <v>5</v>
      </c>
      <c r="G8" t="s">
        <v>6</v>
      </c>
      <c r="H8" t="s">
        <v>7</v>
      </c>
    </row>
    <row r="9" spans="5:8" x14ac:dyDescent="0.55000000000000004">
      <c r="E9" t="s">
        <v>8</v>
      </c>
      <c r="F9" t="s">
        <v>9</v>
      </c>
      <c r="G9" t="s">
        <v>10</v>
      </c>
      <c r="H9" t="s">
        <v>11</v>
      </c>
    </row>
    <row r="10" spans="5:8" x14ac:dyDescent="0.55000000000000004">
      <c r="E10" t="s">
        <v>12</v>
      </c>
      <c r="F10" t="s">
        <v>13</v>
      </c>
      <c r="G10" t="s">
        <v>10</v>
      </c>
      <c r="H10" t="s">
        <v>14</v>
      </c>
    </row>
    <row r="11" spans="5:8" x14ac:dyDescent="0.55000000000000004">
      <c r="E11" t="s">
        <v>15</v>
      </c>
      <c r="F11" t="s">
        <v>13</v>
      </c>
      <c r="G11" t="s">
        <v>10</v>
      </c>
      <c r="H11" t="s">
        <v>16</v>
      </c>
    </row>
    <row r="12" spans="5:8" x14ac:dyDescent="0.55000000000000004">
      <c r="E12" t="s">
        <v>17</v>
      </c>
      <c r="F12" t="s">
        <v>18</v>
      </c>
      <c r="G12" t="s">
        <v>10</v>
      </c>
      <c r="H12" t="s">
        <v>19</v>
      </c>
    </row>
    <row r="13" spans="5:8" x14ac:dyDescent="0.55000000000000004">
      <c r="E13" t="s">
        <v>20</v>
      </c>
      <c r="F13" t="s">
        <v>21</v>
      </c>
      <c r="G13" t="s">
        <v>10</v>
      </c>
      <c r="H13" t="s">
        <v>22</v>
      </c>
    </row>
    <row r="14" spans="5:8" x14ac:dyDescent="0.55000000000000004">
      <c r="E14" t="s">
        <v>23</v>
      </c>
      <c r="F14" t="s">
        <v>24</v>
      </c>
      <c r="G14" t="s">
        <v>25</v>
      </c>
      <c r="H14" t="s">
        <v>26</v>
      </c>
    </row>
    <row r="15" spans="5:8" x14ac:dyDescent="0.55000000000000004">
      <c r="E15" t="s">
        <v>27</v>
      </c>
      <c r="F15" t="s">
        <v>28</v>
      </c>
      <c r="G15" t="s">
        <v>25</v>
      </c>
      <c r="H15" t="s">
        <v>29</v>
      </c>
    </row>
    <row r="16" spans="5:8" x14ac:dyDescent="0.55000000000000004">
      <c r="E16" t="s">
        <v>30</v>
      </c>
      <c r="F16" t="s">
        <v>31</v>
      </c>
      <c r="G16" t="s">
        <v>25</v>
      </c>
      <c r="H16" t="s">
        <v>32</v>
      </c>
    </row>
    <row r="17" spans="5:8" x14ac:dyDescent="0.55000000000000004">
      <c r="E17" t="s">
        <v>33</v>
      </c>
      <c r="F17" t="s">
        <v>34</v>
      </c>
      <c r="G17" t="s">
        <v>25</v>
      </c>
      <c r="H17" t="s">
        <v>35</v>
      </c>
    </row>
    <row r="18" spans="5:8" x14ac:dyDescent="0.55000000000000004">
      <c r="E18" t="s">
        <v>36</v>
      </c>
      <c r="F18" t="s">
        <v>31</v>
      </c>
      <c r="G18" t="s">
        <v>25</v>
      </c>
      <c r="H18" t="s">
        <v>37</v>
      </c>
    </row>
  </sheetData>
  <pageMargins left="0.7" right="0.7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rgb="FFFFA500"/>
  </sheetPr>
  <dimension ref="E8:G15"/>
  <sheetViews>
    <sheetView workbookViewId="0">
      <selection activeCell="E8" sqref="E8"/>
    </sheetView>
  </sheetViews>
  <sheetFormatPr defaultColWidth="10.9453125" defaultRowHeight="14.4" x14ac:dyDescent="0.55000000000000004"/>
  <cols>
    <col min="5" max="5" width="25.3125" customWidth="1"/>
  </cols>
  <sheetData>
    <row r="8" spans="5:7" x14ac:dyDescent="0.55000000000000004">
      <c r="E8" t="s">
        <v>98</v>
      </c>
      <c r="F8" t="s">
        <v>24</v>
      </c>
      <c r="G8" t="s">
        <v>99</v>
      </c>
    </row>
    <row r="9" spans="5:7" x14ac:dyDescent="0.55000000000000004">
      <c r="E9" t="s">
        <v>100</v>
      </c>
      <c r="F9">
        <f ca="1">SUM(markov_trace!L9:'markov_trace'!L19)</f>
        <v>329.37856830327951</v>
      </c>
      <c r="G9">
        <f ca="1">SUM(markov_trace!P9:'markov_trace'!P19)</f>
        <v>326.41890365539058</v>
      </c>
    </row>
    <row r="10" spans="5:7" x14ac:dyDescent="0.55000000000000004">
      <c r="E10" t="s">
        <v>101</v>
      </c>
      <c r="F10">
        <f ca="1">SUM(markov_trace!M9:'markov_trace'!M19)</f>
        <v>4.4443058283882042</v>
      </c>
      <c r="G10">
        <f ca="1">SUM(markov_trace!Q9:'markov_trace'!Q19)</f>
        <v>4.4619784465691374</v>
      </c>
    </row>
    <row r="11" spans="5:7" x14ac:dyDescent="0.55000000000000004">
      <c r="E11" t="s">
        <v>102</v>
      </c>
      <c r="F11">
        <f ca="1">SUM(markov_trace!J9:'markov_trace'!J19)</f>
        <v>358.05947369107082</v>
      </c>
      <c r="G11">
        <f ca="1">SUM(markov_trace!N9:'markov_trace'!N19)</f>
        <v>348.92247273575373</v>
      </c>
    </row>
    <row r="12" spans="5:7" x14ac:dyDescent="0.55000000000000004">
      <c r="E12" t="s">
        <v>103</v>
      </c>
      <c r="F12">
        <f ca="1">SUM(markov_trace!K9:'markov_trace'!K19)</f>
        <v>4.8805157017764333</v>
      </c>
      <c r="G12">
        <f ca="1">SUM(markov_trace!O9:'markov_trace'!O19)</f>
        <v>4.9002496945272824</v>
      </c>
    </row>
    <row r="13" spans="5:7" x14ac:dyDescent="0.55000000000000004">
      <c r="E13" t="s">
        <v>104</v>
      </c>
      <c r="F13">
        <f ca="1">F9 - F9</f>
        <v>0</v>
      </c>
      <c r="G13">
        <f ca="1">G9 - F9</f>
        <v>-2.9596646478889284</v>
      </c>
    </row>
    <row r="14" spans="5:7" x14ac:dyDescent="0.55000000000000004">
      <c r="E14" t="s">
        <v>105</v>
      </c>
      <c r="F14">
        <f ca="1">F10 - F10</f>
        <v>0</v>
      </c>
      <c r="G14">
        <f ca="1">G10 - F10</f>
        <v>1.7672618180933242E-2</v>
      </c>
    </row>
    <row r="15" spans="5:7" x14ac:dyDescent="0.55000000000000004">
      <c r="E15" t="s">
        <v>106</v>
      </c>
      <c r="G15">
        <f ca="1">G13 / G14</f>
        <v>-167.47177003360329</v>
      </c>
    </row>
  </sheetData>
  <pageMargins left="0.7" right="0.7" top="0.75" bottom="0.75" header="0.3" footer="0.3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/>
  <dimension ref="A1:BZ1007"/>
  <sheetViews>
    <sheetView workbookViewId="0">
      <selection activeCell="A12" sqref="A12"/>
    </sheetView>
  </sheetViews>
  <sheetFormatPr defaultColWidth="10.9453125" defaultRowHeight="14.4" x14ac:dyDescent="0.55000000000000004"/>
  <cols>
    <col min="4" max="4" width="18.20703125" customWidth="1"/>
    <col min="5" max="5" width="16.41796875" customWidth="1"/>
    <col min="6" max="6" width="17.47265625" customWidth="1"/>
    <col min="7" max="7" width="18.05078125" customWidth="1"/>
    <col min="8" max="8" width="19.83984375" customWidth="1"/>
    <col min="9" max="9" width="22.734375" customWidth="1"/>
    <col min="10" max="10" width="25.20703125" customWidth="1"/>
    <col min="11" max="11" width="17.05078125" customWidth="1"/>
    <col min="12" max="12" width="25.7890625" customWidth="1"/>
    <col min="13" max="13" width="23.47265625" customWidth="1"/>
    <col min="14" max="14" width="28.20703125" customWidth="1"/>
    <col min="16" max="16" width="44.3125" customWidth="1"/>
    <col min="18" max="18" width="28.5234375" customWidth="1"/>
    <col min="21" max="21" width="29.578125" customWidth="1"/>
  </cols>
  <sheetData>
    <row r="1" spans="1:78" x14ac:dyDescent="0.55000000000000004">
      <c r="A1" t="s">
        <v>3</v>
      </c>
      <c r="F1" t="s">
        <v>93</v>
      </c>
      <c r="G1" t="s">
        <v>94</v>
      </c>
    </row>
    <row r="2" spans="1:78" x14ac:dyDescent="0.55000000000000004">
      <c r="F2" s="3" t="s">
        <v>95</v>
      </c>
      <c r="G2" s="4" t="str">
        <f>model_settings!F15</f>
        <v>10</v>
      </c>
      <c r="J2" s="5" t="str">
        <f>IF(markov_trace!F8="","",markov_trace!F8)</f>
        <v>SoC_Smoking</v>
      </c>
      <c r="K2" s="5" t="str">
        <f>IF(markov_trace!G8="","",markov_trace!G8)</f>
        <v>SoC_Not smoking</v>
      </c>
      <c r="L2" s="5" t="str">
        <f>IF(markov_trace!H8="","",markov_trace!H8)</f>
        <v>SoC with website_Smoking</v>
      </c>
      <c r="M2" s="5" t="str">
        <f>IF(markov_trace!I8="","",markov_trace!I8)</f>
        <v>SoC with website_Not smoking</v>
      </c>
      <c r="N2" s="5" t="str">
        <f>IF(markov_trace!J8="","",markov_trace!J8)</f>
        <v>SoC Undiscounted Costs</v>
      </c>
      <c r="O2" s="5" t="str">
        <f>IF(markov_trace!K8="","",markov_trace!K8)</f>
        <v>SoC Undiscounted QALYs</v>
      </c>
      <c r="P2" s="5" t="str">
        <f>IF(markov_trace!L8="","",markov_trace!L8)</f>
        <v>SoC Discounted Costs</v>
      </c>
      <c r="Q2" s="5" t="str">
        <f>IF(markov_trace!M8="","",markov_trace!M8)</f>
        <v>SoC Discounted QALYs</v>
      </c>
      <c r="R2" s="5" t="str">
        <f>IF(markov_trace!N8="","",markov_trace!N8)</f>
        <v>SoC with website Undiscounted Costs</v>
      </c>
      <c r="S2" s="5" t="str">
        <f>IF(markov_trace!O8="","",markov_trace!O8)</f>
        <v>SoC with website Undiscounted QALYs</v>
      </c>
      <c r="T2" s="5" t="str">
        <f>IF(markov_trace!P8="","",markov_trace!P8)</f>
        <v>SoC with website Discounted Costs</v>
      </c>
      <c r="U2" s="5" t="str">
        <f>IF(markov_trace!Q8="","",markov_trace!Q8)</f>
        <v>SoC with website Discounted QALYs</v>
      </c>
      <c r="V2" s="5" t="str">
        <f>IF(markov_trace!R8="","",markov_trace!R8)</f>
        <v/>
      </c>
      <c r="W2" s="5" t="str">
        <f>IF(markov_trace!S8="","",markov_trace!S8)</f>
        <v/>
      </c>
      <c r="X2" s="5" t="str">
        <f>IF(markov_trace!T8="","",markov_trace!T8)</f>
        <v/>
      </c>
      <c r="Y2" s="5" t="str">
        <f>IF(markov_trace!U8="","",markov_trace!U8)</f>
        <v/>
      </c>
      <c r="Z2" s="5" t="str">
        <f>IF(markov_trace!V8="","",markov_trace!V8)</f>
        <v/>
      </c>
      <c r="AA2" s="5" t="str">
        <f>IF(markov_trace!W8="","",markov_trace!W8)</f>
        <v/>
      </c>
      <c r="AB2" s="5" t="str">
        <f>IF(markov_trace!X8="","",markov_trace!X8)</f>
        <v/>
      </c>
      <c r="AC2" s="5" t="str">
        <f>IF(markov_trace!Y8="","",markov_trace!Y8)</f>
        <v/>
      </c>
      <c r="AD2" s="5" t="str">
        <f>IF(markov_trace!Z8="","",markov_trace!Z8)</f>
        <v/>
      </c>
      <c r="AE2" s="5" t="str">
        <f>IF(markov_trace!AA8="","",markov_trace!AA8)</f>
        <v/>
      </c>
      <c r="AF2" s="5" t="str">
        <f>IF(markov_trace!AB8="","",markov_trace!AB8)</f>
        <v/>
      </c>
      <c r="AG2" s="5" t="str">
        <f>IF(markov_trace!AC8="","",markov_trace!AC8)</f>
        <v/>
      </c>
      <c r="AH2" s="5" t="str">
        <f>IF(markov_trace!AD8="","",markov_trace!AD8)</f>
        <v/>
      </c>
      <c r="AI2" s="5" t="str">
        <f>IF(markov_trace!AE8="","",markov_trace!AE8)</f>
        <v/>
      </c>
      <c r="AJ2" s="5" t="str">
        <f>IF(markov_trace!AF8="","",markov_trace!AF8)</f>
        <v/>
      </c>
      <c r="AK2" s="5" t="str">
        <f>IF(markov_trace!AG8="","",markov_trace!AG8)</f>
        <v/>
      </c>
      <c r="AL2" s="5" t="str">
        <f>IF(markov_trace!AH8="","",markov_trace!AH8)</f>
        <v/>
      </c>
      <c r="AM2" s="5" t="str">
        <f>IF(markov_trace!AI8="","",markov_trace!AI8)</f>
        <v/>
      </c>
      <c r="AN2" s="5" t="str">
        <f>IF(markov_trace!AJ8="","",markov_trace!AJ8)</f>
        <v/>
      </c>
      <c r="AO2" s="5" t="str">
        <f>IF(markov_trace!AK8="","",markov_trace!AK8)</f>
        <v/>
      </c>
      <c r="AP2" s="5" t="str">
        <f>IF(markov_trace!AL8="","",markov_trace!AL8)</f>
        <v/>
      </c>
      <c r="AQ2" s="5" t="str">
        <f>IF(markov_trace!AM8="","",markov_trace!AM8)</f>
        <v/>
      </c>
      <c r="AR2" s="5" t="str">
        <f>IF(markov_trace!AN8="","",markov_trace!AN8)</f>
        <v/>
      </c>
      <c r="AS2" s="5" t="str">
        <f>IF(markov_trace!AO8="","",markov_trace!AO8)</f>
        <v/>
      </c>
      <c r="AT2" s="5" t="str">
        <f>IF(markov_trace!AP8="","",markov_trace!AP8)</f>
        <v/>
      </c>
      <c r="AU2" s="5" t="str">
        <f>IF(markov_trace!AQ8="","",markov_trace!AQ8)</f>
        <v/>
      </c>
      <c r="AV2" s="5" t="str">
        <f>IF(markov_trace!AR8="","",markov_trace!AR8)</f>
        <v/>
      </c>
      <c r="AW2" s="5" t="str">
        <f>IF(markov_trace!AS8="","",markov_trace!AS8)</f>
        <v/>
      </c>
      <c r="AX2" s="5" t="str">
        <f>IF(markov_trace!AT8="","",markov_trace!AT8)</f>
        <v/>
      </c>
      <c r="AY2" s="5" t="str">
        <f>IF(markov_trace!AU8="","",markov_trace!AU8)</f>
        <v/>
      </c>
      <c r="AZ2" s="5" t="str">
        <f>IF(markov_trace!AV8="","",markov_trace!AV8)</f>
        <v/>
      </c>
      <c r="BA2" s="5" t="str">
        <f>IF(markov_trace!AW8="","",markov_trace!AW8)</f>
        <v/>
      </c>
      <c r="BB2" s="5" t="str">
        <f>IF(markov_trace!AX8="","",markov_trace!AX8)</f>
        <v/>
      </c>
      <c r="BC2" s="5" t="str">
        <f>IF(markov_trace!AY8="","",markov_trace!AY8)</f>
        <v/>
      </c>
      <c r="BD2" s="5" t="str">
        <f>IF(markov_trace!AZ8="","",markov_trace!AZ8)</f>
        <v/>
      </c>
      <c r="BE2" s="5" t="str">
        <f>IF(markov_trace!BA8="","",markov_trace!BA8)</f>
        <v/>
      </c>
      <c r="BF2" s="5" t="str">
        <f>IF(markov_trace!BB8="","",markov_trace!BB8)</f>
        <v/>
      </c>
      <c r="BG2" s="5" t="str">
        <f>IF(markov_trace!BC8="","",markov_trace!BC8)</f>
        <v/>
      </c>
      <c r="BH2" s="5" t="str">
        <f>IF(markov_trace!BD8="","",markov_trace!BD8)</f>
        <v/>
      </c>
      <c r="BI2" s="5" t="str">
        <f>IF(markov_trace!BE8="","",markov_trace!BE8)</f>
        <v/>
      </c>
      <c r="BJ2" s="5" t="str">
        <f>IF(markov_trace!BF8="","",markov_trace!BF8)</f>
        <v/>
      </c>
      <c r="BK2" s="5" t="str">
        <f>IF(markov_trace!BG8="","",markov_trace!BG8)</f>
        <v/>
      </c>
      <c r="BL2" s="5" t="str">
        <f>IF(markov_trace!BH8="","",markov_trace!BH8)</f>
        <v/>
      </c>
      <c r="BM2" s="5" t="str">
        <f>IF(markov_trace!BI8="","",markov_trace!BI8)</f>
        <v/>
      </c>
      <c r="BN2" s="5" t="str">
        <f>IF(markov_trace!BJ8="","",markov_trace!BJ8)</f>
        <v/>
      </c>
      <c r="BO2" s="5" t="str">
        <f>IF(markov_trace!BK8="","",markov_trace!BK8)</f>
        <v/>
      </c>
      <c r="BP2" s="5" t="str">
        <f>IF(markov_trace!BL8="","",markov_trace!BL8)</f>
        <v/>
      </c>
      <c r="BQ2" s="5" t="str">
        <f>IF(markov_trace!BM8="","",markov_trace!BM8)</f>
        <v/>
      </c>
      <c r="BR2" s="5" t="str">
        <f>IF(markov_trace!BN8="","",markov_trace!BN8)</f>
        <v/>
      </c>
      <c r="BS2" s="5" t="str">
        <f>IF(markov_trace!BO8="","",markov_trace!BO8)</f>
        <v/>
      </c>
      <c r="BT2" s="5" t="str">
        <f>IF(markov_trace!BP8="","",markov_trace!BP8)</f>
        <v/>
      </c>
      <c r="BU2" s="5" t="str">
        <f>IF(markov_trace!BQ8="","",markov_trace!BQ8)</f>
        <v/>
      </c>
      <c r="BV2" s="5" t="str">
        <f>IF(markov_trace!BR8="","",markov_trace!BR8)</f>
        <v/>
      </c>
      <c r="BW2" s="5" t="str">
        <f>IF(markov_trace!BS8="","",markov_trace!BS8)</f>
        <v/>
      </c>
      <c r="BX2" s="5" t="str">
        <f>IF(markov_trace!BT8="","",markov_trace!BT8)</f>
        <v/>
      </c>
      <c r="BY2" s="5" t="str">
        <f>IF(markov_trace!BU8="","",markov_trace!BU8)</f>
        <v/>
      </c>
      <c r="BZ2" s="5" t="str">
        <f>IF(markov_trace!BV8="","",markov_trace!BV8)</f>
        <v/>
      </c>
    </row>
    <row r="3" spans="1:78" x14ac:dyDescent="0.55000000000000004">
      <c r="F3" s="3" t="s">
        <v>96</v>
      </c>
      <c r="G3" s="4" t="str">
        <f>model_settings!F16</f>
        <v>2</v>
      </c>
      <c r="I3" s="5" t="s">
        <v>107</v>
      </c>
      <c r="J3" s="6">
        <v>6.1471418195671159</v>
      </c>
      <c r="K3" s="6">
        <v>3.8528581804328836</v>
      </c>
      <c r="L3" s="6">
        <v>6.7369496299784428</v>
      </c>
      <c r="M3" s="6">
        <v>3.2630503700215638</v>
      </c>
      <c r="N3">
        <v>305.21757123291263</v>
      </c>
      <c r="O3">
        <v>4.8449963090278914</v>
      </c>
      <c r="P3">
        <v>281.94015282449089</v>
      </c>
      <c r="Q3">
        <v>4.4110399317654307</v>
      </c>
      <c r="R3">
        <v>334.51313192990671</v>
      </c>
      <c r="S3">
        <v>4.8303482905996011</v>
      </c>
      <c r="T3">
        <v>308.18080096218665</v>
      </c>
      <c r="U3">
        <v>4.3979194483539992</v>
      </c>
    </row>
    <row r="4" spans="1:78" x14ac:dyDescent="0.55000000000000004">
      <c r="F4" s="3" t="s">
        <v>97</v>
      </c>
      <c r="G4" s="4" t="str">
        <f>model_settings!F18</f>
        <v>2</v>
      </c>
      <c r="H4" s="2"/>
    </row>
    <row r="5" spans="1:78" x14ac:dyDescent="0.55000000000000004">
      <c r="F5" s="3" t="s">
        <v>0</v>
      </c>
      <c r="G5" s="4">
        <v>1000</v>
      </c>
    </row>
    <row r="6" spans="1:78" x14ac:dyDescent="0.55000000000000004">
      <c r="F6" s="3" t="s">
        <v>1</v>
      </c>
      <c r="G6" s="4">
        <v>1000</v>
      </c>
    </row>
    <row r="7" spans="1:78" x14ac:dyDescent="0.55000000000000004">
      <c r="D7" s="1" t="s">
        <v>2</v>
      </c>
      <c r="E7" s="1" t="str">
        <f>IF(markov_trace!F8="","",markov_trace!F8)</f>
        <v>SoC_Smoking</v>
      </c>
      <c r="F7" s="1" t="str">
        <f>IF(markov_trace!G8="","",markov_trace!G8)</f>
        <v>SoC_Not smoking</v>
      </c>
      <c r="G7" s="1" t="str">
        <f>IF(markov_trace!H8="","",markov_trace!H8)</f>
        <v>SoC with website_Smoking</v>
      </c>
      <c r="H7" s="1" t="str">
        <f>IF(markov_trace!I8="","",markov_trace!I8)</f>
        <v>SoC with website_Not smoking</v>
      </c>
      <c r="I7" s="1" t="str">
        <f>IF(markov_trace!J8="","",markov_trace!J8)</f>
        <v>SoC Undiscounted Costs</v>
      </c>
      <c r="J7" s="1" t="str">
        <f>IF(markov_trace!K8="","",markov_trace!K8)</f>
        <v>SoC Undiscounted QALYs</v>
      </c>
      <c r="K7" s="1" t="str">
        <f>IF(markov_trace!L8="","",markov_trace!L8)</f>
        <v>SoC Discounted Costs</v>
      </c>
      <c r="L7" s="1" t="str">
        <f>IF(markov_trace!M8="","",markov_trace!M8)</f>
        <v>SoC Discounted QALYs</v>
      </c>
      <c r="M7" s="1" t="str">
        <f>IF(markov_trace!N8="","",markov_trace!N8)</f>
        <v>SoC with website Undiscounted Costs</v>
      </c>
      <c r="N7" s="1" t="str">
        <f>IF(markov_trace!O8="","",markov_trace!O8)</f>
        <v>SoC with website Undiscounted QALYs</v>
      </c>
      <c r="O7" s="1" t="str">
        <f>IF(markov_trace!P8="","",markov_trace!P8)</f>
        <v>SoC with website Discounted Costs</v>
      </c>
      <c r="P7" s="1" t="str">
        <f>IF(markov_trace!Q8="","",markov_trace!Q8)</f>
        <v>SoC with website Discounted QALYs</v>
      </c>
      <c r="Q7" s="1" t="str">
        <f>IF(markov_trace!R8="","",markov_trace!R8)</f>
        <v/>
      </c>
      <c r="R7" s="1" t="str">
        <f>IF(markov_trace!S8="","",markov_trace!S8)</f>
        <v/>
      </c>
      <c r="S7" s="1" t="str">
        <f>IF(markov_trace!T8="","",markov_trace!T8)</f>
        <v/>
      </c>
      <c r="T7" s="1" t="str">
        <f>IF(markov_trace!U8="","",markov_trace!U8)</f>
        <v/>
      </c>
      <c r="U7" s="1" t="str">
        <f>IF(markov_trace!V8="","",markov_trace!V8)</f>
        <v/>
      </c>
      <c r="V7" s="1" t="str">
        <f>IF(markov_trace!W8="","",markov_trace!W8)</f>
        <v/>
      </c>
      <c r="W7" s="1" t="str">
        <f>IF(markov_trace!X8="","",markov_trace!X8)</f>
        <v/>
      </c>
      <c r="X7" s="1" t="str">
        <f>IF(markov_trace!Y8="","",markov_trace!Y8)</f>
        <v/>
      </c>
      <c r="Y7" s="1" t="str">
        <f>IF(markov_trace!Z8="","",markov_trace!Z8)</f>
        <v/>
      </c>
      <c r="Z7" s="1" t="str">
        <f>IF(markov_trace!AA8="","",markov_trace!AA8)</f>
        <v/>
      </c>
      <c r="AA7" s="1" t="str">
        <f>IF(markov_trace!AB8="","",markov_trace!AB8)</f>
        <v/>
      </c>
      <c r="AB7" s="1" t="str">
        <f>IF(markov_trace!AC8="","",markov_trace!AC8)</f>
        <v/>
      </c>
      <c r="AC7" s="1" t="str">
        <f>IF(markov_trace!AD8="","",markov_trace!AD8)</f>
        <v/>
      </c>
      <c r="AD7" s="1" t="str">
        <f>IF(markov_trace!AE8="","",markov_trace!AE8)</f>
        <v/>
      </c>
      <c r="AE7" s="1" t="str">
        <f>IF(markov_trace!AF8="","",markov_trace!AF8)</f>
        <v/>
      </c>
      <c r="AF7" s="1" t="str">
        <f>IF(markov_trace!AG8="","",markov_trace!AG8)</f>
        <v/>
      </c>
      <c r="AG7" s="1" t="str">
        <f>IF(markov_trace!AH8="","",markov_trace!AH8)</f>
        <v/>
      </c>
      <c r="AH7" s="1" t="str">
        <f>IF(markov_trace!AI8="","",markov_trace!AI8)</f>
        <v/>
      </c>
      <c r="AI7" s="1" t="str">
        <f>IF(markov_trace!AJ8="","",markov_trace!AJ8)</f>
        <v/>
      </c>
      <c r="AJ7" s="1" t="str">
        <f>IF(markov_trace!AK8="","",markov_trace!AK8)</f>
        <v/>
      </c>
      <c r="AK7" s="1" t="str">
        <f>IF(markov_trace!AL8="","",markov_trace!AL8)</f>
        <v/>
      </c>
      <c r="AL7" s="1" t="str">
        <f>IF(markov_trace!AM8="","",markov_trace!AM8)</f>
        <v/>
      </c>
      <c r="AM7" s="1" t="str">
        <f>IF(markov_trace!AN8="","",markov_trace!AN8)</f>
        <v/>
      </c>
      <c r="AN7" s="1" t="str">
        <f>IF(markov_trace!AO8="","",markov_trace!AO8)</f>
        <v/>
      </c>
      <c r="AO7" s="1" t="str">
        <f>IF(markov_trace!AP8="","",markov_trace!AP8)</f>
        <v/>
      </c>
      <c r="AP7" s="1" t="str">
        <f>IF(markov_trace!AQ8="","",markov_trace!AQ8)</f>
        <v/>
      </c>
      <c r="AQ7" s="1" t="str">
        <f>IF(markov_trace!AR8="","",markov_trace!AR8)</f>
        <v/>
      </c>
      <c r="AR7" s="1" t="str">
        <f>IF(markov_trace!AS8="","",markov_trace!AS8)</f>
        <v/>
      </c>
      <c r="AS7" s="1" t="str">
        <f>IF(markov_trace!AT8="","",markov_trace!AT8)</f>
        <v/>
      </c>
      <c r="AT7" s="1" t="str">
        <f>IF(markov_trace!AU8="","",markov_trace!AU8)</f>
        <v/>
      </c>
      <c r="AU7" s="1" t="str">
        <f>IF(markov_trace!AV8="","",markov_trace!AV8)</f>
        <v/>
      </c>
      <c r="AV7" s="1" t="str">
        <f>IF(markov_trace!AW8="","",markov_trace!AW8)</f>
        <v/>
      </c>
      <c r="AW7" s="1" t="str">
        <f>IF(markov_trace!AX8="","",markov_trace!AX8)</f>
        <v/>
      </c>
      <c r="AX7" s="1" t="str">
        <f>IF(markov_trace!AY8="","",markov_trace!AY8)</f>
        <v/>
      </c>
      <c r="AY7" s="1" t="str">
        <f>IF(markov_trace!AZ8="","",markov_trace!AZ8)</f>
        <v/>
      </c>
      <c r="AZ7" s="1" t="str">
        <f>IF(markov_trace!BA8="","",markov_trace!BA8)</f>
        <v/>
      </c>
      <c r="BA7" s="1" t="str">
        <f>IF(markov_trace!BB8="","",markov_trace!BB8)</f>
        <v/>
      </c>
      <c r="BB7" s="1" t="str">
        <f>IF(markov_trace!BC8="","",markov_trace!BC8)</f>
        <v/>
      </c>
      <c r="BC7" s="1" t="str">
        <f>IF(markov_trace!BD8="","",markov_trace!BD8)</f>
        <v/>
      </c>
      <c r="BD7" s="1" t="str">
        <f>IF(markov_trace!BE8="","",markov_trace!BE8)</f>
        <v/>
      </c>
      <c r="BE7" s="1" t="str">
        <f>IF(markov_trace!BF8="","",markov_trace!BF8)</f>
        <v/>
      </c>
      <c r="BF7" s="1" t="str">
        <f>IF(markov_trace!BG8="","",markov_trace!BG8)</f>
        <v/>
      </c>
      <c r="BG7" s="1" t="str">
        <f>IF(markov_trace!BH8="","",markov_trace!BH8)</f>
        <v/>
      </c>
      <c r="BH7" s="1" t="str">
        <f>IF(markov_trace!BI8="","",markov_trace!BI8)</f>
        <v/>
      </c>
      <c r="BI7" s="1" t="str">
        <f>IF(markov_trace!BJ8="","",markov_trace!BJ8)</f>
        <v/>
      </c>
      <c r="BJ7" s="1" t="str">
        <f>IF(markov_trace!BK8="","",markov_trace!BK8)</f>
        <v/>
      </c>
      <c r="BK7" s="1" t="str">
        <f>IF(markov_trace!BL8="","",markov_trace!BL8)</f>
        <v/>
      </c>
      <c r="BL7" s="1" t="str">
        <f>IF(markov_trace!BM8="","",markov_trace!BM8)</f>
        <v/>
      </c>
      <c r="BM7" s="1" t="str">
        <f>IF(markov_trace!BN8="","",markov_trace!BN8)</f>
        <v/>
      </c>
      <c r="BN7" s="1" t="str">
        <f>IF(markov_trace!BO8="","",markov_trace!BO8)</f>
        <v/>
      </c>
      <c r="BO7" s="1" t="str">
        <f>IF(markov_trace!BP8="","",markov_trace!BP8)</f>
        <v/>
      </c>
      <c r="BP7" s="1" t="str">
        <f>IF(markov_trace!BQ8="","",markov_trace!BQ8)</f>
        <v/>
      </c>
      <c r="BQ7" s="1" t="str">
        <f>IF(markov_trace!BR8="","",markov_trace!BR8)</f>
        <v/>
      </c>
      <c r="BR7" s="1" t="str">
        <f>IF(markov_trace!BS8="","",markov_trace!BS8)</f>
        <v/>
      </c>
      <c r="BS7" s="1" t="str">
        <f>IF(markov_trace!BT8="","",markov_trace!BT8)</f>
        <v/>
      </c>
      <c r="BT7" s="1" t="str">
        <f>IF(markov_trace!BU8="","",markov_trace!BU8)</f>
        <v/>
      </c>
      <c r="BU7" s="1" t="str">
        <f>IF(markov_trace!BV8="","",markov_trace!BV8)</f>
        <v/>
      </c>
      <c r="BV7" s="1" t="str">
        <f>IF(markov_trace!BW8="","",markov_trace!BW8)</f>
        <v/>
      </c>
      <c r="BW7" s="1" t="str">
        <f>IF(markov_trace!BX8="","",markov_trace!BX8)</f>
        <v/>
      </c>
      <c r="BX7" s="1" t="str">
        <f>IF(markov_trace!BY8="","",markov_trace!BY8)</f>
        <v/>
      </c>
      <c r="BY7" s="1" t="str">
        <f>IF(markov_trace!BZ8="","",markov_trace!BZ8)</f>
        <v/>
      </c>
      <c r="BZ7" s="1" t="str">
        <f>IF(markov_trace!CA8="","",markov_trace!CA8)</f>
        <v/>
      </c>
    </row>
    <row r="8" spans="1:78" x14ac:dyDescent="0.55000000000000004">
      <c r="D8">
        <v>1</v>
      </c>
      <c r="E8">
        <v>6.1389544881598574</v>
      </c>
      <c r="F8">
        <v>3.8610455118401426</v>
      </c>
      <c r="G8">
        <v>7.4040731756760634</v>
      </c>
      <c r="H8">
        <v>2.595926824323934</v>
      </c>
      <c r="I8">
        <v>275.18261771529848</v>
      </c>
      <c r="J8">
        <v>4.8675291814126123</v>
      </c>
      <c r="K8">
        <v>253.86089206330661</v>
      </c>
      <c r="L8">
        <v>4.4320126182770503</v>
      </c>
      <c r="M8">
        <v>381.89238365715454</v>
      </c>
      <c r="N8">
        <v>4.8402295315343284</v>
      </c>
      <c r="O8">
        <v>354.70906425029409</v>
      </c>
      <c r="P8">
        <v>4.4075346950375387</v>
      </c>
    </row>
    <row r="9" spans="1:78" x14ac:dyDescent="0.55000000000000004">
      <c r="D9">
        <v>2</v>
      </c>
      <c r="E9">
        <v>7.1227304525578443</v>
      </c>
      <c r="F9">
        <v>2.8772695474421561</v>
      </c>
      <c r="G9">
        <v>5.9491361403177425</v>
      </c>
      <c r="H9">
        <v>4.0508638596822584</v>
      </c>
      <c r="I9">
        <v>324.58843382573735</v>
      </c>
      <c r="J9">
        <v>4.9438215860042618</v>
      </c>
      <c r="K9">
        <v>298.48099228526758</v>
      </c>
      <c r="L9">
        <v>4.5025594735814884</v>
      </c>
      <c r="M9">
        <v>321.10681714880548</v>
      </c>
      <c r="N9">
        <v>4.9530779614315241</v>
      </c>
      <c r="O9">
        <v>300.56054693717869</v>
      </c>
      <c r="P9">
        <v>4.5108533446412027</v>
      </c>
    </row>
    <row r="10" spans="1:78" x14ac:dyDescent="0.55000000000000004">
      <c r="D10">
        <v>3</v>
      </c>
      <c r="E10">
        <v>7.3203001882670966</v>
      </c>
      <c r="F10">
        <v>2.6796998117329007</v>
      </c>
      <c r="G10">
        <v>5.8468940014651105</v>
      </c>
      <c r="H10">
        <v>4.1531059985348904</v>
      </c>
      <c r="I10">
        <v>365.23808866849151</v>
      </c>
      <c r="J10">
        <v>4.7339209296668958</v>
      </c>
      <c r="K10">
        <v>335.72335475427906</v>
      </c>
      <c r="L10">
        <v>4.3096419860211235</v>
      </c>
      <c r="M10">
        <v>341.72415540624365</v>
      </c>
      <c r="N10">
        <v>4.7874764585830043</v>
      </c>
      <c r="O10">
        <v>319.95115752187479</v>
      </c>
      <c r="P10">
        <v>4.3575575940486546</v>
      </c>
    </row>
    <row r="11" spans="1:78" x14ac:dyDescent="0.55000000000000004">
      <c r="D11">
        <v>4</v>
      </c>
      <c r="E11">
        <v>6.328778506064185</v>
      </c>
      <c r="F11">
        <v>3.6712214939358145</v>
      </c>
      <c r="G11">
        <v>6.8852071288751269</v>
      </c>
      <c r="H11">
        <v>3.1147928711248758</v>
      </c>
      <c r="I11">
        <v>304.29852841281661</v>
      </c>
      <c r="J11">
        <v>4.8660715124787712</v>
      </c>
      <c r="K11">
        <v>280.92416612302333</v>
      </c>
      <c r="L11">
        <v>4.4305784047232315</v>
      </c>
      <c r="M11">
        <v>381.05257122311548</v>
      </c>
      <c r="N11">
        <v>4.8542964687171395</v>
      </c>
      <c r="O11">
        <v>354.8560061077672</v>
      </c>
      <c r="P11">
        <v>4.4200454746118893</v>
      </c>
    </row>
    <row r="12" spans="1:78" x14ac:dyDescent="0.55000000000000004">
      <c r="D12">
        <v>5</v>
      </c>
      <c r="E12">
        <v>6.8700874042996984</v>
      </c>
      <c r="F12">
        <v>3.1299125957003024</v>
      </c>
      <c r="G12">
        <v>6.6572629583694516</v>
      </c>
      <c r="H12">
        <v>3.3427370416305471</v>
      </c>
      <c r="I12">
        <v>341.34903368866736</v>
      </c>
      <c r="J12">
        <v>4.9449127273089024</v>
      </c>
      <c r="K12">
        <v>314.52045460480571</v>
      </c>
      <c r="L12">
        <v>4.5034616724893537</v>
      </c>
      <c r="M12">
        <v>380.77458031007586</v>
      </c>
      <c r="N12">
        <v>4.9466192439219157</v>
      </c>
      <c r="O12">
        <v>355.08182761529423</v>
      </c>
      <c r="P12">
        <v>4.5049848882230625</v>
      </c>
    </row>
    <row r="13" spans="1:78" x14ac:dyDescent="0.55000000000000004">
      <c r="D13">
        <v>6</v>
      </c>
      <c r="E13">
        <v>5.9481846916939212</v>
      </c>
      <c r="F13">
        <v>4.0518153083060797</v>
      </c>
      <c r="G13">
        <v>5.3027269470794574</v>
      </c>
      <c r="H13">
        <v>4.6972730529205444</v>
      </c>
      <c r="I13">
        <v>301.67098909234409</v>
      </c>
      <c r="J13">
        <v>4.8124135874623892</v>
      </c>
      <c r="K13">
        <v>279.40469860708595</v>
      </c>
      <c r="L13">
        <v>4.3804786328036966</v>
      </c>
      <c r="M13">
        <v>318.93564439010896</v>
      </c>
      <c r="N13">
        <v>4.8327692268772058</v>
      </c>
      <c r="O13">
        <v>300.05565613550016</v>
      </c>
      <c r="P13">
        <v>4.3987285865205719</v>
      </c>
    </row>
    <row r="14" spans="1:78" x14ac:dyDescent="0.55000000000000004">
      <c r="D14">
        <v>7</v>
      </c>
      <c r="E14">
        <v>6.3860174935912974</v>
      </c>
      <c r="F14">
        <v>3.613982506408703</v>
      </c>
      <c r="G14">
        <v>6.7416948523710651</v>
      </c>
      <c r="H14">
        <v>3.2583051476289326</v>
      </c>
      <c r="I14">
        <v>317.35749287781613</v>
      </c>
      <c r="J14">
        <v>4.702302211984521</v>
      </c>
      <c r="K14">
        <v>293.04734309813944</v>
      </c>
      <c r="L14">
        <v>4.2793257136705165</v>
      </c>
      <c r="M14">
        <v>385.0331216979734</v>
      </c>
      <c r="N14">
        <v>4.6857215554075253</v>
      </c>
      <c r="O14">
        <v>358.84388409059727</v>
      </c>
      <c r="P14">
        <v>4.2645077389344941</v>
      </c>
    </row>
    <row r="15" spans="1:78" x14ac:dyDescent="0.55000000000000004">
      <c r="D15">
        <v>8</v>
      </c>
      <c r="E15">
        <v>7.3045943004131502</v>
      </c>
      <c r="F15">
        <v>2.6954056995868498</v>
      </c>
      <c r="G15">
        <v>5.8514546523568987</v>
      </c>
      <c r="H15">
        <v>4.1485453476431031</v>
      </c>
      <c r="I15">
        <v>370.372646389029</v>
      </c>
      <c r="J15">
        <v>4.7930982152740427</v>
      </c>
      <c r="K15">
        <v>340.07226722350225</v>
      </c>
      <c r="L15">
        <v>4.3642442784290578</v>
      </c>
      <c r="M15">
        <v>346.69255480708091</v>
      </c>
      <c r="N15">
        <v>4.8342582269425733</v>
      </c>
      <c r="O15">
        <v>323.89016632546418</v>
      </c>
      <c r="P15">
        <v>4.4012156771708923</v>
      </c>
    </row>
    <row r="16" spans="1:78" x14ac:dyDescent="0.55000000000000004">
      <c r="D16">
        <v>9</v>
      </c>
      <c r="E16">
        <v>6.6087661572626608</v>
      </c>
      <c r="F16">
        <v>3.391233842737341</v>
      </c>
      <c r="G16">
        <v>6.7626521666810167</v>
      </c>
      <c r="H16">
        <v>3.2373478333189869</v>
      </c>
      <c r="I16">
        <v>319.44723741874674</v>
      </c>
      <c r="J16">
        <v>4.8312632128663751</v>
      </c>
      <c r="K16">
        <v>294.66821110165426</v>
      </c>
      <c r="L16">
        <v>4.3985711838587163</v>
      </c>
      <c r="M16">
        <v>376.88560933512417</v>
      </c>
      <c r="N16">
        <v>4.8273341540683825</v>
      </c>
      <c r="O16">
        <v>351.31174026895508</v>
      </c>
      <c r="P16">
        <v>4.3950619728353955</v>
      </c>
    </row>
    <row r="17" spans="4:16" x14ac:dyDescent="0.55000000000000004">
      <c r="D17">
        <v>10</v>
      </c>
      <c r="E17">
        <v>8.0016059069917187</v>
      </c>
      <c r="F17">
        <v>1.9983940930082817</v>
      </c>
      <c r="G17">
        <v>6.8482251276702941</v>
      </c>
      <c r="H17">
        <v>3.1517748723297032</v>
      </c>
      <c r="I17">
        <v>365.74929048605475</v>
      </c>
      <c r="J17">
        <v>4.7561268116353812</v>
      </c>
      <c r="K17">
        <v>335.22463872479193</v>
      </c>
      <c r="L17">
        <v>4.3306992655186347</v>
      </c>
      <c r="M17">
        <v>363.028848289763</v>
      </c>
      <c r="N17">
        <v>4.7912795861310356</v>
      </c>
      <c r="O17">
        <v>338.16716016084519</v>
      </c>
      <c r="P17">
        <v>4.362076106519579</v>
      </c>
    </row>
    <row r="18" spans="4:16" x14ac:dyDescent="0.55000000000000004">
      <c r="D18">
        <v>11</v>
      </c>
      <c r="E18">
        <v>7.0358832685798882</v>
      </c>
      <c r="F18">
        <v>2.9641167314201127</v>
      </c>
      <c r="G18">
        <v>6.6019179992031338</v>
      </c>
      <c r="H18">
        <v>3.3980820007968644</v>
      </c>
      <c r="I18">
        <v>316.82249956848085</v>
      </c>
      <c r="J18">
        <v>4.8946497585279394</v>
      </c>
      <c r="K18">
        <v>291.47252021552202</v>
      </c>
      <c r="L18">
        <v>4.4572984879318138</v>
      </c>
      <c r="M18">
        <v>347.28124850994777</v>
      </c>
      <c r="N18">
        <v>4.9011476414765509</v>
      </c>
      <c r="O18">
        <v>323.99303116528705</v>
      </c>
      <c r="P18">
        <v>4.4631107910187415</v>
      </c>
    </row>
    <row r="19" spans="4:16" x14ac:dyDescent="0.55000000000000004">
      <c r="D19">
        <v>12</v>
      </c>
      <c r="E19">
        <v>6.1805570494900675</v>
      </c>
      <c r="F19">
        <v>3.8194429505099321</v>
      </c>
      <c r="G19">
        <v>7.1919529826859083</v>
      </c>
      <c r="H19">
        <v>2.8080470173140935</v>
      </c>
      <c r="I19">
        <v>311.53100969153979</v>
      </c>
      <c r="J19">
        <v>4.7339494836504992</v>
      </c>
      <c r="K19">
        <v>287.80851777133631</v>
      </c>
      <c r="L19">
        <v>4.3084280431398083</v>
      </c>
      <c r="M19">
        <v>412.5104268773116</v>
      </c>
      <c r="N19">
        <v>4.6904125648734558</v>
      </c>
      <c r="O19">
        <v>383.39407393220705</v>
      </c>
      <c r="P19">
        <v>4.2694975342100969</v>
      </c>
    </row>
    <row r="20" spans="4:16" x14ac:dyDescent="0.55000000000000004">
      <c r="D20">
        <v>13</v>
      </c>
      <c r="E20">
        <v>6.4290135553030279</v>
      </c>
      <c r="F20">
        <v>3.5709864446969721</v>
      </c>
      <c r="G20">
        <v>6.2494409623231153</v>
      </c>
      <c r="H20">
        <v>3.7505590376768865</v>
      </c>
      <c r="I20">
        <v>303.86364528361821</v>
      </c>
      <c r="J20">
        <v>4.9123833942775823</v>
      </c>
      <c r="K20">
        <v>280.38086992143832</v>
      </c>
      <c r="L20">
        <v>4.4733737815264716</v>
      </c>
      <c r="M20">
        <v>345.37624947607651</v>
      </c>
      <c r="N20">
        <v>4.9148306656890259</v>
      </c>
      <c r="O20">
        <v>322.77854989970865</v>
      </c>
      <c r="P20">
        <v>4.4755658485481726</v>
      </c>
    </row>
    <row r="21" spans="4:16" x14ac:dyDescent="0.55000000000000004">
      <c r="D21">
        <v>14</v>
      </c>
      <c r="E21">
        <v>7.1713584358181635</v>
      </c>
      <c r="F21">
        <v>2.8286415641818339</v>
      </c>
      <c r="G21">
        <v>6.3415951879308992</v>
      </c>
      <c r="H21">
        <v>3.6584048120690995</v>
      </c>
      <c r="I21">
        <v>333.59626030941371</v>
      </c>
      <c r="J21">
        <v>4.790321086187598</v>
      </c>
      <c r="K21">
        <v>306.84621779668612</v>
      </c>
      <c r="L21">
        <v>4.3613539039476086</v>
      </c>
      <c r="M21">
        <v>344.99744825522242</v>
      </c>
      <c r="N21">
        <v>4.8145820205831615</v>
      </c>
      <c r="O21">
        <v>322.34922374696009</v>
      </c>
      <c r="P21">
        <v>4.3830366777156087</v>
      </c>
    </row>
    <row r="22" spans="4:16" x14ac:dyDescent="0.55000000000000004">
      <c r="D22">
        <v>15</v>
      </c>
      <c r="E22">
        <v>6.351345537334141</v>
      </c>
      <c r="F22">
        <v>3.648654462665859</v>
      </c>
      <c r="G22">
        <v>6.472249856024729</v>
      </c>
      <c r="H22">
        <v>3.5277501439752719</v>
      </c>
      <c r="I22">
        <v>325.03996686662208</v>
      </c>
      <c r="J22">
        <v>4.722110790925047</v>
      </c>
      <c r="K22">
        <v>300.10990782850695</v>
      </c>
      <c r="L22">
        <v>4.2976437806532157</v>
      </c>
      <c r="M22">
        <v>381.22743305157718</v>
      </c>
      <c r="N22">
        <v>4.7168208873452198</v>
      </c>
      <c r="O22">
        <v>355.64683794421433</v>
      </c>
      <c r="P22">
        <v>4.2929100454593891</v>
      </c>
    </row>
    <row r="23" spans="4:16" x14ac:dyDescent="0.55000000000000004">
      <c r="D23">
        <v>16</v>
      </c>
      <c r="E23">
        <v>6.3310949647228201</v>
      </c>
      <c r="F23">
        <v>3.6689050352771808</v>
      </c>
      <c r="G23">
        <v>6.7033080459231371</v>
      </c>
      <c r="H23">
        <v>3.2966919540768611</v>
      </c>
      <c r="I23">
        <v>314.89650334429916</v>
      </c>
      <c r="J23">
        <v>4.7658398846402896</v>
      </c>
      <c r="K23">
        <v>290.84174108521097</v>
      </c>
      <c r="L23">
        <v>4.3379465611403383</v>
      </c>
      <c r="M23">
        <v>383.40966708960389</v>
      </c>
      <c r="N23">
        <v>4.7520733152683379</v>
      </c>
      <c r="O23">
        <v>357.39178064644295</v>
      </c>
      <c r="P23">
        <v>4.3256397900847423</v>
      </c>
    </row>
    <row r="24" spans="4:16" x14ac:dyDescent="0.55000000000000004">
      <c r="D24">
        <v>17</v>
      </c>
      <c r="E24">
        <v>6.0547375090567899</v>
      </c>
      <c r="F24">
        <v>3.9452624909432115</v>
      </c>
      <c r="G24">
        <v>6.0364399506213573</v>
      </c>
      <c r="H24">
        <v>3.9635600493786409</v>
      </c>
      <c r="I24">
        <v>306.95888645835913</v>
      </c>
      <c r="J24">
        <v>4.8181123658672407</v>
      </c>
      <c r="K24">
        <v>283.92787399215007</v>
      </c>
      <c r="L24">
        <v>4.3859786485765175</v>
      </c>
      <c r="M24">
        <v>356.03124952053219</v>
      </c>
      <c r="N24">
        <v>4.8186620345538271</v>
      </c>
      <c r="O24">
        <v>333.09682748188152</v>
      </c>
      <c r="P24">
        <v>4.3864710828739915</v>
      </c>
    </row>
    <row r="25" spans="4:16" x14ac:dyDescent="0.55000000000000004">
      <c r="D25">
        <v>18</v>
      </c>
      <c r="E25">
        <v>6.0494588514974286</v>
      </c>
      <c r="F25">
        <v>3.9505411485025719</v>
      </c>
      <c r="G25">
        <v>5.7347472734003739</v>
      </c>
      <c r="H25">
        <v>4.2652527265996252</v>
      </c>
      <c r="I25">
        <v>301.21609040640101</v>
      </c>
      <c r="J25">
        <v>4.8886170393908817</v>
      </c>
      <c r="K25">
        <v>278.69378292831124</v>
      </c>
      <c r="L25">
        <v>4.4511646043690236</v>
      </c>
      <c r="M25">
        <v>335.54589684246616</v>
      </c>
      <c r="N25">
        <v>4.8944115258345304</v>
      </c>
      <c r="O25">
        <v>314.65115181865031</v>
      </c>
      <c r="P25">
        <v>4.4563572546873553</v>
      </c>
    </row>
    <row r="26" spans="4:16" x14ac:dyDescent="0.55000000000000004">
      <c r="D26">
        <v>19</v>
      </c>
      <c r="E26">
        <v>7.3859887703136984</v>
      </c>
      <c r="F26">
        <v>2.6140112296863012</v>
      </c>
      <c r="G26">
        <v>5.5980532081614731</v>
      </c>
      <c r="H26">
        <v>4.4019467918385269</v>
      </c>
      <c r="I26">
        <v>351.09378352420345</v>
      </c>
      <c r="J26">
        <v>4.8331546840753719</v>
      </c>
      <c r="K26">
        <v>322.79645449019614</v>
      </c>
      <c r="L26">
        <v>4.4008213424993148</v>
      </c>
      <c r="M26">
        <v>316.1040711465555</v>
      </c>
      <c r="N26">
        <v>4.8735431388912183</v>
      </c>
      <c r="O26">
        <v>296.86576980089853</v>
      </c>
      <c r="P26">
        <v>4.4369048041550396</v>
      </c>
    </row>
    <row r="27" spans="4:16" x14ac:dyDescent="0.55000000000000004">
      <c r="D27">
        <v>20</v>
      </c>
      <c r="E27">
        <v>6.7213401251547849</v>
      </c>
      <c r="F27">
        <v>3.2786598748452151</v>
      </c>
      <c r="G27">
        <v>5.2818650445233928</v>
      </c>
      <c r="H27">
        <v>4.7181349554766054</v>
      </c>
      <c r="I27">
        <v>373.8846029301439</v>
      </c>
      <c r="J27">
        <v>4.9218670186380677</v>
      </c>
      <c r="K27">
        <v>344.50217690385108</v>
      </c>
      <c r="L27">
        <v>4.4822265665537655</v>
      </c>
      <c r="M27">
        <v>343.81164739922417</v>
      </c>
      <c r="N27">
        <v>4.9386003601371842</v>
      </c>
      <c r="O27">
        <v>322.62470572897371</v>
      </c>
      <c r="P27">
        <v>4.4972472469231537</v>
      </c>
    </row>
    <row r="28" spans="4:16" x14ac:dyDescent="0.55000000000000004">
      <c r="D28">
        <v>21</v>
      </c>
      <c r="E28">
        <v>6.4194049492866077</v>
      </c>
      <c r="F28">
        <v>3.5805950507133915</v>
      </c>
      <c r="G28">
        <v>6.334713305371185</v>
      </c>
      <c r="H28">
        <v>3.6652866946288141</v>
      </c>
      <c r="I28">
        <v>302.63203610668018</v>
      </c>
      <c r="J28">
        <v>4.7933253051096552</v>
      </c>
      <c r="K28">
        <v>279.03108526163385</v>
      </c>
      <c r="L28">
        <v>4.3636622823275539</v>
      </c>
      <c r="M28">
        <v>348.63939117434978</v>
      </c>
      <c r="N28">
        <v>4.7960519783456119</v>
      </c>
      <c r="O28">
        <v>325.44893667167662</v>
      </c>
      <c r="P28">
        <v>4.3661086177400428</v>
      </c>
    </row>
    <row r="29" spans="4:16" x14ac:dyDescent="0.55000000000000004">
      <c r="D29">
        <v>22</v>
      </c>
      <c r="E29">
        <v>6.6530420061068591</v>
      </c>
      <c r="F29">
        <v>3.3469579938931422</v>
      </c>
      <c r="G29">
        <v>7.1901975789084673</v>
      </c>
      <c r="H29">
        <v>2.8098024210915349</v>
      </c>
      <c r="I29">
        <v>314.49562351756936</v>
      </c>
      <c r="J29">
        <v>4.8205192912931523</v>
      </c>
      <c r="K29">
        <v>290.14348577814201</v>
      </c>
      <c r="L29">
        <v>4.3886362261514229</v>
      </c>
      <c r="M29">
        <v>389.88747834715173</v>
      </c>
      <c r="N29">
        <v>4.8060283166677449</v>
      </c>
      <c r="O29">
        <v>362.77992779517882</v>
      </c>
      <c r="P29">
        <v>4.3757177485892305</v>
      </c>
    </row>
    <row r="30" spans="4:16" x14ac:dyDescent="0.55000000000000004">
      <c r="D30">
        <v>23</v>
      </c>
      <c r="E30">
        <v>5.9102418292308005</v>
      </c>
      <c r="F30">
        <v>4.0897581707691977</v>
      </c>
      <c r="G30">
        <v>7.0502428513377886</v>
      </c>
      <c r="H30">
        <v>2.9497571486622123</v>
      </c>
      <c r="I30">
        <v>272.25890533521618</v>
      </c>
      <c r="J30">
        <v>4.9014048217468451</v>
      </c>
      <c r="K30">
        <v>251.98740455047721</v>
      </c>
      <c r="L30">
        <v>4.4629652141217635</v>
      </c>
      <c r="M30">
        <v>374.77374979129661</v>
      </c>
      <c r="N30">
        <v>4.8823872236127865</v>
      </c>
      <c r="O30">
        <v>348.94964441116377</v>
      </c>
      <c r="P30">
        <v>4.4459584227202829</v>
      </c>
    </row>
    <row r="31" spans="4:16" x14ac:dyDescent="0.55000000000000004">
      <c r="D31">
        <v>24</v>
      </c>
      <c r="E31">
        <v>6.8525619877052364</v>
      </c>
      <c r="F31">
        <v>3.1474380122947641</v>
      </c>
      <c r="G31">
        <v>5.9114868810858798</v>
      </c>
      <c r="H31">
        <v>4.0885131189141202</v>
      </c>
      <c r="I31">
        <v>337.65765108750372</v>
      </c>
      <c r="J31">
        <v>4.6713377448622335</v>
      </c>
      <c r="K31">
        <v>310.8198676536017</v>
      </c>
      <c r="L31">
        <v>4.2516798745076141</v>
      </c>
      <c r="M31">
        <v>341.28649668304342</v>
      </c>
      <c r="N31">
        <v>4.7164735447791806</v>
      </c>
      <c r="O31">
        <v>319.23328121193441</v>
      </c>
      <c r="P31">
        <v>4.2921585701313596</v>
      </c>
    </row>
    <row r="32" spans="4:16" x14ac:dyDescent="0.55000000000000004">
      <c r="D32">
        <v>25</v>
      </c>
      <c r="E32">
        <v>6.5165045254811549</v>
      </c>
      <c r="F32">
        <v>3.4834954745188442</v>
      </c>
      <c r="G32">
        <v>6.2209884285873578</v>
      </c>
      <c r="H32">
        <v>3.7790115714126431</v>
      </c>
      <c r="I32">
        <v>303.03701438399139</v>
      </c>
      <c r="J32">
        <v>4.8163695804792779</v>
      </c>
      <c r="K32">
        <v>279.43202013908331</v>
      </c>
      <c r="L32">
        <v>4.3848927475226187</v>
      </c>
      <c r="M32">
        <v>339.29462912899237</v>
      </c>
      <c r="N32">
        <v>4.8246970119474142</v>
      </c>
      <c r="O32">
        <v>317.11664566555038</v>
      </c>
      <c r="P32">
        <v>4.3923554576002193</v>
      </c>
    </row>
    <row r="33" spans="4:16" x14ac:dyDescent="0.55000000000000004">
      <c r="D33">
        <v>26</v>
      </c>
      <c r="E33">
        <v>8.232083631592257</v>
      </c>
      <c r="F33">
        <v>1.7679163684077421</v>
      </c>
      <c r="G33">
        <v>5.6912571757944486</v>
      </c>
      <c r="H33">
        <v>4.3087428242055514</v>
      </c>
      <c r="I33">
        <v>396.73176013353782</v>
      </c>
      <c r="J33">
        <v>4.7766404163826994</v>
      </c>
      <c r="K33">
        <v>363.36299361682694</v>
      </c>
      <c r="L33">
        <v>4.3496463188624528</v>
      </c>
      <c r="M33">
        <v>324.28079909932023</v>
      </c>
      <c r="N33">
        <v>4.8455801848069235</v>
      </c>
      <c r="O33">
        <v>303.89041945461156</v>
      </c>
      <c r="P33">
        <v>4.4112792684759548</v>
      </c>
    </row>
    <row r="34" spans="4:16" x14ac:dyDescent="0.55000000000000004">
      <c r="D34">
        <v>27</v>
      </c>
      <c r="E34">
        <v>8.2631428895280479</v>
      </c>
      <c r="F34">
        <v>1.736857110471951</v>
      </c>
      <c r="G34">
        <v>5.5027784207250932</v>
      </c>
      <c r="H34">
        <v>4.4972215792749068</v>
      </c>
      <c r="I34">
        <v>390.57651759382708</v>
      </c>
      <c r="J34">
        <v>4.769833179795758</v>
      </c>
      <c r="K34">
        <v>357.86324806803799</v>
      </c>
      <c r="L34">
        <v>4.3433304364432406</v>
      </c>
      <c r="M34">
        <v>310.10152086091085</v>
      </c>
      <c r="N34">
        <v>4.8467221215559597</v>
      </c>
      <c r="O34">
        <v>291.54462061251274</v>
      </c>
      <c r="P34">
        <v>4.4118770269471828</v>
      </c>
    </row>
    <row r="35" spans="4:16" x14ac:dyDescent="0.55000000000000004">
      <c r="D35">
        <v>28</v>
      </c>
      <c r="E35">
        <v>7.0194707631346134</v>
      </c>
      <c r="F35">
        <v>2.9805292368653866</v>
      </c>
      <c r="G35">
        <v>6.1245049222070724</v>
      </c>
      <c r="H35">
        <v>3.8754950777929258</v>
      </c>
      <c r="I35">
        <v>389.55388568281046</v>
      </c>
      <c r="J35">
        <v>4.8094309332561318</v>
      </c>
      <c r="K35">
        <v>358.47089310100989</v>
      </c>
      <c r="L35">
        <v>4.3788559981920647</v>
      </c>
      <c r="M35">
        <v>389.88669101085497</v>
      </c>
      <c r="N35">
        <v>4.8337280363894513</v>
      </c>
      <c r="O35">
        <v>364.01548462960244</v>
      </c>
      <c r="P35">
        <v>4.4006035048027723</v>
      </c>
    </row>
    <row r="36" spans="4:16" x14ac:dyDescent="0.55000000000000004">
      <c r="D36">
        <v>29</v>
      </c>
      <c r="E36">
        <v>6.9847526681219385</v>
      </c>
      <c r="F36">
        <v>3.0152473318780615</v>
      </c>
      <c r="G36">
        <v>6.2432434643289829</v>
      </c>
      <c r="H36">
        <v>3.7567565356710144</v>
      </c>
      <c r="I36">
        <v>361.45200199069819</v>
      </c>
      <c r="J36">
        <v>4.8200113812339467</v>
      </c>
      <c r="K36">
        <v>332.79011053671195</v>
      </c>
      <c r="L36">
        <v>4.3885031754555186</v>
      </c>
      <c r="M36">
        <v>373.07985068622571</v>
      </c>
      <c r="N36">
        <v>4.8391191755588796</v>
      </c>
      <c r="O36">
        <v>348.49204665664081</v>
      </c>
      <c r="P36">
        <v>4.405582237433662</v>
      </c>
    </row>
    <row r="37" spans="4:16" x14ac:dyDescent="0.55000000000000004">
      <c r="D37">
        <v>30</v>
      </c>
      <c r="E37">
        <v>7.3267198106397888</v>
      </c>
      <c r="F37">
        <v>2.6732801893602103</v>
      </c>
      <c r="G37">
        <v>6.0736398204908379</v>
      </c>
      <c r="H37">
        <v>3.9263601795091612</v>
      </c>
      <c r="I37">
        <v>347.25570719838629</v>
      </c>
      <c r="J37">
        <v>4.7306717968053098</v>
      </c>
      <c r="K37">
        <v>319.13622450466028</v>
      </c>
      <c r="L37">
        <v>4.3067003188239354</v>
      </c>
      <c r="M37">
        <v>337.86498537449239</v>
      </c>
      <c r="N37">
        <v>4.7767346722705266</v>
      </c>
      <c r="O37">
        <v>316.00062860711296</v>
      </c>
      <c r="P37">
        <v>4.3479117784835166</v>
      </c>
    </row>
    <row r="38" spans="4:16" x14ac:dyDescent="0.55000000000000004">
      <c r="D38">
        <v>31</v>
      </c>
      <c r="E38">
        <v>5.6174561803451448</v>
      </c>
      <c r="F38">
        <v>4.3825438196548534</v>
      </c>
      <c r="G38">
        <v>6.0855247573437516</v>
      </c>
      <c r="H38">
        <v>3.9144752426562497</v>
      </c>
      <c r="I38">
        <v>290.65485780771803</v>
      </c>
      <c r="J38">
        <v>4.7973778535921561</v>
      </c>
      <c r="K38">
        <v>269.57052553793653</v>
      </c>
      <c r="L38">
        <v>4.3662955440037265</v>
      </c>
      <c r="M38">
        <v>364.87336549591356</v>
      </c>
      <c r="N38">
        <v>4.7804945781926325</v>
      </c>
      <c r="O38">
        <v>341.27792138519396</v>
      </c>
      <c r="P38">
        <v>4.3511628220782415</v>
      </c>
    </row>
    <row r="39" spans="4:16" x14ac:dyDescent="0.55000000000000004">
      <c r="D39">
        <v>32</v>
      </c>
      <c r="E39">
        <v>5.9030823056712229</v>
      </c>
      <c r="F39">
        <v>4.0969176943287788</v>
      </c>
      <c r="G39">
        <v>6.5613041557008964</v>
      </c>
      <c r="H39">
        <v>3.4386958442991027</v>
      </c>
      <c r="I39">
        <v>285.59607623735974</v>
      </c>
      <c r="J39">
        <v>4.8616597954556271</v>
      </c>
      <c r="K39">
        <v>264.17777845964406</v>
      </c>
      <c r="L39">
        <v>4.4262539491533648</v>
      </c>
      <c r="M39">
        <v>367.4414017686621</v>
      </c>
      <c r="N39">
        <v>4.8462342024088887</v>
      </c>
      <c r="O39">
        <v>342.72099319794188</v>
      </c>
      <c r="P39">
        <v>4.4124278692671393</v>
      </c>
    </row>
    <row r="40" spans="4:16" x14ac:dyDescent="0.55000000000000004">
      <c r="D40">
        <v>33</v>
      </c>
      <c r="E40">
        <v>5.1882822743672588</v>
      </c>
      <c r="F40">
        <v>4.8117177256327412</v>
      </c>
      <c r="G40">
        <v>6.6320388454740469</v>
      </c>
      <c r="H40">
        <v>3.3679611545259522</v>
      </c>
      <c r="I40">
        <v>246.92283295347147</v>
      </c>
      <c r="J40">
        <v>4.8214659480723565</v>
      </c>
      <c r="K40">
        <v>229.31243236654419</v>
      </c>
      <c r="L40">
        <v>4.3884182187752776</v>
      </c>
      <c r="M40">
        <v>365.63468087935468</v>
      </c>
      <c r="N40">
        <v>4.7717848210623028</v>
      </c>
      <c r="O40">
        <v>340.99448128642848</v>
      </c>
      <c r="P40">
        <v>4.3438198882233969</v>
      </c>
    </row>
    <row r="41" spans="4:16" x14ac:dyDescent="0.55000000000000004">
      <c r="D41">
        <v>34</v>
      </c>
      <c r="E41">
        <v>6.1318808212009861</v>
      </c>
      <c r="F41">
        <v>3.8681191787990157</v>
      </c>
      <c r="G41">
        <v>5.9754870004978695</v>
      </c>
      <c r="H41">
        <v>4.0245129995021296</v>
      </c>
      <c r="I41">
        <v>297.69310168608706</v>
      </c>
      <c r="J41">
        <v>4.9224042948943358</v>
      </c>
      <c r="K41">
        <v>275.20492870205209</v>
      </c>
      <c r="L41">
        <v>4.4824853084764831</v>
      </c>
      <c r="M41">
        <v>340.10042940050113</v>
      </c>
      <c r="N41">
        <v>4.9243833758884836</v>
      </c>
      <c r="O41">
        <v>318.40088500091758</v>
      </c>
      <c r="P41">
        <v>4.4842588281367259</v>
      </c>
    </row>
    <row r="42" spans="4:16" x14ac:dyDescent="0.55000000000000004">
      <c r="D42">
        <v>35</v>
      </c>
      <c r="E42">
        <v>6.65826087018658</v>
      </c>
      <c r="F42">
        <v>3.3417391298134191</v>
      </c>
      <c r="G42">
        <v>5.4662876246947913</v>
      </c>
      <c r="H42">
        <v>4.5337123753052069</v>
      </c>
      <c r="I42">
        <v>344.504073516299</v>
      </c>
      <c r="J42">
        <v>4.7572078523995156</v>
      </c>
      <c r="K42">
        <v>317.72747034713922</v>
      </c>
      <c r="L42">
        <v>4.3302982093753934</v>
      </c>
      <c r="M42">
        <v>332.83036523114174</v>
      </c>
      <c r="N42">
        <v>4.8006729177968648</v>
      </c>
      <c r="O42">
        <v>312.48619195538487</v>
      </c>
      <c r="P42">
        <v>4.3692299656244105</v>
      </c>
    </row>
    <row r="43" spans="4:16" x14ac:dyDescent="0.55000000000000004">
      <c r="D43">
        <v>36</v>
      </c>
      <c r="E43">
        <v>6.5128423057956812</v>
      </c>
      <c r="F43">
        <v>3.4871576942043179</v>
      </c>
      <c r="G43">
        <v>6.1359096195993592</v>
      </c>
      <c r="H43">
        <v>3.8640903804006417</v>
      </c>
      <c r="I43">
        <v>313.63187054273834</v>
      </c>
      <c r="J43">
        <v>4.81453473763899</v>
      </c>
      <c r="K43">
        <v>289.14287922448364</v>
      </c>
      <c r="L43">
        <v>4.3832355492740511</v>
      </c>
      <c r="M43">
        <v>345.48033272103322</v>
      </c>
      <c r="N43">
        <v>4.8252685948791143</v>
      </c>
      <c r="O43">
        <v>322.86404051859188</v>
      </c>
      <c r="P43">
        <v>4.3928619915303706</v>
      </c>
    </row>
    <row r="44" spans="4:16" x14ac:dyDescent="0.55000000000000004">
      <c r="D44">
        <v>37</v>
      </c>
      <c r="E44">
        <v>6.9675033694797524</v>
      </c>
      <c r="F44">
        <v>3.0324966305202468</v>
      </c>
      <c r="G44">
        <v>6.7971564394293695</v>
      </c>
      <c r="H44">
        <v>3.20284356057063</v>
      </c>
      <c r="I44">
        <v>343.6302413138439</v>
      </c>
      <c r="J44">
        <v>4.7808853134011642</v>
      </c>
      <c r="K44">
        <v>316.46359870534064</v>
      </c>
      <c r="L44">
        <v>4.352427353540171</v>
      </c>
      <c r="M44">
        <v>385.22890247320606</v>
      </c>
      <c r="N44">
        <v>4.7862423993201419</v>
      </c>
      <c r="O44">
        <v>358.96715158608043</v>
      </c>
      <c r="P44">
        <v>4.3572074382465145</v>
      </c>
    </row>
    <row r="45" spans="4:16" x14ac:dyDescent="0.55000000000000004">
      <c r="D45">
        <v>38</v>
      </c>
      <c r="E45">
        <v>7.3683995724230833</v>
      </c>
      <c r="F45">
        <v>2.631600427576914</v>
      </c>
      <c r="G45">
        <v>5.8585289123966788</v>
      </c>
      <c r="H45">
        <v>4.1414710876033203</v>
      </c>
      <c r="I45">
        <v>370.05209314547955</v>
      </c>
      <c r="J45">
        <v>4.8657885555968559</v>
      </c>
      <c r="K45">
        <v>340.00174254711322</v>
      </c>
      <c r="L45">
        <v>4.4309066143503184</v>
      </c>
      <c r="M45">
        <v>344.22412092030066</v>
      </c>
      <c r="N45">
        <v>4.8932900394879413</v>
      </c>
      <c r="O45">
        <v>322.10943400109551</v>
      </c>
      <c r="P45">
        <v>4.4555299713387164</v>
      </c>
    </row>
    <row r="46" spans="4:16" x14ac:dyDescent="0.55000000000000004">
      <c r="D46">
        <v>39</v>
      </c>
      <c r="E46">
        <v>8.2346253095439259</v>
      </c>
      <c r="F46">
        <v>1.7653746904560728</v>
      </c>
      <c r="G46">
        <v>5.6297648186194449</v>
      </c>
      <c r="H46">
        <v>4.370235181380556</v>
      </c>
      <c r="I46">
        <v>432.54975409512394</v>
      </c>
      <c r="J46">
        <v>4.7533137051843788</v>
      </c>
      <c r="K46">
        <v>396.16576791246837</v>
      </c>
      <c r="L46">
        <v>4.3282830795045957</v>
      </c>
      <c r="M46">
        <v>345.72121333618907</v>
      </c>
      <c r="N46">
        <v>4.8313480247633178</v>
      </c>
      <c r="O46">
        <v>323.82343396647224</v>
      </c>
      <c r="P46">
        <v>4.3980558091721207</v>
      </c>
    </row>
    <row r="47" spans="4:16" x14ac:dyDescent="0.55000000000000004">
      <c r="D47">
        <v>40</v>
      </c>
      <c r="E47">
        <v>8.020732379026061</v>
      </c>
      <c r="F47">
        <v>1.9792676209739408</v>
      </c>
      <c r="G47">
        <v>6.0861989062431903</v>
      </c>
      <c r="H47">
        <v>3.9138010937568106</v>
      </c>
      <c r="I47">
        <v>391.59017055067852</v>
      </c>
      <c r="J47">
        <v>4.8679468976947051</v>
      </c>
      <c r="K47">
        <v>358.9087932095855</v>
      </c>
      <c r="L47">
        <v>4.4331871209945009</v>
      </c>
      <c r="M47">
        <v>347.14190114775073</v>
      </c>
      <c r="N47">
        <v>4.8997969999699578</v>
      </c>
      <c r="O47">
        <v>324.49825790658866</v>
      </c>
      <c r="P47">
        <v>4.461652271277349</v>
      </c>
    </row>
    <row r="48" spans="4:16" x14ac:dyDescent="0.55000000000000004">
      <c r="D48">
        <v>41</v>
      </c>
      <c r="E48">
        <v>7.6040541003045679</v>
      </c>
      <c r="F48">
        <v>2.3959458996954317</v>
      </c>
      <c r="G48">
        <v>6.1133600763353444</v>
      </c>
      <c r="H48">
        <v>3.8866399236646547</v>
      </c>
      <c r="I48">
        <v>357.4116213452001</v>
      </c>
      <c r="J48">
        <v>4.8430726718327293</v>
      </c>
      <c r="K48">
        <v>327.97864223420083</v>
      </c>
      <c r="L48">
        <v>4.4102150156555524</v>
      </c>
      <c r="M48">
        <v>337.34486997699236</v>
      </c>
      <c r="N48">
        <v>4.8738366073874539</v>
      </c>
      <c r="O48">
        <v>315.22963506461952</v>
      </c>
      <c r="P48">
        <v>4.4377659777737106</v>
      </c>
    </row>
    <row r="49" spans="4:16" x14ac:dyDescent="0.55000000000000004">
      <c r="D49">
        <v>42</v>
      </c>
      <c r="E49">
        <v>7.8946560600206466</v>
      </c>
      <c r="F49">
        <v>2.1053439399793521</v>
      </c>
      <c r="G49">
        <v>6.1396500076666953</v>
      </c>
      <c r="H49">
        <v>3.8603499923333047</v>
      </c>
      <c r="I49">
        <v>410.98253934457307</v>
      </c>
      <c r="J49">
        <v>4.7710104475026949</v>
      </c>
      <c r="K49">
        <v>376.9837678820507</v>
      </c>
      <c r="L49">
        <v>4.344173062804642</v>
      </c>
      <c r="M49">
        <v>369.6198709169841</v>
      </c>
      <c r="N49">
        <v>4.8219155214543967</v>
      </c>
      <c r="O49">
        <v>345.457588414675</v>
      </c>
      <c r="P49">
        <v>4.3895974824961019</v>
      </c>
    </row>
    <row r="50" spans="4:16" x14ac:dyDescent="0.55000000000000004">
      <c r="D50">
        <v>43</v>
      </c>
      <c r="E50">
        <v>7.8073045324910026</v>
      </c>
      <c r="F50">
        <v>2.1926954675089991</v>
      </c>
      <c r="G50">
        <v>6.4901909764336034</v>
      </c>
      <c r="H50">
        <v>3.509809023566397</v>
      </c>
      <c r="I50">
        <v>367.45814395133266</v>
      </c>
      <c r="J50">
        <v>4.8231677333286758</v>
      </c>
      <c r="K50">
        <v>336.94567247968303</v>
      </c>
      <c r="L50">
        <v>4.3920706022164051</v>
      </c>
      <c r="M50">
        <v>355.46695343636873</v>
      </c>
      <c r="N50">
        <v>4.8529998187317602</v>
      </c>
      <c r="O50">
        <v>331.49376420182602</v>
      </c>
      <c r="P50">
        <v>4.4187557819938394</v>
      </c>
    </row>
    <row r="51" spans="4:16" x14ac:dyDescent="0.55000000000000004">
      <c r="D51">
        <v>44</v>
      </c>
      <c r="E51">
        <v>7.9470821653869335</v>
      </c>
      <c r="F51">
        <v>2.0529178346130648</v>
      </c>
      <c r="G51">
        <v>5.6545670475659984</v>
      </c>
      <c r="H51">
        <v>4.3454329524340025</v>
      </c>
      <c r="I51">
        <v>420.98118143510357</v>
      </c>
      <c r="J51">
        <v>4.8113246382443062</v>
      </c>
      <c r="K51">
        <v>385.92665420554079</v>
      </c>
      <c r="L51">
        <v>4.3812546979292923</v>
      </c>
      <c r="M51">
        <v>349.53966331898835</v>
      </c>
      <c r="N51">
        <v>4.8657523024087928</v>
      </c>
      <c r="O51">
        <v>327.23148405952702</v>
      </c>
      <c r="P51">
        <v>4.4299697033803307</v>
      </c>
    </row>
    <row r="52" spans="4:16" x14ac:dyDescent="0.55000000000000004">
      <c r="D52">
        <v>45</v>
      </c>
      <c r="E52">
        <v>6.9721579965211662</v>
      </c>
      <c r="F52">
        <v>3.0278420034788383</v>
      </c>
      <c r="G52">
        <v>6.8642021311544195</v>
      </c>
      <c r="H52">
        <v>3.1357978688455792</v>
      </c>
      <c r="I52">
        <v>357.40162491385996</v>
      </c>
      <c r="J52">
        <v>4.9285470196925294</v>
      </c>
      <c r="K52">
        <v>329.20360507801848</v>
      </c>
      <c r="L52">
        <v>4.4884037865894983</v>
      </c>
      <c r="M52">
        <v>401.8676709041676</v>
      </c>
      <c r="N52">
        <v>4.9296533870935493</v>
      </c>
      <c r="O52">
        <v>374.26922967758696</v>
      </c>
      <c r="P52">
        <v>4.4893902841422184</v>
      </c>
    </row>
    <row r="53" spans="4:16" x14ac:dyDescent="0.55000000000000004">
      <c r="D53">
        <v>46</v>
      </c>
      <c r="E53">
        <v>7.0971245729733194</v>
      </c>
      <c r="F53">
        <v>2.9028754270266779</v>
      </c>
      <c r="G53">
        <v>5.3197970632710261</v>
      </c>
      <c r="H53">
        <v>4.6802029367289748</v>
      </c>
      <c r="I53">
        <v>342.1276179642328</v>
      </c>
      <c r="J53">
        <v>4.8109252801221487</v>
      </c>
      <c r="K53">
        <v>314.90678684443481</v>
      </c>
      <c r="L53">
        <v>4.3801880250563592</v>
      </c>
      <c r="M53">
        <v>306.44885877317114</v>
      </c>
      <c r="N53">
        <v>4.8582751184366515</v>
      </c>
      <c r="O53">
        <v>288.21761114660131</v>
      </c>
      <c r="P53">
        <v>4.422569825447134</v>
      </c>
    </row>
    <row r="54" spans="4:16" x14ac:dyDescent="0.55000000000000004">
      <c r="D54">
        <v>47</v>
      </c>
      <c r="E54">
        <v>5.3117848141740005</v>
      </c>
      <c r="F54">
        <v>4.6882151858260004</v>
      </c>
      <c r="G54">
        <v>4.8866078633297985</v>
      </c>
      <c r="H54">
        <v>5.1133921366701998</v>
      </c>
      <c r="I54">
        <v>267.02537284063868</v>
      </c>
      <c r="J54">
        <v>4.9013385847389337</v>
      </c>
      <c r="K54">
        <v>248.17753122918367</v>
      </c>
      <c r="L54">
        <v>4.4625218677580172</v>
      </c>
      <c r="M54">
        <v>295.6515714171573</v>
      </c>
      <c r="N54">
        <v>4.9092358473680102</v>
      </c>
      <c r="O54">
        <v>278.94122932641693</v>
      </c>
      <c r="P54">
        <v>4.4696293600158743</v>
      </c>
    </row>
    <row r="55" spans="4:16" x14ac:dyDescent="0.55000000000000004">
      <c r="D55">
        <v>48</v>
      </c>
      <c r="E55">
        <v>6.7304173536159881</v>
      </c>
      <c r="F55">
        <v>3.269582646384011</v>
      </c>
      <c r="G55">
        <v>7.1854466259298908</v>
      </c>
      <c r="H55">
        <v>2.8145533740701114</v>
      </c>
      <c r="I55">
        <v>338.12927199520976</v>
      </c>
      <c r="J55">
        <v>4.920691089654488</v>
      </c>
      <c r="K55">
        <v>311.91254829327727</v>
      </c>
      <c r="L55">
        <v>4.4810595960171646</v>
      </c>
      <c r="M55">
        <v>410.98947642240586</v>
      </c>
      <c r="N55">
        <v>4.9153291820837577</v>
      </c>
      <c r="O55">
        <v>382.2751993621041</v>
      </c>
      <c r="P55">
        <v>4.4762834946802856</v>
      </c>
    </row>
    <row r="56" spans="4:16" x14ac:dyDescent="0.55000000000000004">
      <c r="D56">
        <v>49</v>
      </c>
      <c r="E56">
        <v>6.3479432052907754</v>
      </c>
      <c r="F56">
        <v>3.652056794709226</v>
      </c>
      <c r="G56">
        <v>5.829592637387103</v>
      </c>
      <c r="H56">
        <v>4.1704073626128988</v>
      </c>
      <c r="I56">
        <v>293.22382874867066</v>
      </c>
      <c r="J56">
        <v>4.8700874545334782</v>
      </c>
      <c r="K56">
        <v>270.59892088212689</v>
      </c>
      <c r="L56">
        <v>4.4343307193378063</v>
      </c>
      <c r="M56">
        <v>319.28020902187757</v>
      </c>
      <c r="N56">
        <v>4.8806956530542625</v>
      </c>
      <c r="O56">
        <v>299.11229687942983</v>
      </c>
      <c r="P56">
        <v>4.4438503481810159</v>
      </c>
    </row>
    <row r="57" spans="4:16" x14ac:dyDescent="0.55000000000000004">
      <c r="D57">
        <v>50</v>
      </c>
      <c r="E57">
        <v>6.715416741977748</v>
      </c>
      <c r="F57">
        <v>3.2845832580222507</v>
      </c>
      <c r="G57">
        <v>5.1526046600073219</v>
      </c>
      <c r="H57">
        <v>4.847395339992679</v>
      </c>
      <c r="I57">
        <v>312.63765967867784</v>
      </c>
      <c r="J57">
        <v>4.8560037066258133</v>
      </c>
      <c r="K57">
        <v>288.29082031094896</v>
      </c>
      <c r="L57">
        <v>4.4214368219745275</v>
      </c>
      <c r="M57">
        <v>289.88060965516718</v>
      </c>
      <c r="N57">
        <v>4.8895145304049876</v>
      </c>
      <c r="O57">
        <v>273.09397718517209</v>
      </c>
      <c r="P57">
        <v>4.4514655260003293</v>
      </c>
    </row>
    <row r="58" spans="4:16" x14ac:dyDescent="0.55000000000000004">
      <c r="D58">
        <v>51</v>
      </c>
      <c r="E58">
        <v>6.5785861060293813</v>
      </c>
      <c r="F58">
        <v>3.4214138939706187</v>
      </c>
      <c r="G58">
        <v>5.8836743408161061</v>
      </c>
      <c r="H58">
        <v>4.116325659183893</v>
      </c>
      <c r="I58">
        <v>338.63041721596954</v>
      </c>
      <c r="J58">
        <v>4.9407981446599374</v>
      </c>
      <c r="K58">
        <v>311.96229197482234</v>
      </c>
      <c r="L58">
        <v>4.4996797824293147</v>
      </c>
      <c r="M58">
        <v>352.86007732989833</v>
      </c>
      <c r="N58">
        <v>4.9470517780600627</v>
      </c>
      <c r="O58">
        <v>329.8315657812322</v>
      </c>
      <c r="P58">
        <v>4.5052971118462146</v>
      </c>
    </row>
    <row r="59" spans="4:16" x14ac:dyDescent="0.55000000000000004">
      <c r="D59">
        <v>52</v>
      </c>
      <c r="E59">
        <v>8.1012571727180429</v>
      </c>
      <c r="F59">
        <v>1.8987428272819571</v>
      </c>
      <c r="G59">
        <v>5.4752766336319345</v>
      </c>
      <c r="H59">
        <v>4.5247233663680646</v>
      </c>
      <c r="I59">
        <v>371.53552942282022</v>
      </c>
      <c r="J59">
        <v>4.8882652648149696</v>
      </c>
      <c r="K59">
        <v>340.32895900755909</v>
      </c>
      <c r="L59">
        <v>4.4518695769234125</v>
      </c>
      <c r="M59">
        <v>301.10421252437862</v>
      </c>
      <c r="N59">
        <v>4.9244835003159899</v>
      </c>
      <c r="O59">
        <v>282.37641375046223</v>
      </c>
      <c r="P59">
        <v>4.4843349755236233</v>
      </c>
    </row>
    <row r="60" spans="4:16" x14ac:dyDescent="0.55000000000000004">
      <c r="D60">
        <v>53</v>
      </c>
      <c r="E60">
        <v>5.9089041174121242</v>
      </c>
      <c r="F60">
        <v>4.0910958825878776</v>
      </c>
      <c r="G60">
        <v>5.4048507971479713</v>
      </c>
      <c r="H60">
        <v>4.5951492028520295</v>
      </c>
      <c r="I60">
        <v>291.09883153760967</v>
      </c>
      <c r="J60">
        <v>4.854985874739806</v>
      </c>
      <c r="K60">
        <v>269.41190401073214</v>
      </c>
      <c r="L60">
        <v>4.4200087795921954</v>
      </c>
      <c r="M60">
        <v>316.26692876071888</v>
      </c>
      <c r="N60">
        <v>4.8673561636918983</v>
      </c>
      <c r="O60">
        <v>297.10875016290311</v>
      </c>
      <c r="P60">
        <v>4.4311193440994554</v>
      </c>
    </row>
    <row r="61" spans="4:16" x14ac:dyDescent="0.55000000000000004">
      <c r="D61">
        <v>54</v>
      </c>
      <c r="E61">
        <v>7.7553985334751534</v>
      </c>
      <c r="F61">
        <v>2.2446014665248466</v>
      </c>
      <c r="G61">
        <v>6.7117167784022751</v>
      </c>
      <c r="H61">
        <v>3.2882832215977249</v>
      </c>
      <c r="I61">
        <v>397.50066071420667</v>
      </c>
      <c r="J61">
        <v>4.803457339815016</v>
      </c>
      <c r="K61">
        <v>364.57752567525347</v>
      </c>
      <c r="L61">
        <v>4.3739553766098993</v>
      </c>
      <c r="M61">
        <v>394.00706068499773</v>
      </c>
      <c r="N61">
        <v>4.8299070429016009</v>
      </c>
      <c r="O61">
        <v>366.75518105199575</v>
      </c>
      <c r="P61">
        <v>4.3976009494541062</v>
      </c>
    </row>
    <row r="62" spans="4:16" x14ac:dyDescent="0.55000000000000004">
      <c r="D62">
        <v>55</v>
      </c>
      <c r="E62">
        <v>6.7429110339311826</v>
      </c>
      <c r="F62">
        <v>3.257088966068816</v>
      </c>
      <c r="G62">
        <v>4.6825942468566613</v>
      </c>
      <c r="H62">
        <v>5.3174057531433387</v>
      </c>
      <c r="I62">
        <v>339.10913182644316</v>
      </c>
      <c r="J62">
        <v>4.9452024156758556</v>
      </c>
      <c r="K62">
        <v>312.62170331888291</v>
      </c>
      <c r="L62">
        <v>4.503701912998844</v>
      </c>
      <c r="M62">
        <v>285.49331464652187</v>
      </c>
      <c r="N62">
        <v>4.9619459827058892</v>
      </c>
      <c r="O62">
        <v>269.6107436683875</v>
      </c>
      <c r="P62">
        <v>4.5187318117133568</v>
      </c>
    </row>
    <row r="63" spans="4:16" x14ac:dyDescent="0.55000000000000004">
      <c r="D63">
        <v>56</v>
      </c>
      <c r="E63">
        <v>5.4560151445360638</v>
      </c>
      <c r="F63">
        <v>4.5439848554639362</v>
      </c>
      <c r="G63">
        <v>5.2960062797557095</v>
      </c>
      <c r="H63">
        <v>4.7039937202442914</v>
      </c>
      <c r="I63">
        <v>273.1085328146678</v>
      </c>
      <c r="J63">
        <v>4.8190381964393652</v>
      </c>
      <c r="K63">
        <v>253.23096941238268</v>
      </c>
      <c r="L63">
        <v>4.3864283968301985</v>
      </c>
      <c r="M63">
        <v>315.09906342357448</v>
      </c>
      <c r="N63">
        <v>4.8243452734890573</v>
      </c>
      <c r="O63">
        <v>296.01758186800112</v>
      </c>
      <c r="P63">
        <v>4.3912079897867429</v>
      </c>
    </row>
    <row r="64" spans="4:16" x14ac:dyDescent="0.55000000000000004">
      <c r="D64">
        <v>57</v>
      </c>
      <c r="E64">
        <v>7.6204892292521658</v>
      </c>
      <c r="F64">
        <v>2.3795107707478307</v>
      </c>
      <c r="G64">
        <v>6.8629607625525164</v>
      </c>
      <c r="H64">
        <v>3.1370392374474845</v>
      </c>
      <c r="I64">
        <v>351.65079759123108</v>
      </c>
      <c r="J64">
        <v>4.8394436413950039</v>
      </c>
      <c r="K64">
        <v>322.71237908518214</v>
      </c>
      <c r="L64">
        <v>4.4068756350309828</v>
      </c>
      <c r="M64">
        <v>366.69431625530302</v>
      </c>
      <c r="N64">
        <v>4.8554040356025121</v>
      </c>
      <c r="O64">
        <v>341.47582246069072</v>
      </c>
      <c r="P64">
        <v>4.4211375898490619</v>
      </c>
    </row>
    <row r="65" spans="4:16" x14ac:dyDescent="0.55000000000000004">
      <c r="D65">
        <v>58</v>
      </c>
      <c r="E65">
        <v>5.7033376478965687</v>
      </c>
      <c r="F65">
        <v>4.2966623521034304</v>
      </c>
      <c r="G65">
        <v>7.1090153779431793</v>
      </c>
      <c r="H65">
        <v>2.8909846220568203</v>
      </c>
      <c r="I65">
        <v>284.14193967591638</v>
      </c>
      <c r="J65">
        <v>4.8673400205998032</v>
      </c>
      <c r="K65">
        <v>262.60889771784906</v>
      </c>
      <c r="L65">
        <v>4.4316126717112061</v>
      </c>
      <c r="M65">
        <v>404.17321284137404</v>
      </c>
      <c r="N65">
        <v>4.8346438713931938</v>
      </c>
      <c r="O65">
        <v>375.51393412496282</v>
      </c>
      <c r="P65">
        <v>4.4022436146707209</v>
      </c>
    </row>
    <row r="66" spans="4:16" x14ac:dyDescent="0.55000000000000004">
      <c r="D66">
        <v>59</v>
      </c>
      <c r="E66">
        <v>7.2172734629767294</v>
      </c>
      <c r="F66">
        <v>2.7827265370232723</v>
      </c>
      <c r="G66">
        <v>6.4867226650229917</v>
      </c>
      <c r="H66">
        <v>3.5132773349770052</v>
      </c>
      <c r="I66">
        <v>356.81041872536287</v>
      </c>
      <c r="J66">
        <v>4.8746453213968541</v>
      </c>
      <c r="K66">
        <v>327.98499597858881</v>
      </c>
      <c r="L66">
        <v>4.438991592683827</v>
      </c>
      <c r="M66">
        <v>370.69315956160801</v>
      </c>
      <c r="N66">
        <v>4.8873340411676267</v>
      </c>
      <c r="O66">
        <v>345.67095365467111</v>
      </c>
      <c r="P66">
        <v>4.4503441658635943</v>
      </c>
    </row>
    <row r="67" spans="4:16" x14ac:dyDescent="0.55000000000000004">
      <c r="D67">
        <v>60</v>
      </c>
      <c r="E67">
        <v>7.384625431106242</v>
      </c>
      <c r="F67">
        <v>2.6153745688937589</v>
      </c>
      <c r="G67">
        <v>6.3263808088414706</v>
      </c>
      <c r="H67">
        <v>3.6736191911585281</v>
      </c>
      <c r="I67">
        <v>361.48875740595764</v>
      </c>
      <c r="J67">
        <v>4.8416921242903115</v>
      </c>
      <c r="K67">
        <v>332.00505120903</v>
      </c>
      <c r="L67">
        <v>4.4088233341546417</v>
      </c>
      <c r="M67">
        <v>359.68605771551142</v>
      </c>
      <c r="N67">
        <v>4.8643782387987402</v>
      </c>
      <c r="O67">
        <v>335.62458851751023</v>
      </c>
      <c r="P67">
        <v>4.4291348718517352</v>
      </c>
    </row>
    <row r="68" spans="4:16" x14ac:dyDescent="0.55000000000000004">
      <c r="D68">
        <v>61</v>
      </c>
      <c r="E68">
        <v>6.505975548427827</v>
      </c>
      <c r="F68">
        <v>3.4940244515721735</v>
      </c>
      <c r="G68">
        <v>6.3950625519980129</v>
      </c>
      <c r="H68">
        <v>3.6049374480019889</v>
      </c>
      <c r="I68">
        <v>337.37668698102357</v>
      </c>
      <c r="J68">
        <v>4.8264560282539719</v>
      </c>
      <c r="K68">
        <v>310.92156109259173</v>
      </c>
      <c r="L68">
        <v>4.3942836617953853</v>
      </c>
      <c r="M68">
        <v>381.62513458121913</v>
      </c>
      <c r="N68">
        <v>4.8294145825515429</v>
      </c>
      <c r="O68">
        <v>355.76206148151488</v>
      </c>
      <c r="P68">
        <v>4.3969376686941466</v>
      </c>
    </row>
    <row r="69" spans="4:16" x14ac:dyDescent="0.55000000000000004">
      <c r="D69">
        <v>62</v>
      </c>
      <c r="E69">
        <v>6.5512579094032253</v>
      </c>
      <c r="F69">
        <v>3.4487420905967747</v>
      </c>
      <c r="G69">
        <v>5.7944123484031209</v>
      </c>
      <c r="H69">
        <v>4.20558765159688</v>
      </c>
      <c r="I69">
        <v>303.37160950385601</v>
      </c>
      <c r="J69">
        <v>4.8432689020976918</v>
      </c>
      <c r="K69">
        <v>279.75558712585109</v>
      </c>
      <c r="L69">
        <v>4.4096889854710453</v>
      </c>
      <c r="M69">
        <v>318.32407219702975</v>
      </c>
      <c r="N69">
        <v>4.861375537091833</v>
      </c>
      <c r="O69">
        <v>298.33119450470485</v>
      </c>
      <c r="P69">
        <v>4.4259237925595549</v>
      </c>
    </row>
    <row r="70" spans="4:16" x14ac:dyDescent="0.55000000000000004">
      <c r="D70">
        <v>63</v>
      </c>
      <c r="E70">
        <v>6.7734804265546487</v>
      </c>
      <c r="F70">
        <v>3.22651957344535</v>
      </c>
      <c r="G70">
        <v>5.9778113906204462</v>
      </c>
      <c r="H70">
        <v>4.0221886093795538</v>
      </c>
      <c r="I70">
        <v>315.6375352468616</v>
      </c>
      <c r="J70">
        <v>4.7211397930857997</v>
      </c>
      <c r="K70">
        <v>290.88825691130427</v>
      </c>
      <c r="L70">
        <v>4.2972246652385024</v>
      </c>
      <c r="M70">
        <v>328.56013964534174</v>
      </c>
      <c r="N70">
        <v>4.7538970195075345</v>
      </c>
      <c r="O70">
        <v>307.71214304970823</v>
      </c>
      <c r="P70">
        <v>4.3265351779087329</v>
      </c>
    </row>
    <row r="71" spans="4:16" x14ac:dyDescent="0.55000000000000004">
      <c r="D71">
        <v>64</v>
      </c>
      <c r="E71">
        <v>7.7866437926339298</v>
      </c>
      <c r="F71">
        <v>2.2133562073660711</v>
      </c>
      <c r="G71">
        <v>5.4779683859120452</v>
      </c>
      <c r="H71">
        <v>4.5220316140879548</v>
      </c>
      <c r="I71">
        <v>381.09765464553499</v>
      </c>
      <c r="J71">
        <v>4.8849974094441295</v>
      </c>
      <c r="K71">
        <v>349.72951169510907</v>
      </c>
      <c r="L71">
        <v>4.4486825915135011</v>
      </c>
      <c r="M71">
        <v>318.10535574625226</v>
      </c>
      <c r="N71">
        <v>4.9190947252577546</v>
      </c>
      <c r="O71">
        <v>298.74042462339872</v>
      </c>
      <c r="P71">
        <v>4.4791577374230744</v>
      </c>
    </row>
    <row r="72" spans="4:16" x14ac:dyDescent="0.55000000000000004">
      <c r="D72">
        <v>65</v>
      </c>
      <c r="E72">
        <v>7.0386623143864515</v>
      </c>
      <c r="F72">
        <v>2.9613376856135476</v>
      </c>
      <c r="G72">
        <v>6.6138804588624795</v>
      </c>
      <c r="H72">
        <v>3.38611954113752</v>
      </c>
      <c r="I72">
        <v>336.01688915431191</v>
      </c>
      <c r="J72">
        <v>4.8844442276448055</v>
      </c>
      <c r="K72">
        <v>309.13874376683236</v>
      </c>
      <c r="L72">
        <v>4.4479069073323121</v>
      </c>
      <c r="M72">
        <v>365.73833745129519</v>
      </c>
      <c r="N72">
        <v>4.8914179952735237</v>
      </c>
      <c r="O72">
        <v>341.0022778410912</v>
      </c>
      <c r="P72">
        <v>4.4541440144405806</v>
      </c>
    </row>
    <row r="73" spans="4:16" x14ac:dyDescent="0.55000000000000004">
      <c r="D73">
        <v>66</v>
      </c>
      <c r="E73">
        <v>6.1732230304436433</v>
      </c>
      <c r="F73">
        <v>3.8267769695563572</v>
      </c>
      <c r="G73">
        <v>5.3499701947342766</v>
      </c>
      <c r="H73">
        <v>4.6500298052657225</v>
      </c>
      <c r="I73">
        <v>307.68116756751397</v>
      </c>
      <c r="J73">
        <v>4.8790744013078138</v>
      </c>
      <c r="K73">
        <v>284.67383982198629</v>
      </c>
      <c r="L73">
        <v>4.4423361174083009</v>
      </c>
      <c r="M73">
        <v>316.64921514247396</v>
      </c>
      <c r="N73">
        <v>4.8952008787641192</v>
      </c>
      <c r="O73">
        <v>297.93110475037474</v>
      </c>
      <c r="P73">
        <v>4.4567768362577826</v>
      </c>
    </row>
    <row r="74" spans="4:16" x14ac:dyDescent="0.55000000000000004">
      <c r="D74">
        <v>67</v>
      </c>
      <c r="E74">
        <v>5.7551859646607522</v>
      </c>
      <c r="F74">
        <v>4.2448140353392461</v>
      </c>
      <c r="G74">
        <v>5.3514109099359084</v>
      </c>
      <c r="H74">
        <v>4.6485890900640916</v>
      </c>
      <c r="I74">
        <v>289.81872675733371</v>
      </c>
      <c r="J74">
        <v>4.8434195921680097</v>
      </c>
      <c r="K74">
        <v>268.40032385349281</v>
      </c>
      <c r="L74">
        <v>4.4092106363313324</v>
      </c>
      <c r="M74">
        <v>319.4854876621439</v>
      </c>
      <c r="N74">
        <v>4.8544050343638689</v>
      </c>
      <c r="O74">
        <v>300.12066950885526</v>
      </c>
      <c r="P74">
        <v>4.4190865879799217</v>
      </c>
    </row>
    <row r="75" spans="4:16" x14ac:dyDescent="0.55000000000000004">
      <c r="D75">
        <v>68</v>
      </c>
      <c r="E75">
        <v>7.0718939657058035</v>
      </c>
      <c r="F75">
        <v>2.928106034294196</v>
      </c>
      <c r="G75">
        <v>5.2060779358885085</v>
      </c>
      <c r="H75">
        <v>4.7939220641114906</v>
      </c>
      <c r="I75">
        <v>355.95575935570218</v>
      </c>
      <c r="J75">
        <v>4.8214446474475121</v>
      </c>
      <c r="K75">
        <v>327.52325489439875</v>
      </c>
      <c r="L75">
        <v>4.3899263465477203</v>
      </c>
      <c r="M75">
        <v>312.04202635399815</v>
      </c>
      <c r="N75">
        <v>4.8685538717398567</v>
      </c>
      <c r="O75">
        <v>293.30309343218818</v>
      </c>
      <c r="P75">
        <v>4.432173059030001</v>
      </c>
    </row>
    <row r="76" spans="4:16" x14ac:dyDescent="0.55000000000000004">
      <c r="D76">
        <v>69</v>
      </c>
      <c r="E76">
        <v>7.0904609105643566</v>
      </c>
      <c r="F76">
        <v>2.9095390894356448</v>
      </c>
      <c r="G76">
        <v>5.7428900890152459</v>
      </c>
      <c r="H76">
        <v>4.257109910984755</v>
      </c>
      <c r="I76">
        <v>353.10771799369667</v>
      </c>
      <c r="J76">
        <v>4.8051228711998828</v>
      </c>
      <c r="K76">
        <v>324.9486527064887</v>
      </c>
      <c r="L76">
        <v>4.374882938787735</v>
      </c>
      <c r="M76">
        <v>335.99816564807588</v>
      </c>
      <c r="N76">
        <v>4.8421600590316398</v>
      </c>
      <c r="O76">
        <v>314.90008418103309</v>
      </c>
      <c r="P76">
        <v>4.4080232300543427</v>
      </c>
    </row>
    <row r="77" spans="4:16" x14ac:dyDescent="0.55000000000000004">
      <c r="D77">
        <v>70</v>
      </c>
      <c r="E77">
        <v>5.6630804598785129</v>
      </c>
      <c r="F77">
        <v>4.3369195401214862</v>
      </c>
      <c r="G77">
        <v>5.8589610097091924</v>
      </c>
      <c r="H77">
        <v>4.1410389902908076</v>
      </c>
      <c r="I77">
        <v>290.78124627372648</v>
      </c>
      <c r="J77">
        <v>4.9003933222419143</v>
      </c>
      <c r="K77">
        <v>269.38170289510845</v>
      </c>
      <c r="L77">
        <v>4.4619430239317408</v>
      </c>
      <c r="M77">
        <v>350.83909214119797</v>
      </c>
      <c r="N77">
        <v>4.8969480222953052</v>
      </c>
      <c r="O77">
        <v>328.41497331507276</v>
      </c>
      <c r="P77">
        <v>4.4588486907608313</v>
      </c>
    </row>
    <row r="78" spans="4:16" x14ac:dyDescent="0.55000000000000004">
      <c r="D78">
        <v>71</v>
      </c>
      <c r="E78">
        <v>7.550421534748855</v>
      </c>
      <c r="F78">
        <v>2.4495784652511432</v>
      </c>
      <c r="G78">
        <v>5.439255374249746</v>
      </c>
      <c r="H78">
        <v>4.5607446257502566</v>
      </c>
      <c r="I78">
        <v>375.91128838307884</v>
      </c>
      <c r="J78">
        <v>4.7559514093973281</v>
      </c>
      <c r="K78">
        <v>345.13677777207187</v>
      </c>
      <c r="L78">
        <v>4.3301501136430094</v>
      </c>
      <c r="M78">
        <v>320.80309174378004</v>
      </c>
      <c r="N78">
        <v>4.824189602937472</v>
      </c>
      <c r="O78">
        <v>300.95686558789384</v>
      </c>
      <c r="P78">
        <v>4.3912934619326984</v>
      </c>
    </row>
    <row r="79" spans="4:16" x14ac:dyDescent="0.55000000000000004">
      <c r="D79">
        <v>72</v>
      </c>
      <c r="E79">
        <v>6.2523466429078169</v>
      </c>
      <c r="F79">
        <v>3.7476533570921831</v>
      </c>
      <c r="G79">
        <v>5.7120768980803387</v>
      </c>
      <c r="H79">
        <v>4.2879231019196613</v>
      </c>
      <c r="I79">
        <v>316.18631967899017</v>
      </c>
      <c r="J79">
        <v>4.7350007204373856</v>
      </c>
      <c r="K79">
        <v>292.11472698501979</v>
      </c>
      <c r="L79">
        <v>4.3093947109897224</v>
      </c>
      <c r="M79">
        <v>338.86443367244902</v>
      </c>
      <c r="N79">
        <v>4.7578994977006666</v>
      </c>
      <c r="O79">
        <v>317.61910763423799</v>
      </c>
      <c r="P79">
        <v>4.32992476265985</v>
      </c>
    </row>
    <row r="80" spans="4:16" x14ac:dyDescent="0.55000000000000004">
      <c r="D80">
        <v>73</v>
      </c>
      <c r="E80">
        <v>5.8049341301950506</v>
      </c>
      <c r="F80">
        <v>4.1950658698049503</v>
      </c>
      <c r="G80">
        <v>5.2794910254445258</v>
      </c>
      <c r="H80">
        <v>4.7205089745554751</v>
      </c>
      <c r="I80">
        <v>301.31165054171407</v>
      </c>
      <c r="J80">
        <v>4.8701141342147256</v>
      </c>
      <c r="K80">
        <v>279.0390369427983</v>
      </c>
      <c r="L80">
        <v>4.4339344696452025</v>
      </c>
      <c r="M80">
        <v>324.0379338022575</v>
      </c>
      <c r="N80">
        <v>4.8818709657395534</v>
      </c>
      <c r="O80">
        <v>304.52956760941254</v>
      </c>
      <c r="P80">
        <v>4.4444997220626954</v>
      </c>
    </row>
    <row r="81" spans="4:16" x14ac:dyDescent="0.55000000000000004">
      <c r="D81">
        <v>74</v>
      </c>
      <c r="E81">
        <v>6.7605012120013361</v>
      </c>
      <c r="F81">
        <v>3.2394987879986625</v>
      </c>
      <c r="G81">
        <v>5.3071471356918174</v>
      </c>
      <c r="H81">
        <v>4.6928528643081817</v>
      </c>
      <c r="I81">
        <v>349.48196078216034</v>
      </c>
      <c r="J81">
        <v>4.8642223604901353</v>
      </c>
      <c r="K81">
        <v>322.21318168001471</v>
      </c>
      <c r="L81">
        <v>4.4290359056485507</v>
      </c>
      <c r="M81">
        <v>324.35128387351216</v>
      </c>
      <c r="N81">
        <v>4.8934114663959285</v>
      </c>
      <c r="O81">
        <v>304.93639931067884</v>
      </c>
      <c r="P81">
        <v>4.4551736859319258</v>
      </c>
    </row>
    <row r="82" spans="4:16" x14ac:dyDescent="0.55000000000000004">
      <c r="D82">
        <v>75</v>
      </c>
      <c r="E82">
        <v>7.9463153736633183</v>
      </c>
      <c r="F82">
        <v>2.0536846263366835</v>
      </c>
      <c r="G82">
        <v>6.5377682592341566</v>
      </c>
      <c r="H82">
        <v>3.4622317407658425</v>
      </c>
      <c r="I82">
        <v>402.40439457665576</v>
      </c>
      <c r="J82">
        <v>4.7526399618735313</v>
      </c>
      <c r="K82">
        <v>368.94627577092507</v>
      </c>
      <c r="L82">
        <v>4.3274261588660448</v>
      </c>
      <c r="M82">
        <v>381.07503975477937</v>
      </c>
      <c r="N82">
        <v>4.7964864808630612</v>
      </c>
      <c r="O82">
        <v>355.27523290432219</v>
      </c>
      <c r="P82">
        <v>4.3665650743532973</v>
      </c>
    </row>
    <row r="83" spans="4:16" x14ac:dyDescent="0.55000000000000004">
      <c r="D83">
        <v>76</v>
      </c>
      <c r="E83">
        <v>5.795787043212199</v>
      </c>
      <c r="F83">
        <v>4.204212956787801</v>
      </c>
      <c r="G83">
        <v>5.7342867288055954</v>
      </c>
      <c r="H83">
        <v>4.2657132711944055</v>
      </c>
      <c r="I83">
        <v>281.55564286182755</v>
      </c>
      <c r="J83">
        <v>4.8885666654815916</v>
      </c>
      <c r="K83">
        <v>260.70190131433071</v>
      </c>
      <c r="L83">
        <v>4.4510394235335289</v>
      </c>
      <c r="M83">
        <v>328.56799676133187</v>
      </c>
      <c r="N83">
        <v>4.8897491080139277</v>
      </c>
      <c r="O83">
        <v>308.01958884823756</v>
      </c>
      <c r="P83">
        <v>4.4521010219418535</v>
      </c>
    </row>
    <row r="84" spans="4:16" x14ac:dyDescent="0.55000000000000004">
      <c r="D84">
        <v>77</v>
      </c>
      <c r="E84">
        <v>7.5698779921246713</v>
      </c>
      <c r="F84">
        <v>2.4301220078753318</v>
      </c>
      <c r="G84">
        <v>7.0794284648732724</v>
      </c>
      <c r="H84">
        <v>2.9205715351267276</v>
      </c>
      <c r="I84">
        <v>391.33571409392505</v>
      </c>
      <c r="J84">
        <v>4.640738965720919</v>
      </c>
      <c r="K84">
        <v>359.08520796322114</v>
      </c>
      <c r="L84">
        <v>4.2245654744043373</v>
      </c>
      <c r="M84">
        <v>415.98122143583606</v>
      </c>
      <c r="N84">
        <v>4.6640153520253378</v>
      </c>
      <c r="O84">
        <v>386.41050656380003</v>
      </c>
      <c r="P84">
        <v>4.2453817106519951</v>
      </c>
    </row>
    <row r="85" spans="4:16" x14ac:dyDescent="0.55000000000000004">
      <c r="D85">
        <v>78</v>
      </c>
      <c r="E85">
        <v>6.8056466794078991</v>
      </c>
      <c r="F85">
        <v>3.1943533205921026</v>
      </c>
      <c r="G85">
        <v>5.6724820703854357</v>
      </c>
      <c r="H85">
        <v>4.3275179296145634</v>
      </c>
      <c r="I85">
        <v>344.6279238229053</v>
      </c>
      <c r="J85">
        <v>4.7178004595639349</v>
      </c>
      <c r="K85">
        <v>317.41358010144484</v>
      </c>
      <c r="L85">
        <v>4.2943043214753889</v>
      </c>
      <c r="M85">
        <v>337.24613705771543</v>
      </c>
      <c r="N85">
        <v>4.7647876963348521</v>
      </c>
      <c r="O85">
        <v>315.96583178054266</v>
      </c>
      <c r="P85">
        <v>4.3364324542499384</v>
      </c>
    </row>
    <row r="86" spans="4:16" x14ac:dyDescent="0.55000000000000004">
      <c r="D86">
        <v>79</v>
      </c>
      <c r="E86">
        <v>6.7082654165399687</v>
      </c>
      <c r="F86">
        <v>3.29173458346003</v>
      </c>
      <c r="G86">
        <v>6.655914202771954</v>
      </c>
      <c r="H86">
        <v>3.3440857972280456</v>
      </c>
      <c r="I86">
        <v>350.80551584308802</v>
      </c>
      <c r="J86">
        <v>4.8607179259188387</v>
      </c>
      <c r="K86">
        <v>323.09286110456605</v>
      </c>
      <c r="L86">
        <v>4.4259401406252952</v>
      </c>
      <c r="M86">
        <v>398.06783428003905</v>
      </c>
      <c r="N86">
        <v>4.8618048813658152</v>
      </c>
      <c r="O86">
        <v>370.64093012510875</v>
      </c>
      <c r="P86">
        <v>4.4269136430843492</v>
      </c>
    </row>
    <row r="87" spans="4:16" x14ac:dyDescent="0.55000000000000004">
      <c r="D87">
        <v>80</v>
      </c>
      <c r="E87">
        <v>6.1903744951444351</v>
      </c>
      <c r="F87">
        <v>3.8096255048555658</v>
      </c>
      <c r="G87">
        <v>6.1555666652736321</v>
      </c>
      <c r="H87">
        <v>3.8444333347263662</v>
      </c>
      <c r="I87">
        <v>324.28839253674209</v>
      </c>
      <c r="J87">
        <v>4.8818288472456199</v>
      </c>
      <c r="K87">
        <v>299.23821113371946</v>
      </c>
      <c r="L87">
        <v>4.4451764894271149</v>
      </c>
      <c r="M87">
        <v>372.46495274237287</v>
      </c>
      <c r="N87">
        <v>4.8824933113073561</v>
      </c>
      <c r="O87">
        <v>347.59990504557038</v>
      </c>
      <c r="P87">
        <v>4.4457734905022583</v>
      </c>
    </row>
    <row r="88" spans="4:16" x14ac:dyDescent="0.55000000000000004">
      <c r="D88">
        <v>81</v>
      </c>
      <c r="E88">
        <v>6.4050137837008716</v>
      </c>
      <c r="F88">
        <v>3.5949862162991275</v>
      </c>
      <c r="G88">
        <v>5.7674456387928572</v>
      </c>
      <c r="H88">
        <v>4.2325543612071428</v>
      </c>
      <c r="I88">
        <v>305.31920165040617</v>
      </c>
      <c r="J88">
        <v>4.9387106650699391</v>
      </c>
      <c r="K88">
        <v>281.73116444962847</v>
      </c>
      <c r="L88">
        <v>4.4976650138908214</v>
      </c>
      <c r="M88">
        <v>324.92710514994116</v>
      </c>
      <c r="N88">
        <v>4.944811530562756</v>
      </c>
      <c r="O88">
        <v>304.46693520501742</v>
      </c>
      <c r="P88">
        <v>4.5031379958348001</v>
      </c>
    </row>
    <row r="89" spans="4:16" x14ac:dyDescent="0.55000000000000004">
      <c r="D89">
        <v>82</v>
      </c>
      <c r="E89">
        <v>5.8740785956682586</v>
      </c>
      <c r="F89">
        <v>4.1259214043317423</v>
      </c>
      <c r="G89">
        <v>5.6917379419548277</v>
      </c>
      <c r="H89">
        <v>4.3082620580451723</v>
      </c>
      <c r="I89">
        <v>318.03437707444232</v>
      </c>
      <c r="J89">
        <v>4.7842768380118876</v>
      </c>
      <c r="K89">
        <v>294.22833787724761</v>
      </c>
      <c r="L89">
        <v>4.3546438279863509</v>
      </c>
      <c r="M89">
        <v>358.16208897433717</v>
      </c>
      <c r="N89">
        <v>4.7909732248132233</v>
      </c>
      <c r="O89">
        <v>335.35840748238479</v>
      </c>
      <c r="P89">
        <v>4.3606603141567941</v>
      </c>
    </row>
    <row r="90" spans="4:16" x14ac:dyDescent="0.55000000000000004">
      <c r="D90">
        <v>83</v>
      </c>
      <c r="E90">
        <v>6.5029799251470974</v>
      </c>
      <c r="F90">
        <v>3.4970200748529034</v>
      </c>
      <c r="G90">
        <v>6.4496725072363832</v>
      </c>
      <c r="H90">
        <v>3.5503274927636186</v>
      </c>
      <c r="I90">
        <v>320.4576543335229</v>
      </c>
      <c r="J90">
        <v>4.9058761218725797</v>
      </c>
      <c r="K90">
        <v>295.65813717462197</v>
      </c>
      <c r="L90">
        <v>4.4673794833409852</v>
      </c>
      <c r="M90">
        <v>367.83074016511443</v>
      </c>
      <c r="N90">
        <v>4.9066476913629486</v>
      </c>
      <c r="O90">
        <v>343.30797915816203</v>
      </c>
      <c r="P90">
        <v>4.4680697648297567</v>
      </c>
    </row>
    <row r="91" spans="4:16" x14ac:dyDescent="0.55000000000000004">
      <c r="D91">
        <v>84</v>
      </c>
      <c r="E91">
        <v>6.7634754222248619</v>
      </c>
      <c r="F91">
        <v>3.236524577775139</v>
      </c>
      <c r="G91">
        <v>5.7453032613125252</v>
      </c>
      <c r="H91">
        <v>4.2546967386874757</v>
      </c>
      <c r="I91">
        <v>330.23068744165107</v>
      </c>
      <c r="J91">
        <v>4.8843968297445457</v>
      </c>
      <c r="K91">
        <v>304.23955417748994</v>
      </c>
      <c r="L91">
        <v>4.4477148120854775</v>
      </c>
      <c r="M91">
        <v>330.51782953324926</v>
      </c>
      <c r="N91">
        <v>4.9017997065673899</v>
      </c>
      <c r="O91">
        <v>309.68440042729196</v>
      </c>
      <c r="P91">
        <v>4.4633121421357078</v>
      </c>
    </row>
    <row r="92" spans="4:16" x14ac:dyDescent="0.55000000000000004">
      <c r="D92">
        <v>85</v>
      </c>
      <c r="E92">
        <v>7.4428437443187683</v>
      </c>
      <c r="F92">
        <v>2.5571562556812326</v>
      </c>
      <c r="G92">
        <v>5.6954554694952169</v>
      </c>
      <c r="H92">
        <v>4.3045445305047867</v>
      </c>
      <c r="I92">
        <v>387.84363671287167</v>
      </c>
      <c r="J92">
        <v>4.8299356707260213</v>
      </c>
      <c r="K92">
        <v>356.20211242474807</v>
      </c>
      <c r="L92">
        <v>4.3980293829600869</v>
      </c>
      <c r="M92">
        <v>346.78792648459955</v>
      </c>
      <c r="N92">
        <v>4.8698624010387359</v>
      </c>
      <c r="O92">
        <v>324.61750520120393</v>
      </c>
      <c r="P92">
        <v>4.4338031592791891</v>
      </c>
    </row>
    <row r="93" spans="4:16" x14ac:dyDescent="0.55000000000000004">
      <c r="D93">
        <v>86</v>
      </c>
      <c r="E93">
        <v>6.6284120889012081</v>
      </c>
      <c r="F93">
        <v>3.3715879110987923</v>
      </c>
      <c r="G93">
        <v>7.1072663372661626</v>
      </c>
      <c r="H93">
        <v>2.8927336627338365</v>
      </c>
      <c r="I93">
        <v>337.51563021871038</v>
      </c>
      <c r="J93">
        <v>4.9859360639637176</v>
      </c>
      <c r="K93">
        <v>311.07601059977418</v>
      </c>
      <c r="L93">
        <v>4.5412570966080583</v>
      </c>
      <c r="M93">
        <v>411.898663628843</v>
      </c>
      <c r="N93">
        <v>4.9849200475438895</v>
      </c>
      <c r="O93">
        <v>382.87574558576961</v>
      </c>
      <c r="P93">
        <v>4.5403487236291458</v>
      </c>
    </row>
    <row r="94" spans="4:16" x14ac:dyDescent="0.55000000000000004">
      <c r="D94">
        <v>87</v>
      </c>
      <c r="E94">
        <v>6.5837792444787819</v>
      </c>
      <c r="F94">
        <v>3.4162207555212198</v>
      </c>
      <c r="G94">
        <v>6.0402899110268589</v>
      </c>
      <c r="H94">
        <v>3.9597100889731411</v>
      </c>
      <c r="I94">
        <v>304.33836377081207</v>
      </c>
      <c r="J94">
        <v>4.8412129071959136</v>
      </c>
      <c r="K94">
        <v>280.55675981933018</v>
      </c>
      <c r="L94">
        <v>4.4078401662200468</v>
      </c>
      <c r="M94">
        <v>329.21530779830846</v>
      </c>
      <c r="N94">
        <v>4.8543207420768031</v>
      </c>
      <c r="O94">
        <v>308.03737822876047</v>
      </c>
      <c r="P94">
        <v>4.4195895463843069</v>
      </c>
    </row>
    <row r="95" spans="4:16" x14ac:dyDescent="0.55000000000000004">
      <c r="D95">
        <v>88</v>
      </c>
      <c r="E95">
        <v>6.8745854236504105</v>
      </c>
      <c r="F95">
        <v>3.12541457634959</v>
      </c>
      <c r="G95">
        <v>6.0456643870480598</v>
      </c>
      <c r="H95">
        <v>3.9543356129519411</v>
      </c>
      <c r="I95">
        <v>341.63631464340455</v>
      </c>
      <c r="J95">
        <v>4.8245098607062999</v>
      </c>
      <c r="K95">
        <v>314.42004986224208</v>
      </c>
      <c r="L95">
        <v>4.3927095042625366</v>
      </c>
      <c r="M95">
        <v>350.4426264973572</v>
      </c>
      <c r="N95">
        <v>4.8456700411698925</v>
      </c>
      <c r="O95">
        <v>327.48047887502776</v>
      </c>
      <c r="P95">
        <v>4.4116844497824896</v>
      </c>
    </row>
    <row r="96" spans="4:16" x14ac:dyDescent="0.55000000000000004">
      <c r="D96">
        <v>89</v>
      </c>
      <c r="E96">
        <v>6.9218719433322198</v>
      </c>
      <c r="F96">
        <v>3.0781280566677811</v>
      </c>
      <c r="G96">
        <v>6.9374015615031963</v>
      </c>
      <c r="H96">
        <v>3.0625984384968055</v>
      </c>
      <c r="I96">
        <v>349.36200295510525</v>
      </c>
      <c r="J96">
        <v>4.8681899958063575</v>
      </c>
      <c r="K96">
        <v>321.53724993909765</v>
      </c>
      <c r="L96">
        <v>4.4329072546296642</v>
      </c>
      <c r="M96">
        <v>400.14581672019023</v>
      </c>
      <c r="N96">
        <v>4.8678942724741425</v>
      </c>
      <c r="O96">
        <v>372.23814624919061</v>
      </c>
      <c r="P96">
        <v>4.432642815037517</v>
      </c>
    </row>
    <row r="97" spans="4:16" x14ac:dyDescent="0.55000000000000004">
      <c r="D97">
        <v>90</v>
      </c>
      <c r="E97">
        <v>6.6752077511900163</v>
      </c>
      <c r="F97">
        <v>3.324792248809981</v>
      </c>
      <c r="G97">
        <v>7.0367689815624379</v>
      </c>
      <c r="H97">
        <v>2.9632310184375616</v>
      </c>
      <c r="I97">
        <v>326.06776387569516</v>
      </c>
      <c r="J97">
        <v>4.7521714018653229</v>
      </c>
      <c r="K97">
        <v>300.60796596961876</v>
      </c>
      <c r="L97">
        <v>4.3257415036266789</v>
      </c>
      <c r="M97">
        <v>393.72915604295213</v>
      </c>
      <c r="N97">
        <v>4.7387478177308715</v>
      </c>
      <c r="O97">
        <v>366.38028631522081</v>
      </c>
      <c r="P97">
        <v>4.3137537131314749</v>
      </c>
    </row>
    <row r="98" spans="4:16" x14ac:dyDescent="0.55000000000000004">
      <c r="D98">
        <v>91</v>
      </c>
      <c r="E98">
        <v>7.1718285704728206</v>
      </c>
      <c r="F98">
        <v>2.8281714295271798</v>
      </c>
      <c r="G98">
        <v>5.968214711266068</v>
      </c>
      <c r="H98">
        <v>4.0317852887339329</v>
      </c>
      <c r="I98">
        <v>367.1082370489147</v>
      </c>
      <c r="J98">
        <v>4.7869549951418611</v>
      </c>
      <c r="K98">
        <v>337.44382878187577</v>
      </c>
      <c r="L98">
        <v>4.3583895489455866</v>
      </c>
      <c r="M98">
        <v>355.49820864413635</v>
      </c>
      <c r="N98">
        <v>4.8227093244544381</v>
      </c>
      <c r="O98">
        <v>332.21149546932543</v>
      </c>
      <c r="P98">
        <v>4.3904426916739823</v>
      </c>
    </row>
    <row r="99" spans="4:16" x14ac:dyDescent="0.55000000000000004">
      <c r="D99">
        <v>92</v>
      </c>
      <c r="E99">
        <v>5.8359230283405479</v>
      </c>
      <c r="F99">
        <v>4.1640769716594512</v>
      </c>
      <c r="G99">
        <v>5.1867375906519122</v>
      </c>
      <c r="H99">
        <v>4.8132624093480878</v>
      </c>
      <c r="I99">
        <v>300.05955546134874</v>
      </c>
      <c r="J99">
        <v>4.9059961702283115</v>
      </c>
      <c r="K99">
        <v>277.59870213570184</v>
      </c>
      <c r="L99">
        <v>4.4672521144561355</v>
      </c>
      <c r="M99">
        <v>316.68106624912497</v>
      </c>
      <c r="N99">
        <v>4.9164531137278038</v>
      </c>
      <c r="O99">
        <v>297.54801362085431</v>
      </c>
      <c r="P99">
        <v>4.4766665115524988</v>
      </c>
    </row>
    <row r="100" spans="4:16" x14ac:dyDescent="0.55000000000000004">
      <c r="D100">
        <v>93</v>
      </c>
      <c r="E100">
        <v>6.2085189921140698</v>
      </c>
      <c r="F100">
        <v>3.7914810078859302</v>
      </c>
      <c r="G100">
        <v>6.5291012256859347</v>
      </c>
      <c r="H100">
        <v>3.4708987743140645</v>
      </c>
      <c r="I100">
        <v>272.41283666969787</v>
      </c>
      <c r="J100">
        <v>4.6964512905046822</v>
      </c>
      <c r="K100">
        <v>251.65406865594932</v>
      </c>
      <c r="L100">
        <v>4.2738020363722224</v>
      </c>
      <c r="M100">
        <v>336.47910847206242</v>
      </c>
      <c r="N100">
        <v>4.6807772910514336</v>
      </c>
      <c r="O100">
        <v>314.24825957125364</v>
      </c>
      <c r="P100">
        <v>4.2597683717101056</v>
      </c>
    </row>
    <row r="101" spans="4:16" x14ac:dyDescent="0.55000000000000004">
      <c r="D101">
        <v>94</v>
      </c>
      <c r="E101">
        <v>6.7778346187428964</v>
      </c>
      <c r="F101">
        <v>3.2221653812571036</v>
      </c>
      <c r="G101">
        <v>5.9695652980752305</v>
      </c>
      <c r="H101">
        <v>4.0304347019247695</v>
      </c>
      <c r="I101">
        <v>326.39839021140756</v>
      </c>
      <c r="J101">
        <v>4.8010011472497585</v>
      </c>
      <c r="K101">
        <v>300.69304692124058</v>
      </c>
      <c r="L101">
        <v>4.3708925235225049</v>
      </c>
      <c r="M101">
        <v>337.47477817849483</v>
      </c>
      <c r="N101">
        <v>4.8247321286875913</v>
      </c>
      <c r="O101">
        <v>315.83036570451924</v>
      </c>
      <c r="P101">
        <v>4.3921476331492144</v>
      </c>
    </row>
    <row r="102" spans="4:16" x14ac:dyDescent="0.55000000000000004">
      <c r="D102">
        <v>95</v>
      </c>
      <c r="E102">
        <v>7.4008047070408676</v>
      </c>
      <c r="F102">
        <v>2.5991952929591342</v>
      </c>
      <c r="G102">
        <v>5.5734925385966969</v>
      </c>
      <c r="H102">
        <v>4.4265074614033031</v>
      </c>
      <c r="I102">
        <v>354.16362499641224</v>
      </c>
      <c r="J102">
        <v>5.0225573410977855</v>
      </c>
      <c r="K102">
        <v>325.55384053620998</v>
      </c>
      <c r="L102">
        <v>4.5749544509748716</v>
      </c>
      <c r="M102">
        <v>316.71806641268824</v>
      </c>
      <c r="N102">
        <v>5.0169877705568258</v>
      </c>
      <c r="O102">
        <v>297.38479930295898</v>
      </c>
      <c r="P102">
        <v>4.5699757191065071</v>
      </c>
    </row>
    <row r="103" spans="4:16" x14ac:dyDescent="0.55000000000000004">
      <c r="D103">
        <v>96</v>
      </c>
      <c r="E103">
        <v>6.7035120197226457</v>
      </c>
      <c r="F103">
        <v>3.2964879802773539</v>
      </c>
      <c r="G103">
        <v>6.5179228466441366</v>
      </c>
      <c r="H103">
        <v>3.4820771533558643</v>
      </c>
      <c r="I103">
        <v>326.44462057506689</v>
      </c>
      <c r="J103">
        <v>4.8561317481406912</v>
      </c>
      <c r="K103">
        <v>300.60774039986046</v>
      </c>
      <c r="L103">
        <v>4.421737706683567</v>
      </c>
      <c r="M103">
        <v>367.4068822954597</v>
      </c>
      <c r="N103">
        <v>4.8601147931201405</v>
      </c>
      <c r="O103">
        <v>342.5069243868378</v>
      </c>
      <c r="P103">
        <v>4.4253078382310695</v>
      </c>
    </row>
    <row r="104" spans="4:16" x14ac:dyDescent="0.55000000000000004">
      <c r="D104">
        <v>97</v>
      </c>
      <c r="E104">
        <v>5.1373536827614101</v>
      </c>
      <c r="F104">
        <v>4.8626463172385899</v>
      </c>
      <c r="G104">
        <v>4.8771242572107401</v>
      </c>
      <c r="H104">
        <v>5.1228757427892599</v>
      </c>
      <c r="I104">
        <v>264.10772842024829</v>
      </c>
      <c r="J104">
        <v>4.8682463771111921</v>
      </c>
      <c r="K104">
        <v>245.46893402194357</v>
      </c>
      <c r="L104">
        <v>4.4317639058214748</v>
      </c>
      <c r="M104">
        <v>300.72951724492759</v>
      </c>
      <c r="N104">
        <v>4.8749202741632143</v>
      </c>
      <c r="O104">
        <v>283.4007900717595</v>
      </c>
      <c r="P104">
        <v>4.4377842585634832</v>
      </c>
    </row>
    <row r="105" spans="4:16" x14ac:dyDescent="0.55000000000000004">
      <c r="D105">
        <v>98</v>
      </c>
      <c r="E105">
        <v>6.3368364790852452</v>
      </c>
      <c r="F105">
        <v>3.6631635209147553</v>
      </c>
      <c r="G105">
        <v>6.8182481328820952</v>
      </c>
      <c r="H105">
        <v>3.1817518671179057</v>
      </c>
      <c r="I105">
        <v>320.69706145422424</v>
      </c>
      <c r="J105">
        <v>4.8116241321777222</v>
      </c>
      <c r="K105">
        <v>296.23824811346401</v>
      </c>
      <c r="L105">
        <v>4.3802104385183815</v>
      </c>
      <c r="M105">
        <v>395.0605278671614</v>
      </c>
      <c r="N105">
        <v>4.7973131525014994</v>
      </c>
      <c r="O105">
        <v>368.00475070728822</v>
      </c>
      <c r="P105">
        <v>4.3674249025456646</v>
      </c>
    </row>
    <row r="106" spans="4:16" x14ac:dyDescent="0.55000000000000004">
      <c r="D106">
        <v>99</v>
      </c>
      <c r="E106">
        <v>7.8468330775048054</v>
      </c>
      <c r="F106">
        <v>2.1531669224951928</v>
      </c>
      <c r="G106">
        <v>6.9660058990872598</v>
      </c>
      <c r="H106">
        <v>3.0339941009127425</v>
      </c>
      <c r="I106">
        <v>401.10195665015306</v>
      </c>
      <c r="J106">
        <v>4.7663296696375301</v>
      </c>
      <c r="K106">
        <v>367.69511512813204</v>
      </c>
      <c r="L106">
        <v>4.3400108439267342</v>
      </c>
      <c r="M106">
        <v>406.07723122981099</v>
      </c>
      <c r="N106">
        <v>4.7925597647268638</v>
      </c>
      <c r="O106">
        <v>377.44056172025319</v>
      </c>
      <c r="P106">
        <v>4.3634619755840598</v>
      </c>
    </row>
    <row r="107" spans="4:16" x14ac:dyDescent="0.55000000000000004">
      <c r="D107">
        <v>100</v>
      </c>
      <c r="E107">
        <v>7.7638475566150058</v>
      </c>
      <c r="F107">
        <v>2.2361524433849933</v>
      </c>
      <c r="G107">
        <v>5.2796137800174083</v>
      </c>
      <c r="H107">
        <v>4.7203862199825908</v>
      </c>
      <c r="I107">
        <v>391.51306561131639</v>
      </c>
      <c r="J107">
        <v>4.8623036337928518</v>
      </c>
      <c r="K107">
        <v>359.38270200070275</v>
      </c>
      <c r="L107">
        <v>4.4278233032318903</v>
      </c>
      <c r="M107">
        <v>316.23884113968649</v>
      </c>
      <c r="N107">
        <v>4.9063629692385993</v>
      </c>
      <c r="O107">
        <v>297.45004442689697</v>
      </c>
      <c r="P107">
        <v>4.4671903679906526</v>
      </c>
    </row>
    <row r="108" spans="4:16" x14ac:dyDescent="0.55000000000000004">
      <c r="D108">
        <v>101</v>
      </c>
      <c r="E108">
        <v>7.4642326150079397</v>
      </c>
      <c r="F108">
        <v>2.5357673849920594</v>
      </c>
      <c r="G108">
        <v>6.5027181215800853</v>
      </c>
      <c r="H108">
        <v>3.4972818784199173</v>
      </c>
      <c r="I108">
        <v>385.67797154767675</v>
      </c>
      <c r="J108">
        <v>4.8517234132008413</v>
      </c>
      <c r="K108">
        <v>353.90044698580311</v>
      </c>
      <c r="L108">
        <v>4.4181598245614611</v>
      </c>
      <c r="M108">
        <v>385.99637953869649</v>
      </c>
      <c r="N108">
        <v>4.8708238478465606</v>
      </c>
      <c r="O108">
        <v>359.34906638043503</v>
      </c>
      <c r="P108">
        <v>4.4352879136427372</v>
      </c>
    </row>
    <row r="109" spans="4:16" x14ac:dyDescent="0.55000000000000004">
      <c r="D109">
        <v>102</v>
      </c>
      <c r="E109">
        <v>6.7473178375495069</v>
      </c>
      <c r="F109">
        <v>3.2526821624504931</v>
      </c>
      <c r="G109">
        <v>7.1616025838499517</v>
      </c>
      <c r="H109">
        <v>2.8383974161500474</v>
      </c>
      <c r="I109">
        <v>322.15648852572161</v>
      </c>
      <c r="J109">
        <v>4.792965669577816</v>
      </c>
      <c r="K109">
        <v>296.57255437177457</v>
      </c>
      <c r="L109">
        <v>4.3636265419870579</v>
      </c>
      <c r="M109">
        <v>391.93686975738336</v>
      </c>
      <c r="N109">
        <v>4.7802537791467605</v>
      </c>
      <c r="O109">
        <v>364.27938857417047</v>
      </c>
      <c r="P109">
        <v>4.352247219534898</v>
      </c>
    </row>
    <row r="110" spans="4:16" x14ac:dyDescent="0.55000000000000004">
      <c r="D110">
        <v>103</v>
      </c>
      <c r="E110">
        <v>7.9731748703189824</v>
      </c>
      <c r="F110">
        <v>2.0268251296810189</v>
      </c>
      <c r="G110">
        <v>5.5611623482553236</v>
      </c>
      <c r="H110">
        <v>4.4388376517446764</v>
      </c>
      <c r="I110">
        <v>395.96699718995239</v>
      </c>
      <c r="J110">
        <v>4.8558543057544163</v>
      </c>
      <c r="K110">
        <v>362.96613247806391</v>
      </c>
      <c r="L110">
        <v>4.4220870832576447</v>
      </c>
      <c r="M110">
        <v>326.1806672674154</v>
      </c>
      <c r="N110">
        <v>4.8994606765134705</v>
      </c>
      <c r="O110">
        <v>305.73948274741832</v>
      </c>
      <c r="P110">
        <v>4.4611212956458983</v>
      </c>
    </row>
    <row r="111" spans="4:16" x14ac:dyDescent="0.55000000000000004">
      <c r="D111">
        <v>104</v>
      </c>
      <c r="E111">
        <v>6.6365140228132757</v>
      </c>
      <c r="F111">
        <v>3.3634859771867269</v>
      </c>
      <c r="G111">
        <v>6.5009018608600968</v>
      </c>
      <c r="H111">
        <v>3.4990981391399041</v>
      </c>
      <c r="I111">
        <v>327.1388651746455</v>
      </c>
      <c r="J111">
        <v>4.7034995223022618</v>
      </c>
      <c r="K111">
        <v>301.64612033566118</v>
      </c>
      <c r="L111">
        <v>4.280824049117852</v>
      </c>
      <c r="M111">
        <v>370.45402903736914</v>
      </c>
      <c r="N111">
        <v>4.7095582860843486</v>
      </c>
      <c r="O111">
        <v>345.66863859734292</v>
      </c>
      <c r="P111">
        <v>4.2862417062033051</v>
      </c>
    </row>
    <row r="112" spans="4:16" x14ac:dyDescent="0.55000000000000004">
      <c r="D112">
        <v>105</v>
      </c>
      <c r="E112">
        <v>5.2081239296685133</v>
      </c>
      <c r="F112">
        <v>4.7918760703314884</v>
      </c>
      <c r="G112">
        <v>6.1589873612703663</v>
      </c>
      <c r="H112">
        <v>3.8410126387296328</v>
      </c>
      <c r="I112">
        <v>255.91059970009638</v>
      </c>
      <c r="J112">
        <v>4.7971093626905326</v>
      </c>
      <c r="K112">
        <v>237.66689460867633</v>
      </c>
      <c r="L112">
        <v>4.3657926284862221</v>
      </c>
      <c r="M112">
        <v>352.63299615228857</v>
      </c>
      <c r="N112">
        <v>4.7600669861577893</v>
      </c>
      <c r="O112">
        <v>329.65216885944824</v>
      </c>
      <c r="P112">
        <v>4.3325059296924433</v>
      </c>
    </row>
    <row r="113" spans="4:16" x14ac:dyDescent="0.55000000000000004">
      <c r="D113">
        <v>106</v>
      </c>
      <c r="E113">
        <v>6.7854142049109294</v>
      </c>
      <c r="F113">
        <v>3.2145857950890724</v>
      </c>
      <c r="G113">
        <v>7.2720916682322461</v>
      </c>
      <c r="H113">
        <v>2.7279083317677522</v>
      </c>
      <c r="I113">
        <v>358.37244669652949</v>
      </c>
      <c r="J113">
        <v>4.7712268968509752</v>
      </c>
      <c r="K113">
        <v>329.94479288176154</v>
      </c>
      <c r="L113">
        <v>4.3435934900692219</v>
      </c>
      <c r="M113">
        <v>434.0763739757648</v>
      </c>
      <c r="N113">
        <v>4.75481836081258</v>
      </c>
      <c r="O113">
        <v>402.9325335227112</v>
      </c>
      <c r="P113">
        <v>4.3289188776393521</v>
      </c>
    </row>
    <row r="114" spans="4:16" x14ac:dyDescent="0.55000000000000004">
      <c r="D114">
        <v>107</v>
      </c>
      <c r="E114">
        <v>7.2909014120144384</v>
      </c>
      <c r="F114">
        <v>2.7090985879855647</v>
      </c>
      <c r="G114">
        <v>6.2453659717374226</v>
      </c>
      <c r="H114">
        <v>3.7546340282625748</v>
      </c>
      <c r="I114">
        <v>359.65011173258267</v>
      </c>
      <c r="J114">
        <v>4.8761950846244737</v>
      </c>
      <c r="K114">
        <v>330.58552512615495</v>
      </c>
      <c r="L114">
        <v>4.440419514296174</v>
      </c>
      <c r="M114">
        <v>358.07529036737242</v>
      </c>
      <c r="N114">
        <v>4.8939490521232383</v>
      </c>
      <c r="O114">
        <v>334.46340211619236</v>
      </c>
      <c r="P114">
        <v>4.4562964606668558</v>
      </c>
    </row>
    <row r="115" spans="4:16" x14ac:dyDescent="0.55000000000000004">
      <c r="D115">
        <v>108</v>
      </c>
      <c r="E115">
        <v>8.3128666744868411</v>
      </c>
      <c r="F115">
        <v>1.6871333255131622</v>
      </c>
      <c r="G115">
        <v>5.2825323889992211</v>
      </c>
      <c r="H115">
        <v>4.717467611000778</v>
      </c>
      <c r="I115">
        <v>390.88642785177444</v>
      </c>
      <c r="J115">
        <v>4.6915103927973449</v>
      </c>
      <c r="K115">
        <v>357.96072545728646</v>
      </c>
      <c r="L115">
        <v>4.271714849174197</v>
      </c>
      <c r="M115">
        <v>298.39448248154076</v>
      </c>
      <c r="N115">
        <v>4.8039657791313877</v>
      </c>
      <c r="O115">
        <v>280.58402101128291</v>
      </c>
      <c r="P115">
        <v>4.3722412085499087</v>
      </c>
    </row>
    <row r="116" spans="4:16" x14ac:dyDescent="0.55000000000000004">
      <c r="D116">
        <v>109</v>
      </c>
      <c r="E116">
        <v>6.1175150535230047</v>
      </c>
      <c r="F116">
        <v>3.8824849464769962</v>
      </c>
      <c r="G116">
        <v>6.65396412230879</v>
      </c>
      <c r="H116">
        <v>3.3460358776912105</v>
      </c>
      <c r="I116">
        <v>298.83205877285343</v>
      </c>
      <c r="J116">
        <v>4.8933433838691878</v>
      </c>
      <c r="K116">
        <v>275.97115117951722</v>
      </c>
      <c r="L116">
        <v>4.4557220264009301</v>
      </c>
      <c r="M116">
        <v>375.03684588812456</v>
      </c>
      <c r="N116">
        <v>4.8839905924330207</v>
      </c>
      <c r="O116">
        <v>349.46712893943936</v>
      </c>
      <c r="P116">
        <v>4.4473360403362197</v>
      </c>
    </row>
    <row r="117" spans="4:16" x14ac:dyDescent="0.55000000000000004">
      <c r="D117">
        <v>110</v>
      </c>
      <c r="E117">
        <v>6.611820438589489</v>
      </c>
      <c r="F117">
        <v>3.3881795614105101</v>
      </c>
      <c r="G117">
        <v>6.8488973460689104</v>
      </c>
      <c r="H117">
        <v>3.1511026539310882</v>
      </c>
      <c r="I117">
        <v>326.43812266480785</v>
      </c>
      <c r="J117">
        <v>4.810384321274082</v>
      </c>
      <c r="K117">
        <v>300.71642465400964</v>
      </c>
      <c r="L117">
        <v>4.3795444125937211</v>
      </c>
      <c r="M117">
        <v>388.14305950082252</v>
      </c>
      <c r="N117">
        <v>4.8035853618740978</v>
      </c>
      <c r="O117">
        <v>361.20177843821875</v>
      </c>
      <c r="P117">
        <v>4.3734538633090843</v>
      </c>
    </row>
    <row r="118" spans="4:16" x14ac:dyDescent="0.55000000000000004">
      <c r="D118">
        <v>111</v>
      </c>
      <c r="E118">
        <v>7.4057173739341096</v>
      </c>
      <c r="F118">
        <v>2.5942826260658927</v>
      </c>
      <c r="G118">
        <v>5.7250396280040112</v>
      </c>
      <c r="H118">
        <v>4.2749603719959879</v>
      </c>
      <c r="I118">
        <v>362.25514439809405</v>
      </c>
      <c r="J118">
        <v>4.9090226199632045</v>
      </c>
      <c r="K118">
        <v>332.52346320970315</v>
      </c>
      <c r="L118">
        <v>4.4707088058654314</v>
      </c>
      <c r="M118">
        <v>330.0437759651744</v>
      </c>
      <c r="N118">
        <v>4.9296693244335952</v>
      </c>
      <c r="O118">
        <v>308.68564168630729</v>
      </c>
      <c r="P118">
        <v>4.4892525633626086</v>
      </c>
    </row>
    <row r="119" spans="4:16" x14ac:dyDescent="0.55000000000000004">
      <c r="D119">
        <v>112</v>
      </c>
      <c r="E119">
        <v>7.7407537124634906</v>
      </c>
      <c r="F119">
        <v>2.2592462875365111</v>
      </c>
      <c r="G119">
        <v>5.6284270788144015</v>
      </c>
      <c r="H119">
        <v>4.3715729211855976</v>
      </c>
      <c r="I119">
        <v>395.27173410122106</v>
      </c>
      <c r="J119">
        <v>4.6998393931651483</v>
      </c>
      <c r="K119">
        <v>362.52440485602142</v>
      </c>
      <c r="L119">
        <v>4.2789263105899655</v>
      </c>
      <c r="M119">
        <v>337.40846361293285</v>
      </c>
      <c r="N119">
        <v>4.7817483735747235</v>
      </c>
      <c r="O119">
        <v>315.81281847165667</v>
      </c>
      <c r="P119">
        <v>4.3523669488969228</v>
      </c>
    </row>
    <row r="120" spans="4:16" x14ac:dyDescent="0.55000000000000004">
      <c r="D120">
        <v>113</v>
      </c>
      <c r="E120">
        <v>6.8225691858716955</v>
      </c>
      <c r="F120">
        <v>3.1774308141283027</v>
      </c>
      <c r="G120">
        <v>5.8826932578166371</v>
      </c>
      <c r="H120">
        <v>4.117306742183362</v>
      </c>
      <c r="I120">
        <v>342.41133784917361</v>
      </c>
      <c r="J120">
        <v>4.7832653598193939</v>
      </c>
      <c r="K120">
        <v>315.43626296733282</v>
      </c>
      <c r="L120">
        <v>4.3545589779577991</v>
      </c>
      <c r="M120">
        <v>345.24081232280651</v>
      </c>
      <c r="N120">
        <v>4.8131226856349025</v>
      </c>
      <c r="O120">
        <v>323.20221402694744</v>
      </c>
      <c r="P120">
        <v>4.3812916832997493</v>
      </c>
    </row>
    <row r="121" spans="4:16" x14ac:dyDescent="0.55000000000000004">
      <c r="D121">
        <v>114</v>
      </c>
      <c r="E121">
        <v>5.9349617904538983</v>
      </c>
      <c r="F121">
        <v>4.0650382095461008</v>
      </c>
      <c r="G121">
        <v>6.0261527939340489</v>
      </c>
      <c r="H121">
        <v>3.9738472060659524</v>
      </c>
      <c r="I121">
        <v>307.7978460377787</v>
      </c>
      <c r="J121">
        <v>4.9165280275547731</v>
      </c>
      <c r="K121">
        <v>284.86576596606125</v>
      </c>
      <c r="L121">
        <v>4.4769663191571105</v>
      </c>
      <c r="M121">
        <v>362.52717630817068</v>
      </c>
      <c r="N121">
        <v>4.9152454762598374</v>
      </c>
      <c r="O121">
        <v>339.10460510845479</v>
      </c>
      <c r="P121">
        <v>4.4758167845887309</v>
      </c>
    </row>
    <row r="122" spans="4:16" x14ac:dyDescent="0.55000000000000004">
      <c r="D122">
        <v>115</v>
      </c>
      <c r="E122">
        <v>7.1809609731996655</v>
      </c>
      <c r="F122">
        <v>2.8190390268003327</v>
      </c>
      <c r="G122">
        <v>5.6749526319291999</v>
      </c>
      <c r="H122">
        <v>4.3250473680708001</v>
      </c>
      <c r="I122">
        <v>325.66223605417292</v>
      </c>
      <c r="J122">
        <v>4.8036025988649707</v>
      </c>
      <c r="K122">
        <v>299.24931214559541</v>
      </c>
      <c r="L122">
        <v>4.3737507836576741</v>
      </c>
      <c r="M122">
        <v>307.36357160455356</v>
      </c>
      <c r="N122">
        <v>4.8447915324098103</v>
      </c>
      <c r="O122">
        <v>287.91786892532383</v>
      </c>
      <c r="P122">
        <v>4.4107379891816159</v>
      </c>
    </row>
    <row r="123" spans="4:16" x14ac:dyDescent="0.55000000000000004">
      <c r="D123">
        <v>116</v>
      </c>
      <c r="E123">
        <v>5.3635141264808492</v>
      </c>
      <c r="F123">
        <v>4.6364858735191508</v>
      </c>
      <c r="G123">
        <v>5.3939945218728234</v>
      </c>
      <c r="H123">
        <v>4.6060054781271766</v>
      </c>
      <c r="I123">
        <v>264.53207790932549</v>
      </c>
      <c r="J123">
        <v>4.8124865819569527</v>
      </c>
      <c r="K123">
        <v>245.22944306660827</v>
      </c>
      <c r="L123">
        <v>4.3803885644073572</v>
      </c>
      <c r="M123">
        <v>316.03539124800534</v>
      </c>
      <c r="N123">
        <v>4.8114209591230273</v>
      </c>
      <c r="O123">
        <v>296.58476229576667</v>
      </c>
      <c r="P123">
        <v>4.3794278471166317</v>
      </c>
    </row>
    <row r="124" spans="4:16" x14ac:dyDescent="0.55000000000000004">
      <c r="D124">
        <v>117</v>
      </c>
      <c r="E124">
        <v>7.7692804829621744</v>
      </c>
      <c r="F124">
        <v>2.2307195170378264</v>
      </c>
      <c r="G124">
        <v>5.9441613847357386</v>
      </c>
      <c r="H124">
        <v>4.0558386152642605</v>
      </c>
      <c r="I124">
        <v>384.88724107355853</v>
      </c>
      <c r="J124">
        <v>4.8749671306317639</v>
      </c>
      <c r="K124">
        <v>353.29343574510176</v>
      </c>
      <c r="L124">
        <v>4.4394498832630926</v>
      </c>
      <c r="M124">
        <v>344.47152550150258</v>
      </c>
      <c r="N124">
        <v>4.9043392041835485</v>
      </c>
      <c r="O124">
        <v>322.63634889829575</v>
      </c>
      <c r="P124">
        <v>4.4656518092485049</v>
      </c>
    </row>
    <row r="125" spans="4:16" x14ac:dyDescent="0.55000000000000004">
      <c r="D125">
        <v>118</v>
      </c>
      <c r="E125">
        <v>5.9450016327815183</v>
      </c>
      <c r="F125">
        <v>4.0549983672184826</v>
      </c>
      <c r="G125">
        <v>5.652825795295338</v>
      </c>
      <c r="H125">
        <v>4.3471742047046611</v>
      </c>
      <c r="I125">
        <v>287.38070273692239</v>
      </c>
      <c r="J125">
        <v>4.8641708917874498</v>
      </c>
      <c r="K125">
        <v>265.78143853710407</v>
      </c>
      <c r="L125">
        <v>4.428599000572226</v>
      </c>
      <c r="M125">
        <v>323.25695598527659</v>
      </c>
      <c r="N125">
        <v>4.8708464128214839</v>
      </c>
      <c r="O125">
        <v>303.09339183482496</v>
      </c>
      <c r="P125">
        <v>4.4345959448768237</v>
      </c>
    </row>
    <row r="126" spans="4:16" x14ac:dyDescent="0.55000000000000004">
      <c r="D126">
        <v>119</v>
      </c>
      <c r="E126">
        <v>6.8512849201057415</v>
      </c>
      <c r="F126">
        <v>3.1487150798942567</v>
      </c>
      <c r="G126">
        <v>5.4622957309229268</v>
      </c>
      <c r="H126">
        <v>4.5377042690770732</v>
      </c>
      <c r="I126">
        <v>350.58853796242681</v>
      </c>
      <c r="J126">
        <v>4.8766449730771315</v>
      </c>
      <c r="K126">
        <v>322.95006470682597</v>
      </c>
      <c r="L126">
        <v>4.440588925705681</v>
      </c>
      <c r="M126">
        <v>329.51228076982636</v>
      </c>
      <c r="N126">
        <v>4.901653245368423</v>
      </c>
      <c r="O126">
        <v>309.25792803672289</v>
      </c>
      <c r="P126">
        <v>4.4629990857165529</v>
      </c>
    </row>
    <row r="127" spans="4:16" x14ac:dyDescent="0.55000000000000004">
      <c r="D127">
        <v>120</v>
      </c>
      <c r="E127">
        <v>7.1629405654115281</v>
      </c>
      <c r="F127">
        <v>2.8370594345884741</v>
      </c>
      <c r="G127">
        <v>6.7289017431676692</v>
      </c>
      <c r="H127">
        <v>3.2710982568323299</v>
      </c>
      <c r="I127">
        <v>356.93717859743799</v>
      </c>
      <c r="J127">
        <v>4.9850991943088898</v>
      </c>
      <c r="K127">
        <v>327.93854674198104</v>
      </c>
      <c r="L127">
        <v>4.5405291001756325</v>
      </c>
      <c r="M127">
        <v>385.30854840028422</v>
      </c>
      <c r="N127">
        <v>4.9860021095423175</v>
      </c>
      <c r="O127">
        <v>358.55408798211181</v>
      </c>
      <c r="P127">
        <v>4.5413383295603182</v>
      </c>
    </row>
    <row r="128" spans="4:16" x14ac:dyDescent="0.55000000000000004">
      <c r="D128">
        <v>121</v>
      </c>
      <c r="E128">
        <v>7.5156677442923936</v>
      </c>
      <c r="F128">
        <v>2.484332255707606</v>
      </c>
      <c r="G128">
        <v>5.7911262087567357</v>
      </c>
      <c r="H128">
        <v>4.2088737912432643</v>
      </c>
      <c r="I128">
        <v>365.07098855295061</v>
      </c>
      <c r="J128">
        <v>4.864307950809442</v>
      </c>
      <c r="K128">
        <v>335.36569939897362</v>
      </c>
      <c r="L128">
        <v>4.4295683335382794</v>
      </c>
      <c r="M128">
        <v>331.30197366312296</v>
      </c>
      <c r="N128">
        <v>4.8954437836898634</v>
      </c>
      <c r="O128">
        <v>310.49254338426272</v>
      </c>
      <c r="P128">
        <v>4.4573976935465085</v>
      </c>
    </row>
    <row r="129" spans="4:16" x14ac:dyDescent="0.55000000000000004">
      <c r="D129">
        <v>122</v>
      </c>
      <c r="E129">
        <v>5.8709858756114155</v>
      </c>
      <c r="F129">
        <v>4.1290141243885845</v>
      </c>
      <c r="G129">
        <v>6.010340185675358</v>
      </c>
      <c r="H129">
        <v>3.989659814324642</v>
      </c>
      <c r="I129">
        <v>300.44144667357034</v>
      </c>
      <c r="J129">
        <v>4.8515993700967153</v>
      </c>
      <c r="K129">
        <v>277.91758564428409</v>
      </c>
      <c r="L129">
        <v>4.4169441699762073</v>
      </c>
      <c r="M129">
        <v>357.57275500965932</v>
      </c>
      <c r="N129">
        <v>4.8480769178491068</v>
      </c>
      <c r="O129">
        <v>334.32075856526166</v>
      </c>
      <c r="P129">
        <v>4.4137813743454011</v>
      </c>
    </row>
    <row r="130" spans="4:16" x14ac:dyDescent="0.55000000000000004">
      <c r="D130">
        <v>123</v>
      </c>
      <c r="E130">
        <v>6.7292307864168297</v>
      </c>
      <c r="F130">
        <v>3.2707692135831712</v>
      </c>
      <c r="G130">
        <v>6.1872409046377506</v>
      </c>
      <c r="H130">
        <v>3.812759095362249</v>
      </c>
      <c r="I130">
        <v>321.3319020714107</v>
      </c>
      <c r="J130">
        <v>4.7760083151883892</v>
      </c>
      <c r="K130">
        <v>296.22283031935655</v>
      </c>
      <c r="L130">
        <v>4.3477304830606318</v>
      </c>
      <c r="M130">
        <v>345.45098861439635</v>
      </c>
      <c r="N130">
        <v>4.7940491924630377</v>
      </c>
      <c r="O130">
        <v>323.08025273667511</v>
      </c>
      <c r="P130">
        <v>4.3638625412540817</v>
      </c>
    </row>
    <row r="131" spans="4:16" x14ac:dyDescent="0.55000000000000004">
      <c r="D131">
        <v>124</v>
      </c>
      <c r="E131">
        <v>6.8830789369244787</v>
      </c>
      <c r="F131">
        <v>3.1169210630755235</v>
      </c>
      <c r="G131">
        <v>6.1615951831856233</v>
      </c>
      <c r="H131">
        <v>3.8384048168143741</v>
      </c>
      <c r="I131">
        <v>321.96876866119953</v>
      </c>
      <c r="J131">
        <v>4.7998593181839233</v>
      </c>
      <c r="K131">
        <v>295.94578006961405</v>
      </c>
      <c r="L131">
        <v>4.3702549238968142</v>
      </c>
      <c r="M131">
        <v>338.22002948080097</v>
      </c>
      <c r="N131">
        <v>4.8208380475746138</v>
      </c>
      <c r="O131">
        <v>315.59415175807777</v>
      </c>
      <c r="P131">
        <v>4.3891219575217137</v>
      </c>
    </row>
    <row r="132" spans="4:16" x14ac:dyDescent="0.55000000000000004">
      <c r="D132">
        <v>125</v>
      </c>
      <c r="E132">
        <v>6.5057348237817649</v>
      </c>
      <c r="F132">
        <v>3.4942651762182342</v>
      </c>
      <c r="G132">
        <v>5.8926760011321839</v>
      </c>
      <c r="H132">
        <v>4.1073239988678161</v>
      </c>
      <c r="I132">
        <v>322.39348961610858</v>
      </c>
      <c r="J132">
        <v>4.8685158911827191</v>
      </c>
      <c r="K132">
        <v>297.42249869712487</v>
      </c>
      <c r="L132">
        <v>4.4329193144789887</v>
      </c>
      <c r="M132">
        <v>342.01318999930822</v>
      </c>
      <c r="N132">
        <v>4.8809061122925606</v>
      </c>
      <c r="O132">
        <v>320.20145036169208</v>
      </c>
      <c r="P132">
        <v>4.4440210748951765</v>
      </c>
    </row>
    <row r="133" spans="4:16" x14ac:dyDescent="0.55000000000000004">
      <c r="D133">
        <v>126</v>
      </c>
      <c r="E133">
        <v>7.5585904041524588</v>
      </c>
      <c r="F133">
        <v>2.4414095958475404</v>
      </c>
      <c r="G133">
        <v>6.1230700016470943</v>
      </c>
      <c r="H133">
        <v>3.8769299983529057</v>
      </c>
      <c r="I133">
        <v>357.09760279297979</v>
      </c>
      <c r="J133">
        <v>4.818671549762052</v>
      </c>
      <c r="K133">
        <v>327.84246610270174</v>
      </c>
      <c r="L133">
        <v>4.3877461605320054</v>
      </c>
      <c r="M133">
        <v>339.2779608907727</v>
      </c>
      <c r="N133">
        <v>4.8531092790148849</v>
      </c>
      <c r="O133">
        <v>317.17244246122539</v>
      </c>
      <c r="P133">
        <v>4.4185534280038814</v>
      </c>
    </row>
    <row r="134" spans="4:16" x14ac:dyDescent="0.55000000000000004">
      <c r="D134">
        <v>127</v>
      </c>
      <c r="E134">
        <v>8.0724102218573197</v>
      </c>
      <c r="F134">
        <v>1.9275897781426825</v>
      </c>
      <c r="G134">
        <v>6.7092132052317481</v>
      </c>
      <c r="H134">
        <v>3.2907867947682501</v>
      </c>
      <c r="I134">
        <v>382.03106257427419</v>
      </c>
      <c r="J134">
        <v>4.6108436850850172</v>
      </c>
      <c r="K134">
        <v>349.85768491395169</v>
      </c>
      <c r="L134">
        <v>4.1978364480041037</v>
      </c>
      <c r="M134">
        <v>367.51704625862106</v>
      </c>
      <c r="N134">
        <v>4.6765609507978869</v>
      </c>
      <c r="O134">
        <v>342.09729305696936</v>
      </c>
      <c r="P134">
        <v>4.2566741275677593</v>
      </c>
    </row>
    <row r="135" spans="4:16" x14ac:dyDescent="0.55000000000000004">
      <c r="D135">
        <v>128</v>
      </c>
      <c r="E135">
        <v>6.8791878407171501</v>
      </c>
      <c r="F135">
        <v>3.1208121592828517</v>
      </c>
      <c r="G135">
        <v>7.2871194591651403</v>
      </c>
      <c r="H135">
        <v>2.7128805408348602</v>
      </c>
      <c r="I135">
        <v>336.56894291855446</v>
      </c>
      <c r="J135">
        <v>4.6886403222793183</v>
      </c>
      <c r="K135">
        <v>309.78089669782963</v>
      </c>
      <c r="L135">
        <v>4.2676412441815126</v>
      </c>
      <c r="M135">
        <v>406.5272747424724</v>
      </c>
      <c r="N135">
        <v>4.6701768844152918</v>
      </c>
      <c r="O135">
        <v>377.62185093776759</v>
      </c>
      <c r="P135">
        <v>4.2511365907390202</v>
      </c>
    </row>
    <row r="136" spans="4:16" x14ac:dyDescent="0.55000000000000004">
      <c r="D136">
        <v>129</v>
      </c>
      <c r="E136">
        <v>6.78986248434851</v>
      </c>
      <c r="F136">
        <v>3.2101375156514891</v>
      </c>
      <c r="G136">
        <v>6.120902038644167</v>
      </c>
      <c r="H136">
        <v>3.8790979613558325</v>
      </c>
      <c r="I136">
        <v>337.16770540112657</v>
      </c>
      <c r="J136">
        <v>4.7709622325421002</v>
      </c>
      <c r="K136">
        <v>310.82341393070425</v>
      </c>
      <c r="L136">
        <v>4.3430772101783361</v>
      </c>
      <c r="M136">
        <v>353.94879132117671</v>
      </c>
      <c r="N136">
        <v>4.7935278157707657</v>
      </c>
      <c r="O136">
        <v>331.14257430558041</v>
      </c>
      <c r="P136">
        <v>4.3632393821038091</v>
      </c>
    </row>
    <row r="137" spans="4:16" x14ac:dyDescent="0.55000000000000004">
      <c r="D137">
        <v>130</v>
      </c>
      <c r="E137">
        <v>5.7453532201530138</v>
      </c>
      <c r="F137">
        <v>4.2546467798469871</v>
      </c>
      <c r="G137">
        <v>6.3376728936500406</v>
      </c>
      <c r="H137">
        <v>3.6623271063499576</v>
      </c>
      <c r="I137">
        <v>278.72825588469254</v>
      </c>
      <c r="J137">
        <v>4.8194740184273632</v>
      </c>
      <c r="K137">
        <v>258.14473781750996</v>
      </c>
      <c r="L137">
        <v>4.3870248174667665</v>
      </c>
      <c r="M137">
        <v>357.46386589747777</v>
      </c>
      <c r="N137">
        <v>4.8008626143299145</v>
      </c>
      <c r="O137">
        <v>333.90638413184666</v>
      </c>
      <c r="P137">
        <v>4.3703395823331341</v>
      </c>
    </row>
    <row r="138" spans="4:16" x14ac:dyDescent="0.55000000000000004">
      <c r="D138">
        <v>131</v>
      </c>
      <c r="E138">
        <v>7.115415558199091</v>
      </c>
      <c r="F138">
        <v>2.884584441800909</v>
      </c>
      <c r="G138">
        <v>6.4569782432380025</v>
      </c>
      <c r="H138">
        <v>3.5430217567619984</v>
      </c>
      <c r="I138">
        <v>329.71548194457677</v>
      </c>
      <c r="J138">
        <v>4.760051477400344</v>
      </c>
      <c r="K138">
        <v>302.95446823143021</v>
      </c>
      <c r="L138">
        <v>4.3337459696957517</v>
      </c>
      <c r="M138">
        <v>349.20468818179677</v>
      </c>
      <c r="N138">
        <v>4.7822555299475411</v>
      </c>
      <c r="O138">
        <v>325.58229545609629</v>
      </c>
      <c r="P138">
        <v>4.3536659090903118</v>
      </c>
    </row>
    <row r="139" spans="4:16" x14ac:dyDescent="0.55000000000000004">
      <c r="D139">
        <v>132</v>
      </c>
      <c r="E139">
        <v>7.4399191474904232</v>
      </c>
      <c r="F139">
        <v>2.5600808525095791</v>
      </c>
      <c r="G139">
        <v>6.7740780460085404</v>
      </c>
      <c r="H139">
        <v>3.2259219539914583</v>
      </c>
      <c r="I139">
        <v>383.59145086960137</v>
      </c>
      <c r="J139">
        <v>4.9185146218849054</v>
      </c>
      <c r="K139">
        <v>352.24795232969478</v>
      </c>
      <c r="L139">
        <v>4.4793921636952927</v>
      </c>
      <c r="M139">
        <v>399.26164847488025</v>
      </c>
      <c r="N139">
        <v>4.9258072164471889</v>
      </c>
      <c r="O139">
        <v>371.55099227324223</v>
      </c>
      <c r="P139">
        <v>4.4859130425926539</v>
      </c>
    </row>
    <row r="140" spans="4:16" x14ac:dyDescent="0.55000000000000004">
      <c r="D140">
        <v>133</v>
      </c>
      <c r="E140">
        <v>6.7440201060606073</v>
      </c>
      <c r="F140">
        <v>3.2559798939393936</v>
      </c>
      <c r="G140">
        <v>6.2294501011835068</v>
      </c>
      <c r="H140">
        <v>3.7705498988164909</v>
      </c>
      <c r="I140">
        <v>341.87079009899475</v>
      </c>
      <c r="J140">
        <v>4.9382008269791902</v>
      </c>
      <c r="K140">
        <v>314.9915512963442</v>
      </c>
      <c r="L140">
        <v>4.4972790436658849</v>
      </c>
      <c r="M140">
        <v>365.785984395274</v>
      </c>
      <c r="N140">
        <v>4.9429161155255787</v>
      </c>
      <c r="O140">
        <v>341.64108431015688</v>
      </c>
      <c r="P140">
        <v>4.5015000522784616</v>
      </c>
    </row>
    <row r="141" spans="4:16" x14ac:dyDescent="0.55000000000000004">
      <c r="D141">
        <v>134</v>
      </c>
      <c r="E141">
        <v>7.5490290712924377</v>
      </c>
      <c r="F141">
        <v>2.4509709287075627</v>
      </c>
      <c r="G141">
        <v>6.256267374961606</v>
      </c>
      <c r="H141">
        <v>3.7437326250383944</v>
      </c>
      <c r="I141">
        <v>379.01447925285606</v>
      </c>
      <c r="J141">
        <v>4.7966820717594194</v>
      </c>
      <c r="K141">
        <v>348.26174662421892</v>
      </c>
      <c r="L141">
        <v>4.3673983393984539</v>
      </c>
      <c r="M141">
        <v>364.1087282608305</v>
      </c>
      <c r="N141">
        <v>4.8315000102419052</v>
      </c>
      <c r="O141">
        <v>340.40534786825691</v>
      </c>
      <c r="P141">
        <v>4.3984347345085073</v>
      </c>
    </row>
    <row r="142" spans="4:16" x14ac:dyDescent="0.55000000000000004">
      <c r="D142">
        <v>135</v>
      </c>
      <c r="E142">
        <v>5.4000670870441096</v>
      </c>
      <c r="F142">
        <v>4.5999329129558904</v>
      </c>
      <c r="G142">
        <v>5.4198954606273446</v>
      </c>
      <c r="H142">
        <v>4.5801045393726554</v>
      </c>
      <c r="I142">
        <v>272.27572766378131</v>
      </c>
      <c r="J142">
        <v>4.9514041676501037</v>
      </c>
      <c r="K142">
        <v>252.90933119510029</v>
      </c>
      <c r="L142">
        <v>4.5090800067439885</v>
      </c>
      <c r="M142">
        <v>323.2754902146425</v>
      </c>
      <c r="N142">
        <v>4.9512257298079643</v>
      </c>
      <c r="O142">
        <v>303.80734757129858</v>
      </c>
      <c r="P142">
        <v>4.5089197285817022</v>
      </c>
    </row>
    <row r="143" spans="4:16" x14ac:dyDescent="0.55000000000000004">
      <c r="D143">
        <v>136</v>
      </c>
      <c r="E143">
        <v>7.1633663149990063</v>
      </c>
      <c r="F143">
        <v>2.8366336850009928</v>
      </c>
      <c r="G143">
        <v>7.3400155447884812</v>
      </c>
      <c r="H143">
        <v>2.659984455211521</v>
      </c>
      <c r="I143">
        <v>361.92390360365965</v>
      </c>
      <c r="J143">
        <v>4.7010167605995798</v>
      </c>
      <c r="K143">
        <v>332.98319446566478</v>
      </c>
      <c r="L143">
        <v>4.2791438330562572</v>
      </c>
      <c r="M143">
        <v>420.84897821280242</v>
      </c>
      <c r="N143">
        <v>4.6936438081862093</v>
      </c>
      <c r="O143">
        <v>390.93821850651841</v>
      </c>
      <c r="P143">
        <v>4.2725722337958585</v>
      </c>
    </row>
    <row r="144" spans="4:16" x14ac:dyDescent="0.55000000000000004">
      <c r="D144">
        <v>137</v>
      </c>
      <c r="E144">
        <v>6.1918223641532935</v>
      </c>
      <c r="F144">
        <v>3.808177635846707</v>
      </c>
      <c r="G144">
        <v>6.0072945924416743</v>
      </c>
      <c r="H144">
        <v>3.9927054075583248</v>
      </c>
      <c r="I144">
        <v>301.73790955548606</v>
      </c>
      <c r="J144">
        <v>4.7833937503353567</v>
      </c>
      <c r="K144">
        <v>278.38808411379631</v>
      </c>
      <c r="L144">
        <v>4.3543750285277696</v>
      </c>
      <c r="M144">
        <v>342.74556112935198</v>
      </c>
      <c r="N144">
        <v>4.7898490176603401</v>
      </c>
      <c r="O144">
        <v>320.30317133965173</v>
      </c>
      <c r="P144">
        <v>4.3601788820689205</v>
      </c>
    </row>
    <row r="145" spans="4:16" x14ac:dyDescent="0.55000000000000004">
      <c r="D145">
        <v>138</v>
      </c>
      <c r="E145">
        <v>6.2307613945654845</v>
      </c>
      <c r="F145">
        <v>3.7692386054345142</v>
      </c>
      <c r="G145">
        <v>6.4559304707921195</v>
      </c>
      <c r="H145">
        <v>3.5440695292078797</v>
      </c>
      <c r="I145">
        <v>321.32243029725259</v>
      </c>
      <c r="J145">
        <v>4.845376222289774</v>
      </c>
      <c r="K145">
        <v>296.81170410269021</v>
      </c>
      <c r="L145">
        <v>4.4113903652897468</v>
      </c>
      <c r="M145">
        <v>382.93447419032077</v>
      </c>
      <c r="N145">
        <v>4.8397883830218396</v>
      </c>
      <c r="O145">
        <v>357.20925577636888</v>
      </c>
      <c r="P145">
        <v>4.4063869526203154</v>
      </c>
    </row>
    <row r="146" spans="4:16" x14ac:dyDescent="0.55000000000000004">
      <c r="D146">
        <v>139</v>
      </c>
      <c r="E146">
        <v>7.4620696276175398</v>
      </c>
      <c r="F146">
        <v>2.537930372382462</v>
      </c>
      <c r="G146">
        <v>6.2818959301159767</v>
      </c>
      <c r="H146">
        <v>3.7181040698840233</v>
      </c>
      <c r="I146">
        <v>373.22164895202053</v>
      </c>
      <c r="J146">
        <v>4.8262847448780022</v>
      </c>
      <c r="K146">
        <v>342.85796226293007</v>
      </c>
      <c r="L146">
        <v>4.3946367812552509</v>
      </c>
      <c r="M146">
        <v>364.1942751251741</v>
      </c>
      <c r="N146">
        <v>4.8537589156081955</v>
      </c>
      <c r="O146">
        <v>340.1123351522599</v>
      </c>
      <c r="P146">
        <v>4.4191871257913409</v>
      </c>
    </row>
    <row r="147" spans="4:16" x14ac:dyDescent="0.55000000000000004">
      <c r="D147">
        <v>140</v>
      </c>
      <c r="E147">
        <v>7.208537842798906</v>
      </c>
      <c r="F147">
        <v>2.7914621572010927</v>
      </c>
      <c r="G147">
        <v>6.4906200952526971</v>
      </c>
      <c r="H147">
        <v>3.5093799047473015</v>
      </c>
      <c r="I147">
        <v>331.77002843208004</v>
      </c>
      <c r="J147">
        <v>4.8109783123356626</v>
      </c>
      <c r="K147">
        <v>304.96611869400778</v>
      </c>
      <c r="L147">
        <v>4.380468813988065</v>
      </c>
      <c r="M147">
        <v>348.72815548786878</v>
      </c>
      <c r="N147">
        <v>4.8298034925878461</v>
      </c>
      <c r="O147">
        <v>325.39964991844175</v>
      </c>
      <c r="P147">
        <v>4.3973139276128377</v>
      </c>
    </row>
    <row r="148" spans="4:16" x14ac:dyDescent="0.55000000000000004">
      <c r="D148">
        <v>141</v>
      </c>
      <c r="E148">
        <v>7.9180701476454365</v>
      </c>
      <c r="F148">
        <v>2.0819298523545631</v>
      </c>
      <c r="G148">
        <v>7.1966052673291179</v>
      </c>
      <c r="H148">
        <v>2.8033947326708799</v>
      </c>
      <c r="I148">
        <v>396.07772011368786</v>
      </c>
      <c r="J148">
        <v>4.7843232278462464</v>
      </c>
      <c r="K148">
        <v>363.17998088103838</v>
      </c>
      <c r="L148">
        <v>4.3564564015860601</v>
      </c>
      <c r="M148">
        <v>409.98860248661606</v>
      </c>
      <c r="N148">
        <v>4.8039748871151637</v>
      </c>
      <c r="O148">
        <v>381.00511415152204</v>
      </c>
      <c r="P148">
        <v>4.373976628168629</v>
      </c>
    </row>
    <row r="149" spans="4:16" x14ac:dyDescent="0.55000000000000004">
      <c r="D149">
        <v>142</v>
      </c>
      <c r="E149">
        <v>7.4497974315786681</v>
      </c>
      <c r="F149">
        <v>2.550202568421331</v>
      </c>
      <c r="G149">
        <v>5.5242147744171843</v>
      </c>
      <c r="H149">
        <v>4.4757852255828148</v>
      </c>
      <c r="I149">
        <v>381.01909420988187</v>
      </c>
      <c r="J149">
        <v>4.7131078933818715</v>
      </c>
      <c r="K149">
        <v>349.74797115655764</v>
      </c>
      <c r="L149">
        <v>4.2908731160387168</v>
      </c>
      <c r="M149">
        <v>332.5353748072655</v>
      </c>
      <c r="N149">
        <v>4.7872621868447647</v>
      </c>
      <c r="O149">
        <v>311.30380831924214</v>
      </c>
      <c r="P149">
        <v>4.3574680257953844</v>
      </c>
    </row>
    <row r="150" spans="4:16" x14ac:dyDescent="0.55000000000000004">
      <c r="D150">
        <v>143</v>
      </c>
      <c r="E150">
        <v>6.5950322790058618</v>
      </c>
      <c r="F150">
        <v>3.4049677209941378</v>
      </c>
      <c r="G150">
        <v>5.6461726867690194</v>
      </c>
      <c r="H150">
        <v>4.3538273132309797</v>
      </c>
      <c r="I150">
        <v>319.07268814523809</v>
      </c>
      <c r="J150">
        <v>4.9056493170837028</v>
      </c>
      <c r="K150">
        <v>294.27622382657489</v>
      </c>
      <c r="L150">
        <v>4.4672010210236746</v>
      </c>
      <c r="M150">
        <v>323.1661378875279</v>
      </c>
      <c r="N150">
        <v>4.9192240119042596</v>
      </c>
      <c r="O150">
        <v>303.13963179261867</v>
      </c>
      <c r="P150">
        <v>4.4793652259069399</v>
      </c>
    </row>
    <row r="151" spans="4:16" x14ac:dyDescent="0.55000000000000004">
      <c r="D151">
        <v>144</v>
      </c>
      <c r="E151">
        <v>6.9991545588527586</v>
      </c>
      <c r="F151">
        <v>3.0008454411472432</v>
      </c>
      <c r="G151">
        <v>6.2874634010561747</v>
      </c>
      <c r="H151">
        <v>3.7125365989438235</v>
      </c>
      <c r="I151">
        <v>365.26832784829401</v>
      </c>
      <c r="J151">
        <v>4.8845760298559879</v>
      </c>
      <c r="K151">
        <v>336.2211198424385</v>
      </c>
      <c r="L151">
        <v>4.447974202611837</v>
      </c>
      <c r="M151">
        <v>378.12695070525444</v>
      </c>
      <c r="N151">
        <v>4.8963126215055262</v>
      </c>
      <c r="O151">
        <v>353.0092533432915</v>
      </c>
      <c r="P151">
        <v>4.4584690777350264</v>
      </c>
    </row>
    <row r="152" spans="4:16" x14ac:dyDescent="0.55000000000000004">
      <c r="D152">
        <v>145</v>
      </c>
      <c r="E152">
        <v>8.4379931525939558</v>
      </c>
      <c r="F152">
        <v>1.5620068474060447</v>
      </c>
      <c r="G152">
        <v>6.1354744896209983</v>
      </c>
      <c r="H152">
        <v>3.8645255103790026</v>
      </c>
      <c r="I152">
        <v>433.04128614005174</v>
      </c>
      <c r="J152">
        <v>4.8119049080216918</v>
      </c>
      <c r="K152">
        <v>396.01568581602794</v>
      </c>
      <c r="L152">
        <v>4.382206606476637</v>
      </c>
      <c r="M152">
        <v>364.87507941958711</v>
      </c>
      <c r="N152">
        <v>4.8632313848108479</v>
      </c>
      <c r="O152">
        <v>339.9680476832155</v>
      </c>
      <c r="P152">
        <v>4.4282692819930363</v>
      </c>
    </row>
    <row r="153" spans="4:16" x14ac:dyDescent="0.55000000000000004">
      <c r="D153">
        <v>146</v>
      </c>
      <c r="E153">
        <v>7.2439958880908897</v>
      </c>
      <c r="F153">
        <v>2.7560041119091139</v>
      </c>
      <c r="G153">
        <v>5.9323472896869207</v>
      </c>
      <c r="H153">
        <v>4.067652710313082</v>
      </c>
      <c r="I153">
        <v>348.1507500263674</v>
      </c>
      <c r="J153">
        <v>4.8683716502690695</v>
      </c>
      <c r="K153">
        <v>320.14570325843607</v>
      </c>
      <c r="L153">
        <v>4.4331790796210671</v>
      </c>
      <c r="M153">
        <v>335.11213841476928</v>
      </c>
      <c r="N153">
        <v>4.8922052005777656</v>
      </c>
      <c r="O153">
        <v>313.76591858099113</v>
      </c>
      <c r="P153">
        <v>4.4544950699347892</v>
      </c>
    </row>
    <row r="154" spans="4:16" x14ac:dyDescent="0.55000000000000004">
      <c r="D154">
        <v>147</v>
      </c>
      <c r="E154">
        <v>6.6513377257810031</v>
      </c>
      <c r="F154">
        <v>3.3486622742189969</v>
      </c>
      <c r="G154">
        <v>6.5254424099043478</v>
      </c>
      <c r="H154">
        <v>3.4745575900956513</v>
      </c>
      <c r="I154">
        <v>340.0201014064466</v>
      </c>
      <c r="J154">
        <v>4.7861182994334133</v>
      </c>
      <c r="K154">
        <v>313.65936538308739</v>
      </c>
      <c r="L154">
        <v>4.3569192248877684</v>
      </c>
      <c r="M154">
        <v>383.58426250669351</v>
      </c>
      <c r="N154">
        <v>4.7901666135264866</v>
      </c>
      <c r="O154">
        <v>357.91242775971398</v>
      </c>
      <c r="P154">
        <v>4.3605342017284094</v>
      </c>
    </row>
    <row r="155" spans="4:16" x14ac:dyDescent="0.55000000000000004">
      <c r="D155">
        <v>148</v>
      </c>
      <c r="E155">
        <v>7.1815526751797538</v>
      </c>
      <c r="F155">
        <v>2.8184473248202462</v>
      </c>
      <c r="G155">
        <v>4.656106038393661</v>
      </c>
      <c r="H155">
        <v>5.3438939616063399</v>
      </c>
      <c r="I155">
        <v>328.66563912435248</v>
      </c>
      <c r="J155">
        <v>4.7122718635380849</v>
      </c>
      <c r="K155">
        <v>302.52179081215564</v>
      </c>
      <c r="L155">
        <v>4.2893786411076684</v>
      </c>
      <c r="M155">
        <v>263.08791234356659</v>
      </c>
      <c r="N155">
        <v>4.8134536117480264</v>
      </c>
      <c r="O155">
        <v>249.04698536366277</v>
      </c>
      <c r="P155">
        <v>4.3799649677519019</v>
      </c>
    </row>
    <row r="156" spans="4:16" x14ac:dyDescent="0.55000000000000004">
      <c r="D156">
        <v>149</v>
      </c>
      <c r="E156">
        <v>6.6747307173714283</v>
      </c>
      <c r="F156">
        <v>3.3252692826285699</v>
      </c>
      <c r="G156">
        <v>6.3950637417544645</v>
      </c>
      <c r="H156">
        <v>3.6049362582455369</v>
      </c>
      <c r="I156">
        <v>328.30845797009431</v>
      </c>
      <c r="J156">
        <v>4.7249430205560712</v>
      </c>
      <c r="K156">
        <v>302.52215482009194</v>
      </c>
      <c r="L156">
        <v>4.3007661177308076</v>
      </c>
      <c r="M156">
        <v>364.55254220393374</v>
      </c>
      <c r="N156">
        <v>4.736467733210505</v>
      </c>
      <c r="O156">
        <v>340.20430665709301</v>
      </c>
      <c r="P156">
        <v>4.3110860166755742</v>
      </c>
    </row>
    <row r="157" spans="4:16" x14ac:dyDescent="0.55000000000000004">
      <c r="D157">
        <v>150</v>
      </c>
      <c r="E157">
        <v>6.7402674130236804</v>
      </c>
      <c r="F157">
        <v>3.2597325869763178</v>
      </c>
      <c r="G157">
        <v>6.0553707223806015</v>
      </c>
      <c r="H157">
        <v>3.9446292776193972</v>
      </c>
      <c r="I157">
        <v>329.49737081325168</v>
      </c>
      <c r="J157">
        <v>4.778727848922836</v>
      </c>
      <c r="K157">
        <v>303.7002373875244</v>
      </c>
      <c r="L157">
        <v>4.3502710926499537</v>
      </c>
      <c r="M157">
        <v>346.01625722871586</v>
      </c>
      <c r="N157">
        <v>4.8012119070050723</v>
      </c>
      <c r="O157">
        <v>323.743510356375</v>
      </c>
      <c r="P157">
        <v>4.3703883682842131</v>
      </c>
    </row>
    <row r="158" spans="4:16" x14ac:dyDescent="0.55000000000000004">
      <c r="D158">
        <v>151</v>
      </c>
      <c r="E158">
        <v>7.3369248739081012</v>
      </c>
      <c r="F158">
        <v>2.6630751260918997</v>
      </c>
      <c r="G158">
        <v>5.4354586776282474</v>
      </c>
      <c r="H158">
        <v>4.5645413223717517</v>
      </c>
      <c r="I158">
        <v>387.07253789327217</v>
      </c>
      <c r="J158">
        <v>4.8050802916442805</v>
      </c>
      <c r="K158">
        <v>355.6870209450372</v>
      </c>
      <c r="L158">
        <v>4.3751045457249687</v>
      </c>
      <c r="M158">
        <v>336.75730242865336</v>
      </c>
      <c r="N158">
        <v>4.8555964469541406</v>
      </c>
      <c r="O158">
        <v>315.76661330842961</v>
      </c>
      <c r="P158">
        <v>4.4203861348739961</v>
      </c>
    </row>
    <row r="159" spans="4:16" x14ac:dyDescent="0.55000000000000004">
      <c r="D159">
        <v>152</v>
      </c>
      <c r="E159">
        <v>7.4048182017398032</v>
      </c>
      <c r="F159">
        <v>2.5951817982601968</v>
      </c>
      <c r="G159">
        <v>6.5090621889180449</v>
      </c>
      <c r="H159">
        <v>3.4909378110819533</v>
      </c>
      <c r="I159">
        <v>336.41392427283711</v>
      </c>
      <c r="J159">
        <v>4.8859066439431418</v>
      </c>
      <c r="K159">
        <v>308.97138669815899</v>
      </c>
      <c r="L159">
        <v>4.4494329845586629</v>
      </c>
      <c r="M159">
        <v>345.71815197236998</v>
      </c>
      <c r="N159">
        <v>4.899708442572976</v>
      </c>
      <c r="O159">
        <v>322.5602773014499</v>
      </c>
      <c r="P159">
        <v>4.4617816579312146</v>
      </c>
    </row>
    <row r="160" spans="4:16" x14ac:dyDescent="0.55000000000000004">
      <c r="D160">
        <v>153</v>
      </c>
      <c r="E160">
        <v>7.2479378468548985</v>
      </c>
      <c r="F160">
        <v>2.7520621531450997</v>
      </c>
      <c r="G160">
        <v>6.0307395476981638</v>
      </c>
      <c r="H160">
        <v>3.9692604523018358</v>
      </c>
      <c r="I160">
        <v>359.49289925758109</v>
      </c>
      <c r="J160">
        <v>4.7708707721006061</v>
      </c>
      <c r="K160">
        <v>330.52095308568244</v>
      </c>
      <c r="L160">
        <v>4.3435558804287036</v>
      </c>
      <c r="M160">
        <v>349.12067273178002</v>
      </c>
      <c r="N160">
        <v>4.8093500902707049</v>
      </c>
      <c r="O160">
        <v>326.51154025467213</v>
      </c>
      <c r="P160">
        <v>4.3779797455087275</v>
      </c>
    </row>
    <row r="161" spans="4:16" x14ac:dyDescent="0.55000000000000004">
      <c r="D161">
        <v>154</v>
      </c>
      <c r="E161">
        <v>6.7065249954540365</v>
      </c>
      <c r="F161">
        <v>3.2934750045459631</v>
      </c>
      <c r="G161">
        <v>6.9659640471458211</v>
      </c>
      <c r="H161">
        <v>3.0340359528541776</v>
      </c>
      <c r="I161">
        <v>325.51358127390597</v>
      </c>
      <c r="J161">
        <v>4.8227650233185226</v>
      </c>
      <c r="K161">
        <v>300.02895489562064</v>
      </c>
      <c r="L161">
        <v>4.3908601615204468</v>
      </c>
      <c r="M161">
        <v>388.10593497358548</v>
      </c>
      <c r="N161">
        <v>4.8159087640325247</v>
      </c>
      <c r="O161">
        <v>361.27771496769964</v>
      </c>
      <c r="P161">
        <v>4.3847354593766275</v>
      </c>
    </row>
    <row r="162" spans="4:16" x14ac:dyDescent="0.55000000000000004">
      <c r="D162">
        <v>155</v>
      </c>
      <c r="E162">
        <v>5.4557935418413184</v>
      </c>
      <c r="F162">
        <v>4.5442064581586825</v>
      </c>
      <c r="G162">
        <v>6.1647097195612117</v>
      </c>
      <c r="H162">
        <v>3.8352902804387861</v>
      </c>
      <c r="I162">
        <v>251.76633615282708</v>
      </c>
      <c r="J162">
        <v>4.8443668442664878</v>
      </c>
      <c r="K162">
        <v>233.45192912782676</v>
      </c>
      <c r="L162">
        <v>4.4099074913847636</v>
      </c>
      <c r="M162">
        <v>334.48040924507376</v>
      </c>
      <c r="N162">
        <v>4.8241441468636355</v>
      </c>
      <c r="O162">
        <v>312.83523112342652</v>
      </c>
      <c r="P162">
        <v>4.3917437603422202</v>
      </c>
    </row>
    <row r="163" spans="4:16" x14ac:dyDescent="0.55000000000000004">
      <c r="D163">
        <v>156</v>
      </c>
      <c r="E163">
        <v>7.8523500742939287</v>
      </c>
      <c r="F163">
        <v>2.1476499257060713</v>
      </c>
      <c r="G163">
        <v>6.4677722494855923</v>
      </c>
      <c r="H163">
        <v>3.53222775051441</v>
      </c>
      <c r="I163">
        <v>393.53297919453723</v>
      </c>
      <c r="J163">
        <v>4.9227087183467217</v>
      </c>
      <c r="K163">
        <v>360.8961851095936</v>
      </c>
      <c r="L163">
        <v>4.4833380215379952</v>
      </c>
      <c r="M163">
        <v>374.14266531802411</v>
      </c>
      <c r="N163">
        <v>4.9363372236496748</v>
      </c>
      <c r="O163">
        <v>348.9035023906012</v>
      </c>
      <c r="P163">
        <v>4.4955136056790836</v>
      </c>
    </row>
    <row r="164" spans="4:16" x14ac:dyDescent="0.55000000000000004">
      <c r="D164">
        <v>157</v>
      </c>
      <c r="E164">
        <v>7.2875234103246038</v>
      </c>
      <c r="F164">
        <v>2.7124765896753971</v>
      </c>
      <c r="G164">
        <v>4.8704649654575229</v>
      </c>
      <c r="H164">
        <v>5.1295350345424762</v>
      </c>
      <c r="I164">
        <v>381.77600990121363</v>
      </c>
      <c r="J164">
        <v>4.9314648971643322</v>
      </c>
      <c r="K164">
        <v>351.1503190511487</v>
      </c>
      <c r="L164">
        <v>4.491182035128884</v>
      </c>
      <c r="M164">
        <v>305.15206966494014</v>
      </c>
      <c r="N164">
        <v>4.954195986966953</v>
      </c>
      <c r="O164">
        <v>287.77108200305275</v>
      </c>
      <c r="P164">
        <v>4.5115354818332269</v>
      </c>
    </row>
    <row r="165" spans="4:16" x14ac:dyDescent="0.55000000000000004">
      <c r="D165">
        <v>158</v>
      </c>
      <c r="E165">
        <v>6.3716075581706093</v>
      </c>
      <c r="F165">
        <v>3.6283924418293925</v>
      </c>
      <c r="G165">
        <v>5.0477744526877011</v>
      </c>
      <c r="H165">
        <v>4.9522255473122998</v>
      </c>
      <c r="I165">
        <v>309.38506533879251</v>
      </c>
      <c r="J165">
        <v>4.8896375709341662</v>
      </c>
      <c r="K165">
        <v>285.91694143907148</v>
      </c>
      <c r="L165">
        <v>4.452228333378625</v>
      </c>
      <c r="M165">
        <v>295.10392622308052</v>
      </c>
      <c r="N165">
        <v>4.9125676456233247</v>
      </c>
      <c r="O165">
        <v>278.32171793105653</v>
      </c>
      <c r="P165">
        <v>4.47277343875394</v>
      </c>
    </row>
    <row r="166" spans="4:16" x14ac:dyDescent="0.55000000000000004">
      <c r="D166">
        <v>159</v>
      </c>
      <c r="E166">
        <v>7.2648458301340622</v>
      </c>
      <c r="F166">
        <v>2.7351541698659365</v>
      </c>
      <c r="G166">
        <v>6.5645524145852354</v>
      </c>
      <c r="H166">
        <v>3.4354475854147632</v>
      </c>
      <c r="I166">
        <v>382.67108794110703</v>
      </c>
      <c r="J166">
        <v>4.8219893087674501</v>
      </c>
      <c r="K166">
        <v>351.74601567785544</v>
      </c>
      <c r="L166">
        <v>4.3905943343972593</v>
      </c>
      <c r="M166">
        <v>395.78358207078395</v>
      </c>
      <c r="N166">
        <v>4.8391486150875345</v>
      </c>
      <c r="O166">
        <v>368.76901917277996</v>
      </c>
      <c r="P166">
        <v>4.4059345524791258</v>
      </c>
    </row>
    <row r="167" spans="4:16" x14ac:dyDescent="0.55000000000000004">
      <c r="D167">
        <v>160</v>
      </c>
      <c r="E167">
        <v>7.034806963654038</v>
      </c>
      <c r="F167">
        <v>2.9651930363459598</v>
      </c>
      <c r="G167">
        <v>5.459861551521791</v>
      </c>
      <c r="H167">
        <v>4.540138448478209</v>
      </c>
      <c r="I167">
        <v>352.64694641364588</v>
      </c>
      <c r="J167">
        <v>4.9297144958386401</v>
      </c>
      <c r="K167">
        <v>324.67274939096444</v>
      </c>
      <c r="L167">
        <v>4.489509309075939</v>
      </c>
      <c r="M167">
        <v>323.69670751922547</v>
      </c>
      <c r="N167">
        <v>4.9454499428651557</v>
      </c>
      <c r="O167">
        <v>304.01784963487114</v>
      </c>
      <c r="P167">
        <v>4.503591425201801</v>
      </c>
    </row>
    <row r="168" spans="4:16" x14ac:dyDescent="0.55000000000000004">
      <c r="D168">
        <v>161</v>
      </c>
      <c r="E168">
        <v>6.4416923992462864</v>
      </c>
      <c r="F168">
        <v>3.5583076007537131</v>
      </c>
      <c r="G168">
        <v>6.4808117262757872</v>
      </c>
      <c r="H168">
        <v>3.5191882737242124</v>
      </c>
      <c r="I168">
        <v>314.85164360174144</v>
      </c>
      <c r="J168">
        <v>4.8850545325332106</v>
      </c>
      <c r="K168">
        <v>290.5042999498562</v>
      </c>
      <c r="L168">
        <v>4.4481625369815747</v>
      </c>
      <c r="M168">
        <v>366.76368529023824</v>
      </c>
      <c r="N168">
        <v>4.8843564878186072</v>
      </c>
      <c r="O168">
        <v>342.21591099606206</v>
      </c>
      <c r="P168">
        <v>4.4475376651226357</v>
      </c>
    </row>
    <row r="169" spans="4:16" x14ac:dyDescent="0.55000000000000004">
      <c r="D169">
        <v>162</v>
      </c>
      <c r="E169">
        <v>6.5207921788983931</v>
      </c>
      <c r="F169">
        <v>3.4792078211016095</v>
      </c>
      <c r="G169">
        <v>6.6250494550641594</v>
      </c>
      <c r="H169">
        <v>3.3749505449358423</v>
      </c>
      <c r="I169">
        <v>330.12182765943055</v>
      </c>
      <c r="J169">
        <v>4.827099775563112</v>
      </c>
      <c r="K169">
        <v>304.05317446914921</v>
      </c>
      <c r="L169">
        <v>4.3949724675169195</v>
      </c>
      <c r="M169">
        <v>385.39995976522204</v>
      </c>
      <c r="N169">
        <v>4.8243353711849801</v>
      </c>
      <c r="O169">
        <v>358.79083821184287</v>
      </c>
      <c r="P169">
        <v>4.392491131671223</v>
      </c>
    </row>
    <row r="170" spans="4:16" x14ac:dyDescent="0.55000000000000004">
      <c r="D170">
        <v>163</v>
      </c>
      <c r="E170">
        <v>6.8906226305726506</v>
      </c>
      <c r="F170">
        <v>3.1093773694273481</v>
      </c>
      <c r="G170">
        <v>5.3729968291817443</v>
      </c>
      <c r="H170">
        <v>4.6270031708182566</v>
      </c>
      <c r="I170">
        <v>346.83983743762013</v>
      </c>
      <c r="J170">
        <v>4.8894615991909651</v>
      </c>
      <c r="K170">
        <v>319.51225713095579</v>
      </c>
      <c r="L170">
        <v>4.4523902622958254</v>
      </c>
      <c r="M170">
        <v>320.45006622737822</v>
      </c>
      <c r="N170">
        <v>4.9138071392250353</v>
      </c>
      <c r="O170">
        <v>301.09503266366335</v>
      </c>
      <c r="P170">
        <v>4.4741949391642013</v>
      </c>
    </row>
    <row r="171" spans="4:16" x14ac:dyDescent="0.55000000000000004">
      <c r="D171">
        <v>164</v>
      </c>
      <c r="E171">
        <v>7.4309133395061826</v>
      </c>
      <c r="F171">
        <v>2.5690866604938143</v>
      </c>
      <c r="G171">
        <v>6.2102170456670951</v>
      </c>
      <c r="H171">
        <v>3.7897829543329058</v>
      </c>
      <c r="I171">
        <v>388.19135068517124</v>
      </c>
      <c r="J171">
        <v>4.8743634073657702</v>
      </c>
      <c r="K171">
        <v>356.6020000563031</v>
      </c>
      <c r="L171">
        <v>4.4388064958903151</v>
      </c>
      <c r="M171">
        <v>374.42210437159912</v>
      </c>
      <c r="N171">
        <v>4.8950020712812581</v>
      </c>
      <c r="O171">
        <v>349.57523308501021</v>
      </c>
      <c r="P171">
        <v>4.4572629830803914</v>
      </c>
    </row>
    <row r="172" spans="4:16" x14ac:dyDescent="0.55000000000000004">
      <c r="D172">
        <v>165</v>
      </c>
      <c r="E172">
        <v>6.3085658900680031</v>
      </c>
      <c r="F172">
        <v>3.6914341099319974</v>
      </c>
      <c r="G172">
        <v>5.0734069840027525</v>
      </c>
      <c r="H172">
        <v>4.9265930159972466</v>
      </c>
      <c r="I172">
        <v>322.14411915739248</v>
      </c>
      <c r="J172">
        <v>4.7960841609962799</v>
      </c>
      <c r="K172">
        <v>297.46726158286504</v>
      </c>
      <c r="L172">
        <v>4.3659238258356892</v>
      </c>
      <c r="M172">
        <v>309.07127744542152</v>
      </c>
      <c r="N172">
        <v>4.8360089979595822</v>
      </c>
      <c r="O172">
        <v>290.78958822180505</v>
      </c>
      <c r="P172">
        <v>4.4018005487956779</v>
      </c>
    </row>
    <row r="173" spans="4:16" x14ac:dyDescent="0.55000000000000004">
      <c r="D173">
        <v>166</v>
      </c>
      <c r="E173">
        <v>7.186300083436862</v>
      </c>
      <c r="F173">
        <v>2.8136999165631389</v>
      </c>
      <c r="G173">
        <v>5.4978844787358696</v>
      </c>
      <c r="H173">
        <v>4.5021155212641304</v>
      </c>
      <c r="I173">
        <v>378.71953517313875</v>
      </c>
      <c r="J173">
        <v>4.9780684302531544</v>
      </c>
      <c r="K173">
        <v>348.23484577133758</v>
      </c>
      <c r="L173">
        <v>4.5340531126453971</v>
      </c>
      <c r="M173">
        <v>339.7396755002564</v>
      </c>
      <c r="N173">
        <v>4.9832212354750665</v>
      </c>
      <c r="O173">
        <v>318.47295965284201</v>
      </c>
      <c r="P173">
        <v>4.5386721069303038</v>
      </c>
    </row>
    <row r="174" spans="4:16" x14ac:dyDescent="0.55000000000000004">
      <c r="D174">
        <v>167</v>
      </c>
      <c r="E174">
        <v>6.5954269950102349</v>
      </c>
      <c r="F174">
        <v>3.4045730049897642</v>
      </c>
      <c r="G174">
        <v>5.905414354140218</v>
      </c>
      <c r="H174">
        <v>4.0945856458597829</v>
      </c>
      <c r="I174">
        <v>328.62944968053517</v>
      </c>
      <c r="J174">
        <v>4.7816264139446183</v>
      </c>
      <c r="K174">
        <v>303.05770814198775</v>
      </c>
      <c r="L174">
        <v>4.3528381033810675</v>
      </c>
      <c r="M174">
        <v>344.24828306110624</v>
      </c>
      <c r="N174">
        <v>4.8044726276809442</v>
      </c>
      <c r="O174">
        <v>322.26167275689318</v>
      </c>
      <c r="P174">
        <v>4.3733020048660665</v>
      </c>
    </row>
    <row r="175" spans="4:16" x14ac:dyDescent="0.55000000000000004">
      <c r="D175">
        <v>168</v>
      </c>
      <c r="E175">
        <v>6.3682632763370473</v>
      </c>
      <c r="F175">
        <v>3.6317367236629541</v>
      </c>
      <c r="G175">
        <v>6.4075756076606192</v>
      </c>
      <c r="H175">
        <v>3.5924243923393817</v>
      </c>
      <c r="I175">
        <v>315.42285473298381</v>
      </c>
      <c r="J175">
        <v>4.7319352439434885</v>
      </c>
      <c r="K175">
        <v>291.11902181846614</v>
      </c>
      <c r="L175">
        <v>4.3068093803408871</v>
      </c>
      <c r="M175">
        <v>367.37001163184595</v>
      </c>
      <c r="N175">
        <v>4.7302804363375559</v>
      </c>
      <c r="O175">
        <v>342.86283777989928</v>
      </c>
      <c r="P175">
        <v>4.3053273837344435</v>
      </c>
    </row>
    <row r="176" spans="4:16" x14ac:dyDescent="0.55000000000000004">
      <c r="D176">
        <v>169</v>
      </c>
      <c r="E176">
        <v>7.1110867419641277</v>
      </c>
      <c r="F176">
        <v>2.888913258035871</v>
      </c>
      <c r="G176">
        <v>6.6312077284962889</v>
      </c>
      <c r="H176">
        <v>3.3687922715037129</v>
      </c>
      <c r="I176">
        <v>363.92810725527391</v>
      </c>
      <c r="J176">
        <v>4.7495938265637641</v>
      </c>
      <c r="K176">
        <v>334.81107196531593</v>
      </c>
      <c r="L176">
        <v>4.3238475582264018</v>
      </c>
      <c r="M176">
        <v>389.36906762884377</v>
      </c>
      <c r="N176">
        <v>4.7664920408360958</v>
      </c>
      <c r="O176">
        <v>362.86922863755831</v>
      </c>
      <c r="P176">
        <v>4.338944971469032</v>
      </c>
    </row>
    <row r="177" spans="4:16" x14ac:dyDescent="0.55000000000000004">
      <c r="D177">
        <v>170</v>
      </c>
      <c r="E177">
        <v>7.5520933114590809</v>
      </c>
      <c r="F177">
        <v>2.4479066885409182</v>
      </c>
      <c r="G177">
        <v>6.0946857589775609</v>
      </c>
      <c r="H177">
        <v>3.9053142410224404</v>
      </c>
      <c r="I177">
        <v>400.75995427287023</v>
      </c>
      <c r="J177">
        <v>4.9024423039669944</v>
      </c>
      <c r="K177">
        <v>368.13070586626111</v>
      </c>
      <c r="L177">
        <v>4.4646046192797773</v>
      </c>
      <c r="M177">
        <v>373.4210549768041</v>
      </c>
      <c r="N177">
        <v>4.9212690473793765</v>
      </c>
      <c r="O177">
        <v>349.08548352107164</v>
      </c>
      <c r="P177">
        <v>4.4814124184180546</v>
      </c>
    </row>
    <row r="178" spans="4:16" x14ac:dyDescent="0.55000000000000004">
      <c r="D178">
        <v>171</v>
      </c>
      <c r="E178">
        <v>6.7074389644394614</v>
      </c>
      <c r="F178">
        <v>3.2925610355605395</v>
      </c>
      <c r="G178">
        <v>6.5063801296580452</v>
      </c>
      <c r="H178">
        <v>3.4936198703419543</v>
      </c>
      <c r="I178">
        <v>317.0971452457369</v>
      </c>
      <c r="J178">
        <v>4.7585255168824236</v>
      </c>
      <c r="K178">
        <v>292.37772530498648</v>
      </c>
      <c r="L178">
        <v>4.3315690658413581</v>
      </c>
      <c r="M178">
        <v>357.59199985811148</v>
      </c>
      <c r="N178">
        <v>4.7657638351828151</v>
      </c>
      <c r="O178">
        <v>333.88635689047993</v>
      </c>
      <c r="P178">
        <v>4.3380353769690254</v>
      </c>
    </row>
    <row r="179" spans="4:16" x14ac:dyDescent="0.55000000000000004">
      <c r="D179">
        <v>172</v>
      </c>
      <c r="E179">
        <v>6.6782352304870338</v>
      </c>
      <c r="F179">
        <v>3.3217647695129675</v>
      </c>
      <c r="G179">
        <v>6.6304561105225588</v>
      </c>
      <c r="H179">
        <v>3.3695438894774421</v>
      </c>
      <c r="I179">
        <v>321.20617573766572</v>
      </c>
      <c r="J179">
        <v>4.7066538611071351</v>
      </c>
      <c r="K179">
        <v>296.08883241788175</v>
      </c>
      <c r="L179">
        <v>4.2838119548645084</v>
      </c>
      <c r="M179">
        <v>368.90812125557147</v>
      </c>
      <c r="N179">
        <v>4.7087525922655242</v>
      </c>
      <c r="O179">
        <v>344.03420822222</v>
      </c>
      <c r="P179">
        <v>4.2856883698284758</v>
      </c>
    </row>
    <row r="180" spans="4:16" x14ac:dyDescent="0.55000000000000004">
      <c r="D180">
        <v>173</v>
      </c>
      <c r="E180">
        <v>7.2411823460274523</v>
      </c>
      <c r="F180">
        <v>2.7588176539725469</v>
      </c>
      <c r="G180">
        <v>5.2629326847068869</v>
      </c>
      <c r="H180">
        <v>4.737067315293114</v>
      </c>
      <c r="I180">
        <v>348.53248490223046</v>
      </c>
      <c r="J180">
        <v>4.7650233942255795</v>
      </c>
      <c r="K180">
        <v>320.45590374241579</v>
      </c>
      <c r="L180">
        <v>4.3381716237265877</v>
      </c>
      <c r="M180">
        <v>303.31540055476796</v>
      </c>
      <c r="N180">
        <v>4.8292176609321107</v>
      </c>
      <c r="O180">
        <v>285.10427468529866</v>
      </c>
      <c r="P180">
        <v>4.3957147135731045</v>
      </c>
    </row>
    <row r="181" spans="4:16" x14ac:dyDescent="0.55000000000000004">
      <c r="D181">
        <v>174</v>
      </c>
      <c r="E181">
        <v>7.264527170285227</v>
      </c>
      <c r="F181">
        <v>2.7354728297147775</v>
      </c>
      <c r="G181">
        <v>7.0908402551891507</v>
      </c>
      <c r="H181">
        <v>2.9091597448108484</v>
      </c>
      <c r="I181">
        <v>362.37283024931321</v>
      </c>
      <c r="J181">
        <v>4.8887036815695799</v>
      </c>
      <c r="K181">
        <v>333.00316297020794</v>
      </c>
      <c r="L181">
        <v>4.4519433687049608</v>
      </c>
      <c r="M181">
        <v>403.70889142366138</v>
      </c>
      <c r="N181">
        <v>4.8913646550585073</v>
      </c>
      <c r="O181">
        <v>375.2600528259037</v>
      </c>
      <c r="P181">
        <v>4.4543215261724196</v>
      </c>
    </row>
    <row r="182" spans="4:16" x14ac:dyDescent="0.55000000000000004">
      <c r="D182">
        <v>175</v>
      </c>
      <c r="E182">
        <v>4.8352685226600354</v>
      </c>
      <c r="F182">
        <v>5.1647314773399646</v>
      </c>
      <c r="G182">
        <v>5.3507555544058549</v>
      </c>
      <c r="H182">
        <v>4.649244445594146</v>
      </c>
      <c r="I182">
        <v>233.95943953388127</v>
      </c>
      <c r="J182">
        <v>4.9343442701375375</v>
      </c>
      <c r="K182">
        <v>217.91105071062992</v>
      </c>
      <c r="L182">
        <v>4.4930672287401547</v>
      </c>
      <c r="M182">
        <v>308.90180963577762</v>
      </c>
      <c r="N182">
        <v>4.927344725614768</v>
      </c>
      <c r="O182">
        <v>290.38881176903658</v>
      </c>
      <c r="P182">
        <v>4.4867593242123274</v>
      </c>
    </row>
    <row r="183" spans="4:16" x14ac:dyDescent="0.55000000000000004">
      <c r="D183">
        <v>176</v>
      </c>
      <c r="E183">
        <v>6.3615114216762203</v>
      </c>
      <c r="F183">
        <v>3.6384885783237797</v>
      </c>
      <c r="G183">
        <v>5.5791410235161614</v>
      </c>
      <c r="H183">
        <v>4.4208589764838395</v>
      </c>
      <c r="I183">
        <v>320.01050895891427</v>
      </c>
      <c r="J183">
        <v>4.8429138517142887</v>
      </c>
      <c r="K183">
        <v>295.5337083833445</v>
      </c>
      <c r="L183">
        <v>4.4091482972471203</v>
      </c>
      <c r="M183">
        <v>330.65402074190212</v>
      </c>
      <c r="N183">
        <v>4.8622330895861188</v>
      </c>
      <c r="O183">
        <v>310.25806183125388</v>
      </c>
      <c r="P183">
        <v>4.4264643393458121</v>
      </c>
    </row>
    <row r="184" spans="4:16" x14ac:dyDescent="0.55000000000000004">
      <c r="D184">
        <v>177</v>
      </c>
      <c r="E184">
        <v>6.3756261181815148</v>
      </c>
      <c r="F184">
        <v>3.6243738818184852</v>
      </c>
      <c r="G184">
        <v>5.3070056154506391</v>
      </c>
      <c r="H184">
        <v>4.6929943845493609</v>
      </c>
      <c r="I184">
        <v>311.74315044483586</v>
      </c>
      <c r="J184">
        <v>4.8697515076055957</v>
      </c>
      <c r="K184">
        <v>287.82930110964844</v>
      </c>
      <c r="L184">
        <v>4.4339622032881243</v>
      </c>
      <c r="M184">
        <v>309.49179254270621</v>
      </c>
      <c r="N184">
        <v>4.8915824943733934</v>
      </c>
      <c r="O184">
        <v>290.94139504895617</v>
      </c>
      <c r="P184">
        <v>4.4535523019549963</v>
      </c>
    </row>
    <row r="185" spans="4:16" x14ac:dyDescent="0.55000000000000004">
      <c r="D185">
        <v>178</v>
      </c>
      <c r="E185">
        <v>7.5006593683615455</v>
      </c>
      <c r="F185">
        <v>2.4993406316384537</v>
      </c>
      <c r="G185">
        <v>6.1282854552855195</v>
      </c>
      <c r="H185">
        <v>3.8717145447144823</v>
      </c>
      <c r="I185">
        <v>395.46763249508763</v>
      </c>
      <c r="J185">
        <v>4.8129090486927772</v>
      </c>
      <c r="K185">
        <v>363.23673125626129</v>
      </c>
      <c r="L185">
        <v>4.3823764183874223</v>
      </c>
      <c r="M185">
        <v>373.11006556017566</v>
      </c>
      <c r="N185">
        <v>4.8471405379975261</v>
      </c>
      <c r="O185">
        <v>348.56053294520626</v>
      </c>
      <c r="P185">
        <v>4.4129739451498713</v>
      </c>
    </row>
    <row r="186" spans="4:16" x14ac:dyDescent="0.55000000000000004">
      <c r="D186">
        <v>179</v>
      </c>
      <c r="E186">
        <v>7.5315794911549814</v>
      </c>
      <c r="F186">
        <v>2.4684205088450155</v>
      </c>
      <c r="G186">
        <v>5.7912594865607012</v>
      </c>
      <c r="H186">
        <v>4.2087405134392988</v>
      </c>
      <c r="I186">
        <v>376.25473473603211</v>
      </c>
      <c r="J186">
        <v>4.7525786859592518</v>
      </c>
      <c r="K186">
        <v>345.33226534074441</v>
      </c>
      <c r="L186">
        <v>4.327132309920759</v>
      </c>
      <c r="M186">
        <v>339.3136565128749</v>
      </c>
      <c r="N186">
        <v>4.8097502610443739</v>
      </c>
      <c r="O186">
        <v>317.37222652456217</v>
      </c>
      <c r="P186">
        <v>4.3783980441848094</v>
      </c>
    </row>
    <row r="187" spans="4:16" x14ac:dyDescent="0.55000000000000004">
      <c r="D187">
        <v>180</v>
      </c>
      <c r="E187">
        <v>6.5483956746374323</v>
      </c>
      <c r="F187">
        <v>3.4516043253625672</v>
      </c>
      <c r="G187">
        <v>6.2722448525706014</v>
      </c>
      <c r="H187">
        <v>3.7277551474293995</v>
      </c>
      <c r="I187">
        <v>329.43345648080293</v>
      </c>
      <c r="J187">
        <v>4.8393816173458406</v>
      </c>
      <c r="K187">
        <v>303.76663925203007</v>
      </c>
      <c r="L187">
        <v>4.4061150360372787</v>
      </c>
      <c r="M187">
        <v>365.54099726734404</v>
      </c>
      <c r="N187">
        <v>4.8461550166046523</v>
      </c>
      <c r="O187">
        <v>341.32302425910171</v>
      </c>
      <c r="P187">
        <v>4.4121820376584431</v>
      </c>
    </row>
    <row r="188" spans="4:16" x14ac:dyDescent="0.55000000000000004">
      <c r="D188">
        <v>181</v>
      </c>
      <c r="E188">
        <v>6.7879610541658479</v>
      </c>
      <c r="F188">
        <v>3.2120389458341516</v>
      </c>
      <c r="G188">
        <v>5.8024497170009344</v>
      </c>
      <c r="H188">
        <v>4.1975502829990656</v>
      </c>
      <c r="I188">
        <v>340.16985920215473</v>
      </c>
      <c r="J188">
        <v>4.8730385609243942</v>
      </c>
      <c r="K188">
        <v>313.56584428167071</v>
      </c>
      <c r="L188">
        <v>4.4371872854479939</v>
      </c>
      <c r="M188">
        <v>340.78223748034566</v>
      </c>
      <c r="N188">
        <v>4.8914714801166737</v>
      </c>
      <c r="O188">
        <v>319.39289309966534</v>
      </c>
      <c r="P188">
        <v>4.4536739355687249</v>
      </c>
    </row>
    <row r="189" spans="4:16" x14ac:dyDescent="0.55000000000000004">
      <c r="D189">
        <v>182</v>
      </c>
      <c r="E189">
        <v>7.0231986781750031</v>
      </c>
      <c r="F189">
        <v>2.9768013218249991</v>
      </c>
      <c r="G189">
        <v>5.5277810399514555</v>
      </c>
      <c r="H189">
        <v>4.4722189600485436</v>
      </c>
      <c r="I189">
        <v>369.38677863360402</v>
      </c>
      <c r="J189">
        <v>4.9886971060633778</v>
      </c>
      <c r="K189">
        <v>340.04719508032679</v>
      </c>
      <c r="L189">
        <v>4.5438141905469314</v>
      </c>
      <c r="M189">
        <v>340.73493786881903</v>
      </c>
      <c r="N189">
        <v>4.9911037796789657</v>
      </c>
      <c r="O189">
        <v>319.63287242851658</v>
      </c>
      <c r="P189">
        <v>4.5459688037236567</v>
      </c>
    </row>
    <row r="190" spans="4:16" x14ac:dyDescent="0.55000000000000004">
      <c r="D190">
        <v>183</v>
      </c>
      <c r="E190">
        <v>7.1663597784723985</v>
      </c>
      <c r="F190">
        <v>2.8336402215276038</v>
      </c>
      <c r="G190">
        <v>5.5503597272707479</v>
      </c>
      <c r="H190">
        <v>4.4496402727292539</v>
      </c>
      <c r="I190">
        <v>360.44186108012673</v>
      </c>
      <c r="J190">
        <v>4.8928539604199814</v>
      </c>
      <c r="K190">
        <v>331.52068248319654</v>
      </c>
      <c r="L190">
        <v>4.4556704779367449</v>
      </c>
      <c r="M190">
        <v>329.16292952125588</v>
      </c>
      <c r="N190">
        <v>4.9170151818489547</v>
      </c>
      <c r="O190">
        <v>308.7176530060346</v>
      </c>
      <c r="P190">
        <v>4.4773121270352405</v>
      </c>
    </row>
    <row r="191" spans="4:16" x14ac:dyDescent="0.55000000000000004">
      <c r="D191">
        <v>184</v>
      </c>
      <c r="E191">
        <v>7.7974702999842389</v>
      </c>
      <c r="F191">
        <v>2.2025297000157602</v>
      </c>
      <c r="G191">
        <v>6.9532095249472752</v>
      </c>
      <c r="H191">
        <v>3.0467904750527239</v>
      </c>
      <c r="I191">
        <v>373.91763790531616</v>
      </c>
      <c r="J191">
        <v>4.8510032968680914</v>
      </c>
      <c r="K191">
        <v>342.96272722132022</v>
      </c>
      <c r="L191">
        <v>4.4175573646873927</v>
      </c>
      <c r="M191">
        <v>383.43220062464184</v>
      </c>
      <c r="N191">
        <v>4.8671357176692789</v>
      </c>
      <c r="O191">
        <v>356.82047092674634</v>
      </c>
      <c r="P191">
        <v>4.4319591379276364</v>
      </c>
    </row>
    <row r="192" spans="4:16" x14ac:dyDescent="0.55000000000000004">
      <c r="D192">
        <v>185</v>
      </c>
      <c r="E192">
        <v>7.9869896783909118</v>
      </c>
      <c r="F192">
        <v>2.0130103216090873</v>
      </c>
      <c r="G192">
        <v>6.3346108262362426</v>
      </c>
      <c r="H192">
        <v>3.6653891737637569</v>
      </c>
      <c r="I192">
        <v>406.62966727550241</v>
      </c>
      <c r="J192">
        <v>4.6892369712344539</v>
      </c>
      <c r="K192">
        <v>372.69607266758982</v>
      </c>
      <c r="L192">
        <v>4.2693897329591417</v>
      </c>
      <c r="M192">
        <v>372.50457260027105</v>
      </c>
      <c r="N192">
        <v>4.7535288105181595</v>
      </c>
      <c r="O192">
        <v>347.50660677480607</v>
      </c>
      <c r="P192">
        <v>4.3268525991308655</v>
      </c>
    </row>
    <row r="193" spans="4:16" x14ac:dyDescent="0.55000000000000004">
      <c r="D193">
        <v>186</v>
      </c>
      <c r="E193">
        <v>6.9372555509548919</v>
      </c>
      <c r="F193">
        <v>3.062744449045109</v>
      </c>
      <c r="G193">
        <v>5.6503575151690812</v>
      </c>
      <c r="H193">
        <v>4.3496424848309179</v>
      </c>
      <c r="I193">
        <v>357.79760053691143</v>
      </c>
      <c r="J193">
        <v>4.8008495420462056</v>
      </c>
      <c r="K193">
        <v>329.48553086149923</v>
      </c>
      <c r="L193">
        <v>4.3708273851845885</v>
      </c>
      <c r="M193">
        <v>341.42423055539939</v>
      </c>
      <c r="N193">
        <v>4.8377930179329054</v>
      </c>
      <c r="O193">
        <v>320.06102537275945</v>
      </c>
      <c r="P193">
        <v>4.4039031170061591</v>
      </c>
    </row>
    <row r="194" spans="4:16" x14ac:dyDescent="0.55000000000000004">
      <c r="D194">
        <v>187</v>
      </c>
      <c r="E194">
        <v>6.3140065721937955</v>
      </c>
      <c r="F194">
        <v>3.685993427806205</v>
      </c>
      <c r="G194">
        <v>6.0185036498150124</v>
      </c>
      <c r="H194">
        <v>3.9814963501849889</v>
      </c>
      <c r="I194">
        <v>351.70443288116172</v>
      </c>
      <c r="J194">
        <v>4.8520044726387361</v>
      </c>
      <c r="K194">
        <v>324.79802269158091</v>
      </c>
      <c r="L194">
        <v>4.4175458804955463</v>
      </c>
      <c r="M194">
        <v>385.24425240120286</v>
      </c>
      <c r="N194">
        <v>4.8589308371165369</v>
      </c>
      <c r="O194">
        <v>360.05155712793635</v>
      </c>
      <c r="P194">
        <v>4.4237511220102119</v>
      </c>
    </row>
    <row r="195" spans="4:16" x14ac:dyDescent="0.55000000000000004">
      <c r="D195">
        <v>188</v>
      </c>
      <c r="E195">
        <v>7.8130058709459993</v>
      </c>
      <c r="F195">
        <v>2.1869941290540025</v>
      </c>
      <c r="G195">
        <v>6.8996666590417171</v>
      </c>
      <c r="H195">
        <v>3.1003333409582816</v>
      </c>
      <c r="I195">
        <v>380.73118950772385</v>
      </c>
      <c r="J195">
        <v>4.8184709398401617</v>
      </c>
      <c r="K195">
        <v>349.38273153391913</v>
      </c>
      <c r="L195">
        <v>4.3876369109256279</v>
      </c>
      <c r="M195">
        <v>386.22377068374959</v>
      </c>
      <c r="N195">
        <v>4.8396916596863679</v>
      </c>
      <c r="O195">
        <v>359.74207441721842</v>
      </c>
      <c r="P195">
        <v>4.4065372044366926</v>
      </c>
    </row>
    <row r="196" spans="4:16" x14ac:dyDescent="0.55000000000000004">
      <c r="D196">
        <v>189</v>
      </c>
      <c r="E196">
        <v>6.7686535460986699</v>
      </c>
      <c r="F196">
        <v>3.2313464539013266</v>
      </c>
      <c r="G196">
        <v>6.3447558910739037</v>
      </c>
      <c r="H196">
        <v>3.6552441089260963</v>
      </c>
      <c r="I196">
        <v>333.19223086351593</v>
      </c>
      <c r="J196">
        <v>4.7674499449331718</v>
      </c>
      <c r="K196">
        <v>307.13027485405581</v>
      </c>
      <c r="L196">
        <v>4.3398590930880969</v>
      </c>
      <c r="M196">
        <v>362.32553937552814</v>
      </c>
      <c r="N196">
        <v>4.7820137606680646</v>
      </c>
      <c r="O196">
        <v>338.48486777707069</v>
      </c>
      <c r="P196">
        <v>4.3528725731181055</v>
      </c>
    </row>
    <row r="197" spans="4:16" x14ac:dyDescent="0.55000000000000004">
      <c r="D197">
        <v>190</v>
      </c>
      <c r="E197">
        <v>7.655631314953748</v>
      </c>
      <c r="F197">
        <v>2.3443686850462506</v>
      </c>
      <c r="G197">
        <v>6.5853027155397514</v>
      </c>
      <c r="H197">
        <v>3.4146972844602477</v>
      </c>
      <c r="I197">
        <v>360.53194444695981</v>
      </c>
      <c r="J197">
        <v>4.9259151877075462</v>
      </c>
      <c r="K197">
        <v>330.80622951769294</v>
      </c>
      <c r="L197">
        <v>4.4862427712639734</v>
      </c>
      <c r="M197">
        <v>360.12621887470493</v>
      </c>
      <c r="N197">
        <v>4.9362729348503507</v>
      </c>
      <c r="O197">
        <v>335.73288910510348</v>
      </c>
      <c r="P197">
        <v>4.4955047798468275</v>
      </c>
    </row>
    <row r="198" spans="4:16" x14ac:dyDescent="0.55000000000000004">
      <c r="D198">
        <v>191</v>
      </c>
      <c r="E198">
        <v>6.1093836907537868</v>
      </c>
      <c r="F198">
        <v>3.8906163092462127</v>
      </c>
      <c r="G198">
        <v>5.9856134820535329</v>
      </c>
      <c r="H198">
        <v>4.0143865179464679</v>
      </c>
      <c r="I198">
        <v>308.14455102894499</v>
      </c>
      <c r="J198">
        <v>4.8721966590255699</v>
      </c>
      <c r="K198">
        <v>284.33199838341181</v>
      </c>
      <c r="L198">
        <v>4.4362922656030861</v>
      </c>
      <c r="M198">
        <v>351.90184025462912</v>
      </c>
      <c r="N198">
        <v>4.8747858311885395</v>
      </c>
      <c r="O198">
        <v>328.71516442174402</v>
      </c>
      <c r="P198">
        <v>4.4386218545690523</v>
      </c>
    </row>
    <row r="199" spans="4:16" x14ac:dyDescent="0.55000000000000004">
      <c r="D199">
        <v>192</v>
      </c>
      <c r="E199">
        <v>6.3129620327968645</v>
      </c>
      <c r="F199">
        <v>3.6870379672031346</v>
      </c>
      <c r="G199">
        <v>4.9694505069570072</v>
      </c>
      <c r="H199">
        <v>5.0305494930429919</v>
      </c>
      <c r="I199">
        <v>305.84240604799533</v>
      </c>
      <c r="J199">
        <v>4.8071762969484961</v>
      </c>
      <c r="K199">
        <v>282.48401081062377</v>
      </c>
      <c r="L199">
        <v>4.3761223268002674</v>
      </c>
      <c r="M199">
        <v>290.75365761558453</v>
      </c>
      <c r="N199">
        <v>4.8482126387099314</v>
      </c>
      <c r="O199">
        <v>274.01414418643861</v>
      </c>
      <c r="P199">
        <v>4.4129856785672343</v>
      </c>
    </row>
    <row r="200" spans="4:16" x14ac:dyDescent="0.55000000000000004">
      <c r="D200">
        <v>193</v>
      </c>
      <c r="E200">
        <v>5.908469396278119</v>
      </c>
      <c r="F200">
        <v>4.0915306037218802</v>
      </c>
      <c r="G200">
        <v>4.4774291442501166</v>
      </c>
      <c r="H200">
        <v>5.5225708557498834</v>
      </c>
      <c r="I200">
        <v>297.82788341259652</v>
      </c>
      <c r="J200">
        <v>4.8370651199738841</v>
      </c>
      <c r="K200">
        <v>275.65916013699047</v>
      </c>
      <c r="L200">
        <v>4.4034124460231192</v>
      </c>
      <c r="M200">
        <v>275.69351818964992</v>
      </c>
      <c r="N200">
        <v>4.8765281951187935</v>
      </c>
      <c r="O200">
        <v>260.67767206594817</v>
      </c>
      <c r="P200">
        <v>4.4389623443115411</v>
      </c>
    </row>
    <row r="201" spans="4:16" x14ac:dyDescent="0.55000000000000004">
      <c r="D201">
        <v>194</v>
      </c>
      <c r="E201">
        <v>6.6688597393127456</v>
      </c>
      <c r="F201">
        <v>3.3311402606872527</v>
      </c>
      <c r="G201">
        <v>5.7134543062695231</v>
      </c>
      <c r="H201">
        <v>4.286545693730476</v>
      </c>
      <c r="I201">
        <v>326.15045312112284</v>
      </c>
      <c r="J201">
        <v>4.8758495563830238</v>
      </c>
      <c r="K201">
        <v>300.92130489012038</v>
      </c>
      <c r="L201">
        <v>4.4396724505290335</v>
      </c>
      <c r="M201">
        <v>329.42493675368127</v>
      </c>
      <c r="N201">
        <v>4.8936358066541397</v>
      </c>
      <c r="O201">
        <v>309.15024128634036</v>
      </c>
      <c r="P201">
        <v>4.4555727690082358</v>
      </c>
    </row>
    <row r="202" spans="4:16" x14ac:dyDescent="0.55000000000000004">
      <c r="D202">
        <v>195</v>
      </c>
      <c r="E202">
        <v>7.5560719906416249</v>
      </c>
      <c r="F202">
        <v>2.443928009358376</v>
      </c>
      <c r="G202">
        <v>6.0891310076608844</v>
      </c>
      <c r="H202">
        <v>3.910868992339112</v>
      </c>
      <c r="I202">
        <v>365.70256100925388</v>
      </c>
      <c r="J202">
        <v>4.813083402659692</v>
      </c>
      <c r="K202">
        <v>335.58874291916442</v>
      </c>
      <c r="L202">
        <v>4.3826943910226444</v>
      </c>
      <c r="M202">
        <v>344.70481575352954</v>
      </c>
      <c r="N202">
        <v>4.8493715186778283</v>
      </c>
      <c r="O202">
        <v>321.95534283912048</v>
      </c>
      <c r="P202">
        <v>4.4152184690256266</v>
      </c>
    </row>
    <row r="203" spans="4:16" x14ac:dyDescent="0.55000000000000004">
      <c r="D203">
        <v>196</v>
      </c>
      <c r="E203">
        <v>7.6386761782792689</v>
      </c>
      <c r="F203">
        <v>2.3613238217207293</v>
      </c>
      <c r="G203">
        <v>7.4027402286811395</v>
      </c>
      <c r="H203">
        <v>2.5972597713188632</v>
      </c>
      <c r="I203">
        <v>385.94830528236758</v>
      </c>
      <c r="J203">
        <v>4.7440125918484499</v>
      </c>
      <c r="K203">
        <v>354.16326515766531</v>
      </c>
      <c r="L203">
        <v>4.3193139325840324</v>
      </c>
      <c r="M203">
        <v>424.02751196984138</v>
      </c>
      <c r="N203">
        <v>4.7519192802349997</v>
      </c>
      <c r="O203">
        <v>393.52294533133465</v>
      </c>
      <c r="P203">
        <v>4.3263713230608571</v>
      </c>
    </row>
    <row r="204" spans="4:16" x14ac:dyDescent="0.55000000000000004">
      <c r="D204">
        <v>197</v>
      </c>
      <c r="E204">
        <v>7.7133041490339718</v>
      </c>
      <c r="F204">
        <v>2.2866958509660282</v>
      </c>
      <c r="G204">
        <v>7.7964666879326838</v>
      </c>
      <c r="H204">
        <v>2.2035333120673153</v>
      </c>
      <c r="I204">
        <v>383.77674710831946</v>
      </c>
      <c r="J204">
        <v>4.8826163197239518</v>
      </c>
      <c r="K204">
        <v>352.20766580570842</v>
      </c>
      <c r="L204">
        <v>4.4464915011295858</v>
      </c>
      <c r="M204">
        <v>437.91451323852135</v>
      </c>
      <c r="N204">
        <v>4.8813507239833438</v>
      </c>
      <c r="O204">
        <v>405.89232284057869</v>
      </c>
      <c r="P204">
        <v>4.4453644953728091</v>
      </c>
    </row>
    <row r="205" spans="4:16" x14ac:dyDescent="0.55000000000000004">
      <c r="D205">
        <v>198</v>
      </c>
      <c r="E205">
        <v>7.0167956244915164</v>
      </c>
      <c r="F205">
        <v>2.9832043755084854</v>
      </c>
      <c r="G205">
        <v>5.9718422975975471</v>
      </c>
      <c r="H205">
        <v>4.0281577024024529</v>
      </c>
      <c r="I205">
        <v>328.41735394807938</v>
      </c>
      <c r="J205">
        <v>4.8650625134785868</v>
      </c>
      <c r="K205">
        <v>302.17914834836176</v>
      </c>
      <c r="L205">
        <v>4.4300623771588636</v>
      </c>
      <c r="M205">
        <v>329.50887421127231</v>
      </c>
      <c r="N205">
        <v>4.8851576370947143</v>
      </c>
      <c r="O205">
        <v>308.36974327306768</v>
      </c>
      <c r="P205">
        <v>4.4480624339031039</v>
      </c>
    </row>
    <row r="206" spans="4:16" x14ac:dyDescent="0.55000000000000004">
      <c r="D206">
        <v>199</v>
      </c>
      <c r="E206">
        <v>5.9037624875843582</v>
      </c>
      <c r="F206">
        <v>4.0962375124156418</v>
      </c>
      <c r="G206">
        <v>5.7314648359396809</v>
      </c>
      <c r="H206">
        <v>4.2685351640603191</v>
      </c>
      <c r="I206">
        <v>304.95102615505994</v>
      </c>
      <c r="J206">
        <v>4.8389188275689126</v>
      </c>
      <c r="K206">
        <v>282.04963904621468</v>
      </c>
      <c r="L206">
        <v>4.4052351142170219</v>
      </c>
      <c r="M206">
        <v>346.05121933125076</v>
      </c>
      <c r="N206">
        <v>4.8436198818190483</v>
      </c>
      <c r="O206">
        <v>324.05327765563692</v>
      </c>
      <c r="P206">
        <v>4.4094589506940363</v>
      </c>
    </row>
    <row r="207" spans="4:16" x14ac:dyDescent="0.55000000000000004">
      <c r="D207">
        <v>200</v>
      </c>
      <c r="E207">
        <v>6.6045007823903665</v>
      </c>
      <c r="F207">
        <v>3.3954992176096335</v>
      </c>
      <c r="G207">
        <v>7.4753355930923258</v>
      </c>
      <c r="H207">
        <v>2.524664406907676</v>
      </c>
      <c r="I207">
        <v>314.61533752875715</v>
      </c>
      <c r="J207">
        <v>4.9278135569882009</v>
      </c>
      <c r="K207">
        <v>289.60975460526299</v>
      </c>
      <c r="L207">
        <v>4.4877702457101556</v>
      </c>
      <c r="M207">
        <v>406.09886473664204</v>
      </c>
      <c r="N207">
        <v>4.918295431469458</v>
      </c>
      <c r="O207">
        <v>376.78480140991996</v>
      </c>
      <c r="P207">
        <v>4.479240672998591</v>
      </c>
    </row>
    <row r="208" spans="4:16" x14ac:dyDescent="0.55000000000000004">
      <c r="D208">
        <v>201</v>
      </c>
      <c r="E208">
        <v>6.2484186355380125</v>
      </c>
      <c r="F208">
        <v>3.7515813644619858</v>
      </c>
      <c r="G208">
        <v>6.6133503835919809</v>
      </c>
      <c r="H208">
        <v>3.3866496164080169</v>
      </c>
      <c r="I208">
        <v>301.06338280816436</v>
      </c>
      <c r="J208">
        <v>4.90173769282426</v>
      </c>
      <c r="K208">
        <v>278.13668819907542</v>
      </c>
      <c r="L208">
        <v>4.4634399222127739</v>
      </c>
      <c r="M208">
        <v>368.64664554577138</v>
      </c>
      <c r="N208">
        <v>4.8959987950939601</v>
      </c>
      <c r="O208">
        <v>343.86686969150594</v>
      </c>
      <c r="P208">
        <v>4.4583058407734359</v>
      </c>
    </row>
    <row r="209" spans="4:16" x14ac:dyDescent="0.55000000000000004">
      <c r="D209">
        <v>202</v>
      </c>
      <c r="E209">
        <v>5.7510736639899926</v>
      </c>
      <c r="F209">
        <v>4.2489263360100056</v>
      </c>
      <c r="G209">
        <v>7.3972635773029838</v>
      </c>
      <c r="H209">
        <v>2.6027364226970198</v>
      </c>
      <c r="I209">
        <v>288.55500534349954</v>
      </c>
      <c r="J209">
        <v>4.874373237127509</v>
      </c>
      <c r="K209">
        <v>266.80615444343942</v>
      </c>
      <c r="L209">
        <v>4.4380612469278597</v>
      </c>
      <c r="M209">
        <v>421.15111991019899</v>
      </c>
      <c r="N209">
        <v>4.8384137759963215</v>
      </c>
      <c r="O209">
        <v>390.8620105960141</v>
      </c>
      <c r="P209">
        <v>4.4058199157850382</v>
      </c>
    </row>
    <row r="210" spans="4:16" x14ac:dyDescent="0.55000000000000004">
      <c r="D210">
        <v>203</v>
      </c>
      <c r="E210">
        <v>7.1357951023865009</v>
      </c>
      <c r="F210">
        <v>2.8642048976134991</v>
      </c>
      <c r="G210">
        <v>5.5625115119872408</v>
      </c>
      <c r="H210">
        <v>4.437488488012761</v>
      </c>
      <c r="I210">
        <v>340.66595559634214</v>
      </c>
      <c r="J210">
        <v>4.7446666513928895</v>
      </c>
      <c r="K210">
        <v>313.30768202697254</v>
      </c>
      <c r="L210">
        <v>4.3193913362738119</v>
      </c>
      <c r="M210">
        <v>315.55671408124317</v>
      </c>
      <c r="N210">
        <v>4.8009619571971314</v>
      </c>
      <c r="O210">
        <v>295.98285477194514</v>
      </c>
      <c r="P210">
        <v>4.3698521272775084</v>
      </c>
    </row>
    <row r="211" spans="4:16" x14ac:dyDescent="0.55000000000000004">
      <c r="D211">
        <v>204</v>
      </c>
      <c r="E211">
        <v>7.6678798690154375</v>
      </c>
      <c r="F211">
        <v>2.3321201309845603</v>
      </c>
      <c r="G211">
        <v>6.3503989386983903</v>
      </c>
      <c r="H211">
        <v>3.649601061301611</v>
      </c>
      <c r="I211">
        <v>366.75389523678047</v>
      </c>
      <c r="J211">
        <v>4.8807267184493313</v>
      </c>
      <c r="K211">
        <v>336.6833598015341</v>
      </c>
      <c r="L211">
        <v>4.4447253798946695</v>
      </c>
      <c r="M211">
        <v>353.73891960493131</v>
      </c>
      <c r="N211">
        <v>4.9012200329800306</v>
      </c>
      <c r="O211">
        <v>330.43338584449333</v>
      </c>
      <c r="P211">
        <v>4.4630186252238424</v>
      </c>
    </row>
    <row r="212" spans="4:16" x14ac:dyDescent="0.55000000000000004">
      <c r="D212">
        <v>205</v>
      </c>
      <c r="E212">
        <v>5.9995817656134482</v>
      </c>
      <c r="F212">
        <v>4.0004182343865518</v>
      </c>
      <c r="G212">
        <v>6.1247681721396603</v>
      </c>
      <c r="H212">
        <v>3.8752318278603393</v>
      </c>
      <c r="I212">
        <v>295.62657427894811</v>
      </c>
      <c r="J212">
        <v>4.8111243479635135</v>
      </c>
      <c r="K212">
        <v>273.68842425559342</v>
      </c>
      <c r="L212">
        <v>4.3793599400252718</v>
      </c>
      <c r="M212">
        <v>351.79507567678706</v>
      </c>
      <c r="N212">
        <v>4.8071832958898062</v>
      </c>
      <c r="O212">
        <v>329.2075104866401</v>
      </c>
      <c r="P212">
        <v>4.3758337989363758</v>
      </c>
    </row>
    <row r="213" spans="4:16" x14ac:dyDescent="0.55000000000000004">
      <c r="D213">
        <v>206</v>
      </c>
      <c r="E213">
        <v>6.6695774126196739</v>
      </c>
      <c r="F213">
        <v>3.3304225873803261</v>
      </c>
      <c r="G213">
        <v>6.6074126943602014</v>
      </c>
      <c r="H213">
        <v>3.3925873056397986</v>
      </c>
      <c r="I213">
        <v>316.50786063875302</v>
      </c>
      <c r="J213">
        <v>4.852162782475272</v>
      </c>
      <c r="K213">
        <v>291.69522304461935</v>
      </c>
      <c r="L213">
        <v>4.4179718032963784</v>
      </c>
      <c r="M213">
        <v>363.55780537044063</v>
      </c>
      <c r="N213">
        <v>4.8535407196978468</v>
      </c>
      <c r="O213">
        <v>339.05578284109288</v>
      </c>
      <c r="P213">
        <v>4.419204655759267</v>
      </c>
    </row>
    <row r="214" spans="4:16" x14ac:dyDescent="0.55000000000000004">
      <c r="D214">
        <v>207</v>
      </c>
      <c r="E214">
        <v>6.4413898586356204</v>
      </c>
      <c r="F214">
        <v>3.5586101413643778</v>
      </c>
      <c r="G214">
        <v>6.7506769018466422</v>
      </c>
      <c r="H214">
        <v>3.2493230981533583</v>
      </c>
      <c r="I214">
        <v>324.68045858227214</v>
      </c>
      <c r="J214">
        <v>4.894449610593802</v>
      </c>
      <c r="K214">
        <v>299.70640531334533</v>
      </c>
      <c r="L214">
        <v>4.4567877473927151</v>
      </c>
      <c r="M214">
        <v>390.27017776200501</v>
      </c>
      <c r="N214">
        <v>4.889381547867333</v>
      </c>
      <c r="O214">
        <v>363.63907818273816</v>
      </c>
      <c r="P214">
        <v>4.4522583739488857</v>
      </c>
    </row>
    <row r="215" spans="4:16" x14ac:dyDescent="0.55000000000000004">
      <c r="D215">
        <v>208</v>
      </c>
      <c r="E215">
        <v>6.2463967801398477</v>
      </c>
      <c r="F215">
        <v>3.753603219860151</v>
      </c>
      <c r="G215">
        <v>6.9094873294547439</v>
      </c>
      <c r="H215">
        <v>3.0905126705452561</v>
      </c>
      <c r="I215">
        <v>316.32236741206719</v>
      </c>
      <c r="J215">
        <v>4.8906360549050563</v>
      </c>
      <c r="K215">
        <v>291.55103141778011</v>
      </c>
      <c r="L215">
        <v>4.4534197112264851</v>
      </c>
      <c r="M215">
        <v>399.90178603541625</v>
      </c>
      <c r="N215">
        <v>4.8790264500431277</v>
      </c>
      <c r="O215">
        <v>371.71290661694621</v>
      </c>
      <c r="P215">
        <v>4.4429916732403356</v>
      </c>
    </row>
    <row r="216" spans="4:16" x14ac:dyDescent="0.55000000000000004">
      <c r="D216">
        <v>209</v>
      </c>
      <c r="E216">
        <v>5.7116061296553697</v>
      </c>
      <c r="F216">
        <v>4.2883938703446303</v>
      </c>
      <c r="G216">
        <v>6.5455125428293597</v>
      </c>
      <c r="H216">
        <v>3.4544874571706372</v>
      </c>
      <c r="I216">
        <v>283.48351770195598</v>
      </c>
      <c r="J216">
        <v>4.9007598432340389</v>
      </c>
      <c r="K216">
        <v>262.97642542975086</v>
      </c>
      <c r="L216">
        <v>4.4621581596278759</v>
      </c>
      <c r="M216">
        <v>374.87270282334782</v>
      </c>
      <c r="N216">
        <v>4.8862705732646248</v>
      </c>
      <c r="O216">
        <v>349.97305976484097</v>
      </c>
      <c r="P216">
        <v>4.449206606673437</v>
      </c>
    </row>
    <row r="217" spans="4:16" x14ac:dyDescent="0.55000000000000004">
      <c r="D217">
        <v>210</v>
      </c>
      <c r="E217">
        <v>6.9367226870189338</v>
      </c>
      <c r="F217">
        <v>3.0632773129810635</v>
      </c>
      <c r="G217">
        <v>5.7752969132467928</v>
      </c>
      <c r="H217">
        <v>4.2247030867532089</v>
      </c>
      <c r="I217">
        <v>348.62204515263306</v>
      </c>
      <c r="J217">
        <v>4.8845946985195043</v>
      </c>
      <c r="K217">
        <v>320.98132896859335</v>
      </c>
      <c r="L217">
        <v>4.4479640001426786</v>
      </c>
      <c r="M217">
        <v>340.25173876815961</v>
      </c>
      <c r="N217">
        <v>4.903917179410981</v>
      </c>
      <c r="O217">
        <v>318.71146562480038</v>
      </c>
      <c r="P217">
        <v>4.4652670348228121</v>
      </c>
    </row>
    <row r="218" spans="4:16" x14ac:dyDescent="0.55000000000000004">
      <c r="D218">
        <v>211</v>
      </c>
      <c r="E218">
        <v>7.5778610132309323</v>
      </c>
      <c r="F218">
        <v>2.4221389867690704</v>
      </c>
      <c r="G218">
        <v>4.0871512383266966</v>
      </c>
      <c r="H218">
        <v>5.9128487616733034</v>
      </c>
      <c r="I218">
        <v>362.92523951361835</v>
      </c>
      <c r="J218">
        <v>4.8613408676201963</v>
      </c>
      <c r="K218">
        <v>333.41196487638075</v>
      </c>
      <c r="L218">
        <v>4.4268360227966337</v>
      </c>
      <c r="M218">
        <v>245.74525575333274</v>
      </c>
      <c r="N218">
        <v>4.9252136132317634</v>
      </c>
      <c r="O218">
        <v>233.48031288195116</v>
      </c>
      <c r="P218">
        <v>4.4841188747957927</v>
      </c>
    </row>
    <row r="219" spans="4:16" x14ac:dyDescent="0.55000000000000004">
      <c r="D219">
        <v>212</v>
      </c>
      <c r="E219">
        <v>7.1581185744327644</v>
      </c>
      <c r="F219">
        <v>2.8418814255672347</v>
      </c>
      <c r="G219">
        <v>5.9446877669372418</v>
      </c>
      <c r="H219">
        <v>4.0553122330627582</v>
      </c>
      <c r="I219">
        <v>343.48762032203797</v>
      </c>
      <c r="J219">
        <v>4.7988734323185156</v>
      </c>
      <c r="K219">
        <v>315.95098754518978</v>
      </c>
      <c r="L219">
        <v>4.3692166188821613</v>
      </c>
      <c r="M219">
        <v>335.26024448884073</v>
      </c>
      <c r="N219">
        <v>4.8329680300669038</v>
      </c>
      <c r="O219">
        <v>313.85487741236938</v>
      </c>
      <c r="P219">
        <v>4.3997211005596881</v>
      </c>
    </row>
    <row r="220" spans="4:16" x14ac:dyDescent="0.55000000000000004">
      <c r="D220">
        <v>213</v>
      </c>
      <c r="E220">
        <v>7.4283888474703081</v>
      </c>
      <c r="F220">
        <v>2.5716111525296941</v>
      </c>
      <c r="G220">
        <v>4.8850887542172314</v>
      </c>
      <c r="H220">
        <v>5.1149112457827686</v>
      </c>
      <c r="I220">
        <v>394.17080480346402</v>
      </c>
      <c r="J220">
        <v>4.836646917900568</v>
      </c>
      <c r="K220">
        <v>362.40965013666977</v>
      </c>
      <c r="L220">
        <v>4.4040287618136142</v>
      </c>
      <c r="M220">
        <v>309.21628570129241</v>
      </c>
      <c r="N220">
        <v>4.8925750494870215</v>
      </c>
      <c r="O220">
        <v>291.72877167603406</v>
      </c>
      <c r="P220">
        <v>4.4540415816540921</v>
      </c>
    </row>
    <row r="221" spans="4:16" x14ac:dyDescent="0.55000000000000004">
      <c r="D221">
        <v>214</v>
      </c>
      <c r="E221">
        <v>6.0509290389735435</v>
      </c>
      <c r="F221">
        <v>3.9490709610264565</v>
      </c>
      <c r="G221">
        <v>6.9153316105563292</v>
      </c>
      <c r="H221">
        <v>3.0846683894436731</v>
      </c>
      <c r="I221">
        <v>301.78294076382468</v>
      </c>
      <c r="J221">
        <v>4.8828159512339715</v>
      </c>
      <c r="K221">
        <v>279.11037628501253</v>
      </c>
      <c r="L221">
        <v>4.4458391585597896</v>
      </c>
      <c r="M221">
        <v>394.89399831810692</v>
      </c>
      <c r="N221">
        <v>4.8660756800376967</v>
      </c>
      <c r="O221">
        <v>367.66106615271332</v>
      </c>
      <c r="P221">
        <v>4.430869704322296</v>
      </c>
    </row>
    <row r="222" spans="4:16" x14ac:dyDescent="0.55000000000000004">
      <c r="D222">
        <v>215</v>
      </c>
      <c r="E222">
        <v>6.3773941272958687</v>
      </c>
      <c r="F222">
        <v>3.6226058727041308</v>
      </c>
      <c r="G222">
        <v>6.3194147189850263</v>
      </c>
      <c r="H222">
        <v>3.6805852810149728</v>
      </c>
      <c r="I222">
        <v>286.50965549305391</v>
      </c>
      <c r="J222">
        <v>4.8823908175297923</v>
      </c>
      <c r="K222">
        <v>264.51279380181518</v>
      </c>
      <c r="L222">
        <v>4.4456396168903138</v>
      </c>
      <c r="M222">
        <v>333.90488307829418</v>
      </c>
      <c r="N222">
        <v>4.8834600490490363</v>
      </c>
      <c r="O222">
        <v>312.18139339817304</v>
      </c>
      <c r="P222">
        <v>4.446596632091115</v>
      </c>
    </row>
    <row r="223" spans="4:16" x14ac:dyDescent="0.55000000000000004">
      <c r="D223">
        <v>216</v>
      </c>
      <c r="E223">
        <v>7.3370284681125426</v>
      </c>
      <c r="F223">
        <v>2.6629715318874605</v>
      </c>
      <c r="G223">
        <v>6.0999441731629673</v>
      </c>
      <c r="H223">
        <v>3.9000558268370327</v>
      </c>
      <c r="I223">
        <v>371.67123285515214</v>
      </c>
      <c r="J223">
        <v>4.7397210352959585</v>
      </c>
      <c r="K223">
        <v>341.33268880810419</v>
      </c>
      <c r="L223">
        <v>4.31518624216441</v>
      </c>
      <c r="M223">
        <v>359.00435796868521</v>
      </c>
      <c r="N223">
        <v>4.7836062431754822</v>
      </c>
      <c r="O223">
        <v>335.14113713076216</v>
      </c>
      <c r="P223">
        <v>4.3545368230079688</v>
      </c>
    </row>
    <row r="224" spans="4:16" x14ac:dyDescent="0.55000000000000004">
      <c r="D224">
        <v>217</v>
      </c>
      <c r="E224">
        <v>6.3536053411590538</v>
      </c>
      <c r="F224">
        <v>3.6463946588409457</v>
      </c>
      <c r="G224">
        <v>5.5547572161200724</v>
      </c>
      <c r="H224">
        <v>4.4452427838799284</v>
      </c>
      <c r="I224">
        <v>313.38578411715537</v>
      </c>
      <c r="J224">
        <v>4.7775185552615484</v>
      </c>
      <c r="K224">
        <v>289.15264291366975</v>
      </c>
      <c r="L224">
        <v>4.3489416689516833</v>
      </c>
      <c r="M224">
        <v>323.98332950857389</v>
      </c>
      <c r="N224">
        <v>4.8054914738553327</v>
      </c>
      <c r="O224">
        <v>303.75388071871299</v>
      </c>
      <c r="P224">
        <v>4.3740722528971983</v>
      </c>
    </row>
    <row r="225" spans="4:16" x14ac:dyDescent="0.55000000000000004">
      <c r="D225">
        <v>218</v>
      </c>
      <c r="E225">
        <v>7.3952638993636794</v>
      </c>
      <c r="F225">
        <v>2.6047361006363192</v>
      </c>
      <c r="G225">
        <v>6.4959592501227448</v>
      </c>
      <c r="H225">
        <v>3.5040407498772574</v>
      </c>
      <c r="I225">
        <v>366.29149346071938</v>
      </c>
      <c r="J225">
        <v>4.8292583378565288</v>
      </c>
      <c r="K225">
        <v>336.39246656551921</v>
      </c>
      <c r="L225">
        <v>4.3974146718689102</v>
      </c>
      <c r="M225">
        <v>371.74843894241155</v>
      </c>
      <c r="N225">
        <v>4.8500214604001322</v>
      </c>
      <c r="O225">
        <v>346.52422144625638</v>
      </c>
      <c r="P225">
        <v>4.4159986973238627</v>
      </c>
    </row>
    <row r="226" spans="4:16" x14ac:dyDescent="0.55000000000000004">
      <c r="D226">
        <v>219</v>
      </c>
      <c r="E226">
        <v>7.2395291799908543</v>
      </c>
      <c r="F226">
        <v>2.760470820009143</v>
      </c>
      <c r="G226">
        <v>6.4204810508934553</v>
      </c>
      <c r="H226">
        <v>3.5795189491065442</v>
      </c>
      <c r="I226">
        <v>367.42806674863874</v>
      </c>
      <c r="J226">
        <v>4.9248164142961492</v>
      </c>
      <c r="K226">
        <v>338.01186186248549</v>
      </c>
      <c r="L226">
        <v>4.4850549148925793</v>
      </c>
      <c r="M226">
        <v>375.85888964246573</v>
      </c>
      <c r="N226">
        <v>4.933322350756737</v>
      </c>
      <c r="O226">
        <v>350.92520910176182</v>
      </c>
      <c r="P226">
        <v>4.4926436316745564</v>
      </c>
    </row>
    <row r="227" spans="4:16" x14ac:dyDescent="0.55000000000000004">
      <c r="D227">
        <v>220</v>
      </c>
      <c r="E227">
        <v>5.5221067699875324</v>
      </c>
      <c r="F227">
        <v>4.4778932300124668</v>
      </c>
      <c r="G227">
        <v>6.1925286664626817</v>
      </c>
      <c r="H227">
        <v>3.8074713335373191</v>
      </c>
      <c r="I227">
        <v>279.13282529598979</v>
      </c>
      <c r="J227">
        <v>4.8707403259254987</v>
      </c>
      <c r="K227">
        <v>259.09873808680021</v>
      </c>
      <c r="L227">
        <v>4.4342369485077215</v>
      </c>
      <c r="M227">
        <v>363.02147792409289</v>
      </c>
      <c r="N227">
        <v>4.8550473088506081</v>
      </c>
      <c r="O227">
        <v>339.45936486234359</v>
      </c>
      <c r="P227">
        <v>4.4201776750505672</v>
      </c>
    </row>
    <row r="228" spans="4:16" x14ac:dyDescent="0.55000000000000004">
      <c r="D228">
        <v>221</v>
      </c>
      <c r="E228">
        <v>5.8984781378916482</v>
      </c>
      <c r="F228">
        <v>4.1015218621083527</v>
      </c>
      <c r="G228">
        <v>5.2282329440901396</v>
      </c>
      <c r="H228">
        <v>4.7717670559098604</v>
      </c>
      <c r="I228">
        <v>303.37882791710558</v>
      </c>
      <c r="J228">
        <v>4.8554112594413574</v>
      </c>
      <c r="K228">
        <v>280.80206385926209</v>
      </c>
      <c r="L228">
        <v>4.420390545816689</v>
      </c>
      <c r="M228">
        <v>318.90583394153475</v>
      </c>
      <c r="N228">
        <v>4.8718409055588365</v>
      </c>
      <c r="O228">
        <v>299.82395284438513</v>
      </c>
      <c r="P228">
        <v>4.4351545492485647</v>
      </c>
    </row>
    <row r="229" spans="4:16" x14ac:dyDescent="0.55000000000000004">
      <c r="D229">
        <v>222</v>
      </c>
      <c r="E229">
        <v>6.6603817880165419</v>
      </c>
      <c r="F229">
        <v>3.3396182119834581</v>
      </c>
      <c r="G229">
        <v>6.1540317698198281</v>
      </c>
      <c r="H229">
        <v>3.8459682301801714</v>
      </c>
      <c r="I229">
        <v>336.28881605795078</v>
      </c>
      <c r="J229">
        <v>4.7964118344726367</v>
      </c>
      <c r="K229">
        <v>309.87309507286938</v>
      </c>
      <c r="L229">
        <v>4.3666231471810981</v>
      </c>
      <c r="M229">
        <v>360.72273688263016</v>
      </c>
      <c r="N229">
        <v>4.8118894564169068</v>
      </c>
      <c r="O229">
        <v>336.96120947215246</v>
      </c>
      <c r="P229">
        <v>4.380493928888626</v>
      </c>
    </row>
    <row r="230" spans="4:16" x14ac:dyDescent="0.55000000000000004">
      <c r="D230">
        <v>223</v>
      </c>
      <c r="E230">
        <v>6.0383173824661753</v>
      </c>
      <c r="F230">
        <v>3.9616826175338238</v>
      </c>
      <c r="G230">
        <v>6.9349906030447048</v>
      </c>
      <c r="H230">
        <v>3.0650093969552952</v>
      </c>
      <c r="I230">
        <v>307.86842172335218</v>
      </c>
      <c r="J230">
        <v>4.7749579247741236</v>
      </c>
      <c r="K230">
        <v>284.80379264315161</v>
      </c>
      <c r="L230">
        <v>4.3460367592102083</v>
      </c>
      <c r="M230">
        <v>403.58602014285754</v>
      </c>
      <c r="N230">
        <v>4.7415398068486887</v>
      </c>
      <c r="O230">
        <v>375.67195847294539</v>
      </c>
      <c r="P230">
        <v>4.3161634230702761</v>
      </c>
    </row>
    <row r="231" spans="4:16" x14ac:dyDescent="0.55000000000000004">
      <c r="D231">
        <v>224</v>
      </c>
      <c r="E231">
        <v>6.0511991712365187</v>
      </c>
      <c r="F231">
        <v>3.948800828763479</v>
      </c>
      <c r="G231">
        <v>6.3149453688206956</v>
      </c>
      <c r="H231">
        <v>3.6850546311793044</v>
      </c>
      <c r="I231">
        <v>315.93352341613922</v>
      </c>
      <c r="J231">
        <v>4.8667650154092712</v>
      </c>
      <c r="K231">
        <v>291.95089190697655</v>
      </c>
      <c r="L231">
        <v>4.4310982530960734</v>
      </c>
      <c r="M231">
        <v>379.70373046641413</v>
      </c>
      <c r="N231">
        <v>4.860957865524334</v>
      </c>
      <c r="O231">
        <v>354.30239777901693</v>
      </c>
      <c r="P231">
        <v>4.4258893956227068</v>
      </c>
    </row>
    <row r="232" spans="4:16" x14ac:dyDescent="0.55000000000000004">
      <c r="D232">
        <v>225</v>
      </c>
      <c r="E232">
        <v>6.7679076980436834</v>
      </c>
      <c r="F232">
        <v>3.2320923019563144</v>
      </c>
      <c r="G232">
        <v>5.2219162730328268</v>
      </c>
      <c r="H232">
        <v>4.7780837269671732</v>
      </c>
      <c r="I232">
        <v>317.08167940812501</v>
      </c>
      <c r="J232">
        <v>4.9413402282482739</v>
      </c>
      <c r="K232">
        <v>292.15945677285902</v>
      </c>
      <c r="L232">
        <v>4.5001701331462263</v>
      </c>
      <c r="M232">
        <v>294.65079245399284</v>
      </c>
      <c r="N232">
        <v>4.9547398649110903</v>
      </c>
      <c r="O232">
        <v>277.17358177546168</v>
      </c>
      <c r="P232">
        <v>4.5121924505552595</v>
      </c>
    </row>
    <row r="233" spans="4:16" x14ac:dyDescent="0.55000000000000004">
      <c r="D233">
        <v>226</v>
      </c>
      <c r="E233">
        <v>7.2233460966257717</v>
      </c>
      <c r="F233">
        <v>2.7766539033742297</v>
      </c>
      <c r="G233">
        <v>7.1761915833483476</v>
      </c>
      <c r="H233">
        <v>2.8238084166516502</v>
      </c>
      <c r="I233">
        <v>367.15462266977937</v>
      </c>
      <c r="J233">
        <v>4.7967832976574005</v>
      </c>
      <c r="K233">
        <v>337.23649653085357</v>
      </c>
      <c r="L233">
        <v>4.3675620252953422</v>
      </c>
      <c r="M233">
        <v>414.7578113723618</v>
      </c>
      <c r="N233">
        <v>4.7981099106371206</v>
      </c>
      <c r="O233">
        <v>385.090468157413</v>
      </c>
      <c r="P233">
        <v>4.3687498322362233</v>
      </c>
    </row>
    <row r="234" spans="4:16" x14ac:dyDescent="0.55000000000000004">
      <c r="D234">
        <v>227</v>
      </c>
      <c r="E234">
        <v>7.0280881902273684</v>
      </c>
      <c r="F234">
        <v>2.9719118097726325</v>
      </c>
      <c r="G234">
        <v>5.1484130495051428</v>
      </c>
      <c r="H234">
        <v>4.8515869504948572</v>
      </c>
      <c r="I234">
        <v>339.20583075451594</v>
      </c>
      <c r="J234">
        <v>4.7634744471590569</v>
      </c>
      <c r="K234">
        <v>312.27553663251138</v>
      </c>
      <c r="L234">
        <v>4.3364720493900277</v>
      </c>
      <c r="M234">
        <v>298.48460609147327</v>
      </c>
      <c r="N234">
        <v>4.8267336422327496</v>
      </c>
      <c r="O234">
        <v>280.98787279659979</v>
      </c>
      <c r="P234">
        <v>4.3931532968354823</v>
      </c>
    </row>
    <row r="235" spans="4:16" x14ac:dyDescent="0.55000000000000004">
      <c r="D235">
        <v>228</v>
      </c>
      <c r="E235">
        <v>6.3194714703984927</v>
      </c>
      <c r="F235">
        <v>3.6805285296015082</v>
      </c>
      <c r="G235">
        <v>5.1787392759685709</v>
      </c>
      <c r="H235">
        <v>4.8212607240314291</v>
      </c>
      <c r="I235">
        <v>320.0012095474948</v>
      </c>
      <c r="J235">
        <v>4.8520882763957323</v>
      </c>
      <c r="K235">
        <v>295.35621801759055</v>
      </c>
      <c r="L235">
        <v>4.4176990636115754</v>
      </c>
      <c r="M235">
        <v>312.23756844281786</v>
      </c>
      <c r="N235">
        <v>4.8787879245924772</v>
      </c>
      <c r="O235">
        <v>293.4198014541646</v>
      </c>
      <c r="P235">
        <v>4.441705238158816</v>
      </c>
    </row>
    <row r="236" spans="4:16" x14ac:dyDescent="0.55000000000000004">
      <c r="D236">
        <v>229</v>
      </c>
      <c r="E236">
        <v>6.8740787924392359</v>
      </c>
      <c r="F236">
        <v>3.1259212075607636</v>
      </c>
      <c r="G236">
        <v>6.612309241312091</v>
      </c>
      <c r="H236">
        <v>3.387690758687909</v>
      </c>
      <c r="I236">
        <v>337.65106046680455</v>
      </c>
      <c r="J236">
        <v>4.8073339084986673</v>
      </c>
      <c r="K236">
        <v>310.78905787668452</v>
      </c>
      <c r="L236">
        <v>4.3768808781739263</v>
      </c>
      <c r="M236">
        <v>374.79308062618708</v>
      </c>
      <c r="N236">
        <v>4.8146707630522121</v>
      </c>
      <c r="O236">
        <v>349.27857340786528</v>
      </c>
      <c r="P236">
        <v>4.3834488423047908</v>
      </c>
    </row>
    <row r="237" spans="4:16" x14ac:dyDescent="0.55000000000000004">
      <c r="D237">
        <v>230</v>
      </c>
      <c r="E237">
        <v>7.5934645231254478</v>
      </c>
      <c r="F237">
        <v>2.4065354768745508</v>
      </c>
      <c r="G237">
        <v>6.0294983676466716</v>
      </c>
      <c r="H237">
        <v>3.9705016323533289</v>
      </c>
      <c r="I237">
        <v>398.32798759762466</v>
      </c>
      <c r="J237">
        <v>4.9317261404755177</v>
      </c>
      <c r="K237">
        <v>365.7054058534323</v>
      </c>
      <c r="L237">
        <v>4.4915370075732062</v>
      </c>
      <c r="M237">
        <v>366.28750535326418</v>
      </c>
      <c r="N237">
        <v>4.9457879702601995</v>
      </c>
      <c r="O237">
        <v>342.35031486655572</v>
      </c>
      <c r="P237">
        <v>4.5041101516488942</v>
      </c>
    </row>
    <row r="238" spans="4:16" x14ac:dyDescent="0.55000000000000004">
      <c r="D238">
        <v>231</v>
      </c>
      <c r="E238">
        <v>6.5549501264250001</v>
      </c>
      <c r="F238">
        <v>3.445049873574999</v>
      </c>
      <c r="G238">
        <v>5.2447017234286744</v>
      </c>
      <c r="H238">
        <v>4.7552982765713248</v>
      </c>
      <c r="I238">
        <v>320.73734808594486</v>
      </c>
      <c r="J238">
        <v>4.9479722742588415</v>
      </c>
      <c r="K238">
        <v>295.86085029932855</v>
      </c>
      <c r="L238">
        <v>4.5062268827103233</v>
      </c>
      <c r="M238">
        <v>306.62616645898663</v>
      </c>
      <c r="N238">
        <v>4.9583719330280314</v>
      </c>
      <c r="O238">
        <v>288.33688118749433</v>
      </c>
      <c r="P238">
        <v>4.5155580108323008</v>
      </c>
    </row>
    <row r="239" spans="4:16" x14ac:dyDescent="0.55000000000000004">
      <c r="D239">
        <v>232</v>
      </c>
      <c r="E239">
        <v>7.4289248906303333</v>
      </c>
      <c r="F239">
        <v>2.5710751093696644</v>
      </c>
      <c r="G239">
        <v>5.4705656023170475</v>
      </c>
      <c r="H239">
        <v>4.5294343976829525</v>
      </c>
      <c r="I239">
        <v>360.70892047045049</v>
      </c>
      <c r="J239">
        <v>4.8377812619157616</v>
      </c>
      <c r="K239">
        <v>331.29552103120369</v>
      </c>
      <c r="L239">
        <v>4.4052284351666335</v>
      </c>
      <c r="M239">
        <v>315.62145153242096</v>
      </c>
      <c r="N239">
        <v>4.8805441888725811</v>
      </c>
      <c r="O239">
        <v>296.04163121922528</v>
      </c>
      <c r="P239">
        <v>4.4435689852257632</v>
      </c>
    </row>
    <row r="240" spans="4:16" x14ac:dyDescent="0.55000000000000004">
      <c r="D240">
        <v>233</v>
      </c>
      <c r="E240">
        <v>6.4504783534683066</v>
      </c>
      <c r="F240">
        <v>3.5495216465316952</v>
      </c>
      <c r="G240">
        <v>5.9083523767504129</v>
      </c>
      <c r="H240">
        <v>4.0916476232495862</v>
      </c>
      <c r="I240">
        <v>330.31480910964359</v>
      </c>
      <c r="J240">
        <v>4.8959134280177246</v>
      </c>
      <c r="K240">
        <v>304.93446296396257</v>
      </c>
      <c r="L240">
        <v>4.4581304316485424</v>
      </c>
      <c r="M240">
        <v>352.55373020970967</v>
      </c>
      <c r="N240">
        <v>4.9046613117260334</v>
      </c>
      <c r="O240">
        <v>330.08279721410372</v>
      </c>
      <c r="P240">
        <v>4.4659615207326926</v>
      </c>
    </row>
    <row r="241" spans="4:16" x14ac:dyDescent="0.55000000000000004">
      <c r="D241">
        <v>234</v>
      </c>
      <c r="E241">
        <v>7.2995363120339229</v>
      </c>
      <c r="F241">
        <v>2.7004636879660771</v>
      </c>
      <c r="G241">
        <v>6.5525823900131295</v>
      </c>
      <c r="H241">
        <v>3.4474176099868705</v>
      </c>
      <c r="I241">
        <v>383.85556365843144</v>
      </c>
      <c r="J241">
        <v>4.9409590434880517</v>
      </c>
      <c r="K241">
        <v>352.86823852989727</v>
      </c>
      <c r="L241">
        <v>4.4999445349940093</v>
      </c>
      <c r="M241">
        <v>394.57602499904004</v>
      </c>
      <c r="N241">
        <v>4.9470006428638573</v>
      </c>
      <c r="O241">
        <v>367.78212243337117</v>
      </c>
      <c r="P241">
        <v>4.5053411426004883</v>
      </c>
    </row>
    <row r="242" spans="4:16" x14ac:dyDescent="0.55000000000000004">
      <c r="D242">
        <v>235</v>
      </c>
      <c r="E242">
        <v>6.2169806061066657</v>
      </c>
      <c r="F242">
        <v>3.783019393893333</v>
      </c>
      <c r="G242">
        <v>6.2325733012190412</v>
      </c>
      <c r="H242">
        <v>3.7674266987809557</v>
      </c>
      <c r="I242">
        <v>305.93443489705868</v>
      </c>
      <c r="J242">
        <v>4.8131408079425473</v>
      </c>
      <c r="K242">
        <v>282.59781705846893</v>
      </c>
      <c r="L242">
        <v>4.3816137102939345</v>
      </c>
      <c r="M242">
        <v>356.70174344600929</v>
      </c>
      <c r="N242">
        <v>4.8126721498277316</v>
      </c>
      <c r="O242">
        <v>333.28537344950718</v>
      </c>
      <c r="P242">
        <v>4.381193763347567</v>
      </c>
    </row>
    <row r="243" spans="4:16" x14ac:dyDescent="0.55000000000000004">
      <c r="D243">
        <v>236</v>
      </c>
      <c r="E243">
        <v>6.3666400420505891</v>
      </c>
      <c r="F243">
        <v>3.63335995794941</v>
      </c>
      <c r="G243">
        <v>6.6838814344735713</v>
      </c>
      <c r="H243">
        <v>3.3161185655264283</v>
      </c>
      <c r="I243">
        <v>301.94394471471338</v>
      </c>
      <c r="J243">
        <v>4.8100954257283135</v>
      </c>
      <c r="K243">
        <v>278.51831159122855</v>
      </c>
      <c r="L243">
        <v>4.3790480598718453</v>
      </c>
      <c r="M243">
        <v>366.98941875161705</v>
      </c>
      <c r="N243">
        <v>4.8006327277947829</v>
      </c>
      <c r="O243">
        <v>342.00085597218703</v>
      </c>
      <c r="P243">
        <v>4.3705683506556721</v>
      </c>
    </row>
    <row r="244" spans="4:16" x14ac:dyDescent="0.55000000000000004">
      <c r="D244">
        <v>237</v>
      </c>
      <c r="E244">
        <v>6.6086072593690552</v>
      </c>
      <c r="F244">
        <v>3.3913927406309448</v>
      </c>
      <c r="G244">
        <v>6.2643923235814976</v>
      </c>
      <c r="H244">
        <v>3.7356076764185024</v>
      </c>
      <c r="I244">
        <v>339.49719926369062</v>
      </c>
      <c r="J244">
        <v>4.7805253445567706</v>
      </c>
      <c r="K244">
        <v>312.80536146366694</v>
      </c>
      <c r="L244">
        <v>4.352000129509169</v>
      </c>
      <c r="M244">
        <v>371.81419858621285</v>
      </c>
      <c r="N244">
        <v>4.7919568688500753</v>
      </c>
      <c r="O244">
        <v>346.94891520741788</v>
      </c>
      <c r="P244">
        <v>4.3622508416982289</v>
      </c>
    </row>
    <row r="245" spans="4:16" x14ac:dyDescent="0.55000000000000004">
      <c r="D245">
        <v>238</v>
      </c>
      <c r="E245">
        <v>6.1544407233601479</v>
      </c>
      <c r="F245">
        <v>3.8455592766398521</v>
      </c>
      <c r="G245">
        <v>5.6598730341692089</v>
      </c>
      <c r="H245">
        <v>4.3401269658307911</v>
      </c>
      <c r="I245">
        <v>302.60752059257749</v>
      </c>
      <c r="J245">
        <v>4.8858039632803152</v>
      </c>
      <c r="K245">
        <v>279.54513937875356</v>
      </c>
      <c r="L245">
        <v>4.4487264134367361</v>
      </c>
      <c r="M245">
        <v>328.29013597252384</v>
      </c>
      <c r="N245">
        <v>4.894980698020948</v>
      </c>
      <c r="O245">
        <v>307.70737709943734</v>
      </c>
      <c r="P245">
        <v>4.456967404599947</v>
      </c>
    </row>
    <row r="246" spans="4:16" x14ac:dyDescent="0.55000000000000004">
      <c r="D246">
        <v>239</v>
      </c>
      <c r="E246">
        <v>7.8167231612052692</v>
      </c>
      <c r="F246">
        <v>2.1832768387947312</v>
      </c>
      <c r="G246">
        <v>6.2446297029832234</v>
      </c>
      <c r="H246">
        <v>3.7553702970167762</v>
      </c>
      <c r="I246">
        <v>397.8766759383916</v>
      </c>
      <c r="J246">
        <v>4.7692809873565007</v>
      </c>
      <c r="K246">
        <v>364.88484580091961</v>
      </c>
      <c r="L246">
        <v>4.3426314680262212</v>
      </c>
      <c r="M246">
        <v>367.85601938933303</v>
      </c>
      <c r="N246">
        <v>4.8156830209176285</v>
      </c>
      <c r="O246">
        <v>343.31733427803709</v>
      </c>
      <c r="P246">
        <v>4.3841317282688408</v>
      </c>
    </row>
    <row r="247" spans="4:16" x14ac:dyDescent="0.55000000000000004">
      <c r="D247">
        <v>240</v>
      </c>
      <c r="E247">
        <v>7.4860145268555005</v>
      </c>
      <c r="F247">
        <v>2.5139854731445013</v>
      </c>
      <c r="G247">
        <v>7.1186151703715232</v>
      </c>
      <c r="H247">
        <v>2.8813848296284776</v>
      </c>
      <c r="I247">
        <v>362.13265491952859</v>
      </c>
      <c r="J247">
        <v>4.8111125160610095</v>
      </c>
      <c r="K247">
        <v>332.58079446889064</v>
      </c>
      <c r="L247">
        <v>4.3807460126544964</v>
      </c>
      <c r="M247">
        <v>394.35987290020813</v>
      </c>
      <c r="N247">
        <v>4.820382754556821</v>
      </c>
      <c r="O247">
        <v>366.71802476024783</v>
      </c>
      <c r="P247">
        <v>4.3890199935227363</v>
      </c>
    </row>
    <row r="248" spans="4:16" x14ac:dyDescent="0.55000000000000004">
      <c r="D248">
        <v>241</v>
      </c>
      <c r="E248">
        <v>7.0165014090096038</v>
      </c>
      <c r="F248">
        <v>2.9834985909903966</v>
      </c>
      <c r="G248">
        <v>5.7276964023651109</v>
      </c>
      <c r="H248">
        <v>4.2723035976348882</v>
      </c>
      <c r="I248">
        <v>344.96839154158084</v>
      </c>
      <c r="J248">
        <v>4.8615148094886278</v>
      </c>
      <c r="K248">
        <v>317.4779013941137</v>
      </c>
      <c r="L248">
        <v>4.426769998222146</v>
      </c>
      <c r="M248">
        <v>331.60390770038924</v>
      </c>
      <c r="N248">
        <v>4.8869520461501912</v>
      </c>
      <c r="O248">
        <v>310.72222797195064</v>
      </c>
      <c r="P248">
        <v>4.4495541733500348</v>
      </c>
    </row>
    <row r="249" spans="4:16" x14ac:dyDescent="0.55000000000000004">
      <c r="D249">
        <v>242</v>
      </c>
      <c r="E249">
        <v>7.2191591479920101</v>
      </c>
      <c r="F249">
        <v>2.7808408520079899</v>
      </c>
      <c r="G249">
        <v>4.6089091724424698</v>
      </c>
      <c r="H249">
        <v>5.3910908275575302</v>
      </c>
      <c r="I249">
        <v>358.91510161544358</v>
      </c>
      <c r="J249">
        <v>4.7644165253977242</v>
      </c>
      <c r="K249">
        <v>330.29860987562517</v>
      </c>
      <c r="L249">
        <v>4.3374190413415077</v>
      </c>
      <c r="M249">
        <v>279.14124346789777</v>
      </c>
      <c r="N249">
        <v>4.8495970493638021</v>
      </c>
      <c r="O249">
        <v>264.09444581316802</v>
      </c>
      <c r="P249">
        <v>4.4136927356214946</v>
      </c>
    </row>
    <row r="250" spans="4:16" x14ac:dyDescent="0.55000000000000004">
      <c r="D250">
        <v>243</v>
      </c>
      <c r="E250">
        <v>6.4119919646630876</v>
      </c>
      <c r="F250">
        <v>3.5880080353369115</v>
      </c>
      <c r="G250">
        <v>4.8872031218036369</v>
      </c>
      <c r="H250">
        <v>5.1127968781963631</v>
      </c>
      <c r="I250">
        <v>317.65548315820843</v>
      </c>
      <c r="J250">
        <v>4.809884106892464</v>
      </c>
      <c r="K250">
        <v>293.26672104556621</v>
      </c>
      <c r="L250">
        <v>4.378700031226507</v>
      </c>
      <c r="M250">
        <v>292.11615945629325</v>
      </c>
      <c r="N250">
        <v>4.8550941748804179</v>
      </c>
      <c r="O250">
        <v>275.41771262283294</v>
      </c>
      <c r="P250">
        <v>4.4193074676368651</v>
      </c>
    </row>
    <row r="251" spans="4:16" x14ac:dyDescent="0.55000000000000004">
      <c r="D251">
        <v>244</v>
      </c>
      <c r="E251">
        <v>7.9043809847848134</v>
      </c>
      <c r="F251">
        <v>2.0956190152151857</v>
      </c>
      <c r="G251">
        <v>5.4168773841872895</v>
      </c>
      <c r="H251">
        <v>4.5831226158127114</v>
      </c>
      <c r="I251">
        <v>409.69454866244934</v>
      </c>
      <c r="J251">
        <v>4.8188470629548039</v>
      </c>
      <c r="K251">
        <v>375.7874307374172</v>
      </c>
      <c r="L251">
        <v>4.3880589528158049</v>
      </c>
      <c r="M251">
        <v>330.76393829527149</v>
      </c>
      <c r="N251">
        <v>4.8758557754683007</v>
      </c>
      <c r="O251">
        <v>310.54282105777588</v>
      </c>
      <c r="P251">
        <v>4.4390161832457737</v>
      </c>
    </row>
    <row r="252" spans="4:16" x14ac:dyDescent="0.55000000000000004">
      <c r="D252">
        <v>245</v>
      </c>
      <c r="E252">
        <v>6.7232525208090683</v>
      </c>
      <c r="F252">
        <v>3.2767474791909321</v>
      </c>
      <c r="G252">
        <v>7.2145706028373064</v>
      </c>
      <c r="H252">
        <v>2.7854293971626953</v>
      </c>
      <c r="I252">
        <v>340.33163250001314</v>
      </c>
      <c r="J252">
        <v>4.7440225469300641</v>
      </c>
      <c r="K252">
        <v>313.6556697210562</v>
      </c>
      <c r="L252">
        <v>4.3183059587674952</v>
      </c>
      <c r="M252">
        <v>415.20219692042019</v>
      </c>
      <c r="N252">
        <v>4.7253163699873522</v>
      </c>
      <c r="O252">
        <v>385.86166809660727</v>
      </c>
      <c r="P252">
        <v>4.3016039118102585</v>
      </c>
    </row>
    <row r="253" spans="4:16" x14ac:dyDescent="0.55000000000000004">
      <c r="D253">
        <v>246</v>
      </c>
      <c r="E253">
        <v>7.1042315303642329</v>
      </c>
      <c r="F253">
        <v>2.8957684696357675</v>
      </c>
      <c r="G253">
        <v>7.2536492127737402</v>
      </c>
      <c r="H253">
        <v>2.7463507872262625</v>
      </c>
      <c r="I253">
        <v>340.61968871835313</v>
      </c>
      <c r="J253">
        <v>4.8536131362387245</v>
      </c>
      <c r="K253">
        <v>313.57014436731396</v>
      </c>
      <c r="L253">
        <v>4.4194574392161847</v>
      </c>
      <c r="M253">
        <v>397.78367320475604</v>
      </c>
      <c r="N253">
        <v>4.8505342971236267</v>
      </c>
      <c r="O253">
        <v>369.95069128795211</v>
      </c>
      <c r="P253">
        <v>4.4167152951660027</v>
      </c>
    </row>
    <row r="254" spans="4:16" x14ac:dyDescent="0.55000000000000004">
      <c r="D254">
        <v>247</v>
      </c>
      <c r="E254">
        <v>4.9074899748035961</v>
      </c>
      <c r="F254">
        <v>5.0925100251964048</v>
      </c>
      <c r="G254">
        <v>6.3785670064809494</v>
      </c>
      <c r="H254">
        <v>3.6214329935190488</v>
      </c>
      <c r="I254">
        <v>219.95015274723673</v>
      </c>
      <c r="J254">
        <v>4.8071821468448865</v>
      </c>
      <c r="K254">
        <v>205.04044375311722</v>
      </c>
      <c r="L254">
        <v>4.3744719654129414</v>
      </c>
      <c r="M254">
        <v>335.88276177581344</v>
      </c>
      <c r="N254">
        <v>4.7493827592699418</v>
      </c>
      <c r="O254">
        <v>314.15721698871403</v>
      </c>
      <c r="P254">
        <v>4.3226476354073844</v>
      </c>
    </row>
    <row r="255" spans="4:16" x14ac:dyDescent="0.55000000000000004">
      <c r="D255">
        <v>248</v>
      </c>
      <c r="E255">
        <v>6.4754779521930361</v>
      </c>
      <c r="F255">
        <v>3.5245220478069643</v>
      </c>
      <c r="G255">
        <v>6.355882989782633</v>
      </c>
      <c r="H255">
        <v>3.6441170102173683</v>
      </c>
      <c r="I255">
        <v>329.75065801233188</v>
      </c>
      <c r="J255">
        <v>4.9684519548324646</v>
      </c>
      <c r="K255">
        <v>303.95939489936779</v>
      </c>
      <c r="L255">
        <v>4.525138787874373</v>
      </c>
      <c r="M255">
        <v>373.66052569454143</v>
      </c>
      <c r="N255">
        <v>4.969034612561174</v>
      </c>
      <c r="O255">
        <v>348.49632571057816</v>
      </c>
      <c r="P255">
        <v>4.5256614529527699</v>
      </c>
    </row>
    <row r="256" spans="4:16" x14ac:dyDescent="0.55000000000000004">
      <c r="D256">
        <v>249</v>
      </c>
      <c r="E256">
        <v>6.9326478813059822</v>
      </c>
      <c r="F256">
        <v>3.0673521186940174</v>
      </c>
      <c r="G256">
        <v>5.9701749275895226</v>
      </c>
      <c r="H256">
        <v>4.0298250724104783</v>
      </c>
      <c r="I256">
        <v>346.22272866954393</v>
      </c>
      <c r="J256">
        <v>4.8374111676887681</v>
      </c>
      <c r="K256">
        <v>318.54862980446882</v>
      </c>
      <c r="L256">
        <v>4.4046264557998489</v>
      </c>
      <c r="M256">
        <v>348.15595562530649</v>
      </c>
      <c r="N256">
        <v>4.8599836906778382</v>
      </c>
      <c r="O256">
        <v>325.4362032466147</v>
      </c>
      <c r="P256">
        <v>4.4248723799166214</v>
      </c>
    </row>
    <row r="257" spans="4:16" x14ac:dyDescent="0.55000000000000004">
      <c r="D257">
        <v>250</v>
      </c>
      <c r="E257">
        <v>6.0862750230039202</v>
      </c>
      <c r="F257">
        <v>3.9137249769960802</v>
      </c>
      <c r="G257">
        <v>5.7848673922193026</v>
      </c>
      <c r="H257">
        <v>4.2151326077806948</v>
      </c>
      <c r="I257">
        <v>313.76849167824565</v>
      </c>
      <c r="J257">
        <v>4.7655108044594119</v>
      </c>
      <c r="K257">
        <v>290.34881005916679</v>
      </c>
      <c r="L257">
        <v>4.3372323994115769</v>
      </c>
      <c r="M257">
        <v>348.22988763321734</v>
      </c>
      <c r="N257">
        <v>4.7771232985720395</v>
      </c>
      <c r="O257">
        <v>326.43742619615631</v>
      </c>
      <c r="P257">
        <v>4.3476288200127842</v>
      </c>
    </row>
    <row r="258" spans="4:16" x14ac:dyDescent="0.55000000000000004">
      <c r="D258">
        <v>251</v>
      </c>
      <c r="E258">
        <v>6.5237482924374088</v>
      </c>
      <c r="F258">
        <v>3.4762517075625898</v>
      </c>
      <c r="G258">
        <v>5.3623965039131427</v>
      </c>
      <c r="H258">
        <v>4.6376034960868573</v>
      </c>
      <c r="I258">
        <v>340.98443958960451</v>
      </c>
      <c r="J258">
        <v>4.8376765472210872</v>
      </c>
      <c r="K258">
        <v>314.13867804818767</v>
      </c>
      <c r="L258">
        <v>4.4046756199589927</v>
      </c>
      <c r="M258">
        <v>330.2826971211843</v>
      </c>
      <c r="N258">
        <v>4.866573221916946</v>
      </c>
      <c r="O258">
        <v>309.4979467130691</v>
      </c>
      <c r="P258">
        <v>4.430686989226623</v>
      </c>
    </row>
    <row r="259" spans="4:16" x14ac:dyDescent="0.55000000000000004">
      <c r="D259">
        <v>252</v>
      </c>
      <c r="E259">
        <v>5.15766630013729</v>
      </c>
      <c r="F259">
        <v>4.84233369986271</v>
      </c>
      <c r="G259">
        <v>6.6762407586372001</v>
      </c>
      <c r="H259">
        <v>3.3237592413628025</v>
      </c>
      <c r="I259">
        <v>270.27096673421318</v>
      </c>
      <c r="J259">
        <v>4.7743848632531165</v>
      </c>
      <c r="K259">
        <v>250.77253430279004</v>
      </c>
      <c r="L259">
        <v>4.3448809652074516</v>
      </c>
      <c r="M259">
        <v>399.84699260966187</v>
      </c>
      <c r="N259">
        <v>4.7079568773817426</v>
      </c>
      <c r="O259">
        <v>372.30577378332936</v>
      </c>
      <c r="P259">
        <v>4.2851668871384572</v>
      </c>
    </row>
    <row r="260" spans="4:16" x14ac:dyDescent="0.55000000000000004">
      <c r="D260">
        <v>253</v>
      </c>
      <c r="E260">
        <v>7.1820216913149313</v>
      </c>
      <c r="F260">
        <v>2.81797830868507</v>
      </c>
      <c r="G260">
        <v>6.3812685633911501</v>
      </c>
      <c r="H260">
        <v>3.6187314366088512</v>
      </c>
      <c r="I260">
        <v>348.96448025673641</v>
      </c>
      <c r="J260">
        <v>4.749505926722577</v>
      </c>
      <c r="K260">
        <v>320.96766376948221</v>
      </c>
      <c r="L260">
        <v>4.323821953177851</v>
      </c>
      <c r="M260">
        <v>360.05699555256291</v>
      </c>
      <c r="N260">
        <v>4.7774345408822683</v>
      </c>
      <c r="O260">
        <v>336.19867701208989</v>
      </c>
      <c r="P260">
        <v>4.3487798661155246</v>
      </c>
    </row>
    <row r="261" spans="4:16" x14ac:dyDescent="0.55000000000000004">
      <c r="D261">
        <v>254</v>
      </c>
      <c r="E261">
        <v>5.7384169768869722</v>
      </c>
      <c r="F261">
        <v>4.2615830231130278</v>
      </c>
      <c r="G261">
        <v>6.435877666972563</v>
      </c>
      <c r="H261">
        <v>3.5641223330274374</v>
      </c>
      <c r="I261">
        <v>276.4377849891934</v>
      </c>
      <c r="J261">
        <v>4.865012439381192</v>
      </c>
      <c r="K261">
        <v>255.83204099362197</v>
      </c>
      <c r="L261">
        <v>4.4292937674157429</v>
      </c>
      <c r="M261">
        <v>360.03668326738887</v>
      </c>
      <c r="N261">
        <v>4.8486057339149697</v>
      </c>
      <c r="O261">
        <v>335.98720232561641</v>
      </c>
      <c r="P261">
        <v>4.4145686759510161</v>
      </c>
    </row>
    <row r="262" spans="4:16" x14ac:dyDescent="0.55000000000000004">
      <c r="D262">
        <v>255</v>
      </c>
      <c r="E262">
        <v>5.6778151079922399</v>
      </c>
      <c r="F262">
        <v>4.322184892007761</v>
      </c>
      <c r="G262">
        <v>6.3356499184079249</v>
      </c>
      <c r="H262">
        <v>3.6643500815920751</v>
      </c>
      <c r="I262">
        <v>280.77608218932818</v>
      </c>
      <c r="J262">
        <v>4.9215127967390027</v>
      </c>
      <c r="K262">
        <v>260.18970380222731</v>
      </c>
      <c r="L262">
        <v>4.4814867641816019</v>
      </c>
      <c r="M262">
        <v>363.3069549428775</v>
      </c>
      <c r="N262">
        <v>4.9124192257975006</v>
      </c>
      <c r="O262">
        <v>339.34889313311169</v>
      </c>
      <c r="P262">
        <v>4.4733357023030624</v>
      </c>
    </row>
    <row r="263" spans="4:16" x14ac:dyDescent="0.55000000000000004">
      <c r="D263">
        <v>256</v>
      </c>
      <c r="E263">
        <v>6.9274324816977195</v>
      </c>
      <c r="F263">
        <v>3.0725675183022805</v>
      </c>
      <c r="G263">
        <v>6.5565803667483786</v>
      </c>
      <c r="H263">
        <v>3.443419633251624</v>
      </c>
      <c r="I263">
        <v>371.88619936552482</v>
      </c>
      <c r="J263">
        <v>4.725383781416137</v>
      </c>
      <c r="K263">
        <v>342.27917748628073</v>
      </c>
      <c r="L263">
        <v>4.3014661566633041</v>
      </c>
      <c r="M263">
        <v>401.97770023261393</v>
      </c>
      <c r="N263">
        <v>4.7400850442188114</v>
      </c>
      <c r="O263">
        <v>374.46457264581227</v>
      </c>
      <c r="P263">
        <v>4.3146212009354556</v>
      </c>
    </row>
    <row r="264" spans="4:16" x14ac:dyDescent="0.55000000000000004">
      <c r="D264">
        <v>257</v>
      </c>
      <c r="E264">
        <v>7.2535805939398195</v>
      </c>
      <c r="F264">
        <v>2.7464194060601823</v>
      </c>
      <c r="G264">
        <v>5.0471330899833493</v>
      </c>
      <c r="H264">
        <v>4.9528669100166525</v>
      </c>
      <c r="I264">
        <v>378.44621820970542</v>
      </c>
      <c r="J264">
        <v>4.8539095044971718</v>
      </c>
      <c r="K264">
        <v>347.97605819144098</v>
      </c>
      <c r="L264">
        <v>4.4198911323063399</v>
      </c>
      <c r="M264">
        <v>313.32766362326987</v>
      </c>
      <c r="N264">
        <v>4.8983483860921853</v>
      </c>
      <c r="O264">
        <v>294.76039835527621</v>
      </c>
      <c r="P264">
        <v>4.4597351739787596</v>
      </c>
    </row>
    <row r="265" spans="4:16" x14ac:dyDescent="0.55000000000000004">
      <c r="D265">
        <v>258</v>
      </c>
      <c r="E265">
        <v>7.1562148496030442</v>
      </c>
      <c r="F265">
        <v>2.8437851503969589</v>
      </c>
      <c r="G265">
        <v>6.9676419594557526</v>
      </c>
      <c r="H265">
        <v>3.0323580405442474</v>
      </c>
      <c r="I265">
        <v>336.93332175323155</v>
      </c>
      <c r="J265">
        <v>4.8794576799632452</v>
      </c>
      <c r="K265">
        <v>309.86731835634191</v>
      </c>
      <c r="L265">
        <v>4.4433602184253802</v>
      </c>
      <c r="M265">
        <v>378.05481662094672</v>
      </c>
      <c r="N265">
        <v>4.8826340817555476</v>
      </c>
      <c r="O265">
        <v>351.93739333379176</v>
      </c>
      <c r="P265">
        <v>4.4461972532278793</v>
      </c>
    </row>
    <row r="266" spans="4:16" x14ac:dyDescent="0.55000000000000004">
      <c r="D266">
        <v>259</v>
      </c>
      <c r="E266">
        <v>6.53720023171919</v>
      </c>
      <c r="F266">
        <v>3.4627997682808092</v>
      </c>
      <c r="G266">
        <v>5.9141870187546477</v>
      </c>
      <c r="H266">
        <v>4.0858129812453514</v>
      </c>
      <c r="I266">
        <v>325.71226352397161</v>
      </c>
      <c r="J266">
        <v>4.6560762606706865</v>
      </c>
      <c r="K266">
        <v>300.35026111515248</v>
      </c>
      <c r="L266">
        <v>4.2370756433098391</v>
      </c>
      <c r="M266">
        <v>344.67098643176638</v>
      </c>
      <c r="N266">
        <v>4.6888531416379662</v>
      </c>
      <c r="O266">
        <v>322.51995175577025</v>
      </c>
      <c r="P266">
        <v>4.2664620224348182</v>
      </c>
    </row>
    <row r="267" spans="4:16" x14ac:dyDescent="0.55000000000000004">
      <c r="D267">
        <v>260</v>
      </c>
      <c r="E267">
        <v>6.7362847739198237</v>
      </c>
      <c r="F267">
        <v>3.2637152260801758</v>
      </c>
      <c r="G267">
        <v>6.7942569705864635</v>
      </c>
      <c r="H267">
        <v>3.2057430294135369</v>
      </c>
      <c r="I267">
        <v>342.51474310777547</v>
      </c>
      <c r="J267">
        <v>4.7942108590723551</v>
      </c>
      <c r="K267">
        <v>315.17653370158706</v>
      </c>
      <c r="L267">
        <v>4.3648554771405097</v>
      </c>
      <c r="M267">
        <v>395.46241125350809</v>
      </c>
      <c r="N267">
        <v>4.7924398459768422</v>
      </c>
      <c r="O267">
        <v>367.82054754925582</v>
      </c>
      <c r="P267">
        <v>4.3632669051176647</v>
      </c>
    </row>
    <row r="268" spans="4:16" x14ac:dyDescent="0.55000000000000004">
      <c r="D268">
        <v>261</v>
      </c>
      <c r="E268">
        <v>5.7868233420883088</v>
      </c>
      <c r="F268">
        <v>4.2131766579116912</v>
      </c>
      <c r="G268">
        <v>4.7590158963508244</v>
      </c>
      <c r="H268">
        <v>5.2409841036491756</v>
      </c>
      <c r="I268">
        <v>282.50306337513177</v>
      </c>
      <c r="J268">
        <v>4.8051271337288881</v>
      </c>
      <c r="K268">
        <v>261.30015953556244</v>
      </c>
      <c r="L268">
        <v>4.3739723862556588</v>
      </c>
      <c r="M268">
        <v>282.32721821518157</v>
      </c>
      <c r="N268">
        <v>4.8397388319068675</v>
      </c>
      <c r="O268">
        <v>266.01515714112804</v>
      </c>
      <c r="P268">
        <v>4.4052103420861739</v>
      </c>
    </row>
    <row r="269" spans="4:16" x14ac:dyDescent="0.55000000000000004">
      <c r="D269">
        <v>262</v>
      </c>
      <c r="E269">
        <v>7.9572518459730572</v>
      </c>
      <c r="F269">
        <v>2.0427481540269463</v>
      </c>
      <c r="G269">
        <v>5.4546570413494582</v>
      </c>
      <c r="H269">
        <v>4.5453429586505409</v>
      </c>
      <c r="I269">
        <v>395.44994970123003</v>
      </c>
      <c r="J269">
        <v>4.7550327662779832</v>
      </c>
      <c r="K269">
        <v>362.68241029048028</v>
      </c>
      <c r="L269">
        <v>4.3295504163954464</v>
      </c>
      <c r="M269">
        <v>321.07899742179495</v>
      </c>
      <c r="N269">
        <v>4.8320761649641737</v>
      </c>
      <c r="O269">
        <v>301.59213815702316</v>
      </c>
      <c r="P269">
        <v>4.3983669042430726</v>
      </c>
    </row>
    <row r="270" spans="4:16" x14ac:dyDescent="0.55000000000000004">
      <c r="D270">
        <v>263</v>
      </c>
      <c r="E270">
        <v>7.1489998829107195</v>
      </c>
      <c r="F270">
        <v>2.8510001170892787</v>
      </c>
      <c r="G270">
        <v>6.4360950100777341</v>
      </c>
      <c r="H270">
        <v>3.5639049899222659</v>
      </c>
      <c r="I270">
        <v>341.8321678003303</v>
      </c>
      <c r="J270">
        <v>4.7994650702005242</v>
      </c>
      <c r="K270">
        <v>314.45342261745685</v>
      </c>
      <c r="L270">
        <v>4.3697460584116206</v>
      </c>
      <c r="M270">
        <v>357.74434823014758</v>
      </c>
      <c r="N270">
        <v>4.8194625986616755</v>
      </c>
      <c r="O270">
        <v>333.99380059353024</v>
      </c>
      <c r="P270">
        <v>4.3876151144562661</v>
      </c>
    </row>
    <row r="271" spans="4:16" x14ac:dyDescent="0.55000000000000004">
      <c r="D271">
        <v>264</v>
      </c>
      <c r="E271">
        <v>7.185393975621599</v>
      </c>
      <c r="F271">
        <v>2.8146060243784015</v>
      </c>
      <c r="G271">
        <v>5.4020707593533182</v>
      </c>
      <c r="H271">
        <v>4.5979292406466818</v>
      </c>
      <c r="I271">
        <v>347.78556610782414</v>
      </c>
      <c r="J271">
        <v>4.9587660815972825</v>
      </c>
      <c r="K271">
        <v>319.93895983608286</v>
      </c>
      <c r="L271">
        <v>4.5162869325537933</v>
      </c>
      <c r="M271">
        <v>311.46962067360931</v>
      </c>
      <c r="N271">
        <v>4.9689998146722898</v>
      </c>
      <c r="O271">
        <v>292.66794110905454</v>
      </c>
      <c r="P271">
        <v>4.5254482871112645</v>
      </c>
    </row>
    <row r="272" spans="4:16" x14ac:dyDescent="0.55000000000000004">
      <c r="D272">
        <v>265</v>
      </c>
      <c r="E272">
        <v>6.4638666846002026</v>
      </c>
      <c r="F272">
        <v>3.5361333153997969</v>
      </c>
      <c r="G272">
        <v>6.0551315559128094</v>
      </c>
      <c r="H272">
        <v>3.9448684440871915</v>
      </c>
      <c r="I272">
        <v>295.80535285976271</v>
      </c>
      <c r="J272">
        <v>4.9485816443530748</v>
      </c>
      <c r="K272">
        <v>272.70799593460561</v>
      </c>
      <c r="L272">
        <v>4.5068158620048813</v>
      </c>
      <c r="M272">
        <v>327.1004437291943</v>
      </c>
      <c r="N272">
        <v>4.9518330245621245</v>
      </c>
      <c r="O272">
        <v>305.91898809013043</v>
      </c>
      <c r="P272">
        <v>4.5097342107364398</v>
      </c>
    </row>
    <row r="273" spans="4:16" x14ac:dyDescent="0.55000000000000004">
      <c r="D273">
        <v>266</v>
      </c>
      <c r="E273">
        <v>7.1100024815118603</v>
      </c>
      <c r="F273">
        <v>2.8899975184881406</v>
      </c>
      <c r="G273">
        <v>5.1723974632674699</v>
      </c>
      <c r="H273">
        <v>4.8276025367325301</v>
      </c>
      <c r="I273">
        <v>328.81341110317362</v>
      </c>
      <c r="J273">
        <v>4.8898020139641005</v>
      </c>
      <c r="K273">
        <v>302.65176464347093</v>
      </c>
      <c r="L273">
        <v>4.4527891055000897</v>
      </c>
      <c r="M273">
        <v>289.20577494886237</v>
      </c>
      <c r="N273">
        <v>4.9198329698320897</v>
      </c>
      <c r="O273">
        <v>272.43169311633727</v>
      </c>
      <c r="P273">
        <v>4.4796739283918532</v>
      </c>
    </row>
    <row r="274" spans="4:16" x14ac:dyDescent="0.55000000000000004">
      <c r="D274">
        <v>267</v>
      </c>
      <c r="E274">
        <v>7.810716316572532</v>
      </c>
      <c r="F274">
        <v>2.1892836834274694</v>
      </c>
      <c r="G274">
        <v>5.7730439580622068</v>
      </c>
      <c r="H274">
        <v>4.2269560419377923</v>
      </c>
      <c r="I274">
        <v>397.90729702656927</v>
      </c>
      <c r="J274">
        <v>4.9348262287837974</v>
      </c>
      <c r="K274">
        <v>365.00298916487236</v>
      </c>
      <c r="L274">
        <v>4.4944349899630209</v>
      </c>
      <c r="M274">
        <v>344.10059511367842</v>
      </c>
      <c r="N274">
        <v>4.9518288680712272</v>
      </c>
      <c r="O274">
        <v>322.1522132470476</v>
      </c>
      <c r="P274">
        <v>4.5096431434001047</v>
      </c>
    </row>
    <row r="275" spans="4:16" x14ac:dyDescent="0.55000000000000004">
      <c r="D275">
        <v>268</v>
      </c>
      <c r="E275">
        <v>6.4677956269029018</v>
      </c>
      <c r="F275">
        <v>3.5322043730971</v>
      </c>
      <c r="G275">
        <v>5.929867940305904</v>
      </c>
      <c r="H275">
        <v>4.070132059694096</v>
      </c>
      <c r="I275">
        <v>326.45152485127039</v>
      </c>
      <c r="J275">
        <v>4.8143174453970241</v>
      </c>
      <c r="K275">
        <v>301.34544842749199</v>
      </c>
      <c r="L275">
        <v>4.3828168657059434</v>
      </c>
      <c r="M275">
        <v>349.3004947817883</v>
      </c>
      <c r="N275">
        <v>4.8297606957408554</v>
      </c>
      <c r="O275">
        <v>327.04283528367887</v>
      </c>
      <c r="P275">
        <v>4.3966399633132438</v>
      </c>
    </row>
    <row r="276" spans="4:16" x14ac:dyDescent="0.55000000000000004">
      <c r="D276">
        <v>269</v>
      </c>
      <c r="E276">
        <v>6.5017854779570659</v>
      </c>
      <c r="F276">
        <v>3.4982145220429337</v>
      </c>
      <c r="G276">
        <v>5.871354680858925</v>
      </c>
      <c r="H276">
        <v>4.128645319141075</v>
      </c>
      <c r="I276">
        <v>315.82716753697628</v>
      </c>
      <c r="J276">
        <v>4.8264045950961787</v>
      </c>
      <c r="K276">
        <v>291.58098682903585</v>
      </c>
      <c r="L276">
        <v>4.3939509056173467</v>
      </c>
      <c r="M276">
        <v>335.2037066967788</v>
      </c>
      <c r="N276">
        <v>4.8432368775295398</v>
      </c>
      <c r="O276">
        <v>314.19007462115411</v>
      </c>
      <c r="P276">
        <v>4.4090064074365678</v>
      </c>
    </row>
    <row r="277" spans="4:16" x14ac:dyDescent="0.55000000000000004">
      <c r="D277">
        <v>270</v>
      </c>
      <c r="E277">
        <v>5.8842732425577271</v>
      </c>
      <c r="F277">
        <v>4.1157267574422729</v>
      </c>
      <c r="G277">
        <v>5.8018389146788634</v>
      </c>
      <c r="H277">
        <v>4.1981610853211357</v>
      </c>
      <c r="I277">
        <v>284.49273843206947</v>
      </c>
      <c r="J277">
        <v>4.8210621768477351</v>
      </c>
      <c r="K277">
        <v>263.27253208035069</v>
      </c>
      <c r="L277">
        <v>4.3886284021223165</v>
      </c>
      <c r="M277">
        <v>330.50720500893584</v>
      </c>
      <c r="N277">
        <v>4.8235689637652728</v>
      </c>
      <c r="O277">
        <v>309.69519318050277</v>
      </c>
      <c r="P277">
        <v>4.3908784463200856</v>
      </c>
    </row>
    <row r="278" spans="4:16" x14ac:dyDescent="0.55000000000000004">
      <c r="D278">
        <v>271</v>
      </c>
      <c r="E278">
        <v>7.171585239013476</v>
      </c>
      <c r="F278">
        <v>2.8284147609865253</v>
      </c>
      <c r="G278">
        <v>5.4110757988740978</v>
      </c>
      <c r="H278">
        <v>4.5889242011259022</v>
      </c>
      <c r="I278">
        <v>357.16426031754338</v>
      </c>
      <c r="J278">
        <v>4.8721313253858174</v>
      </c>
      <c r="K278">
        <v>328.48005731628314</v>
      </c>
      <c r="L278">
        <v>4.4366199011677185</v>
      </c>
      <c r="M278">
        <v>319.48614857332177</v>
      </c>
      <c r="N278">
        <v>4.9035210392710749</v>
      </c>
      <c r="O278">
        <v>299.90092041583762</v>
      </c>
      <c r="P278">
        <v>4.4647520834830843</v>
      </c>
    </row>
    <row r="279" spans="4:16" x14ac:dyDescent="0.55000000000000004">
      <c r="D279">
        <v>272</v>
      </c>
      <c r="E279">
        <v>5.299122550206862</v>
      </c>
      <c r="F279">
        <v>4.7008774497931389</v>
      </c>
      <c r="G279">
        <v>6.421869116964614</v>
      </c>
      <c r="H279">
        <v>3.5781308830353851</v>
      </c>
      <c r="I279">
        <v>268.27677394528502</v>
      </c>
      <c r="J279">
        <v>4.8645472675285166</v>
      </c>
      <c r="K279">
        <v>249.0137105223244</v>
      </c>
      <c r="L279">
        <v>4.4284924934729473</v>
      </c>
      <c r="M279">
        <v>375.11766109860372</v>
      </c>
      <c r="N279">
        <v>4.8358483482452881</v>
      </c>
      <c r="O279">
        <v>350.04351095535088</v>
      </c>
      <c r="P279">
        <v>4.4027275873110074</v>
      </c>
    </row>
    <row r="280" spans="4:16" x14ac:dyDescent="0.55000000000000004">
      <c r="D280">
        <v>273</v>
      </c>
      <c r="E280">
        <v>5.9738310273295427</v>
      </c>
      <c r="F280">
        <v>4.0261689726704546</v>
      </c>
      <c r="G280">
        <v>6.3358730339680305</v>
      </c>
      <c r="H280">
        <v>3.6641269660319704</v>
      </c>
      <c r="I280">
        <v>288.0829806350639</v>
      </c>
      <c r="J280">
        <v>4.762201514308698</v>
      </c>
      <c r="K280">
        <v>266.2171095300194</v>
      </c>
      <c r="L280">
        <v>4.3344700475133022</v>
      </c>
      <c r="M280">
        <v>355.54215212993267</v>
      </c>
      <c r="N280">
        <v>4.7477898176032829</v>
      </c>
      <c r="O280">
        <v>331.89037971805527</v>
      </c>
      <c r="P280">
        <v>4.3215325254551464</v>
      </c>
    </row>
    <row r="281" spans="4:16" x14ac:dyDescent="0.55000000000000004">
      <c r="D281">
        <v>274</v>
      </c>
      <c r="E281">
        <v>6.9354449912000229</v>
      </c>
      <c r="F281">
        <v>3.0645550087999744</v>
      </c>
      <c r="G281">
        <v>6.1556793759573081</v>
      </c>
      <c r="H281">
        <v>3.8443206240426937</v>
      </c>
      <c r="I281">
        <v>353.88161996888437</v>
      </c>
      <c r="J281">
        <v>4.8245032176289966</v>
      </c>
      <c r="K281">
        <v>325.6006410127091</v>
      </c>
      <c r="L281">
        <v>4.3927476258311335</v>
      </c>
      <c r="M281">
        <v>364.09401881737131</v>
      </c>
      <c r="N281">
        <v>4.8442346633620801</v>
      </c>
      <c r="O281">
        <v>339.93402213553992</v>
      </c>
      <c r="P281">
        <v>4.4104353962543241</v>
      </c>
    </row>
    <row r="282" spans="4:16" x14ac:dyDescent="0.55000000000000004">
      <c r="D282">
        <v>275</v>
      </c>
      <c r="E282">
        <v>6.5757155689520053</v>
      </c>
      <c r="F282">
        <v>3.4242844310479916</v>
      </c>
      <c r="G282">
        <v>5.6898830809855276</v>
      </c>
      <c r="H282">
        <v>4.3101169190144732</v>
      </c>
      <c r="I282">
        <v>323.36490784121816</v>
      </c>
      <c r="J282">
        <v>4.8860898651561939</v>
      </c>
      <c r="K282">
        <v>298.41456945790765</v>
      </c>
      <c r="L282">
        <v>4.4490983161165838</v>
      </c>
      <c r="M282">
        <v>329.80354363219885</v>
      </c>
      <c r="N282">
        <v>4.9014350085242757</v>
      </c>
      <c r="O282">
        <v>309.43488465734123</v>
      </c>
      <c r="P282">
        <v>4.4628294942504283</v>
      </c>
    </row>
    <row r="283" spans="4:16" x14ac:dyDescent="0.55000000000000004">
      <c r="D283">
        <v>276</v>
      </c>
      <c r="E283">
        <v>6.739358211907903</v>
      </c>
      <c r="F283">
        <v>3.2606417880920953</v>
      </c>
      <c r="G283">
        <v>5.9623929081728191</v>
      </c>
      <c r="H283">
        <v>4.03760709182718</v>
      </c>
      <c r="I283">
        <v>336.92406854132253</v>
      </c>
      <c r="J283">
        <v>4.8239303350174847</v>
      </c>
      <c r="K283">
        <v>310.07493840216546</v>
      </c>
      <c r="L283">
        <v>4.3921804646514255</v>
      </c>
      <c r="M283">
        <v>348.08085780542075</v>
      </c>
      <c r="N283">
        <v>4.8442290068539169</v>
      </c>
      <c r="O283">
        <v>325.17303562504736</v>
      </c>
      <c r="P283">
        <v>4.4104194891171593</v>
      </c>
    </row>
    <row r="284" spans="4:16" x14ac:dyDescent="0.55000000000000004">
      <c r="D284">
        <v>277</v>
      </c>
      <c r="E284">
        <v>7.2876969284582618</v>
      </c>
      <c r="F284">
        <v>2.71230307154174</v>
      </c>
      <c r="G284">
        <v>6.1861294006176948</v>
      </c>
      <c r="H284">
        <v>3.8138705993823043</v>
      </c>
      <c r="I284">
        <v>344.42731971346626</v>
      </c>
      <c r="J284">
        <v>4.7136244150665831</v>
      </c>
      <c r="K284">
        <v>316.1976150974462</v>
      </c>
      <c r="L284">
        <v>4.2913154454390039</v>
      </c>
      <c r="M284">
        <v>342.36561149177419</v>
      </c>
      <c r="N284">
        <v>4.7569113475811777</v>
      </c>
      <c r="O284">
        <v>319.43988096640521</v>
      </c>
      <c r="P284">
        <v>4.330192365751472</v>
      </c>
    </row>
    <row r="285" spans="4:16" x14ac:dyDescent="0.55000000000000004">
      <c r="D285">
        <v>278</v>
      </c>
      <c r="E285">
        <v>6.6142735386924469</v>
      </c>
      <c r="F285">
        <v>3.3857264613075535</v>
      </c>
      <c r="G285">
        <v>5.2025916006867163</v>
      </c>
      <c r="H285">
        <v>4.7974083993132837</v>
      </c>
      <c r="I285">
        <v>292.36076828569685</v>
      </c>
      <c r="J285">
        <v>4.8568284189073312</v>
      </c>
      <c r="K285">
        <v>269.72916867449931</v>
      </c>
      <c r="L285">
        <v>4.4221306281078556</v>
      </c>
      <c r="M285">
        <v>279.96231839455646</v>
      </c>
      <c r="N285">
        <v>4.887385476138471</v>
      </c>
      <c r="O285">
        <v>263.81160254578629</v>
      </c>
      <c r="P285">
        <v>4.4495139408568436</v>
      </c>
    </row>
    <row r="286" spans="4:16" x14ac:dyDescent="0.55000000000000004">
      <c r="D286">
        <v>279</v>
      </c>
      <c r="E286">
        <v>6.6258696759681595</v>
      </c>
      <c r="F286">
        <v>3.3741303240318397</v>
      </c>
      <c r="G286">
        <v>5.220321188317314</v>
      </c>
      <c r="H286">
        <v>4.7796788116826852</v>
      </c>
      <c r="I286">
        <v>331.76612229460949</v>
      </c>
      <c r="J286">
        <v>4.7864171207291379</v>
      </c>
      <c r="K286">
        <v>305.85681009608868</v>
      </c>
      <c r="L286">
        <v>4.3573162197774886</v>
      </c>
      <c r="M286">
        <v>311.38843691146974</v>
      </c>
      <c r="N286">
        <v>4.8317245456602516</v>
      </c>
      <c r="O286">
        <v>292.67418580585888</v>
      </c>
      <c r="P286">
        <v>4.3979916411329363</v>
      </c>
    </row>
    <row r="287" spans="4:16" x14ac:dyDescent="0.55000000000000004">
      <c r="D287">
        <v>280</v>
      </c>
      <c r="E287">
        <v>6.869503522999473</v>
      </c>
      <c r="F287">
        <v>3.1304964770005279</v>
      </c>
      <c r="G287">
        <v>5.501872651555419</v>
      </c>
      <c r="H287">
        <v>4.4981273484445818</v>
      </c>
      <c r="I287">
        <v>346.81013321131616</v>
      </c>
      <c r="J287">
        <v>4.8503548803001681</v>
      </c>
      <c r="K287">
        <v>319.69752288484312</v>
      </c>
      <c r="L287">
        <v>4.4162730220782391</v>
      </c>
      <c r="M287">
        <v>327.76464206025832</v>
      </c>
      <c r="N287">
        <v>4.8801473223270513</v>
      </c>
      <c r="O287">
        <v>307.98526443280929</v>
      </c>
      <c r="P287">
        <v>4.4429012472038734</v>
      </c>
    </row>
    <row r="288" spans="4:16" x14ac:dyDescent="0.55000000000000004">
      <c r="D288">
        <v>281</v>
      </c>
      <c r="E288">
        <v>6.1578944942580707</v>
      </c>
      <c r="F288">
        <v>3.8421055057419293</v>
      </c>
      <c r="G288">
        <v>6.0171167146675621</v>
      </c>
      <c r="H288">
        <v>3.9828832853324361</v>
      </c>
      <c r="I288">
        <v>304.47463934085908</v>
      </c>
      <c r="J288">
        <v>4.7866525931428319</v>
      </c>
      <c r="K288">
        <v>281.4340810846835</v>
      </c>
      <c r="L288">
        <v>4.3570165860583963</v>
      </c>
      <c r="M288">
        <v>347.51393812910635</v>
      </c>
      <c r="N288">
        <v>4.7915300028234853</v>
      </c>
      <c r="O288">
        <v>325.19731876527425</v>
      </c>
      <c r="P288">
        <v>4.3613867269374884</v>
      </c>
    </row>
    <row r="289" spans="4:16" x14ac:dyDescent="0.55000000000000004">
      <c r="D289">
        <v>282</v>
      </c>
      <c r="E289">
        <v>6.7446406030186878</v>
      </c>
      <c r="F289">
        <v>3.2553593969813135</v>
      </c>
      <c r="G289">
        <v>6.3733029972103754</v>
      </c>
      <c r="H289">
        <v>3.6266970027896237</v>
      </c>
      <c r="I289">
        <v>333.36655236004435</v>
      </c>
      <c r="J289">
        <v>4.9638041039502268</v>
      </c>
      <c r="K289">
        <v>306.98587791033344</v>
      </c>
      <c r="L289">
        <v>4.5208877553002678</v>
      </c>
      <c r="M289">
        <v>365.01249249293363</v>
      </c>
      <c r="N289">
        <v>4.9657969302800966</v>
      </c>
      <c r="O289">
        <v>340.53785645930918</v>
      </c>
      <c r="P289">
        <v>4.5226736299492112</v>
      </c>
    </row>
    <row r="290" spans="4:16" x14ac:dyDescent="0.55000000000000004">
      <c r="D290">
        <v>283</v>
      </c>
      <c r="E290">
        <v>6.7764622659608911</v>
      </c>
      <c r="F290">
        <v>3.2235377340391094</v>
      </c>
      <c r="G290">
        <v>6.8662524080323983</v>
      </c>
      <c r="H290">
        <v>3.1337475919676012</v>
      </c>
      <c r="I290">
        <v>333.30222787421195</v>
      </c>
      <c r="J290">
        <v>4.9840902413818586</v>
      </c>
      <c r="K290">
        <v>307.12685250868594</v>
      </c>
      <c r="L290">
        <v>4.5395590100378538</v>
      </c>
      <c r="M290">
        <v>387.71858160260268</v>
      </c>
      <c r="N290">
        <v>4.9838794323445494</v>
      </c>
      <c r="O290">
        <v>361.07170409871406</v>
      </c>
      <c r="P290">
        <v>4.5393707075564027</v>
      </c>
    </row>
    <row r="291" spans="4:16" x14ac:dyDescent="0.55000000000000004">
      <c r="D291">
        <v>284</v>
      </c>
      <c r="E291">
        <v>7.4679962001741025</v>
      </c>
      <c r="F291">
        <v>2.5320037998258975</v>
      </c>
      <c r="G291">
        <v>6.2433757556833589</v>
      </c>
      <c r="H291">
        <v>3.7566242443166393</v>
      </c>
      <c r="I291">
        <v>368.06473218238318</v>
      </c>
      <c r="J291">
        <v>4.9109561852425294</v>
      </c>
      <c r="K291">
        <v>338.14933540205982</v>
      </c>
      <c r="L291">
        <v>4.4724127679994066</v>
      </c>
      <c r="M291">
        <v>357.70856918432912</v>
      </c>
      <c r="N291">
        <v>4.9255578097057144</v>
      </c>
      <c r="O291">
        <v>334.23455483918121</v>
      </c>
      <c r="P291">
        <v>4.485456065314704</v>
      </c>
    </row>
    <row r="292" spans="4:16" x14ac:dyDescent="0.55000000000000004">
      <c r="D292">
        <v>285</v>
      </c>
      <c r="E292">
        <v>6.9555795454961373</v>
      </c>
      <c r="F292">
        <v>3.0444204545038627</v>
      </c>
      <c r="G292">
        <v>6.0346985540744704</v>
      </c>
      <c r="H292">
        <v>3.9653014459255251</v>
      </c>
      <c r="I292">
        <v>339.9264386858444</v>
      </c>
      <c r="J292">
        <v>4.8105065464994663</v>
      </c>
      <c r="K292">
        <v>313.01726813345618</v>
      </c>
      <c r="L292">
        <v>4.3797264995708307</v>
      </c>
      <c r="M292">
        <v>344.92202261671173</v>
      </c>
      <c r="N292">
        <v>4.8355944515670544</v>
      </c>
      <c r="O292">
        <v>322.77076943189468</v>
      </c>
      <c r="P292">
        <v>4.4021620831628185</v>
      </c>
    </row>
    <row r="293" spans="4:16" x14ac:dyDescent="0.55000000000000004">
      <c r="D293">
        <v>286</v>
      </c>
      <c r="E293">
        <v>6.8023817682363434</v>
      </c>
      <c r="F293">
        <v>3.1976182317636552</v>
      </c>
      <c r="G293">
        <v>5.9529714822791613</v>
      </c>
      <c r="H293">
        <v>4.047028517720836</v>
      </c>
      <c r="I293">
        <v>325.80693294217184</v>
      </c>
      <c r="J293">
        <v>4.8447374581896314</v>
      </c>
      <c r="K293">
        <v>300.33879226768329</v>
      </c>
      <c r="L293">
        <v>4.4110935621887384</v>
      </c>
      <c r="M293">
        <v>335.12357092190206</v>
      </c>
      <c r="N293">
        <v>4.864125020448105</v>
      </c>
      <c r="O293">
        <v>313.97723778426092</v>
      </c>
      <c r="P293">
        <v>4.4284215770418607</v>
      </c>
    </row>
    <row r="294" spans="4:16" x14ac:dyDescent="0.55000000000000004">
      <c r="D294">
        <v>287</v>
      </c>
      <c r="E294">
        <v>6.1230419037693542</v>
      </c>
      <c r="F294">
        <v>3.8769580962306454</v>
      </c>
      <c r="G294">
        <v>5.2301250671403725</v>
      </c>
      <c r="H294">
        <v>4.7698749328596266</v>
      </c>
      <c r="I294">
        <v>299.63140318378277</v>
      </c>
      <c r="J294">
        <v>4.9078107496357539</v>
      </c>
      <c r="K294">
        <v>276.86432085582913</v>
      </c>
      <c r="L294">
        <v>4.4690349440766219</v>
      </c>
      <c r="M294">
        <v>305.93646708986768</v>
      </c>
      <c r="N294">
        <v>4.9212546121962504</v>
      </c>
      <c r="O294">
        <v>287.57884394703729</v>
      </c>
      <c r="P294">
        <v>4.4811221239514287</v>
      </c>
    </row>
    <row r="295" spans="4:16" x14ac:dyDescent="0.55000000000000004">
      <c r="D295">
        <v>288</v>
      </c>
      <c r="E295">
        <v>6.9927201272748949</v>
      </c>
      <c r="F295">
        <v>3.0072798727251082</v>
      </c>
      <c r="G295">
        <v>6.1881995160626797</v>
      </c>
      <c r="H295">
        <v>3.8118004839373199</v>
      </c>
      <c r="I295">
        <v>372.40501994073327</v>
      </c>
      <c r="J295">
        <v>4.8360081602684764</v>
      </c>
      <c r="K295">
        <v>342.66888134008053</v>
      </c>
      <c r="L295">
        <v>4.4033220518909824</v>
      </c>
      <c r="M295">
        <v>379.55938779643992</v>
      </c>
      <c r="N295">
        <v>4.8548756128095842</v>
      </c>
      <c r="O295">
        <v>354.30295259562001</v>
      </c>
      <c r="P295">
        <v>4.420216827473797</v>
      </c>
    </row>
    <row r="296" spans="4:16" x14ac:dyDescent="0.55000000000000004">
      <c r="D296">
        <v>289</v>
      </c>
      <c r="E296">
        <v>6.2900782087174649</v>
      </c>
      <c r="F296">
        <v>3.7099217912825337</v>
      </c>
      <c r="G296">
        <v>6.0525320256659949</v>
      </c>
      <c r="H296">
        <v>3.9474679743340042</v>
      </c>
      <c r="I296">
        <v>305.65302420448671</v>
      </c>
      <c r="J296">
        <v>4.8664284568225638</v>
      </c>
      <c r="K296">
        <v>282.36633243590427</v>
      </c>
      <c r="L296">
        <v>4.4308241507363553</v>
      </c>
      <c r="M296">
        <v>344.10997071156072</v>
      </c>
      <c r="N296">
        <v>4.8714728154447071</v>
      </c>
      <c r="O296">
        <v>322.03060467287918</v>
      </c>
      <c r="P296">
        <v>4.4353409033867264</v>
      </c>
    </row>
    <row r="297" spans="4:16" x14ac:dyDescent="0.55000000000000004">
      <c r="D297">
        <v>290</v>
      </c>
      <c r="E297">
        <v>7.4915822650976045</v>
      </c>
      <c r="F297">
        <v>2.5084177349023955</v>
      </c>
      <c r="G297">
        <v>6.8786599628535718</v>
      </c>
      <c r="H297">
        <v>3.1213400371464295</v>
      </c>
      <c r="I297">
        <v>390.26997583370934</v>
      </c>
      <c r="J297">
        <v>4.9100758664972775</v>
      </c>
      <c r="K297">
        <v>358.31333216115883</v>
      </c>
      <c r="L297">
        <v>4.471658483206423</v>
      </c>
      <c r="M297">
        <v>408.34011594294248</v>
      </c>
      <c r="N297">
        <v>4.9174329914654669</v>
      </c>
      <c r="O297">
        <v>379.77209678535303</v>
      </c>
      <c r="P297">
        <v>4.478234817588242</v>
      </c>
    </row>
    <row r="298" spans="4:16" x14ac:dyDescent="0.55000000000000004">
      <c r="D298">
        <v>291</v>
      </c>
      <c r="E298">
        <v>6.4133435173566395</v>
      </c>
      <c r="F298">
        <v>3.5866564826433596</v>
      </c>
      <c r="G298">
        <v>6.272022997193913</v>
      </c>
      <c r="H298">
        <v>3.727977002806087</v>
      </c>
      <c r="I298">
        <v>326.075276032744</v>
      </c>
      <c r="J298">
        <v>4.8726699197035765</v>
      </c>
      <c r="K298">
        <v>301.14994580725084</v>
      </c>
      <c r="L298">
        <v>4.4366224045480873</v>
      </c>
      <c r="M298">
        <v>368.89008043290721</v>
      </c>
      <c r="N298">
        <v>4.8754756875735108</v>
      </c>
      <c r="O298">
        <v>344.72673582402683</v>
      </c>
      <c r="P298">
        <v>4.4391306224445053</v>
      </c>
    </row>
    <row r="299" spans="4:16" x14ac:dyDescent="0.55000000000000004">
      <c r="D299">
        <v>292</v>
      </c>
      <c r="E299">
        <v>6.7002592201706817</v>
      </c>
      <c r="F299">
        <v>3.2997407798293175</v>
      </c>
      <c r="G299">
        <v>5.8666790554279906</v>
      </c>
      <c r="H299">
        <v>4.1333209445720085</v>
      </c>
      <c r="I299">
        <v>324.46661643895163</v>
      </c>
      <c r="J299">
        <v>4.7903123268596621</v>
      </c>
      <c r="K299">
        <v>298.9715174823815</v>
      </c>
      <c r="L299">
        <v>4.3610079430935063</v>
      </c>
      <c r="M299">
        <v>334.09968037020127</v>
      </c>
      <c r="N299">
        <v>4.8163995989154413</v>
      </c>
      <c r="O299">
        <v>312.7856097685148</v>
      </c>
      <c r="P299">
        <v>4.384393211113581</v>
      </c>
    </row>
    <row r="300" spans="4:16" x14ac:dyDescent="0.55000000000000004">
      <c r="D300">
        <v>293</v>
      </c>
      <c r="E300">
        <v>6.3371673117491092</v>
      </c>
      <c r="F300">
        <v>3.6628326882508921</v>
      </c>
      <c r="G300">
        <v>5.4317981655452936</v>
      </c>
      <c r="H300">
        <v>4.5682018344547055</v>
      </c>
      <c r="I300">
        <v>315.83726930877441</v>
      </c>
      <c r="J300">
        <v>4.9148793748997806</v>
      </c>
      <c r="K300">
        <v>291.69465502290529</v>
      </c>
      <c r="L300">
        <v>4.4756053194498024</v>
      </c>
      <c r="M300">
        <v>320.71469248753772</v>
      </c>
      <c r="N300">
        <v>4.9270402638080526</v>
      </c>
      <c r="O300">
        <v>301.22472488011812</v>
      </c>
      <c r="P300">
        <v>4.4865122835299296</v>
      </c>
    </row>
    <row r="301" spans="4:16" x14ac:dyDescent="0.55000000000000004">
      <c r="D301">
        <v>294</v>
      </c>
      <c r="E301">
        <v>7.1825796480812691</v>
      </c>
      <c r="F301">
        <v>2.8174203519187278</v>
      </c>
      <c r="G301">
        <v>6.4434882213762235</v>
      </c>
      <c r="H301">
        <v>3.556511778623773</v>
      </c>
      <c r="I301">
        <v>353.89714795391365</v>
      </c>
      <c r="J301">
        <v>4.9074909683500705</v>
      </c>
      <c r="K301">
        <v>325.6002910404261</v>
      </c>
      <c r="L301">
        <v>4.4691071124584623</v>
      </c>
      <c r="M301">
        <v>367.48093528330617</v>
      </c>
      <c r="N301">
        <v>4.9170101989796278</v>
      </c>
      <c r="O301">
        <v>343.09377369593693</v>
      </c>
      <c r="P301">
        <v>4.4776043452257692</v>
      </c>
    </row>
    <row r="302" spans="4:16" x14ac:dyDescent="0.55000000000000004">
      <c r="D302">
        <v>295</v>
      </c>
      <c r="E302">
        <v>5.2766102616486492</v>
      </c>
      <c r="F302">
        <v>4.7233897383513508</v>
      </c>
      <c r="G302">
        <v>5.4082306193564706</v>
      </c>
      <c r="H302">
        <v>4.5917693806435285</v>
      </c>
      <c r="I302">
        <v>252.84399660080734</v>
      </c>
      <c r="J302">
        <v>4.9097459263013752</v>
      </c>
      <c r="K302">
        <v>235.01440421849233</v>
      </c>
      <c r="L302">
        <v>4.4703296190180248</v>
      </c>
      <c r="M302">
        <v>309.15096558783944</v>
      </c>
      <c r="N302">
        <v>4.9074946185724091</v>
      </c>
      <c r="O302">
        <v>290.68283517125388</v>
      </c>
      <c r="P302">
        <v>4.4683062409989942</v>
      </c>
    </row>
    <row r="303" spans="4:16" x14ac:dyDescent="0.55000000000000004">
      <c r="D303">
        <v>296</v>
      </c>
      <c r="E303">
        <v>6.9434437349375315</v>
      </c>
      <c r="F303">
        <v>3.0565562650624676</v>
      </c>
      <c r="G303">
        <v>6.0293223914295142</v>
      </c>
      <c r="H303">
        <v>3.9706776085704876</v>
      </c>
      <c r="I303">
        <v>358.03282820416564</v>
      </c>
      <c r="J303">
        <v>4.8298996262806773</v>
      </c>
      <c r="K303">
        <v>329.73718768874471</v>
      </c>
      <c r="L303">
        <v>4.3975621245947041</v>
      </c>
      <c r="M303">
        <v>360.8969310280778</v>
      </c>
      <c r="N303">
        <v>4.8522937563537898</v>
      </c>
      <c r="O303">
        <v>337.59410336742434</v>
      </c>
      <c r="P303">
        <v>4.4175841835458298</v>
      </c>
    </row>
    <row r="304" spans="4:16" x14ac:dyDescent="0.55000000000000004">
      <c r="D304">
        <v>297</v>
      </c>
      <c r="E304">
        <v>5.7817450662633743</v>
      </c>
      <c r="F304">
        <v>4.2182549337366257</v>
      </c>
      <c r="G304">
        <v>6.8023787549843586</v>
      </c>
      <c r="H304">
        <v>3.19762124501564</v>
      </c>
      <c r="I304">
        <v>273.64335050968197</v>
      </c>
      <c r="J304">
        <v>4.8010160533440391</v>
      </c>
      <c r="K304">
        <v>253.49744825227009</v>
      </c>
      <c r="L304">
        <v>4.3698847745759561</v>
      </c>
      <c r="M304">
        <v>371.94877024434442</v>
      </c>
      <c r="N304">
        <v>4.7658900287365604</v>
      </c>
      <c r="O304">
        <v>346.71709227727109</v>
      </c>
      <c r="P304">
        <v>4.3384569495433265</v>
      </c>
    </row>
    <row r="305" spans="4:16" x14ac:dyDescent="0.55000000000000004">
      <c r="D305">
        <v>298</v>
      </c>
      <c r="E305">
        <v>6.733061746877671</v>
      </c>
      <c r="F305">
        <v>3.2669382531223294</v>
      </c>
      <c r="G305">
        <v>4.5323432035875744</v>
      </c>
      <c r="H305">
        <v>5.4676567964124247</v>
      </c>
      <c r="I305">
        <v>358.13961735146557</v>
      </c>
      <c r="J305">
        <v>4.739029780469485</v>
      </c>
      <c r="K305">
        <v>330.22242039896918</v>
      </c>
      <c r="L305">
        <v>4.3135918852102773</v>
      </c>
      <c r="M305">
        <v>291.08076261013088</v>
      </c>
      <c r="N305">
        <v>4.8243285677015528</v>
      </c>
      <c r="O305">
        <v>275.13020556534798</v>
      </c>
      <c r="P305">
        <v>4.390170786418973</v>
      </c>
    </row>
    <row r="306" spans="4:16" x14ac:dyDescent="0.55000000000000004">
      <c r="D306">
        <v>299</v>
      </c>
      <c r="E306">
        <v>5.5920504071200643</v>
      </c>
      <c r="F306">
        <v>4.4079495928799366</v>
      </c>
      <c r="G306">
        <v>6.8993559733904908</v>
      </c>
      <c r="H306">
        <v>3.1006440266095097</v>
      </c>
      <c r="I306">
        <v>273.118669428494</v>
      </c>
      <c r="J306">
        <v>4.8822777499255778</v>
      </c>
      <c r="K306">
        <v>253.05517801082843</v>
      </c>
      <c r="L306">
        <v>4.4451450303697753</v>
      </c>
      <c r="M306">
        <v>386.9681576844709</v>
      </c>
      <c r="N306">
        <v>4.8547567260449238</v>
      </c>
      <c r="O306">
        <v>360.2776660166831</v>
      </c>
      <c r="P306">
        <v>4.4204804402229287</v>
      </c>
    </row>
    <row r="307" spans="4:16" x14ac:dyDescent="0.55000000000000004">
      <c r="D307">
        <v>300</v>
      </c>
      <c r="E307">
        <v>6.4074345726238056</v>
      </c>
      <c r="F307">
        <v>3.5925654273761936</v>
      </c>
      <c r="G307">
        <v>6.1570221765972244</v>
      </c>
      <c r="H307">
        <v>3.8429778234027774</v>
      </c>
      <c r="I307">
        <v>307.51785800624663</v>
      </c>
      <c r="J307">
        <v>4.8694542667493979</v>
      </c>
      <c r="K307">
        <v>283.89882699015266</v>
      </c>
      <c r="L307">
        <v>4.4337002039041487</v>
      </c>
      <c r="M307">
        <v>345.49958723477101</v>
      </c>
      <c r="N307">
        <v>4.8745561947494132</v>
      </c>
      <c r="O307">
        <v>323.14117520482006</v>
      </c>
      <c r="P307">
        <v>4.4382669810971107</v>
      </c>
    </row>
    <row r="308" spans="4:16" x14ac:dyDescent="0.55000000000000004">
      <c r="D308">
        <v>301</v>
      </c>
      <c r="E308">
        <v>7.3936827562526606</v>
      </c>
      <c r="F308">
        <v>2.6063172437473403</v>
      </c>
      <c r="G308">
        <v>6.6888528580720124</v>
      </c>
      <c r="H308">
        <v>3.3111471419279876</v>
      </c>
      <c r="I308">
        <v>365.81642635299272</v>
      </c>
      <c r="J308">
        <v>4.7172270213577381</v>
      </c>
      <c r="K308">
        <v>336.39779189303414</v>
      </c>
      <c r="L308">
        <v>4.2941866953243908</v>
      </c>
      <c r="M308">
        <v>380.94363520961554</v>
      </c>
      <c r="N308">
        <v>4.7441833915882734</v>
      </c>
      <c r="O308">
        <v>355.34335010025234</v>
      </c>
      <c r="P308">
        <v>4.3181915140619287</v>
      </c>
    </row>
    <row r="309" spans="4:16" x14ac:dyDescent="0.55000000000000004">
      <c r="D309">
        <v>302</v>
      </c>
      <c r="E309">
        <v>7.2440218306776316</v>
      </c>
      <c r="F309">
        <v>2.7559781693223688</v>
      </c>
      <c r="G309">
        <v>6.2457502438952002</v>
      </c>
      <c r="H309">
        <v>3.7542497561047963</v>
      </c>
      <c r="I309">
        <v>342.01038136207882</v>
      </c>
      <c r="J309">
        <v>4.9427384888065982</v>
      </c>
      <c r="K309">
        <v>314.5424500916302</v>
      </c>
      <c r="L309">
        <v>4.5015566615301461</v>
      </c>
      <c r="M309">
        <v>344.87920836470971</v>
      </c>
      <c r="N309">
        <v>4.9506294837506655</v>
      </c>
      <c r="O309">
        <v>322.44086795726787</v>
      </c>
      <c r="P309">
        <v>4.5086055710019721</v>
      </c>
    </row>
    <row r="310" spans="4:16" x14ac:dyDescent="0.55000000000000004">
      <c r="D310">
        <v>303</v>
      </c>
      <c r="E310">
        <v>7.1401947717089369</v>
      </c>
      <c r="F310">
        <v>2.8598052282910635</v>
      </c>
      <c r="G310">
        <v>5.0131835652184753</v>
      </c>
      <c r="H310">
        <v>4.9868164347815247</v>
      </c>
      <c r="I310">
        <v>359.29144529255331</v>
      </c>
      <c r="J310">
        <v>4.8207984952520118</v>
      </c>
      <c r="K310">
        <v>330.50513627882759</v>
      </c>
      <c r="L310">
        <v>4.3893753795217778</v>
      </c>
      <c r="M310">
        <v>302.26118141776158</v>
      </c>
      <c r="N310">
        <v>4.8741812979633856</v>
      </c>
      <c r="O310">
        <v>284.49094781269434</v>
      </c>
      <c r="P310">
        <v>4.4372637644964827</v>
      </c>
    </row>
    <row r="311" spans="4:16" x14ac:dyDescent="0.55000000000000004">
      <c r="D311">
        <v>304</v>
      </c>
      <c r="E311">
        <v>6.5085646325488797</v>
      </c>
      <c r="F311">
        <v>3.4914353674511194</v>
      </c>
      <c r="G311">
        <v>7.258459564867124</v>
      </c>
      <c r="H311">
        <v>2.741540435132876</v>
      </c>
      <c r="I311">
        <v>345.84722916771887</v>
      </c>
      <c r="J311">
        <v>4.8783624603634452</v>
      </c>
      <c r="K311">
        <v>319.03441424209245</v>
      </c>
      <c r="L311">
        <v>4.4420120856672742</v>
      </c>
      <c r="M311">
        <v>435.69458402261137</v>
      </c>
      <c r="N311">
        <v>4.864347792045189</v>
      </c>
      <c r="O311">
        <v>404.63020988758024</v>
      </c>
      <c r="P311">
        <v>4.4294927284524066</v>
      </c>
    </row>
    <row r="312" spans="4:16" x14ac:dyDescent="0.55000000000000004">
      <c r="D312">
        <v>305</v>
      </c>
      <c r="E312">
        <v>7.0582332677908877</v>
      </c>
      <c r="F312">
        <v>2.9417667322091132</v>
      </c>
      <c r="G312">
        <v>6.4138913417860008</v>
      </c>
      <c r="H312">
        <v>3.5861086582139974</v>
      </c>
      <c r="I312">
        <v>328.57428155772391</v>
      </c>
      <c r="J312">
        <v>4.7951271921696277</v>
      </c>
      <c r="K312">
        <v>302.05520533757863</v>
      </c>
      <c r="L312">
        <v>4.3658817007903767</v>
      </c>
      <c r="M312">
        <v>348.57893040084184</v>
      </c>
      <c r="N312">
        <v>4.8138299092058929</v>
      </c>
      <c r="O312">
        <v>325.16145036306619</v>
      </c>
      <c r="P312">
        <v>4.3826505089533567</v>
      </c>
    </row>
    <row r="313" spans="4:16" x14ac:dyDescent="0.55000000000000004">
      <c r="D313">
        <v>306</v>
      </c>
      <c r="E313">
        <v>6.4576875264081615</v>
      </c>
      <c r="F313">
        <v>3.5423124735918372</v>
      </c>
      <c r="G313">
        <v>5.0202043944159751</v>
      </c>
      <c r="H313">
        <v>4.9797956055840249</v>
      </c>
      <c r="I313">
        <v>315.26324145171117</v>
      </c>
      <c r="J313">
        <v>4.824995508374168</v>
      </c>
      <c r="K313">
        <v>291.07519886965201</v>
      </c>
      <c r="L313">
        <v>4.3926417543504854</v>
      </c>
      <c r="M313">
        <v>295.08555170274894</v>
      </c>
      <c r="N313">
        <v>4.8639515593918503</v>
      </c>
      <c r="O313">
        <v>278.12273531693563</v>
      </c>
      <c r="P313">
        <v>4.4275870395347221</v>
      </c>
    </row>
    <row r="314" spans="4:16" x14ac:dyDescent="0.55000000000000004">
      <c r="D314">
        <v>307</v>
      </c>
      <c r="E314">
        <v>8.2176472302862482</v>
      </c>
      <c r="F314">
        <v>1.7823527697137509</v>
      </c>
      <c r="G314">
        <v>6.3663153510410311</v>
      </c>
      <c r="H314">
        <v>3.6336846489589689</v>
      </c>
      <c r="I314">
        <v>406.31984444102198</v>
      </c>
      <c r="J314">
        <v>4.8565675752647905</v>
      </c>
      <c r="K314">
        <v>372.02915806437306</v>
      </c>
      <c r="L314">
        <v>4.4228916361544606</v>
      </c>
      <c r="M314">
        <v>364.78112781039607</v>
      </c>
      <c r="N314">
        <v>4.8888810845927502</v>
      </c>
      <c r="O314">
        <v>340.14776365828584</v>
      </c>
      <c r="P314">
        <v>4.451796074618505</v>
      </c>
    </row>
    <row r="315" spans="4:16" x14ac:dyDescent="0.55000000000000004">
      <c r="D315">
        <v>308</v>
      </c>
      <c r="E315">
        <v>7.0158162293673794</v>
      </c>
      <c r="F315">
        <v>2.984183770632622</v>
      </c>
      <c r="G315">
        <v>6.6998658409516043</v>
      </c>
      <c r="H315">
        <v>3.300134159048393</v>
      </c>
      <c r="I315">
        <v>351.51483112138982</v>
      </c>
      <c r="J315">
        <v>4.7446128527737406</v>
      </c>
      <c r="K315">
        <v>323.48819670958534</v>
      </c>
      <c r="L315">
        <v>4.3191944496915822</v>
      </c>
      <c r="M315">
        <v>385.68470618712786</v>
      </c>
      <c r="N315">
        <v>4.756113961942587</v>
      </c>
      <c r="O315">
        <v>359.34008157432885</v>
      </c>
      <c r="P315">
        <v>4.3294735231278141</v>
      </c>
    </row>
    <row r="316" spans="4:16" x14ac:dyDescent="0.55000000000000004">
      <c r="D316">
        <v>309</v>
      </c>
      <c r="E316">
        <v>6.066409982132047</v>
      </c>
      <c r="F316">
        <v>3.9335900178679521</v>
      </c>
      <c r="G316">
        <v>5.4252540475369599</v>
      </c>
      <c r="H316">
        <v>4.5747459524630401</v>
      </c>
      <c r="I316">
        <v>312.45986766958441</v>
      </c>
      <c r="J316">
        <v>4.9714813515813034</v>
      </c>
      <c r="K316">
        <v>288.76066198092997</v>
      </c>
      <c r="L316">
        <v>4.5278637315269652</v>
      </c>
      <c r="M316">
        <v>329.43613550027555</v>
      </c>
      <c r="N316">
        <v>4.9744954737283607</v>
      </c>
      <c r="O316">
        <v>309.07483464135794</v>
      </c>
      <c r="P316">
        <v>4.5305731984394031</v>
      </c>
    </row>
    <row r="317" spans="4:16" x14ac:dyDescent="0.55000000000000004">
      <c r="D317">
        <v>310</v>
      </c>
      <c r="E317">
        <v>7.5097275730373818</v>
      </c>
      <c r="F317">
        <v>2.4902724269626173</v>
      </c>
      <c r="G317">
        <v>6.7716656779172819</v>
      </c>
      <c r="H317">
        <v>3.2283343220827185</v>
      </c>
      <c r="I317">
        <v>360.87796237210415</v>
      </c>
      <c r="J317">
        <v>4.855766002610947</v>
      </c>
      <c r="K317">
        <v>331.13618427213868</v>
      </c>
      <c r="L317">
        <v>4.4218723761820202</v>
      </c>
      <c r="M317">
        <v>375.41059418531017</v>
      </c>
      <c r="N317">
        <v>4.8699414326007009</v>
      </c>
      <c r="O317">
        <v>349.36830782368446</v>
      </c>
      <c r="P317">
        <v>4.4345692108088963</v>
      </c>
    </row>
    <row r="318" spans="4:16" x14ac:dyDescent="0.55000000000000004">
      <c r="D318">
        <v>311</v>
      </c>
      <c r="E318">
        <v>6.5160679883024759</v>
      </c>
      <c r="F318">
        <v>3.4839320116975263</v>
      </c>
      <c r="G318">
        <v>6.7703065017688777</v>
      </c>
      <c r="H318">
        <v>3.2296934982311214</v>
      </c>
      <c r="I318">
        <v>329.04166894014759</v>
      </c>
      <c r="J318">
        <v>4.8681046427298682</v>
      </c>
      <c r="K318">
        <v>303.34856125853463</v>
      </c>
      <c r="L318">
        <v>4.4326229675438196</v>
      </c>
      <c r="M318">
        <v>391.87994271660659</v>
      </c>
      <c r="N318">
        <v>4.8629584595369231</v>
      </c>
      <c r="O318">
        <v>364.84403664042924</v>
      </c>
      <c r="P318">
        <v>4.4280150410238468</v>
      </c>
    </row>
    <row r="319" spans="4:16" x14ac:dyDescent="0.55000000000000004">
      <c r="D319">
        <v>312</v>
      </c>
      <c r="E319">
        <v>6.7262040384701045</v>
      </c>
      <c r="F319">
        <v>3.2737959615298964</v>
      </c>
      <c r="G319">
        <v>6.121961343571086</v>
      </c>
      <c r="H319">
        <v>3.8780386564289149</v>
      </c>
      <c r="I319">
        <v>330.06692694779935</v>
      </c>
      <c r="J319">
        <v>4.7121769784876282</v>
      </c>
      <c r="K319">
        <v>304.07502541430807</v>
      </c>
      <c r="L319">
        <v>4.2890616040337468</v>
      </c>
      <c r="M319">
        <v>350.41565138504683</v>
      </c>
      <c r="N319">
        <v>4.7380333095144485</v>
      </c>
      <c r="O319">
        <v>327.50886432206931</v>
      </c>
      <c r="P319">
        <v>4.3122276716742096</v>
      </c>
    </row>
    <row r="320" spans="4:16" x14ac:dyDescent="0.55000000000000004">
      <c r="D320">
        <v>313</v>
      </c>
      <c r="E320">
        <v>5.5911592040764608</v>
      </c>
      <c r="F320">
        <v>4.4088407959235392</v>
      </c>
      <c r="G320">
        <v>5.827508741499388</v>
      </c>
      <c r="H320">
        <v>4.1724912585006102</v>
      </c>
      <c r="I320">
        <v>271.17350818944129</v>
      </c>
      <c r="J320">
        <v>4.8741330684106625</v>
      </c>
      <c r="K320">
        <v>251.40279860243939</v>
      </c>
      <c r="L320">
        <v>4.4375290910419265</v>
      </c>
      <c r="M320">
        <v>332.63655742173614</v>
      </c>
      <c r="N320">
        <v>4.8688124202280294</v>
      </c>
      <c r="O320">
        <v>311.69499652163859</v>
      </c>
      <c r="P320">
        <v>4.432751901042618</v>
      </c>
    </row>
    <row r="321" spans="4:16" x14ac:dyDescent="0.55000000000000004">
      <c r="D321">
        <v>314</v>
      </c>
      <c r="E321">
        <v>5.8505780241316483</v>
      </c>
      <c r="F321">
        <v>4.1494219758683499</v>
      </c>
      <c r="G321">
        <v>5.2189568143159013</v>
      </c>
      <c r="H321">
        <v>4.7810431856840996</v>
      </c>
      <c r="I321">
        <v>286.34227972568658</v>
      </c>
      <c r="J321">
        <v>4.843848550379426</v>
      </c>
      <c r="K321">
        <v>265.11636584129616</v>
      </c>
      <c r="L321">
        <v>4.4096430290536306</v>
      </c>
      <c r="M321">
        <v>305.42911928311958</v>
      </c>
      <c r="N321">
        <v>4.8607064688820119</v>
      </c>
      <c r="O321">
        <v>287.33578831251475</v>
      </c>
      <c r="P321">
        <v>4.4247926515843021</v>
      </c>
    </row>
    <row r="322" spans="4:16" x14ac:dyDescent="0.55000000000000004">
      <c r="D322">
        <v>315</v>
      </c>
      <c r="E322">
        <v>6.4176212707421048</v>
      </c>
      <c r="F322">
        <v>3.5823787292578961</v>
      </c>
      <c r="G322">
        <v>5.2030498113486408</v>
      </c>
      <c r="H322">
        <v>4.7969501886513584</v>
      </c>
      <c r="I322">
        <v>324.80354120079738</v>
      </c>
      <c r="J322">
        <v>4.8865788835222341</v>
      </c>
      <c r="K322">
        <v>299.93584210697458</v>
      </c>
      <c r="L322">
        <v>4.4494819829505641</v>
      </c>
      <c r="M322">
        <v>313.33261694247022</v>
      </c>
      <c r="N322">
        <v>4.9080444772609102</v>
      </c>
      <c r="O322">
        <v>294.81461651892442</v>
      </c>
      <c r="P322">
        <v>4.4687302673895388</v>
      </c>
    </row>
    <row r="323" spans="4:16" x14ac:dyDescent="0.55000000000000004">
      <c r="D323">
        <v>316</v>
      </c>
      <c r="E323">
        <v>6.3547582232090205</v>
      </c>
      <c r="F323">
        <v>3.645241776790979</v>
      </c>
      <c r="G323">
        <v>5.7996463938772944</v>
      </c>
      <c r="H323">
        <v>4.2003536061227074</v>
      </c>
      <c r="I323">
        <v>318.45949501571789</v>
      </c>
      <c r="J323">
        <v>4.9435011423516872</v>
      </c>
      <c r="K323">
        <v>293.75896299400927</v>
      </c>
      <c r="L323">
        <v>4.50210265844263</v>
      </c>
      <c r="M323">
        <v>340.64087050840146</v>
      </c>
      <c r="N323">
        <v>4.9484365282660994</v>
      </c>
      <c r="O323">
        <v>318.77051683415118</v>
      </c>
      <c r="P323">
        <v>4.5065359338969202</v>
      </c>
    </row>
    <row r="324" spans="4:16" x14ac:dyDescent="0.55000000000000004">
      <c r="D324">
        <v>317</v>
      </c>
      <c r="E324">
        <v>5.7139035931255799</v>
      </c>
      <c r="F324">
        <v>4.2860964068744209</v>
      </c>
      <c r="G324">
        <v>6.1938843957067924</v>
      </c>
      <c r="H324">
        <v>3.8061156042932072</v>
      </c>
      <c r="I324">
        <v>308.18984282629589</v>
      </c>
      <c r="J324">
        <v>4.8336324246988873</v>
      </c>
      <c r="K324">
        <v>285.81010834892476</v>
      </c>
      <c r="L324">
        <v>4.3999328121175498</v>
      </c>
      <c r="M324">
        <v>384.07848544972285</v>
      </c>
      <c r="N324">
        <v>4.8196571727515858</v>
      </c>
      <c r="O324">
        <v>358.98236540189089</v>
      </c>
      <c r="P324">
        <v>4.387423924138627</v>
      </c>
    </row>
    <row r="325" spans="4:16" x14ac:dyDescent="0.55000000000000004">
      <c r="D325">
        <v>318</v>
      </c>
      <c r="E325">
        <v>6.9812319026073935</v>
      </c>
      <c r="F325">
        <v>3.018768097392607</v>
      </c>
      <c r="G325">
        <v>5.805205210533817</v>
      </c>
      <c r="H325">
        <v>4.1947947894661812</v>
      </c>
      <c r="I325">
        <v>338.2353345453426</v>
      </c>
      <c r="J325">
        <v>4.8317649881466158</v>
      </c>
      <c r="K325">
        <v>310.92367541489841</v>
      </c>
      <c r="L325">
        <v>4.3995688658401653</v>
      </c>
      <c r="M325">
        <v>331.25774274249829</v>
      </c>
      <c r="N325">
        <v>4.8601050959157046</v>
      </c>
      <c r="O325">
        <v>309.70185136314683</v>
      </c>
      <c r="P325">
        <v>4.4250461099255052</v>
      </c>
    </row>
    <row r="326" spans="4:16" x14ac:dyDescent="0.55000000000000004">
      <c r="D326">
        <v>319</v>
      </c>
      <c r="E326">
        <v>5.3876211145677342</v>
      </c>
      <c r="F326">
        <v>4.6123788854322658</v>
      </c>
      <c r="G326">
        <v>6.3473548814500873</v>
      </c>
      <c r="H326">
        <v>3.6526451185499136</v>
      </c>
      <c r="I326">
        <v>281.02913578815554</v>
      </c>
      <c r="J326">
        <v>4.8341044482309012</v>
      </c>
      <c r="K326">
        <v>260.88927496199449</v>
      </c>
      <c r="L326">
        <v>4.4002126188778812</v>
      </c>
      <c r="M326">
        <v>381.09077623357854</v>
      </c>
      <c r="N326">
        <v>4.8045523399028172</v>
      </c>
      <c r="O326">
        <v>355.78651635716847</v>
      </c>
      <c r="P326">
        <v>4.3737091297884891</v>
      </c>
    </row>
    <row r="327" spans="4:16" x14ac:dyDescent="0.55000000000000004">
      <c r="D327">
        <v>320</v>
      </c>
      <c r="E327">
        <v>5.972020978167313</v>
      </c>
      <c r="F327">
        <v>4.027979021832687</v>
      </c>
      <c r="G327">
        <v>6.4521901410952172</v>
      </c>
      <c r="H327">
        <v>3.5478098589047828</v>
      </c>
      <c r="I327">
        <v>284.84400177795351</v>
      </c>
      <c r="J327">
        <v>4.8530810272607026</v>
      </c>
      <c r="K327">
        <v>263.50271770494987</v>
      </c>
      <c r="L327">
        <v>4.4183079149582349</v>
      </c>
      <c r="M327">
        <v>357.74635031269139</v>
      </c>
      <c r="N327">
        <v>4.8412682823931998</v>
      </c>
      <c r="O327">
        <v>334.0158234205698</v>
      </c>
      <c r="P327">
        <v>4.4077275116475807</v>
      </c>
    </row>
    <row r="328" spans="4:16" x14ac:dyDescent="0.55000000000000004">
      <c r="D328">
        <v>321</v>
      </c>
      <c r="E328">
        <v>6.0049915426194698</v>
      </c>
      <c r="F328">
        <v>3.9950084573805298</v>
      </c>
      <c r="G328">
        <v>5.6187619660602452</v>
      </c>
      <c r="H328">
        <v>4.381238033939753</v>
      </c>
      <c r="I328">
        <v>299.90697214765743</v>
      </c>
      <c r="J328">
        <v>4.8126700905747555</v>
      </c>
      <c r="K328">
        <v>277.51430912394966</v>
      </c>
      <c r="L328">
        <v>4.3808764666646045</v>
      </c>
      <c r="M328">
        <v>330.61752901728113</v>
      </c>
      <c r="N328">
        <v>4.8247187922391417</v>
      </c>
      <c r="O328">
        <v>310.21629203023093</v>
      </c>
      <c r="P328">
        <v>4.3916812704082373</v>
      </c>
    </row>
    <row r="329" spans="4:16" x14ac:dyDescent="0.55000000000000004">
      <c r="D329">
        <v>322</v>
      </c>
      <c r="E329">
        <v>6.5470043664218016</v>
      </c>
      <c r="F329">
        <v>3.4529956335781993</v>
      </c>
      <c r="G329">
        <v>6.9855007661751891</v>
      </c>
      <c r="H329">
        <v>3.0144992338248131</v>
      </c>
      <c r="I329">
        <v>294.13129793722504</v>
      </c>
      <c r="J329">
        <v>4.9090684552079651</v>
      </c>
      <c r="K329">
        <v>270.86871035319894</v>
      </c>
      <c r="L329">
        <v>4.4704794720550209</v>
      </c>
      <c r="M329">
        <v>363.83122602368724</v>
      </c>
      <c r="N329">
        <v>4.9029781652396522</v>
      </c>
      <c r="O329">
        <v>338.5362967961824</v>
      </c>
      <c r="P329">
        <v>4.4650174864068619</v>
      </c>
    </row>
    <row r="330" spans="4:16" x14ac:dyDescent="0.55000000000000004">
      <c r="D330">
        <v>323</v>
      </c>
      <c r="E330">
        <v>6.9371086787642255</v>
      </c>
      <c r="F330">
        <v>3.0628913212357727</v>
      </c>
      <c r="G330">
        <v>6.1077533675322293</v>
      </c>
      <c r="H330">
        <v>3.8922466324677711</v>
      </c>
      <c r="I330">
        <v>333.03001612446076</v>
      </c>
      <c r="J330">
        <v>4.7954536875624241</v>
      </c>
      <c r="K330">
        <v>306.69439183904262</v>
      </c>
      <c r="L330">
        <v>4.3658482911382679</v>
      </c>
      <c r="M330">
        <v>343.21512703125694</v>
      </c>
      <c r="N330">
        <v>4.8199079059506023</v>
      </c>
      <c r="O330">
        <v>321.09442953734208</v>
      </c>
      <c r="P330">
        <v>4.3877137106475068</v>
      </c>
    </row>
    <row r="331" spans="4:16" x14ac:dyDescent="0.55000000000000004">
      <c r="D331">
        <v>324</v>
      </c>
      <c r="E331">
        <v>5.6961627275395079</v>
      </c>
      <c r="F331">
        <v>4.3038372724604921</v>
      </c>
      <c r="G331">
        <v>6.994708892191924</v>
      </c>
      <c r="H331">
        <v>3.0052911078080755</v>
      </c>
      <c r="I331">
        <v>298.98477772359229</v>
      </c>
      <c r="J331">
        <v>4.8350652543563086</v>
      </c>
      <c r="K331">
        <v>276.78591488969596</v>
      </c>
      <c r="L331">
        <v>4.4015305620209189</v>
      </c>
      <c r="M331">
        <v>417.14391484328098</v>
      </c>
      <c r="N331">
        <v>4.7974653135508847</v>
      </c>
      <c r="O331">
        <v>387.87050622482565</v>
      </c>
      <c r="P331">
        <v>4.3678332894998322</v>
      </c>
    </row>
    <row r="332" spans="4:16" x14ac:dyDescent="0.55000000000000004">
      <c r="D332">
        <v>325</v>
      </c>
      <c r="E332">
        <v>7.4968014460683827</v>
      </c>
      <c r="F332">
        <v>2.5031985539316146</v>
      </c>
      <c r="G332">
        <v>6.2534497360077106</v>
      </c>
      <c r="H332">
        <v>3.7465502639922881</v>
      </c>
      <c r="I332">
        <v>361.06860257050903</v>
      </c>
      <c r="J332">
        <v>4.790702679390944</v>
      </c>
      <c r="K332">
        <v>331.50590994234989</v>
      </c>
      <c r="L332">
        <v>4.3620583342580614</v>
      </c>
      <c r="M332">
        <v>351.18502853098323</v>
      </c>
      <c r="N332">
        <v>4.825414840752356</v>
      </c>
      <c r="O332">
        <v>327.90840979230541</v>
      </c>
      <c r="P332">
        <v>4.3931267049025502</v>
      </c>
    </row>
    <row r="333" spans="4:16" x14ac:dyDescent="0.55000000000000004">
      <c r="D333">
        <v>326</v>
      </c>
      <c r="E333">
        <v>6.8912578331677743</v>
      </c>
      <c r="F333">
        <v>3.1087421668322279</v>
      </c>
      <c r="G333">
        <v>5.3224638565854026</v>
      </c>
      <c r="H333">
        <v>4.6775361434145983</v>
      </c>
      <c r="I333">
        <v>349.51216328460458</v>
      </c>
      <c r="J333">
        <v>4.8466158856416515</v>
      </c>
      <c r="K333">
        <v>321.7341810287333</v>
      </c>
      <c r="L333">
        <v>4.4130256292580263</v>
      </c>
      <c r="M333">
        <v>319.94576339398918</v>
      </c>
      <c r="N333">
        <v>4.8815337599302397</v>
      </c>
      <c r="O333">
        <v>300.30133599658399</v>
      </c>
      <c r="P333">
        <v>4.4443740766722328</v>
      </c>
    </row>
    <row r="334" spans="4:16" x14ac:dyDescent="0.55000000000000004">
      <c r="D334">
        <v>327</v>
      </c>
      <c r="E334">
        <v>7.6567488186473218</v>
      </c>
      <c r="F334">
        <v>2.343251181352676</v>
      </c>
      <c r="G334">
        <v>5.5220562305885581</v>
      </c>
      <c r="H334">
        <v>4.4779437694114428</v>
      </c>
      <c r="I334">
        <v>389.96449982053525</v>
      </c>
      <c r="J334">
        <v>4.8163474526890147</v>
      </c>
      <c r="K334">
        <v>357.99089679997172</v>
      </c>
      <c r="L334">
        <v>4.3856246402150516</v>
      </c>
      <c r="M334">
        <v>331.24285476074539</v>
      </c>
      <c r="N334">
        <v>4.8675495674257681</v>
      </c>
      <c r="O334">
        <v>310.73050275851</v>
      </c>
      <c r="P334">
        <v>4.4314291150490561</v>
      </c>
    </row>
    <row r="335" spans="4:16" x14ac:dyDescent="0.55000000000000004">
      <c r="D335">
        <v>328</v>
      </c>
      <c r="E335">
        <v>6.3386394985139196</v>
      </c>
      <c r="F335">
        <v>3.6613605014860795</v>
      </c>
      <c r="G335">
        <v>7.0329178943526944</v>
      </c>
      <c r="H335">
        <v>2.9670821056473065</v>
      </c>
      <c r="I335">
        <v>306.07262474326001</v>
      </c>
      <c r="J335">
        <v>4.8860245761468519</v>
      </c>
      <c r="K335">
        <v>282.34932340515837</v>
      </c>
      <c r="L335">
        <v>4.4490779871890682</v>
      </c>
      <c r="M335">
        <v>389.59710755486861</v>
      </c>
      <c r="N335">
        <v>4.8735407183006432</v>
      </c>
      <c r="O335">
        <v>362.37155340631949</v>
      </c>
      <c r="P335">
        <v>4.4378982993869691</v>
      </c>
    </row>
    <row r="336" spans="4:16" x14ac:dyDescent="0.55000000000000004">
      <c r="D336">
        <v>329</v>
      </c>
      <c r="E336">
        <v>6.8788231987550326</v>
      </c>
      <c r="F336">
        <v>3.1211768012449648</v>
      </c>
      <c r="G336">
        <v>6.6038345466830393</v>
      </c>
      <c r="H336">
        <v>3.3961654533169598</v>
      </c>
      <c r="I336">
        <v>352.05287376344802</v>
      </c>
      <c r="J336">
        <v>4.8864116464259242</v>
      </c>
      <c r="K336">
        <v>324.15934882475403</v>
      </c>
      <c r="L336">
        <v>4.4496306932644538</v>
      </c>
      <c r="M336">
        <v>387.97916632584395</v>
      </c>
      <c r="N336">
        <v>4.8909524679208083</v>
      </c>
      <c r="O336">
        <v>361.57326134354685</v>
      </c>
      <c r="P336">
        <v>4.4536915405447131</v>
      </c>
    </row>
    <row r="337" spans="4:16" x14ac:dyDescent="0.55000000000000004">
      <c r="D337">
        <v>330</v>
      </c>
      <c r="E337">
        <v>6.4559590234551543</v>
      </c>
      <c r="F337">
        <v>3.5440409765448457</v>
      </c>
      <c r="G337">
        <v>5.8362999731894956</v>
      </c>
      <c r="H337">
        <v>4.1637000268105036</v>
      </c>
      <c r="I337">
        <v>320.20991638139446</v>
      </c>
      <c r="J337">
        <v>4.8584655116295901</v>
      </c>
      <c r="K337">
        <v>295.40718978333376</v>
      </c>
      <c r="L337">
        <v>4.4236477692274674</v>
      </c>
      <c r="M337">
        <v>339.47536990276024</v>
      </c>
      <c r="N337">
        <v>4.8720503448549577</v>
      </c>
      <c r="O337">
        <v>317.84556532540262</v>
      </c>
      <c r="P337">
        <v>4.4358301540217724</v>
      </c>
    </row>
    <row r="338" spans="4:16" x14ac:dyDescent="0.55000000000000004">
      <c r="D338">
        <v>331</v>
      </c>
      <c r="E338">
        <v>6.322512536625398</v>
      </c>
      <c r="F338">
        <v>3.6774874633746029</v>
      </c>
      <c r="G338">
        <v>5.8483953386763581</v>
      </c>
      <c r="H338">
        <v>4.1516046613236401</v>
      </c>
      <c r="I338">
        <v>319.28534617010638</v>
      </c>
      <c r="J338">
        <v>4.7445942718293033</v>
      </c>
      <c r="K338">
        <v>294.85630152753964</v>
      </c>
      <c r="L338">
        <v>4.3183551026509868</v>
      </c>
      <c r="M338">
        <v>345.34254292607238</v>
      </c>
      <c r="N338">
        <v>4.7637468235212062</v>
      </c>
      <c r="O338">
        <v>323.39868499259001</v>
      </c>
      <c r="P338">
        <v>4.3355196804860006</v>
      </c>
    </row>
    <row r="339" spans="4:16" x14ac:dyDescent="0.55000000000000004">
      <c r="D339">
        <v>332</v>
      </c>
      <c r="E339">
        <v>5.7451606301007203</v>
      </c>
      <c r="F339">
        <v>4.2548393698992797</v>
      </c>
      <c r="G339">
        <v>5.9207454691768717</v>
      </c>
      <c r="H339">
        <v>4.0792545308231292</v>
      </c>
      <c r="I339">
        <v>292.10060816785813</v>
      </c>
      <c r="J339">
        <v>4.9494826145918669</v>
      </c>
      <c r="K339">
        <v>270.26710827221024</v>
      </c>
      <c r="L339">
        <v>4.5074779329999597</v>
      </c>
      <c r="M339">
        <v>351.02784999474147</v>
      </c>
      <c r="N339">
        <v>4.9479386913565513</v>
      </c>
      <c r="O339">
        <v>328.2931260676969</v>
      </c>
      <c r="P339">
        <v>4.5060898720958411</v>
      </c>
    </row>
    <row r="340" spans="4:16" x14ac:dyDescent="0.55000000000000004">
      <c r="D340">
        <v>333</v>
      </c>
      <c r="E340">
        <v>6.5170002522185486</v>
      </c>
      <c r="F340">
        <v>3.4829997477814514</v>
      </c>
      <c r="G340">
        <v>7.0356595951994567</v>
      </c>
      <c r="H340">
        <v>2.964340404800542</v>
      </c>
      <c r="I340">
        <v>319.5228076805306</v>
      </c>
      <c r="J340">
        <v>4.8611722440580554</v>
      </c>
      <c r="K340">
        <v>294.73305331088017</v>
      </c>
      <c r="L340">
        <v>4.4261623322122743</v>
      </c>
      <c r="M340">
        <v>394.952220460219</v>
      </c>
      <c r="N340">
        <v>4.8501235544926597</v>
      </c>
      <c r="O340">
        <v>367.46058105523588</v>
      </c>
      <c r="P340">
        <v>4.4162875702265465</v>
      </c>
    </row>
    <row r="341" spans="4:16" x14ac:dyDescent="0.55000000000000004">
      <c r="D341">
        <v>334</v>
      </c>
      <c r="E341">
        <v>5.7268317888124649</v>
      </c>
      <c r="F341">
        <v>4.2731682111875351</v>
      </c>
      <c r="G341">
        <v>6.5160096410384707</v>
      </c>
      <c r="H341">
        <v>3.4839903589615284</v>
      </c>
      <c r="I341">
        <v>282.37281045469831</v>
      </c>
      <c r="J341">
        <v>4.8615808149105177</v>
      </c>
      <c r="K341">
        <v>261.34269610922087</v>
      </c>
      <c r="L341">
        <v>4.4261090998011161</v>
      </c>
      <c r="M341">
        <v>371.28479116224912</v>
      </c>
      <c r="N341">
        <v>4.8425061573644053</v>
      </c>
      <c r="O341">
        <v>346.25955901083813</v>
      </c>
      <c r="P341">
        <v>4.4089928494760926</v>
      </c>
    </row>
    <row r="342" spans="4:16" x14ac:dyDescent="0.55000000000000004">
      <c r="D342">
        <v>335</v>
      </c>
      <c r="E342">
        <v>7.419627551538083</v>
      </c>
      <c r="F342">
        <v>2.5803724484619162</v>
      </c>
      <c r="G342">
        <v>6.6713044582975183</v>
      </c>
      <c r="H342">
        <v>3.3286955417024826</v>
      </c>
      <c r="I342">
        <v>397.1747164693769</v>
      </c>
      <c r="J342">
        <v>4.761660985837799</v>
      </c>
      <c r="K342">
        <v>364.89335804902703</v>
      </c>
      <c r="L342">
        <v>4.3352518996526399</v>
      </c>
      <c r="M342">
        <v>407.11677416421406</v>
      </c>
      <c r="N342">
        <v>4.7856991989527957</v>
      </c>
      <c r="O342">
        <v>379.11514382221134</v>
      </c>
      <c r="P342">
        <v>4.3567219075703285</v>
      </c>
    </row>
    <row r="343" spans="4:16" x14ac:dyDescent="0.55000000000000004">
      <c r="D343">
        <v>336</v>
      </c>
      <c r="E343">
        <v>6.6676466216954173</v>
      </c>
      <c r="F343">
        <v>3.3323533783045822</v>
      </c>
      <c r="G343">
        <v>7.2845466248124655</v>
      </c>
      <c r="H343">
        <v>2.7154533751875318</v>
      </c>
      <c r="I343">
        <v>345.62042954226797</v>
      </c>
      <c r="J343">
        <v>4.7305464894172564</v>
      </c>
      <c r="K343">
        <v>318.30205622965849</v>
      </c>
      <c r="L343">
        <v>4.306063832000623</v>
      </c>
      <c r="M343">
        <v>427.59771570620177</v>
      </c>
      <c r="N343">
        <v>4.7056162732630993</v>
      </c>
      <c r="O343">
        <v>396.91879188528151</v>
      </c>
      <c r="P343">
        <v>4.2837535770945738</v>
      </c>
    </row>
    <row r="344" spans="4:16" x14ac:dyDescent="0.55000000000000004">
      <c r="D344">
        <v>337</v>
      </c>
      <c r="E344">
        <v>7.4694298859073047</v>
      </c>
      <c r="F344">
        <v>2.5305701140926962</v>
      </c>
      <c r="G344">
        <v>5.6172416614656973</v>
      </c>
      <c r="H344">
        <v>4.3827583385343027</v>
      </c>
      <c r="I344">
        <v>383.64340314793043</v>
      </c>
      <c r="J344">
        <v>4.7486572942933183</v>
      </c>
      <c r="K344">
        <v>352.32598423780536</v>
      </c>
      <c r="L344">
        <v>4.3233941179817297</v>
      </c>
      <c r="M344">
        <v>338.51167227299925</v>
      </c>
      <c r="N344">
        <v>4.8109825328885059</v>
      </c>
      <c r="O344">
        <v>317.09261890099714</v>
      </c>
      <c r="P344">
        <v>4.3792344751583618</v>
      </c>
    </row>
    <row r="345" spans="4:16" x14ac:dyDescent="0.55000000000000004">
      <c r="D345">
        <v>338</v>
      </c>
      <c r="E345">
        <v>6.434344819927067</v>
      </c>
      <c r="F345">
        <v>3.565655180072933</v>
      </c>
      <c r="G345">
        <v>5.6000789028947793</v>
      </c>
      <c r="H345">
        <v>4.3999210971052207</v>
      </c>
      <c r="I345">
        <v>322.33798505295283</v>
      </c>
      <c r="J345">
        <v>4.9401229369519442</v>
      </c>
      <c r="K345">
        <v>297.41914447146007</v>
      </c>
      <c r="L345">
        <v>4.4989711470324796</v>
      </c>
      <c r="M345">
        <v>330.54420461058152</v>
      </c>
      <c r="N345">
        <v>4.947886492420448</v>
      </c>
      <c r="O345">
        <v>309.9192823003325</v>
      </c>
      <c r="P345">
        <v>4.5059370701182901</v>
      </c>
    </row>
    <row r="346" spans="4:16" x14ac:dyDescent="0.55000000000000004">
      <c r="D346">
        <v>339</v>
      </c>
      <c r="E346">
        <v>7.1402201389309967</v>
      </c>
      <c r="F346">
        <v>2.8597798610690073</v>
      </c>
      <c r="G346">
        <v>6.3367839647790074</v>
      </c>
      <c r="H346">
        <v>3.6632160352209935</v>
      </c>
      <c r="I346">
        <v>344.93334215314167</v>
      </c>
      <c r="J346">
        <v>4.9141148819688159</v>
      </c>
      <c r="K346">
        <v>317.21740425168173</v>
      </c>
      <c r="L346">
        <v>4.4752352069690389</v>
      </c>
      <c r="M346">
        <v>356.12054375691883</v>
      </c>
      <c r="N346">
        <v>4.9237788992266767</v>
      </c>
      <c r="O346">
        <v>332.49220441348479</v>
      </c>
      <c r="P346">
        <v>4.483881451104625</v>
      </c>
    </row>
    <row r="347" spans="4:16" x14ac:dyDescent="0.55000000000000004">
      <c r="D347">
        <v>340</v>
      </c>
      <c r="E347">
        <v>5.6719382664248599</v>
      </c>
      <c r="F347">
        <v>4.3280617335751401</v>
      </c>
      <c r="G347">
        <v>5.6563959475299397</v>
      </c>
      <c r="H347">
        <v>4.3436040524700612</v>
      </c>
      <c r="I347">
        <v>293.65197321716641</v>
      </c>
      <c r="J347">
        <v>4.9192876754660144</v>
      </c>
      <c r="K347">
        <v>271.93403769697983</v>
      </c>
      <c r="L347">
        <v>4.479476324204593</v>
      </c>
      <c r="M347">
        <v>342.84730426671604</v>
      </c>
      <c r="N347">
        <v>4.9195088444258532</v>
      </c>
      <c r="O347">
        <v>321.21049074764062</v>
      </c>
      <c r="P347">
        <v>4.4796751962079053</v>
      </c>
    </row>
    <row r="348" spans="4:16" x14ac:dyDescent="0.55000000000000004">
      <c r="D348">
        <v>341</v>
      </c>
      <c r="E348">
        <v>5.9535895655207334</v>
      </c>
      <c r="F348">
        <v>4.0464104344792649</v>
      </c>
      <c r="G348">
        <v>6.8842623663281799</v>
      </c>
      <c r="H348">
        <v>3.1157376336718192</v>
      </c>
      <c r="I348">
        <v>287.60607356047927</v>
      </c>
      <c r="J348">
        <v>4.8242319915340586</v>
      </c>
      <c r="K348">
        <v>265.64587653719639</v>
      </c>
      <c r="L348">
        <v>4.3918720997300431</v>
      </c>
      <c r="M348">
        <v>382.56502598137092</v>
      </c>
      <c r="N348">
        <v>4.7967557097159919</v>
      </c>
      <c r="O348">
        <v>355.9943499162456</v>
      </c>
      <c r="P348">
        <v>4.367213473009544</v>
      </c>
    </row>
    <row r="349" spans="4:16" x14ac:dyDescent="0.55000000000000004">
      <c r="D349">
        <v>342</v>
      </c>
      <c r="E349">
        <v>7.0490383550021329</v>
      </c>
      <c r="F349">
        <v>2.9509616449978679</v>
      </c>
      <c r="G349">
        <v>5.266095448594764</v>
      </c>
      <c r="H349">
        <v>4.7339045514052351</v>
      </c>
      <c r="I349">
        <v>355.41677866625855</v>
      </c>
      <c r="J349">
        <v>4.8645252754570372</v>
      </c>
      <c r="K349">
        <v>327.08687358218344</v>
      </c>
      <c r="L349">
        <v>4.4295431464613033</v>
      </c>
      <c r="M349">
        <v>315.51971860962175</v>
      </c>
      <c r="N349">
        <v>4.8987914670929449</v>
      </c>
      <c r="O349">
        <v>296.50096333642745</v>
      </c>
      <c r="P349">
        <v>4.4602601937362136</v>
      </c>
    </row>
    <row r="350" spans="4:16" x14ac:dyDescent="0.55000000000000004">
      <c r="D350">
        <v>343</v>
      </c>
      <c r="E350">
        <v>6.7502546762022817</v>
      </c>
      <c r="F350">
        <v>3.2497453237977165</v>
      </c>
      <c r="G350">
        <v>6.0224821604190808</v>
      </c>
      <c r="H350">
        <v>3.9775178395809205</v>
      </c>
      <c r="I350">
        <v>322.44124410160219</v>
      </c>
      <c r="J350">
        <v>4.8340435102236832</v>
      </c>
      <c r="K350">
        <v>297.15636736518599</v>
      </c>
      <c r="L350">
        <v>4.4012766415068496</v>
      </c>
      <c r="M350">
        <v>337.67753715001345</v>
      </c>
      <c r="N350">
        <v>4.8519359569340068</v>
      </c>
      <c r="O350">
        <v>316.04258459865162</v>
      </c>
      <c r="P350">
        <v>4.417290517727877</v>
      </c>
    </row>
    <row r="351" spans="4:16" x14ac:dyDescent="0.55000000000000004">
      <c r="D351">
        <v>344</v>
      </c>
      <c r="E351">
        <v>5.4553287666069465</v>
      </c>
      <c r="F351">
        <v>4.5446712333930552</v>
      </c>
      <c r="G351">
        <v>5.4461347652965308</v>
      </c>
      <c r="H351">
        <v>4.5538652347034683</v>
      </c>
      <c r="I351">
        <v>274.84009365887528</v>
      </c>
      <c r="J351">
        <v>4.8855750144598984</v>
      </c>
      <c r="K351">
        <v>255.01512237468717</v>
      </c>
      <c r="L351">
        <v>4.4480481234856661</v>
      </c>
      <c r="M351">
        <v>324.37689881043258</v>
      </c>
      <c r="N351">
        <v>4.8857678577351633</v>
      </c>
      <c r="O351">
        <v>304.59864522747887</v>
      </c>
      <c r="P351">
        <v>4.4482215166428025</v>
      </c>
    </row>
    <row r="352" spans="4:16" x14ac:dyDescent="0.55000000000000004">
      <c r="D352">
        <v>345</v>
      </c>
      <c r="E352">
        <v>7.6064033073602184</v>
      </c>
      <c r="F352">
        <v>2.3935966926397816</v>
      </c>
      <c r="G352">
        <v>5.466034500574839</v>
      </c>
      <c r="H352">
        <v>4.5339654994251619</v>
      </c>
      <c r="I352">
        <v>356.53377816600198</v>
      </c>
      <c r="J352">
        <v>4.7327813160621739</v>
      </c>
      <c r="K352">
        <v>327.31759436475289</v>
      </c>
      <c r="L352">
        <v>4.3088978889682314</v>
      </c>
      <c r="M352">
        <v>306.20859864082036</v>
      </c>
      <c r="N352">
        <v>4.8079740862295584</v>
      </c>
      <c r="O352">
        <v>287.48906862374747</v>
      </c>
      <c r="P352">
        <v>4.3762235167167773</v>
      </c>
    </row>
    <row r="353" spans="4:16" x14ac:dyDescent="0.55000000000000004">
      <c r="D353">
        <v>346</v>
      </c>
      <c r="E353">
        <v>8.4207236512645451</v>
      </c>
      <c r="F353">
        <v>1.5792763487354535</v>
      </c>
      <c r="G353">
        <v>7.0666708318781373</v>
      </c>
      <c r="H353">
        <v>2.9333291681218641</v>
      </c>
      <c r="I353">
        <v>432.12999651198822</v>
      </c>
      <c r="J353">
        <v>4.8896862859679056</v>
      </c>
      <c r="K353">
        <v>395.51262474927341</v>
      </c>
      <c r="L353">
        <v>4.4532532524200032</v>
      </c>
      <c r="M353">
        <v>412.64346965860699</v>
      </c>
      <c r="N353">
        <v>4.9074247371614357</v>
      </c>
      <c r="O353">
        <v>383.58013033661109</v>
      </c>
      <c r="P353">
        <v>4.4690633177546921</v>
      </c>
    </row>
    <row r="354" spans="4:16" x14ac:dyDescent="0.55000000000000004">
      <c r="D354">
        <v>347</v>
      </c>
      <c r="E354">
        <v>6.9637304720434567</v>
      </c>
      <c r="F354">
        <v>3.0362695279565446</v>
      </c>
      <c r="G354">
        <v>6.3062942381135656</v>
      </c>
      <c r="H354">
        <v>3.6937057618864362</v>
      </c>
      <c r="I354">
        <v>330.12234460312868</v>
      </c>
      <c r="J354">
        <v>4.8094360136281358</v>
      </c>
      <c r="K354">
        <v>303.88404226369499</v>
      </c>
      <c r="L354">
        <v>4.3788014625918752</v>
      </c>
      <c r="M354">
        <v>348.95594724710077</v>
      </c>
      <c r="N354">
        <v>4.8274268979718009</v>
      </c>
      <c r="O354">
        <v>326.00530973216871</v>
      </c>
      <c r="P354">
        <v>4.3948945338215415</v>
      </c>
    </row>
    <row r="355" spans="4:16" x14ac:dyDescent="0.55000000000000004">
      <c r="D355">
        <v>348</v>
      </c>
      <c r="E355">
        <v>7.216667870349033</v>
      </c>
      <c r="F355">
        <v>2.7833321296509674</v>
      </c>
      <c r="G355">
        <v>6.5371452607823013</v>
      </c>
      <c r="H355">
        <v>3.4628547392177</v>
      </c>
      <c r="I355">
        <v>362.85020686378334</v>
      </c>
      <c r="J355">
        <v>4.9798344036920232</v>
      </c>
      <c r="K355">
        <v>333.33931021455737</v>
      </c>
      <c r="L355">
        <v>4.5356938080697358</v>
      </c>
      <c r="M355">
        <v>378.68417291576668</v>
      </c>
      <c r="N355">
        <v>4.9817331994898701</v>
      </c>
      <c r="O355">
        <v>352.71717156439701</v>
      </c>
      <c r="P355">
        <v>4.5373956499715051</v>
      </c>
    </row>
    <row r="356" spans="4:16" x14ac:dyDescent="0.55000000000000004">
      <c r="D356">
        <v>349</v>
      </c>
      <c r="E356">
        <v>6.3542596680516237</v>
      </c>
      <c r="F356">
        <v>3.6457403319483768</v>
      </c>
      <c r="G356">
        <v>7.6769878395492723</v>
      </c>
      <c r="H356">
        <v>2.3230121604507286</v>
      </c>
      <c r="I356">
        <v>309.1923441749542</v>
      </c>
      <c r="J356">
        <v>4.887782982964251</v>
      </c>
      <c r="K356">
        <v>285.00264159895187</v>
      </c>
      <c r="L356">
        <v>4.4507816159893014</v>
      </c>
      <c r="M356">
        <v>423.5550623225763</v>
      </c>
      <c r="N356">
        <v>4.864423438735848</v>
      </c>
      <c r="O356">
        <v>392.64277364312647</v>
      </c>
      <c r="P356">
        <v>4.4298619399319792</v>
      </c>
    </row>
    <row r="357" spans="4:16" x14ac:dyDescent="0.55000000000000004">
      <c r="D357">
        <v>350</v>
      </c>
      <c r="E357">
        <v>5.2959864274894493</v>
      </c>
      <c r="F357">
        <v>4.704013572510549</v>
      </c>
      <c r="G357">
        <v>6.4848186865341031</v>
      </c>
      <c r="H357">
        <v>3.5151813134658969</v>
      </c>
      <c r="I357">
        <v>260.27191293500925</v>
      </c>
      <c r="J357">
        <v>4.7717128935880861</v>
      </c>
      <c r="K357">
        <v>241.83709753222485</v>
      </c>
      <c r="L357">
        <v>4.3421015755039809</v>
      </c>
      <c r="M357">
        <v>368.69722245134801</v>
      </c>
      <c r="N357">
        <v>4.7204674683698995</v>
      </c>
      <c r="O357">
        <v>344.2024481963569</v>
      </c>
      <c r="P357">
        <v>4.2961714010008851</v>
      </c>
    </row>
    <row r="358" spans="4:16" x14ac:dyDescent="0.55000000000000004">
      <c r="D358">
        <v>351</v>
      </c>
      <c r="E358">
        <v>8.4624615345558372</v>
      </c>
      <c r="F358">
        <v>1.5375384654441626</v>
      </c>
      <c r="G358">
        <v>5.9024445623322839</v>
      </c>
      <c r="H358">
        <v>4.097555437667717</v>
      </c>
      <c r="I358">
        <v>402.64494735856363</v>
      </c>
      <c r="J358">
        <v>4.9203562579311386</v>
      </c>
      <c r="K358">
        <v>368.40357370173945</v>
      </c>
      <c r="L358">
        <v>4.4813485705904581</v>
      </c>
      <c r="M358">
        <v>330.83902897312976</v>
      </c>
      <c r="N358">
        <v>4.944449641469145</v>
      </c>
      <c r="O358">
        <v>309.43718352777864</v>
      </c>
      <c r="P358">
        <v>4.5029022772248579</v>
      </c>
    </row>
    <row r="359" spans="4:16" x14ac:dyDescent="0.55000000000000004">
      <c r="D359">
        <v>352</v>
      </c>
      <c r="E359">
        <v>7.059441575225323</v>
      </c>
      <c r="F359">
        <v>2.9405584247746757</v>
      </c>
      <c r="G359">
        <v>6.1682351740271901</v>
      </c>
      <c r="H359">
        <v>3.8317648259728099</v>
      </c>
      <c r="I359">
        <v>336.14470701469952</v>
      </c>
      <c r="J359">
        <v>4.8628515635355267</v>
      </c>
      <c r="K359">
        <v>309.06495144107174</v>
      </c>
      <c r="L359">
        <v>4.4281195366218604</v>
      </c>
      <c r="M359">
        <v>343.70872798886427</v>
      </c>
      <c r="N359">
        <v>4.8801656192138703</v>
      </c>
      <c r="O359">
        <v>321.01251655790173</v>
      </c>
      <c r="P359">
        <v>4.4436450880852219</v>
      </c>
    </row>
    <row r="360" spans="4:16" x14ac:dyDescent="0.55000000000000004">
      <c r="D360">
        <v>353</v>
      </c>
      <c r="E360">
        <v>7.3430211766844238</v>
      </c>
      <c r="F360">
        <v>2.6569788233155776</v>
      </c>
      <c r="G360">
        <v>6.3384626231343528</v>
      </c>
      <c r="H360">
        <v>3.6615373768656472</v>
      </c>
      <c r="I360">
        <v>368.90656855460742</v>
      </c>
      <c r="J360">
        <v>4.8579305070107122</v>
      </c>
      <c r="K360">
        <v>338.68273464066084</v>
      </c>
      <c r="L360">
        <v>4.4237893185668158</v>
      </c>
      <c r="M360">
        <v>368.43847919664273</v>
      </c>
      <c r="N360">
        <v>4.8773662570850904</v>
      </c>
      <c r="O360">
        <v>343.41095814481002</v>
      </c>
      <c r="P360">
        <v>4.4412239182235504</v>
      </c>
    </row>
    <row r="361" spans="4:16" x14ac:dyDescent="0.55000000000000004">
      <c r="D361">
        <v>354</v>
      </c>
      <c r="E361">
        <v>6.8898773165413765</v>
      </c>
      <c r="F361">
        <v>3.1101226834586235</v>
      </c>
      <c r="G361">
        <v>5.6005536913897878</v>
      </c>
      <c r="H361">
        <v>4.3994463086102122</v>
      </c>
      <c r="I361">
        <v>337.84830175356632</v>
      </c>
      <c r="J361">
        <v>4.8692695598503155</v>
      </c>
      <c r="K361">
        <v>311.17327638139966</v>
      </c>
      <c r="L361">
        <v>4.4338107844100083</v>
      </c>
      <c r="M361">
        <v>324.62572504346628</v>
      </c>
      <c r="N361">
        <v>4.8937335433535916</v>
      </c>
      <c r="O361">
        <v>304.552168377979</v>
      </c>
      <c r="P361">
        <v>4.4557203288198224</v>
      </c>
    </row>
    <row r="362" spans="4:16" x14ac:dyDescent="0.55000000000000004">
      <c r="D362">
        <v>355</v>
      </c>
      <c r="E362">
        <v>7.5807913923664394</v>
      </c>
      <c r="F362">
        <v>2.4192086076335593</v>
      </c>
      <c r="G362">
        <v>6.6614908659704293</v>
      </c>
      <c r="H362">
        <v>3.3385091340295698</v>
      </c>
      <c r="I362">
        <v>374.0886725588868</v>
      </c>
      <c r="J362">
        <v>4.923723564694706</v>
      </c>
      <c r="K362">
        <v>343.33708744625505</v>
      </c>
      <c r="L362">
        <v>4.4842131131073621</v>
      </c>
      <c r="M362">
        <v>378.72402712774311</v>
      </c>
      <c r="N362">
        <v>4.9329733861841056</v>
      </c>
      <c r="O362">
        <v>352.77170971259181</v>
      </c>
      <c r="P362">
        <v>4.4924843670567842</v>
      </c>
    </row>
    <row r="363" spans="4:16" x14ac:dyDescent="0.55000000000000004">
      <c r="D363">
        <v>356</v>
      </c>
      <c r="E363">
        <v>7.0529178361205105</v>
      </c>
      <c r="F363">
        <v>2.9470821638794922</v>
      </c>
      <c r="G363">
        <v>6.9077267348163538</v>
      </c>
      <c r="H363">
        <v>3.092273265183648</v>
      </c>
      <c r="I363">
        <v>334.82131759793731</v>
      </c>
      <c r="J363">
        <v>4.9453378475735628</v>
      </c>
      <c r="K363">
        <v>308.13547036195274</v>
      </c>
      <c r="L363">
        <v>4.5039138375045358</v>
      </c>
      <c r="M363">
        <v>377.92869854696971</v>
      </c>
      <c r="N363">
        <v>4.9464631205874916</v>
      </c>
      <c r="O363">
        <v>351.9818712536362</v>
      </c>
      <c r="P363">
        <v>4.5049184598351655</v>
      </c>
    </row>
    <row r="364" spans="4:16" x14ac:dyDescent="0.55000000000000004">
      <c r="D364">
        <v>357</v>
      </c>
      <c r="E364">
        <v>6.9231241716182268</v>
      </c>
      <c r="F364">
        <v>3.0768758283817741</v>
      </c>
      <c r="G364">
        <v>6.2312509347021674</v>
      </c>
      <c r="H364">
        <v>3.7687490652978317</v>
      </c>
      <c r="I364">
        <v>352.16682213456795</v>
      </c>
      <c r="J364">
        <v>4.8240892323126161</v>
      </c>
      <c r="K364">
        <v>324.43469233524883</v>
      </c>
      <c r="L364">
        <v>4.3921610223905816</v>
      </c>
      <c r="M364">
        <v>366.97248022697022</v>
      </c>
      <c r="N364">
        <v>4.8416691498803539</v>
      </c>
      <c r="O364">
        <v>343.00208123405753</v>
      </c>
      <c r="P364">
        <v>4.4078619186752306</v>
      </c>
    </row>
    <row r="365" spans="4:16" x14ac:dyDescent="0.55000000000000004">
      <c r="D365">
        <v>358</v>
      </c>
      <c r="E365">
        <v>7.9654179474323454</v>
      </c>
      <c r="F365">
        <v>2.0345820525676555</v>
      </c>
      <c r="G365">
        <v>6.2906860945972936</v>
      </c>
      <c r="H365">
        <v>3.709313905402706</v>
      </c>
      <c r="I365">
        <v>408.81266600623348</v>
      </c>
      <c r="J365">
        <v>4.7273699878553348</v>
      </c>
      <c r="K365">
        <v>374.6292209949159</v>
      </c>
      <c r="L365">
        <v>4.3043856494240824</v>
      </c>
      <c r="M365">
        <v>372.85966289686695</v>
      </c>
      <c r="N365">
        <v>4.7846905413266887</v>
      </c>
      <c r="O365">
        <v>347.69990751247713</v>
      </c>
      <c r="P365">
        <v>4.3556884622109013</v>
      </c>
    </row>
    <row r="366" spans="4:16" x14ac:dyDescent="0.55000000000000004">
      <c r="D366">
        <v>359</v>
      </c>
      <c r="E366">
        <v>6.6411234489732838</v>
      </c>
      <c r="F366">
        <v>3.3588765510267162</v>
      </c>
      <c r="G366">
        <v>5.2888189083847328</v>
      </c>
      <c r="H366">
        <v>4.711181091615269</v>
      </c>
      <c r="I366">
        <v>321.31587865756325</v>
      </c>
      <c r="J366">
        <v>4.8316501631799174</v>
      </c>
      <c r="K366">
        <v>296.25993341203969</v>
      </c>
      <c r="L366">
        <v>4.3989972639286643</v>
      </c>
      <c r="M366">
        <v>305.88765329623527</v>
      </c>
      <c r="N366">
        <v>4.8659305451797934</v>
      </c>
      <c r="O366">
        <v>287.56610173599017</v>
      </c>
      <c r="P366">
        <v>4.4297492361819213</v>
      </c>
    </row>
    <row r="367" spans="4:16" x14ac:dyDescent="0.55000000000000004">
      <c r="D367">
        <v>360</v>
      </c>
      <c r="E367">
        <v>6.4928802331371731</v>
      </c>
      <c r="F367">
        <v>3.5071197668628269</v>
      </c>
      <c r="G367">
        <v>6.2695038787310908</v>
      </c>
      <c r="H367">
        <v>3.7304961212689074</v>
      </c>
      <c r="I367">
        <v>315.21205850205189</v>
      </c>
      <c r="J367">
        <v>4.7769311766117735</v>
      </c>
      <c r="K367">
        <v>290.76948612400031</v>
      </c>
      <c r="L367">
        <v>4.3484479819851911</v>
      </c>
      <c r="M367">
        <v>354.36773087474182</v>
      </c>
      <c r="N367">
        <v>4.7846054750372708</v>
      </c>
      <c r="O367">
        <v>331.05821798020031</v>
      </c>
      <c r="P367">
        <v>4.3553204384792084</v>
      </c>
    </row>
    <row r="368" spans="4:16" x14ac:dyDescent="0.55000000000000004">
      <c r="D368">
        <v>361</v>
      </c>
      <c r="E368">
        <v>7.1946845399862305</v>
      </c>
      <c r="F368">
        <v>2.8053154600137669</v>
      </c>
      <c r="G368">
        <v>4.7284030638047669</v>
      </c>
      <c r="H368">
        <v>5.2715969361952331</v>
      </c>
      <c r="I368">
        <v>372.08180893822384</v>
      </c>
      <c r="J368">
        <v>4.895157646687097</v>
      </c>
      <c r="K368">
        <v>342.16046115106076</v>
      </c>
      <c r="L368">
        <v>4.4578079745229831</v>
      </c>
      <c r="M368">
        <v>294.53508080743234</v>
      </c>
      <c r="N368">
        <v>4.9310967837622286</v>
      </c>
      <c r="O368">
        <v>277.61690965210215</v>
      </c>
      <c r="P368">
        <v>4.4900831763938776</v>
      </c>
    </row>
    <row r="369" spans="4:16" x14ac:dyDescent="0.55000000000000004">
      <c r="D369">
        <v>362</v>
      </c>
      <c r="E369">
        <v>7.7136361194053897</v>
      </c>
      <c r="F369">
        <v>2.2863638805946098</v>
      </c>
      <c r="G369">
        <v>5.6308281608038335</v>
      </c>
      <c r="H369">
        <v>4.3691718391961665</v>
      </c>
      <c r="I369">
        <v>406.44254813132358</v>
      </c>
      <c r="J369">
        <v>4.9279442648006331</v>
      </c>
      <c r="K369">
        <v>373.0438071747871</v>
      </c>
      <c r="L369">
        <v>4.4880846454472518</v>
      </c>
      <c r="M369">
        <v>346.69641014167297</v>
      </c>
      <c r="N369">
        <v>4.9474004922416164</v>
      </c>
      <c r="O369">
        <v>324.91581739533484</v>
      </c>
      <c r="P369">
        <v>4.5054811618299562</v>
      </c>
    </row>
    <row r="370" spans="4:16" x14ac:dyDescent="0.55000000000000004">
      <c r="D370">
        <v>363</v>
      </c>
      <c r="E370">
        <v>6.3535383149676905</v>
      </c>
      <c r="F370">
        <v>3.6464616850323108</v>
      </c>
      <c r="G370">
        <v>6.371732929224005</v>
      </c>
      <c r="H370">
        <v>3.6282670707759945</v>
      </c>
      <c r="I370">
        <v>308.70645134114807</v>
      </c>
      <c r="J370">
        <v>4.7832944053197579</v>
      </c>
      <c r="K370">
        <v>285.16118127678874</v>
      </c>
      <c r="L370">
        <v>4.3540420221443519</v>
      </c>
      <c r="M370">
        <v>359.59049335398305</v>
      </c>
      <c r="N370">
        <v>4.7826738259658708</v>
      </c>
      <c r="O370">
        <v>335.9516135373417</v>
      </c>
      <c r="P370">
        <v>4.3534871549158458</v>
      </c>
    </row>
    <row r="371" spans="4:16" x14ac:dyDescent="0.55000000000000004">
      <c r="D371">
        <v>364</v>
      </c>
      <c r="E371">
        <v>6.2524894002113003</v>
      </c>
      <c r="F371">
        <v>3.7475105997887002</v>
      </c>
      <c r="G371">
        <v>5.4924629684973461</v>
      </c>
      <c r="H371">
        <v>4.5075370315026575</v>
      </c>
      <c r="I371">
        <v>305.85522057128009</v>
      </c>
      <c r="J371">
        <v>4.8756925457693505</v>
      </c>
      <c r="K371">
        <v>282.63417913317534</v>
      </c>
      <c r="L371">
        <v>4.4393494965790969</v>
      </c>
      <c r="M371">
        <v>318.67674060392198</v>
      </c>
      <c r="N371">
        <v>4.8908028394183383</v>
      </c>
      <c r="O371">
        <v>299.29852077196313</v>
      </c>
      <c r="P371">
        <v>4.4528979683633789</v>
      </c>
    </row>
    <row r="372" spans="4:16" x14ac:dyDescent="0.55000000000000004">
      <c r="D372">
        <v>365</v>
      </c>
      <c r="E372">
        <v>5.3874540855024691</v>
      </c>
      <c r="F372">
        <v>4.6125459144975327</v>
      </c>
      <c r="G372">
        <v>6.7494362875634604</v>
      </c>
      <c r="H372">
        <v>3.250563712436537</v>
      </c>
      <c r="I372">
        <v>285.65922973197638</v>
      </c>
      <c r="J372">
        <v>4.7770722913192021</v>
      </c>
      <c r="K372">
        <v>264.9880508845809</v>
      </c>
      <c r="L372">
        <v>4.3474233450659261</v>
      </c>
      <c r="M372">
        <v>407.87567567744884</v>
      </c>
      <c r="N372">
        <v>4.7207147675703611</v>
      </c>
      <c r="O372">
        <v>379.76086246590398</v>
      </c>
      <c r="P372">
        <v>4.2968748139220656</v>
      </c>
    </row>
    <row r="373" spans="4:16" x14ac:dyDescent="0.55000000000000004">
      <c r="D373">
        <v>366</v>
      </c>
      <c r="E373">
        <v>5.6582083223153496</v>
      </c>
      <c r="F373">
        <v>4.3417916776846504</v>
      </c>
      <c r="G373">
        <v>7.0489712477922017</v>
      </c>
      <c r="H373">
        <v>2.9510287522078005</v>
      </c>
      <c r="I373">
        <v>277.15742211703861</v>
      </c>
      <c r="J373">
        <v>4.8441853019322823</v>
      </c>
      <c r="K373">
        <v>256.53114605105179</v>
      </c>
      <c r="L373">
        <v>4.4100004761948286</v>
      </c>
      <c r="M373">
        <v>395.28150755958092</v>
      </c>
      <c r="N373">
        <v>4.8058867287846141</v>
      </c>
      <c r="O373">
        <v>367.61917162001299</v>
      </c>
      <c r="P373">
        <v>4.3756574945532938</v>
      </c>
    </row>
    <row r="374" spans="4:16" x14ac:dyDescent="0.55000000000000004">
      <c r="D374">
        <v>367</v>
      </c>
      <c r="E374">
        <v>7.5905625059758659</v>
      </c>
      <c r="F374">
        <v>2.4094374940241332</v>
      </c>
      <c r="G374">
        <v>6.5975884090905339</v>
      </c>
      <c r="H374">
        <v>3.4024115909094674</v>
      </c>
      <c r="I374">
        <v>351.65523357351015</v>
      </c>
      <c r="J374">
        <v>4.6901385698830698</v>
      </c>
      <c r="K374">
        <v>322.90451092133111</v>
      </c>
      <c r="L374">
        <v>4.2696916239232445</v>
      </c>
      <c r="M374">
        <v>355.65277490226526</v>
      </c>
      <c r="N374">
        <v>4.7306736914221821</v>
      </c>
      <c r="O374">
        <v>331.8476952431833</v>
      </c>
      <c r="P374">
        <v>4.3058688862173344</v>
      </c>
    </row>
    <row r="375" spans="4:16" x14ac:dyDescent="0.55000000000000004">
      <c r="D375">
        <v>368</v>
      </c>
      <c r="E375">
        <v>6.2728321498198438</v>
      </c>
      <c r="F375">
        <v>3.7271678501801562</v>
      </c>
      <c r="G375">
        <v>5.6297347937283009</v>
      </c>
      <c r="H375">
        <v>4.3702652062716982</v>
      </c>
      <c r="I375">
        <v>311.13134744836333</v>
      </c>
      <c r="J375">
        <v>4.94908233320775</v>
      </c>
      <c r="K375">
        <v>287.48549142176398</v>
      </c>
      <c r="L375">
        <v>4.5071713755521365</v>
      </c>
      <c r="M375">
        <v>329.23383414618002</v>
      </c>
      <c r="N375">
        <v>4.9543024660138517</v>
      </c>
      <c r="O375">
        <v>308.89866478865179</v>
      </c>
      <c r="P375">
        <v>4.5118497036122625</v>
      </c>
    </row>
    <row r="376" spans="4:16" x14ac:dyDescent="0.55000000000000004">
      <c r="D376">
        <v>369</v>
      </c>
      <c r="E376">
        <v>7.0994721029371384</v>
      </c>
      <c r="F376">
        <v>2.9005278970628616</v>
      </c>
      <c r="G376">
        <v>4.6390850086163473</v>
      </c>
      <c r="H376">
        <v>5.3609149913836536</v>
      </c>
      <c r="I376">
        <v>340.84490966457867</v>
      </c>
      <c r="J376">
        <v>4.6873865807513155</v>
      </c>
      <c r="K376">
        <v>313.80563020695229</v>
      </c>
      <c r="L376">
        <v>4.2664055720536833</v>
      </c>
      <c r="M376">
        <v>272.72198379848197</v>
      </c>
      <c r="N376">
        <v>4.7957256249899372</v>
      </c>
      <c r="O376">
        <v>257.968552019078</v>
      </c>
      <c r="P376">
        <v>4.3634763803816163</v>
      </c>
    </row>
    <row r="377" spans="4:16" x14ac:dyDescent="0.55000000000000004">
      <c r="D377">
        <v>370</v>
      </c>
      <c r="E377">
        <v>7.2224363015185924</v>
      </c>
      <c r="F377">
        <v>2.7775636984814076</v>
      </c>
      <c r="G377">
        <v>6.8392869848578819</v>
      </c>
      <c r="H377">
        <v>3.1607130151421194</v>
      </c>
      <c r="I377">
        <v>337.81790205973141</v>
      </c>
      <c r="J377">
        <v>4.8824301188592916</v>
      </c>
      <c r="K377">
        <v>310.56754969819974</v>
      </c>
      <c r="L377">
        <v>4.4461333080891041</v>
      </c>
      <c r="M377">
        <v>369.89670581425867</v>
      </c>
      <c r="N377">
        <v>4.8886671859289574</v>
      </c>
      <c r="O377">
        <v>344.55400067637174</v>
      </c>
      <c r="P377">
        <v>4.4517064616835649</v>
      </c>
    </row>
    <row r="378" spans="4:16" x14ac:dyDescent="0.55000000000000004">
      <c r="D378">
        <v>371</v>
      </c>
      <c r="E378">
        <v>6.5242113093575247</v>
      </c>
      <c r="F378">
        <v>3.4757886906424753</v>
      </c>
      <c r="G378">
        <v>5.6761421616477588</v>
      </c>
      <c r="H378">
        <v>4.3238578383522412</v>
      </c>
      <c r="I378">
        <v>351.66848788649327</v>
      </c>
      <c r="J378">
        <v>4.7893085468431726</v>
      </c>
      <c r="K378">
        <v>324.3605554945579</v>
      </c>
      <c r="L378">
        <v>4.3598885823461053</v>
      </c>
      <c r="M378">
        <v>355.95580620640692</v>
      </c>
      <c r="N378">
        <v>4.8166959064236581</v>
      </c>
      <c r="O378">
        <v>333.36640915286512</v>
      </c>
      <c r="P378">
        <v>4.3844489753331573</v>
      </c>
    </row>
    <row r="379" spans="4:16" x14ac:dyDescent="0.55000000000000004">
      <c r="D379">
        <v>372</v>
      </c>
      <c r="E379">
        <v>5.2461421293946264</v>
      </c>
      <c r="F379">
        <v>4.7538578706053736</v>
      </c>
      <c r="G379">
        <v>5.2351011629346837</v>
      </c>
      <c r="H379">
        <v>4.7648988370653189</v>
      </c>
      <c r="I379">
        <v>253.86443531929092</v>
      </c>
      <c r="J379">
        <v>4.8338112287613448</v>
      </c>
      <c r="K379">
        <v>236.09733945225756</v>
      </c>
      <c r="L379">
        <v>4.3996615277754421</v>
      </c>
      <c r="M379">
        <v>303.33015533857372</v>
      </c>
      <c r="N379">
        <v>4.8341609876134708</v>
      </c>
      <c r="O379">
        <v>285.61713162419329</v>
      </c>
      <c r="P379">
        <v>4.3999758890556464</v>
      </c>
    </row>
    <row r="380" spans="4:16" x14ac:dyDescent="0.55000000000000004">
      <c r="D380">
        <v>373</v>
      </c>
      <c r="E380">
        <v>7.2417689708404911</v>
      </c>
      <c r="F380">
        <v>2.758231029159508</v>
      </c>
      <c r="G380">
        <v>5.5210403155280297</v>
      </c>
      <c r="H380">
        <v>4.4789596844719686</v>
      </c>
      <c r="I380">
        <v>346.4848006346694</v>
      </c>
      <c r="J380">
        <v>4.7789532054536705</v>
      </c>
      <c r="K380">
        <v>318.75645790489222</v>
      </c>
      <c r="L380">
        <v>4.3508623675152744</v>
      </c>
      <c r="M380">
        <v>314.15597635389372</v>
      </c>
      <c r="N380">
        <v>4.8314764984601704</v>
      </c>
      <c r="O380">
        <v>295.16379433823141</v>
      </c>
      <c r="P380">
        <v>4.397812254938156</v>
      </c>
    </row>
    <row r="381" spans="4:16" x14ac:dyDescent="0.55000000000000004">
      <c r="D381">
        <v>374</v>
      </c>
      <c r="E381">
        <v>6.27213400309323</v>
      </c>
      <c r="F381">
        <v>3.72786599690677</v>
      </c>
      <c r="G381">
        <v>6.2999358855899956</v>
      </c>
      <c r="H381">
        <v>3.7000641144100062</v>
      </c>
      <c r="I381">
        <v>297.64840837218924</v>
      </c>
      <c r="J381">
        <v>4.8806662222896096</v>
      </c>
      <c r="K381">
        <v>274.95411342712174</v>
      </c>
      <c r="L381">
        <v>4.4439841834260845</v>
      </c>
      <c r="M381">
        <v>348.96776571864137</v>
      </c>
      <c r="N381">
        <v>4.8801372629809974</v>
      </c>
      <c r="O381">
        <v>326.13519838223471</v>
      </c>
      <c r="P381">
        <v>4.443510660553037</v>
      </c>
    </row>
    <row r="382" spans="4:16" x14ac:dyDescent="0.55000000000000004">
      <c r="D382">
        <v>375</v>
      </c>
      <c r="E382">
        <v>7.676634840186173</v>
      </c>
      <c r="F382">
        <v>2.3233651598138243</v>
      </c>
      <c r="G382">
        <v>6.8561368621009482</v>
      </c>
      <c r="H382">
        <v>3.1438631378990509</v>
      </c>
      <c r="I382">
        <v>364.14599607104611</v>
      </c>
      <c r="J382">
        <v>4.8720441334594611</v>
      </c>
      <c r="K382">
        <v>334.20221130716334</v>
      </c>
      <c r="L382">
        <v>4.4367852856256054</v>
      </c>
      <c r="M382">
        <v>375.22515904750492</v>
      </c>
      <c r="N382">
        <v>4.8857203772780489</v>
      </c>
      <c r="O382">
        <v>349.46470337380885</v>
      </c>
      <c r="P382">
        <v>4.4489915654612444</v>
      </c>
    </row>
    <row r="383" spans="4:16" x14ac:dyDescent="0.55000000000000004">
      <c r="D383">
        <v>376</v>
      </c>
      <c r="E383">
        <v>6.3151227753823447</v>
      </c>
      <c r="F383">
        <v>3.6848772246176567</v>
      </c>
      <c r="G383">
        <v>5.8337180044235311</v>
      </c>
      <c r="H383">
        <v>4.1662819955764698</v>
      </c>
      <c r="I383">
        <v>310.80344206362565</v>
      </c>
      <c r="J383">
        <v>4.8811781070174076</v>
      </c>
      <c r="K383">
        <v>287.19328792835103</v>
      </c>
      <c r="L383">
        <v>4.4444237212511597</v>
      </c>
      <c r="M383">
        <v>337.11074990835846</v>
      </c>
      <c r="N383">
        <v>4.8902359556469159</v>
      </c>
      <c r="O383">
        <v>315.98605365623825</v>
      </c>
      <c r="P383">
        <v>4.4525313654407039</v>
      </c>
    </row>
    <row r="384" spans="4:16" x14ac:dyDescent="0.55000000000000004">
      <c r="D384">
        <v>377</v>
      </c>
      <c r="E384">
        <v>6.6529208507337296</v>
      </c>
      <c r="F384">
        <v>3.347079149266269</v>
      </c>
      <c r="G384">
        <v>6.0755856073731573</v>
      </c>
      <c r="H384">
        <v>3.9244143926268427</v>
      </c>
      <c r="I384">
        <v>330.52317748660312</v>
      </c>
      <c r="J384">
        <v>4.8413578253783891</v>
      </c>
      <c r="K384">
        <v>304.97282456884722</v>
      </c>
      <c r="L384">
        <v>4.4078406232256135</v>
      </c>
      <c r="M384">
        <v>351.84063587940932</v>
      </c>
      <c r="N384">
        <v>4.8551246686262424</v>
      </c>
      <c r="O384">
        <v>329.35144456285246</v>
      </c>
      <c r="P384">
        <v>4.4201381918011871</v>
      </c>
    </row>
    <row r="385" spans="4:16" x14ac:dyDescent="0.55000000000000004">
      <c r="D385">
        <v>378</v>
      </c>
      <c r="E385">
        <v>5.9230168296102894</v>
      </c>
      <c r="F385">
        <v>4.0769831703897115</v>
      </c>
      <c r="G385">
        <v>6.4244867761224302</v>
      </c>
      <c r="H385">
        <v>3.575513223877568</v>
      </c>
      <c r="I385">
        <v>282.36901917951752</v>
      </c>
      <c r="J385">
        <v>4.9045160861371944</v>
      </c>
      <c r="K385">
        <v>261.45913503754184</v>
      </c>
      <c r="L385">
        <v>4.46580614527526</v>
      </c>
      <c r="M385">
        <v>356.27568380973696</v>
      </c>
      <c r="N385">
        <v>4.8964319772185458</v>
      </c>
      <c r="O385">
        <v>332.84806291266267</v>
      </c>
      <c r="P385">
        <v>4.4585734164412667</v>
      </c>
    </row>
    <row r="386" spans="4:16" x14ac:dyDescent="0.55000000000000004">
      <c r="D386">
        <v>379</v>
      </c>
      <c r="E386">
        <v>6.914233437003702</v>
      </c>
      <c r="F386">
        <v>3.0857665629962994</v>
      </c>
      <c r="G386">
        <v>7.0794974035433933</v>
      </c>
      <c r="H386">
        <v>2.9205025964566071</v>
      </c>
      <c r="I386">
        <v>351.72278965884595</v>
      </c>
      <c r="J386">
        <v>4.7878046211525094</v>
      </c>
      <c r="K386">
        <v>323.43710265412022</v>
      </c>
      <c r="L386">
        <v>4.3590887784894985</v>
      </c>
      <c r="M386">
        <v>410.12966568798629</v>
      </c>
      <c r="N386">
        <v>4.7827327284677681</v>
      </c>
      <c r="O386">
        <v>380.96992113409232</v>
      </c>
      <c r="P386">
        <v>4.3545442072585647</v>
      </c>
    </row>
    <row r="387" spans="4:16" x14ac:dyDescent="0.55000000000000004">
      <c r="D387">
        <v>380</v>
      </c>
      <c r="E387">
        <v>5.7828074977953987</v>
      </c>
      <c r="F387">
        <v>4.2171925022046022</v>
      </c>
      <c r="G387">
        <v>6.047266659650437</v>
      </c>
      <c r="H387">
        <v>3.952733340349563</v>
      </c>
      <c r="I387">
        <v>282.62070022231745</v>
      </c>
      <c r="J387">
        <v>4.7999511952513316</v>
      </c>
      <c r="K387">
        <v>261.70078197812001</v>
      </c>
      <c r="L387">
        <v>4.368978364556015</v>
      </c>
      <c r="M387">
        <v>345.54550076810284</v>
      </c>
      <c r="N387">
        <v>4.7908025699073082</v>
      </c>
      <c r="O387">
        <v>323.29540431044643</v>
      </c>
      <c r="P387">
        <v>4.3607712858202055</v>
      </c>
    </row>
    <row r="388" spans="4:16" x14ac:dyDescent="0.55000000000000004">
      <c r="D388">
        <v>381</v>
      </c>
      <c r="E388">
        <v>5.6315543518147066</v>
      </c>
      <c r="F388">
        <v>4.3684456481852925</v>
      </c>
      <c r="G388">
        <v>6.0443070005220489</v>
      </c>
      <c r="H388">
        <v>3.9556929994779497</v>
      </c>
      <c r="I388">
        <v>289.19678315858715</v>
      </c>
      <c r="J388">
        <v>4.8423830467058426</v>
      </c>
      <c r="K388">
        <v>268.02656678633019</v>
      </c>
      <c r="L388">
        <v>4.4081404795095844</v>
      </c>
      <c r="M388">
        <v>360.39283859715101</v>
      </c>
      <c r="N388">
        <v>4.8308308515410419</v>
      </c>
      <c r="O388">
        <v>337.04702117811695</v>
      </c>
      <c r="P388">
        <v>4.3977740223216433</v>
      </c>
    </row>
    <row r="389" spans="4:16" x14ac:dyDescent="0.55000000000000004">
      <c r="D389">
        <v>382</v>
      </c>
      <c r="E389">
        <v>7.1606865361381642</v>
      </c>
      <c r="F389">
        <v>2.8393134638618371</v>
      </c>
      <c r="G389">
        <v>6.4884138011873969</v>
      </c>
      <c r="H389">
        <v>3.5115861988126014</v>
      </c>
      <c r="I389">
        <v>367.66378476768557</v>
      </c>
      <c r="J389">
        <v>4.825316688673003</v>
      </c>
      <c r="K389">
        <v>337.93635938392231</v>
      </c>
      <c r="L389">
        <v>4.3936600139389634</v>
      </c>
      <c r="M389">
        <v>383.14609754862965</v>
      </c>
      <c r="N389">
        <v>4.8417166283803752</v>
      </c>
      <c r="O389">
        <v>357.0213211287915</v>
      </c>
      <c r="P389">
        <v>4.4083482739089224</v>
      </c>
    </row>
    <row r="390" spans="4:16" x14ac:dyDescent="0.55000000000000004">
      <c r="D390">
        <v>383</v>
      </c>
      <c r="E390">
        <v>6.1764135878733004</v>
      </c>
      <c r="F390">
        <v>3.8235864121266983</v>
      </c>
      <c r="G390">
        <v>6.6464846270628399</v>
      </c>
      <c r="H390">
        <v>3.3535153729371627</v>
      </c>
      <c r="I390">
        <v>288.27390547888569</v>
      </c>
      <c r="J390">
        <v>4.7911134015162782</v>
      </c>
      <c r="K390">
        <v>266.19885798455221</v>
      </c>
      <c r="L390">
        <v>4.3613285560191075</v>
      </c>
      <c r="M390">
        <v>360.2136950334168</v>
      </c>
      <c r="N390">
        <v>4.7752155768280504</v>
      </c>
      <c r="O390">
        <v>335.8608866103047</v>
      </c>
      <c r="P390">
        <v>4.3470812231843858</v>
      </c>
    </row>
    <row r="391" spans="4:16" x14ac:dyDescent="0.55000000000000004">
      <c r="D391">
        <v>384</v>
      </c>
      <c r="E391">
        <v>7.0118297169462371</v>
      </c>
      <c r="F391">
        <v>2.9881702830537615</v>
      </c>
      <c r="G391">
        <v>5.9403597896919251</v>
      </c>
      <c r="H391">
        <v>4.059640210308074</v>
      </c>
      <c r="I391">
        <v>343.55307079935744</v>
      </c>
      <c r="J391">
        <v>4.7588305670156634</v>
      </c>
      <c r="K391">
        <v>316.11143994845378</v>
      </c>
      <c r="L391">
        <v>4.3323135270044606</v>
      </c>
      <c r="M391">
        <v>341.05510683886081</v>
      </c>
      <c r="N391">
        <v>4.7956834007619209</v>
      </c>
      <c r="O391">
        <v>319.08218042035753</v>
      </c>
      <c r="P391">
        <v>4.3653274070075545</v>
      </c>
    </row>
    <row r="392" spans="4:16" x14ac:dyDescent="0.55000000000000004">
      <c r="D392">
        <v>385</v>
      </c>
      <c r="E392">
        <v>6.2172232446763438</v>
      </c>
      <c r="F392">
        <v>3.7827767553236571</v>
      </c>
      <c r="G392">
        <v>6.2077811389098372</v>
      </c>
      <c r="H392">
        <v>3.7922188610901615</v>
      </c>
      <c r="I392">
        <v>295.57479885687633</v>
      </c>
      <c r="J392">
        <v>4.9106426518505941</v>
      </c>
      <c r="K392">
        <v>272.9947078788594</v>
      </c>
      <c r="L392">
        <v>4.4716883222776174</v>
      </c>
      <c r="M392">
        <v>345.12590899030926</v>
      </c>
      <c r="N392">
        <v>4.9107783589820642</v>
      </c>
      <c r="O392">
        <v>322.59234480940194</v>
      </c>
      <c r="P392">
        <v>4.4718099635576554</v>
      </c>
    </row>
    <row r="393" spans="4:16" x14ac:dyDescent="0.55000000000000004">
      <c r="D393">
        <v>386</v>
      </c>
      <c r="E393">
        <v>7.3747777104570185</v>
      </c>
      <c r="F393">
        <v>2.6252222895429838</v>
      </c>
      <c r="G393">
        <v>5.2367884164035825</v>
      </c>
      <c r="H393">
        <v>4.7632115835964175</v>
      </c>
      <c r="I393">
        <v>387.80277959508408</v>
      </c>
      <c r="J393">
        <v>4.8120912296569029</v>
      </c>
      <c r="K393">
        <v>356.32769310511327</v>
      </c>
      <c r="L393">
        <v>4.3815617166054981</v>
      </c>
      <c r="M393">
        <v>325.37658540582584</v>
      </c>
      <c r="N393">
        <v>4.8665670328641824</v>
      </c>
      <c r="O393">
        <v>305.52820314433103</v>
      </c>
      <c r="P393">
        <v>4.430403832253865</v>
      </c>
    </row>
    <row r="394" spans="4:16" x14ac:dyDescent="0.55000000000000004">
      <c r="D394">
        <v>387</v>
      </c>
      <c r="E394">
        <v>5.8366606363609987</v>
      </c>
      <c r="F394">
        <v>4.1633393636390013</v>
      </c>
      <c r="G394">
        <v>6.0577985697308678</v>
      </c>
      <c r="H394">
        <v>3.9422014302691304</v>
      </c>
      <c r="I394">
        <v>282.60830493681613</v>
      </c>
      <c r="J394">
        <v>4.8561902446780039</v>
      </c>
      <c r="K394">
        <v>261.76266147137585</v>
      </c>
      <c r="L394">
        <v>4.4210172040608766</v>
      </c>
      <c r="M394">
        <v>343.31569746835333</v>
      </c>
      <c r="N394">
        <v>4.8507416167601454</v>
      </c>
      <c r="O394">
        <v>321.35627690445813</v>
      </c>
      <c r="P394">
        <v>4.4161353394306282</v>
      </c>
    </row>
    <row r="395" spans="4:16" x14ac:dyDescent="0.55000000000000004">
      <c r="D395">
        <v>388</v>
      </c>
      <c r="E395">
        <v>5.7405898709529088</v>
      </c>
      <c r="F395">
        <v>4.2594101290470903</v>
      </c>
      <c r="G395">
        <v>5.9381566809236421</v>
      </c>
      <c r="H395">
        <v>4.0618433190763614</v>
      </c>
      <c r="I395">
        <v>302.34947863402965</v>
      </c>
      <c r="J395">
        <v>4.8271329891733616</v>
      </c>
      <c r="K395">
        <v>280.2173785098696</v>
      </c>
      <c r="L395">
        <v>4.3940062423472019</v>
      </c>
      <c r="M395">
        <v>362.75506818716821</v>
      </c>
      <c r="N395">
        <v>4.8211836382101456</v>
      </c>
      <c r="O395">
        <v>339.54473347216475</v>
      </c>
      <c r="P395">
        <v>4.3886733673624825</v>
      </c>
    </row>
    <row r="396" spans="4:16" x14ac:dyDescent="0.55000000000000004">
      <c r="D396">
        <v>389</v>
      </c>
      <c r="E396">
        <v>6.0162679600615787</v>
      </c>
      <c r="F396">
        <v>3.9837320399384222</v>
      </c>
      <c r="G396">
        <v>7.1318116839348749</v>
      </c>
      <c r="H396">
        <v>2.8681883160651243</v>
      </c>
      <c r="I396">
        <v>308.15184388166887</v>
      </c>
      <c r="J396">
        <v>4.7988696113659737</v>
      </c>
      <c r="K396">
        <v>285.21588172239217</v>
      </c>
      <c r="L396">
        <v>4.368059210409954</v>
      </c>
      <c r="M396">
        <v>415.28973363727414</v>
      </c>
      <c r="N396">
        <v>4.7615757700327164</v>
      </c>
      <c r="O396">
        <v>386.23453117425606</v>
      </c>
      <c r="P396">
        <v>4.3347593908710609</v>
      </c>
    </row>
    <row r="397" spans="4:16" x14ac:dyDescent="0.55000000000000004">
      <c r="D397">
        <v>390</v>
      </c>
      <c r="E397">
        <v>6.3861277980855551</v>
      </c>
      <c r="F397">
        <v>3.6138722019144449</v>
      </c>
      <c r="G397">
        <v>6.368943622700594</v>
      </c>
      <c r="H397">
        <v>3.6310563772994082</v>
      </c>
      <c r="I397">
        <v>318.30409479658664</v>
      </c>
      <c r="J397">
        <v>4.87601937254815</v>
      </c>
      <c r="K397">
        <v>293.85709015035923</v>
      </c>
      <c r="L397">
        <v>4.4397608920312868</v>
      </c>
      <c r="M397">
        <v>367.44758306307955</v>
      </c>
      <c r="N397">
        <v>4.8763529870503701</v>
      </c>
      <c r="O397">
        <v>343.09059668701315</v>
      </c>
      <c r="P397">
        <v>4.4400594440828538</v>
      </c>
    </row>
    <row r="398" spans="4:16" x14ac:dyDescent="0.55000000000000004">
      <c r="D398">
        <v>391</v>
      </c>
      <c r="E398">
        <v>6.3204989585517328</v>
      </c>
      <c r="F398">
        <v>3.6795010414482681</v>
      </c>
      <c r="G398">
        <v>6.1186660570383928</v>
      </c>
      <c r="H398">
        <v>3.8813339429616072</v>
      </c>
      <c r="I398">
        <v>321.39266918143664</v>
      </c>
      <c r="J398">
        <v>4.8858322846660718</v>
      </c>
      <c r="K398">
        <v>296.76797618009005</v>
      </c>
      <c r="L398">
        <v>4.4487989885457377</v>
      </c>
      <c r="M398">
        <v>361.12961631624484</v>
      </c>
      <c r="N398">
        <v>4.8894780096944439</v>
      </c>
      <c r="O398">
        <v>337.57399817985743</v>
      </c>
      <c r="P398">
        <v>4.4520649481141072</v>
      </c>
    </row>
    <row r="399" spans="4:16" x14ac:dyDescent="0.55000000000000004">
      <c r="D399">
        <v>392</v>
      </c>
      <c r="E399">
        <v>6.2204384660041621</v>
      </c>
      <c r="F399">
        <v>3.7795615339958379</v>
      </c>
      <c r="G399">
        <v>6.8828822372918861</v>
      </c>
      <c r="H399">
        <v>3.1171177627081126</v>
      </c>
      <c r="I399">
        <v>329.32839676994013</v>
      </c>
      <c r="J399">
        <v>4.9472744196060052</v>
      </c>
      <c r="K399">
        <v>304.0584890911615</v>
      </c>
      <c r="L399">
        <v>4.5055394601615175</v>
      </c>
      <c r="M399">
        <v>414.4001278610379</v>
      </c>
      <c r="N399">
        <v>4.9416594243752954</v>
      </c>
      <c r="O399">
        <v>385.46593742518263</v>
      </c>
      <c r="P399">
        <v>4.5005111177581663</v>
      </c>
    </row>
    <row r="400" spans="4:16" x14ac:dyDescent="0.55000000000000004">
      <c r="D400">
        <v>393</v>
      </c>
      <c r="E400">
        <v>7.4557191506977585</v>
      </c>
      <c r="F400">
        <v>2.5442808493022433</v>
      </c>
      <c r="G400">
        <v>5.5140747754931292</v>
      </c>
      <c r="H400">
        <v>4.4859252245068708</v>
      </c>
      <c r="I400">
        <v>369.39409221807506</v>
      </c>
      <c r="J400">
        <v>4.7743425598192086</v>
      </c>
      <c r="K400">
        <v>339.39845773885179</v>
      </c>
      <c r="L400">
        <v>4.3468857739076139</v>
      </c>
      <c r="M400">
        <v>323.19519484921142</v>
      </c>
      <c r="N400">
        <v>4.8331090571341049</v>
      </c>
      <c r="O400">
        <v>303.32300011333365</v>
      </c>
      <c r="P400">
        <v>4.3994680101678982</v>
      </c>
    </row>
    <row r="401" spans="4:16" x14ac:dyDescent="0.55000000000000004">
      <c r="D401">
        <v>394</v>
      </c>
      <c r="E401">
        <v>7.70819485866833</v>
      </c>
      <c r="F401">
        <v>2.2918051413316691</v>
      </c>
      <c r="G401">
        <v>6.437198083570502</v>
      </c>
      <c r="H401">
        <v>3.5628019164294971</v>
      </c>
      <c r="I401">
        <v>371.15222268722169</v>
      </c>
      <c r="J401">
        <v>4.8555233898229799</v>
      </c>
      <c r="K401">
        <v>340.49043225594676</v>
      </c>
      <c r="L401">
        <v>4.4216782753478698</v>
      </c>
      <c r="M401">
        <v>359.95329261926202</v>
      </c>
      <c r="N401">
        <v>4.8793459979665137</v>
      </c>
      <c r="O401">
        <v>335.75590644370652</v>
      </c>
      <c r="P401">
        <v>4.4429845164684121</v>
      </c>
    </row>
    <row r="402" spans="4:16" x14ac:dyDescent="0.55000000000000004">
      <c r="D402">
        <v>395</v>
      </c>
      <c r="E402">
        <v>6.1995581115717817</v>
      </c>
      <c r="F402">
        <v>3.8004418884282192</v>
      </c>
      <c r="G402">
        <v>6.2756372404739729</v>
      </c>
      <c r="H402">
        <v>3.7243627595260289</v>
      </c>
      <c r="I402">
        <v>297.35255508406959</v>
      </c>
      <c r="J402">
        <v>4.8441364851867794</v>
      </c>
      <c r="K402">
        <v>274.77564832744099</v>
      </c>
      <c r="L402">
        <v>4.4101899599124819</v>
      </c>
      <c r="M402">
        <v>351.00157699184246</v>
      </c>
      <c r="N402">
        <v>4.8422237745997956</v>
      </c>
      <c r="O402">
        <v>328.04312163505017</v>
      </c>
      <c r="P402">
        <v>4.4084772459452575</v>
      </c>
    </row>
    <row r="403" spans="4:16" x14ac:dyDescent="0.55000000000000004">
      <c r="D403">
        <v>396</v>
      </c>
      <c r="E403">
        <v>6.6517295360098743</v>
      </c>
      <c r="F403">
        <v>3.3482704639901266</v>
      </c>
      <c r="G403">
        <v>6.9335968135312154</v>
      </c>
      <c r="H403">
        <v>3.0664031864687868</v>
      </c>
      <c r="I403">
        <v>320.21414309201208</v>
      </c>
      <c r="J403">
        <v>4.9059961414647777</v>
      </c>
      <c r="K403">
        <v>294.86868199495939</v>
      </c>
      <c r="L403">
        <v>4.467656017427533</v>
      </c>
      <c r="M403">
        <v>383.78322888369291</v>
      </c>
      <c r="N403">
        <v>4.9020127245897562</v>
      </c>
      <c r="O403">
        <v>357.02691714946934</v>
      </c>
      <c r="P403">
        <v>4.464086777772887</v>
      </c>
    </row>
    <row r="404" spans="4:16" x14ac:dyDescent="0.55000000000000004">
      <c r="D404">
        <v>397</v>
      </c>
      <c r="E404">
        <v>7.0528559326210862</v>
      </c>
      <c r="F404">
        <v>2.9471440673789111</v>
      </c>
      <c r="G404">
        <v>7.4791002024833961</v>
      </c>
      <c r="H404">
        <v>2.5208997975166043</v>
      </c>
      <c r="I404">
        <v>359.16600332623739</v>
      </c>
      <c r="J404">
        <v>4.8082125510267293</v>
      </c>
      <c r="K404">
        <v>330.50235302679113</v>
      </c>
      <c r="L404">
        <v>4.3777376862882029</v>
      </c>
      <c r="M404">
        <v>430.87245136795445</v>
      </c>
      <c r="N404">
        <v>4.7966217427162618</v>
      </c>
      <c r="O404">
        <v>399.86581802655968</v>
      </c>
      <c r="P404">
        <v>4.3673979839745201</v>
      </c>
    </row>
    <row r="405" spans="4:16" x14ac:dyDescent="0.55000000000000004">
      <c r="D405">
        <v>398</v>
      </c>
      <c r="E405">
        <v>5.0101108472802114</v>
      </c>
      <c r="F405">
        <v>4.9898891527197895</v>
      </c>
      <c r="G405">
        <v>6.7425405666409226</v>
      </c>
      <c r="H405">
        <v>3.2574594333590756</v>
      </c>
      <c r="I405">
        <v>244.62225069185956</v>
      </c>
      <c r="J405">
        <v>4.9845271222942893</v>
      </c>
      <c r="K405">
        <v>227.72654845151587</v>
      </c>
      <c r="L405">
        <v>4.53981513175136</v>
      </c>
      <c r="M405">
        <v>379.20937262061756</v>
      </c>
      <c r="N405">
        <v>4.9791768069023732</v>
      </c>
      <c r="O405">
        <v>353.54311902670844</v>
      </c>
      <c r="P405">
        <v>4.5350195723888795</v>
      </c>
    </row>
    <row r="406" spans="4:16" x14ac:dyDescent="0.55000000000000004">
      <c r="D406">
        <v>399</v>
      </c>
      <c r="E406">
        <v>6.9075451791933773</v>
      </c>
      <c r="F406">
        <v>3.0924548208066218</v>
      </c>
      <c r="G406">
        <v>6.361409125123453</v>
      </c>
      <c r="H406">
        <v>3.6385908748765479</v>
      </c>
      <c r="I406">
        <v>344.17252931021056</v>
      </c>
      <c r="J406">
        <v>4.7333721291985364</v>
      </c>
      <c r="K406">
        <v>317.09821028155335</v>
      </c>
      <c r="L406">
        <v>4.3085657209428332</v>
      </c>
      <c r="M406">
        <v>366.96097698581548</v>
      </c>
      <c r="N406">
        <v>4.7544527141946649</v>
      </c>
      <c r="O406">
        <v>342.80266977033199</v>
      </c>
      <c r="P406">
        <v>4.32738729351128</v>
      </c>
    </row>
    <row r="407" spans="4:16" x14ac:dyDescent="0.55000000000000004">
      <c r="D407">
        <v>400</v>
      </c>
      <c r="E407">
        <v>6.5562033979283951</v>
      </c>
      <c r="F407">
        <v>3.4437966020716035</v>
      </c>
      <c r="G407">
        <v>7.0970278481131821</v>
      </c>
      <c r="H407">
        <v>2.9029721518868175</v>
      </c>
      <c r="I407">
        <v>329.48725976604482</v>
      </c>
      <c r="J407">
        <v>4.7861565772720613</v>
      </c>
      <c r="K407">
        <v>303.8962185565843</v>
      </c>
      <c r="L407">
        <v>4.3569849642290173</v>
      </c>
      <c r="M407">
        <v>406.66682624535338</v>
      </c>
      <c r="N407">
        <v>4.7685165279168196</v>
      </c>
      <c r="O407">
        <v>378.17772854494774</v>
      </c>
      <c r="P407">
        <v>4.3412258079915329</v>
      </c>
    </row>
    <row r="408" spans="4:16" x14ac:dyDescent="0.55000000000000004">
      <c r="D408">
        <v>401</v>
      </c>
      <c r="E408">
        <v>7.5030553521416321</v>
      </c>
      <c r="F408">
        <v>2.4969446478583692</v>
      </c>
      <c r="G408">
        <v>5.8671701543763657</v>
      </c>
      <c r="H408">
        <v>4.1328298456236343</v>
      </c>
      <c r="I408">
        <v>379.16579906593466</v>
      </c>
      <c r="J408">
        <v>4.5887515596417021</v>
      </c>
      <c r="K408">
        <v>348.04271751084707</v>
      </c>
      <c r="L408">
        <v>4.1767274022846639</v>
      </c>
      <c r="M408">
        <v>346.49658111677553</v>
      </c>
      <c r="N408">
        <v>4.6784157303843799</v>
      </c>
      <c r="O408">
        <v>323.92560160205466</v>
      </c>
      <c r="P408">
        <v>4.2571158455367559</v>
      </c>
    </row>
    <row r="409" spans="4:16" x14ac:dyDescent="0.55000000000000004">
      <c r="D409">
        <v>402</v>
      </c>
      <c r="E409">
        <v>8.018696941506434</v>
      </c>
      <c r="F409">
        <v>1.9813030584935678</v>
      </c>
      <c r="G409">
        <v>6.1154552857887108</v>
      </c>
      <c r="H409">
        <v>3.8845447142112892</v>
      </c>
      <c r="I409">
        <v>399.17797111827497</v>
      </c>
      <c r="J409">
        <v>4.7363799194175611</v>
      </c>
      <c r="K409">
        <v>365.91959147971534</v>
      </c>
      <c r="L409">
        <v>4.3125633193384667</v>
      </c>
      <c r="M409">
        <v>354.43288370330401</v>
      </c>
      <c r="N409">
        <v>4.7989502749638699</v>
      </c>
      <c r="O409">
        <v>331.31369521479223</v>
      </c>
      <c r="P409">
        <v>4.3684376781579806</v>
      </c>
    </row>
    <row r="410" spans="4:16" x14ac:dyDescent="0.55000000000000004">
      <c r="D410">
        <v>403</v>
      </c>
      <c r="E410">
        <v>6.178812639451305</v>
      </c>
      <c r="F410">
        <v>3.821187360548695</v>
      </c>
      <c r="G410">
        <v>5.2277292941427014</v>
      </c>
      <c r="H410">
        <v>4.7722707058572986</v>
      </c>
      <c r="I410">
        <v>322.86056178425235</v>
      </c>
      <c r="J410">
        <v>4.8175008095510874</v>
      </c>
      <c r="K410">
        <v>298.52267765151083</v>
      </c>
      <c r="L410">
        <v>4.3854772891128206</v>
      </c>
      <c r="M410">
        <v>323.16374767317575</v>
      </c>
      <c r="N410">
        <v>4.8455922812781989</v>
      </c>
      <c r="O410">
        <v>303.9407021329539</v>
      </c>
      <c r="P410">
        <v>4.4106775625552821</v>
      </c>
    </row>
    <row r="411" spans="4:16" x14ac:dyDescent="0.55000000000000004">
      <c r="D411">
        <v>404</v>
      </c>
      <c r="E411">
        <v>7.0115566164908971</v>
      </c>
      <c r="F411">
        <v>2.988443383509102</v>
      </c>
      <c r="G411">
        <v>6.2664888314562406</v>
      </c>
      <c r="H411">
        <v>3.7335111685437576</v>
      </c>
      <c r="I411">
        <v>369.93739652100527</v>
      </c>
      <c r="J411">
        <v>4.872518389948147</v>
      </c>
      <c r="K411">
        <v>340.69256808460335</v>
      </c>
      <c r="L411">
        <v>4.4368155717148152</v>
      </c>
      <c r="M411">
        <v>380.62680520678464</v>
      </c>
      <c r="N411">
        <v>4.8860649454463356</v>
      </c>
      <c r="O411">
        <v>355.60094823936657</v>
      </c>
      <c r="P411">
        <v>4.4489082561507995</v>
      </c>
    </row>
    <row r="412" spans="4:16" x14ac:dyDescent="0.55000000000000004">
      <c r="D412">
        <v>405</v>
      </c>
      <c r="E412">
        <v>7.6713108131360457</v>
      </c>
      <c r="F412">
        <v>2.3286891868639517</v>
      </c>
      <c r="G412">
        <v>6.268835236074823</v>
      </c>
      <c r="H412">
        <v>3.7311647639251753</v>
      </c>
      <c r="I412">
        <v>381.97331985508339</v>
      </c>
      <c r="J412">
        <v>4.9963100557135505</v>
      </c>
      <c r="K412">
        <v>350.65699281123517</v>
      </c>
      <c r="L412">
        <v>4.5508318985075729</v>
      </c>
      <c r="M412">
        <v>362.14063216520071</v>
      </c>
      <c r="N412">
        <v>4.9969846544709888</v>
      </c>
      <c r="O412">
        <v>338.31565526395264</v>
      </c>
      <c r="P412">
        <v>4.551434129214103</v>
      </c>
    </row>
    <row r="413" spans="4:16" x14ac:dyDescent="0.55000000000000004">
      <c r="D413">
        <v>406</v>
      </c>
      <c r="E413">
        <v>6.6606030441957085</v>
      </c>
      <c r="F413">
        <v>3.3393969558042906</v>
      </c>
      <c r="G413">
        <v>5.231307173694197</v>
      </c>
      <c r="H413">
        <v>4.7686928263058022</v>
      </c>
      <c r="I413">
        <v>333.4084036445297</v>
      </c>
      <c r="J413">
        <v>4.7668308865823983</v>
      </c>
      <c r="K413">
        <v>307.58662523740708</v>
      </c>
      <c r="L413">
        <v>4.3391086635052893</v>
      </c>
      <c r="M413">
        <v>311.86244131084862</v>
      </c>
      <c r="N413">
        <v>4.8168665438231777</v>
      </c>
      <c r="O413">
        <v>293.51792279999489</v>
      </c>
      <c r="P413">
        <v>4.3839151002412837</v>
      </c>
    </row>
    <row r="414" spans="4:16" x14ac:dyDescent="0.55000000000000004">
      <c r="D414">
        <v>407</v>
      </c>
      <c r="E414">
        <v>6.7968522830742977</v>
      </c>
      <c r="F414">
        <v>3.2031477169257014</v>
      </c>
      <c r="G414">
        <v>6.0491396380237354</v>
      </c>
      <c r="H414">
        <v>3.9508603619762641</v>
      </c>
      <c r="I414">
        <v>345.36244201546742</v>
      </c>
      <c r="J414">
        <v>4.826042975189937</v>
      </c>
      <c r="K414">
        <v>318.33451999480144</v>
      </c>
      <c r="L414">
        <v>4.3938761004293152</v>
      </c>
      <c r="M414">
        <v>357.36958086949795</v>
      </c>
      <c r="N414">
        <v>4.8451797552358666</v>
      </c>
      <c r="O414">
        <v>334.3730177482567</v>
      </c>
      <c r="P414">
        <v>4.4109823087778901</v>
      </c>
    </row>
    <row r="415" spans="4:16" x14ac:dyDescent="0.55000000000000004">
      <c r="D415">
        <v>408</v>
      </c>
      <c r="E415">
        <v>7.4107617764933194</v>
      </c>
      <c r="F415">
        <v>2.5892382235066824</v>
      </c>
      <c r="G415">
        <v>4.8459302725551998</v>
      </c>
      <c r="H415">
        <v>5.1540697274448011</v>
      </c>
      <c r="I415">
        <v>390.48143798225504</v>
      </c>
      <c r="J415">
        <v>4.8570628608944686</v>
      </c>
      <c r="K415">
        <v>358.88864066874896</v>
      </c>
      <c r="L415">
        <v>4.4228468386783764</v>
      </c>
      <c r="M415">
        <v>305.33755884465677</v>
      </c>
      <c r="N415">
        <v>4.9065327654086746</v>
      </c>
      <c r="O415">
        <v>287.79703125578573</v>
      </c>
      <c r="P415">
        <v>4.4671728591637851</v>
      </c>
    </row>
    <row r="416" spans="4:16" x14ac:dyDescent="0.55000000000000004">
      <c r="D416">
        <v>409</v>
      </c>
      <c r="E416">
        <v>4.9755700659978164</v>
      </c>
      <c r="F416">
        <v>5.0244299340021836</v>
      </c>
      <c r="G416">
        <v>6.3315249424181497</v>
      </c>
      <c r="H416">
        <v>3.6684750575818503</v>
      </c>
      <c r="I416">
        <v>251.58991552044381</v>
      </c>
      <c r="J416">
        <v>4.8790521353453293</v>
      </c>
      <c r="K416">
        <v>234.07398828201775</v>
      </c>
      <c r="L416">
        <v>4.4416919601209566</v>
      </c>
      <c r="M416">
        <v>370.15383247529667</v>
      </c>
      <c r="N416">
        <v>4.8460911188797242</v>
      </c>
      <c r="O416">
        <v>345.66608541203993</v>
      </c>
      <c r="P416">
        <v>4.4120825355457738</v>
      </c>
    </row>
    <row r="417" spans="4:16" x14ac:dyDescent="0.55000000000000004">
      <c r="D417">
        <v>410</v>
      </c>
      <c r="E417">
        <v>6.3184490218177212</v>
      </c>
      <c r="F417">
        <v>3.6815509781822793</v>
      </c>
      <c r="G417">
        <v>6.7606387352646546</v>
      </c>
      <c r="H417">
        <v>3.2393612647353454</v>
      </c>
      <c r="I417">
        <v>323.16408464439081</v>
      </c>
      <c r="J417">
        <v>4.8096199147786285</v>
      </c>
      <c r="K417">
        <v>298.49258999973722</v>
      </c>
      <c r="L417">
        <v>4.3783735273856017</v>
      </c>
      <c r="M417">
        <v>395.78036808543902</v>
      </c>
      <c r="N417">
        <v>4.7962963736628632</v>
      </c>
      <c r="O417">
        <v>368.70922532390938</v>
      </c>
      <c r="P417">
        <v>4.3664636495904219</v>
      </c>
    </row>
    <row r="418" spans="4:16" x14ac:dyDescent="0.55000000000000004">
      <c r="D418">
        <v>411</v>
      </c>
      <c r="E418">
        <v>5.6511532966259939</v>
      </c>
      <c r="F418">
        <v>4.3488467033740053</v>
      </c>
      <c r="G418">
        <v>5.4953981401625187</v>
      </c>
      <c r="H418">
        <v>4.5046018598374795</v>
      </c>
      <c r="I418">
        <v>281.98975536155604</v>
      </c>
      <c r="J418">
        <v>4.8793337843703366</v>
      </c>
      <c r="K418">
        <v>261.54857865901567</v>
      </c>
      <c r="L418">
        <v>4.4423000871513727</v>
      </c>
      <c r="M418">
        <v>324.2176500651629</v>
      </c>
      <c r="N418">
        <v>4.8826595453803021</v>
      </c>
      <c r="O418">
        <v>304.57465002880434</v>
      </c>
      <c r="P418">
        <v>4.4452843004423839</v>
      </c>
    </row>
    <row r="419" spans="4:16" x14ac:dyDescent="0.55000000000000004">
      <c r="D419">
        <v>412</v>
      </c>
      <c r="E419">
        <v>6.2326808233200346</v>
      </c>
      <c r="F419">
        <v>3.7673191766799659</v>
      </c>
      <c r="G419">
        <v>5.6109920781970306</v>
      </c>
      <c r="H419">
        <v>4.3890079218029685</v>
      </c>
      <c r="I419">
        <v>302.25630371273854</v>
      </c>
      <c r="J419">
        <v>4.9950908117561132</v>
      </c>
      <c r="K419">
        <v>279.29549558658272</v>
      </c>
      <c r="L419">
        <v>4.549683057097643</v>
      </c>
      <c r="M419">
        <v>322.10726391952255</v>
      </c>
      <c r="N419">
        <v>4.9955804866111917</v>
      </c>
      <c r="O419">
        <v>302.26124296825986</v>
      </c>
      <c r="P419">
        <v>4.5501221421837306</v>
      </c>
    </row>
    <row r="420" spans="4:16" x14ac:dyDescent="0.55000000000000004">
      <c r="D420">
        <v>413</v>
      </c>
      <c r="E420">
        <v>6.3727692014036865</v>
      </c>
      <c r="F420">
        <v>3.6272307985963113</v>
      </c>
      <c r="G420">
        <v>5.572806282960121</v>
      </c>
      <c r="H420">
        <v>4.427193717039879</v>
      </c>
      <c r="I420">
        <v>326.87235155759276</v>
      </c>
      <c r="J420">
        <v>4.8468767897606639</v>
      </c>
      <c r="K420">
        <v>301.8530240057143</v>
      </c>
      <c r="L420">
        <v>4.4128164031691357</v>
      </c>
      <c r="M420">
        <v>335.84061919029978</v>
      </c>
      <c r="N420">
        <v>4.8660980868566792</v>
      </c>
      <c r="O420">
        <v>315.07597911773968</v>
      </c>
      <c r="P420">
        <v>4.4300445937748218</v>
      </c>
    </row>
    <row r="421" spans="4:16" x14ac:dyDescent="0.55000000000000004">
      <c r="D421">
        <v>414</v>
      </c>
      <c r="E421">
        <v>6.1211635620380163</v>
      </c>
      <c r="F421">
        <v>3.8788364379619842</v>
      </c>
      <c r="G421">
        <v>5.7471700721552361</v>
      </c>
      <c r="H421">
        <v>4.2528299278447648</v>
      </c>
      <c r="I421">
        <v>315.88399342714268</v>
      </c>
      <c r="J421">
        <v>4.9119308087276119</v>
      </c>
      <c r="K421">
        <v>291.67857053755949</v>
      </c>
      <c r="L421">
        <v>4.4728986572171685</v>
      </c>
      <c r="M421">
        <v>346.58397703277711</v>
      </c>
      <c r="N421">
        <v>4.917311698138799</v>
      </c>
      <c r="O421">
        <v>324.32774023091326</v>
      </c>
      <c r="P421">
        <v>4.4777361090184833</v>
      </c>
    </row>
    <row r="422" spans="4:16" x14ac:dyDescent="0.55000000000000004">
      <c r="D422">
        <v>415</v>
      </c>
      <c r="E422">
        <v>6.5395441725725023</v>
      </c>
      <c r="F422">
        <v>3.4604558274274986</v>
      </c>
      <c r="G422">
        <v>4.8459950093334427</v>
      </c>
      <c r="H422">
        <v>5.1540049906665582</v>
      </c>
      <c r="I422">
        <v>349.074583047739</v>
      </c>
      <c r="J422">
        <v>4.7317310322840402</v>
      </c>
      <c r="K422">
        <v>322.07883947468792</v>
      </c>
      <c r="L422">
        <v>4.3066969798964543</v>
      </c>
      <c r="M422">
        <v>308.67455631377055</v>
      </c>
      <c r="N422">
        <v>4.8012047866939973</v>
      </c>
      <c r="O422">
        <v>290.9015293315137</v>
      </c>
      <c r="P422">
        <v>4.369082940523926</v>
      </c>
    </row>
    <row r="423" spans="4:16" x14ac:dyDescent="0.55000000000000004">
      <c r="D423">
        <v>416</v>
      </c>
      <c r="E423">
        <v>6.6888068437309682</v>
      </c>
      <c r="F423">
        <v>3.3111931562690318</v>
      </c>
      <c r="G423">
        <v>6.2102733000592929</v>
      </c>
      <c r="H423">
        <v>3.7897266999407067</v>
      </c>
      <c r="I423">
        <v>347.03569032694639</v>
      </c>
      <c r="J423">
        <v>4.8149574117241123</v>
      </c>
      <c r="K423">
        <v>319.83764551393659</v>
      </c>
      <c r="L423">
        <v>4.3836789770844371</v>
      </c>
      <c r="M423">
        <v>372.20791123980695</v>
      </c>
      <c r="N423">
        <v>4.8281958094782409</v>
      </c>
      <c r="O423">
        <v>347.61023442661377</v>
      </c>
      <c r="P423">
        <v>4.3955308349564479</v>
      </c>
    </row>
    <row r="424" spans="4:16" x14ac:dyDescent="0.55000000000000004">
      <c r="D424">
        <v>417</v>
      </c>
      <c r="E424">
        <v>7.7835034269062957</v>
      </c>
      <c r="F424">
        <v>2.2164965730937034</v>
      </c>
      <c r="G424">
        <v>6.8803208433538297</v>
      </c>
      <c r="H424">
        <v>3.1196791566461708</v>
      </c>
      <c r="I424">
        <v>389.80862295337852</v>
      </c>
      <c r="J424">
        <v>4.8868240988539569</v>
      </c>
      <c r="K424">
        <v>357.63282549071613</v>
      </c>
      <c r="L424">
        <v>4.4503852466001037</v>
      </c>
      <c r="M424">
        <v>394.5759892844552</v>
      </c>
      <c r="N424">
        <v>4.8999568100749249</v>
      </c>
      <c r="O424">
        <v>367.2827132650969</v>
      </c>
      <c r="P424">
        <v>4.4621003807546007</v>
      </c>
    </row>
    <row r="425" spans="4:16" x14ac:dyDescent="0.55000000000000004">
      <c r="D425">
        <v>418</v>
      </c>
      <c r="E425">
        <v>6.4803771832833306</v>
      </c>
      <c r="F425">
        <v>3.5196228167166677</v>
      </c>
      <c r="G425">
        <v>5.7516687901509425</v>
      </c>
      <c r="H425">
        <v>4.2483312098490575</v>
      </c>
      <c r="I425">
        <v>339.32107278381562</v>
      </c>
      <c r="J425">
        <v>4.7729160983558501</v>
      </c>
      <c r="K425">
        <v>313.03258128502955</v>
      </c>
      <c r="L425">
        <v>4.3447284705287395</v>
      </c>
      <c r="M425">
        <v>351.16494286870892</v>
      </c>
      <c r="N425">
        <v>4.7984513319376561</v>
      </c>
      <c r="O425">
        <v>328.81765096218851</v>
      </c>
      <c r="P425">
        <v>4.3676261344092957</v>
      </c>
    </row>
    <row r="426" spans="4:16" x14ac:dyDescent="0.55000000000000004">
      <c r="D426">
        <v>419</v>
      </c>
      <c r="E426">
        <v>6.7936804225138712</v>
      </c>
      <c r="F426">
        <v>3.2063195774861306</v>
      </c>
      <c r="G426">
        <v>5.3490617681527368</v>
      </c>
      <c r="H426">
        <v>4.650938231847265</v>
      </c>
      <c r="I426">
        <v>334.63183215291951</v>
      </c>
      <c r="J426">
        <v>4.7299599365347813</v>
      </c>
      <c r="K426">
        <v>308.34711009427798</v>
      </c>
      <c r="L426">
        <v>4.3053904129407163</v>
      </c>
      <c r="M426">
        <v>313.4752046687741</v>
      </c>
      <c r="N426">
        <v>4.7873816709769752</v>
      </c>
      <c r="O426">
        <v>294.56376751737076</v>
      </c>
      <c r="P426">
        <v>4.3568620788807966</v>
      </c>
    </row>
    <row r="427" spans="4:16" x14ac:dyDescent="0.55000000000000004">
      <c r="D427">
        <v>420</v>
      </c>
      <c r="E427">
        <v>6.9174068240313238</v>
      </c>
      <c r="F427">
        <v>3.0825931759686771</v>
      </c>
      <c r="G427">
        <v>5.7672343610744967</v>
      </c>
      <c r="H427">
        <v>4.2327656389255042</v>
      </c>
      <c r="I427">
        <v>349.50610290375664</v>
      </c>
      <c r="J427">
        <v>4.8406447188913653</v>
      </c>
      <c r="K427">
        <v>321.74431996590357</v>
      </c>
      <c r="L427">
        <v>4.4075218632037796</v>
      </c>
      <c r="M427">
        <v>341.39295365269339</v>
      </c>
      <c r="N427">
        <v>4.8671410723400523</v>
      </c>
      <c r="O427">
        <v>319.66382985161107</v>
      </c>
      <c r="P427">
        <v>4.4312676606976904</v>
      </c>
    </row>
    <row r="428" spans="4:16" x14ac:dyDescent="0.55000000000000004">
      <c r="D428">
        <v>421</v>
      </c>
      <c r="E428">
        <v>5.6700433902064242</v>
      </c>
      <c r="F428">
        <v>4.3299566097935749</v>
      </c>
      <c r="G428">
        <v>6.6907209419173359</v>
      </c>
      <c r="H428">
        <v>3.3092790580826623</v>
      </c>
      <c r="I428">
        <v>277.61148943534323</v>
      </c>
      <c r="J428">
        <v>4.8347728943038888</v>
      </c>
      <c r="K428">
        <v>256.9428031778088</v>
      </c>
      <c r="L428">
        <v>4.4012936767294812</v>
      </c>
      <c r="M428">
        <v>377.58497215209019</v>
      </c>
      <c r="N428">
        <v>4.8050299829869347</v>
      </c>
      <c r="O428">
        <v>351.79114531185428</v>
      </c>
      <c r="P428">
        <v>4.3746011151890727</v>
      </c>
    </row>
    <row r="429" spans="4:16" x14ac:dyDescent="0.55000000000000004">
      <c r="D429">
        <v>422</v>
      </c>
      <c r="E429">
        <v>6.172404827332068</v>
      </c>
      <c r="F429">
        <v>3.8275951726679316</v>
      </c>
      <c r="G429">
        <v>5.8484593848003188</v>
      </c>
      <c r="H429">
        <v>4.1515406151996803</v>
      </c>
      <c r="I429">
        <v>301.13934251130684</v>
      </c>
      <c r="J429">
        <v>4.9193177290831809</v>
      </c>
      <c r="K429">
        <v>278.49502935912909</v>
      </c>
      <c r="L429">
        <v>4.4796039903828806</v>
      </c>
      <c r="M429">
        <v>335.3346893327643</v>
      </c>
      <c r="N429">
        <v>4.9235521652045566</v>
      </c>
      <c r="O429">
        <v>314.34666104073455</v>
      </c>
      <c r="P429">
        <v>4.4833946690639728</v>
      </c>
    </row>
    <row r="430" spans="4:16" x14ac:dyDescent="0.55000000000000004">
      <c r="D430">
        <v>423</v>
      </c>
      <c r="E430">
        <v>5.0609766211696101</v>
      </c>
      <c r="F430">
        <v>4.9390233788303899</v>
      </c>
      <c r="G430">
        <v>6.6361695491043804</v>
      </c>
      <c r="H430">
        <v>3.3638304508956192</v>
      </c>
      <c r="I430">
        <v>255.63928282484721</v>
      </c>
      <c r="J430">
        <v>4.8053330302715986</v>
      </c>
      <c r="K430">
        <v>238.16318858044113</v>
      </c>
      <c r="L430">
        <v>4.3728602361382727</v>
      </c>
      <c r="M430">
        <v>385.20518888409219</v>
      </c>
      <c r="N430">
        <v>4.7447443224052099</v>
      </c>
      <c r="O430">
        <v>359.38389016882502</v>
      </c>
      <c r="P430">
        <v>4.318626324953188</v>
      </c>
    </row>
    <row r="431" spans="4:16" x14ac:dyDescent="0.55000000000000004">
      <c r="D431">
        <v>424</v>
      </c>
      <c r="E431">
        <v>6.1084209349890193</v>
      </c>
      <c r="F431">
        <v>3.8915790650109816</v>
      </c>
      <c r="G431">
        <v>6.0768297695842142</v>
      </c>
      <c r="H431">
        <v>3.9231702304157832</v>
      </c>
      <c r="I431">
        <v>275.99277159099836</v>
      </c>
      <c r="J431">
        <v>4.7729725678957156</v>
      </c>
      <c r="K431">
        <v>255.23231323108533</v>
      </c>
      <c r="L431">
        <v>4.3442691237245743</v>
      </c>
      <c r="M431">
        <v>324.56540871102402</v>
      </c>
      <c r="N431">
        <v>4.7741466947666957</v>
      </c>
      <c r="O431">
        <v>303.9540754751319</v>
      </c>
      <c r="P431">
        <v>4.3453205825496717</v>
      </c>
    </row>
    <row r="432" spans="4:16" x14ac:dyDescent="0.55000000000000004">
      <c r="D432">
        <v>425</v>
      </c>
      <c r="E432">
        <v>6.7259749979313845</v>
      </c>
      <c r="F432">
        <v>3.2740250020686155</v>
      </c>
      <c r="G432">
        <v>6.6152525978079506</v>
      </c>
      <c r="H432">
        <v>3.3847474021920489</v>
      </c>
      <c r="I432">
        <v>338.13808363602959</v>
      </c>
      <c r="J432">
        <v>4.841895961346971</v>
      </c>
      <c r="K432">
        <v>311.77256424429538</v>
      </c>
      <c r="L432">
        <v>4.408443071138473</v>
      </c>
      <c r="M432">
        <v>382.57168468199927</v>
      </c>
      <c r="N432">
        <v>4.8444986559205105</v>
      </c>
      <c r="O432">
        <v>356.80214214588005</v>
      </c>
      <c r="P432">
        <v>4.4107671033773732</v>
      </c>
    </row>
    <row r="433" spans="4:16" x14ac:dyDescent="0.55000000000000004">
      <c r="D433">
        <v>426</v>
      </c>
      <c r="E433">
        <v>7.1912785018633816</v>
      </c>
      <c r="F433">
        <v>2.8087214981366158</v>
      </c>
      <c r="G433">
        <v>7.117826727455876</v>
      </c>
      <c r="H433">
        <v>2.8821732725441267</v>
      </c>
      <c r="I433">
        <v>346.11757283358776</v>
      </c>
      <c r="J433">
        <v>4.724452401109418</v>
      </c>
      <c r="K433">
        <v>317.95067279513273</v>
      </c>
      <c r="L433">
        <v>4.3010956672026275</v>
      </c>
      <c r="M433">
        <v>392.58232525950763</v>
      </c>
      <c r="N433">
        <v>4.7272668464221672</v>
      </c>
      <c r="O433">
        <v>364.78474281508818</v>
      </c>
      <c r="P433">
        <v>4.3036160951517655</v>
      </c>
    </row>
    <row r="434" spans="4:16" x14ac:dyDescent="0.55000000000000004">
      <c r="D434">
        <v>427</v>
      </c>
      <c r="E434">
        <v>6.1086109160717825</v>
      </c>
      <c r="F434">
        <v>3.8913890839282179</v>
      </c>
      <c r="G434">
        <v>6.6217479963365271</v>
      </c>
      <c r="H434">
        <v>3.3782520036634738</v>
      </c>
      <c r="I434">
        <v>282.9893521912403</v>
      </c>
      <c r="J434">
        <v>4.9468911324191591</v>
      </c>
      <c r="K434">
        <v>261.54221787523738</v>
      </c>
      <c r="L434">
        <v>4.5051354558575252</v>
      </c>
      <c r="M434">
        <v>356.76109537877431</v>
      </c>
      <c r="N434">
        <v>4.9424298678827485</v>
      </c>
      <c r="O434">
        <v>332.82831333972933</v>
      </c>
      <c r="P434">
        <v>4.501140675076611</v>
      </c>
    </row>
    <row r="435" spans="4:16" x14ac:dyDescent="0.55000000000000004">
      <c r="D435">
        <v>428</v>
      </c>
      <c r="E435">
        <v>7.4054611472323852</v>
      </c>
      <c r="F435">
        <v>2.5945388527676165</v>
      </c>
      <c r="G435">
        <v>6.4139256825205635</v>
      </c>
      <c r="H435">
        <v>3.5860743174794365</v>
      </c>
      <c r="I435">
        <v>383.2509317985652</v>
      </c>
      <c r="J435">
        <v>4.8435609252166767</v>
      </c>
      <c r="K435">
        <v>352.21067919161192</v>
      </c>
      <c r="L435">
        <v>4.4104505563114165</v>
      </c>
      <c r="M435">
        <v>381.93651893392575</v>
      </c>
      <c r="N435">
        <v>4.8645069389260769</v>
      </c>
      <c r="O435">
        <v>356.39395459388402</v>
      </c>
      <c r="P435">
        <v>4.4291524704125367</v>
      </c>
    </row>
    <row r="436" spans="4:16" x14ac:dyDescent="0.55000000000000004">
      <c r="D436">
        <v>429</v>
      </c>
      <c r="E436">
        <v>7.4493962516584684</v>
      </c>
      <c r="F436">
        <v>2.5506037483415289</v>
      </c>
      <c r="G436">
        <v>7.1981951021384818</v>
      </c>
      <c r="H436">
        <v>2.8018048978615191</v>
      </c>
      <c r="I436">
        <v>367.12018916779675</v>
      </c>
      <c r="J436">
        <v>4.8458593025179217</v>
      </c>
      <c r="K436">
        <v>337.18122441272038</v>
      </c>
      <c r="L436">
        <v>4.4126489283036348</v>
      </c>
      <c r="M436">
        <v>404.74052638500223</v>
      </c>
      <c r="N436">
        <v>4.8510570821885501</v>
      </c>
      <c r="O436">
        <v>376.12975024518079</v>
      </c>
      <c r="P436">
        <v>4.417289048859935</v>
      </c>
    </row>
    <row r="437" spans="4:16" x14ac:dyDescent="0.55000000000000004">
      <c r="D437">
        <v>430</v>
      </c>
      <c r="E437">
        <v>6.440943589064636</v>
      </c>
      <c r="F437">
        <v>3.5590564109353657</v>
      </c>
      <c r="G437">
        <v>5.8260080838121668</v>
      </c>
      <c r="H437">
        <v>4.1739919161878341</v>
      </c>
      <c r="I437">
        <v>326.61500456305816</v>
      </c>
      <c r="J437">
        <v>4.8613617282989932</v>
      </c>
      <c r="K437">
        <v>301.57803105335211</v>
      </c>
      <c r="L437">
        <v>4.426208492849991</v>
      </c>
      <c r="M437">
        <v>345.43212583159129</v>
      </c>
      <c r="N437">
        <v>4.8745979249023179</v>
      </c>
      <c r="O437">
        <v>323.66686931068347</v>
      </c>
      <c r="P437">
        <v>4.4380559437359288</v>
      </c>
    </row>
    <row r="438" spans="4:16" x14ac:dyDescent="0.55000000000000004">
      <c r="D438">
        <v>431</v>
      </c>
      <c r="E438">
        <v>6.4668984185932468</v>
      </c>
      <c r="F438">
        <v>3.5331015814067541</v>
      </c>
      <c r="G438">
        <v>6.4173409626932765</v>
      </c>
      <c r="H438">
        <v>3.5826590373067235</v>
      </c>
      <c r="I438">
        <v>317.03962087563724</v>
      </c>
      <c r="J438">
        <v>4.8501877567432201</v>
      </c>
      <c r="K438">
        <v>292.51690202224654</v>
      </c>
      <c r="L438">
        <v>4.4159949143238553</v>
      </c>
      <c r="M438">
        <v>364.61006716795657</v>
      </c>
      <c r="N438">
        <v>4.8513358053374471</v>
      </c>
      <c r="O438">
        <v>340.34231062111144</v>
      </c>
      <c r="P438">
        <v>4.4170224843640655</v>
      </c>
    </row>
    <row r="439" spans="4:16" x14ac:dyDescent="0.55000000000000004">
      <c r="D439">
        <v>432</v>
      </c>
      <c r="E439">
        <v>6.3998034896390941</v>
      </c>
      <c r="F439">
        <v>3.6001965103609064</v>
      </c>
      <c r="G439">
        <v>6.5636965753753937</v>
      </c>
      <c r="H439">
        <v>3.4363034246246076</v>
      </c>
      <c r="I439">
        <v>329.99589681051947</v>
      </c>
      <c r="J439">
        <v>4.7598717577783294</v>
      </c>
      <c r="K439">
        <v>304.65858180000492</v>
      </c>
      <c r="L439">
        <v>4.3325282919697496</v>
      </c>
      <c r="M439">
        <v>388.44678845057575</v>
      </c>
      <c r="N439">
        <v>4.753722294180915</v>
      </c>
      <c r="O439">
        <v>362.2160174209879</v>
      </c>
      <c r="P439">
        <v>4.3270289698602635</v>
      </c>
    </row>
    <row r="440" spans="4:16" x14ac:dyDescent="0.55000000000000004">
      <c r="D440">
        <v>433</v>
      </c>
      <c r="E440">
        <v>6.6586905274081243</v>
      </c>
      <c r="F440">
        <v>3.3413094725918762</v>
      </c>
      <c r="G440">
        <v>6.3244381808474452</v>
      </c>
      <c r="H440">
        <v>3.6755618191525548</v>
      </c>
      <c r="I440">
        <v>321.64010466991454</v>
      </c>
      <c r="J440">
        <v>4.8418387338441686</v>
      </c>
      <c r="K440">
        <v>296.17838502051899</v>
      </c>
      <c r="L440">
        <v>4.4085784388103102</v>
      </c>
      <c r="M440">
        <v>355.49444370378035</v>
      </c>
      <c r="N440">
        <v>4.8497780988184074</v>
      </c>
      <c r="O440">
        <v>331.69101882626148</v>
      </c>
      <c r="P440">
        <v>4.4157023644255524</v>
      </c>
    </row>
    <row r="441" spans="4:16" x14ac:dyDescent="0.55000000000000004">
      <c r="D441">
        <v>434</v>
      </c>
      <c r="E441">
        <v>5.8987424305422547</v>
      </c>
      <c r="F441">
        <v>4.1012575694577453</v>
      </c>
      <c r="G441">
        <v>6.8853287071217952</v>
      </c>
      <c r="H441">
        <v>3.1146712928782039</v>
      </c>
      <c r="I441">
        <v>303.27769536813003</v>
      </c>
      <c r="J441">
        <v>4.8363336444978886</v>
      </c>
      <c r="K441">
        <v>280.18015137353768</v>
      </c>
      <c r="L441">
        <v>4.4030177484589466</v>
      </c>
      <c r="M441">
        <v>404.00200072067986</v>
      </c>
      <c r="N441">
        <v>4.808959847086407</v>
      </c>
      <c r="O441">
        <v>375.71147817082039</v>
      </c>
      <c r="P441">
        <v>4.3784463855400828</v>
      </c>
    </row>
    <row r="442" spans="4:16" x14ac:dyDescent="0.55000000000000004">
      <c r="D442">
        <v>435</v>
      </c>
      <c r="E442">
        <v>5.7574600881265834</v>
      </c>
      <c r="F442">
        <v>4.2425399118734166</v>
      </c>
      <c r="G442">
        <v>5.1912852998325327</v>
      </c>
      <c r="H442">
        <v>4.8087147001674682</v>
      </c>
      <c r="I442">
        <v>284.04581900197553</v>
      </c>
      <c r="J442">
        <v>4.9392522485130081</v>
      </c>
      <c r="K442">
        <v>262.8964683055903</v>
      </c>
      <c r="L442">
        <v>4.4979946965221211</v>
      </c>
      <c r="M442">
        <v>306.11343580214987</v>
      </c>
      <c r="N442">
        <v>4.9452260364005554</v>
      </c>
      <c r="O442">
        <v>287.74502573632373</v>
      </c>
      <c r="P442">
        <v>4.5033737356789221</v>
      </c>
    </row>
    <row r="443" spans="4:16" x14ac:dyDescent="0.55000000000000004">
      <c r="D443">
        <v>436</v>
      </c>
      <c r="E443">
        <v>5.6772534430944805</v>
      </c>
      <c r="F443">
        <v>4.3227465569055186</v>
      </c>
      <c r="G443">
        <v>5.4844985290600423</v>
      </c>
      <c r="H443">
        <v>4.5155014709399577</v>
      </c>
      <c r="I443">
        <v>284.0891832455136</v>
      </c>
      <c r="J443">
        <v>4.8066419258472646</v>
      </c>
      <c r="K443">
        <v>262.90390331260744</v>
      </c>
      <c r="L443">
        <v>4.3752804679415895</v>
      </c>
      <c r="M443">
        <v>324.44374700711393</v>
      </c>
      <c r="N443">
        <v>4.813206846602478</v>
      </c>
      <c r="O443">
        <v>304.21689526622049</v>
      </c>
      <c r="P443">
        <v>4.3811930589343531</v>
      </c>
    </row>
    <row r="444" spans="4:16" x14ac:dyDescent="0.55000000000000004">
      <c r="D444">
        <v>437</v>
      </c>
      <c r="E444">
        <v>7.0293832581737385</v>
      </c>
      <c r="F444">
        <v>2.9706167418262615</v>
      </c>
      <c r="G444">
        <v>7.040073951523846</v>
      </c>
      <c r="H444">
        <v>2.959926048476154</v>
      </c>
      <c r="I444">
        <v>341.19902577215845</v>
      </c>
      <c r="J444">
        <v>4.8592570472194945</v>
      </c>
      <c r="K444">
        <v>313.68040534436818</v>
      </c>
      <c r="L444">
        <v>4.4248276657945995</v>
      </c>
      <c r="M444">
        <v>391.71794102004225</v>
      </c>
      <c r="N444">
        <v>4.8590429971820868</v>
      </c>
      <c r="O444">
        <v>364.14507839231163</v>
      </c>
      <c r="P444">
        <v>4.4246359904030959</v>
      </c>
    </row>
    <row r="445" spans="4:16" x14ac:dyDescent="0.55000000000000004">
      <c r="D445">
        <v>438</v>
      </c>
      <c r="E445">
        <v>7.2589383600693953</v>
      </c>
      <c r="F445">
        <v>2.741061639930606</v>
      </c>
      <c r="G445">
        <v>5.2711963020488239</v>
      </c>
      <c r="H445">
        <v>4.7288036979511761</v>
      </c>
      <c r="I445">
        <v>384.10266986770148</v>
      </c>
      <c r="J445">
        <v>4.8994132344123598</v>
      </c>
      <c r="K445">
        <v>353.37608875300316</v>
      </c>
      <c r="L445">
        <v>4.46167906850616</v>
      </c>
      <c r="M445">
        <v>328.92240884028564</v>
      </c>
      <c r="N445">
        <v>4.9269572821120429</v>
      </c>
      <c r="O445">
        <v>309.33863245124041</v>
      </c>
      <c r="P445">
        <v>4.4863050977309538</v>
      </c>
    </row>
    <row r="446" spans="4:16" x14ac:dyDescent="0.55000000000000004">
      <c r="D446">
        <v>439</v>
      </c>
      <c r="E446">
        <v>7.0657386684339851</v>
      </c>
      <c r="F446">
        <v>2.9342613315660162</v>
      </c>
      <c r="G446">
        <v>5.140291677310949</v>
      </c>
      <c r="H446">
        <v>4.859708322689051</v>
      </c>
      <c r="I446">
        <v>329.08178615464652</v>
      </c>
      <c r="J446">
        <v>4.8318613855098356</v>
      </c>
      <c r="K446">
        <v>302.69436931724834</v>
      </c>
      <c r="L446">
        <v>4.3995628975029923</v>
      </c>
      <c r="M446">
        <v>289.40545297584055</v>
      </c>
      <c r="N446">
        <v>4.8776799480909832</v>
      </c>
      <c r="O446">
        <v>272.16266133972272</v>
      </c>
      <c r="P446">
        <v>4.4407091729018511</v>
      </c>
    </row>
    <row r="447" spans="4:16" x14ac:dyDescent="0.55000000000000004">
      <c r="D447">
        <v>440</v>
      </c>
      <c r="E447">
        <v>7.0676547960896352</v>
      </c>
      <c r="F447">
        <v>2.9323452039103648</v>
      </c>
      <c r="G447">
        <v>7.5786673800255411</v>
      </c>
      <c r="H447">
        <v>2.4213326199744616</v>
      </c>
      <c r="I447">
        <v>353.20078795785463</v>
      </c>
      <c r="J447">
        <v>4.7145328404656883</v>
      </c>
      <c r="K447">
        <v>324.91096300084621</v>
      </c>
      <c r="L447">
        <v>4.2916168209459844</v>
      </c>
      <c r="M447">
        <v>428.73826149184805</v>
      </c>
      <c r="N447">
        <v>4.6938927108850574</v>
      </c>
      <c r="O447">
        <v>397.70334336865898</v>
      </c>
      <c r="P447">
        <v>4.2731953555799409</v>
      </c>
    </row>
    <row r="448" spans="4:16" x14ac:dyDescent="0.55000000000000004">
      <c r="D448">
        <v>441</v>
      </c>
      <c r="E448">
        <v>6.3762246849376663</v>
      </c>
      <c r="F448">
        <v>3.6237753150623337</v>
      </c>
      <c r="G448">
        <v>5.6882882299908797</v>
      </c>
      <c r="H448">
        <v>4.3117117700091194</v>
      </c>
      <c r="I448">
        <v>341.44987711195017</v>
      </c>
      <c r="J448">
        <v>4.7328539107518584</v>
      </c>
      <c r="K448">
        <v>315.0795550871099</v>
      </c>
      <c r="L448">
        <v>4.3077050393805374</v>
      </c>
      <c r="M448">
        <v>354.61055139664143</v>
      </c>
      <c r="N448">
        <v>4.7616765358429092</v>
      </c>
      <c r="O448">
        <v>332.01389632839721</v>
      </c>
      <c r="P448">
        <v>4.3335751949082475</v>
      </c>
    </row>
    <row r="449" spans="4:16" x14ac:dyDescent="0.55000000000000004">
      <c r="D449">
        <v>442</v>
      </c>
      <c r="E449">
        <v>6.4556919395437706</v>
      </c>
      <c r="F449">
        <v>3.5443080604562303</v>
      </c>
      <c r="G449">
        <v>5.640835946133846</v>
      </c>
      <c r="H449">
        <v>4.359164053866154</v>
      </c>
      <c r="I449">
        <v>307.42014832520556</v>
      </c>
      <c r="J449">
        <v>4.8424857718629628</v>
      </c>
      <c r="K449">
        <v>283.64101893169232</v>
      </c>
      <c r="L449">
        <v>4.4088889104590256</v>
      </c>
      <c r="M449">
        <v>318.61669352846616</v>
      </c>
      <c r="N449">
        <v>4.8623676705109755</v>
      </c>
      <c r="O449">
        <v>298.83446970112476</v>
      </c>
      <c r="P449">
        <v>4.4267228968325103</v>
      </c>
    </row>
    <row r="450" spans="4:16" x14ac:dyDescent="0.55000000000000004">
      <c r="D450">
        <v>443</v>
      </c>
      <c r="E450">
        <v>6.7344277520390943</v>
      </c>
      <c r="F450">
        <v>3.2655722479609057</v>
      </c>
      <c r="G450">
        <v>5.4031171710396446</v>
      </c>
      <c r="H450">
        <v>4.5968828289603545</v>
      </c>
      <c r="I450">
        <v>354.59200650495598</v>
      </c>
      <c r="J450">
        <v>4.8533376443758476</v>
      </c>
      <c r="K450">
        <v>326.75308878009724</v>
      </c>
      <c r="L450">
        <v>4.4190713846136731</v>
      </c>
      <c r="M450">
        <v>334.4936837402733</v>
      </c>
      <c r="N450">
        <v>4.8823309238445631</v>
      </c>
      <c r="O450">
        <v>313.87845088489161</v>
      </c>
      <c r="P450">
        <v>4.4450768848324085</v>
      </c>
    </row>
    <row r="451" spans="4:16" x14ac:dyDescent="0.55000000000000004">
      <c r="D451">
        <v>444</v>
      </c>
      <c r="E451">
        <v>7.4529643179200349</v>
      </c>
      <c r="F451">
        <v>2.5470356820799638</v>
      </c>
      <c r="G451">
        <v>5.6732025928787921</v>
      </c>
      <c r="H451">
        <v>4.3267974071212087</v>
      </c>
      <c r="I451">
        <v>354.48637542177318</v>
      </c>
      <c r="J451">
        <v>4.7709107974706715</v>
      </c>
      <c r="K451">
        <v>325.51429849694495</v>
      </c>
      <c r="L451">
        <v>4.3438535172479131</v>
      </c>
      <c r="M451">
        <v>319.83532167832192</v>
      </c>
      <c r="N451">
        <v>4.8256171098706373</v>
      </c>
      <c r="O451">
        <v>299.63082608886697</v>
      </c>
      <c r="P451">
        <v>4.3928937212852031</v>
      </c>
    </row>
    <row r="452" spans="4:16" x14ac:dyDescent="0.55000000000000004">
      <c r="D452">
        <v>445</v>
      </c>
      <c r="E452">
        <v>7.6284920263186411</v>
      </c>
      <c r="F452">
        <v>2.3715079736813616</v>
      </c>
      <c r="G452">
        <v>6.5406050182431308</v>
      </c>
      <c r="H452">
        <v>3.459394981756871</v>
      </c>
      <c r="I452">
        <v>382.64176272257356</v>
      </c>
      <c r="J452">
        <v>4.8559840558562994</v>
      </c>
      <c r="K452">
        <v>351.33207534025291</v>
      </c>
      <c r="L452">
        <v>4.4219874903013023</v>
      </c>
      <c r="M452">
        <v>378.07383488351354</v>
      </c>
      <c r="N452">
        <v>4.8765219385792715</v>
      </c>
      <c r="O452">
        <v>352.643541617371</v>
      </c>
      <c r="P452">
        <v>4.4403125291135366</v>
      </c>
    </row>
    <row r="453" spans="4:16" x14ac:dyDescent="0.55000000000000004">
      <c r="D453">
        <v>446</v>
      </c>
      <c r="E453">
        <v>5.9903380967894266</v>
      </c>
      <c r="F453">
        <v>4.0096619032105743</v>
      </c>
      <c r="G453">
        <v>6.3089847336364731</v>
      </c>
      <c r="H453">
        <v>3.6910152663635274</v>
      </c>
      <c r="I453">
        <v>294.36044151395578</v>
      </c>
      <c r="J453">
        <v>4.8851750915852818</v>
      </c>
      <c r="K453">
        <v>272.04817253351348</v>
      </c>
      <c r="L453">
        <v>4.4480980415031732</v>
      </c>
      <c r="M453">
        <v>360.01848337965697</v>
      </c>
      <c r="N453">
        <v>4.8790671607303899</v>
      </c>
      <c r="O453">
        <v>336.09999949408461</v>
      </c>
      <c r="P453">
        <v>4.4426166672549599</v>
      </c>
    </row>
    <row r="454" spans="4:16" x14ac:dyDescent="0.55000000000000004">
      <c r="D454">
        <v>447</v>
      </c>
      <c r="E454">
        <v>6.4291474148743415</v>
      </c>
      <c r="F454">
        <v>3.5708525851256576</v>
      </c>
      <c r="G454">
        <v>6.4043577202859376</v>
      </c>
      <c r="H454">
        <v>3.5956422797140619</v>
      </c>
      <c r="I454">
        <v>303.05683527418995</v>
      </c>
      <c r="J454">
        <v>4.8158473943162265</v>
      </c>
      <c r="K454">
        <v>279.47483427866712</v>
      </c>
      <c r="L454">
        <v>4.3843963268883472</v>
      </c>
      <c r="M454">
        <v>351.88829986745867</v>
      </c>
      <c r="N454">
        <v>4.8165574553177821</v>
      </c>
      <c r="O454">
        <v>328.42718172214535</v>
      </c>
      <c r="P454">
        <v>4.3850329333782154</v>
      </c>
    </row>
    <row r="455" spans="4:16" x14ac:dyDescent="0.55000000000000004">
      <c r="D455">
        <v>448</v>
      </c>
      <c r="E455">
        <v>7.6992671981279734</v>
      </c>
      <c r="F455">
        <v>2.3007328018720261</v>
      </c>
      <c r="G455">
        <v>6.3210331021346153</v>
      </c>
      <c r="H455">
        <v>3.6789668978653833</v>
      </c>
      <c r="I455">
        <v>361.64521184443709</v>
      </c>
      <c r="J455">
        <v>4.7963435758825641</v>
      </c>
      <c r="K455">
        <v>331.79060256643913</v>
      </c>
      <c r="L455">
        <v>4.3673751828882761</v>
      </c>
      <c r="M455">
        <v>346.90765321834664</v>
      </c>
      <c r="N455">
        <v>4.8327998022173224</v>
      </c>
      <c r="O455">
        <v>323.88289727504292</v>
      </c>
      <c r="P455">
        <v>4.3999852543125444</v>
      </c>
    </row>
    <row r="456" spans="4:16" x14ac:dyDescent="0.55000000000000004">
      <c r="D456">
        <v>449</v>
      </c>
      <c r="E456">
        <v>5.9451001272204973</v>
      </c>
      <c r="F456">
        <v>4.0548998727795018</v>
      </c>
      <c r="G456">
        <v>5.4207520287496758</v>
      </c>
      <c r="H456">
        <v>4.5792479712503251</v>
      </c>
      <c r="I456">
        <v>270.12489169726234</v>
      </c>
      <c r="J456">
        <v>4.9169350104663794</v>
      </c>
      <c r="K456">
        <v>249.9975436619529</v>
      </c>
      <c r="L456">
        <v>4.4773436084632756</v>
      </c>
      <c r="M456">
        <v>296.30031847223296</v>
      </c>
      <c r="N456">
        <v>4.9242612065571789</v>
      </c>
      <c r="O456">
        <v>278.610112847594</v>
      </c>
      <c r="P456">
        <v>4.4839203689594438</v>
      </c>
    </row>
    <row r="457" spans="4:16" x14ac:dyDescent="0.55000000000000004">
      <c r="D457">
        <v>450</v>
      </c>
      <c r="E457">
        <v>6.8008475264878907</v>
      </c>
      <c r="F457">
        <v>3.1991524735121093</v>
      </c>
      <c r="G457">
        <v>6.955354206329134</v>
      </c>
      <c r="H457">
        <v>3.0446457936708655</v>
      </c>
      <c r="I457">
        <v>334.3247818602174</v>
      </c>
      <c r="J457">
        <v>4.8063813828543882</v>
      </c>
      <c r="K457">
        <v>307.78224661280962</v>
      </c>
      <c r="L457">
        <v>4.3759723694677888</v>
      </c>
      <c r="M457">
        <v>391.92021931601727</v>
      </c>
      <c r="N457">
        <v>4.8019826120285307</v>
      </c>
      <c r="O457">
        <v>364.5796607329965</v>
      </c>
      <c r="P457">
        <v>4.3720357605368161</v>
      </c>
    </row>
    <row r="458" spans="4:16" x14ac:dyDescent="0.55000000000000004">
      <c r="D458">
        <v>451</v>
      </c>
      <c r="E458">
        <v>5.1208834095272024</v>
      </c>
      <c r="F458">
        <v>4.8791165904727967</v>
      </c>
      <c r="G458">
        <v>4.7810068691599792</v>
      </c>
      <c r="H458">
        <v>5.2189931308400208</v>
      </c>
      <c r="I458">
        <v>263.90657076440976</v>
      </c>
      <c r="J458">
        <v>4.8965954141180505</v>
      </c>
      <c r="K458">
        <v>245.72748211284025</v>
      </c>
      <c r="L458">
        <v>4.4579377141211829</v>
      </c>
      <c r="M458">
        <v>296.39091085215512</v>
      </c>
      <c r="N458">
        <v>4.9034584473287426</v>
      </c>
      <c r="O458">
        <v>279.96283324186766</v>
      </c>
      <c r="P458">
        <v>4.4641146614527925</v>
      </c>
    </row>
    <row r="459" spans="4:16" x14ac:dyDescent="0.55000000000000004">
      <c r="D459">
        <v>452</v>
      </c>
      <c r="E459">
        <v>7.4675416987996623</v>
      </c>
      <c r="F459">
        <v>2.5324583012003385</v>
      </c>
      <c r="G459">
        <v>5.3592272610553442</v>
      </c>
      <c r="H459">
        <v>4.6407727389446558</v>
      </c>
      <c r="I459">
        <v>365.76426970634054</v>
      </c>
      <c r="J459">
        <v>4.7955816533403732</v>
      </c>
      <c r="K459">
        <v>336.01502425401424</v>
      </c>
      <c r="L459">
        <v>4.3664272329333409</v>
      </c>
      <c r="M459">
        <v>312.49787739990865</v>
      </c>
      <c r="N459">
        <v>4.8532951779493603</v>
      </c>
      <c r="O459">
        <v>293.54453534224791</v>
      </c>
      <c r="P459">
        <v>4.4181071427105501</v>
      </c>
    </row>
    <row r="460" spans="4:16" x14ac:dyDescent="0.55000000000000004">
      <c r="D460">
        <v>453</v>
      </c>
      <c r="E460">
        <v>8.0965686369389953</v>
      </c>
      <c r="F460">
        <v>1.9034313630610056</v>
      </c>
      <c r="G460">
        <v>6.3205372749700262</v>
      </c>
      <c r="H460">
        <v>3.6794627250299743</v>
      </c>
      <c r="I460">
        <v>395.84226493756699</v>
      </c>
      <c r="J460">
        <v>4.9603993304362834</v>
      </c>
      <c r="K460">
        <v>362.83556906076296</v>
      </c>
      <c r="L460">
        <v>4.517920691454548</v>
      </c>
      <c r="M460">
        <v>359.01186696940539</v>
      </c>
      <c r="N460">
        <v>4.9690859771200717</v>
      </c>
      <c r="O460">
        <v>335.43346847769112</v>
      </c>
      <c r="P460">
        <v>4.5256641167535392</v>
      </c>
    </row>
    <row r="461" spans="4:16" x14ac:dyDescent="0.55000000000000004">
      <c r="D461">
        <v>454</v>
      </c>
      <c r="E461">
        <v>7.4607638372575478</v>
      </c>
      <c r="F461">
        <v>2.5392361627424505</v>
      </c>
      <c r="G461">
        <v>6.2665535145875406</v>
      </c>
      <c r="H461">
        <v>3.7334464854124616</v>
      </c>
      <c r="I461">
        <v>358.43900112871125</v>
      </c>
      <c r="J461">
        <v>4.8305875618353502</v>
      </c>
      <c r="K461">
        <v>329.23776300250995</v>
      </c>
      <c r="L461">
        <v>4.3986085414161273</v>
      </c>
      <c r="M461">
        <v>351.06531064170917</v>
      </c>
      <c r="N461">
        <v>4.8577046354833078</v>
      </c>
      <c r="O461">
        <v>327.94334712551256</v>
      </c>
      <c r="P461">
        <v>4.4228523096182206</v>
      </c>
    </row>
    <row r="462" spans="4:16" x14ac:dyDescent="0.55000000000000004">
      <c r="D462">
        <v>455</v>
      </c>
      <c r="E462">
        <v>6.6917545389345108</v>
      </c>
      <c r="F462">
        <v>3.3082454610654874</v>
      </c>
      <c r="G462">
        <v>6.488248038021843</v>
      </c>
      <c r="H462">
        <v>3.5117519619781534</v>
      </c>
      <c r="I462">
        <v>304.42182749011999</v>
      </c>
      <c r="J462">
        <v>4.8566462026363633</v>
      </c>
      <c r="K462">
        <v>280.54136759157427</v>
      </c>
      <c r="L462">
        <v>4.4221109538335917</v>
      </c>
      <c r="M462">
        <v>345.16389363234015</v>
      </c>
      <c r="N462">
        <v>4.8610058110954419</v>
      </c>
      <c r="O462">
        <v>322.25724449065638</v>
      </c>
      <c r="P462">
        <v>4.4260119898208439</v>
      </c>
    </row>
    <row r="463" spans="4:16" x14ac:dyDescent="0.55000000000000004">
      <c r="D463">
        <v>456</v>
      </c>
      <c r="E463">
        <v>7.1648170732311183</v>
      </c>
      <c r="F463">
        <v>2.8351829267688831</v>
      </c>
      <c r="G463">
        <v>6.2668505936355468</v>
      </c>
      <c r="H463">
        <v>3.7331494063644541</v>
      </c>
      <c r="I463">
        <v>376.71768400614815</v>
      </c>
      <c r="J463">
        <v>4.799925821103824</v>
      </c>
      <c r="K463">
        <v>346.57827318658582</v>
      </c>
      <c r="L463">
        <v>4.370152135891237</v>
      </c>
      <c r="M463">
        <v>379.50365899324663</v>
      </c>
      <c r="N463">
        <v>4.8250011167108262</v>
      </c>
      <c r="O463">
        <v>354.39728213580941</v>
      </c>
      <c r="P463">
        <v>4.3925543949510297</v>
      </c>
    </row>
    <row r="464" spans="4:16" x14ac:dyDescent="0.55000000000000004">
      <c r="D464">
        <v>457</v>
      </c>
      <c r="E464">
        <v>5.5810914029624659</v>
      </c>
      <c r="F464">
        <v>4.4189085970375341</v>
      </c>
      <c r="G464">
        <v>6.4246277065312887</v>
      </c>
      <c r="H464">
        <v>3.5753722934687122</v>
      </c>
      <c r="I464">
        <v>284.08234059321671</v>
      </c>
      <c r="J464">
        <v>4.905141355109361</v>
      </c>
      <c r="K464">
        <v>263.4468222743065</v>
      </c>
      <c r="L464">
        <v>4.4662511329951178</v>
      </c>
      <c r="M464">
        <v>377.01906213946899</v>
      </c>
      <c r="N464">
        <v>4.8908042470250672</v>
      </c>
      <c r="O464">
        <v>351.92208102445494</v>
      </c>
      <c r="P464">
        <v>4.4534037631120249</v>
      </c>
    </row>
    <row r="465" spans="4:16" x14ac:dyDescent="0.55000000000000004">
      <c r="D465">
        <v>458</v>
      </c>
      <c r="E465">
        <v>6.5387998844010591</v>
      </c>
      <c r="F465">
        <v>3.4612001155989414</v>
      </c>
      <c r="G465">
        <v>6.6275711496220024</v>
      </c>
      <c r="H465">
        <v>3.3724288503779967</v>
      </c>
      <c r="I465">
        <v>332.101783711037</v>
      </c>
      <c r="J465">
        <v>4.8918118856213111</v>
      </c>
      <c r="K465">
        <v>306.30216203230174</v>
      </c>
      <c r="L465">
        <v>4.4544358956122769</v>
      </c>
      <c r="M465">
        <v>386.61042383512006</v>
      </c>
      <c r="N465">
        <v>4.8903431152100652</v>
      </c>
      <c r="O465">
        <v>360.33530791261126</v>
      </c>
      <c r="P465">
        <v>4.4531220259819211</v>
      </c>
    </row>
    <row r="466" spans="4:16" x14ac:dyDescent="0.55000000000000004">
      <c r="D466">
        <v>459</v>
      </c>
      <c r="E466">
        <v>6.2039832056455024</v>
      </c>
      <c r="F466">
        <v>3.7960167943544976</v>
      </c>
      <c r="G466">
        <v>5.5846133682516959</v>
      </c>
      <c r="H466">
        <v>4.415386631748305</v>
      </c>
      <c r="I466">
        <v>307.12207066224977</v>
      </c>
      <c r="J466">
        <v>4.9626468322241584</v>
      </c>
      <c r="K466">
        <v>283.88213875682362</v>
      </c>
      <c r="L466">
        <v>4.5196926673663782</v>
      </c>
      <c r="M466">
        <v>326.4607776411745</v>
      </c>
      <c r="N466">
        <v>4.9663759566728523</v>
      </c>
      <c r="O466">
        <v>306.39529172981418</v>
      </c>
      <c r="P466">
        <v>4.5230357055479553</v>
      </c>
    </row>
    <row r="467" spans="4:16" x14ac:dyDescent="0.55000000000000004">
      <c r="D467">
        <v>460</v>
      </c>
      <c r="E467">
        <v>5.9636377745113665</v>
      </c>
      <c r="F467">
        <v>4.0363622254886344</v>
      </c>
      <c r="G467">
        <v>5.7945544532693383</v>
      </c>
      <c r="H467">
        <v>4.2054455467306617</v>
      </c>
      <c r="I467">
        <v>314.17468734422118</v>
      </c>
      <c r="J467">
        <v>4.898131182208159</v>
      </c>
      <c r="K467">
        <v>290.63174591661118</v>
      </c>
      <c r="L467">
        <v>4.4599841271223539</v>
      </c>
      <c r="M467">
        <v>355.26708738679605</v>
      </c>
      <c r="N467">
        <v>4.9010194055869931</v>
      </c>
      <c r="O467">
        <v>332.63855914534133</v>
      </c>
      <c r="P467">
        <v>4.4625758587913227</v>
      </c>
    </row>
    <row r="468" spans="4:16" x14ac:dyDescent="0.55000000000000004">
      <c r="D468">
        <v>461</v>
      </c>
      <c r="E468">
        <v>6.2678009525231086</v>
      </c>
      <c r="F468">
        <v>3.7321990474768909</v>
      </c>
      <c r="G468">
        <v>6.4456956919979671</v>
      </c>
      <c r="H468">
        <v>3.5543043080020316</v>
      </c>
      <c r="I468">
        <v>322.07601198572945</v>
      </c>
      <c r="J468">
        <v>4.8273455645775218</v>
      </c>
      <c r="K468">
        <v>297.52664410197713</v>
      </c>
      <c r="L468">
        <v>4.3947249996035769</v>
      </c>
      <c r="M468">
        <v>381.21727678933462</v>
      </c>
      <c r="N468">
        <v>4.8224452309451502</v>
      </c>
      <c r="O468">
        <v>355.70701705999738</v>
      </c>
      <c r="P468">
        <v>4.390339768720021</v>
      </c>
    </row>
    <row r="469" spans="4:16" x14ac:dyDescent="0.55000000000000004">
      <c r="D469">
        <v>462</v>
      </c>
      <c r="E469">
        <v>8.3987208254201189</v>
      </c>
      <c r="F469">
        <v>1.6012791745798847</v>
      </c>
      <c r="G469">
        <v>6.3246634832093553</v>
      </c>
      <c r="H469">
        <v>3.6753365167906438</v>
      </c>
      <c r="I469">
        <v>429.36685128838235</v>
      </c>
      <c r="J469">
        <v>4.9004173144308476</v>
      </c>
      <c r="K469">
        <v>392.99437480939741</v>
      </c>
      <c r="L469">
        <v>4.4630724720560444</v>
      </c>
      <c r="M469">
        <v>373.33505324108387</v>
      </c>
      <c r="N469">
        <v>4.9250091784128767</v>
      </c>
      <c r="O469">
        <v>348.31512366428331</v>
      </c>
      <c r="P469">
        <v>4.4850313495716581</v>
      </c>
    </row>
    <row r="470" spans="4:16" x14ac:dyDescent="0.55000000000000004">
      <c r="D470">
        <v>463</v>
      </c>
      <c r="E470">
        <v>6.8593112115139308</v>
      </c>
      <c r="F470">
        <v>3.1406887884860666</v>
      </c>
      <c r="G470">
        <v>6.4205205304228556</v>
      </c>
      <c r="H470">
        <v>3.5794794695771448</v>
      </c>
      <c r="I470">
        <v>328.79767340448649</v>
      </c>
      <c r="J470">
        <v>4.9478443331048805</v>
      </c>
      <c r="K470">
        <v>302.82622552018279</v>
      </c>
      <c r="L470">
        <v>4.5061833851147997</v>
      </c>
      <c r="M470">
        <v>357.76446021361386</v>
      </c>
      <c r="N470">
        <v>4.9511807352441011</v>
      </c>
      <c r="O470">
        <v>334.01688084282642</v>
      </c>
      <c r="P470">
        <v>4.5091670251915383</v>
      </c>
    </row>
    <row r="471" spans="4:16" x14ac:dyDescent="0.55000000000000004">
      <c r="D471">
        <v>464</v>
      </c>
      <c r="E471">
        <v>6.2443076100461887</v>
      </c>
      <c r="F471">
        <v>3.7556923899538104</v>
      </c>
      <c r="G471">
        <v>6.5961274843545494</v>
      </c>
      <c r="H471">
        <v>3.403872515645451</v>
      </c>
      <c r="I471">
        <v>319.46069738529718</v>
      </c>
      <c r="J471">
        <v>4.7971691628568713</v>
      </c>
      <c r="K471">
        <v>295.16344647603927</v>
      </c>
      <c r="L471">
        <v>4.3668152063772858</v>
      </c>
      <c r="M471">
        <v>387.45991033562217</v>
      </c>
      <c r="N471">
        <v>4.7857411672990064</v>
      </c>
      <c r="O471">
        <v>361.26370991823745</v>
      </c>
      <c r="P471">
        <v>4.3565928850121409</v>
      </c>
    </row>
    <row r="472" spans="4:16" x14ac:dyDescent="0.55000000000000004">
      <c r="D472">
        <v>465</v>
      </c>
      <c r="E472">
        <v>7.5901166562928148</v>
      </c>
      <c r="F472">
        <v>2.409883343707186</v>
      </c>
      <c r="G472">
        <v>7.1808100569827493</v>
      </c>
      <c r="H472">
        <v>2.8191899430172511</v>
      </c>
      <c r="I472">
        <v>403.16494836945878</v>
      </c>
      <c r="J472">
        <v>4.8837088441779333</v>
      </c>
      <c r="K472">
        <v>369.88435196036676</v>
      </c>
      <c r="L472">
        <v>4.4475278061603527</v>
      </c>
      <c r="M472">
        <v>431.4237708025359</v>
      </c>
      <c r="N472">
        <v>4.8899799912069986</v>
      </c>
      <c r="O472">
        <v>400.44032663155576</v>
      </c>
      <c r="P472">
        <v>4.4531363497315786</v>
      </c>
    </row>
    <row r="473" spans="4:16" x14ac:dyDescent="0.55000000000000004">
      <c r="D473">
        <v>466</v>
      </c>
      <c r="E473">
        <v>6.1508563154909881</v>
      </c>
      <c r="F473">
        <v>3.849143684509011</v>
      </c>
      <c r="G473">
        <v>6.5675236648236597</v>
      </c>
      <c r="H473">
        <v>3.4324763351763381</v>
      </c>
      <c r="I473">
        <v>319.92541308339491</v>
      </c>
      <c r="J473">
        <v>4.8641285967926047</v>
      </c>
      <c r="K473">
        <v>295.86302592485106</v>
      </c>
      <c r="L473">
        <v>4.4285671437943126</v>
      </c>
      <c r="M473">
        <v>391.5975944864777</v>
      </c>
      <c r="N473">
        <v>4.8549244836544139</v>
      </c>
      <c r="O473">
        <v>365.23663075241586</v>
      </c>
      <c r="P473">
        <v>4.4203392295197412</v>
      </c>
    </row>
    <row r="474" spans="4:16" x14ac:dyDescent="0.55000000000000004">
      <c r="D474">
        <v>467</v>
      </c>
      <c r="E474">
        <v>5.9176257382483621</v>
      </c>
      <c r="F474">
        <v>4.082374261751637</v>
      </c>
      <c r="G474">
        <v>5.4309606057089512</v>
      </c>
      <c r="H474">
        <v>4.5690393942910497</v>
      </c>
      <c r="I474">
        <v>288.99877831354422</v>
      </c>
      <c r="J474">
        <v>4.9099779175362759</v>
      </c>
      <c r="K474">
        <v>267.29658987518496</v>
      </c>
      <c r="L474">
        <v>4.4709573917139593</v>
      </c>
      <c r="M474">
        <v>315.23153871901718</v>
      </c>
      <c r="N474">
        <v>4.9173813273887292</v>
      </c>
      <c r="O474">
        <v>295.92667090509229</v>
      </c>
      <c r="P474">
        <v>4.4776140447939303</v>
      </c>
    </row>
    <row r="475" spans="4:16" x14ac:dyDescent="0.55000000000000004">
      <c r="D475">
        <v>468</v>
      </c>
      <c r="E475">
        <v>6.4436715751946023</v>
      </c>
      <c r="F475">
        <v>3.5563284248053968</v>
      </c>
      <c r="G475">
        <v>6.0991900294882457</v>
      </c>
      <c r="H475">
        <v>3.900809970511756</v>
      </c>
      <c r="I475">
        <v>344.3453015966179</v>
      </c>
      <c r="J475">
        <v>4.7450704562144344</v>
      </c>
      <c r="K475">
        <v>317.90017800883044</v>
      </c>
      <c r="L475">
        <v>4.318867924605172</v>
      </c>
      <c r="M475">
        <v>375.93644876070312</v>
      </c>
      <c r="N475">
        <v>4.7586991029051715</v>
      </c>
      <c r="O475">
        <v>351.42857538084542</v>
      </c>
      <c r="P475">
        <v>4.331062364674195</v>
      </c>
    </row>
    <row r="476" spans="4:16" x14ac:dyDescent="0.55000000000000004">
      <c r="D476">
        <v>469</v>
      </c>
      <c r="E476">
        <v>6.3155112000229883</v>
      </c>
      <c r="F476">
        <v>3.6844887999770117</v>
      </c>
      <c r="G476">
        <v>7.0226088766812866</v>
      </c>
      <c r="H476">
        <v>2.9773911233187125</v>
      </c>
      <c r="I476">
        <v>314.62621712002959</v>
      </c>
      <c r="J476">
        <v>4.8270787893936573</v>
      </c>
      <c r="K476">
        <v>290.78730611564453</v>
      </c>
      <c r="L476">
        <v>4.3944001753894728</v>
      </c>
      <c r="M476">
        <v>399.85241815036773</v>
      </c>
      <c r="N476">
        <v>4.8077181735397518</v>
      </c>
      <c r="O476">
        <v>372.21717360592493</v>
      </c>
      <c r="P476">
        <v>4.3771260563241094</v>
      </c>
    </row>
    <row r="477" spans="4:16" x14ac:dyDescent="0.55000000000000004">
      <c r="D477">
        <v>470</v>
      </c>
      <c r="E477">
        <v>5.9612207448570267</v>
      </c>
      <c r="F477">
        <v>4.0387792551429751</v>
      </c>
      <c r="G477">
        <v>6.0855809071426457</v>
      </c>
      <c r="H477">
        <v>3.9144190928573561</v>
      </c>
      <c r="I477">
        <v>303.45185760632711</v>
      </c>
      <c r="J477">
        <v>4.9186908731989512</v>
      </c>
      <c r="K477">
        <v>280.68416699142597</v>
      </c>
      <c r="L477">
        <v>4.4790107363433043</v>
      </c>
      <c r="M477">
        <v>359.78232646043767</v>
      </c>
      <c r="N477">
        <v>4.9169946407262639</v>
      </c>
      <c r="O477">
        <v>336.36155994961194</v>
      </c>
      <c r="P477">
        <v>4.4774894938385534</v>
      </c>
    </row>
    <row r="478" spans="4:16" x14ac:dyDescent="0.55000000000000004">
      <c r="D478">
        <v>471</v>
      </c>
      <c r="E478">
        <v>5.8239550462312559</v>
      </c>
      <c r="F478">
        <v>4.176044953768745</v>
      </c>
      <c r="G478">
        <v>6.1636296419425092</v>
      </c>
      <c r="H478">
        <v>3.8363703580574904</v>
      </c>
      <c r="I478">
        <v>301.9870995299737</v>
      </c>
      <c r="J478">
        <v>4.9348993300357877</v>
      </c>
      <c r="K478">
        <v>279.42438521634529</v>
      </c>
      <c r="L478">
        <v>4.4939825926551524</v>
      </c>
      <c r="M478">
        <v>369.60010394511545</v>
      </c>
      <c r="N478">
        <v>4.9311024182163976</v>
      </c>
      <c r="O478">
        <v>345.23326717285403</v>
      </c>
      <c r="P478">
        <v>4.4905746033458218</v>
      </c>
    </row>
    <row r="479" spans="4:16" x14ac:dyDescent="0.55000000000000004">
      <c r="D479">
        <v>472</v>
      </c>
      <c r="E479">
        <v>5.5989120354979001</v>
      </c>
      <c r="F479">
        <v>4.4010879645020999</v>
      </c>
      <c r="G479">
        <v>6.0710294525035868</v>
      </c>
      <c r="H479">
        <v>3.9289705474964141</v>
      </c>
      <c r="I479">
        <v>291.52742462691845</v>
      </c>
      <c r="J479">
        <v>4.897697871840907</v>
      </c>
      <c r="K479">
        <v>269.63903481874706</v>
      </c>
      <c r="L479">
        <v>4.459598215210919</v>
      </c>
      <c r="M479">
        <v>366.10991026494133</v>
      </c>
      <c r="N479">
        <v>4.889071442957146</v>
      </c>
      <c r="O479">
        <v>341.77735442897574</v>
      </c>
      <c r="P479">
        <v>4.4518294874046376</v>
      </c>
    </row>
    <row r="480" spans="4:16" x14ac:dyDescent="0.55000000000000004">
      <c r="D480">
        <v>473</v>
      </c>
      <c r="E480">
        <v>5.4487491942132413</v>
      </c>
      <c r="F480">
        <v>4.5512508057867587</v>
      </c>
      <c r="G480">
        <v>6.460783597196623</v>
      </c>
      <c r="H480">
        <v>3.5392164028033779</v>
      </c>
      <c r="I480">
        <v>276.2830441348334</v>
      </c>
      <c r="J480">
        <v>4.9373323114398637</v>
      </c>
      <c r="K480">
        <v>255.95102395755549</v>
      </c>
      <c r="L480">
        <v>4.4961634265976897</v>
      </c>
      <c r="M480">
        <v>377.59903165034996</v>
      </c>
      <c r="N480">
        <v>4.9256926021198497</v>
      </c>
      <c r="O480">
        <v>352.07231370779823</v>
      </c>
      <c r="P480">
        <v>4.485702000594836</v>
      </c>
    </row>
    <row r="481" spans="4:16" x14ac:dyDescent="0.55000000000000004">
      <c r="D481">
        <v>474</v>
      </c>
      <c r="E481">
        <v>5.8489328540372467</v>
      </c>
      <c r="F481">
        <v>4.1510671459627542</v>
      </c>
      <c r="G481">
        <v>6.7061661486482356</v>
      </c>
      <c r="H481">
        <v>3.2938338513517653</v>
      </c>
      <c r="I481">
        <v>280.48777114491799</v>
      </c>
      <c r="J481">
        <v>4.8672764443447445</v>
      </c>
      <c r="K481">
        <v>259.57009296864578</v>
      </c>
      <c r="L481">
        <v>4.4313937670655452</v>
      </c>
      <c r="M481">
        <v>371.5967156578788</v>
      </c>
      <c r="N481">
        <v>4.8478241692500994</v>
      </c>
      <c r="O481">
        <v>346.39663826934225</v>
      </c>
      <c r="P481">
        <v>4.4139678735413579</v>
      </c>
    </row>
    <row r="482" spans="4:16" x14ac:dyDescent="0.55000000000000004">
      <c r="D482">
        <v>475</v>
      </c>
      <c r="E482">
        <v>6.2137204022909263</v>
      </c>
      <c r="F482">
        <v>3.7862795977090737</v>
      </c>
      <c r="G482">
        <v>6.9095570193025466</v>
      </c>
      <c r="H482">
        <v>3.090442980697452</v>
      </c>
      <c r="I482">
        <v>315.25680420343053</v>
      </c>
      <c r="J482">
        <v>4.8523675934997508</v>
      </c>
      <c r="K482">
        <v>291.36579307616779</v>
      </c>
      <c r="L482">
        <v>4.4177748958999414</v>
      </c>
      <c r="M482">
        <v>400.56048926237389</v>
      </c>
      <c r="N482">
        <v>4.8358351414984435</v>
      </c>
      <c r="O482">
        <v>372.91544637040386</v>
      </c>
      <c r="P482">
        <v>4.4030004289321454</v>
      </c>
    </row>
    <row r="483" spans="4:16" x14ac:dyDescent="0.55000000000000004">
      <c r="D483">
        <v>476</v>
      </c>
      <c r="E483">
        <v>7.1720465936386395</v>
      </c>
      <c r="F483">
        <v>2.8279534063613605</v>
      </c>
      <c r="G483">
        <v>5.5262109629700298</v>
      </c>
      <c r="H483">
        <v>4.4737890370299702</v>
      </c>
      <c r="I483">
        <v>375.27374440146235</v>
      </c>
      <c r="J483">
        <v>4.7437169162530477</v>
      </c>
      <c r="K483">
        <v>345.29692505470223</v>
      </c>
      <c r="L483">
        <v>4.3184080969928225</v>
      </c>
      <c r="M483">
        <v>339.15621968568922</v>
      </c>
      <c r="N483">
        <v>4.8025285574298469</v>
      </c>
      <c r="O483">
        <v>318.26648331706099</v>
      </c>
      <c r="P483">
        <v>4.3710139599007096</v>
      </c>
    </row>
    <row r="484" spans="4:16" x14ac:dyDescent="0.55000000000000004">
      <c r="D484">
        <v>477</v>
      </c>
      <c r="E484">
        <v>7.8612740532500593</v>
      </c>
      <c r="F484">
        <v>2.1387259467499398</v>
      </c>
      <c r="G484">
        <v>6.0365539397344676</v>
      </c>
      <c r="H484">
        <v>3.9634460602655337</v>
      </c>
      <c r="I484">
        <v>386.02115343052452</v>
      </c>
      <c r="J484">
        <v>4.9377201733864782</v>
      </c>
      <c r="K484">
        <v>354.04886352508504</v>
      </c>
      <c r="L484">
        <v>4.4970978345535046</v>
      </c>
      <c r="M484">
        <v>346.41982950568854</v>
      </c>
      <c r="N484">
        <v>4.9521762591962561</v>
      </c>
      <c r="O484">
        <v>323.97952744566339</v>
      </c>
      <c r="P484">
        <v>4.5100160498475894</v>
      </c>
    </row>
    <row r="485" spans="4:16" x14ac:dyDescent="0.55000000000000004">
      <c r="D485">
        <v>478</v>
      </c>
      <c r="E485">
        <v>5.8910377483675598</v>
      </c>
      <c r="F485">
        <v>4.1089622516324376</v>
      </c>
      <c r="G485">
        <v>5.929401129868717</v>
      </c>
      <c r="H485">
        <v>4.0705988701312785</v>
      </c>
      <c r="I485">
        <v>286.97129671919527</v>
      </c>
      <c r="J485">
        <v>4.9013371847347882</v>
      </c>
      <c r="K485">
        <v>265.76298360287171</v>
      </c>
      <c r="L485">
        <v>4.4628480771101948</v>
      </c>
      <c r="M485">
        <v>338.84009977328719</v>
      </c>
      <c r="N485">
        <v>4.9006946766770092</v>
      </c>
      <c r="O485">
        <v>317.43724848492718</v>
      </c>
      <c r="P485">
        <v>4.4622724526883379</v>
      </c>
    </row>
    <row r="486" spans="4:16" x14ac:dyDescent="0.55000000000000004">
      <c r="D486">
        <v>479</v>
      </c>
      <c r="E486">
        <v>5.7914802679622488</v>
      </c>
      <c r="F486">
        <v>4.2085197320377512</v>
      </c>
      <c r="G486">
        <v>5.5785730069689787</v>
      </c>
      <c r="H486">
        <v>4.4214269930310195</v>
      </c>
      <c r="I486">
        <v>307.06973528297664</v>
      </c>
      <c r="J486">
        <v>4.8674194028047486</v>
      </c>
      <c r="K486">
        <v>284.29580825508253</v>
      </c>
      <c r="L486">
        <v>4.4314716063701489</v>
      </c>
      <c r="M486">
        <v>345.78119189715426</v>
      </c>
      <c r="N486">
        <v>4.8722933504836954</v>
      </c>
      <c r="O486">
        <v>324.15373649092624</v>
      </c>
      <c r="P486">
        <v>4.4358505528333989</v>
      </c>
    </row>
    <row r="487" spans="4:16" x14ac:dyDescent="0.55000000000000004">
      <c r="D487">
        <v>480</v>
      </c>
      <c r="E487">
        <v>6.9611224618765783</v>
      </c>
      <c r="F487">
        <v>3.0388775381234225</v>
      </c>
      <c r="G487">
        <v>6.1217670283723535</v>
      </c>
      <c r="H487">
        <v>3.8782329716276447</v>
      </c>
      <c r="I487">
        <v>339.41156414539802</v>
      </c>
      <c r="J487">
        <v>4.9225758151835759</v>
      </c>
      <c r="K487">
        <v>312.62103818654481</v>
      </c>
      <c r="L487">
        <v>4.4829064023626559</v>
      </c>
      <c r="M487">
        <v>348.48613263347954</v>
      </c>
      <c r="N487">
        <v>4.9319114375011255</v>
      </c>
      <c r="O487">
        <v>326.0607902546094</v>
      </c>
      <c r="P487">
        <v>4.4912462696265889</v>
      </c>
    </row>
    <row r="488" spans="4:16" x14ac:dyDescent="0.55000000000000004">
      <c r="D488">
        <v>481</v>
      </c>
      <c r="E488">
        <v>7.3515081224811576</v>
      </c>
      <c r="F488">
        <v>2.6484918775188442</v>
      </c>
      <c r="G488">
        <v>6.4634035387459612</v>
      </c>
      <c r="H488">
        <v>3.5365964612540375</v>
      </c>
      <c r="I488">
        <v>375.78643033715741</v>
      </c>
      <c r="J488">
        <v>4.8510345639762757</v>
      </c>
      <c r="K488">
        <v>345.33577211940883</v>
      </c>
      <c r="L488">
        <v>4.4173248246600414</v>
      </c>
      <c r="M488">
        <v>380.38926206533904</v>
      </c>
      <c r="N488">
        <v>4.8690304478611353</v>
      </c>
      <c r="O488">
        <v>354.76426638635928</v>
      </c>
      <c r="P488">
        <v>4.4334077684646918</v>
      </c>
    </row>
    <row r="489" spans="4:16" x14ac:dyDescent="0.55000000000000004">
      <c r="D489">
        <v>482</v>
      </c>
      <c r="E489">
        <v>6.9670638089926769</v>
      </c>
      <c r="F489">
        <v>3.0329361910073223</v>
      </c>
      <c r="G489">
        <v>4.8992544050264932</v>
      </c>
      <c r="H489">
        <v>5.1007455949735068</v>
      </c>
      <c r="I489">
        <v>340.44296556077114</v>
      </c>
      <c r="J489">
        <v>4.8263082491927936</v>
      </c>
      <c r="K489">
        <v>313.33455843448451</v>
      </c>
      <c r="L489">
        <v>4.3943580996810931</v>
      </c>
      <c r="M489">
        <v>289.40023292610613</v>
      </c>
      <c r="N489">
        <v>4.877859583522028</v>
      </c>
      <c r="O489">
        <v>272.56397008943361</v>
      </c>
      <c r="P489">
        <v>4.4406686538894391</v>
      </c>
    </row>
    <row r="490" spans="4:16" x14ac:dyDescent="0.55000000000000004">
      <c r="D490">
        <v>483</v>
      </c>
      <c r="E490">
        <v>7.9392678110726038</v>
      </c>
      <c r="F490">
        <v>2.0607321889273944</v>
      </c>
      <c r="G490">
        <v>5.8190779770002887</v>
      </c>
      <c r="H490">
        <v>4.1809220229997113</v>
      </c>
      <c r="I490">
        <v>401.54301618271654</v>
      </c>
      <c r="J490">
        <v>4.8717375027266234</v>
      </c>
      <c r="K490">
        <v>368.18705566408039</v>
      </c>
      <c r="L490">
        <v>4.4366115191437654</v>
      </c>
      <c r="M490">
        <v>344.3105306295792</v>
      </c>
      <c r="N490">
        <v>4.9059901377659001</v>
      </c>
      <c r="O490">
        <v>322.33853819994391</v>
      </c>
      <c r="P490">
        <v>4.4672278409684409</v>
      </c>
    </row>
    <row r="491" spans="4:16" x14ac:dyDescent="0.55000000000000004">
      <c r="D491">
        <v>484</v>
      </c>
      <c r="E491">
        <v>6.5091574560181051</v>
      </c>
      <c r="F491">
        <v>3.4908425439818949</v>
      </c>
      <c r="G491">
        <v>6.8620511967961502</v>
      </c>
      <c r="H491">
        <v>3.1379488032038489</v>
      </c>
      <c r="I491">
        <v>350.16757369564181</v>
      </c>
      <c r="J491">
        <v>4.8845412849429986</v>
      </c>
      <c r="K491">
        <v>323.03805594208103</v>
      </c>
      <c r="L491">
        <v>4.4477058632079185</v>
      </c>
      <c r="M491">
        <v>419.15189629278188</v>
      </c>
      <c r="N491">
        <v>4.8782816947983143</v>
      </c>
      <c r="O491">
        <v>390.00880879873802</v>
      </c>
      <c r="P491">
        <v>4.4421101956887927</v>
      </c>
    </row>
    <row r="492" spans="4:16" x14ac:dyDescent="0.55000000000000004">
      <c r="D492">
        <v>485</v>
      </c>
      <c r="E492">
        <v>6.964005672128442</v>
      </c>
      <c r="F492">
        <v>3.0359943278715593</v>
      </c>
      <c r="G492">
        <v>6.3921500799341029</v>
      </c>
      <c r="H492">
        <v>3.6078499200658971</v>
      </c>
      <c r="I492">
        <v>339.23179394525039</v>
      </c>
      <c r="J492">
        <v>4.7896165498035659</v>
      </c>
      <c r="K492">
        <v>312.30003538407306</v>
      </c>
      <c r="L492">
        <v>4.3605383030837563</v>
      </c>
      <c r="M492">
        <v>361.37546993418476</v>
      </c>
      <c r="N492">
        <v>4.8068923761259761</v>
      </c>
      <c r="O492">
        <v>337.39446182764414</v>
      </c>
      <c r="P492">
        <v>4.3759841445038212</v>
      </c>
    </row>
    <row r="493" spans="4:16" x14ac:dyDescent="0.55000000000000004">
      <c r="D493">
        <v>486</v>
      </c>
      <c r="E493">
        <v>6.3707980918669014</v>
      </c>
      <c r="F493">
        <v>3.6292019081330986</v>
      </c>
      <c r="G493">
        <v>7.8171431028942973</v>
      </c>
      <c r="H493">
        <v>2.1828568971057019</v>
      </c>
      <c r="I493">
        <v>330.68653505323107</v>
      </c>
      <c r="J493">
        <v>4.8618570496724827</v>
      </c>
      <c r="K493">
        <v>305.1382214389368</v>
      </c>
      <c r="L493">
        <v>4.4267490737604769</v>
      </c>
      <c r="M493">
        <v>455.76140217211969</v>
      </c>
      <c r="N493">
        <v>4.8304948303502471</v>
      </c>
      <c r="O493">
        <v>422.19685974449465</v>
      </c>
      <c r="P493">
        <v>4.398735601306921</v>
      </c>
    </row>
    <row r="494" spans="4:16" x14ac:dyDescent="0.55000000000000004">
      <c r="D494">
        <v>487</v>
      </c>
      <c r="E494">
        <v>6.9270479381387338</v>
      </c>
      <c r="F494">
        <v>3.0729520618612658</v>
      </c>
      <c r="G494">
        <v>6.0428383545328312</v>
      </c>
      <c r="H494">
        <v>3.9571616454671692</v>
      </c>
      <c r="I494">
        <v>344.62980178497492</v>
      </c>
      <c r="J494">
        <v>4.8572510844438854</v>
      </c>
      <c r="K494">
        <v>317.02026071970243</v>
      </c>
      <c r="L494">
        <v>4.4229065372057086</v>
      </c>
      <c r="M494">
        <v>350.63920488774079</v>
      </c>
      <c r="N494">
        <v>4.875472404739523</v>
      </c>
      <c r="O494">
        <v>327.54647614825183</v>
      </c>
      <c r="P494">
        <v>4.4392569512189048</v>
      </c>
    </row>
    <row r="495" spans="4:16" x14ac:dyDescent="0.55000000000000004">
      <c r="D495">
        <v>488</v>
      </c>
      <c r="E495">
        <v>6.5684349871402263</v>
      </c>
      <c r="F495">
        <v>3.4315650128597737</v>
      </c>
      <c r="G495">
        <v>6.1388967415381659</v>
      </c>
      <c r="H495">
        <v>3.8611032584618314</v>
      </c>
      <c r="I495">
        <v>332.68489808729117</v>
      </c>
      <c r="J495">
        <v>4.8480296236051581</v>
      </c>
      <c r="K495">
        <v>306.83229831368573</v>
      </c>
      <c r="L495">
        <v>4.4140584049230727</v>
      </c>
      <c r="M495">
        <v>360.92920015582206</v>
      </c>
      <c r="N495">
        <v>4.8579676208583722</v>
      </c>
      <c r="O495">
        <v>337.35492970506311</v>
      </c>
      <c r="P495">
        <v>4.4229556619240702</v>
      </c>
    </row>
    <row r="496" spans="4:16" x14ac:dyDescent="0.55000000000000004">
      <c r="D496">
        <v>489</v>
      </c>
      <c r="E496">
        <v>5.9965372807637012</v>
      </c>
      <c r="F496">
        <v>4.0034627192363006</v>
      </c>
      <c r="G496">
        <v>6.854312943926189</v>
      </c>
      <c r="H496">
        <v>3.1456870560738137</v>
      </c>
      <c r="I496">
        <v>312.94228440918624</v>
      </c>
      <c r="J496">
        <v>4.835466884694978</v>
      </c>
      <c r="K496">
        <v>289.61799269335518</v>
      </c>
      <c r="L496">
        <v>4.4019492278759111</v>
      </c>
      <c r="M496">
        <v>407.70716503484067</v>
      </c>
      <c r="N496">
        <v>4.8119312181119165</v>
      </c>
      <c r="O496">
        <v>379.63077410561567</v>
      </c>
      <c r="P496">
        <v>4.3809120337804979</v>
      </c>
    </row>
    <row r="497" spans="4:16" x14ac:dyDescent="0.55000000000000004">
      <c r="D497">
        <v>490</v>
      </c>
      <c r="E497">
        <v>7.3748717164825948</v>
      </c>
      <c r="F497">
        <v>2.6251282835174052</v>
      </c>
      <c r="G497">
        <v>5.8013156526904837</v>
      </c>
      <c r="H497">
        <v>4.1986843473095155</v>
      </c>
      <c r="I497">
        <v>376.14883836826175</v>
      </c>
      <c r="J497">
        <v>4.9227060081952603</v>
      </c>
      <c r="K497">
        <v>345.60469412214059</v>
      </c>
      <c r="L497">
        <v>4.4832017771061734</v>
      </c>
      <c r="M497">
        <v>345.89099684135363</v>
      </c>
      <c r="N497">
        <v>4.9391980143175118</v>
      </c>
      <c r="O497">
        <v>323.74435524975411</v>
      </c>
      <c r="P497">
        <v>4.4979681990044362</v>
      </c>
    </row>
    <row r="498" spans="4:16" x14ac:dyDescent="0.55000000000000004">
      <c r="D498">
        <v>491</v>
      </c>
      <c r="E498">
        <v>6.776593378649725</v>
      </c>
      <c r="F498">
        <v>3.2234066213502754</v>
      </c>
      <c r="G498">
        <v>6.0248886053663115</v>
      </c>
      <c r="H498">
        <v>3.9751113946336898</v>
      </c>
      <c r="I498">
        <v>335.19368754192993</v>
      </c>
      <c r="J498">
        <v>4.8713969591675177</v>
      </c>
      <c r="K498">
        <v>308.76900515012443</v>
      </c>
      <c r="L498">
        <v>4.4357545805509808</v>
      </c>
      <c r="M498">
        <v>348.01177609751875</v>
      </c>
      <c r="N498">
        <v>4.8856624631236958</v>
      </c>
      <c r="O498">
        <v>325.46252980115662</v>
      </c>
      <c r="P498">
        <v>4.44853320427955</v>
      </c>
    </row>
    <row r="499" spans="4:16" x14ac:dyDescent="0.55000000000000004">
      <c r="D499">
        <v>492</v>
      </c>
      <c r="E499">
        <v>6.5375389457648252</v>
      </c>
      <c r="F499">
        <v>3.462461054235173</v>
      </c>
      <c r="G499">
        <v>6.2606725475005529</v>
      </c>
      <c r="H499">
        <v>3.7393274524994449</v>
      </c>
      <c r="I499">
        <v>335.94469046258706</v>
      </c>
      <c r="J499">
        <v>4.8970924392516419</v>
      </c>
      <c r="K499">
        <v>310.0582298435196</v>
      </c>
      <c r="L499">
        <v>4.459241375977621</v>
      </c>
      <c r="M499">
        <v>371.71734937353136</v>
      </c>
      <c r="N499">
        <v>4.9014506000113602</v>
      </c>
      <c r="O499">
        <v>347.34151063555908</v>
      </c>
      <c r="P499">
        <v>4.4631367986217798</v>
      </c>
    </row>
    <row r="500" spans="4:16" x14ac:dyDescent="0.55000000000000004">
      <c r="D500">
        <v>493</v>
      </c>
      <c r="E500">
        <v>7.1419774652072032</v>
      </c>
      <c r="F500">
        <v>2.8580225347927977</v>
      </c>
      <c r="G500">
        <v>6.1976572268663546</v>
      </c>
      <c r="H500">
        <v>3.802342773133645</v>
      </c>
      <c r="I500">
        <v>346.12792261693079</v>
      </c>
      <c r="J500">
        <v>4.7941232066040937</v>
      </c>
      <c r="K500">
        <v>318.47415731754865</v>
      </c>
      <c r="L500">
        <v>4.3647909789666333</v>
      </c>
      <c r="M500">
        <v>350.36250204897874</v>
      </c>
      <c r="N500">
        <v>4.8213444661999922</v>
      </c>
      <c r="O500">
        <v>327.58185562778641</v>
      </c>
      <c r="P500">
        <v>4.3891137087909566</v>
      </c>
    </row>
    <row r="501" spans="4:16" x14ac:dyDescent="0.55000000000000004">
      <c r="D501">
        <v>494</v>
      </c>
      <c r="E501">
        <v>7.1759958860945972</v>
      </c>
      <c r="F501">
        <v>2.8240041139054015</v>
      </c>
      <c r="G501">
        <v>6.8158775525213446</v>
      </c>
      <c r="H501">
        <v>3.1841224474786549</v>
      </c>
      <c r="I501">
        <v>368.00753430754986</v>
      </c>
      <c r="J501">
        <v>4.7047396539546096</v>
      </c>
      <c r="K501">
        <v>338.12167684859344</v>
      </c>
      <c r="L501">
        <v>4.2829370394059563</v>
      </c>
      <c r="M501">
        <v>399.53953877064589</v>
      </c>
      <c r="N501">
        <v>4.7195569232891943</v>
      </c>
      <c r="O501">
        <v>371.57774941124842</v>
      </c>
      <c r="P501">
        <v>4.2962105875937455</v>
      </c>
    </row>
    <row r="502" spans="4:16" x14ac:dyDescent="0.55000000000000004">
      <c r="D502">
        <v>495</v>
      </c>
      <c r="E502">
        <v>5.6537617867580279</v>
      </c>
      <c r="F502">
        <v>4.3462382132419739</v>
      </c>
      <c r="G502">
        <v>6.0976151517904089</v>
      </c>
      <c r="H502">
        <v>3.9023848482095884</v>
      </c>
      <c r="I502">
        <v>287.72542400596251</v>
      </c>
      <c r="J502">
        <v>4.8682461506316903</v>
      </c>
      <c r="K502">
        <v>266.81298995625264</v>
      </c>
      <c r="L502">
        <v>4.4320415927144134</v>
      </c>
      <c r="M502">
        <v>360.31355248875911</v>
      </c>
      <c r="N502">
        <v>4.8579027029231101</v>
      </c>
      <c r="O502">
        <v>337.0543883387337</v>
      </c>
      <c r="P502">
        <v>4.4227727484240509</v>
      </c>
    </row>
    <row r="503" spans="4:16" x14ac:dyDescent="0.55000000000000004">
      <c r="D503">
        <v>496</v>
      </c>
      <c r="E503">
        <v>6.3843217819307654</v>
      </c>
      <c r="F503">
        <v>3.6156782180692364</v>
      </c>
      <c r="G503">
        <v>6.666209546378095</v>
      </c>
      <c r="H503">
        <v>3.3337904536219045</v>
      </c>
      <c r="I503">
        <v>317.10772872862776</v>
      </c>
      <c r="J503">
        <v>4.8804050143848583</v>
      </c>
      <c r="K503">
        <v>292.5419002313082</v>
      </c>
      <c r="L503">
        <v>4.443889166966251</v>
      </c>
      <c r="M503">
        <v>381.10902624988938</v>
      </c>
      <c r="N503">
        <v>4.8751245219088091</v>
      </c>
      <c r="O503">
        <v>355.08324065759945</v>
      </c>
      <c r="P503">
        <v>4.4391592872061754</v>
      </c>
    </row>
    <row r="504" spans="4:16" x14ac:dyDescent="0.55000000000000004">
      <c r="D504">
        <v>497</v>
      </c>
      <c r="E504">
        <v>6.8702906930827359</v>
      </c>
      <c r="F504">
        <v>3.1297093069172623</v>
      </c>
      <c r="G504">
        <v>6.2506920344686385</v>
      </c>
      <c r="H504">
        <v>3.749307965531361</v>
      </c>
      <c r="I504">
        <v>341.49365504097193</v>
      </c>
      <c r="J504">
        <v>4.8120785479849522</v>
      </c>
      <c r="K504">
        <v>314.63948215009736</v>
      </c>
      <c r="L504">
        <v>4.3810755225842319</v>
      </c>
      <c r="M504">
        <v>360.69597557718339</v>
      </c>
      <c r="N504">
        <v>4.8290262849577967</v>
      </c>
      <c r="O504">
        <v>337.12166924718173</v>
      </c>
      <c r="P504">
        <v>4.3962183730608366</v>
      </c>
    </row>
    <row r="505" spans="4:16" x14ac:dyDescent="0.55000000000000004">
      <c r="D505">
        <v>498</v>
      </c>
      <c r="E505">
        <v>7.2855165232081784</v>
      </c>
      <c r="F505">
        <v>2.7144834767918207</v>
      </c>
      <c r="G505">
        <v>5.5148069954041219</v>
      </c>
      <c r="H505">
        <v>4.4851930045958763</v>
      </c>
      <c r="I505">
        <v>356.9875421715933</v>
      </c>
      <c r="J505">
        <v>4.7389995721597442</v>
      </c>
      <c r="K505">
        <v>328.32678268233826</v>
      </c>
      <c r="L505">
        <v>4.3141733225820911</v>
      </c>
      <c r="M505">
        <v>320.22344792831547</v>
      </c>
      <c r="N505">
        <v>4.8024344628590461</v>
      </c>
      <c r="O505">
        <v>300.75007187052529</v>
      </c>
      <c r="P505">
        <v>4.3708911413304836</v>
      </c>
    </row>
    <row r="506" spans="4:16" x14ac:dyDescent="0.55000000000000004">
      <c r="D506">
        <v>499</v>
      </c>
      <c r="E506">
        <v>6.1580060503771454</v>
      </c>
      <c r="F506">
        <v>3.8419939496228586</v>
      </c>
      <c r="G506">
        <v>6.4121763678006447</v>
      </c>
      <c r="H506">
        <v>3.5878236321993526</v>
      </c>
      <c r="I506">
        <v>317.80174633737607</v>
      </c>
      <c r="J506">
        <v>4.8210890652991463</v>
      </c>
      <c r="K506">
        <v>293.66464156327669</v>
      </c>
      <c r="L506">
        <v>4.3888967061227238</v>
      </c>
      <c r="M506">
        <v>380.9189420795542</v>
      </c>
      <c r="N506">
        <v>4.813704556630034</v>
      </c>
      <c r="O506">
        <v>355.41320821962591</v>
      </c>
      <c r="P506">
        <v>4.3822826863254507</v>
      </c>
    </row>
    <row r="507" spans="4:16" x14ac:dyDescent="0.55000000000000004">
      <c r="D507">
        <v>500</v>
      </c>
      <c r="E507">
        <v>6.9318740658801303</v>
      </c>
      <c r="F507">
        <v>3.0681259341198688</v>
      </c>
      <c r="G507">
        <v>6.2140473603035904</v>
      </c>
      <c r="H507">
        <v>3.7859526396964092</v>
      </c>
      <c r="I507">
        <v>346.78023486322803</v>
      </c>
      <c r="J507">
        <v>4.8600785229558277</v>
      </c>
      <c r="K507">
        <v>319.42212356147479</v>
      </c>
      <c r="L507">
        <v>4.4253364982170424</v>
      </c>
      <c r="M507">
        <v>360.86958340229103</v>
      </c>
      <c r="N507">
        <v>4.87456802059405</v>
      </c>
      <c r="O507">
        <v>337.33792628554767</v>
      </c>
      <c r="P507">
        <v>4.4382820695654077</v>
      </c>
    </row>
    <row r="508" spans="4:16" x14ac:dyDescent="0.55000000000000004">
      <c r="D508">
        <v>501</v>
      </c>
      <c r="E508">
        <v>7.3871727003372065</v>
      </c>
      <c r="F508">
        <v>2.6128272996627948</v>
      </c>
      <c r="G508">
        <v>5.250021372199221</v>
      </c>
      <c r="H508">
        <v>4.749978627800779</v>
      </c>
      <c r="I508">
        <v>395.92365898859725</v>
      </c>
      <c r="J508">
        <v>4.8371128486427688</v>
      </c>
      <c r="K508">
        <v>363.90683226810768</v>
      </c>
      <c r="L508">
        <v>4.4045042277516595</v>
      </c>
      <c r="M508">
        <v>331.38067915409221</v>
      </c>
      <c r="N508">
        <v>4.8842370334941432</v>
      </c>
      <c r="O508">
        <v>311.3645500768227</v>
      </c>
      <c r="P508">
        <v>4.4466911995594964</v>
      </c>
    </row>
    <row r="509" spans="4:16" x14ac:dyDescent="0.55000000000000004">
      <c r="D509">
        <v>502</v>
      </c>
      <c r="E509">
        <v>7.280995296077327</v>
      </c>
      <c r="F509">
        <v>2.719004703922673</v>
      </c>
      <c r="G509">
        <v>6.7454626820790686</v>
      </c>
      <c r="H509">
        <v>3.25453731792093</v>
      </c>
      <c r="I509">
        <v>354.69831234737813</v>
      </c>
      <c r="J509">
        <v>4.7308073981808008</v>
      </c>
      <c r="K509">
        <v>325.75900013093616</v>
      </c>
      <c r="L509">
        <v>4.3069897459245787</v>
      </c>
      <c r="M509">
        <v>378.60950076766181</v>
      </c>
      <c r="N509">
        <v>4.7506070837813246</v>
      </c>
      <c r="O509">
        <v>352.38712052980122</v>
      </c>
      <c r="P509">
        <v>4.3247274595257439</v>
      </c>
    </row>
    <row r="510" spans="4:16" x14ac:dyDescent="0.55000000000000004">
      <c r="D510">
        <v>503</v>
      </c>
      <c r="E510">
        <v>5.9296209245752483</v>
      </c>
      <c r="F510">
        <v>4.0703790754247535</v>
      </c>
      <c r="G510">
        <v>5.2750871661008203</v>
      </c>
      <c r="H510">
        <v>4.7249128338991788</v>
      </c>
      <c r="I510">
        <v>290.28518731045506</v>
      </c>
      <c r="J510">
        <v>4.9573018736605858</v>
      </c>
      <c r="K510">
        <v>268.43892705178558</v>
      </c>
      <c r="L510">
        <v>4.5147345663131224</v>
      </c>
      <c r="M510">
        <v>308.24242149176575</v>
      </c>
      <c r="N510">
        <v>4.9620150527100124</v>
      </c>
      <c r="O510">
        <v>289.60851356333359</v>
      </c>
      <c r="P510">
        <v>4.5189752395936047</v>
      </c>
    </row>
    <row r="511" spans="4:16" x14ac:dyDescent="0.55000000000000004">
      <c r="D511">
        <v>504</v>
      </c>
      <c r="E511">
        <v>7.4056766079295802</v>
      </c>
      <c r="F511">
        <v>2.5943233920704207</v>
      </c>
      <c r="G511">
        <v>5.4562417386464066</v>
      </c>
      <c r="H511">
        <v>4.5437582613535934</v>
      </c>
      <c r="I511">
        <v>363.18536883851243</v>
      </c>
      <c r="J511">
        <v>4.7980426770646565</v>
      </c>
      <c r="K511">
        <v>333.5498154615226</v>
      </c>
      <c r="L511">
        <v>4.3687415077073748</v>
      </c>
      <c r="M511">
        <v>317.58219042410889</v>
      </c>
      <c r="N511">
        <v>4.8512049562567672</v>
      </c>
      <c r="O511">
        <v>297.7783382052566</v>
      </c>
      <c r="P511">
        <v>4.4164366502355072</v>
      </c>
    </row>
    <row r="512" spans="4:16" x14ac:dyDescent="0.55000000000000004">
      <c r="D512">
        <v>505</v>
      </c>
      <c r="E512">
        <v>6.8020748298670055</v>
      </c>
      <c r="F512">
        <v>3.197925170132994</v>
      </c>
      <c r="G512">
        <v>6.6625465386755511</v>
      </c>
      <c r="H512">
        <v>3.3374534613244453</v>
      </c>
      <c r="I512">
        <v>336.45578932638477</v>
      </c>
      <c r="J512">
        <v>4.8517022484672774</v>
      </c>
      <c r="K512">
        <v>309.78947681098981</v>
      </c>
      <c r="L512">
        <v>4.4176751314348746</v>
      </c>
      <c r="M512">
        <v>379.55420377780297</v>
      </c>
      <c r="N512">
        <v>4.8547442220380521</v>
      </c>
      <c r="O512">
        <v>353.61135780653899</v>
      </c>
      <c r="P512">
        <v>4.4203982266709403</v>
      </c>
    </row>
    <row r="513" spans="4:16" x14ac:dyDescent="0.55000000000000004">
      <c r="D513">
        <v>506</v>
      </c>
      <c r="E513">
        <v>7.0441018716070118</v>
      </c>
      <c r="F513">
        <v>2.955898128392989</v>
      </c>
      <c r="G513">
        <v>6.5553285939783219</v>
      </c>
      <c r="H513">
        <v>3.4446714060216781</v>
      </c>
      <c r="I513">
        <v>363.14201883109632</v>
      </c>
      <c r="J513">
        <v>4.73823134459019</v>
      </c>
      <c r="K513">
        <v>334.30273958406934</v>
      </c>
      <c r="L513">
        <v>4.3132392792018965</v>
      </c>
      <c r="M513">
        <v>387.94446802561924</v>
      </c>
      <c r="N513">
        <v>4.7563948416572641</v>
      </c>
      <c r="O513">
        <v>361.80811033735</v>
      </c>
      <c r="P513">
        <v>4.3294543921508462</v>
      </c>
    </row>
    <row r="514" spans="4:16" x14ac:dyDescent="0.55000000000000004">
      <c r="D514">
        <v>507</v>
      </c>
      <c r="E514">
        <v>5.2902959826153166</v>
      </c>
      <c r="F514">
        <v>4.7097040173846816</v>
      </c>
      <c r="G514">
        <v>5.8669842188350145</v>
      </c>
      <c r="H514">
        <v>4.1330157811649855</v>
      </c>
      <c r="I514">
        <v>259.75084694309919</v>
      </c>
      <c r="J514">
        <v>4.9017566686303313</v>
      </c>
      <c r="K514">
        <v>241.11767956954881</v>
      </c>
      <c r="L514">
        <v>4.4630234518026599</v>
      </c>
      <c r="M514">
        <v>338.06594656558485</v>
      </c>
      <c r="N514">
        <v>4.8910472917496985</v>
      </c>
      <c r="O514">
        <v>316.57756132491954</v>
      </c>
      <c r="P514">
        <v>4.453393979447279</v>
      </c>
    </row>
    <row r="515" spans="4:16" x14ac:dyDescent="0.55000000000000004">
      <c r="D515">
        <v>508</v>
      </c>
      <c r="E515">
        <v>6.4206528579749005</v>
      </c>
      <c r="F515">
        <v>3.5793471420251</v>
      </c>
      <c r="G515">
        <v>5.7090503893131368</v>
      </c>
      <c r="H515">
        <v>4.2909496106868632</v>
      </c>
      <c r="I515">
        <v>345.42957811923543</v>
      </c>
      <c r="J515">
        <v>4.8061050152069171</v>
      </c>
      <c r="K515">
        <v>318.90691943739915</v>
      </c>
      <c r="L515">
        <v>4.3752119156245852</v>
      </c>
      <c r="M515">
        <v>357.14553660885713</v>
      </c>
      <c r="N515">
        <v>4.8275944420443331</v>
      </c>
      <c r="O515">
        <v>334.60744491188683</v>
      </c>
      <c r="P515">
        <v>4.3944647431552939</v>
      </c>
    </row>
    <row r="516" spans="4:16" x14ac:dyDescent="0.55000000000000004">
      <c r="D516">
        <v>509</v>
      </c>
      <c r="E516">
        <v>6.042618329356543</v>
      </c>
      <c r="F516">
        <v>3.9573816706434579</v>
      </c>
      <c r="G516">
        <v>5.4256947533214595</v>
      </c>
      <c r="H516">
        <v>4.5743052466785414</v>
      </c>
      <c r="I516">
        <v>284.42717389003462</v>
      </c>
      <c r="J516">
        <v>4.9614137696412373</v>
      </c>
      <c r="K516">
        <v>262.95506516263191</v>
      </c>
      <c r="L516">
        <v>4.5185460596715972</v>
      </c>
      <c r="M516">
        <v>305.38846588736021</v>
      </c>
      <c r="N516">
        <v>4.9653532465237982</v>
      </c>
      <c r="O516">
        <v>286.86421843057326</v>
      </c>
      <c r="P516">
        <v>4.5220856209887845</v>
      </c>
    </row>
    <row r="517" spans="4:16" x14ac:dyDescent="0.55000000000000004">
      <c r="D517">
        <v>510</v>
      </c>
      <c r="E517">
        <v>6.1676863474564856</v>
      </c>
      <c r="F517">
        <v>3.8323136525435126</v>
      </c>
      <c r="G517">
        <v>6.1447249351406006</v>
      </c>
      <c r="H517">
        <v>3.8552750648593994</v>
      </c>
      <c r="I517">
        <v>313.02599776406208</v>
      </c>
      <c r="J517">
        <v>4.7415536866982277</v>
      </c>
      <c r="K517">
        <v>289.06205455453323</v>
      </c>
      <c r="L517">
        <v>4.3155585610248943</v>
      </c>
      <c r="M517">
        <v>361.86064683741904</v>
      </c>
      <c r="N517">
        <v>4.7425158452820035</v>
      </c>
      <c r="O517">
        <v>338.01629799260161</v>
      </c>
      <c r="P517">
        <v>4.3164219778975284</v>
      </c>
    </row>
    <row r="518" spans="4:16" x14ac:dyDescent="0.55000000000000004">
      <c r="D518">
        <v>511</v>
      </c>
      <c r="E518">
        <v>6.9294109163497017</v>
      </c>
      <c r="F518">
        <v>3.0705890836502956</v>
      </c>
      <c r="G518">
        <v>5.8482017095979089</v>
      </c>
      <c r="H518">
        <v>4.1517982904020894</v>
      </c>
      <c r="I518">
        <v>346.00214796201624</v>
      </c>
      <c r="J518">
        <v>4.9023870363637263</v>
      </c>
      <c r="K518">
        <v>318.79464146444872</v>
      </c>
      <c r="L518">
        <v>4.4642820470475248</v>
      </c>
      <c r="M518">
        <v>342.01477263552925</v>
      </c>
      <c r="N518">
        <v>4.9176177733276516</v>
      </c>
      <c r="O518">
        <v>320.5574287078764</v>
      </c>
      <c r="P518">
        <v>4.4778905674641072</v>
      </c>
    </row>
    <row r="519" spans="4:16" x14ac:dyDescent="0.55000000000000004">
      <c r="D519">
        <v>512</v>
      </c>
      <c r="E519">
        <v>6.8651444446891219</v>
      </c>
      <c r="F519">
        <v>3.1348555553108781</v>
      </c>
      <c r="G519">
        <v>5.8381615287169843</v>
      </c>
      <c r="H519">
        <v>4.1618384712830174</v>
      </c>
      <c r="I519">
        <v>356.33663627710126</v>
      </c>
      <c r="J519">
        <v>4.8841445480951524</v>
      </c>
      <c r="K519">
        <v>328.11345548481137</v>
      </c>
      <c r="L519">
        <v>4.4475400491467942</v>
      </c>
      <c r="M519">
        <v>353.0308914759616</v>
      </c>
      <c r="N519">
        <v>4.9014758032183519</v>
      </c>
      <c r="O519">
        <v>330.34790894018039</v>
      </c>
      <c r="P519">
        <v>4.4630700239431746</v>
      </c>
    </row>
    <row r="520" spans="4:16" x14ac:dyDescent="0.55000000000000004">
      <c r="D520">
        <v>513</v>
      </c>
      <c r="E520">
        <v>5.7653771291104849</v>
      </c>
      <c r="F520">
        <v>4.2346228708895151</v>
      </c>
      <c r="G520">
        <v>6.0986265889806131</v>
      </c>
      <c r="H520">
        <v>3.9013734110193869</v>
      </c>
      <c r="I520">
        <v>285.87167662620993</v>
      </c>
      <c r="J520">
        <v>4.7961840890021943</v>
      </c>
      <c r="K520">
        <v>264.57733939917983</v>
      </c>
      <c r="L520">
        <v>4.3655854826251126</v>
      </c>
      <c r="M520">
        <v>352.39558819252068</v>
      </c>
      <c r="N520">
        <v>4.7844031524334483</v>
      </c>
      <c r="O520">
        <v>329.41505868692553</v>
      </c>
      <c r="P520">
        <v>4.3550067386605056</v>
      </c>
    </row>
    <row r="521" spans="4:16" x14ac:dyDescent="0.55000000000000004">
      <c r="D521">
        <v>514</v>
      </c>
      <c r="E521">
        <v>6.5764019732733185</v>
      </c>
      <c r="F521">
        <v>3.423598026726681</v>
      </c>
      <c r="G521">
        <v>6.5441658359735717</v>
      </c>
      <c r="H521">
        <v>3.4558341640264256</v>
      </c>
      <c r="I521">
        <v>327.59685979512722</v>
      </c>
      <c r="J521">
        <v>4.8324951828063263</v>
      </c>
      <c r="K521">
        <v>302.06100079911801</v>
      </c>
      <c r="L521">
        <v>4.3997713419669271</v>
      </c>
      <c r="M521">
        <v>375.99104898942539</v>
      </c>
      <c r="N521">
        <v>4.8333162561390344</v>
      </c>
      <c r="O521">
        <v>350.6239943529792</v>
      </c>
      <c r="P521">
        <v>4.4005061032897821</v>
      </c>
    </row>
    <row r="522" spans="4:16" x14ac:dyDescent="0.55000000000000004">
      <c r="D522">
        <v>515</v>
      </c>
      <c r="E522">
        <v>6.1987600786990651</v>
      </c>
      <c r="F522">
        <v>3.8012399213009336</v>
      </c>
      <c r="G522">
        <v>5.4447448444337994</v>
      </c>
      <c r="H522">
        <v>4.5552551555662015</v>
      </c>
      <c r="I522">
        <v>323.62766167829471</v>
      </c>
      <c r="J522">
        <v>4.8996354685522583</v>
      </c>
      <c r="K522">
        <v>298.898854432429</v>
      </c>
      <c r="L522">
        <v>4.461523772263611</v>
      </c>
      <c r="M522">
        <v>334.26169428529755</v>
      </c>
      <c r="N522">
        <v>4.9118437787192448</v>
      </c>
      <c r="O522">
        <v>313.52851650828262</v>
      </c>
      <c r="P522">
        <v>4.4724929439793275</v>
      </c>
    </row>
    <row r="523" spans="4:16" x14ac:dyDescent="0.55000000000000004">
      <c r="D523">
        <v>516</v>
      </c>
      <c r="E523">
        <v>6.633140718068363</v>
      </c>
      <c r="F523">
        <v>3.3668592819316361</v>
      </c>
      <c r="G523">
        <v>5.9667242257605464</v>
      </c>
      <c r="H523">
        <v>4.0332757742394518</v>
      </c>
      <c r="I523">
        <v>327.69881439637555</v>
      </c>
      <c r="J523">
        <v>4.8000345516744183</v>
      </c>
      <c r="K523">
        <v>301.97741703807554</v>
      </c>
      <c r="L523">
        <v>4.3699493537550467</v>
      </c>
      <c r="M523">
        <v>344.77566325191162</v>
      </c>
      <c r="N523">
        <v>4.8201246233794999</v>
      </c>
      <c r="O523">
        <v>322.45208104059827</v>
      </c>
      <c r="P523">
        <v>4.3879660410005403</v>
      </c>
    </row>
    <row r="524" spans="4:16" x14ac:dyDescent="0.55000000000000004">
      <c r="D524">
        <v>517</v>
      </c>
      <c r="E524">
        <v>7.1545055518695619</v>
      </c>
      <c r="F524">
        <v>2.8454944481304363</v>
      </c>
      <c r="G524">
        <v>7.0469971818955095</v>
      </c>
      <c r="H524">
        <v>2.9530028181044901</v>
      </c>
      <c r="I524">
        <v>360.03040617077363</v>
      </c>
      <c r="J524">
        <v>4.8732620683170573</v>
      </c>
      <c r="K524">
        <v>330.90948961014328</v>
      </c>
      <c r="L524">
        <v>4.437732535988399</v>
      </c>
      <c r="M524">
        <v>404.62034927335452</v>
      </c>
      <c r="N524">
        <v>4.8751665169683784</v>
      </c>
      <c r="O524">
        <v>376.06930424742615</v>
      </c>
      <c r="P524">
        <v>4.4394363784175912</v>
      </c>
    </row>
    <row r="525" spans="4:16" x14ac:dyDescent="0.55000000000000004">
      <c r="D525">
        <v>518</v>
      </c>
      <c r="E525">
        <v>6.0086763970536481</v>
      </c>
      <c r="F525">
        <v>3.991323602946351</v>
      </c>
      <c r="G525">
        <v>6.325600160723325</v>
      </c>
      <c r="H525">
        <v>3.674399839276675</v>
      </c>
      <c r="I525">
        <v>288.20673197097727</v>
      </c>
      <c r="J525">
        <v>4.8263063953277916</v>
      </c>
      <c r="K525">
        <v>266.5565292328838</v>
      </c>
      <c r="L525">
        <v>4.3935736473826372</v>
      </c>
      <c r="M525">
        <v>353.40801028511112</v>
      </c>
      <c r="N525">
        <v>4.8171450381035843</v>
      </c>
      <c r="O525">
        <v>330.17566586633905</v>
      </c>
      <c r="P525">
        <v>4.385365799778902</v>
      </c>
    </row>
    <row r="526" spans="4:16" x14ac:dyDescent="0.55000000000000004">
      <c r="D526">
        <v>519</v>
      </c>
      <c r="E526">
        <v>6.6834276075340577</v>
      </c>
      <c r="F526">
        <v>3.316572392465944</v>
      </c>
      <c r="G526">
        <v>5.6105490107443199</v>
      </c>
      <c r="H526">
        <v>4.389450989255681</v>
      </c>
      <c r="I526">
        <v>337.51404898731113</v>
      </c>
      <c r="J526">
        <v>4.8185995382217746</v>
      </c>
      <c r="K526">
        <v>310.9313581818754</v>
      </c>
      <c r="L526">
        <v>4.3871060042538046</v>
      </c>
      <c r="M526">
        <v>333.33352657600676</v>
      </c>
      <c r="N526">
        <v>4.8477194276435203</v>
      </c>
      <c r="O526">
        <v>312.29160650653762</v>
      </c>
      <c r="P526">
        <v>4.4132479483925984</v>
      </c>
    </row>
    <row r="527" spans="4:16" x14ac:dyDescent="0.55000000000000004">
      <c r="D527">
        <v>520</v>
      </c>
      <c r="E527">
        <v>6.841972158090547</v>
      </c>
      <c r="F527">
        <v>3.1580278419094534</v>
      </c>
      <c r="G527">
        <v>5.786872708880443</v>
      </c>
      <c r="H527">
        <v>4.2131272911195561</v>
      </c>
      <c r="I527">
        <v>350.83503612206857</v>
      </c>
      <c r="J527">
        <v>4.9109535255638495</v>
      </c>
      <c r="K527">
        <v>323.19536514490346</v>
      </c>
      <c r="L527">
        <v>4.4721881522598297</v>
      </c>
      <c r="M527">
        <v>346.73282044171322</v>
      </c>
      <c r="N527">
        <v>4.9246853683660134</v>
      </c>
      <c r="O527">
        <v>324.75692225717393</v>
      </c>
      <c r="P527">
        <v>4.4844824561982435</v>
      </c>
    </row>
    <row r="528" spans="4:16" x14ac:dyDescent="0.55000000000000004">
      <c r="D528">
        <v>521</v>
      </c>
      <c r="E528">
        <v>5.8145960913154529</v>
      </c>
      <c r="F528">
        <v>4.1854039086845471</v>
      </c>
      <c r="G528">
        <v>5.7719121389946215</v>
      </c>
      <c r="H528">
        <v>4.2280878610053785</v>
      </c>
      <c r="I528">
        <v>315.26198003599654</v>
      </c>
      <c r="J528">
        <v>4.7729643384209526</v>
      </c>
      <c r="K528">
        <v>291.99842009370769</v>
      </c>
      <c r="L528">
        <v>4.3439368927694346</v>
      </c>
      <c r="M528">
        <v>362.94769592870898</v>
      </c>
      <c r="N528">
        <v>4.7746309682610617</v>
      </c>
      <c r="O528">
        <v>339.92253860684121</v>
      </c>
      <c r="P528">
        <v>4.3454318371540284</v>
      </c>
    </row>
    <row r="529" spans="4:16" x14ac:dyDescent="0.55000000000000004">
      <c r="D529">
        <v>522</v>
      </c>
      <c r="E529">
        <v>7.0841510588721155</v>
      </c>
      <c r="F529">
        <v>2.9158489411278818</v>
      </c>
      <c r="G529">
        <v>6.8061365953741824</v>
      </c>
      <c r="H529">
        <v>3.1938634046258176</v>
      </c>
      <c r="I529">
        <v>349.69041534671345</v>
      </c>
      <c r="J529">
        <v>4.9958722760255476</v>
      </c>
      <c r="K529">
        <v>321.40563761104158</v>
      </c>
      <c r="L529">
        <v>4.5504254681382683</v>
      </c>
      <c r="M529">
        <v>385.96696529531584</v>
      </c>
      <c r="N529">
        <v>4.9960342667788069</v>
      </c>
      <c r="O529">
        <v>359.10993251370292</v>
      </c>
      <c r="P529">
        <v>4.550570605878641</v>
      </c>
    </row>
    <row r="530" spans="4:16" x14ac:dyDescent="0.55000000000000004">
      <c r="D530">
        <v>523</v>
      </c>
      <c r="E530">
        <v>4.9127435725932855</v>
      </c>
      <c r="F530">
        <v>5.0872564274067154</v>
      </c>
      <c r="G530">
        <v>6.7110613967319104</v>
      </c>
      <c r="H530">
        <v>3.2889386032680887</v>
      </c>
      <c r="I530">
        <v>230.5560102241605</v>
      </c>
      <c r="J530">
        <v>4.8888166954109264</v>
      </c>
      <c r="K530">
        <v>214.69831703993782</v>
      </c>
      <c r="L530">
        <v>4.4506832279494262</v>
      </c>
      <c r="M530">
        <v>364.95141505688878</v>
      </c>
      <c r="N530">
        <v>4.8481178648217238</v>
      </c>
      <c r="O530">
        <v>340.40149627981486</v>
      </c>
      <c r="P530">
        <v>4.4141761352581295</v>
      </c>
    </row>
    <row r="531" spans="4:16" x14ac:dyDescent="0.55000000000000004">
      <c r="D531">
        <v>524</v>
      </c>
      <c r="E531">
        <v>7.7353996730132515</v>
      </c>
      <c r="F531">
        <v>2.2646003269867476</v>
      </c>
      <c r="G531">
        <v>6.1986846610543473</v>
      </c>
      <c r="H531">
        <v>3.8013153389456544</v>
      </c>
      <c r="I531">
        <v>392.19631732094047</v>
      </c>
      <c r="J531">
        <v>4.8569896206182808</v>
      </c>
      <c r="K531">
        <v>359.6051881402077</v>
      </c>
      <c r="L531">
        <v>4.4230929631862494</v>
      </c>
      <c r="M531">
        <v>364.28257091624903</v>
      </c>
      <c r="N531">
        <v>4.8854000720689719</v>
      </c>
      <c r="O531">
        <v>339.76104763474513</v>
      </c>
      <c r="P531">
        <v>4.44856091530652</v>
      </c>
    </row>
    <row r="532" spans="4:16" x14ac:dyDescent="0.55000000000000004">
      <c r="D532">
        <v>525</v>
      </c>
      <c r="E532">
        <v>6.4478871181375732</v>
      </c>
      <c r="F532">
        <v>3.5521128818624277</v>
      </c>
      <c r="G532">
        <v>6.1694514570737162</v>
      </c>
      <c r="H532">
        <v>3.8305485429262838</v>
      </c>
      <c r="I532">
        <v>316.04628629070066</v>
      </c>
      <c r="J532">
        <v>4.9064160849699814</v>
      </c>
      <c r="K532">
        <v>291.35343116327874</v>
      </c>
      <c r="L532">
        <v>4.4679471636177972</v>
      </c>
      <c r="M532">
        <v>352.39862853276748</v>
      </c>
      <c r="N532">
        <v>4.9104572691236283</v>
      </c>
      <c r="O532">
        <v>329.10356343349389</v>
      </c>
      <c r="P532">
        <v>4.4715744506022705</v>
      </c>
    </row>
    <row r="533" spans="4:16" x14ac:dyDescent="0.55000000000000004">
      <c r="D533">
        <v>526</v>
      </c>
      <c r="E533">
        <v>6.2737828183168505</v>
      </c>
      <c r="F533">
        <v>3.72621718168315</v>
      </c>
      <c r="G533">
        <v>6.3442323759589696</v>
      </c>
      <c r="H533">
        <v>3.6557676240410317</v>
      </c>
      <c r="I533">
        <v>304.54019508145916</v>
      </c>
      <c r="J533">
        <v>4.7953225741515579</v>
      </c>
      <c r="K533">
        <v>281.02972402354283</v>
      </c>
      <c r="L533">
        <v>4.3653429702692783</v>
      </c>
      <c r="M533">
        <v>357.9599376273909</v>
      </c>
      <c r="N533">
        <v>4.7930242105441581</v>
      </c>
      <c r="O533">
        <v>334.09746803618111</v>
      </c>
      <c r="P533">
        <v>4.3632811802073768</v>
      </c>
    </row>
    <row r="534" spans="4:16" x14ac:dyDescent="0.55000000000000004">
      <c r="D534">
        <v>527</v>
      </c>
      <c r="E534">
        <v>7.1477289426031412</v>
      </c>
      <c r="F534">
        <v>2.8522710573968597</v>
      </c>
      <c r="G534">
        <v>6.2101548200780305</v>
      </c>
      <c r="H534">
        <v>3.7898451799219699</v>
      </c>
      <c r="I534">
        <v>370.99077588934688</v>
      </c>
      <c r="J534">
        <v>4.9732236230882503</v>
      </c>
      <c r="K534">
        <v>340.98168958737324</v>
      </c>
      <c r="L534">
        <v>4.5296088587602465</v>
      </c>
      <c r="M534">
        <v>372.32757755565518</v>
      </c>
      <c r="N534">
        <v>4.9767359048618074</v>
      </c>
      <c r="O534">
        <v>347.35539052286788</v>
      </c>
      <c r="P534">
        <v>4.5327576007315677</v>
      </c>
    </row>
    <row r="535" spans="4:16" x14ac:dyDescent="0.55000000000000004">
      <c r="D535">
        <v>528</v>
      </c>
      <c r="E535">
        <v>7.7012552189860903</v>
      </c>
      <c r="F535">
        <v>2.2987447810139079</v>
      </c>
      <c r="G535">
        <v>6.1026226172756708</v>
      </c>
      <c r="H535">
        <v>3.8973773827243279</v>
      </c>
      <c r="I535">
        <v>371.2341888929501</v>
      </c>
      <c r="J535">
        <v>4.77843042694942</v>
      </c>
      <c r="K535">
        <v>340.73529496566516</v>
      </c>
      <c r="L535">
        <v>4.3508528845868417</v>
      </c>
      <c r="M535">
        <v>344.1731046464879</v>
      </c>
      <c r="N535">
        <v>4.8244240127940339</v>
      </c>
      <c r="O535">
        <v>321.89921629903847</v>
      </c>
      <c r="P535">
        <v>4.3919374102500717</v>
      </c>
    </row>
    <row r="536" spans="4:16" x14ac:dyDescent="0.55000000000000004">
      <c r="D536">
        <v>529</v>
      </c>
      <c r="E536">
        <v>7.9200516192905592</v>
      </c>
      <c r="F536">
        <v>2.0799483807094403</v>
      </c>
      <c r="G536">
        <v>4.499329332189915</v>
      </c>
      <c r="H536">
        <v>5.500670667810085</v>
      </c>
      <c r="I536">
        <v>421.08142696375876</v>
      </c>
      <c r="J536">
        <v>4.8460360024301545</v>
      </c>
      <c r="K536">
        <v>386.11939896157594</v>
      </c>
      <c r="L536">
        <v>4.4130388208162179</v>
      </c>
      <c r="M536">
        <v>289.21359438666548</v>
      </c>
      <c r="N536">
        <v>4.9125340637073673</v>
      </c>
      <c r="O536">
        <v>272.93703043392253</v>
      </c>
      <c r="P536">
        <v>4.4727047385761001</v>
      </c>
    </row>
    <row r="537" spans="4:16" x14ac:dyDescent="0.55000000000000004">
      <c r="D537">
        <v>530</v>
      </c>
      <c r="E537">
        <v>5.4617637580148539</v>
      </c>
      <c r="F537">
        <v>4.5382362419851443</v>
      </c>
      <c r="G537">
        <v>5.0249984823990124</v>
      </c>
      <c r="H537">
        <v>4.9750015176009859</v>
      </c>
      <c r="I537">
        <v>270.15738914134033</v>
      </c>
      <c r="J537">
        <v>4.8341160464315189</v>
      </c>
      <c r="K537">
        <v>250.75987314737856</v>
      </c>
      <c r="L537">
        <v>4.4002459669426806</v>
      </c>
      <c r="M537">
        <v>298.55349491306623</v>
      </c>
      <c r="N537">
        <v>4.8473814225829983</v>
      </c>
      <c r="O537">
        <v>281.32178809633496</v>
      </c>
      <c r="P537">
        <v>4.4121814776030259</v>
      </c>
    </row>
    <row r="538" spans="4:16" x14ac:dyDescent="0.55000000000000004">
      <c r="D538">
        <v>531</v>
      </c>
      <c r="E538">
        <v>7.7846397994054062</v>
      </c>
      <c r="F538">
        <v>2.2153602005945943</v>
      </c>
      <c r="G538">
        <v>5.515195894659759</v>
      </c>
      <c r="H538">
        <v>4.4848041053402392</v>
      </c>
      <c r="I538">
        <v>415.5427460677468</v>
      </c>
      <c r="J538">
        <v>4.8950485739062568</v>
      </c>
      <c r="K538">
        <v>381.32585353726228</v>
      </c>
      <c r="L538">
        <v>4.4579098732146161</v>
      </c>
      <c r="M538">
        <v>344.4002171228949</v>
      </c>
      <c r="N538">
        <v>4.9256448995398454</v>
      </c>
      <c r="O538">
        <v>323.03925293092982</v>
      </c>
      <c r="P538">
        <v>4.4852592452540101</v>
      </c>
    </row>
    <row r="539" spans="4:16" x14ac:dyDescent="0.55000000000000004">
      <c r="D539">
        <v>532</v>
      </c>
      <c r="E539">
        <v>6.7969081652149708</v>
      </c>
      <c r="F539">
        <v>3.2030918347850283</v>
      </c>
      <c r="G539">
        <v>6.6072119156807751</v>
      </c>
      <c r="H539">
        <v>3.3927880843192249</v>
      </c>
      <c r="I539">
        <v>351.69291289387667</v>
      </c>
      <c r="J539">
        <v>4.79188441364985</v>
      </c>
      <c r="K539">
        <v>324.10741730619617</v>
      </c>
      <c r="L539">
        <v>4.3624275533852286</v>
      </c>
      <c r="M539">
        <v>391.87744607542595</v>
      </c>
      <c r="N539">
        <v>4.7976927525652231</v>
      </c>
      <c r="O539">
        <v>365.33998941094723</v>
      </c>
      <c r="P539">
        <v>4.3676157113784866</v>
      </c>
    </row>
    <row r="540" spans="4:16" x14ac:dyDescent="0.55000000000000004">
      <c r="D540">
        <v>533</v>
      </c>
      <c r="E540">
        <v>6.8527847151893839</v>
      </c>
      <c r="F540">
        <v>3.1472152848106183</v>
      </c>
      <c r="G540">
        <v>5.9030588177032817</v>
      </c>
      <c r="H540">
        <v>4.0969411822967183</v>
      </c>
      <c r="I540">
        <v>355.31916132893809</v>
      </c>
      <c r="J540">
        <v>4.7326574854923091</v>
      </c>
      <c r="K540">
        <v>327.19326759638278</v>
      </c>
      <c r="L540">
        <v>4.3080387581708148</v>
      </c>
      <c r="M540">
        <v>356.07555841242521</v>
      </c>
      <c r="N540">
        <v>4.7697084246476313</v>
      </c>
      <c r="O540">
        <v>333.07362707827775</v>
      </c>
      <c r="P540">
        <v>4.3412344225734056</v>
      </c>
    </row>
    <row r="541" spans="4:16" x14ac:dyDescent="0.55000000000000004">
      <c r="D541">
        <v>534</v>
      </c>
      <c r="E541">
        <v>5.8998043653043428</v>
      </c>
      <c r="F541">
        <v>4.1001956346956545</v>
      </c>
      <c r="G541">
        <v>5.4692549434373063</v>
      </c>
      <c r="H541">
        <v>4.5307450565626919</v>
      </c>
      <c r="I541">
        <v>290.31791520005197</v>
      </c>
      <c r="J541">
        <v>4.8614630948586264</v>
      </c>
      <c r="K541">
        <v>268.6667188872857</v>
      </c>
      <c r="L541">
        <v>4.4260141569748335</v>
      </c>
      <c r="M541">
        <v>319.13141429129206</v>
      </c>
      <c r="N541">
        <v>4.8715730884656407</v>
      </c>
      <c r="O541">
        <v>299.6359763189534</v>
      </c>
      <c r="P541">
        <v>4.4350954435228651</v>
      </c>
    </row>
    <row r="542" spans="4:16" x14ac:dyDescent="0.55000000000000004">
      <c r="D542">
        <v>535</v>
      </c>
      <c r="E542">
        <v>5.1584286948275118</v>
      </c>
      <c r="F542">
        <v>4.8415713051724882</v>
      </c>
      <c r="G542">
        <v>5.5093659551411367</v>
      </c>
      <c r="H542">
        <v>4.4906340448588651</v>
      </c>
      <c r="I542">
        <v>253.57759802868557</v>
      </c>
      <c r="J542">
        <v>4.8754302056608356</v>
      </c>
      <c r="K542">
        <v>235.37231793175911</v>
      </c>
      <c r="L542">
        <v>4.4385928554505849</v>
      </c>
      <c r="M542">
        <v>320.82894195408073</v>
      </c>
      <c r="N542">
        <v>4.8669554966109549</v>
      </c>
      <c r="O542">
        <v>300.92575043407987</v>
      </c>
      <c r="P542">
        <v>4.4309522440434881</v>
      </c>
    </row>
    <row r="543" spans="4:16" x14ac:dyDescent="0.55000000000000004">
      <c r="D543">
        <v>536</v>
      </c>
      <c r="E543">
        <v>7.2695972079151323</v>
      </c>
      <c r="F543">
        <v>2.7304027920848677</v>
      </c>
      <c r="G543">
        <v>6.57129230264949</v>
      </c>
      <c r="H543">
        <v>3.4287076973505091</v>
      </c>
      <c r="I543">
        <v>369.3409185319303</v>
      </c>
      <c r="J543">
        <v>4.8057330206011555</v>
      </c>
      <c r="K543">
        <v>339.49925180512088</v>
      </c>
      <c r="L543">
        <v>4.3756485450936751</v>
      </c>
      <c r="M543">
        <v>383.86267018477974</v>
      </c>
      <c r="N543">
        <v>4.8243939698622285</v>
      </c>
      <c r="O543">
        <v>357.78680881697011</v>
      </c>
      <c r="P543">
        <v>4.3923287454168713</v>
      </c>
    </row>
    <row r="544" spans="4:16" x14ac:dyDescent="0.55000000000000004">
      <c r="D544">
        <v>537</v>
      </c>
      <c r="E544">
        <v>7.0333188748940767</v>
      </c>
      <c r="F544">
        <v>2.9666811251059189</v>
      </c>
      <c r="G544">
        <v>6.0394102933431464</v>
      </c>
      <c r="H544">
        <v>3.9605897066568541</v>
      </c>
      <c r="I544">
        <v>344.04228526291462</v>
      </c>
      <c r="J544">
        <v>4.8315626550644808</v>
      </c>
      <c r="K544">
        <v>316.38002407711849</v>
      </c>
      <c r="L544">
        <v>4.3993249555330198</v>
      </c>
      <c r="M544">
        <v>345.42418819926422</v>
      </c>
      <c r="N544">
        <v>4.8553652617090712</v>
      </c>
      <c r="O544">
        <v>322.7761153686526</v>
      </c>
      <c r="P544">
        <v>4.4206726994769134</v>
      </c>
    </row>
    <row r="545" spans="4:16" x14ac:dyDescent="0.55000000000000004">
      <c r="D545">
        <v>538</v>
      </c>
      <c r="E545">
        <v>7.4006861475296839</v>
      </c>
      <c r="F545">
        <v>2.5993138524703188</v>
      </c>
      <c r="G545">
        <v>6.5578277783867458</v>
      </c>
      <c r="H545">
        <v>3.442172221613256</v>
      </c>
      <c r="I545">
        <v>367.52432480535197</v>
      </c>
      <c r="J545">
        <v>4.8610675302445427</v>
      </c>
      <c r="K545">
        <v>337.50609575326314</v>
      </c>
      <c r="L545">
        <v>4.4266344170510434</v>
      </c>
      <c r="M545">
        <v>375.6672663042022</v>
      </c>
      <c r="N545">
        <v>4.8768904407888805</v>
      </c>
      <c r="O545">
        <v>350.04314691956677</v>
      </c>
      <c r="P545">
        <v>4.4407962552056857</v>
      </c>
    </row>
    <row r="546" spans="4:16" x14ac:dyDescent="0.55000000000000004">
      <c r="D546">
        <v>539</v>
      </c>
      <c r="E546">
        <v>6.1696596037600742</v>
      </c>
      <c r="F546">
        <v>3.8303403962399236</v>
      </c>
      <c r="G546">
        <v>8.0366468427820621</v>
      </c>
      <c r="H546">
        <v>1.9633531572179408</v>
      </c>
      <c r="I546">
        <v>297.37660036851855</v>
      </c>
      <c r="J546">
        <v>4.7819703813046504</v>
      </c>
      <c r="K546">
        <v>274.52374727661277</v>
      </c>
      <c r="L546">
        <v>4.3529448829289343</v>
      </c>
      <c r="M546">
        <v>437.36508494121711</v>
      </c>
      <c r="N546">
        <v>4.7159929138306005</v>
      </c>
      <c r="O546">
        <v>404.97685747864585</v>
      </c>
      <c r="P546">
        <v>4.2939585305445629</v>
      </c>
    </row>
    <row r="547" spans="4:16" x14ac:dyDescent="0.55000000000000004">
      <c r="D547">
        <v>540</v>
      </c>
      <c r="E547">
        <v>7.3124747386175777</v>
      </c>
      <c r="F547">
        <v>2.6875252613824232</v>
      </c>
      <c r="G547">
        <v>6.3987671647307023</v>
      </c>
      <c r="H547">
        <v>3.6012328352692977</v>
      </c>
      <c r="I547">
        <v>349.22352481226204</v>
      </c>
      <c r="J547">
        <v>4.7794286361044023</v>
      </c>
      <c r="K547">
        <v>320.93872064938978</v>
      </c>
      <c r="L547">
        <v>4.3515127833880562</v>
      </c>
      <c r="M547">
        <v>355.58738369640793</v>
      </c>
      <c r="N547">
        <v>4.8069894459503004</v>
      </c>
      <c r="O547">
        <v>331.9168750707787</v>
      </c>
      <c r="P547">
        <v>4.3761591805791511</v>
      </c>
    </row>
    <row r="548" spans="4:16" x14ac:dyDescent="0.55000000000000004">
      <c r="D548">
        <v>541</v>
      </c>
      <c r="E548">
        <v>8.0511267000042661</v>
      </c>
      <c r="F548">
        <v>1.9488732999957366</v>
      </c>
      <c r="G548">
        <v>6.0759348192289382</v>
      </c>
      <c r="H548">
        <v>3.9240651807710623</v>
      </c>
      <c r="I548">
        <v>408.40715620635319</v>
      </c>
      <c r="J548">
        <v>4.734294403490706</v>
      </c>
      <c r="K548">
        <v>374.12719504287713</v>
      </c>
      <c r="L548">
        <v>4.310815922494875</v>
      </c>
      <c r="M548">
        <v>358.21217368435396</v>
      </c>
      <c r="N548">
        <v>4.7994802534291301</v>
      </c>
      <c r="O548">
        <v>334.39271613645576</v>
      </c>
      <c r="P548">
        <v>4.3691962737765611</v>
      </c>
    </row>
    <row r="549" spans="4:16" x14ac:dyDescent="0.55000000000000004">
      <c r="D549">
        <v>542</v>
      </c>
      <c r="E549">
        <v>6.7237049852767221</v>
      </c>
      <c r="F549">
        <v>3.276295014723277</v>
      </c>
      <c r="G549">
        <v>5.7963359171091033</v>
      </c>
      <c r="H549">
        <v>4.2036640828908967</v>
      </c>
      <c r="I549">
        <v>331.81649611351008</v>
      </c>
      <c r="J549">
        <v>4.8915681276512286</v>
      </c>
      <c r="K549">
        <v>305.97338144159619</v>
      </c>
      <c r="L549">
        <v>4.4542325293766796</v>
      </c>
      <c r="M549">
        <v>336.05060432062896</v>
      </c>
      <c r="N549">
        <v>4.906523626835078</v>
      </c>
      <c r="O549">
        <v>315.03864011304461</v>
      </c>
      <c r="P549">
        <v>4.4676092924320328</v>
      </c>
    </row>
    <row r="550" spans="4:16" x14ac:dyDescent="0.55000000000000004">
      <c r="D550">
        <v>543</v>
      </c>
      <c r="E550">
        <v>6.5987180500388538</v>
      </c>
      <c r="F550">
        <v>3.4012819499611444</v>
      </c>
      <c r="G550">
        <v>7.6353777404602443</v>
      </c>
      <c r="H550">
        <v>2.3646222595397548</v>
      </c>
      <c r="I550">
        <v>332.40833381569439</v>
      </c>
      <c r="J550">
        <v>4.9178602435101535</v>
      </c>
      <c r="K550">
        <v>306.48878695751614</v>
      </c>
      <c r="L550">
        <v>4.4784844131099169</v>
      </c>
      <c r="M550">
        <v>434.62973770259623</v>
      </c>
      <c r="N550">
        <v>4.9049560742626817</v>
      </c>
      <c r="O550">
        <v>403.10198726291503</v>
      </c>
      <c r="P550">
        <v>4.4669660589268343</v>
      </c>
    </row>
    <row r="551" spans="4:16" x14ac:dyDescent="0.55000000000000004">
      <c r="D551">
        <v>544</v>
      </c>
      <c r="E551">
        <v>5.9991517058046924</v>
      </c>
      <c r="F551">
        <v>4.0008482941953076</v>
      </c>
      <c r="G551">
        <v>6.1528357549116226</v>
      </c>
      <c r="H551">
        <v>3.8471642450883778</v>
      </c>
      <c r="I551">
        <v>292.65262314497897</v>
      </c>
      <c r="J551">
        <v>4.7343941196838362</v>
      </c>
      <c r="K551">
        <v>270.65180709105692</v>
      </c>
      <c r="L551">
        <v>4.3085809566514959</v>
      </c>
      <c r="M551">
        <v>350.14968978244497</v>
      </c>
      <c r="N551">
        <v>4.7275899264986396</v>
      </c>
      <c r="O551">
        <v>327.37316775757625</v>
      </c>
      <c r="P551">
        <v>4.3024807792549353</v>
      </c>
    </row>
    <row r="552" spans="4:16" x14ac:dyDescent="0.55000000000000004">
      <c r="D552">
        <v>545</v>
      </c>
      <c r="E552">
        <v>7.3050951360697027</v>
      </c>
      <c r="F552">
        <v>2.6949048639302982</v>
      </c>
      <c r="G552">
        <v>5.4885448799852066</v>
      </c>
      <c r="H552">
        <v>4.5114551200147925</v>
      </c>
      <c r="I552">
        <v>353.84493828867909</v>
      </c>
      <c r="J552">
        <v>4.8788581659009056</v>
      </c>
      <c r="K552">
        <v>325.31127102962887</v>
      </c>
      <c r="L552">
        <v>4.4428462307248591</v>
      </c>
      <c r="M552">
        <v>315.85469294762663</v>
      </c>
      <c r="N552">
        <v>4.9089823772432988</v>
      </c>
      <c r="O552">
        <v>296.54776960121637</v>
      </c>
      <c r="P552">
        <v>4.4698115875539006</v>
      </c>
    </row>
    <row r="553" spans="4:16" x14ac:dyDescent="0.55000000000000004">
      <c r="D553">
        <v>546</v>
      </c>
      <c r="E553">
        <v>6.0517645755460938</v>
      </c>
      <c r="F553">
        <v>3.9482354244539088</v>
      </c>
      <c r="G553">
        <v>6.4621264267651428</v>
      </c>
      <c r="H553">
        <v>3.5378735732348572</v>
      </c>
      <c r="I553">
        <v>311.27557012643831</v>
      </c>
      <c r="J553">
        <v>4.873679714579235</v>
      </c>
      <c r="K553">
        <v>287.98321665477852</v>
      </c>
      <c r="L553">
        <v>4.437351420600395</v>
      </c>
      <c r="M553">
        <v>382.38273938290655</v>
      </c>
      <c r="N553">
        <v>4.8651141093702615</v>
      </c>
      <c r="O553">
        <v>356.86507048325797</v>
      </c>
      <c r="P553">
        <v>4.4296888816998399</v>
      </c>
    </row>
    <row r="554" spans="4:16" x14ac:dyDescent="0.55000000000000004">
      <c r="D554">
        <v>547</v>
      </c>
      <c r="E554">
        <v>5.0177906750065961</v>
      </c>
      <c r="F554">
        <v>4.9822093249934047</v>
      </c>
      <c r="G554">
        <v>6.762081638344581</v>
      </c>
      <c r="H554">
        <v>3.237918361655419</v>
      </c>
      <c r="I554">
        <v>240.01014889714261</v>
      </c>
      <c r="J554">
        <v>4.9276493060902054</v>
      </c>
      <c r="K554">
        <v>223.33685241143633</v>
      </c>
      <c r="L554">
        <v>4.4868947662771648</v>
      </c>
      <c r="M554">
        <v>373.44279105895231</v>
      </c>
      <c r="N554">
        <v>4.9024986631575125</v>
      </c>
      <c r="O554">
        <v>348.15006831123941</v>
      </c>
      <c r="P554">
        <v>4.4643424362659303</v>
      </c>
    </row>
    <row r="555" spans="4:16" x14ac:dyDescent="0.55000000000000004">
      <c r="D555">
        <v>548</v>
      </c>
      <c r="E555">
        <v>6.0915715962547132</v>
      </c>
      <c r="F555">
        <v>3.908428403745285</v>
      </c>
      <c r="G555">
        <v>6.5152750766001697</v>
      </c>
      <c r="H555">
        <v>3.4847249233998312</v>
      </c>
      <c r="I555">
        <v>280.41635443791705</v>
      </c>
      <c r="J555">
        <v>4.8543924752620367</v>
      </c>
      <c r="K555">
        <v>258.93696301632377</v>
      </c>
      <c r="L555">
        <v>4.4197650716904269</v>
      </c>
      <c r="M555">
        <v>349.9209081386698</v>
      </c>
      <c r="N555">
        <v>4.8442646430563236</v>
      </c>
      <c r="O555">
        <v>326.44002647692122</v>
      </c>
      <c r="P555">
        <v>4.4106765228041205</v>
      </c>
    </row>
    <row r="556" spans="4:16" x14ac:dyDescent="0.55000000000000004">
      <c r="D556">
        <v>549</v>
      </c>
      <c r="E556">
        <v>6.4484056301442125</v>
      </c>
      <c r="F556">
        <v>3.5515943698557884</v>
      </c>
      <c r="G556">
        <v>7.3965623141992864</v>
      </c>
      <c r="H556">
        <v>2.6034376858007153</v>
      </c>
      <c r="I556">
        <v>328.43783702650717</v>
      </c>
      <c r="J556">
        <v>4.8729617908064888</v>
      </c>
      <c r="K556">
        <v>302.71904684536895</v>
      </c>
      <c r="L556">
        <v>4.4371290181242431</v>
      </c>
      <c r="M556">
        <v>426.73047684084059</v>
      </c>
      <c r="N556">
        <v>4.8542824250708527</v>
      </c>
      <c r="O556">
        <v>395.95698556205502</v>
      </c>
      <c r="P556">
        <v>4.4204047869774428</v>
      </c>
    </row>
    <row r="557" spans="4:16" x14ac:dyDescent="0.55000000000000004">
      <c r="D557">
        <v>550</v>
      </c>
      <c r="E557">
        <v>6.2589370229719661</v>
      </c>
      <c r="F557">
        <v>3.7410629770280335</v>
      </c>
      <c r="G557">
        <v>5.1538750666571405</v>
      </c>
      <c r="H557">
        <v>4.8461249333428587</v>
      </c>
      <c r="I557">
        <v>334.48334873494127</v>
      </c>
      <c r="J557">
        <v>4.8047788228258934</v>
      </c>
      <c r="K557">
        <v>308.95613014682243</v>
      </c>
      <c r="L557">
        <v>4.373897102068165</v>
      </c>
      <c r="M557">
        <v>325.42782183777859</v>
      </c>
      <c r="N557">
        <v>4.8392465759236334</v>
      </c>
      <c r="O557">
        <v>305.9030085332916</v>
      </c>
      <c r="P557">
        <v>4.4048615518481808</v>
      </c>
    </row>
    <row r="558" spans="4:16" x14ac:dyDescent="0.55000000000000004">
      <c r="D558">
        <v>551</v>
      </c>
      <c r="E558">
        <v>4.447423122640239</v>
      </c>
      <c r="F558">
        <v>5.552576877359761</v>
      </c>
      <c r="G558">
        <v>7.1539060859173871</v>
      </c>
      <c r="H558">
        <v>2.8460939140826125</v>
      </c>
      <c r="I558">
        <v>215.01998764824569</v>
      </c>
      <c r="J558">
        <v>4.9628748863025356</v>
      </c>
      <c r="K558">
        <v>200.83557480889189</v>
      </c>
      <c r="L558">
        <v>4.5195432717151807</v>
      </c>
      <c r="M558">
        <v>395.87057624449392</v>
      </c>
      <c r="N558">
        <v>4.9402823681271411</v>
      </c>
      <c r="O558">
        <v>368.26181758402851</v>
      </c>
      <c r="P558">
        <v>4.4992685862695438</v>
      </c>
    </row>
    <row r="559" spans="4:16" x14ac:dyDescent="0.55000000000000004">
      <c r="D559">
        <v>552</v>
      </c>
      <c r="E559">
        <v>7.3070510317472577</v>
      </c>
      <c r="F559">
        <v>2.6929489682527441</v>
      </c>
      <c r="G559">
        <v>6.9265218386271732</v>
      </c>
      <c r="H559">
        <v>3.073478161372825</v>
      </c>
      <c r="I559">
        <v>349.38678031169252</v>
      </c>
      <c r="J559">
        <v>4.7535214548507989</v>
      </c>
      <c r="K559">
        <v>320.82976236262812</v>
      </c>
      <c r="L559">
        <v>4.3278866211077691</v>
      </c>
      <c r="M559">
        <v>381.19176990035277</v>
      </c>
      <c r="N559">
        <v>4.7663573145566538</v>
      </c>
      <c r="O559">
        <v>354.53367971600289</v>
      </c>
      <c r="P559">
        <v>4.3393828624331778</v>
      </c>
    </row>
    <row r="560" spans="4:16" x14ac:dyDescent="0.55000000000000004">
      <c r="D560">
        <v>553</v>
      </c>
      <c r="E560">
        <v>5.9843913689772146</v>
      </c>
      <c r="F560">
        <v>4.0156086310227854</v>
      </c>
      <c r="G560">
        <v>5.9824217672791065</v>
      </c>
      <c r="H560">
        <v>4.0175782327208953</v>
      </c>
      <c r="I560">
        <v>302.69167502472067</v>
      </c>
      <c r="J560">
        <v>4.8626103311906608</v>
      </c>
      <c r="K560">
        <v>280.18968040418423</v>
      </c>
      <c r="L560">
        <v>4.427043152088344</v>
      </c>
      <c r="M560">
        <v>352.59205218918521</v>
      </c>
      <c r="N560">
        <v>4.8626555493103174</v>
      </c>
      <c r="O560">
        <v>330.10046960970948</v>
      </c>
      <c r="P560">
        <v>4.4270836442541972</v>
      </c>
    </row>
    <row r="561" spans="4:16" x14ac:dyDescent="0.55000000000000004">
      <c r="D561">
        <v>554</v>
      </c>
      <c r="E561">
        <v>7.0040008451743789</v>
      </c>
      <c r="F561">
        <v>2.9959991548256202</v>
      </c>
      <c r="G561">
        <v>6.4319944624810272</v>
      </c>
      <c r="H561">
        <v>3.5680055375189745</v>
      </c>
      <c r="I561">
        <v>338.51400527580103</v>
      </c>
      <c r="J561">
        <v>4.8951812784546069</v>
      </c>
      <c r="K561">
        <v>311.31930996303942</v>
      </c>
      <c r="L561">
        <v>4.4578212642756796</v>
      </c>
      <c r="M561">
        <v>360.86806748550822</v>
      </c>
      <c r="N561">
        <v>4.9037416683053641</v>
      </c>
      <c r="O561">
        <v>336.54440266159457</v>
      </c>
      <c r="P561">
        <v>4.4654926576870908</v>
      </c>
    </row>
    <row r="562" spans="4:16" x14ac:dyDescent="0.55000000000000004">
      <c r="D562">
        <v>555</v>
      </c>
      <c r="E562">
        <v>6.7971937386341388</v>
      </c>
      <c r="F562">
        <v>3.2028062613658603</v>
      </c>
      <c r="G562">
        <v>6.6247562638304558</v>
      </c>
      <c r="H562">
        <v>3.3752437361695451</v>
      </c>
      <c r="I562">
        <v>343.319388338919</v>
      </c>
      <c r="J562">
        <v>4.8262147242232007</v>
      </c>
      <c r="K562">
        <v>316.43426628618107</v>
      </c>
      <c r="L562">
        <v>4.3940430585384087</v>
      </c>
      <c r="M562">
        <v>384.60974570510405</v>
      </c>
      <c r="N562">
        <v>4.8306234692531813</v>
      </c>
      <c r="O562">
        <v>358.65782945572903</v>
      </c>
      <c r="P562">
        <v>4.3979794229414786</v>
      </c>
    </row>
    <row r="563" spans="4:16" x14ac:dyDescent="0.55000000000000004">
      <c r="D563">
        <v>556</v>
      </c>
      <c r="E563">
        <v>5.8814642610375083</v>
      </c>
      <c r="F563">
        <v>4.1185357389624899</v>
      </c>
      <c r="G563">
        <v>6.8748553122280613</v>
      </c>
      <c r="H563">
        <v>3.1251446877719391</v>
      </c>
      <c r="I563">
        <v>277.85963850840415</v>
      </c>
      <c r="J563">
        <v>4.8631451214709562</v>
      </c>
      <c r="K563">
        <v>257.12823254426365</v>
      </c>
      <c r="L563">
        <v>4.4275753312482724</v>
      </c>
      <c r="M563">
        <v>374.79068597048609</v>
      </c>
      <c r="N563">
        <v>4.8400300593693064</v>
      </c>
      <c r="O563">
        <v>349.14050783194244</v>
      </c>
      <c r="P563">
        <v>4.4068829238799738</v>
      </c>
    </row>
    <row r="564" spans="4:16" x14ac:dyDescent="0.55000000000000004">
      <c r="D564">
        <v>557</v>
      </c>
      <c r="E564">
        <v>7.63522585411949</v>
      </c>
      <c r="F564">
        <v>2.3647741458805092</v>
      </c>
      <c r="G564">
        <v>7.0353051976496195</v>
      </c>
      <c r="H564">
        <v>2.9646948023503805</v>
      </c>
      <c r="I564">
        <v>376.07166759692382</v>
      </c>
      <c r="J564">
        <v>4.7713732087471401</v>
      </c>
      <c r="K564">
        <v>345.31362195471581</v>
      </c>
      <c r="L564">
        <v>4.3442913939319849</v>
      </c>
      <c r="M564">
        <v>396.5226842380701</v>
      </c>
      <c r="N564">
        <v>4.7893370433887856</v>
      </c>
      <c r="O564">
        <v>368.98199894042318</v>
      </c>
      <c r="P564">
        <v>4.3602992855041043</v>
      </c>
    </row>
    <row r="565" spans="4:16" x14ac:dyDescent="0.55000000000000004">
      <c r="D565">
        <v>558</v>
      </c>
      <c r="E565">
        <v>5.5608834951849495</v>
      </c>
      <c r="F565">
        <v>4.4391165048150505</v>
      </c>
      <c r="G565">
        <v>6.0543192700461494</v>
      </c>
      <c r="H565">
        <v>3.9456807299538497</v>
      </c>
      <c r="I565">
        <v>286.92182024063078</v>
      </c>
      <c r="J565">
        <v>4.8895378051742142</v>
      </c>
      <c r="K565">
        <v>265.95618223226427</v>
      </c>
      <c r="L565">
        <v>4.4518286984305719</v>
      </c>
      <c r="M565">
        <v>362.38135213292992</v>
      </c>
      <c r="N565">
        <v>4.8797361255051603</v>
      </c>
      <c r="O565">
        <v>338.81571647756567</v>
      </c>
      <c r="P565">
        <v>4.4430279933349688</v>
      </c>
    </row>
    <row r="566" spans="4:16" x14ac:dyDescent="0.55000000000000004">
      <c r="D566">
        <v>559</v>
      </c>
      <c r="E566">
        <v>7.7250254354551986</v>
      </c>
      <c r="F566">
        <v>2.2749745645447992</v>
      </c>
      <c r="G566">
        <v>5.5744916832655571</v>
      </c>
      <c r="H566">
        <v>4.4255083167344438</v>
      </c>
      <c r="I566">
        <v>380.66266535902258</v>
      </c>
      <c r="J566">
        <v>4.6067742130766103</v>
      </c>
      <c r="K566">
        <v>349.4832033745638</v>
      </c>
      <c r="L566">
        <v>4.1932020203381084</v>
      </c>
      <c r="M566">
        <v>324.69176378815791</v>
      </c>
      <c r="N566">
        <v>4.7162425033852564</v>
      </c>
      <c r="O566">
        <v>304.86663895816463</v>
      </c>
      <c r="P566">
        <v>4.2909412429738136</v>
      </c>
    </row>
    <row r="567" spans="4:16" x14ac:dyDescent="0.55000000000000004">
      <c r="D567">
        <v>560</v>
      </c>
      <c r="E567">
        <v>6.2234894605918107</v>
      </c>
      <c r="F567">
        <v>3.7765105394081893</v>
      </c>
      <c r="G567">
        <v>5.5338032926543219</v>
      </c>
      <c r="H567">
        <v>4.4661967073456781</v>
      </c>
      <c r="I567">
        <v>304.85449155326609</v>
      </c>
      <c r="J567">
        <v>4.8804994629384701</v>
      </c>
      <c r="K567">
        <v>281.50910506719748</v>
      </c>
      <c r="L567">
        <v>4.4438699891931632</v>
      </c>
      <c r="M567">
        <v>321.07056255503011</v>
      </c>
      <c r="N567">
        <v>4.8937424945197581</v>
      </c>
      <c r="O567">
        <v>301.15999199133773</v>
      </c>
      <c r="P567">
        <v>4.4557666002400511</v>
      </c>
    </row>
    <row r="568" spans="4:16" x14ac:dyDescent="0.55000000000000004">
      <c r="D568">
        <v>561</v>
      </c>
      <c r="E568">
        <v>7.2984417508087063</v>
      </c>
      <c r="F568">
        <v>2.7015582491912959</v>
      </c>
      <c r="G568">
        <v>5.868496453635041</v>
      </c>
      <c r="H568">
        <v>4.131503546364959</v>
      </c>
      <c r="I568">
        <v>366.5391940739072</v>
      </c>
      <c r="J568">
        <v>4.8171494248478828</v>
      </c>
      <c r="K568">
        <v>337.03615813415746</v>
      </c>
      <c r="L568">
        <v>4.3860865357582179</v>
      </c>
      <c r="M568">
        <v>344.72509803926636</v>
      </c>
      <c r="N568">
        <v>4.8529743761116642</v>
      </c>
      <c r="O568">
        <v>322.84474918887696</v>
      </c>
      <c r="P568">
        <v>4.4181088576142056</v>
      </c>
    </row>
    <row r="569" spans="4:16" x14ac:dyDescent="0.55000000000000004">
      <c r="D569">
        <v>562</v>
      </c>
      <c r="E569">
        <v>8.0763662279548676</v>
      </c>
      <c r="F569">
        <v>1.9236337720451313</v>
      </c>
      <c r="G569">
        <v>5.5724233676187538</v>
      </c>
      <c r="H569">
        <v>4.4275766323812444</v>
      </c>
      <c r="I569">
        <v>381.3254076973252</v>
      </c>
      <c r="J569">
        <v>4.7041129185970822</v>
      </c>
      <c r="K569">
        <v>349.55562198333809</v>
      </c>
      <c r="L569">
        <v>4.2829838068263335</v>
      </c>
      <c r="M569">
        <v>313.10181491824216</v>
      </c>
      <c r="N569">
        <v>4.7958477810380753</v>
      </c>
      <c r="O569">
        <v>293.98898244777467</v>
      </c>
      <c r="P569">
        <v>4.3648975850199028</v>
      </c>
    </row>
    <row r="570" spans="4:16" x14ac:dyDescent="0.55000000000000004">
      <c r="D570">
        <v>563</v>
      </c>
      <c r="E570">
        <v>7.1585931715839513</v>
      </c>
      <c r="F570">
        <v>2.8414068284160461</v>
      </c>
      <c r="G570">
        <v>5.1898828088446223</v>
      </c>
      <c r="H570">
        <v>4.8101171911553777</v>
      </c>
      <c r="I570">
        <v>339.58419249714461</v>
      </c>
      <c r="J570">
        <v>4.6637596854931482</v>
      </c>
      <c r="K570">
        <v>312.35803657401078</v>
      </c>
      <c r="L570">
        <v>4.2449370664150798</v>
      </c>
      <c r="M570">
        <v>296.19392673300291</v>
      </c>
      <c r="N570">
        <v>4.7562303393875522</v>
      </c>
      <c r="O570">
        <v>278.63196221952171</v>
      </c>
      <c r="P570">
        <v>4.3278386919776839</v>
      </c>
    </row>
    <row r="571" spans="4:16" x14ac:dyDescent="0.55000000000000004">
      <c r="D571">
        <v>564</v>
      </c>
      <c r="E571">
        <v>6.5160215110005266</v>
      </c>
      <c r="F571">
        <v>3.483978488999472</v>
      </c>
      <c r="G571">
        <v>5.9776673258160846</v>
      </c>
      <c r="H571">
        <v>4.0223326741839163</v>
      </c>
      <c r="I571">
        <v>340.74265016293435</v>
      </c>
      <c r="J571">
        <v>4.7391299372899871</v>
      </c>
      <c r="K571">
        <v>314.58889170326086</v>
      </c>
      <c r="L571">
        <v>4.3133723824422878</v>
      </c>
      <c r="M571">
        <v>362.59046689030936</v>
      </c>
      <c r="N571">
        <v>4.7606830414060761</v>
      </c>
      <c r="O571">
        <v>339.42148675736195</v>
      </c>
      <c r="P571">
        <v>4.3326403622603289</v>
      </c>
    </row>
    <row r="572" spans="4:16" x14ac:dyDescent="0.55000000000000004">
      <c r="D572">
        <v>565</v>
      </c>
      <c r="E572">
        <v>6.0111054649500399</v>
      </c>
      <c r="F572">
        <v>3.9888945350499614</v>
      </c>
      <c r="G572">
        <v>6.0027857732291574</v>
      </c>
      <c r="H572">
        <v>3.9972142267708426</v>
      </c>
      <c r="I572">
        <v>287.01113632363553</v>
      </c>
      <c r="J572">
        <v>4.9216074290032923</v>
      </c>
      <c r="K572">
        <v>265.38971612125744</v>
      </c>
      <c r="L572">
        <v>4.4817322997097877</v>
      </c>
      <c r="M572">
        <v>336.61389754807323</v>
      </c>
      <c r="N572">
        <v>4.9217159285176821</v>
      </c>
      <c r="O572">
        <v>315.03337188877805</v>
      </c>
      <c r="P572">
        <v>4.4818296295238911</v>
      </c>
    </row>
    <row r="573" spans="4:16" x14ac:dyDescent="0.55000000000000004">
      <c r="D573">
        <v>566</v>
      </c>
      <c r="E573">
        <v>6.3210816645406132</v>
      </c>
      <c r="F573">
        <v>3.6789183354593877</v>
      </c>
      <c r="G573">
        <v>5.3065271115462176</v>
      </c>
      <c r="H573">
        <v>4.6934728884537815</v>
      </c>
      <c r="I573">
        <v>302.05801445594733</v>
      </c>
      <c r="J573">
        <v>4.8310294730826469</v>
      </c>
      <c r="K573">
        <v>278.91008984817688</v>
      </c>
      <c r="L573">
        <v>4.3981976867942141</v>
      </c>
      <c r="M573">
        <v>303.57670222202296</v>
      </c>
      <c r="N573">
        <v>4.8581498025616234</v>
      </c>
      <c r="O573">
        <v>285.37988765330601</v>
      </c>
      <c r="P573">
        <v>4.4225483772234488</v>
      </c>
    </row>
    <row r="574" spans="4:16" x14ac:dyDescent="0.55000000000000004">
      <c r="D574">
        <v>567</v>
      </c>
      <c r="E574">
        <v>5.7870333948926147</v>
      </c>
      <c r="F574">
        <v>4.2129666051073862</v>
      </c>
      <c r="G574">
        <v>5.5493426749107524</v>
      </c>
      <c r="H574">
        <v>4.4506573250892485</v>
      </c>
      <c r="I574">
        <v>276.11741473558635</v>
      </c>
      <c r="J574">
        <v>4.8335303045901403</v>
      </c>
      <c r="K574">
        <v>255.98028872019972</v>
      </c>
      <c r="L574">
        <v>4.3998901892634183</v>
      </c>
      <c r="M574">
        <v>314.77644905773934</v>
      </c>
      <c r="N574">
        <v>4.8403677114369801</v>
      </c>
      <c r="O574">
        <v>295.81566291745725</v>
      </c>
      <c r="P574">
        <v>4.4060183871641483</v>
      </c>
    </row>
    <row r="575" spans="4:16" x14ac:dyDescent="0.55000000000000004">
      <c r="D575">
        <v>568</v>
      </c>
      <c r="E575">
        <v>6.0362467919225891</v>
      </c>
      <c r="F575">
        <v>3.9637532080774109</v>
      </c>
      <c r="G575">
        <v>5.6953020757574579</v>
      </c>
      <c r="H575">
        <v>4.3046979242425412</v>
      </c>
      <c r="I575">
        <v>300.17532669217445</v>
      </c>
      <c r="J575">
        <v>4.8948324242744112</v>
      </c>
      <c r="K575">
        <v>277.78937221191484</v>
      </c>
      <c r="L575">
        <v>4.4568947495412816</v>
      </c>
      <c r="M575">
        <v>333.22055411796674</v>
      </c>
      <c r="N575">
        <v>4.9007725938021904</v>
      </c>
      <c r="O575">
        <v>312.59791691185131</v>
      </c>
      <c r="P575">
        <v>4.4622171341065178</v>
      </c>
    </row>
    <row r="576" spans="4:16" x14ac:dyDescent="0.55000000000000004">
      <c r="D576">
        <v>569</v>
      </c>
      <c r="E576">
        <v>5.5503642798996227</v>
      </c>
      <c r="F576">
        <v>4.4496357201003773</v>
      </c>
      <c r="G576">
        <v>5.377933597753275</v>
      </c>
      <c r="H576">
        <v>4.622066402246725</v>
      </c>
      <c r="I576">
        <v>281.04552983677019</v>
      </c>
      <c r="J576">
        <v>4.8724923896551262</v>
      </c>
      <c r="K576">
        <v>260.58262521800827</v>
      </c>
      <c r="L576">
        <v>4.4359955298557212</v>
      </c>
      <c r="M576">
        <v>322.31441418740013</v>
      </c>
      <c r="N576">
        <v>4.8764536114996524</v>
      </c>
      <c r="O576">
        <v>302.73012003432308</v>
      </c>
      <c r="P576">
        <v>4.439558134718264</v>
      </c>
    </row>
    <row r="577" spans="4:16" x14ac:dyDescent="0.55000000000000004">
      <c r="D577">
        <v>570</v>
      </c>
      <c r="E577">
        <v>7.9498817579471011</v>
      </c>
      <c r="F577">
        <v>2.0501182420528998</v>
      </c>
      <c r="G577">
        <v>6.6145696879307643</v>
      </c>
      <c r="H577">
        <v>3.3854303120692348</v>
      </c>
      <c r="I577">
        <v>400.3053243097412</v>
      </c>
      <c r="J577">
        <v>4.7874311147394151</v>
      </c>
      <c r="K577">
        <v>366.8897782161423</v>
      </c>
      <c r="L577">
        <v>4.3593946541951061</v>
      </c>
      <c r="M577">
        <v>383.06752788487535</v>
      </c>
      <c r="N577">
        <v>4.8231355197658949</v>
      </c>
      <c r="O577">
        <v>356.78169099925202</v>
      </c>
      <c r="P577">
        <v>4.3913130632666615</v>
      </c>
    </row>
    <row r="578" spans="4:16" x14ac:dyDescent="0.55000000000000004">
      <c r="D578">
        <v>571</v>
      </c>
      <c r="E578">
        <v>6.2426962836539932</v>
      </c>
      <c r="F578">
        <v>3.7573037163460072</v>
      </c>
      <c r="G578">
        <v>6.5848590880914948</v>
      </c>
      <c r="H578">
        <v>3.4151409119085061</v>
      </c>
      <c r="I578">
        <v>302.16013951524644</v>
      </c>
      <c r="J578">
        <v>4.8683671072244481</v>
      </c>
      <c r="K578">
        <v>278.99037481029154</v>
      </c>
      <c r="L578">
        <v>4.4326800923381517</v>
      </c>
      <c r="M578">
        <v>368.72156682614684</v>
      </c>
      <c r="N578">
        <v>4.8611522952743247</v>
      </c>
      <c r="O578">
        <v>343.82629916029066</v>
      </c>
      <c r="P578">
        <v>4.4262169776390312</v>
      </c>
    </row>
    <row r="579" spans="4:16" x14ac:dyDescent="0.55000000000000004">
      <c r="D579">
        <v>572</v>
      </c>
      <c r="E579">
        <v>6.7868581711215885</v>
      </c>
      <c r="F579">
        <v>3.2131418288784079</v>
      </c>
      <c r="G579">
        <v>5.7373062095033367</v>
      </c>
      <c r="H579">
        <v>4.2626937904966624</v>
      </c>
      <c r="I579">
        <v>315.86247905120081</v>
      </c>
      <c r="J579">
        <v>4.684908284212403</v>
      </c>
      <c r="K579">
        <v>291.16998732807241</v>
      </c>
      <c r="L579">
        <v>4.263759842008489</v>
      </c>
      <c r="M579">
        <v>317.01600603952068</v>
      </c>
      <c r="N579">
        <v>4.7336355627345492</v>
      </c>
      <c r="O579">
        <v>297.47766000715347</v>
      </c>
      <c r="P579">
        <v>4.3073455519150787</v>
      </c>
    </row>
    <row r="580" spans="4:16" x14ac:dyDescent="0.55000000000000004">
      <c r="D580">
        <v>573</v>
      </c>
      <c r="E580">
        <v>6.7608236460139191</v>
      </c>
      <c r="F580">
        <v>3.2391763539860823</v>
      </c>
      <c r="G580">
        <v>6.7687595131586829</v>
      </c>
      <c r="H580">
        <v>3.2312404868413163</v>
      </c>
      <c r="I580">
        <v>331.47867708763471</v>
      </c>
      <c r="J580">
        <v>4.8923178373228495</v>
      </c>
      <c r="K580">
        <v>305.43415595997016</v>
      </c>
      <c r="L580">
        <v>4.4549978236371111</v>
      </c>
      <c r="M580">
        <v>381.86776736426697</v>
      </c>
      <c r="N580">
        <v>4.8921914398036099</v>
      </c>
      <c r="O580">
        <v>355.78189137626043</v>
      </c>
      <c r="P580">
        <v>4.4548848604082387</v>
      </c>
    </row>
    <row r="581" spans="4:16" x14ac:dyDescent="0.55000000000000004">
      <c r="D581">
        <v>574</v>
      </c>
      <c r="E581">
        <v>5.6739075466941831</v>
      </c>
      <c r="F581">
        <v>4.3260924533058169</v>
      </c>
      <c r="G581">
        <v>5.6565613744128438</v>
      </c>
      <c r="H581">
        <v>4.343438625587158</v>
      </c>
      <c r="I581">
        <v>270.06375875827314</v>
      </c>
      <c r="J581">
        <v>4.9846137974921776</v>
      </c>
      <c r="K581">
        <v>250.65072555844296</v>
      </c>
      <c r="L581">
        <v>4.539939126518191</v>
      </c>
      <c r="M581">
        <v>319.23812449338334</v>
      </c>
      <c r="N581">
        <v>4.9846608359250855</v>
      </c>
      <c r="O581">
        <v>299.9113552267068</v>
      </c>
      <c r="P581">
        <v>4.5399812502807597</v>
      </c>
    </row>
    <row r="582" spans="4:16" x14ac:dyDescent="0.55000000000000004">
      <c r="D582">
        <v>575</v>
      </c>
      <c r="E582">
        <v>7.1282179234059964</v>
      </c>
      <c r="F582">
        <v>2.8717820765940036</v>
      </c>
      <c r="G582">
        <v>7.1282436202146133</v>
      </c>
      <c r="H582">
        <v>2.8717563797853884</v>
      </c>
      <c r="I582">
        <v>345.53471412503848</v>
      </c>
      <c r="J582">
        <v>4.9384196251250492</v>
      </c>
      <c r="K582">
        <v>317.63744287889591</v>
      </c>
      <c r="L582">
        <v>4.4976107308016848</v>
      </c>
      <c r="M582">
        <v>395.5359597574693</v>
      </c>
      <c r="N582">
        <v>4.9384194031314017</v>
      </c>
      <c r="O582">
        <v>367.6385569662217</v>
      </c>
      <c r="P582">
        <v>4.4976105322516933</v>
      </c>
    </row>
    <row r="583" spans="4:16" x14ac:dyDescent="0.55000000000000004">
      <c r="D583">
        <v>576</v>
      </c>
      <c r="E583">
        <v>6.1384660969931328</v>
      </c>
      <c r="F583">
        <v>3.8615339030068681</v>
      </c>
      <c r="G583">
        <v>6.9167456209597615</v>
      </c>
      <c r="H583">
        <v>3.0832543790402394</v>
      </c>
      <c r="I583">
        <v>308.79800219666572</v>
      </c>
      <c r="J583">
        <v>4.9218760128468144</v>
      </c>
      <c r="K583">
        <v>285.46838290358278</v>
      </c>
      <c r="L583">
        <v>4.4819975827747234</v>
      </c>
      <c r="M583">
        <v>397.94966620425737</v>
      </c>
      <c r="N583">
        <v>4.9119708836873102</v>
      </c>
      <c r="O583">
        <v>370.47164816248051</v>
      </c>
      <c r="P583">
        <v>4.4731419728745525</v>
      </c>
    </row>
    <row r="584" spans="4:16" x14ac:dyDescent="0.55000000000000004">
      <c r="D584">
        <v>577</v>
      </c>
      <c r="E584">
        <v>7.6750160284609024</v>
      </c>
      <c r="F584">
        <v>2.3249839715390985</v>
      </c>
      <c r="G584">
        <v>6.4130071904708617</v>
      </c>
      <c r="H584">
        <v>3.5869928095291357</v>
      </c>
      <c r="I584">
        <v>375.01049327218516</v>
      </c>
      <c r="J584">
        <v>4.7129056497341031</v>
      </c>
      <c r="K584">
        <v>344.26189473089948</v>
      </c>
      <c r="L584">
        <v>4.2906649751730059</v>
      </c>
      <c r="M584">
        <v>363.34722702055655</v>
      </c>
      <c r="N584">
        <v>4.7601127964070207</v>
      </c>
      <c r="O584">
        <v>339.23250996032539</v>
      </c>
      <c r="P584">
        <v>4.332793464241103</v>
      </c>
    </row>
    <row r="585" spans="4:16" x14ac:dyDescent="0.55000000000000004">
      <c r="D585">
        <v>578</v>
      </c>
      <c r="E585">
        <v>7.2292124752079658</v>
      </c>
      <c r="F585">
        <v>2.7707875247920342</v>
      </c>
      <c r="G585">
        <v>5.661397864567288</v>
      </c>
      <c r="H585">
        <v>4.3386021354327129</v>
      </c>
      <c r="I585">
        <v>341.13895335948376</v>
      </c>
      <c r="J585">
        <v>4.7882653354686457</v>
      </c>
      <c r="K585">
        <v>313.69582842930413</v>
      </c>
      <c r="L585">
        <v>4.3595177761755055</v>
      </c>
      <c r="M585">
        <v>317.15542649955682</v>
      </c>
      <c r="N585">
        <v>4.8341846803170352</v>
      </c>
      <c r="O585">
        <v>297.46423308621667</v>
      </c>
      <c r="P585">
        <v>4.400625730817576</v>
      </c>
    </row>
    <row r="586" spans="4:16" x14ac:dyDescent="0.55000000000000004">
      <c r="D586">
        <v>579</v>
      </c>
      <c r="E586">
        <v>7.58710859762909</v>
      </c>
      <c r="F586">
        <v>2.4128914023709087</v>
      </c>
      <c r="G586">
        <v>6.0542018453717521</v>
      </c>
      <c r="H586">
        <v>3.9457981546282479</v>
      </c>
      <c r="I586">
        <v>363.8404969608921</v>
      </c>
      <c r="J586">
        <v>4.9268950945128651</v>
      </c>
      <c r="K586">
        <v>333.81201014795977</v>
      </c>
      <c r="L586">
        <v>4.487147909509372</v>
      </c>
      <c r="M586">
        <v>340.32981138690354</v>
      </c>
      <c r="N586">
        <v>4.9416652802565322</v>
      </c>
      <c r="O586">
        <v>317.90110995937579</v>
      </c>
      <c r="P586">
        <v>4.500391103076625</v>
      </c>
    </row>
    <row r="587" spans="4:16" x14ac:dyDescent="0.55000000000000004">
      <c r="D587">
        <v>580</v>
      </c>
      <c r="E587">
        <v>8.071536683291308</v>
      </c>
      <c r="F587">
        <v>1.9284633167086889</v>
      </c>
      <c r="G587">
        <v>6.3120251398334366</v>
      </c>
      <c r="H587">
        <v>3.6879748601665656</v>
      </c>
      <c r="I587">
        <v>376.16063565734282</v>
      </c>
      <c r="J587">
        <v>4.6960985985367865</v>
      </c>
      <c r="K587">
        <v>344.7006102283417</v>
      </c>
      <c r="L587">
        <v>4.275734575793102</v>
      </c>
      <c r="M587">
        <v>344.16150629655522</v>
      </c>
      <c r="N587">
        <v>4.7623459619483244</v>
      </c>
      <c r="O587">
        <v>321.45594451749486</v>
      </c>
      <c r="P587">
        <v>4.3349091795374139</v>
      </c>
    </row>
    <row r="588" spans="4:16" x14ac:dyDescent="0.55000000000000004">
      <c r="D588">
        <v>581</v>
      </c>
      <c r="E588">
        <v>5.6802194367638981</v>
      </c>
      <c r="F588">
        <v>4.319780563236101</v>
      </c>
      <c r="G588">
        <v>5.0829594492019359</v>
      </c>
      <c r="H588">
        <v>4.9170405507980632</v>
      </c>
      <c r="I588">
        <v>291.26173024722004</v>
      </c>
      <c r="J588">
        <v>4.9515751284974234</v>
      </c>
      <c r="K588">
        <v>269.91877078939535</v>
      </c>
      <c r="L588">
        <v>4.50934290702806</v>
      </c>
      <c r="M588">
        <v>310.63633287985408</v>
      </c>
      <c r="N588">
        <v>4.9566668751232887</v>
      </c>
      <c r="O588">
        <v>292.37032509780607</v>
      </c>
      <c r="P588">
        <v>4.5139230828773851</v>
      </c>
    </row>
    <row r="589" spans="4:16" x14ac:dyDescent="0.55000000000000004">
      <c r="D589">
        <v>582</v>
      </c>
      <c r="E589">
        <v>7.6174807020197779</v>
      </c>
      <c r="F589">
        <v>2.3825192979802208</v>
      </c>
      <c r="G589">
        <v>5.3239986899816785</v>
      </c>
      <c r="H589">
        <v>4.6760013100183215</v>
      </c>
      <c r="I589">
        <v>360.74220223335692</v>
      </c>
      <c r="J589">
        <v>4.8431892194171295</v>
      </c>
      <c r="K589">
        <v>331.13633623000771</v>
      </c>
      <c r="L589">
        <v>4.4102778933644871</v>
      </c>
      <c r="M589">
        <v>302.12942273713304</v>
      </c>
      <c r="N589">
        <v>4.8904020340771144</v>
      </c>
      <c r="O589">
        <v>283.81376811437167</v>
      </c>
      <c r="P589">
        <v>4.4525829737794211</v>
      </c>
    </row>
    <row r="590" spans="4:16" x14ac:dyDescent="0.55000000000000004">
      <c r="D590">
        <v>583</v>
      </c>
      <c r="E590">
        <v>7.3379530848084293</v>
      </c>
      <c r="F590">
        <v>2.662046915191572</v>
      </c>
      <c r="G590">
        <v>6.5449118507893509</v>
      </c>
      <c r="H590">
        <v>3.455088149210646</v>
      </c>
      <c r="I590">
        <v>353.72856526884277</v>
      </c>
      <c r="J590">
        <v>4.8655031758211331</v>
      </c>
      <c r="K590">
        <v>324.84530662944616</v>
      </c>
      <c r="L590">
        <v>4.4307046642530139</v>
      </c>
      <c r="M590">
        <v>365.49973841938288</v>
      </c>
      <c r="N590">
        <v>4.8800387726266319</v>
      </c>
      <c r="O590">
        <v>340.6006497079058</v>
      </c>
      <c r="P590">
        <v>4.4437253757625328</v>
      </c>
    </row>
    <row r="591" spans="4:16" x14ac:dyDescent="0.55000000000000004">
      <c r="D591">
        <v>584</v>
      </c>
      <c r="E591">
        <v>5.9476858232788388</v>
      </c>
      <c r="F591">
        <v>4.0523141767211595</v>
      </c>
      <c r="G591">
        <v>5.1846414172602318</v>
      </c>
      <c r="H591">
        <v>4.8153585827397674</v>
      </c>
      <c r="I591">
        <v>278.7735508357888</v>
      </c>
      <c r="J591">
        <v>4.7409027156180947</v>
      </c>
      <c r="K591">
        <v>257.98410237517754</v>
      </c>
      <c r="L591">
        <v>4.3144441331468188</v>
      </c>
      <c r="M591">
        <v>293.00895182508879</v>
      </c>
      <c r="N591">
        <v>4.7741429941628066</v>
      </c>
      <c r="O591">
        <v>275.85142605665931</v>
      </c>
      <c r="P591">
        <v>4.3443088356951414</v>
      </c>
    </row>
    <row r="592" spans="4:16" x14ac:dyDescent="0.55000000000000004">
      <c r="D592">
        <v>585</v>
      </c>
      <c r="E592">
        <v>6.5475465196061888</v>
      </c>
      <c r="F592">
        <v>3.4524534803938112</v>
      </c>
      <c r="G592">
        <v>6.5378863417848416</v>
      </c>
      <c r="H592">
        <v>3.4621136582151566</v>
      </c>
      <c r="I592">
        <v>326.56320998154769</v>
      </c>
      <c r="J592">
        <v>4.849732561090434</v>
      </c>
      <c r="K592">
        <v>300.98322518005449</v>
      </c>
      <c r="L592">
        <v>4.4157224627128198</v>
      </c>
      <c r="M592">
        <v>376.08140222823346</v>
      </c>
      <c r="N592">
        <v>4.8499542640101883</v>
      </c>
      <c r="O592">
        <v>350.55147399967444</v>
      </c>
      <c r="P592">
        <v>4.4159211321959058</v>
      </c>
    </row>
    <row r="593" spans="4:16" x14ac:dyDescent="0.55000000000000004">
      <c r="D593">
        <v>586</v>
      </c>
      <c r="E593">
        <v>6.9116716223427312</v>
      </c>
      <c r="F593">
        <v>3.0883283776572683</v>
      </c>
      <c r="G593">
        <v>5.3014228110825172</v>
      </c>
      <c r="H593">
        <v>4.698577188917481</v>
      </c>
      <c r="I593">
        <v>323.13055874756816</v>
      </c>
      <c r="J593">
        <v>4.7658268966116841</v>
      </c>
      <c r="K593">
        <v>297.59083372592721</v>
      </c>
      <c r="L593">
        <v>4.3385548863099928</v>
      </c>
      <c r="M593">
        <v>297.84911794197103</v>
      </c>
      <c r="N593">
        <v>4.8203834470330342</v>
      </c>
      <c r="O593">
        <v>280.11947110501598</v>
      </c>
      <c r="P593">
        <v>4.3874514637058812</v>
      </c>
    </row>
    <row r="594" spans="4:16" x14ac:dyDescent="0.55000000000000004">
      <c r="D594">
        <v>587</v>
      </c>
      <c r="E594">
        <v>7.0918427885252893</v>
      </c>
      <c r="F594">
        <v>2.908157211474713</v>
      </c>
      <c r="G594">
        <v>6.7308161561204853</v>
      </c>
      <c r="H594">
        <v>3.2691838438795116</v>
      </c>
      <c r="I594">
        <v>355.48872874786122</v>
      </c>
      <c r="J594">
        <v>4.9580804645238148</v>
      </c>
      <c r="K594">
        <v>327.1359898007147</v>
      </c>
      <c r="L594">
        <v>4.5156431641436408</v>
      </c>
      <c r="M594">
        <v>387.39175417795639</v>
      </c>
      <c r="N594">
        <v>4.9602144752705586</v>
      </c>
      <c r="O594">
        <v>360.97988588546042</v>
      </c>
      <c r="P594">
        <v>4.5175483057598527</v>
      </c>
    </row>
    <row r="595" spans="4:16" x14ac:dyDescent="0.55000000000000004">
      <c r="D595">
        <v>588</v>
      </c>
      <c r="E595">
        <v>6.6536154777673149</v>
      </c>
      <c r="F595">
        <v>3.3463845222326869</v>
      </c>
      <c r="G595">
        <v>6.9421450379818355</v>
      </c>
      <c r="H595">
        <v>3.0578549620181632</v>
      </c>
      <c r="I595">
        <v>356.85465356013066</v>
      </c>
      <c r="J595">
        <v>4.7546311122998643</v>
      </c>
      <c r="K595">
        <v>328.86851041876838</v>
      </c>
      <c r="L595">
        <v>4.3280933617957125</v>
      </c>
      <c r="M595">
        <v>422.32941560435398</v>
      </c>
      <c r="N595">
        <v>4.7439908555109023</v>
      </c>
      <c r="O595">
        <v>392.70748339209541</v>
      </c>
      <c r="P595">
        <v>4.3185778535306483</v>
      </c>
    </row>
    <row r="596" spans="4:16" x14ac:dyDescent="0.55000000000000004">
      <c r="D596">
        <v>589</v>
      </c>
      <c r="E596">
        <v>5.5258261787857803</v>
      </c>
      <c r="F596">
        <v>4.4741738212142197</v>
      </c>
      <c r="G596">
        <v>7.1372937830402652</v>
      </c>
      <c r="H596">
        <v>2.8627062169597344</v>
      </c>
      <c r="I596">
        <v>257.5466160933583</v>
      </c>
      <c r="J596">
        <v>4.8779233232188419</v>
      </c>
      <c r="K596">
        <v>238.95885735215421</v>
      </c>
      <c r="L596">
        <v>4.4409532109546932</v>
      </c>
      <c r="M596">
        <v>382.65358019098937</v>
      </c>
      <c r="N596">
        <v>4.8423227444993886</v>
      </c>
      <c r="O596">
        <v>356.13810042212742</v>
      </c>
      <c r="P596">
        <v>4.4091103590972134</v>
      </c>
    </row>
    <row r="597" spans="4:16" x14ac:dyDescent="0.55000000000000004">
      <c r="D597">
        <v>590</v>
      </c>
      <c r="E597">
        <v>7.5998511316803219</v>
      </c>
      <c r="F597">
        <v>2.4001488683196763</v>
      </c>
      <c r="G597">
        <v>6.0350737344484742</v>
      </c>
      <c r="H597">
        <v>3.9649262655515263</v>
      </c>
      <c r="I597">
        <v>375.25760152055045</v>
      </c>
      <c r="J597">
        <v>4.8644704874441871</v>
      </c>
      <c r="K597">
        <v>344.39192060165493</v>
      </c>
      <c r="L597">
        <v>4.4298373786173029</v>
      </c>
      <c r="M597">
        <v>347.99363900014714</v>
      </c>
      <c r="N597">
        <v>4.8923754442954008</v>
      </c>
      <c r="O597">
        <v>325.2087648718333</v>
      </c>
      <c r="P597">
        <v>4.454823839478169</v>
      </c>
    </row>
    <row r="598" spans="4:16" x14ac:dyDescent="0.55000000000000004">
      <c r="D598">
        <v>591</v>
      </c>
      <c r="E598">
        <v>6.5839687958518116</v>
      </c>
      <c r="F598">
        <v>3.4160312041481879</v>
      </c>
      <c r="G598">
        <v>6.7236303343520385</v>
      </c>
      <c r="H598">
        <v>3.2763696656479642</v>
      </c>
      <c r="I598">
        <v>331.68402564119464</v>
      </c>
      <c r="J598">
        <v>4.9399016181671431</v>
      </c>
      <c r="K598">
        <v>305.99155076950285</v>
      </c>
      <c r="L598">
        <v>4.4987762008930794</v>
      </c>
      <c r="M598">
        <v>388.71982771640864</v>
      </c>
      <c r="N598">
        <v>4.9386267894538864</v>
      </c>
      <c r="O598">
        <v>362.27642111816607</v>
      </c>
      <c r="P598">
        <v>4.4976374347518595</v>
      </c>
    </row>
    <row r="599" spans="4:16" x14ac:dyDescent="0.55000000000000004">
      <c r="D599">
        <v>592</v>
      </c>
      <c r="E599">
        <v>6.5698240776036716</v>
      </c>
      <c r="F599">
        <v>3.4301759223963275</v>
      </c>
      <c r="G599">
        <v>6.5210769328604332</v>
      </c>
      <c r="H599">
        <v>3.4789230671395672</v>
      </c>
      <c r="I599">
        <v>311.41440931379719</v>
      </c>
      <c r="J599">
        <v>4.7696116909595707</v>
      </c>
      <c r="K599">
        <v>287.42341408432787</v>
      </c>
      <c r="L599">
        <v>4.3415798522687217</v>
      </c>
      <c r="M599">
        <v>359.10375942323162</v>
      </c>
      <c r="N599">
        <v>4.7713211389014463</v>
      </c>
      <c r="O599">
        <v>335.36038600999257</v>
      </c>
      <c r="P599">
        <v>4.3431061064667746</v>
      </c>
    </row>
    <row r="600" spans="4:16" x14ac:dyDescent="0.55000000000000004">
      <c r="D600">
        <v>593</v>
      </c>
      <c r="E600">
        <v>6.8708865134418202</v>
      </c>
      <c r="F600">
        <v>3.1291134865581816</v>
      </c>
      <c r="G600">
        <v>6.4500265217345314</v>
      </c>
      <c r="H600">
        <v>3.5499734782654695</v>
      </c>
      <c r="I600">
        <v>337.14740150281091</v>
      </c>
      <c r="J600">
        <v>4.8198727445375331</v>
      </c>
      <c r="K600">
        <v>310.46796650008673</v>
      </c>
      <c r="L600">
        <v>4.3883460481100292</v>
      </c>
      <c r="M600">
        <v>366.49623046061458</v>
      </c>
      <c r="N600">
        <v>4.8309060158762289</v>
      </c>
      <c r="O600">
        <v>341.99655483861147</v>
      </c>
      <c r="P600">
        <v>4.3982147425512963</v>
      </c>
    </row>
    <row r="601" spans="4:16" x14ac:dyDescent="0.55000000000000004">
      <c r="D601">
        <v>594</v>
      </c>
      <c r="E601">
        <v>7.003588290396622</v>
      </c>
      <c r="F601">
        <v>2.9964117096033789</v>
      </c>
      <c r="G601">
        <v>5.8579399408857586</v>
      </c>
      <c r="H601">
        <v>4.1420600591142414</v>
      </c>
      <c r="I601">
        <v>342.05363187076478</v>
      </c>
      <c r="J601">
        <v>4.8145132249186497</v>
      </c>
      <c r="K601">
        <v>315.11593511659981</v>
      </c>
      <c r="L601">
        <v>4.3833401565719541</v>
      </c>
      <c r="M601">
        <v>336.10043151855706</v>
      </c>
      <c r="N601">
        <v>4.8448551880548072</v>
      </c>
      <c r="O601">
        <v>315.16632672363596</v>
      </c>
      <c r="P601">
        <v>4.4104265281643711</v>
      </c>
    </row>
    <row r="602" spans="4:16" x14ac:dyDescent="0.55000000000000004">
      <c r="D602">
        <v>595</v>
      </c>
      <c r="E602">
        <v>7.3745018822152826</v>
      </c>
      <c r="F602">
        <v>2.6254981177847179</v>
      </c>
      <c r="G602">
        <v>6.6956827947921136</v>
      </c>
      <c r="H602">
        <v>3.3043172052078869</v>
      </c>
      <c r="I602">
        <v>343.16728744115755</v>
      </c>
      <c r="J602">
        <v>4.9247726642080911</v>
      </c>
      <c r="K602">
        <v>315.3446644863447</v>
      </c>
      <c r="L602">
        <v>4.485091114272473</v>
      </c>
      <c r="M602">
        <v>361.57891596672869</v>
      </c>
      <c r="N602">
        <v>4.9316973015933891</v>
      </c>
      <c r="O602">
        <v>337.13406550505283</v>
      </c>
      <c r="P602">
        <v>4.4912752940591911</v>
      </c>
    </row>
    <row r="603" spans="4:16" x14ac:dyDescent="0.55000000000000004">
      <c r="D603">
        <v>596</v>
      </c>
      <c r="E603">
        <v>6.1293502424483872</v>
      </c>
      <c r="F603">
        <v>3.8706497575516141</v>
      </c>
      <c r="G603">
        <v>6.2042902581826835</v>
      </c>
      <c r="H603">
        <v>3.7957097418173156</v>
      </c>
      <c r="I603">
        <v>315.65072927519327</v>
      </c>
      <c r="J603">
        <v>4.8604475020873981</v>
      </c>
      <c r="K603">
        <v>291.56595024828607</v>
      </c>
      <c r="L603">
        <v>4.425314955843529</v>
      </c>
      <c r="M603">
        <v>369.51000793977437</v>
      </c>
      <c r="N603">
        <v>4.8587412745142204</v>
      </c>
      <c r="O603">
        <v>345.02829035237886</v>
      </c>
      <c r="P603">
        <v>4.4237842189709777</v>
      </c>
    </row>
    <row r="604" spans="4:16" x14ac:dyDescent="0.55000000000000004">
      <c r="D604">
        <v>597</v>
      </c>
      <c r="E604">
        <v>7.4558341310618852</v>
      </c>
      <c r="F604">
        <v>2.5441658689381135</v>
      </c>
      <c r="G604">
        <v>6.0346858218670834</v>
      </c>
      <c r="H604">
        <v>3.9653141781329175</v>
      </c>
      <c r="I604">
        <v>378.23359075725841</v>
      </c>
      <c r="J604">
        <v>4.9170014503177493</v>
      </c>
      <c r="K604">
        <v>347.43491371123702</v>
      </c>
      <c r="L604">
        <v>4.4779791485316967</v>
      </c>
      <c r="M604">
        <v>356.13890375960119</v>
      </c>
      <c r="N604">
        <v>4.9328217122057048</v>
      </c>
      <c r="O604">
        <v>332.94941446514542</v>
      </c>
      <c r="P604">
        <v>4.4921296709700833</v>
      </c>
    </row>
    <row r="605" spans="4:16" x14ac:dyDescent="0.55000000000000004">
      <c r="D605">
        <v>598</v>
      </c>
      <c r="E605">
        <v>7.008087441840404</v>
      </c>
      <c r="F605">
        <v>2.9919125581595969</v>
      </c>
      <c r="G605">
        <v>5.3407860860178031</v>
      </c>
      <c r="H605">
        <v>4.659213913982196</v>
      </c>
      <c r="I605">
        <v>353.99630157987599</v>
      </c>
      <c r="J605">
        <v>4.7837455350502713</v>
      </c>
      <c r="K605">
        <v>325.84341469062787</v>
      </c>
      <c r="L605">
        <v>4.3551633048305698</v>
      </c>
      <c r="M605">
        <v>319.77667411682091</v>
      </c>
      <c r="N605">
        <v>4.8351948592211871</v>
      </c>
      <c r="O605">
        <v>300.3604025259686</v>
      </c>
      <c r="P605">
        <v>4.4012754770075393</v>
      </c>
    </row>
    <row r="606" spans="4:16" x14ac:dyDescent="0.55000000000000004">
      <c r="D606">
        <v>599</v>
      </c>
      <c r="E606">
        <v>6.3093614830226086</v>
      </c>
      <c r="F606">
        <v>3.6906385169773923</v>
      </c>
      <c r="G606">
        <v>6.3994779764544747</v>
      </c>
      <c r="H606">
        <v>3.6005220235455262</v>
      </c>
      <c r="I606">
        <v>334.39429699446038</v>
      </c>
      <c r="J606">
        <v>4.9040133220863957</v>
      </c>
      <c r="K606">
        <v>308.61580653726736</v>
      </c>
      <c r="L606">
        <v>4.465632265226172</v>
      </c>
      <c r="M606">
        <v>389.17044455706889</v>
      </c>
      <c r="N606">
        <v>4.9026423461400945</v>
      </c>
      <c r="O606">
        <v>362.89682144674669</v>
      </c>
      <c r="P606">
        <v>4.4644034153236678</v>
      </c>
    </row>
    <row r="607" spans="4:16" x14ac:dyDescent="0.55000000000000004">
      <c r="D607">
        <v>600</v>
      </c>
      <c r="E607">
        <v>5.8715948551992394</v>
      </c>
      <c r="F607">
        <v>4.1284051448007606</v>
      </c>
      <c r="G607">
        <v>5.3107988563000657</v>
      </c>
      <c r="H607">
        <v>4.6892011436999343</v>
      </c>
      <c r="I607">
        <v>282.05406944333333</v>
      </c>
      <c r="J607">
        <v>4.8701372620326211</v>
      </c>
      <c r="K607">
        <v>261.17476912568964</v>
      </c>
      <c r="L607">
        <v>4.433969785665278</v>
      </c>
      <c r="M607">
        <v>305.11508650635687</v>
      </c>
      <c r="N607">
        <v>4.8825404515670137</v>
      </c>
      <c r="O607">
        <v>286.98485070389336</v>
      </c>
      <c r="P607">
        <v>4.44510725673124</v>
      </c>
    </row>
    <row r="608" spans="4:16" x14ac:dyDescent="0.55000000000000004">
      <c r="D608">
        <v>601</v>
      </c>
      <c r="E608">
        <v>7.4513876352559958</v>
      </c>
      <c r="F608">
        <v>2.5486123647440033</v>
      </c>
      <c r="G608">
        <v>6.0309551375137413</v>
      </c>
      <c r="H608">
        <v>3.9690448624862591</v>
      </c>
      <c r="I608">
        <v>363.68002784618182</v>
      </c>
      <c r="J608">
        <v>4.9094976298406889</v>
      </c>
      <c r="K608">
        <v>334.20634693213157</v>
      </c>
      <c r="L608">
        <v>4.471051523925885</v>
      </c>
      <c r="M608">
        <v>344.3529500428034</v>
      </c>
      <c r="N608">
        <v>4.9267497866186751</v>
      </c>
      <c r="O608">
        <v>322.29070290792879</v>
      </c>
      <c r="P608">
        <v>4.4864593332777387</v>
      </c>
    </row>
    <row r="609" spans="4:16" x14ac:dyDescent="0.55000000000000004">
      <c r="D609">
        <v>602</v>
      </c>
      <c r="E609">
        <v>6.7792815155596484</v>
      </c>
      <c r="F609">
        <v>3.2207184844403538</v>
      </c>
      <c r="G609">
        <v>6.3004387578410093</v>
      </c>
      <c r="H609">
        <v>3.6995612421589916</v>
      </c>
      <c r="I609">
        <v>321.19246548293762</v>
      </c>
      <c r="J609">
        <v>4.7628008353882585</v>
      </c>
      <c r="K609">
        <v>295.96618691841672</v>
      </c>
      <c r="L609">
        <v>4.3356496469156447</v>
      </c>
      <c r="M609">
        <v>348.50559437760012</v>
      </c>
      <c r="N609">
        <v>4.7795549857876107</v>
      </c>
      <c r="O609">
        <v>325.67616998076016</v>
      </c>
      <c r="P609">
        <v>4.3506337314903982</v>
      </c>
    </row>
    <row r="610" spans="4:16" x14ac:dyDescent="0.55000000000000004">
      <c r="D610">
        <v>603</v>
      </c>
      <c r="E610">
        <v>6.7879942426282804</v>
      </c>
      <c r="F610">
        <v>3.2120057573717169</v>
      </c>
      <c r="G610">
        <v>6.0139865730617181</v>
      </c>
      <c r="H610">
        <v>3.9860134269382819</v>
      </c>
      <c r="I610">
        <v>318.55615296569306</v>
      </c>
      <c r="J610">
        <v>4.8472418387992304</v>
      </c>
      <c r="K610">
        <v>293.3872156997266</v>
      </c>
      <c r="L610">
        <v>4.4135304930500867</v>
      </c>
      <c r="M610">
        <v>332.23247666752388</v>
      </c>
      <c r="N610">
        <v>4.8646602372439096</v>
      </c>
      <c r="O610">
        <v>310.83694358552236</v>
      </c>
      <c r="P610">
        <v>4.4291394199801095</v>
      </c>
    </row>
    <row r="611" spans="4:16" x14ac:dyDescent="0.55000000000000004">
      <c r="D611">
        <v>604</v>
      </c>
      <c r="E611">
        <v>6.0402968827447028</v>
      </c>
      <c r="F611">
        <v>3.9597031172552941</v>
      </c>
      <c r="G611">
        <v>6.312850008652017</v>
      </c>
      <c r="H611">
        <v>3.6871499913479817</v>
      </c>
      <c r="I611">
        <v>297.02020829155327</v>
      </c>
      <c r="J611">
        <v>4.8629950451683035</v>
      </c>
      <c r="K611">
        <v>274.28355370673683</v>
      </c>
      <c r="L611">
        <v>4.4277019830191797</v>
      </c>
      <c r="M611">
        <v>360.42249427169514</v>
      </c>
      <c r="N611">
        <v>4.856813042954002</v>
      </c>
      <c r="O611">
        <v>336.32246859709403</v>
      </c>
      <c r="P611">
        <v>4.4221488558422006</v>
      </c>
    </row>
    <row r="612" spans="4:16" x14ac:dyDescent="0.55000000000000004">
      <c r="D612">
        <v>605</v>
      </c>
      <c r="E612">
        <v>6.5228314462055046</v>
      </c>
      <c r="F612">
        <v>3.4771685537944972</v>
      </c>
      <c r="G612">
        <v>5.6673449655412584</v>
      </c>
      <c r="H612">
        <v>4.3326550344587416</v>
      </c>
      <c r="I612">
        <v>336.53786849386438</v>
      </c>
      <c r="J612">
        <v>4.7620500816758451</v>
      </c>
      <c r="K612">
        <v>310.304974596004</v>
      </c>
      <c r="L612">
        <v>4.3348174334510654</v>
      </c>
      <c r="M612">
        <v>342.40004290348458</v>
      </c>
      <c r="N612">
        <v>4.7932578385955624</v>
      </c>
      <c r="O612">
        <v>320.68972662687827</v>
      </c>
      <c r="P612">
        <v>4.3628274908654996</v>
      </c>
    </row>
    <row r="613" spans="4:16" x14ac:dyDescent="0.55000000000000004">
      <c r="D613">
        <v>606</v>
      </c>
      <c r="E613">
        <v>7.2469028459709879</v>
      </c>
      <c r="F613">
        <v>2.7530971540290112</v>
      </c>
      <c r="G613">
        <v>5.7769605433546678</v>
      </c>
      <c r="H613">
        <v>4.2230394566453304</v>
      </c>
      <c r="I613">
        <v>346.25121822664971</v>
      </c>
      <c r="J613">
        <v>4.8254146968641587</v>
      </c>
      <c r="K613">
        <v>318.28230473231531</v>
      </c>
      <c r="L613">
        <v>4.3937363827336267</v>
      </c>
      <c r="M613">
        <v>326.01855141412921</v>
      </c>
      <c r="N613">
        <v>4.8608271106841059</v>
      </c>
      <c r="O613">
        <v>305.36712957276472</v>
      </c>
      <c r="P613">
        <v>4.4254592023191606</v>
      </c>
    </row>
    <row r="614" spans="4:16" x14ac:dyDescent="0.55000000000000004">
      <c r="D614">
        <v>607</v>
      </c>
      <c r="E614">
        <v>7.2153561610544781</v>
      </c>
      <c r="F614">
        <v>2.7846438389455197</v>
      </c>
      <c r="G614">
        <v>6.6377008389521217</v>
      </c>
      <c r="H614">
        <v>3.3622991610478774</v>
      </c>
      <c r="I614">
        <v>357.53528056520554</v>
      </c>
      <c r="J614">
        <v>4.9303734827700181</v>
      </c>
      <c r="K614">
        <v>328.62152521513519</v>
      </c>
      <c r="L614">
        <v>4.4902234756569888</v>
      </c>
      <c r="M614">
        <v>378.91130788141402</v>
      </c>
      <c r="N614">
        <v>4.9359477229515969</v>
      </c>
      <c r="O614">
        <v>353.01238977083466</v>
      </c>
      <c r="P614">
        <v>4.49521060561921</v>
      </c>
    </row>
    <row r="615" spans="4:16" x14ac:dyDescent="0.55000000000000004">
      <c r="D615">
        <v>608</v>
      </c>
      <c r="E615">
        <v>6.3640363599796927</v>
      </c>
      <c r="F615">
        <v>3.6359636400203073</v>
      </c>
      <c r="G615">
        <v>5.364989836439209</v>
      </c>
      <c r="H615">
        <v>4.6350101635607901</v>
      </c>
      <c r="I615">
        <v>310.43504318174405</v>
      </c>
      <c r="J615">
        <v>4.9189311052096354</v>
      </c>
      <c r="K615">
        <v>286.81394532716268</v>
      </c>
      <c r="L615">
        <v>4.4793189826830941</v>
      </c>
      <c r="M615">
        <v>311.70196984071566</v>
      </c>
      <c r="N615">
        <v>4.931657556305499</v>
      </c>
      <c r="O615">
        <v>293.15568346046535</v>
      </c>
      <c r="P615">
        <v>4.4907201666529364</v>
      </c>
    </row>
    <row r="616" spans="4:16" x14ac:dyDescent="0.55000000000000004">
      <c r="D616">
        <v>609</v>
      </c>
      <c r="E616">
        <v>6.2024528446250198</v>
      </c>
      <c r="F616">
        <v>3.797547155374982</v>
      </c>
      <c r="G616">
        <v>6.0190234944971568</v>
      </c>
      <c r="H616">
        <v>3.9809765055028423</v>
      </c>
      <c r="I616">
        <v>324.05792678900883</v>
      </c>
      <c r="J616">
        <v>4.8139464372021772</v>
      </c>
      <c r="K616">
        <v>299.31618362033925</v>
      </c>
      <c r="L616">
        <v>4.3823709014045864</v>
      </c>
      <c r="M616">
        <v>364.4743416487845</v>
      </c>
      <c r="N616">
        <v>4.8194487255658123</v>
      </c>
      <c r="O616">
        <v>340.72094242373782</v>
      </c>
      <c r="P616">
        <v>4.3873057451949542</v>
      </c>
    </row>
    <row r="617" spans="4:16" x14ac:dyDescent="0.55000000000000004">
      <c r="D617">
        <v>610</v>
      </c>
      <c r="E617">
        <v>6.2191053958557063</v>
      </c>
      <c r="F617">
        <v>3.7808946041442937</v>
      </c>
      <c r="G617">
        <v>6.6743117148831645</v>
      </c>
      <c r="H617">
        <v>3.3256882851168377</v>
      </c>
      <c r="I617">
        <v>303.41276729207868</v>
      </c>
      <c r="J617">
        <v>4.8126896164695525</v>
      </c>
      <c r="K617">
        <v>279.94682150909063</v>
      </c>
      <c r="L617">
        <v>4.3813955233397053</v>
      </c>
      <c r="M617">
        <v>375.62101110749927</v>
      </c>
      <c r="N617">
        <v>4.7989794660901532</v>
      </c>
      <c r="O617">
        <v>349.8712324707214</v>
      </c>
      <c r="P617">
        <v>4.3690952859695082</v>
      </c>
    </row>
    <row r="618" spans="4:16" x14ac:dyDescent="0.55000000000000004">
      <c r="D618">
        <v>611</v>
      </c>
      <c r="E618">
        <v>6.5483199448130742</v>
      </c>
      <c r="F618">
        <v>3.451680055186924</v>
      </c>
      <c r="G618">
        <v>6.7439456637378834</v>
      </c>
      <c r="H618">
        <v>3.256054336262117</v>
      </c>
      <c r="I618">
        <v>342.47709687911259</v>
      </c>
      <c r="J618">
        <v>4.8669531194227922</v>
      </c>
      <c r="K618">
        <v>315.89355696283582</v>
      </c>
      <c r="L618">
        <v>4.4314997203208719</v>
      </c>
      <c r="M618">
        <v>402.70832089640061</v>
      </c>
      <c r="N618">
        <v>4.862978452350478</v>
      </c>
      <c r="O618">
        <v>375.04067558273584</v>
      </c>
      <c r="P618">
        <v>4.427946210875314</v>
      </c>
    </row>
    <row r="619" spans="4:16" x14ac:dyDescent="0.55000000000000004">
      <c r="D619">
        <v>612</v>
      </c>
      <c r="E619">
        <v>6.836707705020026</v>
      </c>
      <c r="F619">
        <v>3.163292294979974</v>
      </c>
      <c r="G619">
        <v>6.8198558999493022</v>
      </c>
      <c r="H619">
        <v>3.1801441000506965</v>
      </c>
      <c r="I619">
        <v>309.70156044908839</v>
      </c>
      <c r="J619">
        <v>4.8542612559131415</v>
      </c>
      <c r="K619">
        <v>285.20718896856403</v>
      </c>
      <c r="L619">
        <v>4.4200070888573171</v>
      </c>
      <c r="M619">
        <v>358.93817688027576</v>
      </c>
      <c r="N619">
        <v>4.8546204874340102</v>
      </c>
      <c r="O619">
        <v>334.52471219431527</v>
      </c>
      <c r="P619">
        <v>4.4203282474197829</v>
      </c>
    </row>
    <row r="620" spans="4:16" x14ac:dyDescent="0.55000000000000004">
      <c r="D620">
        <v>613</v>
      </c>
      <c r="E620">
        <v>7.4534882363152741</v>
      </c>
      <c r="F620">
        <v>2.5465117636847241</v>
      </c>
      <c r="G620">
        <v>6.8531780941587783</v>
      </c>
      <c r="H620">
        <v>3.1468219058412203</v>
      </c>
      <c r="I620">
        <v>374.97226743399688</v>
      </c>
      <c r="J620">
        <v>4.863284747626377</v>
      </c>
      <c r="K620">
        <v>344.26214908093641</v>
      </c>
      <c r="L620">
        <v>4.4287010069127311</v>
      </c>
      <c r="M620">
        <v>394.77168912338743</v>
      </c>
      <c r="N620">
        <v>4.8742959077684826</v>
      </c>
      <c r="O620">
        <v>367.24803591476899</v>
      </c>
      <c r="P620">
        <v>4.4385503787727769</v>
      </c>
    </row>
    <row r="621" spans="4:16" x14ac:dyDescent="0.55000000000000004">
      <c r="D621">
        <v>614</v>
      </c>
      <c r="E621">
        <v>7.8092033644748788</v>
      </c>
      <c r="F621">
        <v>2.1907966355251216</v>
      </c>
      <c r="G621">
        <v>5.8202092187601435</v>
      </c>
      <c r="H621">
        <v>4.1797907812398565</v>
      </c>
      <c r="I621">
        <v>372.9955143148058</v>
      </c>
      <c r="J621">
        <v>4.8356725446695439</v>
      </c>
      <c r="K621">
        <v>341.94633281238549</v>
      </c>
      <c r="L621">
        <v>4.4035709383348891</v>
      </c>
      <c r="M621">
        <v>327.99403212458077</v>
      </c>
      <c r="N621">
        <v>4.8775265381408035</v>
      </c>
      <c r="O621">
        <v>306.74919403550126</v>
      </c>
      <c r="P621">
        <v>4.441105515774403</v>
      </c>
    </row>
    <row r="622" spans="4:16" x14ac:dyDescent="0.55000000000000004">
      <c r="D622">
        <v>615</v>
      </c>
      <c r="E622">
        <v>6.1034205858716959</v>
      </c>
      <c r="F622">
        <v>3.8965794141283041</v>
      </c>
      <c r="G622">
        <v>5.6516963907401019</v>
      </c>
      <c r="H622">
        <v>4.3483036092598981</v>
      </c>
      <c r="I622">
        <v>308.34264460953779</v>
      </c>
      <c r="J622">
        <v>4.7761529518761421</v>
      </c>
      <c r="K622">
        <v>285.43177462169848</v>
      </c>
      <c r="L622">
        <v>4.3470048422146501</v>
      </c>
      <c r="M622">
        <v>335.52169838744527</v>
      </c>
      <c r="N622">
        <v>4.7927202400424536</v>
      </c>
      <c r="O622">
        <v>315.01502160481789</v>
      </c>
      <c r="P622">
        <v>4.3618267618388069</v>
      </c>
    </row>
    <row r="623" spans="4:16" x14ac:dyDescent="0.55000000000000004">
      <c r="D623">
        <v>616</v>
      </c>
      <c r="E623">
        <v>7.0979942377280016</v>
      </c>
      <c r="F623">
        <v>2.9020057622719975</v>
      </c>
      <c r="G623">
        <v>6.0237382007242646</v>
      </c>
      <c r="H623">
        <v>3.9762617992757354</v>
      </c>
      <c r="I623">
        <v>359.25420206305853</v>
      </c>
      <c r="J623">
        <v>4.8332715921071507</v>
      </c>
      <c r="K623">
        <v>330.47046075781896</v>
      </c>
      <c r="L623">
        <v>4.4008493292374569</v>
      </c>
      <c r="M623">
        <v>354.88236370147467</v>
      </c>
      <c r="N623">
        <v>4.858505340222484</v>
      </c>
      <c r="O623">
        <v>331.79562491905722</v>
      </c>
      <c r="P623">
        <v>4.4234391217499418</v>
      </c>
    </row>
    <row r="624" spans="4:16" x14ac:dyDescent="0.55000000000000004">
      <c r="D624">
        <v>617</v>
      </c>
      <c r="E624">
        <v>5.8690121853535349</v>
      </c>
      <c r="F624">
        <v>4.1309878146464634</v>
      </c>
      <c r="G624">
        <v>5.6114994949456385</v>
      </c>
      <c r="H624">
        <v>4.3885005050543624</v>
      </c>
      <c r="I624">
        <v>299.4010244117157</v>
      </c>
      <c r="J624">
        <v>4.9014476011465771</v>
      </c>
      <c r="K624">
        <v>277.05147199591249</v>
      </c>
      <c r="L624">
        <v>4.4630236164457102</v>
      </c>
      <c r="M624">
        <v>336.26430551044177</v>
      </c>
      <c r="N624">
        <v>4.9057717518849646</v>
      </c>
      <c r="O624">
        <v>315.25002500737889</v>
      </c>
      <c r="P624">
        <v>4.4669082421344388</v>
      </c>
    </row>
    <row r="625" spans="4:16" x14ac:dyDescent="0.55000000000000004">
      <c r="D625">
        <v>618</v>
      </c>
      <c r="E625">
        <v>7.5469774486575867</v>
      </c>
      <c r="F625">
        <v>2.4530225513424146</v>
      </c>
      <c r="G625">
        <v>6.2251033481913201</v>
      </c>
      <c r="H625">
        <v>3.7748966518086808</v>
      </c>
      <c r="I625">
        <v>369.5010164950462</v>
      </c>
      <c r="J625">
        <v>4.7719223034958631</v>
      </c>
      <c r="K625">
        <v>339.37583654559324</v>
      </c>
      <c r="L625">
        <v>4.3447366515809343</v>
      </c>
      <c r="M625">
        <v>354.7818852768072</v>
      </c>
      <c r="N625">
        <v>4.8118707466910191</v>
      </c>
      <c r="O625">
        <v>331.58036572151883</v>
      </c>
      <c r="P625">
        <v>4.3804114055476902</v>
      </c>
    </row>
    <row r="626" spans="4:16" x14ac:dyDescent="0.55000000000000004">
      <c r="D626">
        <v>619</v>
      </c>
      <c r="E626">
        <v>6.7676574445303057</v>
      </c>
      <c r="F626">
        <v>3.2323425554696934</v>
      </c>
      <c r="G626">
        <v>6.5198949903333139</v>
      </c>
      <c r="H626">
        <v>3.480105009666683</v>
      </c>
      <c r="I626">
        <v>313.48957992585383</v>
      </c>
      <c r="J626">
        <v>4.8800418949505522</v>
      </c>
      <c r="K626">
        <v>288.62675168940257</v>
      </c>
      <c r="L626">
        <v>4.4437750810000294</v>
      </c>
      <c r="M626">
        <v>352.01279518545778</v>
      </c>
      <c r="N626">
        <v>4.8844335348571919</v>
      </c>
      <c r="O626">
        <v>328.34346684005436</v>
      </c>
      <c r="P626">
        <v>4.447710023158244</v>
      </c>
    </row>
    <row r="627" spans="4:16" x14ac:dyDescent="0.55000000000000004">
      <c r="D627">
        <v>620</v>
      </c>
      <c r="E627">
        <v>5.2974620916154356</v>
      </c>
      <c r="F627">
        <v>4.7025379083845653</v>
      </c>
      <c r="G627">
        <v>5.4827913310411995</v>
      </c>
      <c r="H627">
        <v>4.5172086689588014</v>
      </c>
      <c r="I627">
        <v>248.9343213605643</v>
      </c>
      <c r="J627">
        <v>4.8369210980287525</v>
      </c>
      <c r="K627">
        <v>231.12792433023878</v>
      </c>
      <c r="L627">
        <v>4.4028055341411978</v>
      </c>
      <c r="M627">
        <v>307.64317243809097</v>
      </c>
      <c r="N627">
        <v>4.8312158587375542</v>
      </c>
      <c r="O627">
        <v>288.9645848708783</v>
      </c>
      <c r="P627">
        <v>4.3976716739763804</v>
      </c>
    </row>
    <row r="628" spans="4:16" x14ac:dyDescent="0.55000000000000004">
      <c r="D628">
        <v>621</v>
      </c>
      <c r="E628">
        <v>5.9852368667738594</v>
      </c>
      <c r="F628">
        <v>4.0147631332261398</v>
      </c>
      <c r="G628">
        <v>6.5545852953823873</v>
      </c>
      <c r="H628">
        <v>3.4454147046176127</v>
      </c>
      <c r="I628">
        <v>283.69608438359501</v>
      </c>
      <c r="J628">
        <v>4.8551789660801994</v>
      </c>
      <c r="K628">
        <v>262.52113634034407</v>
      </c>
      <c r="L628">
        <v>4.4202076632168144</v>
      </c>
      <c r="M628">
        <v>360.68280578519182</v>
      </c>
      <c r="N628">
        <v>4.8414027981645349</v>
      </c>
      <c r="O628">
        <v>336.66837877944187</v>
      </c>
      <c r="P628">
        <v>4.4078809910882919</v>
      </c>
    </row>
    <row r="629" spans="4:16" x14ac:dyDescent="0.55000000000000004">
      <c r="D629">
        <v>622</v>
      </c>
      <c r="E629">
        <v>6.6487076207802227</v>
      </c>
      <c r="F629">
        <v>3.3512923792197773</v>
      </c>
      <c r="G629">
        <v>6.0472571400097381</v>
      </c>
      <c r="H629">
        <v>3.9527428599902614</v>
      </c>
      <c r="I629">
        <v>320.89160853900171</v>
      </c>
      <c r="J629">
        <v>4.8429414606983876</v>
      </c>
      <c r="K629">
        <v>295.77701618455978</v>
      </c>
      <c r="L629">
        <v>4.4094529728214686</v>
      </c>
      <c r="M629">
        <v>341.86334872685671</v>
      </c>
      <c r="N629">
        <v>4.8571491743413855</v>
      </c>
      <c r="O629">
        <v>319.77183811470019</v>
      </c>
      <c r="P629">
        <v>4.4221810566143924</v>
      </c>
    </row>
    <row r="630" spans="4:16" x14ac:dyDescent="0.55000000000000004">
      <c r="D630">
        <v>623</v>
      </c>
      <c r="E630">
        <v>5.6543811720244763</v>
      </c>
      <c r="F630">
        <v>4.3456188279755237</v>
      </c>
      <c r="G630">
        <v>6.3142114842704693</v>
      </c>
      <c r="H630">
        <v>3.6857885157295289</v>
      </c>
      <c r="I630">
        <v>275.90902109674357</v>
      </c>
      <c r="J630">
        <v>4.8690570332522753</v>
      </c>
      <c r="K630">
        <v>255.60659525988291</v>
      </c>
      <c r="L630">
        <v>4.4329116306977836</v>
      </c>
      <c r="M630">
        <v>358.10584865454484</v>
      </c>
      <c r="N630">
        <v>4.8537768220307456</v>
      </c>
      <c r="O630">
        <v>334.48998110955898</v>
      </c>
      <c r="P630">
        <v>4.4192039374232319</v>
      </c>
    </row>
    <row r="631" spans="4:16" x14ac:dyDescent="0.55000000000000004">
      <c r="D631">
        <v>624</v>
      </c>
      <c r="E631">
        <v>6.7029491077089389</v>
      </c>
      <c r="F631">
        <v>3.2970508922910611</v>
      </c>
      <c r="G631">
        <v>6.1059177832432843</v>
      </c>
      <c r="H631">
        <v>3.8940822167567153</v>
      </c>
      <c r="I631">
        <v>323.60665694456884</v>
      </c>
      <c r="J631">
        <v>4.8127763332124323</v>
      </c>
      <c r="K631">
        <v>297.90489083492156</v>
      </c>
      <c r="L631">
        <v>4.3818654925811638</v>
      </c>
      <c r="M631">
        <v>344.7830290313986</v>
      </c>
      <c r="N631">
        <v>4.8294523353657128</v>
      </c>
      <c r="O631">
        <v>322.02301192604853</v>
      </c>
      <c r="P631">
        <v>4.3968395364355866</v>
      </c>
    </row>
    <row r="632" spans="4:16" x14ac:dyDescent="0.55000000000000004">
      <c r="D632">
        <v>625</v>
      </c>
      <c r="E632">
        <v>6.2302044885013039</v>
      </c>
      <c r="F632">
        <v>3.7697955114986952</v>
      </c>
      <c r="G632">
        <v>6.5337578899912065</v>
      </c>
      <c r="H632">
        <v>3.4662421100087917</v>
      </c>
      <c r="I632">
        <v>320.73630255517719</v>
      </c>
      <c r="J632">
        <v>4.8016992478037688</v>
      </c>
      <c r="K632">
        <v>296.12559603693148</v>
      </c>
      <c r="L632">
        <v>4.3711345620277369</v>
      </c>
      <c r="M632">
        <v>386.36349357300196</v>
      </c>
      <c r="N632">
        <v>4.7920374673665016</v>
      </c>
      <c r="O632">
        <v>360.1300930800499</v>
      </c>
      <c r="P632">
        <v>4.3624760401340303</v>
      </c>
    </row>
    <row r="633" spans="4:16" x14ac:dyDescent="0.55000000000000004">
      <c r="D633">
        <v>626</v>
      </c>
      <c r="E633">
        <v>5.0630026939000672</v>
      </c>
      <c r="F633">
        <v>4.9369973060999337</v>
      </c>
      <c r="G633">
        <v>5.9181045756851995</v>
      </c>
      <c r="H633">
        <v>4.0818954243148005</v>
      </c>
      <c r="I633">
        <v>262.40365752707027</v>
      </c>
      <c r="J633">
        <v>4.8937836006958282</v>
      </c>
      <c r="K633">
        <v>244.07411368786541</v>
      </c>
      <c r="L633">
        <v>4.4554223989829556</v>
      </c>
      <c r="M633">
        <v>356.72159984399536</v>
      </c>
      <c r="N633">
        <v>4.8758444747635288</v>
      </c>
      <c r="O633">
        <v>333.90634285497441</v>
      </c>
      <c r="P633">
        <v>4.4392990110764714</v>
      </c>
    </row>
    <row r="634" spans="4:16" x14ac:dyDescent="0.55000000000000004">
      <c r="D634">
        <v>627</v>
      </c>
      <c r="E634">
        <v>6.4353790396509964</v>
      </c>
      <c r="F634">
        <v>3.5646209603490027</v>
      </c>
      <c r="G634">
        <v>5.266263698829996</v>
      </c>
      <c r="H634">
        <v>4.7337363011700031</v>
      </c>
      <c r="I634">
        <v>325.09035684658556</v>
      </c>
      <c r="J634">
        <v>4.8088252382030658</v>
      </c>
      <c r="K634">
        <v>299.9983575622432</v>
      </c>
      <c r="L634">
        <v>4.3778003237898941</v>
      </c>
      <c r="M634">
        <v>316.03119016804777</v>
      </c>
      <c r="N634">
        <v>4.8435559580903451</v>
      </c>
      <c r="O634">
        <v>296.97333015432895</v>
      </c>
      <c r="P634">
        <v>4.4089825682659054</v>
      </c>
    </row>
    <row r="635" spans="4:16" x14ac:dyDescent="0.55000000000000004">
      <c r="D635">
        <v>628</v>
      </c>
      <c r="E635">
        <v>6.6998012717965443</v>
      </c>
      <c r="F635">
        <v>3.3001987282034584</v>
      </c>
      <c r="G635">
        <v>5.8964974614620687</v>
      </c>
      <c r="H635">
        <v>4.1035025385379322</v>
      </c>
      <c r="I635">
        <v>326.47984294506023</v>
      </c>
      <c r="J635">
        <v>4.7320856499015216</v>
      </c>
      <c r="K635">
        <v>300.8896729496484</v>
      </c>
      <c r="L635">
        <v>4.3073046549535796</v>
      </c>
      <c r="M635">
        <v>337.33502488318902</v>
      </c>
      <c r="N635">
        <v>4.7642084860195659</v>
      </c>
      <c r="O635">
        <v>315.82143559074945</v>
      </c>
      <c r="P635">
        <v>4.3360821866270713</v>
      </c>
    </row>
    <row r="636" spans="4:16" x14ac:dyDescent="0.55000000000000004">
      <c r="D636">
        <v>629</v>
      </c>
      <c r="E636">
        <v>6.8308797356491482</v>
      </c>
      <c r="F636">
        <v>3.1691202643508478</v>
      </c>
      <c r="G636">
        <v>5.9495227949340483</v>
      </c>
      <c r="H636">
        <v>4.0504772050659543</v>
      </c>
      <c r="I636">
        <v>306.60151147273649</v>
      </c>
      <c r="J636">
        <v>4.7461028386612849</v>
      </c>
      <c r="K636">
        <v>282.51165584116893</v>
      </c>
      <c r="L636">
        <v>4.320271003792632</v>
      </c>
      <c r="M636">
        <v>317.04213103744956</v>
      </c>
      <c r="N636">
        <v>4.778862019620937</v>
      </c>
      <c r="O636">
        <v>297.12573382852713</v>
      </c>
      <c r="P636">
        <v>4.3495741377113379</v>
      </c>
    </row>
    <row r="637" spans="4:16" x14ac:dyDescent="0.55000000000000004">
      <c r="D637">
        <v>630</v>
      </c>
      <c r="E637">
        <v>6.0926215571260292</v>
      </c>
      <c r="F637">
        <v>3.9073784428739713</v>
      </c>
      <c r="G637">
        <v>6.188584148832275</v>
      </c>
      <c r="H637">
        <v>3.8114158511677232</v>
      </c>
      <c r="I637">
        <v>300.23466315456272</v>
      </c>
      <c r="J637">
        <v>4.886035264141916</v>
      </c>
      <c r="K637">
        <v>277.46375942161251</v>
      </c>
      <c r="L637">
        <v>4.4488980902153612</v>
      </c>
      <c r="M637">
        <v>354.96354646468166</v>
      </c>
      <c r="N637">
        <v>4.8842402484309408</v>
      </c>
      <c r="O637">
        <v>331.70409912550411</v>
      </c>
      <c r="P637">
        <v>4.4472885185915345</v>
      </c>
    </row>
    <row r="638" spans="4:16" x14ac:dyDescent="0.55000000000000004">
      <c r="D638">
        <v>631</v>
      </c>
      <c r="E638">
        <v>7.0840351172619442</v>
      </c>
      <c r="F638">
        <v>2.9159648827380584</v>
      </c>
      <c r="G638">
        <v>6.5426714679473035</v>
      </c>
      <c r="H638">
        <v>3.4573285320526947</v>
      </c>
      <c r="I638">
        <v>351.12967799792222</v>
      </c>
      <c r="J638">
        <v>4.6772240177251847</v>
      </c>
      <c r="K638">
        <v>322.77372029172409</v>
      </c>
      <c r="L638">
        <v>4.2575095542787125</v>
      </c>
      <c r="M638">
        <v>374.29626445365096</v>
      </c>
      <c r="N638">
        <v>4.7018906350955039</v>
      </c>
      <c r="O638">
        <v>348.72692710039723</v>
      </c>
      <c r="P638">
        <v>4.2796145706850313</v>
      </c>
    </row>
    <row r="639" spans="4:16" x14ac:dyDescent="0.55000000000000004">
      <c r="D639">
        <v>632</v>
      </c>
      <c r="E639">
        <v>7.2293464134481074</v>
      </c>
      <c r="F639">
        <v>2.7706535865518926</v>
      </c>
      <c r="G639">
        <v>5.7463806692734689</v>
      </c>
      <c r="H639">
        <v>4.2536193307265311</v>
      </c>
      <c r="I639">
        <v>361.57636732857895</v>
      </c>
      <c r="J639">
        <v>4.7555129207640787</v>
      </c>
      <c r="K639">
        <v>332.40474800509486</v>
      </c>
      <c r="L639">
        <v>4.3294572138989116</v>
      </c>
      <c r="M639">
        <v>337.40571122971875</v>
      </c>
      <c r="N639">
        <v>4.8056648906192976</v>
      </c>
      <c r="O639">
        <v>315.96215259965646</v>
      </c>
      <c r="P639">
        <v>4.3743837012342066</v>
      </c>
    </row>
    <row r="640" spans="4:16" x14ac:dyDescent="0.55000000000000004">
      <c r="D640">
        <v>633</v>
      </c>
      <c r="E640">
        <v>6.0648653318694983</v>
      </c>
      <c r="F640">
        <v>3.9351346681305022</v>
      </c>
      <c r="G640">
        <v>5.4565384938225963</v>
      </c>
      <c r="H640">
        <v>4.5434615061774029</v>
      </c>
      <c r="I640">
        <v>301.05753975078045</v>
      </c>
      <c r="J640">
        <v>4.8059866138790373</v>
      </c>
      <c r="K640">
        <v>278.50488189614629</v>
      </c>
      <c r="L640">
        <v>4.3747397589597021</v>
      </c>
      <c r="M640">
        <v>320.8604337632155</v>
      </c>
      <c r="N640">
        <v>4.8254468233411574</v>
      </c>
      <c r="O640">
        <v>301.42009530740779</v>
      </c>
      <c r="P640">
        <v>4.3921942667019591</v>
      </c>
    </row>
    <row r="641" spans="4:16" x14ac:dyDescent="0.55000000000000004">
      <c r="D641">
        <v>634</v>
      </c>
      <c r="E641">
        <v>6.3392651549556929</v>
      </c>
      <c r="F641">
        <v>3.6607348450443067</v>
      </c>
      <c r="G641">
        <v>6.3102884916534476</v>
      </c>
      <c r="H641">
        <v>3.6897115083465559</v>
      </c>
      <c r="I641">
        <v>302.9964356036121</v>
      </c>
      <c r="J641">
        <v>4.7673672633596436</v>
      </c>
      <c r="K641">
        <v>279.598127442308</v>
      </c>
      <c r="L641">
        <v>4.3395511925990329</v>
      </c>
      <c r="M641">
        <v>351.61144452315506</v>
      </c>
      <c r="N641">
        <v>4.7684306232788058</v>
      </c>
      <c r="O641">
        <v>328.35650640287042</v>
      </c>
      <c r="P641">
        <v>4.3405044767513683</v>
      </c>
    </row>
    <row r="642" spans="4:16" x14ac:dyDescent="0.55000000000000004">
      <c r="D642">
        <v>635</v>
      </c>
      <c r="E642">
        <v>7.3680724689957771</v>
      </c>
      <c r="F642">
        <v>2.6319275310042212</v>
      </c>
      <c r="G642">
        <v>5.0898050289410088</v>
      </c>
      <c r="H642">
        <v>4.9101949710589912</v>
      </c>
      <c r="I642">
        <v>372.14182861163562</v>
      </c>
      <c r="J642">
        <v>4.753782877322859</v>
      </c>
      <c r="K642">
        <v>342.09651343932677</v>
      </c>
      <c r="L642">
        <v>4.3278808312558459</v>
      </c>
      <c r="M642">
        <v>307.07257341959394</v>
      </c>
      <c r="N642">
        <v>4.8299151977010482</v>
      </c>
      <c r="O642">
        <v>289.05806753201921</v>
      </c>
      <c r="P642">
        <v>4.3960533067098142</v>
      </c>
    </row>
    <row r="643" spans="4:16" x14ac:dyDescent="0.55000000000000004">
      <c r="D643">
        <v>636</v>
      </c>
      <c r="E643">
        <v>6.8269325185303176</v>
      </c>
      <c r="F643">
        <v>3.1730674814696815</v>
      </c>
      <c r="G643">
        <v>6.8122654231656403</v>
      </c>
      <c r="H643">
        <v>3.187734576834361</v>
      </c>
      <c r="I643">
        <v>354.35235114836001</v>
      </c>
      <c r="J643">
        <v>4.7389188510242422</v>
      </c>
      <c r="K643">
        <v>326.39948983732074</v>
      </c>
      <c r="L643">
        <v>4.3137333928389925</v>
      </c>
      <c r="M643">
        <v>403.5910546637553</v>
      </c>
      <c r="N643">
        <v>4.7394797621068632</v>
      </c>
      <c r="O643">
        <v>375.7191832825888</v>
      </c>
      <c r="P643">
        <v>4.3142346318356859</v>
      </c>
    </row>
    <row r="644" spans="4:16" x14ac:dyDescent="0.55000000000000004">
      <c r="D644">
        <v>637</v>
      </c>
      <c r="E644">
        <v>6.4848259166512374</v>
      </c>
      <c r="F644">
        <v>3.5151740833487626</v>
      </c>
      <c r="G644">
        <v>5.580708681988356</v>
      </c>
      <c r="H644">
        <v>4.4192913180116449</v>
      </c>
      <c r="I644">
        <v>342.6222758182376</v>
      </c>
      <c r="J644">
        <v>4.8436514262200063</v>
      </c>
      <c r="K644">
        <v>316.01054091693891</v>
      </c>
      <c r="L644">
        <v>4.4100144601913573</v>
      </c>
      <c r="M644">
        <v>344.85372990380023</v>
      </c>
      <c r="N644">
        <v>4.8654496120134727</v>
      </c>
      <c r="O644">
        <v>323.13584324565898</v>
      </c>
      <c r="P644">
        <v>4.429579439777533</v>
      </c>
    </row>
    <row r="645" spans="4:16" x14ac:dyDescent="0.55000000000000004">
      <c r="D645">
        <v>638</v>
      </c>
      <c r="E645">
        <v>7.0627989590664857</v>
      </c>
      <c r="F645">
        <v>2.9372010409335152</v>
      </c>
      <c r="G645">
        <v>6.3328100135091292</v>
      </c>
      <c r="H645">
        <v>3.6671899864908704</v>
      </c>
      <c r="I645">
        <v>353.33542834964157</v>
      </c>
      <c r="J645">
        <v>4.7899023887586045</v>
      </c>
      <c r="K645">
        <v>324.8715539148435</v>
      </c>
      <c r="L645">
        <v>4.3610466805261821</v>
      </c>
      <c r="M645">
        <v>366.81577682566507</v>
      </c>
      <c r="N645">
        <v>4.8116174247638908</v>
      </c>
      <c r="O645">
        <v>342.13937569285133</v>
      </c>
      <c r="P645">
        <v>4.3805096381109587</v>
      </c>
    </row>
    <row r="646" spans="4:16" x14ac:dyDescent="0.55000000000000004">
      <c r="D646">
        <v>639</v>
      </c>
      <c r="E646">
        <v>7.5421582380933918</v>
      </c>
      <c r="F646">
        <v>2.4578417619066077</v>
      </c>
      <c r="G646">
        <v>5.8751605164753453</v>
      </c>
      <c r="H646">
        <v>4.1248394835246573</v>
      </c>
      <c r="I646">
        <v>362.26533968500075</v>
      </c>
      <c r="J646">
        <v>4.7882299901554308</v>
      </c>
      <c r="K646">
        <v>332.47642682150081</v>
      </c>
      <c r="L646">
        <v>4.3598630613656768</v>
      </c>
      <c r="M646">
        <v>332.19601777314108</v>
      </c>
      <c r="N646">
        <v>4.8350362374885787</v>
      </c>
      <c r="O646">
        <v>310.69251044168425</v>
      </c>
      <c r="P646">
        <v>4.4018258963739996</v>
      </c>
    </row>
    <row r="647" spans="4:16" x14ac:dyDescent="0.55000000000000004">
      <c r="D647">
        <v>640</v>
      </c>
      <c r="E647">
        <v>6.7535878311174189</v>
      </c>
      <c r="F647">
        <v>3.246412168882582</v>
      </c>
      <c r="G647">
        <v>7.1663727402353921</v>
      </c>
      <c r="H647">
        <v>2.8336272597646084</v>
      </c>
      <c r="I647">
        <v>349.02946062802135</v>
      </c>
      <c r="J647">
        <v>4.8204044988692729</v>
      </c>
      <c r="K647">
        <v>321.87421917418447</v>
      </c>
      <c r="L647">
        <v>4.3885967348254775</v>
      </c>
      <c r="M647">
        <v>420.36243175205209</v>
      </c>
      <c r="N647">
        <v>4.8094274723663126</v>
      </c>
      <c r="O647">
        <v>390.88492534408152</v>
      </c>
      <c r="P647">
        <v>4.3788146456709161</v>
      </c>
    </row>
    <row r="648" spans="4:16" x14ac:dyDescent="0.55000000000000004">
      <c r="D648">
        <v>641</v>
      </c>
      <c r="E648">
        <v>7.5710068887297872</v>
      </c>
      <c r="F648">
        <v>2.428993111270215</v>
      </c>
      <c r="G648">
        <v>6.0880667015936165</v>
      </c>
      <c r="H648">
        <v>3.9119332984063835</v>
      </c>
      <c r="I648">
        <v>362.12010673330019</v>
      </c>
      <c r="J648">
        <v>4.8247638805250084</v>
      </c>
      <c r="K648">
        <v>332.60091464968013</v>
      </c>
      <c r="L648">
        <v>4.3932680433203757</v>
      </c>
      <c r="M648">
        <v>341.19130337370575</v>
      </c>
      <c r="N648">
        <v>4.8590875428365692</v>
      </c>
      <c r="O648">
        <v>319.27178327582959</v>
      </c>
      <c r="P648">
        <v>4.4239140942447142</v>
      </c>
    </row>
    <row r="649" spans="4:16" x14ac:dyDescent="0.55000000000000004">
      <c r="D649">
        <v>642</v>
      </c>
      <c r="E649">
        <v>6.7112875935382723</v>
      </c>
      <c r="F649">
        <v>3.2887124064617281</v>
      </c>
      <c r="G649">
        <v>5.9050967230668485</v>
      </c>
      <c r="H649">
        <v>4.0949032769331515</v>
      </c>
      <c r="I649">
        <v>336.27414967099799</v>
      </c>
      <c r="J649">
        <v>4.9388821903283695</v>
      </c>
      <c r="K649">
        <v>310.12602120688007</v>
      </c>
      <c r="L649">
        <v>4.4978539317030055</v>
      </c>
      <c r="M649">
        <v>345.87934529674953</v>
      </c>
      <c r="N649">
        <v>4.9462239439775377</v>
      </c>
      <c r="O649">
        <v>324.01183230084217</v>
      </c>
      <c r="P649">
        <v>4.5044176837076249</v>
      </c>
    </row>
    <row r="650" spans="4:16" x14ac:dyDescent="0.55000000000000004">
      <c r="D650">
        <v>643</v>
      </c>
      <c r="E650">
        <v>7.2379901010884007</v>
      </c>
      <c r="F650">
        <v>2.7620098989116006</v>
      </c>
      <c r="G650">
        <v>5.7175705847521181</v>
      </c>
      <c r="H650">
        <v>4.2824294152478819</v>
      </c>
      <c r="I650">
        <v>387.74806715131353</v>
      </c>
      <c r="J650">
        <v>4.9289085354711428</v>
      </c>
      <c r="K650">
        <v>356.80314736386805</v>
      </c>
      <c r="L650">
        <v>4.4888014357923058</v>
      </c>
      <c r="M650">
        <v>356.29731625433766</v>
      </c>
      <c r="N650">
        <v>4.9438420803648206</v>
      </c>
      <c r="O650">
        <v>334.08928789616596</v>
      </c>
      <c r="P650">
        <v>4.5021331199424859</v>
      </c>
    </row>
    <row r="651" spans="4:16" x14ac:dyDescent="0.55000000000000004">
      <c r="D651">
        <v>644</v>
      </c>
      <c r="E651">
        <v>6.4920654650675509</v>
      </c>
      <c r="F651">
        <v>3.5079345349324473</v>
      </c>
      <c r="G651">
        <v>6.7629998874616408</v>
      </c>
      <c r="H651">
        <v>3.2370001125383565</v>
      </c>
      <c r="I651">
        <v>315.97691994996831</v>
      </c>
      <c r="J651">
        <v>4.8360799432052115</v>
      </c>
      <c r="K651">
        <v>291.71267141097098</v>
      </c>
      <c r="L651">
        <v>4.4028868822946183</v>
      </c>
      <c r="M651">
        <v>379.16363606630324</v>
      </c>
      <c r="N651">
        <v>4.8292390408536443</v>
      </c>
      <c r="O651">
        <v>353.48549481608381</v>
      </c>
      <c r="P651">
        <v>4.3967794682420136</v>
      </c>
    </row>
    <row r="652" spans="4:16" x14ac:dyDescent="0.55000000000000004">
      <c r="D652">
        <v>645</v>
      </c>
      <c r="E652">
        <v>7.9607375120794188</v>
      </c>
      <c r="F652">
        <v>2.0392624879205816</v>
      </c>
      <c r="G652">
        <v>5.7963634991428359</v>
      </c>
      <c r="H652">
        <v>4.2036365008571632</v>
      </c>
      <c r="I652">
        <v>397.39750941103875</v>
      </c>
      <c r="J652">
        <v>4.8401488338375751</v>
      </c>
      <c r="K652">
        <v>364.17578905084281</v>
      </c>
      <c r="L652">
        <v>4.4077314255115558</v>
      </c>
      <c r="M652">
        <v>339.35264034333568</v>
      </c>
      <c r="N652">
        <v>4.8836093435522319</v>
      </c>
      <c r="O652">
        <v>317.35936742769945</v>
      </c>
      <c r="P652">
        <v>4.4466753482429029</v>
      </c>
    </row>
    <row r="653" spans="4:16" x14ac:dyDescent="0.55000000000000004">
      <c r="D653">
        <v>646</v>
      </c>
      <c r="E653">
        <v>6.4349928760402451</v>
      </c>
      <c r="F653">
        <v>3.5650071239597532</v>
      </c>
      <c r="G653">
        <v>5.2929345941322277</v>
      </c>
      <c r="H653">
        <v>4.7070654058677732</v>
      </c>
      <c r="I653">
        <v>314.39907565044899</v>
      </c>
      <c r="J653">
        <v>4.9301391554343494</v>
      </c>
      <c r="K653">
        <v>290.17777702186697</v>
      </c>
      <c r="L653">
        <v>4.4897405538816049</v>
      </c>
      <c r="M653">
        <v>308.60071268601791</v>
      </c>
      <c r="N653">
        <v>4.9425377948196951</v>
      </c>
      <c r="O653">
        <v>290.10373654775719</v>
      </c>
      <c r="P653">
        <v>4.5008672238665541</v>
      </c>
    </row>
    <row r="654" spans="4:16" x14ac:dyDescent="0.55000000000000004">
      <c r="D654">
        <v>647</v>
      </c>
      <c r="E654">
        <v>7.2860244018087865</v>
      </c>
      <c r="F654">
        <v>2.7139755981912153</v>
      </c>
      <c r="G654">
        <v>6.4689594542269111</v>
      </c>
      <c r="H654">
        <v>3.531040545773088</v>
      </c>
      <c r="I654">
        <v>399.55538148028654</v>
      </c>
      <c r="J654">
        <v>4.7170224017897739</v>
      </c>
      <c r="K654">
        <v>367.03959770933869</v>
      </c>
      <c r="L654">
        <v>4.294270415587909</v>
      </c>
      <c r="M654">
        <v>404.74868322874056</v>
      </c>
      <c r="N654">
        <v>4.7487559046848613</v>
      </c>
      <c r="O654">
        <v>376.90537876707214</v>
      </c>
      <c r="P654">
        <v>4.3226947227271335</v>
      </c>
    </row>
    <row r="655" spans="4:16" x14ac:dyDescent="0.55000000000000004">
      <c r="D655">
        <v>648</v>
      </c>
      <c r="E655">
        <v>5.1081830063041203</v>
      </c>
      <c r="F655">
        <v>4.8918169936958806</v>
      </c>
      <c r="G655">
        <v>5.4799432822889642</v>
      </c>
      <c r="H655">
        <v>4.5200567177110358</v>
      </c>
      <c r="I655">
        <v>266.07181084517407</v>
      </c>
      <c r="J655">
        <v>4.7279513720143518</v>
      </c>
      <c r="K655">
        <v>247.37834454268864</v>
      </c>
      <c r="L655">
        <v>4.3012840732365696</v>
      </c>
      <c r="M655">
        <v>335.4358253508243</v>
      </c>
      <c r="N655">
        <v>4.70815238029921</v>
      </c>
      <c r="O655">
        <v>314.80731530069414</v>
      </c>
      <c r="P655">
        <v>4.2834635924917057</v>
      </c>
    </row>
    <row r="656" spans="4:16" x14ac:dyDescent="0.55000000000000004">
      <c r="D656">
        <v>649</v>
      </c>
      <c r="E656">
        <v>6.41877552304841</v>
      </c>
      <c r="F656">
        <v>3.5812244769515895</v>
      </c>
      <c r="G656">
        <v>5.6662736415764368</v>
      </c>
      <c r="H656">
        <v>4.3337263584235624</v>
      </c>
      <c r="I656">
        <v>339.06340363206346</v>
      </c>
      <c r="J656">
        <v>4.93795877366595</v>
      </c>
      <c r="K656">
        <v>312.61808222014167</v>
      </c>
      <c r="L656">
        <v>4.4970170125008666</v>
      </c>
      <c r="M656">
        <v>349.31347808080426</v>
      </c>
      <c r="N656">
        <v>4.945232145258017</v>
      </c>
      <c r="O656">
        <v>326.88914523496038</v>
      </c>
      <c r="P656">
        <v>4.5035546306643957</v>
      </c>
    </row>
    <row r="657" spans="4:16" x14ac:dyDescent="0.55000000000000004">
      <c r="D657">
        <v>650</v>
      </c>
      <c r="E657">
        <v>6.7089098872259179</v>
      </c>
      <c r="F657">
        <v>3.2910901127740821</v>
      </c>
      <c r="G657">
        <v>7.4567131602675989</v>
      </c>
      <c r="H657">
        <v>2.5432868397323984</v>
      </c>
      <c r="I657">
        <v>349.24141401262153</v>
      </c>
      <c r="J657">
        <v>4.9199925577233294</v>
      </c>
      <c r="K657">
        <v>321.48305945373301</v>
      </c>
      <c r="L657">
        <v>4.4805710178006466</v>
      </c>
      <c r="M657">
        <v>438.16932881106163</v>
      </c>
      <c r="N657">
        <v>4.9110745921808006</v>
      </c>
      <c r="O657">
        <v>406.32978117166084</v>
      </c>
      <c r="P657">
        <v>4.4725880095876569</v>
      </c>
    </row>
    <row r="658" spans="4:16" x14ac:dyDescent="0.55000000000000004">
      <c r="D658">
        <v>651</v>
      </c>
      <c r="E658">
        <v>6.7216373462640782</v>
      </c>
      <c r="F658">
        <v>3.2783626537359232</v>
      </c>
      <c r="G658">
        <v>5.9280880332774748</v>
      </c>
      <c r="H658">
        <v>4.0719119667225252</v>
      </c>
      <c r="I658">
        <v>343.64670529549318</v>
      </c>
      <c r="J658">
        <v>4.7948970215521767</v>
      </c>
      <c r="K658">
        <v>316.54093536150265</v>
      </c>
      <c r="L658">
        <v>4.3652942189518225</v>
      </c>
      <c r="M658">
        <v>353.07614296830707</v>
      </c>
      <c r="N658">
        <v>4.819111259728718</v>
      </c>
      <c r="O658">
        <v>330.15766173393263</v>
      </c>
      <c r="P658">
        <v>4.3870093050321026</v>
      </c>
    </row>
    <row r="659" spans="4:16" x14ac:dyDescent="0.55000000000000004">
      <c r="D659">
        <v>652</v>
      </c>
      <c r="E659">
        <v>6.7343166498263987</v>
      </c>
      <c r="F659">
        <v>3.2656833501736013</v>
      </c>
      <c r="G659">
        <v>5.7427890880295225</v>
      </c>
      <c r="H659">
        <v>4.2572109119704766</v>
      </c>
      <c r="I659">
        <v>345.80291685599167</v>
      </c>
      <c r="J659">
        <v>4.7000793782461967</v>
      </c>
      <c r="K659">
        <v>318.48153425602317</v>
      </c>
      <c r="L659">
        <v>4.2779949881800503</v>
      </c>
      <c r="M659">
        <v>344.88860129268846</v>
      </c>
      <c r="N659">
        <v>4.7442382110251424</v>
      </c>
      <c r="O659">
        <v>322.7898819756478</v>
      </c>
      <c r="P659">
        <v>4.3176241182217598</v>
      </c>
    </row>
    <row r="660" spans="4:16" x14ac:dyDescent="0.55000000000000004">
      <c r="D660">
        <v>653</v>
      </c>
      <c r="E660">
        <v>7.1474303738785805</v>
      </c>
      <c r="F660">
        <v>2.8525696261214182</v>
      </c>
      <c r="G660">
        <v>5.7959248232492211</v>
      </c>
      <c r="H660">
        <v>4.204075176750778</v>
      </c>
      <c r="I660">
        <v>357.41905051747318</v>
      </c>
      <c r="J660">
        <v>4.7146148357885869</v>
      </c>
      <c r="K660">
        <v>328.63589630970336</v>
      </c>
      <c r="L660">
        <v>4.2918163815639687</v>
      </c>
      <c r="M660">
        <v>339.83478520718245</v>
      </c>
      <c r="N660">
        <v>4.7685782342861227</v>
      </c>
      <c r="O660">
        <v>318.05694407454013</v>
      </c>
      <c r="P660">
        <v>4.3401863109405854</v>
      </c>
    </row>
    <row r="661" spans="4:16" x14ac:dyDescent="0.55000000000000004">
      <c r="D661">
        <v>654</v>
      </c>
      <c r="E661">
        <v>7.3479620507224137</v>
      </c>
      <c r="F661">
        <v>2.6520379492775863</v>
      </c>
      <c r="G661">
        <v>5.9439881184782335</v>
      </c>
      <c r="H661">
        <v>4.0560118815217656</v>
      </c>
      <c r="I661">
        <v>356.97672852784137</v>
      </c>
      <c r="J661">
        <v>4.806285567167027</v>
      </c>
      <c r="K661">
        <v>328.2736153067035</v>
      </c>
      <c r="L661">
        <v>4.3760807132054813</v>
      </c>
      <c r="M661">
        <v>338.7692421783953</v>
      </c>
      <c r="N661">
        <v>4.8432985528247601</v>
      </c>
      <c r="O661">
        <v>317.39167309624094</v>
      </c>
      <c r="P661">
        <v>4.409118471587397</v>
      </c>
    </row>
    <row r="662" spans="4:16" x14ac:dyDescent="0.55000000000000004">
      <c r="D662">
        <v>655</v>
      </c>
      <c r="E662">
        <v>7.4209913810438968</v>
      </c>
      <c r="F662">
        <v>2.5790086189561023</v>
      </c>
      <c r="G662">
        <v>5.1008122081414946</v>
      </c>
      <c r="H662">
        <v>4.8991877918585054</v>
      </c>
      <c r="I662">
        <v>391.6459460232241</v>
      </c>
      <c r="J662">
        <v>4.8759482627393131</v>
      </c>
      <c r="K662">
        <v>359.93444226360259</v>
      </c>
      <c r="L662">
        <v>4.4402120305621038</v>
      </c>
      <c r="M662">
        <v>319.19751286159988</v>
      </c>
      <c r="N662">
        <v>4.9147331423296352</v>
      </c>
      <c r="O662">
        <v>300.29000229385531</v>
      </c>
      <c r="P662">
        <v>4.4749413144914607</v>
      </c>
    </row>
    <row r="663" spans="4:16" x14ac:dyDescent="0.55000000000000004">
      <c r="D663">
        <v>656</v>
      </c>
      <c r="E663">
        <v>5.7943696994089606</v>
      </c>
      <c r="F663">
        <v>4.205630300591042</v>
      </c>
      <c r="G663">
        <v>6.0334731079060413</v>
      </c>
      <c r="H663">
        <v>3.9665268920939596</v>
      </c>
      <c r="I663">
        <v>288.29529302024179</v>
      </c>
      <c r="J663">
        <v>4.9909165833620088</v>
      </c>
      <c r="K663">
        <v>266.87343251942559</v>
      </c>
      <c r="L663">
        <v>4.5458108494671814</v>
      </c>
      <c r="M663">
        <v>350.19173573804682</v>
      </c>
      <c r="N663">
        <v>4.9905417581451834</v>
      </c>
      <c r="O663">
        <v>327.55035423153032</v>
      </c>
      <c r="P663">
        <v>4.5454744481083305</v>
      </c>
    </row>
    <row r="664" spans="4:16" x14ac:dyDescent="0.55000000000000004">
      <c r="D664">
        <v>657</v>
      </c>
      <c r="E664">
        <v>7.288686082220921</v>
      </c>
      <c r="F664">
        <v>2.7113139177790786</v>
      </c>
      <c r="G664">
        <v>5.3118831545562584</v>
      </c>
      <c r="H664">
        <v>4.6881168454437416</v>
      </c>
      <c r="I664">
        <v>356.93224021796613</v>
      </c>
      <c r="J664">
        <v>4.8691329129827299</v>
      </c>
      <c r="K664">
        <v>328.06645323884703</v>
      </c>
      <c r="L664">
        <v>4.4339357027730992</v>
      </c>
      <c r="M664">
        <v>310.12676808192583</v>
      </c>
      <c r="N664">
        <v>4.9046260646746003</v>
      </c>
      <c r="O664">
        <v>291.26536170362937</v>
      </c>
      <c r="P664">
        <v>4.4657608077067321</v>
      </c>
    </row>
    <row r="665" spans="4:16" x14ac:dyDescent="0.55000000000000004">
      <c r="D665">
        <v>658</v>
      </c>
      <c r="E665">
        <v>6.7494327008822115</v>
      </c>
      <c r="F665">
        <v>3.2505672991177899</v>
      </c>
      <c r="G665">
        <v>8.5031137616302797</v>
      </c>
      <c r="H665">
        <v>1.4968862383697172</v>
      </c>
      <c r="I665">
        <v>338.03207891774917</v>
      </c>
      <c r="J665">
        <v>4.7685509708984446</v>
      </c>
      <c r="K665">
        <v>311.12454716557488</v>
      </c>
      <c r="L665">
        <v>4.3411937560264002</v>
      </c>
      <c r="M665">
        <v>475.86175009083439</v>
      </c>
      <c r="N665">
        <v>4.7084143939664491</v>
      </c>
      <c r="O665">
        <v>439.57355917730058</v>
      </c>
      <c r="P665">
        <v>4.2874800738154626</v>
      </c>
    </row>
    <row r="666" spans="4:16" x14ac:dyDescent="0.55000000000000004">
      <c r="D666">
        <v>659</v>
      </c>
      <c r="E666">
        <v>6.8460611450361144</v>
      </c>
      <c r="F666">
        <v>3.1539388549638852</v>
      </c>
      <c r="G666">
        <v>5.8737811278036212</v>
      </c>
      <c r="H666">
        <v>4.1262188721963797</v>
      </c>
      <c r="I666">
        <v>339.51664483474383</v>
      </c>
      <c r="J666">
        <v>4.8918071873093627</v>
      </c>
      <c r="K666">
        <v>312.4793423597032</v>
      </c>
      <c r="L666">
        <v>4.4546424086675938</v>
      </c>
      <c r="M666">
        <v>341.29837124687299</v>
      </c>
      <c r="N666">
        <v>4.9071727687084641</v>
      </c>
      <c r="O666">
        <v>319.20835708235313</v>
      </c>
      <c r="P666">
        <v>4.4684314516387573</v>
      </c>
    </row>
    <row r="667" spans="4:16" x14ac:dyDescent="0.55000000000000004">
      <c r="D667">
        <v>660</v>
      </c>
      <c r="E667">
        <v>6.6369171930253055</v>
      </c>
      <c r="F667">
        <v>3.3630828069746932</v>
      </c>
      <c r="G667">
        <v>5.1351598906523694</v>
      </c>
      <c r="H667">
        <v>4.8648401093476323</v>
      </c>
      <c r="I667">
        <v>326.39413831855018</v>
      </c>
      <c r="J667">
        <v>4.9108584396219248</v>
      </c>
      <c r="K667">
        <v>300.7691412523435</v>
      </c>
      <c r="L667">
        <v>4.4720762074168636</v>
      </c>
      <c r="M667">
        <v>302.53985229751675</v>
      </c>
      <c r="N667">
        <v>4.9310287966339708</v>
      </c>
      <c r="O667">
        <v>284.37917559816646</v>
      </c>
      <c r="P667">
        <v>4.4902079825839918</v>
      </c>
    </row>
    <row r="668" spans="4:16" x14ac:dyDescent="0.55000000000000004">
      <c r="D668">
        <v>661</v>
      </c>
      <c r="E668">
        <v>6.2912705872363937</v>
      </c>
      <c r="F668">
        <v>3.7087294127636077</v>
      </c>
      <c r="G668">
        <v>5.6091116761765027</v>
      </c>
      <c r="H668">
        <v>4.3908883238234955</v>
      </c>
      <c r="I668">
        <v>321.23511174379763</v>
      </c>
      <c r="J668">
        <v>4.8606449364653646</v>
      </c>
      <c r="K668">
        <v>296.59434445035248</v>
      </c>
      <c r="L668">
        <v>4.4255536726555889</v>
      </c>
      <c r="M668">
        <v>336.40377028696622</v>
      </c>
      <c r="N668">
        <v>4.8757551271769719</v>
      </c>
      <c r="O668">
        <v>315.32940656544133</v>
      </c>
      <c r="P668">
        <v>4.4391167211707607</v>
      </c>
    </row>
    <row r="669" spans="4:16" x14ac:dyDescent="0.55000000000000004">
      <c r="D669">
        <v>662</v>
      </c>
      <c r="E669">
        <v>6.2894076148030109</v>
      </c>
      <c r="F669">
        <v>3.7105923851969878</v>
      </c>
      <c r="G669">
        <v>6.5601621893512529</v>
      </c>
      <c r="H669">
        <v>3.4398378106487471</v>
      </c>
      <c r="I669">
        <v>317.28517074198771</v>
      </c>
      <c r="J669">
        <v>4.8477136154083906</v>
      </c>
      <c r="K669">
        <v>292.44207668891994</v>
      </c>
      <c r="L669">
        <v>4.4138567989718878</v>
      </c>
      <c r="M669">
        <v>380.94407419936897</v>
      </c>
      <c r="N669">
        <v>4.841157793653009</v>
      </c>
      <c r="O669">
        <v>354.71590312771838</v>
      </c>
      <c r="P669">
        <v>4.4079657683602207</v>
      </c>
    </row>
    <row r="670" spans="4:16" x14ac:dyDescent="0.55000000000000004">
      <c r="D670">
        <v>663</v>
      </c>
      <c r="E670">
        <v>6.4487994000588182</v>
      </c>
      <c r="F670">
        <v>3.5512005999411831</v>
      </c>
      <c r="G670">
        <v>6.9289939458330503</v>
      </c>
      <c r="H670">
        <v>3.0710060541669493</v>
      </c>
      <c r="I670">
        <v>312.05583738914868</v>
      </c>
      <c r="J670">
        <v>4.7795808532389596</v>
      </c>
      <c r="K670">
        <v>287.80407422047136</v>
      </c>
      <c r="L670">
        <v>4.3509302903975389</v>
      </c>
      <c r="M670">
        <v>385.29233488198639</v>
      </c>
      <c r="N670">
        <v>4.7631678644804767</v>
      </c>
      <c r="O670">
        <v>358.60098525444442</v>
      </c>
      <c r="P670">
        <v>4.3362404918546664</v>
      </c>
    </row>
    <row r="671" spans="4:16" x14ac:dyDescent="0.55000000000000004">
      <c r="D671">
        <v>664</v>
      </c>
      <c r="E671">
        <v>6.5151396895287741</v>
      </c>
      <c r="F671">
        <v>3.4848603104712259</v>
      </c>
      <c r="G671">
        <v>6.2236135700152611</v>
      </c>
      <c r="H671">
        <v>3.7763864299847389</v>
      </c>
      <c r="I671">
        <v>326.70766722727581</v>
      </c>
      <c r="J671">
        <v>4.844742275199823</v>
      </c>
      <c r="K671">
        <v>301.28470996429121</v>
      </c>
      <c r="L671">
        <v>4.4110430705149959</v>
      </c>
      <c r="M671">
        <v>362.08882204807628</v>
      </c>
      <c r="N671">
        <v>4.8516894297033932</v>
      </c>
      <c r="O671">
        <v>338.1864261954089</v>
      </c>
      <c r="P671">
        <v>4.4172676251879954</v>
      </c>
    </row>
    <row r="672" spans="4:16" x14ac:dyDescent="0.55000000000000004">
      <c r="D672">
        <v>665</v>
      </c>
      <c r="E672">
        <v>7.1191418506547048</v>
      </c>
      <c r="F672">
        <v>2.8808581493452947</v>
      </c>
      <c r="G672">
        <v>5.5489767280045159</v>
      </c>
      <c r="H672">
        <v>4.451023271995485</v>
      </c>
      <c r="I672">
        <v>365.99901566508947</v>
      </c>
      <c r="J672">
        <v>4.6591343828378635</v>
      </c>
      <c r="K672">
        <v>336.74460636696301</v>
      </c>
      <c r="L672">
        <v>4.2405991925294542</v>
      </c>
      <c r="M672">
        <v>335.27595923817279</v>
      </c>
      <c r="N672">
        <v>4.734314132701873</v>
      </c>
      <c r="O672">
        <v>314.46468791277192</v>
      </c>
      <c r="P672">
        <v>4.3079156003824801</v>
      </c>
    </row>
    <row r="673" spans="4:16" x14ac:dyDescent="0.55000000000000004">
      <c r="D673">
        <v>666</v>
      </c>
      <c r="E673">
        <v>6.7105508980935999</v>
      </c>
      <c r="F673">
        <v>3.2894491019063996</v>
      </c>
      <c r="G673">
        <v>6.5289315999662731</v>
      </c>
      <c r="H673">
        <v>3.4710684000337295</v>
      </c>
      <c r="I673">
        <v>342.84226190838825</v>
      </c>
      <c r="J673">
        <v>4.8887032449039554</v>
      </c>
      <c r="K673">
        <v>316.113097848167</v>
      </c>
      <c r="L673">
        <v>4.4515996437739025</v>
      </c>
      <c r="M673">
        <v>383.56332610687673</v>
      </c>
      <c r="N673">
        <v>4.8917154623584329</v>
      </c>
      <c r="O673">
        <v>357.82441234428222</v>
      </c>
      <c r="P673">
        <v>4.4542903966450895</v>
      </c>
    </row>
    <row r="674" spans="4:16" x14ac:dyDescent="0.55000000000000004">
      <c r="D674">
        <v>667</v>
      </c>
      <c r="E674">
        <v>5.7136917565209533</v>
      </c>
      <c r="F674">
        <v>4.2863082434790467</v>
      </c>
      <c r="G674">
        <v>6.0922836522758574</v>
      </c>
      <c r="H674">
        <v>3.9077163477241426</v>
      </c>
      <c r="I674">
        <v>284.59198460535038</v>
      </c>
      <c r="J674">
        <v>4.887540070280215</v>
      </c>
      <c r="K674">
        <v>263.75907272714511</v>
      </c>
      <c r="L674">
        <v>4.4499917651614176</v>
      </c>
      <c r="M674">
        <v>353.44918299121406</v>
      </c>
      <c r="N674">
        <v>4.8800884225884253</v>
      </c>
      <c r="O674">
        <v>330.66126639051663</v>
      </c>
      <c r="P674">
        <v>4.4433126609901299</v>
      </c>
    </row>
    <row r="675" spans="4:16" x14ac:dyDescent="0.55000000000000004">
      <c r="D675">
        <v>668</v>
      </c>
      <c r="E675">
        <v>5.8868858715688654</v>
      </c>
      <c r="F675">
        <v>4.1131141284311346</v>
      </c>
      <c r="G675">
        <v>6.2209372096050481</v>
      </c>
      <c r="H675">
        <v>3.7790627903949536</v>
      </c>
      <c r="I675">
        <v>297.22217011710507</v>
      </c>
      <c r="J675">
        <v>4.7860087284525745</v>
      </c>
      <c r="K675">
        <v>274.52616235560606</v>
      </c>
      <c r="L675">
        <v>4.3565685107479117</v>
      </c>
      <c r="M675">
        <v>364.08804212273583</v>
      </c>
      <c r="N675">
        <v>4.7738657937757329</v>
      </c>
      <c r="O675">
        <v>339.69903126224875</v>
      </c>
      <c r="P675">
        <v>4.3456444887980172</v>
      </c>
    </row>
    <row r="676" spans="4:16" x14ac:dyDescent="0.55000000000000004">
      <c r="D676">
        <v>669</v>
      </c>
      <c r="E676">
        <v>6.6315745547408271</v>
      </c>
      <c r="F676">
        <v>3.3684254452591733</v>
      </c>
      <c r="G676">
        <v>6.4130359947287952</v>
      </c>
      <c r="H676">
        <v>3.586964005271204</v>
      </c>
      <c r="I676">
        <v>338.55027894890799</v>
      </c>
      <c r="J676">
        <v>5.0123922419984659</v>
      </c>
      <c r="K676">
        <v>312.20889288880278</v>
      </c>
      <c r="L676">
        <v>4.5656473663317172</v>
      </c>
      <c r="M676">
        <v>377.39360871283645</v>
      </c>
      <c r="N676">
        <v>5.0119838649683484</v>
      </c>
      <c r="O676">
        <v>352.23333987238021</v>
      </c>
      <c r="P676">
        <v>4.5652822227334555</v>
      </c>
    </row>
    <row r="677" spans="4:16" x14ac:dyDescent="0.55000000000000004">
      <c r="D677">
        <v>670</v>
      </c>
      <c r="E677">
        <v>7.3399951027569905</v>
      </c>
      <c r="F677">
        <v>2.6600048972430095</v>
      </c>
      <c r="G677">
        <v>7.0113306615925932</v>
      </c>
      <c r="H677">
        <v>2.9886693384074068</v>
      </c>
      <c r="I677">
        <v>376.14155715192942</v>
      </c>
      <c r="J677">
        <v>4.8453619754183919</v>
      </c>
      <c r="K677">
        <v>345.49949551213888</v>
      </c>
      <c r="L677">
        <v>4.4121787548664662</v>
      </c>
      <c r="M677">
        <v>409.2989907810595</v>
      </c>
      <c r="N677">
        <v>4.852286233434965</v>
      </c>
      <c r="O677">
        <v>380.43861020558461</v>
      </c>
      <c r="P677">
        <v>4.4183705342856046</v>
      </c>
    </row>
    <row r="678" spans="4:16" x14ac:dyDescent="0.55000000000000004">
      <c r="D678">
        <v>671</v>
      </c>
      <c r="E678">
        <v>5.7673062903651324</v>
      </c>
      <c r="F678">
        <v>4.2326937096348676</v>
      </c>
      <c r="G678">
        <v>6.8864918971076499</v>
      </c>
      <c r="H678">
        <v>3.1135081028923519</v>
      </c>
      <c r="I678">
        <v>288.4168996931777</v>
      </c>
      <c r="J678">
        <v>4.8501400546928899</v>
      </c>
      <c r="K678">
        <v>266.75900054576027</v>
      </c>
      <c r="L678">
        <v>4.4156127086212011</v>
      </c>
      <c r="M678">
        <v>394.38619048967337</v>
      </c>
      <c r="N678">
        <v>4.8210586975790628</v>
      </c>
      <c r="O678">
        <v>366.96894928458732</v>
      </c>
      <c r="P678">
        <v>4.3895238761710997</v>
      </c>
    </row>
    <row r="679" spans="4:16" x14ac:dyDescent="0.55000000000000004">
      <c r="D679">
        <v>672</v>
      </c>
      <c r="E679">
        <v>6.5336589344967129</v>
      </c>
      <c r="F679">
        <v>3.4663410655032862</v>
      </c>
      <c r="G679">
        <v>5.6480739685996753</v>
      </c>
      <c r="H679">
        <v>4.3519260314003247</v>
      </c>
      <c r="I679">
        <v>323.57536788652141</v>
      </c>
      <c r="J679">
        <v>4.8281681837846504</v>
      </c>
      <c r="K679">
        <v>298.81370025390254</v>
      </c>
      <c r="L679">
        <v>4.3955369671170041</v>
      </c>
      <c r="M679">
        <v>329.71732693156002</v>
      </c>
      <c r="N679">
        <v>4.8514586056797473</v>
      </c>
      <c r="O679">
        <v>309.60996788888639</v>
      </c>
      <c r="P679">
        <v>4.4163557599030598</v>
      </c>
    </row>
    <row r="680" spans="4:16" x14ac:dyDescent="0.55000000000000004">
      <c r="D680">
        <v>673</v>
      </c>
      <c r="E680">
        <v>7.3855362160722402</v>
      </c>
      <c r="F680">
        <v>2.6144637839277598</v>
      </c>
      <c r="G680">
        <v>7.9751446430957964</v>
      </c>
      <c r="H680">
        <v>2.0248553569042032</v>
      </c>
      <c r="I680">
        <v>383.62305250885015</v>
      </c>
      <c r="J680">
        <v>4.832833544172078</v>
      </c>
      <c r="K680">
        <v>352.54911631653994</v>
      </c>
      <c r="L680">
        <v>4.4005935517882548</v>
      </c>
      <c r="M680">
        <v>464.24877526510642</v>
      </c>
      <c r="N680">
        <v>4.8194881690783484</v>
      </c>
      <c r="O680">
        <v>429.82105550627966</v>
      </c>
      <c r="P680">
        <v>4.388709611581616</v>
      </c>
    </row>
    <row r="681" spans="4:16" x14ac:dyDescent="0.55000000000000004">
      <c r="D681">
        <v>674</v>
      </c>
      <c r="E681">
        <v>6.8049882213097401</v>
      </c>
      <c r="F681">
        <v>3.1950117786902621</v>
      </c>
      <c r="G681">
        <v>5.8632815669811391</v>
      </c>
      <c r="H681">
        <v>4.1367184330188609</v>
      </c>
      <c r="I681">
        <v>327.76455937575463</v>
      </c>
      <c r="J681">
        <v>4.8542884297831961</v>
      </c>
      <c r="K681">
        <v>301.94741604781308</v>
      </c>
      <c r="L681">
        <v>4.4199850633002606</v>
      </c>
      <c r="M681">
        <v>332.40693985032016</v>
      </c>
      <c r="N681">
        <v>4.8744526902967014</v>
      </c>
      <c r="O681">
        <v>311.32543843543732</v>
      </c>
      <c r="P681">
        <v>4.4380440387870674</v>
      </c>
    </row>
    <row r="682" spans="4:16" x14ac:dyDescent="0.55000000000000004">
      <c r="D682">
        <v>675</v>
      </c>
      <c r="E682">
        <v>6.4267719490291269</v>
      </c>
      <c r="F682">
        <v>3.5732280509708723</v>
      </c>
      <c r="G682">
        <v>6.1879443244065673</v>
      </c>
      <c r="H682">
        <v>3.8120556755934327</v>
      </c>
      <c r="I682">
        <v>310.68190426517026</v>
      </c>
      <c r="J682">
        <v>4.7721231645051896</v>
      </c>
      <c r="K682">
        <v>286.55555711559515</v>
      </c>
      <c r="L682">
        <v>4.3440385127383774</v>
      </c>
      <c r="M682">
        <v>349.13654030993092</v>
      </c>
      <c r="N682">
        <v>4.7805913789928622</v>
      </c>
      <c r="O682">
        <v>326.2025527196829</v>
      </c>
      <c r="P682">
        <v>4.3516321635021207</v>
      </c>
    </row>
    <row r="683" spans="4:16" x14ac:dyDescent="0.55000000000000004">
      <c r="D683">
        <v>676</v>
      </c>
      <c r="E683">
        <v>6.641653126156716</v>
      </c>
      <c r="F683">
        <v>3.3583468738432845</v>
      </c>
      <c r="G683">
        <v>6.5771403071241217</v>
      </c>
      <c r="H683">
        <v>3.4228596928758783</v>
      </c>
      <c r="I683">
        <v>343.97593103071966</v>
      </c>
      <c r="J683">
        <v>4.7671954290996057</v>
      </c>
      <c r="K683">
        <v>317.04368098071956</v>
      </c>
      <c r="L683">
        <v>4.3396426263178736</v>
      </c>
      <c r="M683">
        <v>390.63476632840195</v>
      </c>
      <c r="N683">
        <v>4.7694567455018895</v>
      </c>
      <c r="O683">
        <v>364.05378707458595</v>
      </c>
      <c r="P683">
        <v>4.3416662009493008</v>
      </c>
    </row>
    <row r="684" spans="4:16" x14ac:dyDescent="0.55000000000000004">
      <c r="D684">
        <v>677</v>
      </c>
      <c r="E684">
        <v>7.3038622707845278</v>
      </c>
      <c r="F684">
        <v>2.6961377292154713</v>
      </c>
      <c r="G684">
        <v>5.1643250559253273</v>
      </c>
      <c r="H684">
        <v>4.8356749440746727</v>
      </c>
      <c r="I684">
        <v>368.94436227484113</v>
      </c>
      <c r="J684">
        <v>4.8468660268855999</v>
      </c>
      <c r="K684">
        <v>339.17307441395366</v>
      </c>
      <c r="L684">
        <v>4.4134422120132006</v>
      </c>
      <c r="M684">
        <v>310.86863959083047</v>
      </c>
      <c r="N684">
        <v>4.891723914697649</v>
      </c>
      <c r="O684">
        <v>292.32071038991859</v>
      </c>
      <c r="P684">
        <v>4.4536417348276309</v>
      </c>
    </row>
    <row r="685" spans="4:16" x14ac:dyDescent="0.55000000000000004">
      <c r="D685">
        <v>678</v>
      </c>
      <c r="E685">
        <v>6.3757107131096094</v>
      </c>
      <c r="F685">
        <v>3.6242892868903906</v>
      </c>
      <c r="G685">
        <v>5.8260534621274589</v>
      </c>
      <c r="H685">
        <v>4.1739465378725393</v>
      </c>
      <c r="I685">
        <v>318.39392053656513</v>
      </c>
      <c r="J685">
        <v>4.8552076239385213</v>
      </c>
      <c r="K685">
        <v>293.92257810014775</v>
      </c>
      <c r="L685">
        <v>4.4205554979085155</v>
      </c>
      <c r="M685">
        <v>340.9448195709723</v>
      </c>
      <c r="N685">
        <v>4.8676903388812613</v>
      </c>
      <c r="O685">
        <v>319.31758800798536</v>
      </c>
      <c r="P685">
        <v>4.4317448289497907</v>
      </c>
    </row>
    <row r="686" spans="4:16" x14ac:dyDescent="0.55000000000000004">
      <c r="D686">
        <v>679</v>
      </c>
      <c r="E686">
        <v>6.8028283257007498</v>
      </c>
      <c r="F686">
        <v>3.1971716742992506</v>
      </c>
      <c r="G686">
        <v>6.5685460918020171</v>
      </c>
      <c r="H686">
        <v>3.4314539081979838</v>
      </c>
      <c r="I686">
        <v>325.22039646729468</v>
      </c>
      <c r="J686">
        <v>4.8060280092326373</v>
      </c>
      <c r="K686">
        <v>299.62945648811035</v>
      </c>
      <c r="L686">
        <v>4.3755105960551068</v>
      </c>
      <c r="M686">
        <v>364.02014896054311</v>
      </c>
      <c r="N686">
        <v>4.812708200049606</v>
      </c>
      <c r="O686">
        <v>339.61769763253562</v>
      </c>
      <c r="P686">
        <v>4.3814819336999591</v>
      </c>
    </row>
    <row r="687" spans="4:16" x14ac:dyDescent="0.55000000000000004">
      <c r="D687">
        <v>680</v>
      </c>
      <c r="E687">
        <v>7.4147250651130294</v>
      </c>
      <c r="F687">
        <v>2.5852749348869715</v>
      </c>
      <c r="G687">
        <v>5.6198096792590988</v>
      </c>
      <c r="H687">
        <v>4.3801903207409003</v>
      </c>
      <c r="I687">
        <v>350.64158965616593</v>
      </c>
      <c r="J687">
        <v>4.6999974341392567</v>
      </c>
      <c r="K687">
        <v>322.32525818519662</v>
      </c>
      <c r="L687">
        <v>4.2784436926159968</v>
      </c>
      <c r="M687">
        <v>315.76022471447902</v>
      </c>
      <c r="N687">
        <v>4.7726203859723197</v>
      </c>
      <c r="O687">
        <v>296.48538452712199</v>
      </c>
      <c r="P687">
        <v>4.3433309089735523</v>
      </c>
    </row>
    <row r="688" spans="4:16" x14ac:dyDescent="0.55000000000000004">
      <c r="D688">
        <v>681</v>
      </c>
      <c r="E688">
        <v>5.837915206003097</v>
      </c>
      <c r="F688">
        <v>4.1620847939969012</v>
      </c>
      <c r="G688">
        <v>6.8019992076257223</v>
      </c>
      <c r="H688">
        <v>3.1980007923742777</v>
      </c>
      <c r="I688">
        <v>301.62378528989478</v>
      </c>
      <c r="J688">
        <v>4.8427322235485368</v>
      </c>
      <c r="K688">
        <v>279.34934623295879</v>
      </c>
      <c r="L688">
        <v>4.4085655202266967</v>
      </c>
      <c r="M688">
        <v>401.43448922198115</v>
      </c>
      <c r="N688">
        <v>4.8167607351151824</v>
      </c>
      <c r="O688">
        <v>373.90468095818136</v>
      </c>
      <c r="P688">
        <v>4.3853342010701128</v>
      </c>
    </row>
    <row r="689" spans="4:16" x14ac:dyDescent="0.55000000000000004">
      <c r="D689">
        <v>682</v>
      </c>
      <c r="E689">
        <v>7.2817711657725468</v>
      </c>
      <c r="F689">
        <v>2.7182288342274514</v>
      </c>
      <c r="G689">
        <v>5.5164817713941288</v>
      </c>
      <c r="H689">
        <v>4.4835182286058703</v>
      </c>
      <c r="I689">
        <v>373.78848773639356</v>
      </c>
      <c r="J689">
        <v>4.8529388291042324</v>
      </c>
      <c r="K689">
        <v>343.57772403542924</v>
      </c>
      <c r="L689">
        <v>4.4190440968001372</v>
      </c>
      <c r="M689">
        <v>333.17250460259822</v>
      </c>
      <c r="N689">
        <v>4.8885902550275606</v>
      </c>
      <c r="O689">
        <v>312.3784257758125</v>
      </c>
      <c r="P689">
        <v>4.450990676937713</v>
      </c>
    </row>
    <row r="690" spans="4:16" x14ac:dyDescent="0.55000000000000004">
      <c r="D690">
        <v>683</v>
      </c>
      <c r="E690">
        <v>6.5010767168342349</v>
      </c>
      <c r="F690">
        <v>3.4989232831657668</v>
      </c>
      <c r="G690">
        <v>6.2349759701554097</v>
      </c>
      <c r="H690">
        <v>3.7650240298445889</v>
      </c>
      <c r="I690">
        <v>316.88488811670095</v>
      </c>
      <c r="J690">
        <v>4.7892773737444152</v>
      </c>
      <c r="K690">
        <v>292.10700299010006</v>
      </c>
      <c r="L690">
        <v>4.3599735322868414</v>
      </c>
      <c r="M690">
        <v>353.9142204854856</v>
      </c>
      <c r="N690">
        <v>4.7979026293183917</v>
      </c>
      <c r="O690">
        <v>330.47252767019768</v>
      </c>
      <c r="P690">
        <v>4.3677102445330007</v>
      </c>
    </row>
    <row r="691" spans="4:16" x14ac:dyDescent="0.55000000000000004">
      <c r="D691">
        <v>684</v>
      </c>
      <c r="E691">
        <v>6.5857837052373638</v>
      </c>
      <c r="F691">
        <v>3.414216294762638</v>
      </c>
      <c r="G691">
        <v>6.8681617923212634</v>
      </c>
      <c r="H691">
        <v>3.1318382076787374</v>
      </c>
      <c r="I691">
        <v>329.41659571281804</v>
      </c>
      <c r="J691">
        <v>4.7941814255681896</v>
      </c>
      <c r="K691">
        <v>303.89865483713066</v>
      </c>
      <c r="L691">
        <v>4.3643442845316569</v>
      </c>
      <c r="M691">
        <v>393.54096303406806</v>
      </c>
      <c r="N691">
        <v>4.7853565600797925</v>
      </c>
      <c r="O691">
        <v>366.51140734387519</v>
      </c>
      <c r="P691">
        <v>4.3564638717826201</v>
      </c>
    </row>
    <row r="692" spans="4:16" x14ac:dyDescent="0.55000000000000004">
      <c r="D692">
        <v>685</v>
      </c>
      <c r="E692">
        <v>7.0146607731704016</v>
      </c>
      <c r="F692">
        <v>2.9853392268295957</v>
      </c>
      <c r="G692">
        <v>7.2195788774475425</v>
      </c>
      <c r="H692">
        <v>2.7804211225524562</v>
      </c>
      <c r="I692">
        <v>367.47326483946955</v>
      </c>
      <c r="J692">
        <v>4.8150158144315984</v>
      </c>
      <c r="K692">
        <v>337.97510580395533</v>
      </c>
      <c r="L692">
        <v>4.3840843590579635</v>
      </c>
      <c r="M692">
        <v>428.20819946260207</v>
      </c>
      <c r="N692">
        <v>4.8096119025599213</v>
      </c>
      <c r="O692">
        <v>397.5749792009384</v>
      </c>
      <c r="P692">
        <v>4.3792518312748161</v>
      </c>
    </row>
    <row r="693" spans="4:16" x14ac:dyDescent="0.55000000000000004">
      <c r="D693">
        <v>686</v>
      </c>
      <c r="E693">
        <v>6.679413748609611</v>
      </c>
      <c r="F693">
        <v>3.3205862513903894</v>
      </c>
      <c r="G693">
        <v>6.2340648114232975</v>
      </c>
      <c r="H693">
        <v>3.765935188576703</v>
      </c>
      <c r="I693">
        <v>324.68092525589446</v>
      </c>
      <c r="J693">
        <v>4.7390738822396354</v>
      </c>
      <c r="K693">
        <v>299.47275126174395</v>
      </c>
      <c r="L693">
        <v>4.3135514637459673</v>
      </c>
      <c r="M693">
        <v>353.03287193422676</v>
      </c>
      <c r="N693">
        <v>4.7564710930731335</v>
      </c>
      <c r="O693">
        <v>330.13113902926472</v>
      </c>
      <c r="P693">
        <v>4.3290951295374507</v>
      </c>
    </row>
    <row r="694" spans="4:16" x14ac:dyDescent="0.55000000000000004">
      <c r="D694">
        <v>687</v>
      </c>
      <c r="E694">
        <v>5.1438682180369391</v>
      </c>
      <c r="F694">
        <v>4.8561317819630592</v>
      </c>
      <c r="G694">
        <v>5.7894588681909616</v>
      </c>
      <c r="H694">
        <v>4.2105411318090367</v>
      </c>
      <c r="I694">
        <v>265.21856008100451</v>
      </c>
      <c r="J694">
        <v>4.7825843298571868</v>
      </c>
      <c r="K694">
        <v>246.52133873025289</v>
      </c>
      <c r="L694">
        <v>4.3521308916668247</v>
      </c>
      <c r="M694">
        <v>348.50530371009245</v>
      </c>
      <c r="N694">
        <v>4.7552971759310827</v>
      </c>
      <c r="O694">
        <v>326.45120582135081</v>
      </c>
      <c r="P694">
        <v>4.3275955721593631</v>
      </c>
    </row>
    <row r="695" spans="4:16" x14ac:dyDescent="0.55000000000000004">
      <c r="D695">
        <v>688</v>
      </c>
      <c r="E695">
        <v>6.8282017696683965</v>
      </c>
      <c r="F695">
        <v>3.1717982303316017</v>
      </c>
      <c r="G695">
        <v>5.6635289098040227</v>
      </c>
      <c r="H695">
        <v>4.3364710901959764</v>
      </c>
      <c r="I695">
        <v>343.64619440029588</v>
      </c>
      <c r="J695">
        <v>4.8539442500866965</v>
      </c>
      <c r="K695">
        <v>316.71670095760862</v>
      </c>
      <c r="L695">
        <v>4.4196090845260469</v>
      </c>
      <c r="M695">
        <v>335.03114324706399</v>
      </c>
      <c r="N695">
        <v>4.8788566902414088</v>
      </c>
      <c r="O695">
        <v>314.27993052856078</v>
      </c>
      <c r="P695">
        <v>4.441895645392556</v>
      </c>
    </row>
    <row r="696" spans="4:16" x14ac:dyDescent="0.55000000000000004">
      <c r="D696">
        <v>689</v>
      </c>
      <c r="E696">
        <v>7.351409216730989</v>
      </c>
      <c r="F696">
        <v>2.6485907832690083</v>
      </c>
      <c r="G696">
        <v>6.3896388122008583</v>
      </c>
      <c r="H696">
        <v>3.6103611877991431</v>
      </c>
      <c r="I696">
        <v>388.76259008737577</v>
      </c>
      <c r="J696">
        <v>4.7550884940408853</v>
      </c>
      <c r="K696">
        <v>357.0862489944617</v>
      </c>
      <c r="L696">
        <v>4.329263182006958</v>
      </c>
      <c r="M696">
        <v>387.90154528476006</v>
      </c>
      <c r="N696">
        <v>4.7871297845222127</v>
      </c>
      <c r="O696">
        <v>361.54707193192814</v>
      </c>
      <c r="P696">
        <v>4.3579518179994734</v>
      </c>
    </row>
    <row r="697" spans="4:16" x14ac:dyDescent="0.55000000000000004">
      <c r="D697">
        <v>690</v>
      </c>
      <c r="E697">
        <v>5.5310533695849342</v>
      </c>
      <c r="F697">
        <v>4.4689466304150658</v>
      </c>
      <c r="G697">
        <v>6.5846434858006591</v>
      </c>
      <c r="H697">
        <v>3.4153565141993401</v>
      </c>
      <c r="I697">
        <v>264.64836087829303</v>
      </c>
      <c r="J697">
        <v>4.7967356673182602</v>
      </c>
      <c r="K697">
        <v>244.87366156120078</v>
      </c>
      <c r="L697">
        <v>4.3661430320887415</v>
      </c>
      <c r="M697">
        <v>365.06025869640911</v>
      </c>
      <c r="N697">
        <v>4.7580165884045913</v>
      </c>
      <c r="O697">
        <v>340.2117760218099</v>
      </c>
      <c r="P697">
        <v>4.3313208947050068</v>
      </c>
    </row>
    <row r="698" spans="4:16" x14ac:dyDescent="0.55000000000000004">
      <c r="D698">
        <v>691</v>
      </c>
      <c r="E698">
        <v>7.2837090715035204</v>
      </c>
      <c r="F698">
        <v>2.7162909284964778</v>
      </c>
      <c r="G698">
        <v>5.643279057470691</v>
      </c>
      <c r="H698">
        <v>4.356720942529309</v>
      </c>
      <c r="I698">
        <v>347.58667389353275</v>
      </c>
      <c r="J698">
        <v>4.9341411337845233</v>
      </c>
      <c r="K698">
        <v>319.31806915698309</v>
      </c>
      <c r="L698">
        <v>4.4937166383541118</v>
      </c>
      <c r="M698">
        <v>319.30353452933349</v>
      </c>
      <c r="N698">
        <v>4.9489738048549148</v>
      </c>
      <c r="O698">
        <v>299.06260432814207</v>
      </c>
      <c r="P698">
        <v>4.5070282685361311</v>
      </c>
    </row>
    <row r="699" spans="4:16" x14ac:dyDescent="0.55000000000000004">
      <c r="D699">
        <v>692</v>
      </c>
      <c r="E699">
        <v>6.3333094827186178</v>
      </c>
      <c r="F699">
        <v>3.6666905172813822</v>
      </c>
      <c r="G699">
        <v>6.7638723421899014</v>
      </c>
      <c r="H699">
        <v>3.2361276578101004</v>
      </c>
      <c r="I699">
        <v>305.06027064899683</v>
      </c>
      <c r="J699">
        <v>4.7862572365818385</v>
      </c>
      <c r="K699">
        <v>281.7079763505759</v>
      </c>
      <c r="L699">
        <v>4.3568385168326165</v>
      </c>
      <c r="M699">
        <v>375.7994470306528</v>
      </c>
      <c r="N699">
        <v>4.7717261773213169</v>
      </c>
      <c r="O699">
        <v>350.25196872745585</v>
      </c>
      <c r="P699">
        <v>4.3438455296861518</v>
      </c>
    </row>
    <row r="700" spans="4:16" x14ac:dyDescent="0.55000000000000004">
      <c r="D700">
        <v>693</v>
      </c>
      <c r="E700">
        <v>7.386622598319649</v>
      </c>
      <c r="F700">
        <v>2.613377401680351</v>
      </c>
      <c r="G700">
        <v>6.8125646312910435</v>
      </c>
      <c r="H700">
        <v>3.1874353687089552</v>
      </c>
      <c r="I700">
        <v>371.84736273502699</v>
      </c>
      <c r="J700">
        <v>4.8165276254299263</v>
      </c>
      <c r="K700">
        <v>341.21879219494679</v>
      </c>
      <c r="L700">
        <v>4.3858593201842053</v>
      </c>
      <c r="M700">
        <v>392.94891310458598</v>
      </c>
      <c r="N700">
        <v>4.8307863447498436</v>
      </c>
      <c r="O700">
        <v>365.29928771940666</v>
      </c>
      <c r="P700">
        <v>4.3986482048459887</v>
      </c>
    </row>
    <row r="701" spans="4:16" x14ac:dyDescent="0.55000000000000004">
      <c r="D701">
        <v>694</v>
      </c>
      <c r="E701">
        <v>6.5148810873646195</v>
      </c>
      <c r="F701">
        <v>3.4851189126353805</v>
      </c>
      <c r="G701">
        <v>5.7230202195626747</v>
      </c>
      <c r="H701">
        <v>4.2769797804373253</v>
      </c>
      <c r="I701">
        <v>334.07913798206118</v>
      </c>
      <c r="J701">
        <v>4.9264912122315714</v>
      </c>
      <c r="K701">
        <v>308.3166520168844</v>
      </c>
      <c r="L701">
        <v>4.4863791568627471</v>
      </c>
      <c r="M701">
        <v>343.47299451306162</v>
      </c>
      <c r="N701">
        <v>4.9354259466791852</v>
      </c>
      <c r="O701">
        <v>321.95543306697493</v>
      </c>
      <c r="P701">
        <v>4.4943798633508427</v>
      </c>
    </row>
    <row r="702" spans="4:16" x14ac:dyDescent="0.55000000000000004">
      <c r="D702">
        <v>695</v>
      </c>
      <c r="E702">
        <v>6.6559621690908735</v>
      </c>
      <c r="F702">
        <v>3.3440378309091274</v>
      </c>
      <c r="G702">
        <v>5.5208098610901573</v>
      </c>
      <c r="H702">
        <v>4.4791901389098419</v>
      </c>
      <c r="I702">
        <v>342.48707862032791</v>
      </c>
      <c r="J702">
        <v>4.8211924268444228</v>
      </c>
      <c r="K702">
        <v>315.56168863351309</v>
      </c>
      <c r="L702">
        <v>4.3894691056775725</v>
      </c>
      <c r="M702">
        <v>334.07704144167758</v>
      </c>
      <c r="N702">
        <v>4.8516874663592411</v>
      </c>
      <c r="O702">
        <v>313.11318264661799</v>
      </c>
      <c r="P702">
        <v>4.4168517155819558</v>
      </c>
    </row>
    <row r="703" spans="4:16" x14ac:dyDescent="0.55000000000000004">
      <c r="D703">
        <v>696</v>
      </c>
      <c r="E703">
        <v>5.8996132952215081</v>
      </c>
      <c r="F703">
        <v>4.1003867047784919</v>
      </c>
      <c r="G703">
        <v>4.1211952825775713</v>
      </c>
      <c r="H703">
        <v>5.8788047174224278</v>
      </c>
      <c r="I703">
        <v>287.631465404869</v>
      </c>
      <c r="J703">
        <v>4.8164992311058086</v>
      </c>
      <c r="K703">
        <v>266.47739428892129</v>
      </c>
      <c r="L703">
        <v>4.3842142526640373</v>
      </c>
      <c r="M703">
        <v>250.92595548720843</v>
      </c>
      <c r="N703">
        <v>4.8718149028973405</v>
      </c>
      <c r="O703">
        <v>238.41941306011731</v>
      </c>
      <c r="P703">
        <v>4.434013044856858</v>
      </c>
    </row>
    <row r="704" spans="4:16" x14ac:dyDescent="0.55000000000000004">
      <c r="D704">
        <v>697</v>
      </c>
      <c r="E704">
        <v>6.452301263585607</v>
      </c>
      <c r="F704">
        <v>3.5476987364143939</v>
      </c>
      <c r="G704">
        <v>6.3565659079751295</v>
      </c>
      <c r="H704">
        <v>3.6434340920248722</v>
      </c>
      <c r="I704">
        <v>305.41154809838969</v>
      </c>
      <c r="J704">
        <v>4.7502690613846532</v>
      </c>
      <c r="K704">
        <v>281.63010716930421</v>
      </c>
      <c r="L704">
        <v>4.3239341479540547</v>
      </c>
      <c r="M704">
        <v>350.88003570144724</v>
      </c>
      <c r="N704">
        <v>4.7539744184717776</v>
      </c>
      <c r="O704">
        <v>327.56751260638038</v>
      </c>
      <c r="P704">
        <v>4.3272560771991326</v>
      </c>
    </row>
    <row r="705" spans="4:16" x14ac:dyDescent="0.55000000000000004">
      <c r="D705">
        <v>698</v>
      </c>
      <c r="E705">
        <v>6.4557488225008646</v>
      </c>
      <c r="F705">
        <v>3.5442511774991359</v>
      </c>
      <c r="G705">
        <v>6.7604310357463024</v>
      </c>
      <c r="H705">
        <v>3.2395689642536953</v>
      </c>
      <c r="I705">
        <v>322.66889882087469</v>
      </c>
      <c r="J705">
        <v>4.8141819253986187</v>
      </c>
      <c r="K705">
        <v>297.84488269305683</v>
      </c>
      <c r="L705">
        <v>4.382696862394015</v>
      </c>
      <c r="M705">
        <v>387.89741482130489</v>
      </c>
      <c r="N705">
        <v>4.8054121507702696</v>
      </c>
      <c r="O705">
        <v>361.45232682443145</v>
      </c>
      <c r="P705">
        <v>4.374860628167605</v>
      </c>
    </row>
    <row r="706" spans="4:16" x14ac:dyDescent="0.55000000000000004">
      <c r="D706">
        <v>699</v>
      </c>
      <c r="E706">
        <v>6.6712794758496896</v>
      </c>
      <c r="F706">
        <v>3.3287205241503113</v>
      </c>
      <c r="G706">
        <v>4.9082112819923074</v>
      </c>
      <c r="H706">
        <v>5.0917887180076935</v>
      </c>
      <c r="I706">
        <v>333.87916197486959</v>
      </c>
      <c r="J706">
        <v>4.8543776471736368</v>
      </c>
      <c r="K706">
        <v>307.83129836275032</v>
      </c>
      <c r="L706">
        <v>4.4199578178476235</v>
      </c>
      <c r="M706">
        <v>295.64245517813083</v>
      </c>
      <c r="N706">
        <v>4.8928623395796826</v>
      </c>
      <c r="O706">
        <v>278.61331360928887</v>
      </c>
      <c r="P706">
        <v>4.4545089688021422</v>
      </c>
    </row>
    <row r="707" spans="4:16" x14ac:dyDescent="0.55000000000000004">
      <c r="D707">
        <v>700</v>
      </c>
      <c r="E707">
        <v>6.7232151692187418</v>
      </c>
      <c r="F707">
        <v>3.2767848307812582</v>
      </c>
      <c r="G707">
        <v>6.6720750895715764</v>
      </c>
      <c r="H707">
        <v>3.3279249104284236</v>
      </c>
      <c r="I707">
        <v>354.79998515496561</v>
      </c>
      <c r="J707">
        <v>4.8510718241053743</v>
      </c>
      <c r="K707">
        <v>326.79212578205914</v>
      </c>
      <c r="L707">
        <v>4.4170475130626281</v>
      </c>
      <c r="M707">
        <v>402.10120205150196</v>
      </c>
      <c r="N707">
        <v>4.8522046450229359</v>
      </c>
      <c r="O707">
        <v>374.37596233914167</v>
      </c>
      <c r="P707">
        <v>4.4180617036750096</v>
      </c>
    </row>
    <row r="708" spans="4:16" x14ac:dyDescent="0.55000000000000004">
      <c r="D708">
        <v>701</v>
      </c>
      <c r="E708">
        <v>6.0424798916887426</v>
      </c>
      <c r="F708">
        <v>3.9575201083112566</v>
      </c>
      <c r="G708">
        <v>5.8048894166655316</v>
      </c>
      <c r="H708">
        <v>4.1951105833344657</v>
      </c>
      <c r="I708">
        <v>293.04400314788569</v>
      </c>
      <c r="J708">
        <v>4.724784570363556</v>
      </c>
      <c r="K708">
        <v>271.07632055188793</v>
      </c>
      <c r="L708">
        <v>4.2996350762659068</v>
      </c>
      <c r="M708">
        <v>331.52150490897952</v>
      </c>
      <c r="N708">
        <v>4.7356060486031399</v>
      </c>
      <c r="O708">
        <v>310.7470708320194</v>
      </c>
      <c r="P708">
        <v>4.3093359023157101</v>
      </c>
    </row>
    <row r="709" spans="4:16" x14ac:dyDescent="0.55000000000000004">
      <c r="D709">
        <v>702</v>
      </c>
      <c r="E709">
        <v>7.6367822360287105</v>
      </c>
      <c r="F709">
        <v>2.3632177639712886</v>
      </c>
      <c r="G709">
        <v>6.0143375332635207</v>
      </c>
      <c r="H709">
        <v>3.9856624667364793</v>
      </c>
      <c r="I709">
        <v>399.08320351556381</v>
      </c>
      <c r="J709">
        <v>4.7843647898911099</v>
      </c>
      <c r="K709">
        <v>366.3824901943085</v>
      </c>
      <c r="L709">
        <v>4.356253170541966</v>
      </c>
      <c r="M709">
        <v>364.29743779716114</v>
      </c>
      <c r="N709">
        <v>4.830176781585763</v>
      </c>
      <c r="O709">
        <v>340.61578791520117</v>
      </c>
      <c r="P709">
        <v>4.3971919237174699</v>
      </c>
    </row>
    <row r="710" spans="4:16" x14ac:dyDescent="0.55000000000000004">
      <c r="D710">
        <v>703</v>
      </c>
      <c r="E710">
        <v>6.8669163347771986</v>
      </c>
      <c r="F710">
        <v>3.1330836652228005</v>
      </c>
      <c r="G710">
        <v>6.642004278782359</v>
      </c>
      <c r="H710">
        <v>3.357995721217641</v>
      </c>
      <c r="I710">
        <v>331.52291451936401</v>
      </c>
      <c r="J710">
        <v>4.7266339868677303</v>
      </c>
      <c r="K710">
        <v>304.78363254250195</v>
      </c>
      <c r="L710">
        <v>4.3029018914576094</v>
      </c>
      <c r="M710">
        <v>370.66454714180793</v>
      </c>
      <c r="N710">
        <v>4.735587541717571</v>
      </c>
      <c r="O710">
        <v>345.03271894545759</v>
      </c>
      <c r="P710">
        <v>4.3109422659164487</v>
      </c>
    </row>
    <row r="711" spans="4:16" x14ac:dyDescent="0.55000000000000004">
      <c r="D711">
        <v>704</v>
      </c>
      <c r="E711">
        <v>5.4806333489872792</v>
      </c>
      <c r="F711">
        <v>4.5193666510127208</v>
      </c>
      <c r="G711">
        <v>6.1555544655833732</v>
      </c>
      <c r="H711">
        <v>3.8444455344166268</v>
      </c>
      <c r="I711">
        <v>258.69082815043356</v>
      </c>
      <c r="J711">
        <v>4.7742834651338981</v>
      </c>
      <c r="K711">
        <v>239.86749574221238</v>
      </c>
      <c r="L711">
        <v>4.3449267824085158</v>
      </c>
      <c r="M711">
        <v>340.54771246850612</v>
      </c>
      <c r="N711">
        <v>4.74648725144006</v>
      </c>
      <c r="O711">
        <v>318.47447608394469</v>
      </c>
      <c r="P711">
        <v>4.319966220327963</v>
      </c>
    </row>
    <row r="712" spans="4:16" x14ac:dyDescent="0.55000000000000004">
      <c r="D712">
        <v>705</v>
      </c>
      <c r="E712">
        <v>5.7734545940957238</v>
      </c>
      <c r="F712">
        <v>4.2265454059042762</v>
      </c>
      <c r="G712">
        <v>6.6622345190588748</v>
      </c>
      <c r="H712">
        <v>3.3377654809411226</v>
      </c>
      <c r="I712">
        <v>294.55311053105623</v>
      </c>
      <c r="J712">
        <v>4.849059456646521</v>
      </c>
      <c r="K712">
        <v>272.66648749859138</v>
      </c>
      <c r="L712">
        <v>4.414494339334027</v>
      </c>
      <c r="M712">
        <v>389.89734719365686</v>
      </c>
      <c r="N712">
        <v>4.8258232948980941</v>
      </c>
      <c r="O712">
        <v>363.30607882157528</v>
      </c>
      <c r="P712">
        <v>4.3936690220087558</v>
      </c>
    </row>
    <row r="713" spans="4:16" x14ac:dyDescent="0.55000000000000004">
      <c r="D713">
        <v>706</v>
      </c>
      <c r="E713">
        <v>7.6388474469476222</v>
      </c>
      <c r="F713">
        <v>2.3611525530523778</v>
      </c>
      <c r="G713">
        <v>6.6842386284959634</v>
      </c>
      <c r="H713">
        <v>3.3157613715040388</v>
      </c>
      <c r="I713">
        <v>373.02340298298458</v>
      </c>
      <c r="J713">
        <v>4.8735509582314807</v>
      </c>
      <c r="K713">
        <v>342.26831762832211</v>
      </c>
      <c r="L713">
        <v>4.4381957667458352</v>
      </c>
      <c r="M713">
        <v>376.40754470731059</v>
      </c>
      <c r="N713">
        <v>4.8893529978971921</v>
      </c>
      <c r="O713">
        <v>350.58192558982893</v>
      </c>
      <c r="P713">
        <v>4.4523267952172452</v>
      </c>
    </row>
    <row r="714" spans="4:16" x14ac:dyDescent="0.55000000000000004">
      <c r="D714">
        <v>707</v>
      </c>
      <c r="E714">
        <v>6.5305611155855532</v>
      </c>
      <c r="F714">
        <v>3.4694388844144459</v>
      </c>
      <c r="G714">
        <v>5.8892616901927877</v>
      </c>
      <c r="H714">
        <v>4.1107383098072132</v>
      </c>
      <c r="I714">
        <v>317.26686885472213</v>
      </c>
      <c r="J714">
        <v>4.9453135536975754</v>
      </c>
      <c r="K714">
        <v>292.5109867063972</v>
      </c>
      <c r="L714">
        <v>4.5037999796071579</v>
      </c>
      <c r="M714">
        <v>336.111343764065</v>
      </c>
      <c r="N714">
        <v>4.9506837486884505</v>
      </c>
      <c r="O714">
        <v>314.56186258130413</v>
      </c>
      <c r="P714">
        <v>4.5086174957921417</v>
      </c>
    </row>
    <row r="715" spans="4:16" x14ac:dyDescent="0.55000000000000004">
      <c r="D715">
        <v>708</v>
      </c>
      <c r="E715">
        <v>7.2277504937972141</v>
      </c>
      <c r="F715">
        <v>2.7722495062027868</v>
      </c>
      <c r="G715">
        <v>5.7379037265496917</v>
      </c>
      <c r="H715">
        <v>4.2620962734503083</v>
      </c>
      <c r="I715">
        <v>351.75697087796516</v>
      </c>
      <c r="J715">
        <v>4.8043584727161344</v>
      </c>
      <c r="K715">
        <v>323.60827258771513</v>
      </c>
      <c r="L715">
        <v>4.3742336429303732</v>
      </c>
      <c r="M715">
        <v>329.24976599187181</v>
      </c>
      <c r="N715">
        <v>4.8446858051570327</v>
      </c>
      <c r="O715">
        <v>308.81465996132977</v>
      </c>
      <c r="P715">
        <v>4.4102708003485374</v>
      </c>
    </row>
    <row r="716" spans="4:16" x14ac:dyDescent="0.55000000000000004">
      <c r="D716">
        <v>709</v>
      </c>
      <c r="E716">
        <v>7.6707714296803253</v>
      </c>
      <c r="F716">
        <v>2.329228570319676</v>
      </c>
      <c r="G716">
        <v>7.5221000885677594</v>
      </c>
      <c r="H716">
        <v>2.4778999114322411</v>
      </c>
      <c r="I716">
        <v>348.00530173762957</v>
      </c>
      <c r="J716">
        <v>4.8246285741310828</v>
      </c>
      <c r="K716">
        <v>319.26988954975621</v>
      </c>
      <c r="L716">
        <v>4.3933286227440211</v>
      </c>
      <c r="M716">
        <v>391.26042406816515</v>
      </c>
      <c r="N716">
        <v>4.8280275419292726</v>
      </c>
      <c r="O716">
        <v>363.24850056577895</v>
      </c>
      <c r="P716">
        <v>4.3963630005726317</v>
      </c>
    </row>
    <row r="717" spans="4:16" x14ac:dyDescent="0.55000000000000004">
      <c r="D717">
        <v>710</v>
      </c>
      <c r="E717">
        <v>5.9190300490567234</v>
      </c>
      <c r="F717">
        <v>4.0809699509432766</v>
      </c>
      <c r="G717">
        <v>5.9615556459567545</v>
      </c>
      <c r="H717">
        <v>4.0384443540432455</v>
      </c>
      <c r="I717">
        <v>287.51469227925816</v>
      </c>
      <c r="J717">
        <v>4.7713549618871349</v>
      </c>
      <c r="K717">
        <v>265.96215762004806</v>
      </c>
      <c r="L717">
        <v>4.3427138588955954</v>
      </c>
      <c r="M717">
        <v>339.58035739759163</v>
      </c>
      <c r="N717">
        <v>4.7697122490366528</v>
      </c>
      <c r="O717">
        <v>317.81605220721542</v>
      </c>
      <c r="P717">
        <v>4.3412395558080563</v>
      </c>
    </row>
    <row r="718" spans="4:16" x14ac:dyDescent="0.55000000000000004">
      <c r="D718">
        <v>711</v>
      </c>
      <c r="E718">
        <v>7.3586402401094588</v>
      </c>
      <c r="F718">
        <v>2.6413597598905425</v>
      </c>
      <c r="G718">
        <v>5.1400770317458697</v>
      </c>
      <c r="H718">
        <v>4.8599229682541303</v>
      </c>
      <c r="I718">
        <v>356.96788294406832</v>
      </c>
      <c r="J718">
        <v>4.8101757546653126</v>
      </c>
      <c r="K718">
        <v>328.1054127102542</v>
      </c>
      <c r="L718">
        <v>4.3797432250663864</v>
      </c>
      <c r="M718">
        <v>299.34530787232256</v>
      </c>
      <c r="N718">
        <v>4.8674060408341413</v>
      </c>
      <c r="O718">
        <v>281.68295519264205</v>
      </c>
      <c r="P718">
        <v>4.4310176424751493</v>
      </c>
    </row>
    <row r="719" spans="4:16" x14ac:dyDescent="0.55000000000000004">
      <c r="D719">
        <v>712</v>
      </c>
      <c r="E719">
        <v>5.8592877487493524</v>
      </c>
      <c r="F719">
        <v>4.1407122512506476</v>
      </c>
      <c r="G719">
        <v>5.7396801525122205</v>
      </c>
      <c r="H719">
        <v>4.2603198474877786</v>
      </c>
      <c r="I719">
        <v>334.67072578720388</v>
      </c>
      <c r="J719">
        <v>4.91557779234072</v>
      </c>
      <c r="K719">
        <v>309.74910982200259</v>
      </c>
      <c r="L719">
        <v>4.476083703289488</v>
      </c>
      <c r="M719">
        <v>377.83898057194483</v>
      </c>
      <c r="N719">
        <v>4.9173011310399177</v>
      </c>
      <c r="O719">
        <v>353.6156029031402</v>
      </c>
      <c r="P719">
        <v>4.4776309082132713</v>
      </c>
    </row>
    <row r="720" spans="4:16" x14ac:dyDescent="0.55000000000000004">
      <c r="D720">
        <v>713</v>
      </c>
      <c r="E720">
        <v>6.7523850119670996</v>
      </c>
      <c r="F720">
        <v>3.2476149880329013</v>
      </c>
      <c r="G720">
        <v>7.0941055059026343</v>
      </c>
      <c r="H720">
        <v>2.905894494097367</v>
      </c>
      <c r="I720">
        <v>336.40846968478576</v>
      </c>
      <c r="J720">
        <v>4.9735049214130047</v>
      </c>
      <c r="K720">
        <v>309.99835252521007</v>
      </c>
      <c r="L720">
        <v>4.5298042670682204</v>
      </c>
      <c r="M720">
        <v>403.43321993540769</v>
      </c>
      <c r="N720">
        <v>4.9721640749823628</v>
      </c>
      <c r="O720">
        <v>375.20207810131893</v>
      </c>
      <c r="P720">
        <v>4.5286068420915804</v>
      </c>
    </row>
    <row r="721" spans="4:16" x14ac:dyDescent="0.55000000000000004">
      <c r="D721">
        <v>714</v>
      </c>
      <c r="E721">
        <v>5.9555561107109227</v>
      </c>
      <c r="F721">
        <v>4.0444438892890773</v>
      </c>
      <c r="G721">
        <v>5.7062542987050433</v>
      </c>
      <c r="H721">
        <v>4.2937457012949576</v>
      </c>
      <c r="I721">
        <v>295.78517795667773</v>
      </c>
      <c r="J721">
        <v>4.8394729139280361</v>
      </c>
      <c r="K721">
        <v>273.24966572400137</v>
      </c>
      <c r="L721">
        <v>4.4059225973307621</v>
      </c>
      <c r="M721">
        <v>333.40349949402963</v>
      </c>
      <c r="N721">
        <v>4.8461926379453768</v>
      </c>
      <c r="O721">
        <v>312.10620097612161</v>
      </c>
      <c r="P721">
        <v>4.4119703240528398</v>
      </c>
    </row>
    <row r="722" spans="4:16" x14ac:dyDescent="0.55000000000000004">
      <c r="D722">
        <v>715</v>
      </c>
      <c r="E722">
        <v>5.9478661256717569</v>
      </c>
      <c r="F722">
        <v>4.0521338743282449</v>
      </c>
      <c r="G722">
        <v>5.1173822764078247</v>
      </c>
      <c r="H722">
        <v>4.8826177235921753</v>
      </c>
      <c r="I722">
        <v>300.13585620816662</v>
      </c>
      <c r="J722">
        <v>4.812266877500667</v>
      </c>
      <c r="K722">
        <v>277.78356040952576</v>
      </c>
      <c r="L722">
        <v>4.3804674206825522</v>
      </c>
      <c r="M722">
        <v>308.22872919835481</v>
      </c>
      <c r="N722">
        <v>4.8384795263588272</v>
      </c>
      <c r="O722">
        <v>290.13280067203067</v>
      </c>
      <c r="P722">
        <v>4.4040177381264289</v>
      </c>
    </row>
    <row r="723" spans="4:16" x14ac:dyDescent="0.55000000000000004">
      <c r="D723">
        <v>716</v>
      </c>
      <c r="E723">
        <v>6.9579879692280286</v>
      </c>
      <c r="F723">
        <v>3.0420120307719731</v>
      </c>
      <c r="G723">
        <v>6.7393675788557692</v>
      </c>
      <c r="H723">
        <v>3.2606324211442295</v>
      </c>
      <c r="I723">
        <v>378.7226017821875</v>
      </c>
      <c r="J723">
        <v>4.7563417862226753</v>
      </c>
      <c r="K723">
        <v>348.52534757316278</v>
      </c>
      <c r="L723">
        <v>4.3299890704363335</v>
      </c>
      <c r="M723">
        <v>416.82311540615615</v>
      </c>
      <c r="N723">
        <v>4.7639975416003777</v>
      </c>
      <c r="O723">
        <v>387.88235745028715</v>
      </c>
      <c r="P723">
        <v>4.3368364356328817</v>
      </c>
    </row>
    <row r="724" spans="4:16" x14ac:dyDescent="0.55000000000000004">
      <c r="D724">
        <v>717</v>
      </c>
      <c r="E724">
        <v>5.6598066423316755</v>
      </c>
      <c r="F724">
        <v>4.3401933576683254</v>
      </c>
      <c r="G724">
        <v>6.9028138133326795</v>
      </c>
      <c r="H724">
        <v>3.0971861866673214</v>
      </c>
      <c r="I724">
        <v>316.01713491802997</v>
      </c>
      <c r="J724">
        <v>4.7840615893747591</v>
      </c>
      <c r="K724">
        <v>292.87129884482306</v>
      </c>
      <c r="L724">
        <v>4.3540967453303949</v>
      </c>
      <c r="M724">
        <v>435.42084244477269</v>
      </c>
      <c r="N724">
        <v>4.736637178990458</v>
      </c>
      <c r="O724">
        <v>405.00013227552722</v>
      </c>
      <c r="P724">
        <v>4.3116433462496575</v>
      </c>
    </row>
    <row r="725" spans="4:16" x14ac:dyDescent="0.55000000000000004">
      <c r="D725">
        <v>718</v>
      </c>
      <c r="E725">
        <v>6.9550681732276747</v>
      </c>
      <c r="F725">
        <v>3.0449318267723258</v>
      </c>
      <c r="G725">
        <v>6.0854816184357379</v>
      </c>
      <c r="H725">
        <v>3.914518381564263</v>
      </c>
      <c r="I725">
        <v>325.4914128130747</v>
      </c>
      <c r="J725">
        <v>4.8544222070272829</v>
      </c>
      <c r="K725">
        <v>299.59811469751259</v>
      </c>
      <c r="L725">
        <v>4.420222444858525</v>
      </c>
      <c r="M725">
        <v>334.79548442922265</v>
      </c>
      <c r="N725">
        <v>4.872623680872306</v>
      </c>
      <c r="O725">
        <v>313.16274411215232</v>
      </c>
      <c r="P725">
        <v>4.4365183612088757</v>
      </c>
    </row>
    <row r="726" spans="4:16" x14ac:dyDescent="0.55000000000000004">
      <c r="D726">
        <v>719</v>
      </c>
      <c r="E726">
        <v>7.3636705383804886</v>
      </c>
      <c r="F726">
        <v>2.6363294616195141</v>
      </c>
      <c r="G726">
        <v>6.346357534314377</v>
      </c>
      <c r="H726">
        <v>3.6536424656856239</v>
      </c>
      <c r="I726">
        <v>371.02472405479836</v>
      </c>
      <c r="J726">
        <v>4.7497488728023489</v>
      </c>
      <c r="K726">
        <v>341.1444164095073</v>
      </c>
      <c r="L726">
        <v>4.3241220540264882</v>
      </c>
      <c r="M726">
        <v>369.76655400989023</v>
      </c>
      <c r="N726">
        <v>4.7843218109387644</v>
      </c>
      <c r="O726">
        <v>345.42138336907141</v>
      </c>
      <c r="P726">
        <v>4.354961617579602</v>
      </c>
    </row>
    <row r="727" spans="4:16" x14ac:dyDescent="0.55000000000000004">
      <c r="D727">
        <v>720</v>
      </c>
      <c r="E727">
        <v>6.7475617877768679</v>
      </c>
      <c r="F727">
        <v>3.2524382122231326</v>
      </c>
      <c r="G727">
        <v>5.7686143418801938</v>
      </c>
      <c r="H727">
        <v>4.2313856581198053</v>
      </c>
      <c r="I727">
        <v>318.38702215853118</v>
      </c>
      <c r="J727">
        <v>4.8068147067566631</v>
      </c>
      <c r="K727">
        <v>293.16765097605742</v>
      </c>
      <c r="L727">
        <v>4.3763361948409409</v>
      </c>
      <c r="M727">
        <v>322.19490536852959</v>
      </c>
      <c r="N727">
        <v>4.8348423492375296</v>
      </c>
      <c r="O727">
        <v>301.70016002803601</v>
      </c>
      <c r="P727">
        <v>4.4014971117167256</v>
      </c>
    </row>
    <row r="728" spans="4:16" x14ac:dyDescent="0.55000000000000004">
      <c r="D728">
        <v>721</v>
      </c>
      <c r="E728">
        <v>6.8065764394100441</v>
      </c>
      <c r="F728">
        <v>3.1934235605899559</v>
      </c>
      <c r="G728">
        <v>5.813943231607106</v>
      </c>
      <c r="H728">
        <v>4.1860567683928949</v>
      </c>
      <c r="I728">
        <v>335.40071813965631</v>
      </c>
      <c r="J728">
        <v>4.9458576628436637</v>
      </c>
      <c r="K728">
        <v>308.75249572512837</v>
      </c>
      <c r="L728">
        <v>4.5043786944445685</v>
      </c>
      <c r="M728">
        <v>336.48774497171917</v>
      </c>
      <c r="N728">
        <v>4.9537534798212377</v>
      </c>
      <c r="O728">
        <v>314.8515369428502</v>
      </c>
      <c r="P728">
        <v>4.5114654428721215</v>
      </c>
    </row>
    <row r="729" spans="4:16" x14ac:dyDescent="0.55000000000000004">
      <c r="D729">
        <v>722</v>
      </c>
      <c r="E729">
        <v>7.0229859664603875</v>
      </c>
      <c r="F729">
        <v>2.9770140335396138</v>
      </c>
      <c r="G729">
        <v>7.2000777177150974</v>
      </c>
      <c r="H729">
        <v>2.7999222822849035</v>
      </c>
      <c r="I729">
        <v>352.39922682014452</v>
      </c>
      <c r="J729">
        <v>4.7697527317336297</v>
      </c>
      <c r="K729">
        <v>324.08601205356638</v>
      </c>
      <c r="L729">
        <v>4.3424710721151891</v>
      </c>
      <c r="M729">
        <v>411.28533260426843</v>
      </c>
      <c r="N729">
        <v>4.7639468121214259</v>
      </c>
      <c r="O729">
        <v>382.03372778908732</v>
      </c>
      <c r="P729">
        <v>4.33727826890284</v>
      </c>
    </row>
    <row r="730" spans="4:16" x14ac:dyDescent="0.55000000000000004">
      <c r="D730">
        <v>723</v>
      </c>
      <c r="E730">
        <v>6.2905124760166142</v>
      </c>
      <c r="F730">
        <v>3.7094875239833862</v>
      </c>
      <c r="G730">
        <v>7.3821812295282943</v>
      </c>
      <c r="H730">
        <v>2.6178187704717075</v>
      </c>
      <c r="I730">
        <v>326.67624613385487</v>
      </c>
      <c r="J730">
        <v>4.829639110317002</v>
      </c>
      <c r="K730">
        <v>301.40108685175727</v>
      </c>
      <c r="L730">
        <v>4.3970393664507652</v>
      </c>
      <c r="M730">
        <v>433.36832834154268</v>
      </c>
      <c r="N730">
        <v>4.8000743235374763</v>
      </c>
      <c r="O730">
        <v>402.14345781553396</v>
      </c>
      <c r="P730">
        <v>4.3705773400122965</v>
      </c>
    </row>
    <row r="731" spans="4:16" x14ac:dyDescent="0.55000000000000004">
      <c r="D731">
        <v>724</v>
      </c>
      <c r="E731">
        <v>6.56998492690429</v>
      </c>
      <c r="F731">
        <v>3.43001507309571</v>
      </c>
      <c r="G731">
        <v>6.7466128049082768</v>
      </c>
      <c r="H731">
        <v>3.2533871950917237</v>
      </c>
      <c r="I731">
        <v>335.80052133386852</v>
      </c>
      <c r="J731">
        <v>4.833881227367443</v>
      </c>
      <c r="K731">
        <v>309.72798762612985</v>
      </c>
      <c r="L731">
        <v>4.4009984946352896</v>
      </c>
      <c r="M731">
        <v>394.82820315897447</v>
      </c>
      <c r="N731">
        <v>4.8294152800885453</v>
      </c>
      <c r="O731">
        <v>367.79715638825411</v>
      </c>
      <c r="P731">
        <v>4.3970067187869244</v>
      </c>
    </row>
    <row r="732" spans="4:16" x14ac:dyDescent="0.55000000000000004">
      <c r="D732">
        <v>725</v>
      </c>
      <c r="E732">
        <v>8.0102681203099806</v>
      </c>
      <c r="F732">
        <v>1.9897318796900219</v>
      </c>
      <c r="G732">
        <v>5.2374493179163117</v>
      </c>
      <c r="H732">
        <v>4.7625506820836883</v>
      </c>
      <c r="I732">
        <v>408.36284135683417</v>
      </c>
      <c r="J732">
        <v>4.8052566523934903</v>
      </c>
      <c r="K732">
        <v>374.32229921265446</v>
      </c>
      <c r="L732">
        <v>4.3757094995494876</v>
      </c>
      <c r="M732">
        <v>317.00475599610172</v>
      </c>
      <c r="N732">
        <v>4.8726686300918747</v>
      </c>
      <c r="O732">
        <v>297.76530644218803</v>
      </c>
      <c r="P732">
        <v>4.4360630134814691</v>
      </c>
    </row>
    <row r="733" spans="4:16" x14ac:dyDescent="0.55000000000000004">
      <c r="D733">
        <v>726</v>
      </c>
      <c r="E733">
        <v>4.5934446096536306</v>
      </c>
      <c r="F733">
        <v>5.4065553903463694</v>
      </c>
      <c r="G733">
        <v>7.2497892847239207</v>
      </c>
      <c r="H733">
        <v>2.7502107152760789</v>
      </c>
      <c r="I733">
        <v>226.19508845654005</v>
      </c>
      <c r="J733">
        <v>4.9558947311844497</v>
      </c>
      <c r="K733">
        <v>211.36790069922822</v>
      </c>
      <c r="L733">
        <v>4.5130051713479293</v>
      </c>
      <c r="M733">
        <v>407.00152454283278</v>
      </c>
      <c r="N733">
        <v>4.9303890799974273</v>
      </c>
      <c r="O733">
        <v>378.49271260023534</v>
      </c>
      <c r="P733">
        <v>4.4901672691232877</v>
      </c>
    </row>
    <row r="734" spans="4:16" x14ac:dyDescent="0.55000000000000004">
      <c r="D734">
        <v>727</v>
      </c>
      <c r="E734">
        <v>7.6422464626219613</v>
      </c>
      <c r="F734">
        <v>2.3577535373780374</v>
      </c>
      <c r="G734">
        <v>7.1866680004306236</v>
      </c>
      <c r="H734">
        <v>2.8133319995693755</v>
      </c>
      <c r="I734">
        <v>373.15870253677861</v>
      </c>
      <c r="J734">
        <v>4.7774793240941564</v>
      </c>
      <c r="K734">
        <v>342.59220063394514</v>
      </c>
      <c r="L734">
        <v>4.3499259526041376</v>
      </c>
      <c r="M734">
        <v>400.913533045517</v>
      </c>
      <c r="N734">
        <v>4.7907444847809764</v>
      </c>
      <c r="O734">
        <v>372.76656221516851</v>
      </c>
      <c r="P734">
        <v>4.3617483070909024</v>
      </c>
    </row>
    <row r="735" spans="4:16" x14ac:dyDescent="0.55000000000000004">
      <c r="D735">
        <v>728</v>
      </c>
      <c r="E735">
        <v>6.201491120351494</v>
      </c>
      <c r="F735">
        <v>3.798508879648506</v>
      </c>
      <c r="G735">
        <v>6.7335420321722532</v>
      </c>
      <c r="H735">
        <v>3.2664579678277454</v>
      </c>
      <c r="I735">
        <v>288.684265714589</v>
      </c>
      <c r="J735">
        <v>4.798927297152459</v>
      </c>
      <c r="K735">
        <v>266.47950817581227</v>
      </c>
      <c r="L735">
        <v>4.368612547394811</v>
      </c>
      <c r="M735">
        <v>363.45165210940303</v>
      </c>
      <c r="N735">
        <v>4.781676459762525</v>
      </c>
      <c r="O735">
        <v>338.68082573679419</v>
      </c>
      <c r="P735">
        <v>4.35314901349658</v>
      </c>
    </row>
    <row r="736" spans="4:16" x14ac:dyDescent="0.55000000000000004">
      <c r="D736">
        <v>729</v>
      </c>
      <c r="E736">
        <v>6.1737885585233121</v>
      </c>
      <c r="F736">
        <v>3.8262114414766861</v>
      </c>
      <c r="G736">
        <v>6.263084807419478</v>
      </c>
      <c r="H736">
        <v>3.736915192580522</v>
      </c>
      <c r="I736">
        <v>303.42671214459136</v>
      </c>
      <c r="J736">
        <v>4.8825758036116671</v>
      </c>
      <c r="K736">
        <v>279.8351162807034</v>
      </c>
      <c r="L736">
        <v>4.4459249206312972</v>
      </c>
      <c r="M736">
        <v>357.81540588629758</v>
      </c>
      <c r="N736">
        <v>4.8808774072108623</v>
      </c>
      <c r="O736">
        <v>333.78197796170912</v>
      </c>
      <c r="P736">
        <v>4.4443975104113074</v>
      </c>
    </row>
    <row r="737" spans="4:16" x14ac:dyDescent="0.55000000000000004">
      <c r="D737">
        <v>730</v>
      </c>
      <c r="E737">
        <v>6.1529631469130077</v>
      </c>
      <c r="F737">
        <v>3.8470368530869923</v>
      </c>
      <c r="G737">
        <v>5.2209299527695698</v>
      </c>
      <c r="H737">
        <v>4.7790700472304319</v>
      </c>
      <c r="I737">
        <v>326.03404253070039</v>
      </c>
      <c r="J737">
        <v>4.8234225254720204</v>
      </c>
      <c r="K737">
        <v>301.47438973885704</v>
      </c>
      <c r="L737">
        <v>4.390943160714782</v>
      </c>
      <c r="M737">
        <v>326.64734171617607</v>
      </c>
      <c r="N737">
        <v>4.8501699744114264</v>
      </c>
      <c r="O737">
        <v>307.15872431440789</v>
      </c>
      <c r="P737">
        <v>4.4149441767496009</v>
      </c>
    </row>
    <row r="738" spans="4:16" x14ac:dyDescent="0.55000000000000004">
      <c r="D738">
        <v>731</v>
      </c>
      <c r="E738">
        <v>6.0317226008226692</v>
      </c>
      <c r="F738">
        <v>3.968277399177333</v>
      </c>
      <c r="G738">
        <v>5.1324206176813343</v>
      </c>
      <c r="H738">
        <v>4.8675793823186666</v>
      </c>
      <c r="I738">
        <v>304.1382047918716</v>
      </c>
      <c r="J738">
        <v>5.0327593445869034</v>
      </c>
      <c r="K738">
        <v>281.15622368111417</v>
      </c>
      <c r="L738">
        <v>4.5845032290118706</v>
      </c>
      <c r="M738">
        <v>308.79260307585923</v>
      </c>
      <c r="N738">
        <v>5.0278750776033059</v>
      </c>
      <c r="O738">
        <v>290.36405025906646</v>
      </c>
      <c r="P738">
        <v>4.5801094210504658</v>
      </c>
    </row>
    <row r="739" spans="4:16" x14ac:dyDescent="0.55000000000000004">
      <c r="D739">
        <v>732</v>
      </c>
      <c r="E739">
        <v>6.4404101993878244</v>
      </c>
      <c r="F739">
        <v>3.5595898006121756</v>
      </c>
      <c r="G739">
        <v>6.0329398788890893</v>
      </c>
      <c r="H739">
        <v>3.9670601211109133</v>
      </c>
      <c r="I739">
        <v>310.22269614459788</v>
      </c>
      <c r="J739">
        <v>4.9127966142234287</v>
      </c>
      <c r="K739">
        <v>286.3134673086895</v>
      </c>
      <c r="L739">
        <v>4.4737368022981086</v>
      </c>
      <c r="M739">
        <v>340.59560136171643</v>
      </c>
      <c r="N739">
        <v>4.918313777020658</v>
      </c>
      <c r="O739">
        <v>318.73561225228895</v>
      </c>
      <c r="P739">
        <v>4.4786779252225699</v>
      </c>
    </row>
    <row r="740" spans="4:16" x14ac:dyDescent="0.55000000000000004">
      <c r="D740">
        <v>733</v>
      </c>
      <c r="E740">
        <v>6.8334384124633791</v>
      </c>
      <c r="F740">
        <v>3.1665615875366213</v>
      </c>
      <c r="G740">
        <v>5.8277484416871213</v>
      </c>
      <c r="H740">
        <v>4.1722515583128779</v>
      </c>
      <c r="I740">
        <v>350.74845052822593</v>
      </c>
      <c r="J740">
        <v>4.8681541214790789</v>
      </c>
      <c r="K740">
        <v>323.0422260631442</v>
      </c>
      <c r="L740">
        <v>4.432788174951356</v>
      </c>
      <c r="M740">
        <v>349.12814202903979</v>
      </c>
      <c r="N740">
        <v>4.8875581271513671</v>
      </c>
      <c r="O740">
        <v>326.79463164258925</v>
      </c>
      <c r="P740">
        <v>4.4501725845094731</v>
      </c>
    </row>
    <row r="741" spans="4:16" x14ac:dyDescent="0.55000000000000004">
      <c r="D741">
        <v>734</v>
      </c>
      <c r="E741">
        <v>6.4605032845935311</v>
      </c>
      <c r="F741">
        <v>3.5394967154064685</v>
      </c>
      <c r="G741">
        <v>5.1135303170864006</v>
      </c>
      <c r="H741">
        <v>4.8864696829136003</v>
      </c>
      <c r="I741">
        <v>324.18328580161119</v>
      </c>
      <c r="J741">
        <v>4.8843092954778724</v>
      </c>
      <c r="K741">
        <v>299.19463841419497</v>
      </c>
      <c r="L741">
        <v>4.4474462693532502</v>
      </c>
      <c r="M741">
        <v>306.59317660164623</v>
      </c>
      <c r="N741">
        <v>4.9084300558456873</v>
      </c>
      <c r="O741">
        <v>288.52163627918799</v>
      </c>
      <c r="P741">
        <v>4.4690985341981655</v>
      </c>
    </row>
    <row r="742" spans="4:16" x14ac:dyDescent="0.55000000000000004">
      <c r="D742">
        <v>735</v>
      </c>
      <c r="E742">
        <v>6.7974014100413482</v>
      </c>
      <c r="F742">
        <v>3.2025985899586518</v>
      </c>
      <c r="G742">
        <v>6.3313940928594654</v>
      </c>
      <c r="H742">
        <v>3.6686059071405341</v>
      </c>
      <c r="I742">
        <v>340.24613669399696</v>
      </c>
      <c r="J742">
        <v>4.8414542150221234</v>
      </c>
      <c r="K742">
        <v>313.13176822664144</v>
      </c>
      <c r="L742">
        <v>4.4083081206603136</v>
      </c>
      <c r="M742">
        <v>366.91998898289609</v>
      </c>
      <c r="N742">
        <v>4.8523235886917275</v>
      </c>
      <c r="O742">
        <v>342.2072764761736</v>
      </c>
      <c r="P742">
        <v>4.4180583855775737</v>
      </c>
    </row>
    <row r="743" spans="4:16" x14ac:dyDescent="0.55000000000000004">
      <c r="D743">
        <v>736</v>
      </c>
      <c r="E743">
        <v>7.4853589675097068</v>
      </c>
      <c r="F743">
        <v>2.5146410324902915</v>
      </c>
      <c r="G743">
        <v>5.4838049822239885</v>
      </c>
      <c r="H743">
        <v>4.5161950177760106</v>
      </c>
      <c r="I743">
        <v>351.51881018590421</v>
      </c>
      <c r="J743">
        <v>4.8462451138935405</v>
      </c>
      <c r="K743">
        <v>323.11752081350488</v>
      </c>
      <c r="L743">
        <v>4.4128872033426623</v>
      </c>
      <c r="M743">
        <v>307.52413625184113</v>
      </c>
      <c r="N743">
        <v>4.8873585336212146</v>
      </c>
      <c r="O743">
        <v>289.20929592408504</v>
      </c>
      <c r="P743">
        <v>4.4495887942317678</v>
      </c>
    </row>
    <row r="744" spans="4:16" x14ac:dyDescent="0.55000000000000004">
      <c r="D744">
        <v>737</v>
      </c>
      <c r="E744">
        <v>7.5950992624959079</v>
      </c>
      <c r="F744">
        <v>2.4049007375040903</v>
      </c>
      <c r="G744">
        <v>6.2312678936783428</v>
      </c>
      <c r="H744">
        <v>3.7687321063216572</v>
      </c>
      <c r="I744">
        <v>371.07455277366256</v>
      </c>
      <c r="J744">
        <v>4.7528623556755569</v>
      </c>
      <c r="K744">
        <v>340.57320922143606</v>
      </c>
      <c r="L744">
        <v>4.32739573458361</v>
      </c>
      <c r="M744">
        <v>354.44170206930443</v>
      </c>
      <c r="N744">
        <v>4.7972401919745122</v>
      </c>
      <c r="O744">
        <v>330.94677159491005</v>
      </c>
      <c r="P744">
        <v>4.3671072621576021</v>
      </c>
    </row>
    <row r="745" spans="4:16" x14ac:dyDescent="0.55000000000000004">
      <c r="D745">
        <v>738</v>
      </c>
      <c r="E745">
        <v>6.6982552114567167</v>
      </c>
      <c r="F745">
        <v>3.3017447885432833</v>
      </c>
      <c r="G745">
        <v>6.1023790970851568</v>
      </c>
      <c r="H745">
        <v>3.8976209029148414</v>
      </c>
      <c r="I745">
        <v>329.38998663556947</v>
      </c>
      <c r="J745">
        <v>4.8065876450328098</v>
      </c>
      <c r="K745">
        <v>303.44025160289056</v>
      </c>
      <c r="L745">
        <v>4.3760442208164205</v>
      </c>
      <c r="M745">
        <v>350.08748633465638</v>
      </c>
      <c r="N745">
        <v>4.8237935888063728</v>
      </c>
      <c r="O745">
        <v>327.17283346180125</v>
      </c>
      <c r="P745">
        <v>4.3914680145190408</v>
      </c>
    </row>
    <row r="746" spans="4:16" x14ac:dyDescent="0.55000000000000004">
      <c r="D746">
        <v>739</v>
      </c>
      <c r="E746">
        <v>6.7435756013636414</v>
      </c>
      <c r="F746">
        <v>3.2564243986363568</v>
      </c>
      <c r="G746">
        <v>5.3385374595670729</v>
      </c>
      <c r="H746">
        <v>4.6614625404329253</v>
      </c>
      <c r="I746">
        <v>332.62037912083116</v>
      </c>
      <c r="J746">
        <v>4.7881112067094715</v>
      </c>
      <c r="K746">
        <v>306.65773198096286</v>
      </c>
      <c r="L746">
        <v>4.3588694835354138</v>
      </c>
      <c r="M746">
        <v>313.31822444355583</v>
      </c>
      <c r="N746">
        <v>4.8322586818756488</v>
      </c>
      <c r="O746">
        <v>294.58270473362052</v>
      </c>
      <c r="P746">
        <v>4.3984130696851311</v>
      </c>
    </row>
    <row r="747" spans="4:16" x14ac:dyDescent="0.55000000000000004">
      <c r="D747">
        <v>740</v>
      </c>
      <c r="E747">
        <v>7.2808224691471288</v>
      </c>
      <c r="F747">
        <v>2.7191775308528685</v>
      </c>
      <c r="G747">
        <v>6.6486203793429111</v>
      </c>
      <c r="H747">
        <v>3.3513796206570858</v>
      </c>
      <c r="I747">
        <v>371.45160134299175</v>
      </c>
      <c r="J747">
        <v>4.8247834978514454</v>
      </c>
      <c r="K747">
        <v>341.40550376029125</v>
      </c>
      <c r="L747">
        <v>4.3931757874465376</v>
      </c>
      <c r="M747">
        <v>389.19803663580689</v>
      </c>
      <c r="N747">
        <v>4.8399977458702512</v>
      </c>
      <c r="O747">
        <v>362.57582485305005</v>
      </c>
      <c r="P747">
        <v>4.4067749628920847</v>
      </c>
    </row>
    <row r="748" spans="4:16" x14ac:dyDescent="0.55000000000000004">
      <c r="D748">
        <v>741</v>
      </c>
      <c r="E748">
        <v>7.2754741341016169</v>
      </c>
      <c r="F748">
        <v>2.7245258658983804</v>
      </c>
      <c r="G748">
        <v>6.1371663935086866</v>
      </c>
      <c r="H748">
        <v>3.8628336064913107</v>
      </c>
      <c r="I748">
        <v>338.62827781107825</v>
      </c>
      <c r="J748">
        <v>4.8694236437900269</v>
      </c>
      <c r="K748">
        <v>311.38612327963739</v>
      </c>
      <c r="L748">
        <v>4.4341476428904816</v>
      </c>
      <c r="M748">
        <v>335.64709985468096</v>
      </c>
      <c r="N748">
        <v>4.8898533881987856</v>
      </c>
      <c r="O748">
        <v>314.04779703994478</v>
      </c>
      <c r="P748">
        <v>4.4524014821428146</v>
      </c>
    </row>
    <row r="749" spans="4:16" x14ac:dyDescent="0.55000000000000004">
      <c r="D749">
        <v>742</v>
      </c>
      <c r="E749">
        <v>6.816455433524351</v>
      </c>
      <c r="F749">
        <v>3.1835445664756499</v>
      </c>
      <c r="G749">
        <v>5.2800125858264382</v>
      </c>
      <c r="H749">
        <v>4.7199874141735627</v>
      </c>
      <c r="I749">
        <v>345.6001975422713</v>
      </c>
      <c r="J749">
        <v>4.8999269349277945</v>
      </c>
      <c r="K749">
        <v>318.37925466170378</v>
      </c>
      <c r="L749">
        <v>4.4620284359240747</v>
      </c>
      <c r="M749">
        <v>317.7012137001272</v>
      </c>
      <c r="N749">
        <v>4.9224836062912134</v>
      </c>
      <c r="O749">
        <v>298.5150065452064</v>
      </c>
      <c r="P749">
        <v>4.4822585442912084</v>
      </c>
    </row>
    <row r="750" spans="4:16" x14ac:dyDescent="0.55000000000000004">
      <c r="D750">
        <v>743</v>
      </c>
      <c r="E750">
        <v>6.603916680731448</v>
      </c>
      <c r="F750">
        <v>3.3960833192685524</v>
      </c>
      <c r="G750">
        <v>6.0837670681811051</v>
      </c>
      <c r="H750">
        <v>3.9162329318188918</v>
      </c>
      <c r="I750">
        <v>316.89618994724566</v>
      </c>
      <c r="J750">
        <v>4.7559430289936042</v>
      </c>
      <c r="K750">
        <v>292.24821830623415</v>
      </c>
      <c r="L750">
        <v>4.3291449357273217</v>
      </c>
      <c r="M750">
        <v>341.93623990719118</v>
      </c>
      <c r="N750">
        <v>4.7751658849208418</v>
      </c>
      <c r="O750">
        <v>319.90593934784511</v>
      </c>
      <c r="P750">
        <v>4.3463517974723986</v>
      </c>
    </row>
    <row r="751" spans="4:16" x14ac:dyDescent="0.55000000000000004">
      <c r="D751">
        <v>744</v>
      </c>
      <c r="E751">
        <v>7.3968761027521008</v>
      </c>
      <c r="F751">
        <v>2.6031238972479001</v>
      </c>
      <c r="G751">
        <v>6.5397868433220241</v>
      </c>
      <c r="H751">
        <v>3.4602131566779795</v>
      </c>
      <c r="I751">
        <v>371.44608714261091</v>
      </c>
      <c r="J751">
        <v>4.7828879047630499</v>
      </c>
      <c r="K751">
        <v>341.19528249225823</v>
      </c>
      <c r="L751">
        <v>4.3547889716916321</v>
      </c>
      <c r="M751">
        <v>378.40596489035232</v>
      </c>
      <c r="N751">
        <v>4.8080450714284115</v>
      </c>
      <c r="O751">
        <v>352.70424088957145</v>
      </c>
      <c r="P751">
        <v>4.3772871779710369</v>
      </c>
    </row>
    <row r="752" spans="4:16" x14ac:dyDescent="0.55000000000000004">
      <c r="D752">
        <v>745</v>
      </c>
      <c r="E752">
        <v>6.5374560773348591</v>
      </c>
      <c r="F752">
        <v>3.4625439226651409</v>
      </c>
      <c r="G752">
        <v>6.0777479006494071</v>
      </c>
      <c r="H752">
        <v>3.9222520993505943</v>
      </c>
      <c r="I752">
        <v>320.79771394056417</v>
      </c>
      <c r="J752">
        <v>4.7358779772223114</v>
      </c>
      <c r="K752">
        <v>295.91559824292779</v>
      </c>
      <c r="L752">
        <v>4.3105834620418486</v>
      </c>
      <c r="M752">
        <v>348.23950010081649</v>
      </c>
      <c r="N752">
        <v>4.7544508061755435</v>
      </c>
      <c r="O752">
        <v>325.71590064025162</v>
      </c>
      <c r="P752">
        <v>4.3272144564612942</v>
      </c>
    </row>
    <row r="753" spans="4:16" x14ac:dyDescent="0.55000000000000004">
      <c r="D753">
        <v>746</v>
      </c>
      <c r="E753">
        <v>5.9399133664679136</v>
      </c>
      <c r="F753">
        <v>4.0600866335320873</v>
      </c>
      <c r="G753">
        <v>5.1134800358878767</v>
      </c>
      <c r="H753">
        <v>4.886519964112126</v>
      </c>
      <c r="I753">
        <v>277.04631639944779</v>
      </c>
      <c r="J753">
        <v>4.8255058967932296</v>
      </c>
      <c r="K753">
        <v>256.49835438688467</v>
      </c>
      <c r="L753">
        <v>4.3926670900071993</v>
      </c>
      <c r="M753">
        <v>288.50024748210353</v>
      </c>
      <c r="N753">
        <v>4.8497836486698533</v>
      </c>
      <c r="O753">
        <v>271.88712311961223</v>
      </c>
      <c r="P753">
        <v>4.4144665343721528</v>
      </c>
    </row>
    <row r="754" spans="4:16" x14ac:dyDescent="0.55000000000000004">
      <c r="D754">
        <v>747</v>
      </c>
      <c r="E754">
        <v>7.645146400935765</v>
      </c>
      <c r="F754">
        <v>2.3548535990642372</v>
      </c>
      <c r="G754">
        <v>7.1542033919117376</v>
      </c>
      <c r="H754">
        <v>2.8457966080882611</v>
      </c>
      <c r="I754">
        <v>377.00876106241981</v>
      </c>
      <c r="J754">
        <v>4.8156203481228257</v>
      </c>
      <c r="K754">
        <v>345.7398367581219</v>
      </c>
      <c r="L754">
        <v>4.3851320276259029</v>
      </c>
      <c r="M754">
        <v>402.79865364554286</v>
      </c>
      <c r="N754">
        <v>4.827460527021727</v>
      </c>
      <c r="O754">
        <v>374.06957611891903</v>
      </c>
      <c r="P754">
        <v>4.3957300707628413</v>
      </c>
    </row>
    <row r="755" spans="4:16" x14ac:dyDescent="0.55000000000000004">
      <c r="D755">
        <v>748</v>
      </c>
      <c r="E755">
        <v>6.9724006557253038</v>
      </c>
      <c r="F755">
        <v>3.0275993442746945</v>
      </c>
      <c r="G755">
        <v>6.2603032405747499</v>
      </c>
      <c r="H755">
        <v>3.739696759425251</v>
      </c>
      <c r="I755">
        <v>353.87029393090421</v>
      </c>
      <c r="J755">
        <v>4.7341690373546186</v>
      </c>
      <c r="K755">
        <v>325.83210464897741</v>
      </c>
      <c r="L755">
        <v>4.3094509305616464</v>
      </c>
      <c r="M755">
        <v>367.72920938209171</v>
      </c>
      <c r="N755">
        <v>4.7613185875187112</v>
      </c>
      <c r="O755">
        <v>343.53005889724272</v>
      </c>
      <c r="P755">
        <v>4.3337165557493753</v>
      </c>
    </row>
    <row r="756" spans="4:16" x14ac:dyDescent="0.55000000000000004">
      <c r="D756">
        <v>749</v>
      </c>
      <c r="E756">
        <v>6.087378281541846</v>
      </c>
      <c r="F756">
        <v>3.9126217184581544</v>
      </c>
      <c r="G756">
        <v>7.3752888837901853</v>
      </c>
      <c r="H756">
        <v>2.6247111162098138</v>
      </c>
      <c r="I756">
        <v>300.85419603907019</v>
      </c>
      <c r="J756">
        <v>4.8607690050858308</v>
      </c>
      <c r="K756">
        <v>278.0791672475163</v>
      </c>
      <c r="L756">
        <v>4.4255282812010241</v>
      </c>
      <c r="M756">
        <v>414.50611495866752</v>
      </c>
      <c r="N756">
        <v>4.8313118124787486</v>
      </c>
      <c r="O756">
        <v>384.98336326086866</v>
      </c>
      <c r="P756">
        <v>4.3991938377063384</v>
      </c>
    </row>
    <row r="757" spans="4:16" x14ac:dyDescent="0.55000000000000004">
      <c r="D757">
        <v>750</v>
      </c>
      <c r="E757">
        <v>6.7638876156781356</v>
      </c>
      <c r="F757">
        <v>3.2361123843218631</v>
      </c>
      <c r="G757">
        <v>6.7180550679888897</v>
      </c>
      <c r="H757">
        <v>3.2819449320111116</v>
      </c>
      <c r="I757">
        <v>338.07527102387343</v>
      </c>
      <c r="J757">
        <v>4.8739406412783657</v>
      </c>
      <c r="K757">
        <v>311.39390312089506</v>
      </c>
      <c r="L757">
        <v>4.4381087405428339</v>
      </c>
      <c r="M757">
        <v>385.78445073498494</v>
      </c>
      <c r="N757">
        <v>4.8747948277904083</v>
      </c>
      <c r="O757">
        <v>359.34439092535541</v>
      </c>
      <c r="P757">
        <v>4.4388729496264485</v>
      </c>
    </row>
    <row r="758" spans="4:16" x14ac:dyDescent="0.55000000000000004">
      <c r="D758">
        <v>751</v>
      </c>
      <c r="E758">
        <v>7.0058259796558939</v>
      </c>
      <c r="F758">
        <v>2.9941740203441056</v>
      </c>
      <c r="G758">
        <v>6.4262038167335866</v>
      </c>
      <c r="H758">
        <v>3.5737961832664134</v>
      </c>
      <c r="I758">
        <v>346.11644517113967</v>
      </c>
      <c r="J758">
        <v>4.7611961989592881</v>
      </c>
      <c r="K758">
        <v>318.69570973881343</v>
      </c>
      <c r="L758">
        <v>4.3343345159074955</v>
      </c>
      <c r="M758">
        <v>367.48074066525498</v>
      </c>
      <c r="N758">
        <v>4.7809534661359541</v>
      </c>
      <c r="O758">
        <v>343.12545633567373</v>
      </c>
      <c r="P758">
        <v>4.3519767683674289</v>
      </c>
    </row>
    <row r="759" spans="4:16" x14ac:dyDescent="0.55000000000000004">
      <c r="D759">
        <v>752</v>
      </c>
      <c r="E759">
        <v>6.6330973665657078</v>
      </c>
      <c r="F759">
        <v>3.3669026334342931</v>
      </c>
      <c r="G759">
        <v>6.1879760534246975</v>
      </c>
      <c r="H759">
        <v>3.8120239465753052</v>
      </c>
      <c r="I759">
        <v>310.06463385567508</v>
      </c>
      <c r="J759">
        <v>4.8585160850214137</v>
      </c>
      <c r="K759">
        <v>286.19473104795412</v>
      </c>
      <c r="L759">
        <v>4.4236273515362576</v>
      </c>
      <c r="M759">
        <v>339.25740469059457</v>
      </c>
      <c r="N759">
        <v>4.8680105191512437</v>
      </c>
      <c r="O759">
        <v>317.62435480910682</v>
      </c>
      <c r="P759">
        <v>4.4321010994133552</v>
      </c>
    </row>
    <row r="760" spans="4:16" x14ac:dyDescent="0.55000000000000004">
      <c r="D760">
        <v>753</v>
      </c>
      <c r="E760">
        <v>6.9467878989746694</v>
      </c>
      <c r="F760">
        <v>3.0532121010253293</v>
      </c>
      <c r="G760">
        <v>6.1116186813271591</v>
      </c>
      <c r="H760">
        <v>3.88838131867284</v>
      </c>
      <c r="I760">
        <v>294.03848169730236</v>
      </c>
      <c r="J760">
        <v>4.7945403423755346</v>
      </c>
      <c r="K760">
        <v>270.76918512088088</v>
      </c>
      <c r="L760">
        <v>4.3650191049602061</v>
      </c>
      <c r="M760">
        <v>308.68805898558503</v>
      </c>
      <c r="N760">
        <v>4.8192414825300629</v>
      </c>
      <c r="O760">
        <v>289.16013428439271</v>
      </c>
      <c r="P760">
        <v>4.38710595810001</v>
      </c>
    </row>
    <row r="761" spans="4:16" x14ac:dyDescent="0.55000000000000004">
      <c r="D761">
        <v>754</v>
      </c>
      <c r="E761">
        <v>6.8903916895730353</v>
      </c>
      <c r="F761">
        <v>3.1096083104269652</v>
      </c>
      <c r="G761">
        <v>4.8737770400351188</v>
      </c>
      <c r="H761">
        <v>5.1262229599648812</v>
      </c>
      <c r="I761">
        <v>349.66425447160299</v>
      </c>
      <c r="J761">
        <v>4.8546014161217093</v>
      </c>
      <c r="K761">
        <v>322.23550857888875</v>
      </c>
      <c r="L761">
        <v>4.4202262512178239</v>
      </c>
      <c r="M761">
        <v>297.32782865502043</v>
      </c>
      <c r="N761">
        <v>4.8971552980316071</v>
      </c>
      <c r="O761">
        <v>280.55864465428397</v>
      </c>
      <c r="P761">
        <v>4.4583476377152325</v>
      </c>
    </row>
    <row r="762" spans="4:16" x14ac:dyDescent="0.55000000000000004">
      <c r="D762">
        <v>755</v>
      </c>
      <c r="E762">
        <v>6.8396940992105835</v>
      </c>
      <c r="F762">
        <v>3.1603059007894174</v>
      </c>
      <c r="G762">
        <v>5.6220217970996078</v>
      </c>
      <c r="H762">
        <v>4.3779782029003922</v>
      </c>
      <c r="I762">
        <v>343.42013284256927</v>
      </c>
      <c r="J762">
        <v>4.8811168045268882</v>
      </c>
      <c r="K762">
        <v>316.45946728485615</v>
      </c>
      <c r="L762">
        <v>4.4446692121576366</v>
      </c>
      <c r="M762">
        <v>332.28096818344625</v>
      </c>
      <c r="N762">
        <v>4.9022816069601962</v>
      </c>
      <c r="O762">
        <v>311.74371745567731</v>
      </c>
      <c r="P762">
        <v>4.4636103939938856</v>
      </c>
    </row>
    <row r="763" spans="4:16" x14ac:dyDescent="0.55000000000000004">
      <c r="D763">
        <v>756</v>
      </c>
      <c r="E763">
        <v>6.752874586295551</v>
      </c>
      <c r="F763">
        <v>3.2471254137044481</v>
      </c>
      <c r="G763">
        <v>7.2904640495718249</v>
      </c>
      <c r="H763">
        <v>2.709535950428176</v>
      </c>
      <c r="I763">
        <v>331.75449453849063</v>
      </c>
      <c r="J763">
        <v>4.9214299292386361</v>
      </c>
      <c r="K763">
        <v>305.81047438093958</v>
      </c>
      <c r="L763">
        <v>4.4817936230134627</v>
      </c>
      <c r="M763">
        <v>408.16513172407991</v>
      </c>
      <c r="N763">
        <v>4.9151750459840438</v>
      </c>
      <c r="O763">
        <v>379.36691588711466</v>
      </c>
      <c r="P763">
        <v>4.4762147045466589</v>
      </c>
    </row>
    <row r="764" spans="4:16" x14ac:dyDescent="0.55000000000000004">
      <c r="D764">
        <v>757</v>
      </c>
      <c r="E764">
        <v>6.4752158901672576</v>
      </c>
      <c r="F764">
        <v>3.524784109832741</v>
      </c>
      <c r="G764">
        <v>6.8826681380875536</v>
      </c>
      <c r="H764">
        <v>3.1173318619124446</v>
      </c>
      <c r="I764">
        <v>316.41848244638254</v>
      </c>
      <c r="J764">
        <v>4.8655296336798726</v>
      </c>
      <c r="K764">
        <v>291.91811283558991</v>
      </c>
      <c r="L764">
        <v>4.430161031261445</v>
      </c>
      <c r="M764">
        <v>386.32908066320533</v>
      </c>
      <c r="N764">
        <v>4.8570681006645779</v>
      </c>
      <c r="O764">
        <v>359.72187720231125</v>
      </c>
      <c r="P764">
        <v>4.4225948527697199</v>
      </c>
    </row>
    <row r="765" spans="4:16" x14ac:dyDescent="0.55000000000000004">
      <c r="D765">
        <v>758</v>
      </c>
      <c r="E765">
        <v>6.8672879636927284</v>
      </c>
      <c r="F765">
        <v>3.1327120363072707</v>
      </c>
      <c r="G765">
        <v>6.5526267681935852</v>
      </c>
      <c r="H765">
        <v>3.4473732318064121</v>
      </c>
      <c r="I765">
        <v>344.67150849012046</v>
      </c>
      <c r="J765">
        <v>4.8551680436692672</v>
      </c>
      <c r="K765">
        <v>317.08096323357256</v>
      </c>
      <c r="L765">
        <v>4.420980990261965</v>
      </c>
      <c r="M765">
        <v>378.87855652867745</v>
      </c>
      <c r="N765">
        <v>4.8618042873751435</v>
      </c>
      <c r="O765">
        <v>352.91963750095897</v>
      </c>
      <c r="P765">
        <v>4.4269316199472435</v>
      </c>
    </row>
    <row r="766" spans="4:16" x14ac:dyDescent="0.55000000000000004">
      <c r="D766">
        <v>759</v>
      </c>
      <c r="E766">
        <v>5.3741550684049768</v>
      </c>
      <c r="F766">
        <v>4.6258449315950241</v>
      </c>
      <c r="G766">
        <v>6.2796673926998254</v>
      </c>
      <c r="H766">
        <v>3.720332607300175</v>
      </c>
      <c r="I766">
        <v>250.98037563346543</v>
      </c>
      <c r="J766">
        <v>4.8561149933700234</v>
      </c>
      <c r="K766">
        <v>232.77716450208925</v>
      </c>
      <c r="L766">
        <v>4.4207700665069201</v>
      </c>
      <c r="M766">
        <v>343.26903690198088</v>
      </c>
      <c r="N766">
        <v>4.8318712480507511</v>
      </c>
      <c r="O766">
        <v>320.76928412238061</v>
      </c>
      <c r="P766">
        <v>4.3989894935451694</v>
      </c>
    </row>
    <row r="767" spans="4:16" x14ac:dyDescent="0.55000000000000004">
      <c r="D767">
        <v>760</v>
      </c>
      <c r="E767">
        <v>7.3397139435098193</v>
      </c>
      <c r="F767">
        <v>2.6602860564901807</v>
      </c>
      <c r="G767">
        <v>7.6648015039446076</v>
      </c>
      <c r="H767">
        <v>2.3351984960553924</v>
      </c>
      <c r="I767">
        <v>367.87448429998545</v>
      </c>
      <c r="J767">
        <v>4.8317072127115273</v>
      </c>
      <c r="K767">
        <v>338.15096442782692</v>
      </c>
      <c r="L767">
        <v>4.3995242524495577</v>
      </c>
      <c r="M767">
        <v>434.16822811176399</v>
      </c>
      <c r="N767">
        <v>4.8242532585003071</v>
      </c>
      <c r="O767">
        <v>402.66788702963396</v>
      </c>
      <c r="P767">
        <v>4.392883146660016</v>
      </c>
    </row>
    <row r="768" spans="4:16" x14ac:dyDescent="0.55000000000000004">
      <c r="D768">
        <v>761</v>
      </c>
      <c r="E768">
        <v>6.3979318649036117</v>
      </c>
      <c r="F768">
        <v>3.6020681350963883</v>
      </c>
      <c r="G768">
        <v>7.093372333028217</v>
      </c>
      <c r="H768">
        <v>2.9066276669717843</v>
      </c>
      <c r="I768">
        <v>314.15458060974981</v>
      </c>
      <c r="J768">
        <v>4.8190253981713767</v>
      </c>
      <c r="K768">
        <v>289.88693840429073</v>
      </c>
      <c r="L768">
        <v>4.38722454614991</v>
      </c>
      <c r="M768">
        <v>398.30246045842421</v>
      </c>
      <c r="N768">
        <v>4.7993538754868741</v>
      </c>
      <c r="O768">
        <v>370.42348128433781</v>
      </c>
      <c r="P768">
        <v>4.3696334014395166</v>
      </c>
    </row>
    <row r="769" spans="4:16" x14ac:dyDescent="0.55000000000000004">
      <c r="D769">
        <v>762</v>
      </c>
      <c r="E769">
        <v>7.1217820013354975</v>
      </c>
      <c r="F769">
        <v>2.8782179986645042</v>
      </c>
      <c r="G769">
        <v>5.910032103763025</v>
      </c>
      <c r="H769">
        <v>4.089967896236975</v>
      </c>
      <c r="I769">
        <v>367.7526993174061</v>
      </c>
      <c r="J769">
        <v>4.7966248157114482</v>
      </c>
      <c r="K769">
        <v>338.09031927310832</v>
      </c>
      <c r="L769">
        <v>4.367248072781317</v>
      </c>
      <c r="M769">
        <v>355.18067792636913</v>
      </c>
      <c r="N769">
        <v>4.8312284947743871</v>
      </c>
      <c r="O769">
        <v>331.97504060524432</v>
      </c>
      <c r="P769">
        <v>4.3982810336859224</v>
      </c>
    </row>
    <row r="770" spans="4:16" x14ac:dyDescent="0.55000000000000004">
      <c r="D770">
        <v>763</v>
      </c>
      <c r="E770">
        <v>7.3410112864692829</v>
      </c>
      <c r="F770">
        <v>2.658988713530718</v>
      </c>
      <c r="G770">
        <v>6.1021739427593209</v>
      </c>
      <c r="H770">
        <v>3.8978260572406782</v>
      </c>
      <c r="I770">
        <v>367.11078266320703</v>
      </c>
      <c r="J770">
        <v>4.7944069745866953</v>
      </c>
      <c r="K770">
        <v>337.13450226863654</v>
      </c>
      <c r="L770">
        <v>4.3654139091071791</v>
      </c>
      <c r="M770">
        <v>355.15875329090136</v>
      </c>
      <c r="N770">
        <v>4.829101965174404</v>
      </c>
      <c r="O770">
        <v>331.58187871551257</v>
      </c>
      <c r="P770">
        <v>4.3965250409107126</v>
      </c>
    </row>
    <row r="771" spans="4:16" x14ac:dyDescent="0.55000000000000004">
      <c r="D771">
        <v>764</v>
      </c>
      <c r="E771">
        <v>5.5752780869855059</v>
      </c>
      <c r="F771">
        <v>4.4247219130144941</v>
      </c>
      <c r="G771">
        <v>4.0915844098341081</v>
      </c>
      <c r="H771">
        <v>5.9084155901658919</v>
      </c>
      <c r="I771">
        <v>282.01220999169487</v>
      </c>
      <c r="J771">
        <v>4.9348984802450868</v>
      </c>
      <c r="K771">
        <v>261.78876874547694</v>
      </c>
      <c r="L771">
        <v>4.4937863103734701</v>
      </c>
      <c r="M771">
        <v>256.96308664466466</v>
      </c>
      <c r="N771">
        <v>4.9522233045365933</v>
      </c>
      <c r="O771">
        <v>244.15342166460283</v>
      </c>
      <c r="P771">
        <v>4.5093996906744351</v>
      </c>
    </row>
    <row r="772" spans="4:16" x14ac:dyDescent="0.55000000000000004">
      <c r="D772">
        <v>765</v>
      </c>
      <c r="E772">
        <v>7.1600255747498078</v>
      </c>
      <c r="F772">
        <v>2.8399744252501922</v>
      </c>
      <c r="G772">
        <v>5.2114286531829741</v>
      </c>
      <c r="H772">
        <v>4.788571346817025</v>
      </c>
      <c r="I772">
        <v>337.65258402126125</v>
      </c>
      <c r="J772">
        <v>4.7967946108551569</v>
      </c>
      <c r="K772">
        <v>310.5268587782291</v>
      </c>
      <c r="L772">
        <v>4.3673386798222111</v>
      </c>
      <c r="M772">
        <v>295.76062373229166</v>
      </c>
      <c r="N772">
        <v>4.8520968428932409</v>
      </c>
      <c r="O772">
        <v>278.10126864503212</v>
      </c>
      <c r="P772">
        <v>4.4169438802890184</v>
      </c>
    </row>
    <row r="773" spans="4:16" x14ac:dyDescent="0.55000000000000004">
      <c r="D773">
        <v>766</v>
      </c>
      <c r="E773">
        <v>6.8065192135037051</v>
      </c>
      <c r="F773">
        <v>3.1934807864962962</v>
      </c>
      <c r="G773">
        <v>7.0764878510916018</v>
      </c>
      <c r="H773">
        <v>2.9235121489083973</v>
      </c>
      <c r="I773">
        <v>346.05291019741077</v>
      </c>
      <c r="J773">
        <v>4.7814890532568928</v>
      </c>
      <c r="K773">
        <v>318.75495984640622</v>
      </c>
      <c r="L773">
        <v>4.352945335931949</v>
      </c>
      <c r="M773">
        <v>409.7784914774835</v>
      </c>
      <c r="N773">
        <v>4.7728222000915839</v>
      </c>
      <c r="O773">
        <v>381.0168536703361</v>
      </c>
      <c r="P773">
        <v>4.3452027106010362</v>
      </c>
    </row>
    <row r="774" spans="4:16" x14ac:dyDescent="0.55000000000000004">
      <c r="D774">
        <v>767</v>
      </c>
      <c r="E774">
        <v>6.5150800550427199</v>
      </c>
      <c r="F774">
        <v>3.4849199449572801</v>
      </c>
      <c r="G774">
        <v>6.0493095540850508</v>
      </c>
      <c r="H774">
        <v>3.9506904459149501</v>
      </c>
      <c r="I774">
        <v>319.24120674037954</v>
      </c>
      <c r="J774">
        <v>4.9736013426906744</v>
      </c>
      <c r="K774">
        <v>294.3293729947975</v>
      </c>
      <c r="L774">
        <v>4.5298806695445348</v>
      </c>
      <c r="M774">
        <v>346.41828890459522</v>
      </c>
      <c r="N774">
        <v>4.9754886127987463</v>
      </c>
      <c r="O774">
        <v>323.85956407593</v>
      </c>
      <c r="P774">
        <v>4.5315733566395187</v>
      </c>
    </row>
    <row r="775" spans="4:16" x14ac:dyDescent="0.55000000000000004">
      <c r="D775">
        <v>768</v>
      </c>
      <c r="E775">
        <v>7.1503780977628484</v>
      </c>
      <c r="F775">
        <v>2.8496219022371507</v>
      </c>
      <c r="G775">
        <v>6.5071248505771191</v>
      </c>
      <c r="H775">
        <v>3.4928751494228809</v>
      </c>
      <c r="I775">
        <v>343.42348834789874</v>
      </c>
      <c r="J775">
        <v>4.6921393020919906</v>
      </c>
      <c r="K775">
        <v>315.8829168717599</v>
      </c>
      <c r="L775">
        <v>4.271047264434479</v>
      </c>
      <c r="M775">
        <v>362.52885997730215</v>
      </c>
      <c r="N775">
        <v>4.7198346758054655</v>
      </c>
      <c r="O775">
        <v>338.27200321549975</v>
      </c>
      <c r="P775">
        <v>4.2957989644098831</v>
      </c>
    </row>
    <row r="776" spans="4:16" x14ac:dyDescent="0.55000000000000004">
      <c r="D776">
        <v>769</v>
      </c>
      <c r="E776">
        <v>6.851942294972841</v>
      </c>
      <c r="F776">
        <v>3.148057705027159</v>
      </c>
      <c r="G776">
        <v>5.1322215298549061</v>
      </c>
      <c r="H776">
        <v>4.8677784701450957</v>
      </c>
      <c r="I776">
        <v>345.0735690961763</v>
      </c>
      <c r="J776">
        <v>4.9005512111049594</v>
      </c>
      <c r="K776">
        <v>317.86080403411103</v>
      </c>
      <c r="L776">
        <v>4.4626131388595196</v>
      </c>
      <c r="M776">
        <v>308.46598299559832</v>
      </c>
      <c r="N776">
        <v>4.9255111625998973</v>
      </c>
      <c r="O776">
        <v>290.1716527932071</v>
      </c>
      <c r="P776">
        <v>4.4850028339654884</v>
      </c>
    </row>
    <row r="777" spans="4:16" x14ac:dyDescent="0.55000000000000004">
      <c r="D777">
        <v>770</v>
      </c>
      <c r="E777">
        <v>7.0057573027964564</v>
      </c>
      <c r="F777">
        <v>2.9942426972035459</v>
      </c>
      <c r="G777">
        <v>6.6883385957783084</v>
      </c>
      <c r="H777">
        <v>3.3116614042216934</v>
      </c>
      <c r="I777">
        <v>336.88379570410927</v>
      </c>
      <c r="J777">
        <v>4.8538664502985638</v>
      </c>
      <c r="K777">
        <v>309.8581383470044</v>
      </c>
      <c r="L777">
        <v>4.4198089680631298</v>
      </c>
      <c r="M777">
        <v>371.62017548062818</v>
      </c>
      <c r="N777">
        <v>4.8604875078649856</v>
      </c>
      <c r="O777">
        <v>346.19299063393589</v>
      </c>
      <c r="P777">
        <v>4.4257366397646773</v>
      </c>
    </row>
    <row r="778" spans="4:16" x14ac:dyDescent="0.55000000000000004">
      <c r="D778">
        <v>771</v>
      </c>
      <c r="E778">
        <v>7.3101889381266281</v>
      </c>
      <c r="F778">
        <v>2.6898110618733706</v>
      </c>
      <c r="G778">
        <v>6.2154321700510948</v>
      </c>
      <c r="H778">
        <v>3.7845678299489052</v>
      </c>
      <c r="I778">
        <v>343.9679916189387</v>
      </c>
      <c r="J778">
        <v>4.7048620040664337</v>
      </c>
      <c r="K778">
        <v>316.24565855925886</v>
      </c>
      <c r="L778">
        <v>4.2828681709294791</v>
      </c>
      <c r="M778">
        <v>342.45615108876996</v>
      </c>
      <c r="N778">
        <v>4.7490611788482724</v>
      </c>
      <c r="O778">
        <v>320.22943322407258</v>
      </c>
      <c r="P778">
        <v>4.32235189283608</v>
      </c>
    </row>
    <row r="779" spans="4:16" x14ac:dyDescent="0.55000000000000004">
      <c r="D779">
        <v>772</v>
      </c>
      <c r="E779">
        <v>8.2006791907327106</v>
      </c>
      <c r="F779">
        <v>1.7993208092672894</v>
      </c>
      <c r="G779">
        <v>6.9828805471147106</v>
      </c>
      <c r="H779">
        <v>3.0171194528852925</v>
      </c>
      <c r="I779">
        <v>416.41980522936313</v>
      </c>
      <c r="J779">
        <v>4.7578822950334096</v>
      </c>
      <c r="K779">
        <v>381.57451772212403</v>
      </c>
      <c r="L779">
        <v>4.3323616052649019</v>
      </c>
      <c r="M779">
        <v>404.58157668884644</v>
      </c>
      <c r="N779">
        <v>4.7938367087894607</v>
      </c>
      <c r="O779">
        <v>376.5530287811273</v>
      </c>
      <c r="P779">
        <v>4.3643525827807332</v>
      </c>
    </row>
    <row r="780" spans="4:16" x14ac:dyDescent="0.55000000000000004">
      <c r="D780">
        <v>773</v>
      </c>
      <c r="E780">
        <v>7.0682961585370334</v>
      </c>
      <c r="F780">
        <v>2.9317038414629648</v>
      </c>
      <c r="G780">
        <v>7.1926423699752338</v>
      </c>
      <c r="H780">
        <v>2.8073576300247622</v>
      </c>
      <c r="I780">
        <v>355.45269322868</v>
      </c>
      <c r="J780">
        <v>4.8241370150869223</v>
      </c>
      <c r="K780">
        <v>326.93307331494145</v>
      </c>
      <c r="L780">
        <v>4.392466639233664</v>
      </c>
      <c r="M780">
        <v>411.70585449373374</v>
      </c>
      <c r="N780">
        <v>4.8210432149099516</v>
      </c>
      <c r="O780">
        <v>382.52073042979828</v>
      </c>
      <c r="P780">
        <v>4.3897021024117198</v>
      </c>
    </row>
    <row r="781" spans="4:16" x14ac:dyDescent="0.55000000000000004">
      <c r="D781">
        <v>774</v>
      </c>
      <c r="E781">
        <v>6.7823044671277595</v>
      </c>
      <c r="F781">
        <v>3.2176955328722401</v>
      </c>
      <c r="G781">
        <v>6.2822346292053988</v>
      </c>
      <c r="H781">
        <v>3.7177653707945995</v>
      </c>
      <c r="I781">
        <v>345.40491640445487</v>
      </c>
      <c r="J781">
        <v>4.7782729526563603</v>
      </c>
      <c r="K781">
        <v>318.36945963832869</v>
      </c>
      <c r="L781">
        <v>4.3498472431235919</v>
      </c>
      <c r="M781">
        <v>369.93767567512356</v>
      </c>
      <c r="N781">
        <v>4.7946212320893382</v>
      </c>
      <c r="O781">
        <v>345.61104789401048</v>
      </c>
      <c r="P781">
        <v>4.3644566340113276</v>
      </c>
    </row>
    <row r="782" spans="4:16" x14ac:dyDescent="0.55000000000000004">
      <c r="D782">
        <v>775</v>
      </c>
      <c r="E782">
        <v>5.6964336024988906</v>
      </c>
      <c r="F782">
        <v>4.3035663975011085</v>
      </c>
      <c r="G782">
        <v>6.5355250641438962</v>
      </c>
      <c r="H782">
        <v>3.4644749358561038</v>
      </c>
      <c r="I782">
        <v>271.12527464976921</v>
      </c>
      <c r="J782">
        <v>4.8870207979539391</v>
      </c>
      <c r="K782">
        <v>251.37263501658401</v>
      </c>
      <c r="L782">
        <v>4.4494711379575058</v>
      </c>
      <c r="M782">
        <v>361.06235087496736</v>
      </c>
      <c r="N782">
        <v>4.870378826784691</v>
      </c>
      <c r="O782">
        <v>337.11357979672698</v>
      </c>
      <c r="P782">
        <v>4.4345777148826961</v>
      </c>
    </row>
    <row r="783" spans="4:16" x14ac:dyDescent="0.55000000000000004">
      <c r="D783">
        <v>776</v>
      </c>
      <c r="E783">
        <v>7.12495335600142</v>
      </c>
      <c r="F783">
        <v>2.8750466439985805</v>
      </c>
      <c r="G783">
        <v>5.8944279810705682</v>
      </c>
      <c r="H783">
        <v>4.1055720189294309</v>
      </c>
      <c r="I783">
        <v>351.92185396570358</v>
      </c>
      <c r="J783">
        <v>4.8108349605045975</v>
      </c>
      <c r="K783">
        <v>323.59236646594479</v>
      </c>
      <c r="L783">
        <v>4.380281947342473</v>
      </c>
      <c r="M783">
        <v>341.14268115431292</v>
      </c>
      <c r="N783">
        <v>4.8435049822602938</v>
      </c>
      <c r="O783">
        <v>319.11477709729667</v>
      </c>
      <c r="P783">
        <v>4.4095647418845223</v>
      </c>
    </row>
    <row r="784" spans="4:16" x14ac:dyDescent="0.55000000000000004">
      <c r="D784">
        <v>777</v>
      </c>
      <c r="E784">
        <v>6.5320414027469713</v>
      </c>
      <c r="F784">
        <v>3.4679585972530287</v>
      </c>
      <c r="G784">
        <v>6.7442474096770759</v>
      </c>
      <c r="H784">
        <v>3.2557525903229245</v>
      </c>
      <c r="I784">
        <v>310.27356980742741</v>
      </c>
      <c r="J784">
        <v>4.876200229523679</v>
      </c>
      <c r="K784">
        <v>286.08063751259135</v>
      </c>
      <c r="L784">
        <v>4.4400725779008239</v>
      </c>
      <c r="M784">
        <v>370.35340721891316</v>
      </c>
      <c r="N784">
        <v>4.8721783543805426</v>
      </c>
      <c r="O784">
        <v>345.10241085015548</v>
      </c>
      <c r="P784">
        <v>4.4364728724242237</v>
      </c>
    </row>
    <row r="785" spans="4:16" x14ac:dyDescent="0.55000000000000004">
      <c r="D785">
        <v>778</v>
      </c>
      <c r="E785">
        <v>7.0442834195173907</v>
      </c>
      <c r="F785">
        <v>2.9557165804826084</v>
      </c>
      <c r="G785">
        <v>5.9369294925656932</v>
      </c>
      <c r="H785">
        <v>4.063070507434305</v>
      </c>
      <c r="I785">
        <v>361.87253217256671</v>
      </c>
      <c r="J785">
        <v>4.7363316219499598</v>
      </c>
      <c r="K785">
        <v>332.94163918668983</v>
      </c>
      <c r="L785">
        <v>4.3116306345980808</v>
      </c>
      <c r="M785">
        <v>354.98655162740852</v>
      </c>
      <c r="N785">
        <v>4.7777800130010251</v>
      </c>
      <c r="O785">
        <v>331.99351313575335</v>
      </c>
      <c r="P785">
        <v>4.3487525727564957</v>
      </c>
    </row>
    <row r="786" spans="4:16" x14ac:dyDescent="0.55000000000000004">
      <c r="D786">
        <v>779</v>
      </c>
      <c r="E786">
        <v>6.2752273026225387</v>
      </c>
      <c r="F786">
        <v>3.72477269737746</v>
      </c>
      <c r="G786">
        <v>5.9316978506363363</v>
      </c>
      <c r="H786">
        <v>4.068302149363662</v>
      </c>
      <c r="I786">
        <v>320.87736172925167</v>
      </c>
      <c r="J786">
        <v>4.796261582023261</v>
      </c>
      <c r="K786">
        <v>296.29032353854785</v>
      </c>
      <c r="L786">
        <v>4.3660922382334846</v>
      </c>
      <c r="M786">
        <v>353.3113328168709</v>
      </c>
      <c r="N786">
        <v>4.8074149863066147</v>
      </c>
      <c r="O786">
        <v>330.53678336551866</v>
      </c>
      <c r="P786">
        <v>4.3760948178330201</v>
      </c>
    </row>
    <row r="787" spans="4:16" x14ac:dyDescent="0.55000000000000004">
      <c r="D787">
        <v>780</v>
      </c>
      <c r="E787">
        <v>7.4599464105361806</v>
      </c>
      <c r="F787">
        <v>2.5400535894638172</v>
      </c>
      <c r="G787">
        <v>7.4567203668345998</v>
      </c>
      <c r="H787">
        <v>2.5432796331653997</v>
      </c>
      <c r="I787">
        <v>372.99882212927787</v>
      </c>
      <c r="J787">
        <v>4.9055705122037079</v>
      </c>
      <c r="K787">
        <v>342.18560180644261</v>
      </c>
      <c r="L787">
        <v>4.4675905987761064</v>
      </c>
      <c r="M787">
        <v>422.83751929483276</v>
      </c>
      <c r="N787">
        <v>4.9056113481075583</v>
      </c>
      <c r="O787">
        <v>392.04113817973757</v>
      </c>
      <c r="P787">
        <v>4.4676271716161944</v>
      </c>
    </row>
    <row r="788" spans="4:16" x14ac:dyDescent="0.55000000000000004">
      <c r="D788">
        <v>781</v>
      </c>
      <c r="E788">
        <v>7.6568369834299475</v>
      </c>
      <c r="F788">
        <v>2.3431630165700503</v>
      </c>
      <c r="G788">
        <v>6.3409854643337002</v>
      </c>
      <c r="H788">
        <v>3.6590145356662998</v>
      </c>
      <c r="I788">
        <v>376.90136670712781</v>
      </c>
      <c r="J788">
        <v>4.6867095585598646</v>
      </c>
      <c r="K788">
        <v>345.77546260395656</v>
      </c>
      <c r="L788">
        <v>4.2668015583382362</v>
      </c>
      <c r="M788">
        <v>362.12968134876172</v>
      </c>
      <c r="N788">
        <v>4.7405495063319627</v>
      </c>
      <c r="O788">
        <v>337.79099442247718</v>
      </c>
      <c r="P788">
        <v>4.3149997906555075</v>
      </c>
    </row>
    <row r="789" spans="4:16" x14ac:dyDescent="0.55000000000000004">
      <c r="D789">
        <v>782</v>
      </c>
      <c r="E789">
        <v>7.3132686379915244</v>
      </c>
      <c r="F789">
        <v>2.6867313620084752</v>
      </c>
      <c r="G789">
        <v>5.8687663192091755</v>
      </c>
      <c r="H789">
        <v>4.1312336807908236</v>
      </c>
      <c r="I789">
        <v>361.13240874199982</v>
      </c>
      <c r="J789">
        <v>4.6729325138933486</v>
      </c>
      <c r="K789">
        <v>332.12787974043266</v>
      </c>
      <c r="L789">
        <v>4.2534204220433454</v>
      </c>
      <c r="M789">
        <v>339.80225151171135</v>
      </c>
      <c r="N789">
        <v>4.7375342351572236</v>
      </c>
      <c r="O789">
        <v>318.43049228409569</v>
      </c>
      <c r="P789">
        <v>4.3111093579643232</v>
      </c>
    </row>
    <row r="790" spans="4:16" x14ac:dyDescent="0.55000000000000004">
      <c r="D790">
        <v>783</v>
      </c>
      <c r="E790">
        <v>7.5052163313149274</v>
      </c>
      <c r="F790">
        <v>2.4947836686850722</v>
      </c>
      <c r="G790">
        <v>5.7785963187446203</v>
      </c>
      <c r="H790">
        <v>4.2214036812553788</v>
      </c>
      <c r="I790">
        <v>387.67146806793141</v>
      </c>
      <c r="J790">
        <v>4.7832083294907779</v>
      </c>
      <c r="K790">
        <v>356.07570371979915</v>
      </c>
      <c r="L790">
        <v>4.3550964727964976</v>
      </c>
      <c r="M790">
        <v>348.48532265654035</v>
      </c>
      <c r="N790">
        <v>4.8330825530088886</v>
      </c>
      <c r="O790">
        <v>326.29652157259341</v>
      </c>
      <c r="P790">
        <v>4.3997101820688096</v>
      </c>
    </row>
    <row r="791" spans="4:16" x14ac:dyDescent="0.55000000000000004">
      <c r="D791">
        <v>784</v>
      </c>
      <c r="E791">
        <v>7.0267184486402821</v>
      </c>
      <c r="F791">
        <v>2.9732815513597175</v>
      </c>
      <c r="G791">
        <v>7.4684199769083168</v>
      </c>
      <c r="H791">
        <v>2.5315800230916845</v>
      </c>
      <c r="I791">
        <v>338.4848060147317</v>
      </c>
      <c r="J791">
        <v>4.8054209701039001</v>
      </c>
      <c r="K791">
        <v>311.40196260453456</v>
      </c>
      <c r="L791">
        <v>4.3752089461339869</v>
      </c>
      <c r="M791">
        <v>409.76205758031108</v>
      </c>
      <c r="N791">
        <v>4.793189676719626</v>
      </c>
      <c r="O791">
        <v>380.40175618510943</v>
      </c>
      <c r="P791">
        <v>4.3642868564642567</v>
      </c>
    </row>
    <row r="792" spans="4:16" x14ac:dyDescent="0.55000000000000004">
      <c r="D792">
        <v>785</v>
      </c>
      <c r="E792">
        <v>6.9734490560294145</v>
      </c>
      <c r="F792">
        <v>3.0265509439705873</v>
      </c>
      <c r="G792">
        <v>6.8288447196458471</v>
      </c>
      <c r="H792">
        <v>3.1711552803541561</v>
      </c>
      <c r="I792">
        <v>354.32210269353845</v>
      </c>
      <c r="J792">
        <v>4.8989998990390031</v>
      </c>
      <c r="K792">
        <v>326.26490579314446</v>
      </c>
      <c r="L792">
        <v>4.4612169697361876</v>
      </c>
      <c r="M792">
        <v>396.9747323873442</v>
      </c>
      <c r="N792">
        <v>4.9010942790877863</v>
      </c>
      <c r="O792">
        <v>369.70728406891141</v>
      </c>
      <c r="P792">
        <v>4.4630862306464634</v>
      </c>
    </row>
    <row r="793" spans="4:16" x14ac:dyDescent="0.55000000000000004">
      <c r="D793">
        <v>786</v>
      </c>
      <c r="E793">
        <v>5.7389314216579281</v>
      </c>
      <c r="F793">
        <v>4.2610685783420719</v>
      </c>
      <c r="G793">
        <v>5.9487692764725022</v>
      </c>
      <c r="H793">
        <v>4.0512307235274978</v>
      </c>
      <c r="I793">
        <v>272.4518541579684</v>
      </c>
      <c r="J793">
        <v>4.8580148473395113</v>
      </c>
      <c r="K793">
        <v>252.54960377641061</v>
      </c>
      <c r="L793">
        <v>4.4226059967512272</v>
      </c>
      <c r="M793">
        <v>332.41376316440932</v>
      </c>
      <c r="N793">
        <v>4.8528233129473488</v>
      </c>
      <c r="O793">
        <v>311.47650953366502</v>
      </c>
      <c r="P793">
        <v>4.4179538424076741</v>
      </c>
    </row>
    <row r="794" spans="4:16" x14ac:dyDescent="0.55000000000000004">
      <c r="D794">
        <v>787</v>
      </c>
      <c r="E794">
        <v>5.678012459793857</v>
      </c>
      <c r="F794">
        <v>4.321987540206143</v>
      </c>
      <c r="G794">
        <v>5.2648692047523262</v>
      </c>
      <c r="H794">
        <v>4.7351307952476738</v>
      </c>
      <c r="I794">
        <v>299.916977029441</v>
      </c>
      <c r="J794">
        <v>4.8650724838682811</v>
      </c>
      <c r="K794">
        <v>278.18824112843492</v>
      </c>
      <c r="L794">
        <v>4.4290671907036367</v>
      </c>
      <c r="M794">
        <v>328.09443313585854</v>
      </c>
      <c r="N794">
        <v>4.8748900729637716</v>
      </c>
      <c r="O794">
        <v>308.60221542127044</v>
      </c>
      <c r="P794">
        <v>4.4378786085357795</v>
      </c>
    </row>
    <row r="795" spans="4:16" x14ac:dyDescent="0.55000000000000004">
      <c r="D795">
        <v>788</v>
      </c>
      <c r="E795">
        <v>6.4288717934407895</v>
      </c>
      <c r="F795">
        <v>3.5711282065592092</v>
      </c>
      <c r="G795">
        <v>5.6834751206620879</v>
      </c>
      <c r="H795">
        <v>4.316524879337913</v>
      </c>
      <c r="I795">
        <v>329.95721551638678</v>
      </c>
      <c r="J795">
        <v>4.7781736263223635</v>
      </c>
      <c r="K795">
        <v>304.53570067992831</v>
      </c>
      <c r="L795">
        <v>4.3494835335259765</v>
      </c>
      <c r="M795">
        <v>341.70026802893256</v>
      </c>
      <c r="N795">
        <v>4.8038933243014998</v>
      </c>
      <c r="O795">
        <v>320.2382618022387</v>
      </c>
      <c r="P795">
        <v>4.3725413002147935</v>
      </c>
    </row>
    <row r="796" spans="4:16" x14ac:dyDescent="0.55000000000000004">
      <c r="D796">
        <v>789</v>
      </c>
      <c r="E796">
        <v>7.628237700043206</v>
      </c>
      <c r="F796">
        <v>2.3717622999567971</v>
      </c>
      <c r="G796">
        <v>6.4124088795917862</v>
      </c>
      <c r="H796">
        <v>3.5875911204082147</v>
      </c>
      <c r="I796">
        <v>354.06168173798665</v>
      </c>
      <c r="J796">
        <v>4.8012648833097531</v>
      </c>
      <c r="K796">
        <v>324.95059802972321</v>
      </c>
      <c r="L796">
        <v>4.3718242791786626</v>
      </c>
      <c r="M796">
        <v>347.62946058786378</v>
      </c>
      <c r="N796">
        <v>4.8329403360170549</v>
      </c>
      <c r="O796">
        <v>324.49623605891918</v>
      </c>
      <c r="P796">
        <v>4.4001443545524781</v>
      </c>
    </row>
    <row r="797" spans="4:16" x14ac:dyDescent="0.55000000000000004">
      <c r="D797">
        <v>790</v>
      </c>
      <c r="E797">
        <v>8.1061678670805026</v>
      </c>
      <c r="F797">
        <v>1.893832132919498</v>
      </c>
      <c r="G797">
        <v>5.9999056047589754</v>
      </c>
      <c r="H797">
        <v>4.0000943952410246</v>
      </c>
      <c r="I797">
        <v>385.64031719576053</v>
      </c>
      <c r="J797">
        <v>4.8381379233999162</v>
      </c>
      <c r="K797">
        <v>353.34127661461946</v>
      </c>
      <c r="L797">
        <v>4.4059138910914033</v>
      </c>
      <c r="M797">
        <v>335.43764926955646</v>
      </c>
      <c r="N797">
        <v>4.880195278889464</v>
      </c>
      <c r="O797">
        <v>313.77493027417688</v>
      </c>
      <c r="P797">
        <v>4.4435069387207751</v>
      </c>
    </row>
    <row r="798" spans="4:16" x14ac:dyDescent="0.55000000000000004">
      <c r="D798">
        <v>791</v>
      </c>
      <c r="E798">
        <v>6.8949216068703389</v>
      </c>
      <c r="F798">
        <v>3.1050783931296611</v>
      </c>
      <c r="G798">
        <v>6.3508400759630828</v>
      </c>
      <c r="H798">
        <v>3.6491599240369155</v>
      </c>
      <c r="I798">
        <v>355.1952982430995</v>
      </c>
      <c r="J798">
        <v>4.8816243076404184</v>
      </c>
      <c r="K798">
        <v>326.84914083377777</v>
      </c>
      <c r="L798">
        <v>4.4452905323437975</v>
      </c>
      <c r="M798">
        <v>377.16666896229697</v>
      </c>
      <c r="N798">
        <v>4.8909653896125516</v>
      </c>
      <c r="O798">
        <v>351.73064050122082</v>
      </c>
      <c r="P798">
        <v>4.4536617576460698</v>
      </c>
    </row>
    <row r="799" spans="4:16" x14ac:dyDescent="0.55000000000000004">
      <c r="D799">
        <v>792</v>
      </c>
      <c r="E799">
        <v>7.3389163288755075</v>
      </c>
      <c r="F799">
        <v>2.6610836711244934</v>
      </c>
      <c r="G799">
        <v>5.5415873315614474</v>
      </c>
      <c r="H799">
        <v>4.4584126684385534</v>
      </c>
      <c r="I799">
        <v>370.64400877042465</v>
      </c>
      <c r="J799">
        <v>4.8685508750558038</v>
      </c>
      <c r="K799">
        <v>340.78995921361712</v>
      </c>
      <c r="L799">
        <v>4.4333579523845854</v>
      </c>
      <c r="M799">
        <v>329.8718572985897</v>
      </c>
      <c r="N799">
        <v>4.9007432742257189</v>
      </c>
      <c r="O799">
        <v>309.6276703147218</v>
      </c>
      <c r="P799">
        <v>4.462142207901409</v>
      </c>
    </row>
    <row r="800" spans="4:16" x14ac:dyDescent="0.55000000000000004">
      <c r="D800">
        <v>793</v>
      </c>
      <c r="E800">
        <v>6.0346977817483296</v>
      </c>
      <c r="F800">
        <v>3.9653022182516713</v>
      </c>
      <c r="G800">
        <v>4.7428003117092388</v>
      </c>
      <c r="H800">
        <v>5.2571996882907612</v>
      </c>
      <c r="I800">
        <v>296.7019345450193</v>
      </c>
      <c r="J800">
        <v>4.7656571689783576</v>
      </c>
      <c r="K800">
        <v>274.55295018818475</v>
      </c>
      <c r="L800">
        <v>4.3373703277374993</v>
      </c>
      <c r="M800">
        <v>283.18450708515331</v>
      </c>
      <c r="N800">
        <v>4.8158248694113945</v>
      </c>
      <c r="O800">
        <v>267.46519549926023</v>
      </c>
      <c r="P800">
        <v>4.3824597069860252</v>
      </c>
    </row>
    <row r="801" spans="4:16" x14ac:dyDescent="0.55000000000000004">
      <c r="D801">
        <v>794</v>
      </c>
      <c r="E801">
        <v>6.668996773841136</v>
      </c>
      <c r="F801">
        <v>3.3310032261588636</v>
      </c>
      <c r="G801">
        <v>6.1105319617944645</v>
      </c>
      <c r="H801">
        <v>3.8894680382055355</v>
      </c>
      <c r="I801">
        <v>323.97829267496559</v>
      </c>
      <c r="J801">
        <v>4.8078972920101659</v>
      </c>
      <c r="K801">
        <v>298.48925507099614</v>
      </c>
      <c r="L801">
        <v>4.3772303198482208</v>
      </c>
      <c r="M801">
        <v>346.84820362834637</v>
      </c>
      <c r="N801">
        <v>4.8239840598328785</v>
      </c>
      <c r="O801">
        <v>324.1674629055434</v>
      </c>
      <c r="P801">
        <v>4.3916519099478908</v>
      </c>
    </row>
    <row r="802" spans="4:16" x14ac:dyDescent="0.55000000000000004">
      <c r="D802">
        <v>795</v>
      </c>
      <c r="E802">
        <v>7.1468329487152431</v>
      </c>
      <c r="F802">
        <v>2.8531670512847582</v>
      </c>
      <c r="G802">
        <v>7.2404098920172464</v>
      </c>
      <c r="H802">
        <v>2.7595901079827518</v>
      </c>
      <c r="I802">
        <v>368.13114662798773</v>
      </c>
      <c r="J802">
        <v>4.814909197385159</v>
      </c>
      <c r="K802">
        <v>338.5492665835576</v>
      </c>
      <c r="L802">
        <v>4.3840018420127977</v>
      </c>
      <c r="M802">
        <v>422.95126592878944</v>
      </c>
      <c r="N802">
        <v>4.8124857139112454</v>
      </c>
      <c r="O802">
        <v>392.85296007618797</v>
      </c>
      <c r="P802">
        <v>4.381838009666482</v>
      </c>
    </row>
    <row r="803" spans="4:16" x14ac:dyDescent="0.55000000000000004">
      <c r="D803">
        <v>796</v>
      </c>
      <c r="E803">
        <v>7.8345694337749228</v>
      </c>
      <c r="F803">
        <v>2.1654305662250746</v>
      </c>
      <c r="G803">
        <v>6.245148749239072</v>
      </c>
      <c r="H803">
        <v>3.7548512507609257</v>
      </c>
      <c r="I803">
        <v>379.74408885435872</v>
      </c>
      <c r="J803">
        <v>4.8427299157158963</v>
      </c>
      <c r="K803">
        <v>348.32672027908001</v>
      </c>
      <c r="L803">
        <v>4.4099606623107386</v>
      </c>
      <c r="M803">
        <v>352.70435938903205</v>
      </c>
      <c r="N803">
        <v>4.8746357309789827</v>
      </c>
      <c r="O803">
        <v>329.51209826927663</v>
      </c>
      <c r="P803">
        <v>4.4384600694670437</v>
      </c>
    </row>
    <row r="804" spans="4:16" x14ac:dyDescent="0.55000000000000004">
      <c r="D804">
        <v>797</v>
      </c>
      <c r="E804">
        <v>7.461898608446325</v>
      </c>
      <c r="F804">
        <v>2.5381013915536768</v>
      </c>
      <c r="G804">
        <v>6.8341079108638576</v>
      </c>
      <c r="H804">
        <v>3.165892089136142</v>
      </c>
      <c r="I804">
        <v>374.54476950360379</v>
      </c>
      <c r="J804">
        <v>4.8153226585160906</v>
      </c>
      <c r="K804">
        <v>343.83298282670091</v>
      </c>
      <c r="L804">
        <v>4.3846850847849108</v>
      </c>
      <c r="M804">
        <v>393.03325554971877</v>
      </c>
      <c r="N804">
        <v>4.8308600871413772</v>
      </c>
      <c r="O804">
        <v>365.63801878859493</v>
      </c>
      <c r="P804">
        <v>4.3985872172554625</v>
      </c>
    </row>
    <row r="805" spans="4:16" x14ac:dyDescent="0.55000000000000004">
      <c r="D805">
        <v>798</v>
      </c>
      <c r="E805">
        <v>7.2190674264369123</v>
      </c>
      <c r="F805">
        <v>2.7809325735630859</v>
      </c>
      <c r="G805">
        <v>6.1307098216379838</v>
      </c>
      <c r="H805">
        <v>3.8692901783620166</v>
      </c>
      <c r="I805">
        <v>368.44526541644024</v>
      </c>
      <c r="J805">
        <v>4.8485137049553186</v>
      </c>
      <c r="K805">
        <v>338.73157302574276</v>
      </c>
      <c r="L805">
        <v>4.414949811881459</v>
      </c>
      <c r="M805">
        <v>362.89789580750136</v>
      </c>
      <c r="N805">
        <v>4.8713520096137461</v>
      </c>
      <c r="O805">
        <v>339.01781694146507</v>
      </c>
      <c r="P805">
        <v>4.4353896259565584</v>
      </c>
    </row>
    <row r="806" spans="4:16" x14ac:dyDescent="0.55000000000000004">
      <c r="D806">
        <v>799</v>
      </c>
      <c r="E806">
        <v>6.8288952255133095</v>
      </c>
      <c r="F806">
        <v>3.1711047744866923</v>
      </c>
      <c r="G806">
        <v>6.7280495733730508</v>
      </c>
      <c r="H806">
        <v>3.2719504266269506</v>
      </c>
      <c r="I806">
        <v>324.03964141969089</v>
      </c>
      <c r="J806">
        <v>4.8878494825056755</v>
      </c>
      <c r="K806">
        <v>298.45703521501378</v>
      </c>
      <c r="L806">
        <v>4.4509229742537482</v>
      </c>
      <c r="M806">
        <v>369.25438877206261</v>
      </c>
      <c r="N806">
        <v>4.8895056643185608</v>
      </c>
      <c r="O806">
        <v>344.17937943589811</v>
      </c>
      <c r="P806">
        <v>4.4524034761676141</v>
      </c>
    </row>
    <row r="807" spans="4:16" x14ac:dyDescent="0.55000000000000004">
      <c r="D807">
        <v>800</v>
      </c>
      <c r="E807">
        <v>6.6795152685271324</v>
      </c>
      <c r="F807">
        <v>3.3204847314728689</v>
      </c>
      <c r="G807">
        <v>6.2470803016431171</v>
      </c>
      <c r="H807">
        <v>3.7529196983568829</v>
      </c>
      <c r="I807">
        <v>352.81428575577644</v>
      </c>
      <c r="J807">
        <v>4.9330938111408367</v>
      </c>
      <c r="K807">
        <v>325.33086188735842</v>
      </c>
      <c r="L807">
        <v>4.4925249701897911</v>
      </c>
      <c r="M807">
        <v>379.97292259640318</v>
      </c>
      <c r="N807">
        <v>4.9374253493439122</v>
      </c>
      <c r="O807">
        <v>354.90856040612795</v>
      </c>
      <c r="P807">
        <v>4.4963977679052087</v>
      </c>
    </row>
    <row r="808" spans="4:16" x14ac:dyDescent="0.55000000000000004">
      <c r="D808">
        <v>801</v>
      </c>
      <c r="E808">
        <v>5.2996098855219387</v>
      </c>
      <c r="F808">
        <v>4.7003901144780613</v>
      </c>
      <c r="G808">
        <v>6.1586502066975273</v>
      </c>
      <c r="H808">
        <v>3.8413497933024741</v>
      </c>
      <c r="I808">
        <v>277.63466961754733</v>
      </c>
      <c r="J808">
        <v>5.051758770307468</v>
      </c>
      <c r="K808">
        <v>257.8472105150102</v>
      </c>
      <c r="L808">
        <v>4.6022891617787245</v>
      </c>
      <c r="M808">
        <v>372.63786436388051</v>
      </c>
      <c r="N808">
        <v>5.0601486087350196</v>
      </c>
      <c r="O808">
        <v>348.24421268871924</v>
      </c>
      <c r="P808">
        <v>4.6098202786939853</v>
      </c>
    </row>
    <row r="809" spans="4:16" x14ac:dyDescent="0.55000000000000004">
      <c r="D809">
        <v>802</v>
      </c>
      <c r="E809">
        <v>6.1512060124962131</v>
      </c>
      <c r="F809">
        <v>3.8487939875037869</v>
      </c>
      <c r="G809">
        <v>6.1129304721626054</v>
      </c>
      <c r="H809">
        <v>3.887069527837395</v>
      </c>
      <c r="I809">
        <v>301.13009738654023</v>
      </c>
      <c r="J809">
        <v>4.7849276784281951</v>
      </c>
      <c r="K809">
        <v>278.23273300704483</v>
      </c>
      <c r="L809">
        <v>4.3555006922744335</v>
      </c>
      <c r="M809">
        <v>349.25633195505145</v>
      </c>
      <c r="N809">
        <v>4.7862659540935262</v>
      </c>
      <c r="O809">
        <v>326.55272349027513</v>
      </c>
      <c r="P809">
        <v>4.3567005841157673</v>
      </c>
    </row>
    <row r="810" spans="4:16" x14ac:dyDescent="0.55000000000000004">
      <c r="D810">
        <v>803</v>
      </c>
      <c r="E810">
        <v>7.4570697351836133</v>
      </c>
      <c r="F810">
        <v>2.5429302648163845</v>
      </c>
      <c r="G810">
        <v>5.5656237318566832</v>
      </c>
      <c r="H810">
        <v>4.4343762681433168</v>
      </c>
      <c r="I810">
        <v>378.68521889595326</v>
      </c>
      <c r="J810">
        <v>4.8015929279634113</v>
      </c>
      <c r="K810">
        <v>347.55048979082886</v>
      </c>
      <c r="L810">
        <v>4.3721248745591197</v>
      </c>
      <c r="M810">
        <v>332.63373094750398</v>
      </c>
      <c r="N810">
        <v>4.8519178245732419</v>
      </c>
      <c r="O810">
        <v>311.26104197077075</v>
      </c>
      <c r="P810">
        <v>4.4173350803853362</v>
      </c>
    </row>
    <row r="811" spans="4:16" x14ac:dyDescent="0.55000000000000004">
      <c r="D811">
        <v>804</v>
      </c>
      <c r="E811">
        <v>7.1495650331693934</v>
      </c>
      <c r="F811">
        <v>2.8504349668306057</v>
      </c>
      <c r="G811">
        <v>6.0207347091282504</v>
      </c>
      <c r="H811">
        <v>3.9792652908717487</v>
      </c>
      <c r="I811">
        <v>384.0090738713896</v>
      </c>
      <c r="J811">
        <v>4.7836215535346884</v>
      </c>
      <c r="K811">
        <v>353.10035514567494</v>
      </c>
      <c r="L811">
        <v>4.3552570783324258</v>
      </c>
      <c r="M811">
        <v>373.37865995363296</v>
      </c>
      <c r="N811">
        <v>4.8177851076398364</v>
      </c>
      <c r="O811">
        <v>348.79532145848179</v>
      </c>
      <c r="P811">
        <v>4.3858564563784155</v>
      </c>
    </row>
    <row r="812" spans="4:16" x14ac:dyDescent="0.55000000000000004">
      <c r="D812">
        <v>805</v>
      </c>
      <c r="E812">
        <v>7.2463585260477057</v>
      </c>
      <c r="F812">
        <v>2.7536414739522925</v>
      </c>
      <c r="G812">
        <v>7.0820465115343909</v>
      </c>
      <c r="H812">
        <v>2.91795348846561</v>
      </c>
      <c r="I812">
        <v>362.65502425001006</v>
      </c>
      <c r="J812">
        <v>4.8809100628717985</v>
      </c>
      <c r="K812">
        <v>333.18703949466851</v>
      </c>
      <c r="L812">
        <v>4.4448061840858726</v>
      </c>
      <c r="M812">
        <v>404.43177978954111</v>
      </c>
      <c r="N812">
        <v>4.8836104409178853</v>
      </c>
      <c r="O812">
        <v>375.83056390207423</v>
      </c>
      <c r="P812">
        <v>4.4472219295112101</v>
      </c>
    </row>
    <row r="813" spans="4:16" x14ac:dyDescent="0.55000000000000004">
      <c r="D813">
        <v>806</v>
      </c>
      <c r="E813">
        <v>7.7097098397862638</v>
      </c>
      <c r="F813">
        <v>2.2902901602137375</v>
      </c>
      <c r="G813">
        <v>4.8157509196232926</v>
      </c>
      <c r="H813">
        <v>5.1842490803767074</v>
      </c>
      <c r="I813">
        <v>383.90805409317528</v>
      </c>
      <c r="J813">
        <v>4.7500566538157685</v>
      </c>
      <c r="K813">
        <v>352.50583342613646</v>
      </c>
      <c r="L813">
        <v>4.324720390550576</v>
      </c>
      <c r="M813">
        <v>289.80222381511209</v>
      </c>
      <c r="N813">
        <v>4.8438767574586432</v>
      </c>
      <c r="O813">
        <v>273.61921310896076</v>
      </c>
      <c r="P813">
        <v>4.4086320272484434</v>
      </c>
    </row>
    <row r="814" spans="4:16" x14ac:dyDescent="0.55000000000000004">
      <c r="D814">
        <v>807</v>
      </c>
      <c r="E814">
        <v>6.5293125513487764</v>
      </c>
      <c r="F814">
        <v>3.4706874486512214</v>
      </c>
      <c r="G814">
        <v>6.6462039744450996</v>
      </c>
      <c r="H814">
        <v>3.3537960255548991</v>
      </c>
      <c r="I814">
        <v>318.2982806422159</v>
      </c>
      <c r="J814">
        <v>4.7620759193350768</v>
      </c>
      <c r="K814">
        <v>293.79389963960341</v>
      </c>
      <c r="L814">
        <v>4.3346119654642257</v>
      </c>
      <c r="M814">
        <v>373.9966353619169</v>
      </c>
      <c r="N814">
        <v>4.7578164687177127</v>
      </c>
      <c r="O814">
        <v>348.88244582845874</v>
      </c>
      <c r="P814">
        <v>4.330808339282326</v>
      </c>
    </row>
    <row r="815" spans="4:16" x14ac:dyDescent="0.55000000000000004">
      <c r="D815">
        <v>808</v>
      </c>
      <c r="E815">
        <v>7.2927087600764589</v>
      </c>
      <c r="F815">
        <v>2.7072912399235403</v>
      </c>
      <c r="G815">
        <v>6.256899069720026</v>
      </c>
      <c r="H815">
        <v>3.7431009302799731</v>
      </c>
      <c r="I815">
        <v>366.91235166074722</v>
      </c>
      <c r="J815">
        <v>4.7730619986924543</v>
      </c>
      <c r="K815">
        <v>337.3236335901376</v>
      </c>
      <c r="L815">
        <v>4.3455821598564004</v>
      </c>
      <c r="M815">
        <v>364.79846889578067</v>
      </c>
      <c r="N815">
        <v>4.8052948203500705</v>
      </c>
      <c r="O815">
        <v>340.75209196067158</v>
      </c>
      <c r="P815">
        <v>4.3743870025589278</v>
      </c>
    </row>
    <row r="816" spans="4:16" x14ac:dyDescent="0.55000000000000004">
      <c r="D816">
        <v>809</v>
      </c>
      <c r="E816">
        <v>7.293711295794937</v>
      </c>
      <c r="F816">
        <v>2.7062887042050616</v>
      </c>
      <c r="G816">
        <v>6.2070765104643888</v>
      </c>
      <c r="H816">
        <v>3.7929234895356112</v>
      </c>
      <c r="I816">
        <v>384.9061972016035</v>
      </c>
      <c r="J816">
        <v>4.86289587530477</v>
      </c>
      <c r="K816">
        <v>353.59774242621819</v>
      </c>
      <c r="L816">
        <v>4.4282673109466915</v>
      </c>
      <c r="M816">
        <v>377.56193911317348</v>
      </c>
      <c r="N816">
        <v>4.8833219800769774</v>
      </c>
      <c r="O816">
        <v>352.21396637955149</v>
      </c>
      <c r="P816">
        <v>4.4465702836959808</v>
      </c>
    </row>
    <row r="817" spans="4:16" x14ac:dyDescent="0.55000000000000004">
      <c r="D817">
        <v>810</v>
      </c>
      <c r="E817">
        <v>5.751775481239866</v>
      </c>
      <c r="F817">
        <v>4.248224518760134</v>
      </c>
      <c r="G817">
        <v>5.7113909017403</v>
      </c>
      <c r="H817">
        <v>4.2886090982597</v>
      </c>
      <c r="I817">
        <v>281.19045127007212</v>
      </c>
      <c r="J817">
        <v>4.8491813370986065</v>
      </c>
      <c r="K817">
        <v>260.64629129584739</v>
      </c>
      <c r="L817">
        <v>4.4144196757826792</v>
      </c>
      <c r="M817">
        <v>329.2161464365692</v>
      </c>
      <c r="N817">
        <v>4.8502402706925594</v>
      </c>
      <c r="O817">
        <v>308.87622385005261</v>
      </c>
      <c r="P817">
        <v>4.4153690650816904</v>
      </c>
    </row>
    <row r="818" spans="4:16" x14ac:dyDescent="0.55000000000000004">
      <c r="D818">
        <v>811</v>
      </c>
      <c r="E818">
        <v>5.4980064724560318</v>
      </c>
      <c r="F818">
        <v>4.5019935275439691</v>
      </c>
      <c r="G818">
        <v>5.1633586165102212</v>
      </c>
      <c r="H818">
        <v>4.8366413834897779</v>
      </c>
      <c r="I818">
        <v>263.74556834709261</v>
      </c>
      <c r="J818">
        <v>4.8747228863711554</v>
      </c>
      <c r="K818">
        <v>244.6233945668387</v>
      </c>
      <c r="L818">
        <v>4.4380250919907303</v>
      </c>
      <c r="M818">
        <v>297.6921334512374</v>
      </c>
      <c r="N818">
        <v>4.8823481443050989</v>
      </c>
      <c r="O818">
        <v>280.17399200268005</v>
      </c>
      <c r="P818">
        <v>4.444888446921178</v>
      </c>
    </row>
    <row r="819" spans="4:16" x14ac:dyDescent="0.55000000000000004">
      <c r="D819">
        <v>812</v>
      </c>
      <c r="E819">
        <v>6.8538878930375917</v>
      </c>
      <c r="F819">
        <v>3.1461121069624074</v>
      </c>
      <c r="G819">
        <v>4.9186124904621451</v>
      </c>
      <c r="H819">
        <v>5.0813875095378558</v>
      </c>
      <c r="I819">
        <v>338.6064862304197</v>
      </c>
      <c r="J819">
        <v>4.9610786580745883</v>
      </c>
      <c r="K819">
        <v>311.65635091949866</v>
      </c>
      <c r="L819">
        <v>4.5183957791880953</v>
      </c>
      <c r="M819">
        <v>292.99698485239082</v>
      </c>
      <c r="N819">
        <v>4.9720685541509457</v>
      </c>
      <c r="O819">
        <v>275.63678421568892</v>
      </c>
      <c r="P819">
        <v>4.5282833540105001</v>
      </c>
    </row>
    <row r="820" spans="4:16" x14ac:dyDescent="0.55000000000000004">
      <c r="D820">
        <v>813</v>
      </c>
      <c r="E820">
        <v>6.4611380589162017</v>
      </c>
      <c r="F820">
        <v>3.5388619410837983</v>
      </c>
      <c r="G820">
        <v>6.4869410646204262</v>
      </c>
      <c r="H820">
        <v>3.5130589353795765</v>
      </c>
      <c r="I820">
        <v>317.17314893247016</v>
      </c>
      <c r="J820">
        <v>4.8831757936335523</v>
      </c>
      <c r="K820">
        <v>292.77855701244602</v>
      </c>
      <c r="L820">
        <v>4.4463803602141043</v>
      </c>
      <c r="M820">
        <v>368.43980203545368</v>
      </c>
      <c r="N820">
        <v>4.8827092480132963</v>
      </c>
      <c r="O820">
        <v>343.91092696681505</v>
      </c>
      <c r="P820">
        <v>4.4459632750299471</v>
      </c>
    </row>
    <row r="821" spans="4:16" x14ac:dyDescent="0.55000000000000004">
      <c r="D821">
        <v>814</v>
      </c>
      <c r="E821">
        <v>7.61203813230515</v>
      </c>
      <c r="F821">
        <v>2.3879618676948509</v>
      </c>
      <c r="G821">
        <v>5.570424181955123</v>
      </c>
      <c r="H821">
        <v>4.429575818044877</v>
      </c>
      <c r="I821">
        <v>373.18680120974403</v>
      </c>
      <c r="J821">
        <v>4.8557162720254246</v>
      </c>
      <c r="K821">
        <v>342.42664749853265</v>
      </c>
      <c r="L821">
        <v>4.4218282682052186</v>
      </c>
      <c r="M821">
        <v>323.09489859527457</v>
      </c>
      <c r="N821">
        <v>4.8944144060496431</v>
      </c>
      <c r="O821">
        <v>302.64641252348326</v>
      </c>
      <c r="P821">
        <v>4.4565396432019808</v>
      </c>
    </row>
    <row r="822" spans="4:16" x14ac:dyDescent="0.55000000000000004">
      <c r="D822">
        <v>815</v>
      </c>
      <c r="E822">
        <v>5.8808645726492417</v>
      </c>
      <c r="F822">
        <v>4.1191354273507583</v>
      </c>
      <c r="G822">
        <v>6.5131441723468688</v>
      </c>
      <c r="H822">
        <v>3.486855827653133</v>
      </c>
      <c r="I822">
        <v>277.44063484949129</v>
      </c>
      <c r="J822">
        <v>4.9774108449840666</v>
      </c>
      <c r="K822">
        <v>256.89967588929352</v>
      </c>
      <c r="L822">
        <v>4.5333026056618628</v>
      </c>
      <c r="M822">
        <v>357.26959135332504</v>
      </c>
      <c r="N822">
        <v>4.9749821779548329</v>
      </c>
      <c r="O822">
        <v>333.59515654962161</v>
      </c>
      <c r="P822">
        <v>4.5311290655415126</v>
      </c>
    </row>
    <row r="823" spans="4:16" x14ac:dyDescent="0.55000000000000004">
      <c r="D823">
        <v>816</v>
      </c>
      <c r="E823">
        <v>7.4304485520926153</v>
      </c>
      <c r="F823">
        <v>2.5695514479073842</v>
      </c>
      <c r="G823">
        <v>6.7929308277881288</v>
      </c>
      <c r="H823">
        <v>3.207069172211872</v>
      </c>
      <c r="I823">
        <v>362.71212013873014</v>
      </c>
      <c r="J823">
        <v>4.7884638004968112</v>
      </c>
      <c r="K823">
        <v>332.84040521031108</v>
      </c>
      <c r="L823">
        <v>4.3601045101469484</v>
      </c>
      <c r="M823">
        <v>381.59214080136201</v>
      </c>
      <c r="N823">
        <v>4.806613186172501</v>
      </c>
      <c r="O823">
        <v>354.94393309790075</v>
      </c>
      <c r="P823">
        <v>4.3763739242706041</v>
      </c>
    </row>
    <row r="824" spans="4:16" x14ac:dyDescent="0.55000000000000004">
      <c r="D824">
        <v>817</v>
      </c>
      <c r="E824">
        <v>7.4017320850462509</v>
      </c>
      <c r="F824">
        <v>2.5982679149537491</v>
      </c>
      <c r="G824">
        <v>6.5854154866477383</v>
      </c>
      <c r="H824">
        <v>3.414584513352259</v>
      </c>
      <c r="I824">
        <v>342.22128896043216</v>
      </c>
      <c r="J824">
        <v>4.8925812885513444</v>
      </c>
      <c r="K824">
        <v>314.1785963964906</v>
      </c>
      <c r="L824">
        <v>4.4556028371616669</v>
      </c>
      <c r="M824">
        <v>354.47864773890927</v>
      </c>
      <c r="N824">
        <v>4.9044282016963434</v>
      </c>
      <c r="O824">
        <v>330.36722784087885</v>
      </c>
      <c r="P824">
        <v>4.4662157760983181</v>
      </c>
    </row>
    <row r="825" spans="4:16" x14ac:dyDescent="0.55000000000000004">
      <c r="D825">
        <v>818</v>
      </c>
      <c r="E825">
        <v>5.1798888654223836</v>
      </c>
      <c r="F825">
        <v>4.8201111345776164</v>
      </c>
      <c r="G825">
        <v>7.3563013736439924</v>
      </c>
      <c r="H825">
        <v>2.6436986263560072</v>
      </c>
      <c r="I825">
        <v>260.06920490268959</v>
      </c>
      <c r="J825">
        <v>4.9236909771973156</v>
      </c>
      <c r="K825">
        <v>241.07804148805943</v>
      </c>
      <c r="L825">
        <v>4.483482649424781</v>
      </c>
      <c r="M825">
        <v>419.34140846903148</v>
      </c>
      <c r="N825">
        <v>4.8916285302929863</v>
      </c>
      <c r="O825">
        <v>389.23430691037538</v>
      </c>
      <c r="P825">
        <v>4.4546818204333576</v>
      </c>
    </row>
    <row r="826" spans="4:16" x14ac:dyDescent="0.55000000000000004">
      <c r="D826">
        <v>819</v>
      </c>
      <c r="E826">
        <v>8.3281204180015518</v>
      </c>
      <c r="F826">
        <v>1.6718795819984491</v>
      </c>
      <c r="G826">
        <v>6.667002034049073</v>
      </c>
      <c r="H826">
        <v>3.332997965950927</v>
      </c>
      <c r="I826">
        <v>423.70391009688484</v>
      </c>
      <c r="J826">
        <v>4.7445733536670751</v>
      </c>
      <c r="K826">
        <v>387.76775488691061</v>
      </c>
      <c r="L826">
        <v>4.3204565090417155</v>
      </c>
      <c r="M826">
        <v>389.19236138138541</v>
      </c>
      <c r="N826">
        <v>4.7955204913979159</v>
      </c>
      <c r="O826">
        <v>362.19074895131121</v>
      </c>
      <c r="P826">
        <v>4.3660175263134224</v>
      </c>
    </row>
    <row r="827" spans="4:16" x14ac:dyDescent="0.55000000000000004">
      <c r="D827">
        <v>820</v>
      </c>
      <c r="E827">
        <v>6.689119928580384</v>
      </c>
      <c r="F827">
        <v>3.3108800714196165</v>
      </c>
      <c r="G827">
        <v>6.3401511513363431</v>
      </c>
      <c r="H827">
        <v>3.6598488486636565</v>
      </c>
      <c r="I827">
        <v>317.73460048986675</v>
      </c>
      <c r="J827">
        <v>4.7282353279415226</v>
      </c>
      <c r="K827">
        <v>292.65287378329577</v>
      </c>
      <c r="L827">
        <v>4.3039075439558614</v>
      </c>
      <c r="M827">
        <v>351.15851033078292</v>
      </c>
      <c r="N827">
        <v>4.7424131848672388</v>
      </c>
      <c r="O827">
        <v>327.79435277212201</v>
      </c>
      <c r="P827">
        <v>4.3166163301052132</v>
      </c>
    </row>
    <row r="828" spans="4:16" x14ac:dyDescent="0.55000000000000004">
      <c r="D828">
        <v>821</v>
      </c>
      <c r="E828">
        <v>6.8970072270984835</v>
      </c>
      <c r="F828">
        <v>3.1029927729015174</v>
      </c>
      <c r="G828">
        <v>6.2848439829216094</v>
      </c>
      <c r="H828">
        <v>3.7151560170783893</v>
      </c>
      <c r="I828">
        <v>354.29050641123172</v>
      </c>
      <c r="J828">
        <v>4.6542557053823241</v>
      </c>
      <c r="K828">
        <v>326.2379151134528</v>
      </c>
      <c r="L828">
        <v>4.2358509311408659</v>
      </c>
      <c r="M828">
        <v>372.84445761870228</v>
      </c>
      <c r="N828">
        <v>4.6849432111481892</v>
      </c>
      <c r="O828">
        <v>348.10670990742886</v>
      </c>
      <c r="P828">
        <v>4.2633035541287709</v>
      </c>
    </row>
    <row r="829" spans="4:16" x14ac:dyDescent="0.55000000000000004">
      <c r="D829">
        <v>822</v>
      </c>
      <c r="E829">
        <v>6.660001746455543</v>
      </c>
      <c r="F829">
        <v>3.3399982535444566</v>
      </c>
      <c r="G829">
        <v>6.208163828848428</v>
      </c>
      <c r="H829">
        <v>3.7918361711515716</v>
      </c>
      <c r="I829">
        <v>321.04594325621605</v>
      </c>
      <c r="J829">
        <v>4.8222663206357472</v>
      </c>
      <c r="K829">
        <v>295.72373879349158</v>
      </c>
      <c r="L829">
        <v>4.3905042220128632</v>
      </c>
      <c r="M829">
        <v>349.26505850880551</v>
      </c>
      <c r="N829">
        <v>4.8343243978900574</v>
      </c>
      <c r="O829">
        <v>326.18945078020869</v>
      </c>
      <c r="P829">
        <v>4.401318564804888</v>
      </c>
    </row>
    <row r="830" spans="4:16" x14ac:dyDescent="0.55000000000000004">
      <c r="D830">
        <v>823</v>
      </c>
      <c r="E830">
        <v>6.5356922189094995</v>
      </c>
      <c r="F830">
        <v>3.4643077810905001</v>
      </c>
      <c r="G830">
        <v>6.1620127871559633</v>
      </c>
      <c r="H830">
        <v>3.8379872128440375</v>
      </c>
      <c r="I830">
        <v>337.73842002848977</v>
      </c>
      <c r="J830">
        <v>4.7846024170815067</v>
      </c>
      <c r="K830">
        <v>311.37949310005644</v>
      </c>
      <c r="L830">
        <v>4.3556325259359081</v>
      </c>
      <c r="M830">
        <v>368.42816234645943</v>
      </c>
      <c r="N830">
        <v>4.7969178143936979</v>
      </c>
      <c r="O830">
        <v>344.06936729191597</v>
      </c>
      <c r="P830">
        <v>4.3666723100942333</v>
      </c>
    </row>
    <row r="831" spans="4:16" x14ac:dyDescent="0.55000000000000004">
      <c r="D831">
        <v>824</v>
      </c>
      <c r="E831">
        <v>6.8723984035858967</v>
      </c>
      <c r="F831">
        <v>3.1276015964141024</v>
      </c>
      <c r="G831">
        <v>5.8222502866149561</v>
      </c>
      <c r="H831">
        <v>4.177749713385043</v>
      </c>
      <c r="I831">
        <v>336.97205311511186</v>
      </c>
      <c r="J831">
        <v>4.9752385724793804</v>
      </c>
      <c r="K831">
        <v>310.1141808657988</v>
      </c>
      <c r="L831">
        <v>4.5314314667537179</v>
      </c>
      <c r="M831">
        <v>335.48048550371976</v>
      </c>
      <c r="N831">
        <v>4.9790222830498729</v>
      </c>
      <c r="O831">
        <v>313.90617745597427</v>
      </c>
      <c r="P831">
        <v>4.5348269297208326</v>
      </c>
    </row>
    <row r="832" spans="4:16" x14ac:dyDescent="0.55000000000000004">
      <c r="D832">
        <v>825</v>
      </c>
      <c r="E832">
        <v>6.0358147580397636</v>
      </c>
      <c r="F832">
        <v>3.9641852419602372</v>
      </c>
      <c r="G832">
        <v>4.9204399903583598</v>
      </c>
      <c r="H832">
        <v>5.0795600096416385</v>
      </c>
      <c r="I832">
        <v>301.39339130352317</v>
      </c>
      <c r="J832">
        <v>4.8067401529467109</v>
      </c>
      <c r="K832">
        <v>278.57650928410231</v>
      </c>
      <c r="L832">
        <v>4.3755901429023485</v>
      </c>
      <c r="M832">
        <v>295.69807968745675</v>
      </c>
      <c r="N832">
        <v>4.8424531702691986</v>
      </c>
      <c r="O832">
        <v>278.42548429667733</v>
      </c>
      <c r="P832">
        <v>4.4077480458235661</v>
      </c>
    </row>
    <row r="833" spans="4:16" x14ac:dyDescent="0.55000000000000004">
      <c r="D833">
        <v>826</v>
      </c>
      <c r="E833">
        <v>6.1199997263897883</v>
      </c>
      <c r="F833">
        <v>3.8800002736102117</v>
      </c>
      <c r="G833">
        <v>6.2260002322614776</v>
      </c>
      <c r="H833">
        <v>3.7739997677385229</v>
      </c>
      <c r="I833">
        <v>314.26556511577559</v>
      </c>
      <c r="J833">
        <v>4.9516700912025282</v>
      </c>
      <c r="K833">
        <v>290.25917034105754</v>
      </c>
      <c r="L833">
        <v>4.5095812791924867</v>
      </c>
      <c r="M833">
        <v>369.70875308467038</v>
      </c>
      <c r="N833">
        <v>4.9508330005145709</v>
      </c>
      <c r="O833">
        <v>345.14369652048737</v>
      </c>
      <c r="P833">
        <v>4.5088301033368579</v>
      </c>
    </row>
    <row r="834" spans="4:16" x14ac:dyDescent="0.55000000000000004">
      <c r="D834">
        <v>827</v>
      </c>
      <c r="E834">
        <v>6.4017928003975584</v>
      </c>
      <c r="F834">
        <v>3.5982071996024407</v>
      </c>
      <c r="G834">
        <v>5.8255096101055042</v>
      </c>
      <c r="H834">
        <v>4.1744903898944958</v>
      </c>
      <c r="I834">
        <v>316.93494391146845</v>
      </c>
      <c r="J834">
        <v>4.7746903848826427</v>
      </c>
      <c r="K834">
        <v>292.20180586519746</v>
      </c>
      <c r="L834">
        <v>4.3464925370443162</v>
      </c>
      <c r="M834">
        <v>338.40476708647168</v>
      </c>
      <c r="N834">
        <v>4.7949725383124209</v>
      </c>
      <c r="O834">
        <v>316.56131750677275</v>
      </c>
      <c r="P834">
        <v>4.3647204058055191</v>
      </c>
    </row>
    <row r="835" spans="4:16" x14ac:dyDescent="0.55000000000000004">
      <c r="D835">
        <v>828</v>
      </c>
      <c r="E835">
        <v>7.4788894547608056</v>
      </c>
      <c r="F835">
        <v>2.5211105452391935</v>
      </c>
      <c r="G835">
        <v>4.188767581230322</v>
      </c>
      <c r="H835">
        <v>5.8112324187696789</v>
      </c>
      <c r="I835">
        <v>378.58716072427603</v>
      </c>
      <c r="J835">
        <v>4.8053106581502583</v>
      </c>
      <c r="K835">
        <v>347.83042905294872</v>
      </c>
      <c r="L835">
        <v>4.3753467004284614</v>
      </c>
      <c r="M835">
        <v>262.03865027078393</v>
      </c>
      <c r="N835">
        <v>4.8909586231372719</v>
      </c>
      <c r="O835">
        <v>248.25574551008958</v>
      </c>
      <c r="P835">
        <v>4.4522658348244413</v>
      </c>
    </row>
    <row r="836" spans="4:16" x14ac:dyDescent="0.55000000000000004">
      <c r="D836">
        <v>829</v>
      </c>
      <c r="E836">
        <v>7.6097854788265229</v>
      </c>
      <c r="F836">
        <v>2.3902145211734762</v>
      </c>
      <c r="G836">
        <v>5.6423494177397888</v>
      </c>
      <c r="H836">
        <v>4.3576505822602094</v>
      </c>
      <c r="I836">
        <v>385.35122350810815</v>
      </c>
      <c r="J836">
        <v>4.9141455408469294</v>
      </c>
      <c r="K836">
        <v>353.76310611786096</v>
      </c>
      <c r="L836">
        <v>4.4754025467393346</v>
      </c>
      <c r="M836">
        <v>335.72241065612513</v>
      </c>
      <c r="N836">
        <v>4.9363423766727008</v>
      </c>
      <c r="O836">
        <v>314.59334536412842</v>
      </c>
      <c r="P836">
        <v>4.4952691544345864</v>
      </c>
    </row>
    <row r="837" spans="4:16" x14ac:dyDescent="0.55000000000000004">
      <c r="D837">
        <v>830</v>
      </c>
      <c r="E837">
        <v>6.7733374458834614</v>
      </c>
      <c r="F837">
        <v>3.2266625541165386</v>
      </c>
      <c r="G837">
        <v>6.7636722298661587</v>
      </c>
      <c r="H837">
        <v>3.2363277701338418</v>
      </c>
      <c r="I837">
        <v>319.44825417439642</v>
      </c>
      <c r="J837">
        <v>4.7874824234475373</v>
      </c>
      <c r="K837">
        <v>294.23569089756398</v>
      </c>
      <c r="L837">
        <v>4.3584747665842949</v>
      </c>
      <c r="M837">
        <v>368.99241738675465</v>
      </c>
      <c r="N837">
        <v>4.7877856754708228</v>
      </c>
      <c r="O837">
        <v>343.82795920427486</v>
      </c>
      <c r="P837">
        <v>4.3587460159970224</v>
      </c>
    </row>
    <row r="838" spans="4:16" x14ac:dyDescent="0.55000000000000004">
      <c r="D838">
        <v>831</v>
      </c>
      <c r="E838">
        <v>7.5086057864548756</v>
      </c>
      <c r="F838">
        <v>2.4913942135451235</v>
      </c>
      <c r="G838">
        <v>6.6944689593494431</v>
      </c>
      <c r="H838">
        <v>3.3055310406505578</v>
      </c>
      <c r="I838">
        <v>391.38225734474929</v>
      </c>
      <c r="J838">
        <v>4.7909813214773456</v>
      </c>
      <c r="K838">
        <v>359.15948736651819</v>
      </c>
      <c r="L838">
        <v>4.3624092931471941</v>
      </c>
      <c r="M838">
        <v>398.94578934494797</v>
      </c>
      <c r="N838">
        <v>4.8136446239036346</v>
      </c>
      <c r="O838">
        <v>371.15458553265375</v>
      </c>
      <c r="P838">
        <v>4.3827059065210099</v>
      </c>
    </row>
    <row r="839" spans="4:16" x14ac:dyDescent="0.55000000000000004">
      <c r="D839">
        <v>832</v>
      </c>
      <c r="E839">
        <v>6.3356940993552877</v>
      </c>
      <c r="F839">
        <v>3.6643059006447123</v>
      </c>
      <c r="G839">
        <v>6.0412281673384935</v>
      </c>
      <c r="H839">
        <v>3.9587718326615078</v>
      </c>
      <c r="I839">
        <v>335.66982030607329</v>
      </c>
      <c r="J839">
        <v>4.7388530370632171</v>
      </c>
      <c r="K839">
        <v>310.25072081922445</v>
      </c>
      <c r="L839">
        <v>4.31284810199974</v>
      </c>
      <c r="M839">
        <v>370.06879460371238</v>
      </c>
      <c r="N839">
        <v>4.7509904418413873</v>
      </c>
      <c r="O839">
        <v>346.30622878797556</v>
      </c>
      <c r="P839">
        <v>4.3236967440979086</v>
      </c>
    </row>
    <row r="840" spans="4:16" x14ac:dyDescent="0.55000000000000004">
      <c r="D840">
        <v>833</v>
      </c>
      <c r="E840">
        <v>7.0723077402144732</v>
      </c>
      <c r="F840">
        <v>2.9276922597855251</v>
      </c>
      <c r="G840">
        <v>5.4059159596868023</v>
      </c>
      <c r="H840">
        <v>4.5940840403131968</v>
      </c>
      <c r="I840">
        <v>351.82739082024267</v>
      </c>
      <c r="J840">
        <v>4.9222142005899148</v>
      </c>
      <c r="K840">
        <v>323.82025145496641</v>
      </c>
      <c r="L840">
        <v>4.4826256417973811</v>
      </c>
      <c r="M840">
        <v>318.92909315516266</v>
      </c>
      <c r="N840">
        <v>4.9405422515656516</v>
      </c>
      <c r="O840">
        <v>299.59394952432513</v>
      </c>
      <c r="P840">
        <v>4.4990363942958407</v>
      </c>
    </row>
    <row r="841" spans="4:16" x14ac:dyDescent="0.55000000000000004">
      <c r="D841">
        <v>834</v>
      </c>
      <c r="E841">
        <v>6.1106063919701592</v>
      </c>
      <c r="F841">
        <v>3.8893936080298399</v>
      </c>
      <c r="G841">
        <v>5.500987321215395</v>
      </c>
      <c r="H841">
        <v>4.499012678784605</v>
      </c>
      <c r="I841">
        <v>297.09071180132617</v>
      </c>
      <c r="J841">
        <v>4.8758050477560451</v>
      </c>
      <c r="K841">
        <v>274.68241039628811</v>
      </c>
      <c r="L841">
        <v>4.4393918703957294</v>
      </c>
      <c r="M841">
        <v>317.45172803431535</v>
      </c>
      <c r="N841">
        <v>4.8881952438385294</v>
      </c>
      <c r="O841">
        <v>298.08655314145528</v>
      </c>
      <c r="P841">
        <v>4.4505099265665988</v>
      </c>
    </row>
    <row r="842" spans="4:16" x14ac:dyDescent="0.55000000000000004">
      <c r="D842">
        <v>835</v>
      </c>
      <c r="E842">
        <v>6.1088309460047405</v>
      </c>
      <c r="F842">
        <v>3.8911690539952595</v>
      </c>
      <c r="G842">
        <v>5.3874120174920668</v>
      </c>
      <c r="H842">
        <v>4.6125879825079315</v>
      </c>
      <c r="I842">
        <v>308.38552108406924</v>
      </c>
      <c r="J842">
        <v>4.7482123760961796</v>
      </c>
      <c r="K842">
        <v>284.85104072488144</v>
      </c>
      <c r="L842">
        <v>4.3216469010666909</v>
      </c>
      <c r="M842">
        <v>321.96690774287117</v>
      </c>
      <c r="N842">
        <v>4.7779470928455829</v>
      </c>
      <c r="O842">
        <v>302.09290819195445</v>
      </c>
      <c r="P842">
        <v>4.3483929438932067</v>
      </c>
    </row>
    <row r="843" spans="4:16" x14ac:dyDescent="0.55000000000000004">
      <c r="D843">
        <v>836</v>
      </c>
      <c r="E843">
        <v>5.6009530982949043</v>
      </c>
      <c r="F843">
        <v>4.3990469017050948</v>
      </c>
      <c r="G843">
        <v>5.5384495944999932</v>
      </c>
      <c r="H843">
        <v>4.4615504055000068</v>
      </c>
      <c r="I843">
        <v>285.05788120068826</v>
      </c>
      <c r="J843">
        <v>4.8090311537787054</v>
      </c>
      <c r="K843">
        <v>264.21839984141587</v>
      </c>
      <c r="L843">
        <v>4.3772114693288255</v>
      </c>
      <c r="M843">
        <v>331.87679468796227</v>
      </c>
      <c r="N843">
        <v>4.8111622592878982</v>
      </c>
      <c r="O843">
        <v>311.35908513148951</v>
      </c>
      <c r="P843">
        <v>4.3791270102317412</v>
      </c>
    </row>
    <row r="844" spans="4:16" x14ac:dyDescent="0.55000000000000004">
      <c r="D844">
        <v>837</v>
      </c>
      <c r="E844">
        <v>7.0910485581242497</v>
      </c>
      <c r="F844">
        <v>2.9089514418757485</v>
      </c>
      <c r="G844">
        <v>5.979019182697213</v>
      </c>
      <c r="H844">
        <v>4.0209808173027861</v>
      </c>
      <c r="I844">
        <v>334.02585679672006</v>
      </c>
      <c r="J844">
        <v>4.6932052369941246</v>
      </c>
      <c r="K844">
        <v>307.11278721285771</v>
      </c>
      <c r="L844">
        <v>4.2721435682737612</v>
      </c>
      <c r="M844">
        <v>331.64339715546299</v>
      </c>
      <c r="N844">
        <v>4.7413172737251159</v>
      </c>
      <c r="O844">
        <v>310.13724998191196</v>
      </c>
      <c r="P844">
        <v>4.3152894760488367</v>
      </c>
    </row>
    <row r="845" spans="4:16" x14ac:dyDescent="0.55000000000000004">
      <c r="D845">
        <v>838</v>
      </c>
      <c r="E845">
        <v>6.5548591391991575</v>
      </c>
      <c r="F845">
        <v>3.4451408608008429</v>
      </c>
      <c r="G845">
        <v>6.5112869056782294</v>
      </c>
      <c r="H845">
        <v>3.4887130943217679</v>
      </c>
      <c r="I845">
        <v>320.60267644381616</v>
      </c>
      <c r="J845">
        <v>4.729031585380417</v>
      </c>
      <c r="K845">
        <v>295.11819708877908</v>
      </c>
      <c r="L845">
        <v>4.3047899928179811</v>
      </c>
      <c r="M845">
        <v>368.47152848338106</v>
      </c>
      <c r="N845">
        <v>4.7308327986159524</v>
      </c>
      <c r="O845">
        <v>343.20304926078796</v>
      </c>
      <c r="P845">
        <v>4.3064086460883439</v>
      </c>
    </row>
    <row r="846" spans="4:16" x14ac:dyDescent="0.55000000000000004">
      <c r="D846">
        <v>839</v>
      </c>
      <c r="E846">
        <v>6.8833477037995445</v>
      </c>
      <c r="F846">
        <v>3.1166522962004564</v>
      </c>
      <c r="G846">
        <v>5.5441551982388617</v>
      </c>
      <c r="H846">
        <v>4.4558448017611383</v>
      </c>
      <c r="I846">
        <v>366.4745903637355</v>
      </c>
      <c r="J846">
        <v>4.7672580613868263</v>
      </c>
      <c r="K846">
        <v>337.3177387153907</v>
      </c>
      <c r="L846">
        <v>4.3399944149913665</v>
      </c>
      <c r="M846">
        <v>345.17497773155219</v>
      </c>
      <c r="N846">
        <v>4.8125392636931359</v>
      </c>
      <c r="O846">
        <v>323.32301808832182</v>
      </c>
      <c r="P846">
        <v>4.3806364014520627</v>
      </c>
    </row>
    <row r="847" spans="4:16" x14ac:dyDescent="0.55000000000000004">
      <c r="D847">
        <v>840</v>
      </c>
      <c r="E847">
        <v>7.4226836618711625</v>
      </c>
      <c r="F847">
        <v>2.5773163381288375</v>
      </c>
      <c r="G847">
        <v>7.2189181030288259</v>
      </c>
      <c r="H847">
        <v>2.7810818969711755</v>
      </c>
      <c r="I847">
        <v>373.35534521371301</v>
      </c>
      <c r="J847">
        <v>4.7003884366802033</v>
      </c>
      <c r="K847">
        <v>343.07958837228301</v>
      </c>
      <c r="L847">
        <v>4.2789035571425051</v>
      </c>
      <c r="M847">
        <v>413.10609251350184</v>
      </c>
      <c r="N847">
        <v>4.7086132944831958</v>
      </c>
      <c r="O847">
        <v>383.94251815315795</v>
      </c>
      <c r="P847">
        <v>4.2862359066792388</v>
      </c>
    </row>
    <row r="848" spans="4:16" x14ac:dyDescent="0.55000000000000004">
      <c r="D848">
        <v>841</v>
      </c>
      <c r="E848">
        <v>7.3672481496649871</v>
      </c>
      <c r="F848">
        <v>2.6327518503350125</v>
      </c>
      <c r="G848">
        <v>4.6270258814463991</v>
      </c>
      <c r="H848">
        <v>5.3729741185536009</v>
      </c>
      <c r="I848">
        <v>358.69500457153254</v>
      </c>
      <c r="J848">
        <v>4.7557630372174478</v>
      </c>
      <c r="K848">
        <v>329.81781714579387</v>
      </c>
      <c r="L848">
        <v>4.3296449579964715</v>
      </c>
      <c r="M848">
        <v>275.27964797459515</v>
      </c>
      <c r="N848">
        <v>4.8466061241534089</v>
      </c>
      <c r="O848">
        <v>260.30977245671545</v>
      </c>
      <c r="P848">
        <v>4.4110184967715877</v>
      </c>
    </row>
    <row r="849" spans="4:16" x14ac:dyDescent="0.55000000000000004">
      <c r="D849">
        <v>842</v>
      </c>
      <c r="E849">
        <v>7.3657390372037508</v>
      </c>
      <c r="F849">
        <v>2.6342609627962505</v>
      </c>
      <c r="G849">
        <v>5.7408577535891157</v>
      </c>
      <c r="H849">
        <v>4.2591422464108835</v>
      </c>
      <c r="I849">
        <v>363.71577505430344</v>
      </c>
      <c r="J849">
        <v>4.7977941350181679</v>
      </c>
      <c r="K849">
        <v>334.15421326949371</v>
      </c>
      <c r="L849">
        <v>4.3684480495790838</v>
      </c>
      <c r="M849">
        <v>333.48011201274562</v>
      </c>
      <c r="N849">
        <v>4.8424007282991068</v>
      </c>
      <c r="O849">
        <v>312.27061702788308</v>
      </c>
      <c r="P849">
        <v>4.4084113554155424</v>
      </c>
    </row>
    <row r="850" spans="4:16" x14ac:dyDescent="0.55000000000000004">
      <c r="D850">
        <v>843</v>
      </c>
      <c r="E850">
        <v>8.2411962223241009</v>
      </c>
      <c r="F850">
        <v>1.7588037776758974</v>
      </c>
      <c r="G850">
        <v>7.5660501599000201</v>
      </c>
      <c r="H850">
        <v>2.4339498400999804</v>
      </c>
      <c r="I850">
        <v>419.6905018536051</v>
      </c>
      <c r="J850">
        <v>4.7984637307880487</v>
      </c>
      <c r="K850">
        <v>384.24903187765261</v>
      </c>
      <c r="L850">
        <v>4.3697021201973731</v>
      </c>
      <c r="M850">
        <v>435.30806729929952</v>
      </c>
      <c r="N850">
        <v>4.8149742487909464</v>
      </c>
      <c r="O850">
        <v>403.57352289466314</v>
      </c>
      <c r="P850">
        <v>4.3844325646780211</v>
      </c>
    </row>
    <row r="851" spans="4:16" x14ac:dyDescent="0.55000000000000004">
      <c r="D851">
        <v>844</v>
      </c>
      <c r="E851">
        <v>7.3321288726919374</v>
      </c>
      <c r="F851">
        <v>2.667871127308064</v>
      </c>
      <c r="G851">
        <v>6.1153330405823541</v>
      </c>
      <c r="H851">
        <v>3.8846669594176455</v>
      </c>
      <c r="I851">
        <v>357.78869238836108</v>
      </c>
      <c r="J851">
        <v>4.7484639631408196</v>
      </c>
      <c r="K851">
        <v>328.83509975238576</v>
      </c>
      <c r="L851">
        <v>4.3230385157819367</v>
      </c>
      <c r="M851">
        <v>348.41224153306445</v>
      </c>
      <c r="N851">
        <v>4.7902073648990111</v>
      </c>
      <c r="O851">
        <v>325.7330466493176</v>
      </c>
      <c r="P851">
        <v>4.3603708302759152</v>
      </c>
    </row>
    <row r="852" spans="4:16" x14ac:dyDescent="0.55000000000000004">
      <c r="D852">
        <v>845</v>
      </c>
      <c r="E852">
        <v>7.058285429940315</v>
      </c>
      <c r="F852">
        <v>2.9417145700596854</v>
      </c>
      <c r="G852">
        <v>5.6823528541053125</v>
      </c>
      <c r="H852">
        <v>4.3176471458946875</v>
      </c>
      <c r="I852">
        <v>340.88698694380719</v>
      </c>
      <c r="J852">
        <v>4.7963019708941843</v>
      </c>
      <c r="K852">
        <v>313.68114491276225</v>
      </c>
      <c r="L852">
        <v>4.3667782227620862</v>
      </c>
      <c r="M852">
        <v>324.43494066857011</v>
      </c>
      <c r="N852">
        <v>4.8360105880451982</v>
      </c>
      <c r="O852">
        <v>304.16751627273408</v>
      </c>
      <c r="P852">
        <v>4.4023407678964581</v>
      </c>
    </row>
    <row r="853" spans="4:16" x14ac:dyDescent="0.55000000000000004">
      <c r="D853">
        <v>846</v>
      </c>
      <c r="E853">
        <v>6.5294737315435789</v>
      </c>
      <c r="F853">
        <v>3.4705262684564202</v>
      </c>
      <c r="G853">
        <v>7.090613243924647</v>
      </c>
      <c r="H853">
        <v>2.9093867560753521</v>
      </c>
      <c r="I853">
        <v>326.64012859683123</v>
      </c>
      <c r="J853">
        <v>4.8192804576032175</v>
      </c>
      <c r="K853">
        <v>301.11519959581</v>
      </c>
      <c r="L853">
        <v>4.3876219052888388</v>
      </c>
      <c r="M853">
        <v>404.71140815485234</v>
      </c>
      <c r="N853">
        <v>4.8037495158967882</v>
      </c>
      <c r="O853">
        <v>376.23184694412708</v>
      </c>
      <c r="P853">
        <v>4.3737256671418967</v>
      </c>
    </row>
    <row r="854" spans="4:16" x14ac:dyDescent="0.55000000000000004">
      <c r="D854">
        <v>847</v>
      </c>
      <c r="E854">
        <v>6.6666688485898433</v>
      </c>
      <c r="F854">
        <v>3.3333311514101553</v>
      </c>
      <c r="G854">
        <v>5.8506779781586076</v>
      </c>
      <c r="H854">
        <v>4.1493220218413933</v>
      </c>
      <c r="I854">
        <v>339.79200645202513</v>
      </c>
      <c r="J854">
        <v>4.8465355175010325</v>
      </c>
      <c r="K854">
        <v>313.58519199733223</v>
      </c>
      <c r="L854">
        <v>4.4125909468296731</v>
      </c>
      <c r="M854">
        <v>348.20194379741872</v>
      </c>
      <c r="N854">
        <v>4.8653193538514925</v>
      </c>
      <c r="O854">
        <v>326.44180960667956</v>
      </c>
      <c r="P854">
        <v>4.4293664737655831</v>
      </c>
    </row>
    <row r="855" spans="4:16" x14ac:dyDescent="0.55000000000000004">
      <c r="D855">
        <v>848</v>
      </c>
      <c r="E855">
        <v>5.0765083125008603</v>
      </c>
      <c r="F855">
        <v>4.9234916874991406</v>
      </c>
      <c r="G855">
        <v>5.6288493119914653</v>
      </c>
      <c r="H855">
        <v>4.3711506880085329</v>
      </c>
      <c r="I855">
        <v>242.83605673043053</v>
      </c>
      <c r="J855">
        <v>4.921055590503129</v>
      </c>
      <c r="K855">
        <v>225.66087517213398</v>
      </c>
      <c r="L855">
        <v>4.4808584497415476</v>
      </c>
      <c r="M855">
        <v>319.25742788362129</v>
      </c>
      <c r="N855">
        <v>4.9124661760155508</v>
      </c>
      <c r="O855">
        <v>299.45631630495262</v>
      </c>
      <c r="P855">
        <v>4.4731227078824487</v>
      </c>
    </row>
    <row r="856" spans="4:16" x14ac:dyDescent="0.55000000000000004">
      <c r="D856">
        <v>849</v>
      </c>
      <c r="E856">
        <v>6.7305943119905951</v>
      </c>
      <c r="F856">
        <v>3.2694056880094058</v>
      </c>
      <c r="G856">
        <v>6.6174119071115136</v>
      </c>
      <c r="H856">
        <v>3.3825880928884873</v>
      </c>
      <c r="I856">
        <v>346.40192220872785</v>
      </c>
      <c r="J856">
        <v>4.8758129213254593</v>
      </c>
      <c r="K856">
        <v>318.94721924704362</v>
      </c>
      <c r="L856">
        <v>4.4398749103741606</v>
      </c>
      <c r="M856">
        <v>390.57678986633226</v>
      </c>
      <c r="N856">
        <v>4.8779012647269111</v>
      </c>
      <c r="O856">
        <v>363.72740563285521</v>
      </c>
      <c r="P856">
        <v>4.4417462435348964</v>
      </c>
    </row>
    <row r="857" spans="4:16" x14ac:dyDescent="0.55000000000000004">
      <c r="D857">
        <v>850</v>
      </c>
      <c r="E857">
        <v>6.1130619207385291</v>
      </c>
      <c r="F857">
        <v>3.8869380792614705</v>
      </c>
      <c r="G857">
        <v>5.4894415832200361</v>
      </c>
      <c r="H857">
        <v>4.5105584167799648</v>
      </c>
      <c r="I857">
        <v>295.46376749049364</v>
      </c>
      <c r="J857">
        <v>4.8802306837473326</v>
      </c>
      <c r="K857">
        <v>273.05111791489634</v>
      </c>
      <c r="L857">
        <v>4.4435352050952552</v>
      </c>
      <c r="M857">
        <v>315.32220884182107</v>
      </c>
      <c r="N857">
        <v>4.8924488785561344</v>
      </c>
      <c r="O857">
        <v>295.97720566441762</v>
      </c>
      <c r="P857">
        <v>4.4545098974782356</v>
      </c>
    </row>
    <row r="858" spans="4:16" x14ac:dyDescent="0.55000000000000004">
      <c r="D858">
        <v>851</v>
      </c>
      <c r="E858">
        <v>6.5711645126468836</v>
      </c>
      <c r="F858">
        <v>3.4288354873531159</v>
      </c>
      <c r="G858">
        <v>5.6704476506216519</v>
      </c>
      <c r="H858">
        <v>4.3295523493783481</v>
      </c>
      <c r="I858">
        <v>322.73844297564926</v>
      </c>
      <c r="J858">
        <v>4.8291807878162274</v>
      </c>
      <c r="K858">
        <v>297.64454144258468</v>
      </c>
      <c r="L858">
        <v>4.3966818246272865</v>
      </c>
      <c r="M858">
        <v>328.50032398586262</v>
      </c>
      <c r="N858">
        <v>4.8525951680947417</v>
      </c>
      <c r="O858">
        <v>307.98752879579479</v>
      </c>
      <c r="P858">
        <v>4.4176715139727163</v>
      </c>
    </row>
    <row r="859" spans="4:16" x14ac:dyDescent="0.55000000000000004">
      <c r="D859">
        <v>852</v>
      </c>
      <c r="E859">
        <v>7.3730454286914116</v>
      </c>
      <c r="F859">
        <v>2.6269545713085893</v>
      </c>
      <c r="G859">
        <v>7.3190053723386601</v>
      </c>
      <c r="H859">
        <v>2.6809946276613417</v>
      </c>
      <c r="I859">
        <v>356.11681882153084</v>
      </c>
      <c r="J859">
        <v>4.8558877310428992</v>
      </c>
      <c r="K859">
        <v>327.1698127478644</v>
      </c>
      <c r="L859">
        <v>4.4218212375939512</v>
      </c>
      <c r="M859">
        <v>403.50669344750429</v>
      </c>
      <c r="N859">
        <v>4.8569439886247734</v>
      </c>
      <c r="O859">
        <v>374.83989809048569</v>
      </c>
      <c r="P859">
        <v>4.4227641003569698</v>
      </c>
    </row>
    <row r="860" spans="4:16" x14ac:dyDescent="0.55000000000000004">
      <c r="D860">
        <v>853</v>
      </c>
      <c r="E860">
        <v>6.3426113175711247</v>
      </c>
      <c r="F860">
        <v>3.6573886824288753</v>
      </c>
      <c r="G860">
        <v>6.9306297839122024</v>
      </c>
      <c r="H860">
        <v>3.0693702160877963</v>
      </c>
      <c r="I860">
        <v>329.71606856546737</v>
      </c>
      <c r="J860">
        <v>4.8369886287185828</v>
      </c>
      <c r="K860">
        <v>304.26080490551175</v>
      </c>
      <c r="L860">
        <v>4.4037930118888093</v>
      </c>
      <c r="M860">
        <v>410.28378385786863</v>
      </c>
      <c r="N860">
        <v>4.8218759737350583</v>
      </c>
      <c r="O860">
        <v>381.6212074494141</v>
      </c>
      <c r="P860">
        <v>4.3902660498669164</v>
      </c>
    </row>
    <row r="861" spans="4:16" x14ac:dyDescent="0.55000000000000004">
      <c r="D861">
        <v>854</v>
      </c>
      <c r="E861">
        <v>5.8117847153270183</v>
      </c>
      <c r="F861">
        <v>4.1882152846729808</v>
      </c>
      <c r="G861">
        <v>7.4699855303828135</v>
      </c>
      <c r="H861">
        <v>2.5300144696171873</v>
      </c>
      <c r="I861">
        <v>308.59445338595361</v>
      </c>
      <c r="J861">
        <v>4.9427809893766925</v>
      </c>
      <c r="K861">
        <v>285.47875081320171</v>
      </c>
      <c r="L861">
        <v>4.5012863803826786</v>
      </c>
      <c r="M861">
        <v>446.64168830447767</v>
      </c>
      <c r="N861">
        <v>4.9264554345429028</v>
      </c>
      <c r="O861">
        <v>414.29660254988158</v>
      </c>
      <c r="P861">
        <v>4.4866721206435818</v>
      </c>
    </row>
    <row r="862" spans="4:16" x14ac:dyDescent="0.55000000000000004">
      <c r="D862">
        <v>855</v>
      </c>
      <c r="E862">
        <v>6.4580521493319818</v>
      </c>
      <c r="F862">
        <v>3.5419478506680173</v>
      </c>
      <c r="G862">
        <v>7.4282033462738779</v>
      </c>
      <c r="H862">
        <v>2.5717966537261199</v>
      </c>
      <c r="I862">
        <v>322.03740897184525</v>
      </c>
      <c r="J862">
        <v>4.8931065033760595</v>
      </c>
      <c r="K862">
        <v>297.19772787321818</v>
      </c>
      <c r="L862">
        <v>4.4555708297218652</v>
      </c>
      <c r="M862">
        <v>420.41499567287849</v>
      </c>
      <c r="N862">
        <v>4.877048588187848</v>
      </c>
      <c r="O862">
        <v>390.38503868490727</v>
      </c>
      <c r="P862">
        <v>4.4412357166765037</v>
      </c>
    </row>
    <row r="863" spans="4:16" x14ac:dyDescent="0.55000000000000004">
      <c r="D863">
        <v>856</v>
      </c>
      <c r="E863">
        <v>6.8903784455235781</v>
      </c>
      <c r="F863">
        <v>3.1096215544764205</v>
      </c>
      <c r="G863">
        <v>5.6221536275375774</v>
      </c>
      <c r="H863">
        <v>4.3778463724624217</v>
      </c>
      <c r="I863">
        <v>331.76708364343824</v>
      </c>
      <c r="J863">
        <v>4.8474590155006112</v>
      </c>
      <c r="K863">
        <v>305.41321621504886</v>
      </c>
      <c r="L863">
        <v>4.4137954055699486</v>
      </c>
      <c r="M863">
        <v>320.70291240901275</v>
      </c>
      <c r="N863">
        <v>4.8755353053345649</v>
      </c>
      <c r="O863">
        <v>300.64430135747637</v>
      </c>
      <c r="P863">
        <v>4.43897724127405</v>
      </c>
    </row>
    <row r="864" spans="4:16" x14ac:dyDescent="0.55000000000000004">
      <c r="D864">
        <v>857</v>
      </c>
      <c r="E864">
        <v>6.5782829027616687</v>
      </c>
      <c r="F864">
        <v>3.4217170972383304</v>
      </c>
      <c r="G864">
        <v>6.139638764137012</v>
      </c>
      <c r="H864">
        <v>3.8603612358629862</v>
      </c>
      <c r="I864">
        <v>326.08404599095542</v>
      </c>
      <c r="J864">
        <v>4.8190587738651711</v>
      </c>
      <c r="K864">
        <v>300.70676007737637</v>
      </c>
      <c r="L864">
        <v>4.3873597314060238</v>
      </c>
      <c r="M864">
        <v>354.34055189268582</v>
      </c>
      <c r="N864">
        <v>4.8311240513019733</v>
      </c>
      <c r="O864">
        <v>331.23691363377554</v>
      </c>
      <c r="P864">
        <v>4.398163381359077</v>
      </c>
    </row>
    <row r="865" spans="4:16" x14ac:dyDescent="0.55000000000000004">
      <c r="D865">
        <v>858</v>
      </c>
      <c r="E865">
        <v>7.587348538155573</v>
      </c>
      <c r="F865">
        <v>2.4126514618444297</v>
      </c>
      <c r="G865">
        <v>6.2749135252566743</v>
      </c>
      <c r="H865">
        <v>3.7250864747433248</v>
      </c>
      <c r="I865">
        <v>388.21365728499279</v>
      </c>
      <c r="J865">
        <v>4.960224199426535</v>
      </c>
      <c r="K865">
        <v>356.19400976649206</v>
      </c>
      <c r="L865">
        <v>4.5177242057865667</v>
      </c>
      <c r="M865">
        <v>371.06171431781036</v>
      </c>
      <c r="N865">
        <v>4.9671044887761235</v>
      </c>
      <c r="O865">
        <v>346.03023166808998</v>
      </c>
      <c r="P865">
        <v>4.5238884980377048</v>
      </c>
    </row>
    <row r="866" spans="4:16" x14ac:dyDescent="0.55000000000000004">
      <c r="D866">
        <v>859</v>
      </c>
      <c r="E866">
        <v>7.1730287207701249</v>
      </c>
      <c r="F866">
        <v>2.8269712792298747</v>
      </c>
      <c r="G866">
        <v>6.5571051563687996</v>
      </c>
      <c r="H866">
        <v>3.4428948436311977</v>
      </c>
      <c r="I866">
        <v>351.7545519549397</v>
      </c>
      <c r="J866">
        <v>4.7851643641190211</v>
      </c>
      <c r="K866">
        <v>323.37705917526961</v>
      </c>
      <c r="L866">
        <v>4.3567153626871251</v>
      </c>
      <c r="M866">
        <v>371.55058569907675</v>
      </c>
      <c r="N866">
        <v>4.8036115690255174</v>
      </c>
      <c r="O866">
        <v>346.35104898738416</v>
      </c>
      <c r="P866">
        <v>4.3732216169822609</v>
      </c>
    </row>
    <row r="867" spans="4:16" x14ac:dyDescent="0.55000000000000004">
      <c r="D867">
        <v>860</v>
      </c>
      <c r="E867">
        <v>7.4163634105883691</v>
      </c>
      <c r="F867">
        <v>2.5836365894116331</v>
      </c>
      <c r="G867">
        <v>6.701866696309029</v>
      </c>
      <c r="H867">
        <v>3.2981333036909684</v>
      </c>
      <c r="I867">
        <v>383.95085726812954</v>
      </c>
      <c r="J867">
        <v>4.9317764496143024</v>
      </c>
      <c r="K867">
        <v>352.69980112771702</v>
      </c>
      <c r="L867">
        <v>4.4915487149911701</v>
      </c>
      <c r="M867">
        <v>396.96081096441816</v>
      </c>
      <c r="N867">
        <v>4.9383491456768285</v>
      </c>
      <c r="O867">
        <v>369.64728835160338</v>
      </c>
      <c r="P867">
        <v>4.4974217576685565</v>
      </c>
    </row>
    <row r="868" spans="4:16" x14ac:dyDescent="0.55000000000000004">
      <c r="D868">
        <v>861</v>
      </c>
      <c r="E868">
        <v>7.5382752287604999</v>
      </c>
      <c r="F868">
        <v>2.4617247712394992</v>
      </c>
      <c r="G868">
        <v>5.9083227775601053</v>
      </c>
      <c r="H868">
        <v>4.0916772224398956</v>
      </c>
      <c r="I868">
        <v>364.47212066478164</v>
      </c>
      <c r="J868">
        <v>4.8186896749663575</v>
      </c>
      <c r="K868">
        <v>334.51101278567046</v>
      </c>
      <c r="L868">
        <v>4.3878134500061625</v>
      </c>
      <c r="M868">
        <v>335.66467354408945</v>
      </c>
      <c r="N868">
        <v>4.8578932327761084</v>
      </c>
      <c r="O868">
        <v>313.86749157072092</v>
      </c>
      <c r="P868">
        <v>4.4229557806997732</v>
      </c>
    </row>
    <row r="869" spans="4:16" x14ac:dyDescent="0.55000000000000004">
      <c r="D869">
        <v>862</v>
      </c>
      <c r="E869">
        <v>6.237125742302613</v>
      </c>
      <c r="F869">
        <v>3.7628742576973879</v>
      </c>
      <c r="G869">
        <v>6.4877867330367653</v>
      </c>
      <c r="H869">
        <v>3.5122132669632338</v>
      </c>
      <c r="I869">
        <v>310.09997759885215</v>
      </c>
      <c r="J869">
        <v>4.779555130352108</v>
      </c>
      <c r="K869">
        <v>286.40811909503498</v>
      </c>
      <c r="L869">
        <v>4.3506165952911342</v>
      </c>
      <c r="M869">
        <v>372.56244361655189</v>
      </c>
      <c r="N869">
        <v>4.7706957724184633</v>
      </c>
      <c r="O869">
        <v>347.56845006378325</v>
      </c>
      <c r="P869">
        <v>4.3426829033099761</v>
      </c>
    </row>
    <row r="870" spans="4:16" x14ac:dyDescent="0.55000000000000004">
      <c r="D870">
        <v>863</v>
      </c>
      <c r="E870">
        <v>7.4883893817866296</v>
      </c>
      <c r="F870">
        <v>2.5116106182133704</v>
      </c>
      <c r="G870">
        <v>5.1686907481795403</v>
      </c>
      <c r="H870">
        <v>4.8313092518204606</v>
      </c>
      <c r="I870">
        <v>365.05613875937871</v>
      </c>
      <c r="J870">
        <v>4.808753872179409</v>
      </c>
      <c r="K870">
        <v>335.33283386232711</v>
      </c>
      <c r="L870">
        <v>4.3785446796632144</v>
      </c>
      <c r="M870">
        <v>301.97171124153897</v>
      </c>
      <c r="N870">
        <v>4.8679967024824231</v>
      </c>
      <c r="O870">
        <v>284.01757914034749</v>
      </c>
      <c r="P870">
        <v>4.4316218590268699</v>
      </c>
    </row>
    <row r="871" spans="4:16" x14ac:dyDescent="0.55000000000000004">
      <c r="D871">
        <v>864</v>
      </c>
      <c r="E871">
        <v>6.6709056098542341</v>
      </c>
      <c r="F871">
        <v>3.3290943901457659</v>
      </c>
      <c r="G871">
        <v>5.4044597713197797</v>
      </c>
      <c r="H871">
        <v>4.5955402286802221</v>
      </c>
      <c r="I871">
        <v>335.24798781183256</v>
      </c>
      <c r="J871">
        <v>4.8595389900795993</v>
      </c>
      <c r="K871">
        <v>309.00682103307764</v>
      </c>
      <c r="L871">
        <v>4.4247527411836511</v>
      </c>
      <c r="M871">
        <v>321.60244343264571</v>
      </c>
      <c r="N871">
        <v>4.8862049739644968</v>
      </c>
      <c r="O871">
        <v>301.90680942574801</v>
      </c>
      <c r="P871">
        <v>4.4486763010211936</v>
      </c>
    </row>
    <row r="872" spans="4:16" x14ac:dyDescent="0.55000000000000004">
      <c r="D872">
        <v>865</v>
      </c>
      <c r="E872">
        <v>7.0585267278255079</v>
      </c>
      <c r="F872">
        <v>2.9414732721744929</v>
      </c>
      <c r="G872">
        <v>5.7630212665965921</v>
      </c>
      <c r="H872">
        <v>4.2369787334034088</v>
      </c>
      <c r="I872">
        <v>354.07362255527437</v>
      </c>
      <c r="J872">
        <v>4.8224721976356459</v>
      </c>
      <c r="K872">
        <v>325.7957734106771</v>
      </c>
      <c r="L872">
        <v>4.3908696552278705</v>
      </c>
      <c r="M872">
        <v>339.08777927877298</v>
      </c>
      <c r="N872">
        <v>4.8550552346278195</v>
      </c>
      <c r="O872">
        <v>317.59655131297217</v>
      </c>
      <c r="P872">
        <v>4.4200499706768355</v>
      </c>
    </row>
    <row r="873" spans="4:16" x14ac:dyDescent="0.55000000000000004">
      <c r="D873">
        <v>866</v>
      </c>
      <c r="E873">
        <v>6.8752087490017653</v>
      </c>
      <c r="F873">
        <v>3.1247912509982356</v>
      </c>
      <c r="G873">
        <v>6.6513577045587713</v>
      </c>
      <c r="H873">
        <v>3.3486422954412283</v>
      </c>
      <c r="I873">
        <v>352.07086028311591</v>
      </c>
      <c r="J873">
        <v>4.8527319957467441</v>
      </c>
      <c r="K873">
        <v>324.01858036129153</v>
      </c>
      <c r="L873">
        <v>4.4186853269027706</v>
      </c>
      <c r="M873">
        <v>390.60772764677785</v>
      </c>
      <c r="N873">
        <v>4.8575269187474328</v>
      </c>
      <c r="O873">
        <v>363.75416574499286</v>
      </c>
      <c r="P873">
        <v>4.4229788371755445</v>
      </c>
    </row>
    <row r="874" spans="4:16" x14ac:dyDescent="0.55000000000000004">
      <c r="D874">
        <v>867</v>
      </c>
      <c r="E874">
        <v>7.2003956543111975</v>
      </c>
      <c r="F874">
        <v>2.7996043456888038</v>
      </c>
      <c r="G874">
        <v>7.1206119050703833</v>
      </c>
      <c r="H874">
        <v>2.8793880949296153</v>
      </c>
      <c r="I874">
        <v>357.92132286436691</v>
      </c>
      <c r="J874">
        <v>4.9685917001842714</v>
      </c>
      <c r="K874">
        <v>329.09114307213281</v>
      </c>
      <c r="L874">
        <v>4.5253409254966828</v>
      </c>
      <c r="M874">
        <v>403.95538731827594</v>
      </c>
      <c r="N874">
        <v>4.9689397188261433</v>
      </c>
      <c r="O874">
        <v>375.54972195824126</v>
      </c>
      <c r="P874">
        <v>4.5256516921624623</v>
      </c>
    </row>
    <row r="875" spans="4:16" x14ac:dyDescent="0.55000000000000004">
      <c r="D875">
        <v>868</v>
      </c>
      <c r="E875">
        <v>7.6030725689444365</v>
      </c>
      <c r="F875">
        <v>2.3969274310555622</v>
      </c>
      <c r="G875">
        <v>6.1577082364794204</v>
      </c>
      <c r="H875">
        <v>3.8422917635205822</v>
      </c>
      <c r="I875">
        <v>354.55242178161473</v>
      </c>
      <c r="J875">
        <v>4.80230909269123</v>
      </c>
      <c r="K875">
        <v>325.51176308069893</v>
      </c>
      <c r="L875">
        <v>4.3727208681337366</v>
      </c>
      <c r="M875">
        <v>337.15106268826275</v>
      </c>
      <c r="N875">
        <v>4.8398906603647873</v>
      </c>
      <c r="O875">
        <v>315.27195420825944</v>
      </c>
      <c r="P875">
        <v>4.4063093073615898</v>
      </c>
    </row>
    <row r="876" spans="4:16" x14ac:dyDescent="0.55000000000000004">
      <c r="D876">
        <v>869</v>
      </c>
      <c r="E876">
        <v>6.3713573654571602</v>
      </c>
      <c r="F876">
        <v>3.6286426345428402</v>
      </c>
      <c r="G876">
        <v>7.6349411714291815</v>
      </c>
      <c r="H876">
        <v>2.3650588285708176</v>
      </c>
      <c r="I876">
        <v>332.87569475085763</v>
      </c>
      <c r="J876">
        <v>4.9278980269347699</v>
      </c>
      <c r="K876">
        <v>306.80679239847007</v>
      </c>
      <c r="L876">
        <v>4.4877639574911887</v>
      </c>
      <c r="M876">
        <v>448.89244960583972</v>
      </c>
      <c r="N876">
        <v>4.9135985801578865</v>
      </c>
      <c r="O876">
        <v>415.93315600128795</v>
      </c>
      <c r="P876">
        <v>4.4749569921790284</v>
      </c>
    </row>
    <row r="877" spans="4:16" x14ac:dyDescent="0.55000000000000004">
      <c r="D877">
        <v>870</v>
      </c>
      <c r="E877">
        <v>5.591440606158419</v>
      </c>
      <c r="F877">
        <v>4.408559393841581</v>
      </c>
      <c r="G877">
        <v>7.7759735479381042</v>
      </c>
      <c r="H877">
        <v>2.2240264520618944</v>
      </c>
      <c r="I877">
        <v>288.75493235817351</v>
      </c>
      <c r="J877">
        <v>4.8280252706425673</v>
      </c>
      <c r="K877">
        <v>267.3781161165295</v>
      </c>
      <c r="L877">
        <v>4.3949760520894499</v>
      </c>
      <c r="M877">
        <v>451.56926881791111</v>
      </c>
      <c r="N877">
        <v>4.7608360634423379</v>
      </c>
      <c r="O877">
        <v>418.37858878415523</v>
      </c>
      <c r="P877">
        <v>4.3348228667909829</v>
      </c>
    </row>
    <row r="878" spans="4:16" x14ac:dyDescent="0.55000000000000004">
      <c r="D878">
        <v>871</v>
      </c>
      <c r="E878">
        <v>7.2717456446031408</v>
      </c>
      <c r="F878">
        <v>2.7282543553968619</v>
      </c>
      <c r="G878">
        <v>5.1599840268788872</v>
      </c>
      <c r="H878">
        <v>4.8400159731211128</v>
      </c>
      <c r="I878">
        <v>370.79443799807513</v>
      </c>
      <c r="J878">
        <v>4.8188795691837436</v>
      </c>
      <c r="K878">
        <v>341.02886633909901</v>
      </c>
      <c r="L878">
        <v>4.3876383556370975</v>
      </c>
      <c r="M878">
        <v>313.11335280897612</v>
      </c>
      <c r="N878">
        <v>4.8714781050342548</v>
      </c>
      <c r="O878">
        <v>294.63847293234562</v>
      </c>
      <c r="P878">
        <v>4.4347217738098115</v>
      </c>
    </row>
    <row r="879" spans="4:16" x14ac:dyDescent="0.55000000000000004">
      <c r="D879">
        <v>872</v>
      </c>
      <c r="E879">
        <v>6.9044333018096369</v>
      </c>
      <c r="F879">
        <v>3.0955666981903631</v>
      </c>
      <c r="G879">
        <v>5.1213806034305751</v>
      </c>
      <c r="H879">
        <v>4.8786193965694231</v>
      </c>
      <c r="I879">
        <v>310.89233880239931</v>
      </c>
      <c r="J879">
        <v>4.7669789968115008</v>
      </c>
      <c r="K879">
        <v>286.39171645220608</v>
      </c>
      <c r="L879">
        <v>4.3395621006531142</v>
      </c>
      <c r="M879">
        <v>280.60516686872228</v>
      </c>
      <c r="N879">
        <v>4.8271560903327524</v>
      </c>
      <c r="O879">
        <v>264.44507175139552</v>
      </c>
      <c r="P879">
        <v>4.393487775981141</v>
      </c>
    </row>
    <row r="880" spans="4:16" x14ac:dyDescent="0.55000000000000004">
      <c r="D880">
        <v>873</v>
      </c>
      <c r="E880">
        <v>6.1098609878795633</v>
      </c>
      <c r="F880">
        <v>3.8901390121204367</v>
      </c>
      <c r="G880">
        <v>5.0960858394656174</v>
      </c>
      <c r="H880">
        <v>4.9039141605343826</v>
      </c>
      <c r="I880">
        <v>303.70407743637219</v>
      </c>
      <c r="J880">
        <v>4.867206432340299</v>
      </c>
      <c r="K880">
        <v>281.02584728147065</v>
      </c>
      <c r="L880">
        <v>4.4313417311522212</v>
      </c>
      <c r="M880">
        <v>303.31215415239723</v>
      </c>
      <c r="N880">
        <v>4.8892401282017417</v>
      </c>
      <c r="O880">
        <v>285.83577719463659</v>
      </c>
      <c r="P880">
        <v>4.4511009345197827</v>
      </c>
    </row>
    <row r="881" spans="4:16" x14ac:dyDescent="0.55000000000000004">
      <c r="D881">
        <v>874</v>
      </c>
      <c r="E881">
        <v>7.5068782379030381</v>
      </c>
      <c r="F881">
        <v>2.4931217620969619</v>
      </c>
      <c r="G881">
        <v>6.0372014283121382</v>
      </c>
      <c r="H881">
        <v>3.9627985716878609</v>
      </c>
      <c r="I881">
        <v>353.26069771045229</v>
      </c>
      <c r="J881">
        <v>4.7058639082676645</v>
      </c>
      <c r="K881">
        <v>324.49656317622498</v>
      </c>
      <c r="L881">
        <v>4.2840331618228138</v>
      </c>
      <c r="M881">
        <v>334.10025062293164</v>
      </c>
      <c r="N881">
        <v>4.7634490960358722</v>
      </c>
      <c r="O881">
        <v>312.69180408133656</v>
      </c>
      <c r="P881">
        <v>4.335493769833981</v>
      </c>
    </row>
    <row r="882" spans="4:16" x14ac:dyDescent="0.55000000000000004">
      <c r="D882">
        <v>875</v>
      </c>
      <c r="E882">
        <v>6.6652843847658305</v>
      </c>
      <c r="F882">
        <v>3.3347156152341695</v>
      </c>
      <c r="G882">
        <v>5.7740803565068832</v>
      </c>
      <c r="H882">
        <v>4.2259196434931159</v>
      </c>
      <c r="I882">
        <v>320.34370232091771</v>
      </c>
      <c r="J882">
        <v>4.7736464943989265</v>
      </c>
      <c r="K882">
        <v>295.24926958131221</v>
      </c>
      <c r="L882">
        <v>4.3455974348204798</v>
      </c>
      <c r="M882">
        <v>327.5110816170951</v>
      </c>
      <c r="N882">
        <v>4.8039118430858148</v>
      </c>
      <c r="O882">
        <v>306.85110737758396</v>
      </c>
      <c r="P882">
        <v>4.3727294138807258</v>
      </c>
    </row>
    <row r="883" spans="4:16" x14ac:dyDescent="0.55000000000000004">
      <c r="D883">
        <v>876</v>
      </c>
      <c r="E883">
        <v>6.5514751964798617</v>
      </c>
      <c r="F883">
        <v>3.4485248035201379</v>
      </c>
      <c r="G883">
        <v>5.6519652721824203</v>
      </c>
      <c r="H883">
        <v>4.3480347278175806</v>
      </c>
      <c r="I883">
        <v>344.55589900828801</v>
      </c>
      <c r="J883">
        <v>4.929353995262594</v>
      </c>
      <c r="K883">
        <v>317.56520366549427</v>
      </c>
      <c r="L883">
        <v>4.4891073517348739</v>
      </c>
      <c r="M883">
        <v>347.24877483574892</v>
      </c>
      <c r="N883">
        <v>4.9390536095429622</v>
      </c>
      <c r="O883">
        <v>325.07608587962665</v>
      </c>
      <c r="P883">
        <v>4.4978191062717379</v>
      </c>
    </row>
    <row r="884" spans="4:16" x14ac:dyDescent="0.55000000000000004">
      <c r="D884">
        <v>877</v>
      </c>
      <c r="E884">
        <v>7.1794015200471568</v>
      </c>
      <c r="F884">
        <v>2.8205984799528432</v>
      </c>
      <c r="G884">
        <v>7.253892779789239</v>
      </c>
      <c r="H884">
        <v>2.7461072202107615</v>
      </c>
      <c r="I884">
        <v>364.29544236065152</v>
      </c>
      <c r="J884">
        <v>4.7939924890557482</v>
      </c>
      <c r="K884">
        <v>335.17363606631619</v>
      </c>
      <c r="L884">
        <v>4.3646800660225109</v>
      </c>
      <c r="M884">
        <v>418.07525970948888</v>
      </c>
      <c r="N884">
        <v>4.7918550185488096</v>
      </c>
      <c r="O884">
        <v>388.54208704317693</v>
      </c>
      <c r="P884">
        <v>4.3627752214354238</v>
      </c>
    </row>
    <row r="885" spans="4:16" x14ac:dyDescent="0.55000000000000004">
      <c r="D885">
        <v>878</v>
      </c>
      <c r="E885">
        <v>7.0234917942244133</v>
      </c>
      <c r="F885">
        <v>2.9765082057755885</v>
      </c>
      <c r="G885">
        <v>7.2096159077079554</v>
      </c>
      <c r="H885">
        <v>2.7903840922920442</v>
      </c>
      <c r="I885">
        <v>346.2762367476368</v>
      </c>
      <c r="J885">
        <v>4.8472068846743941</v>
      </c>
      <c r="K885">
        <v>318.47804265780542</v>
      </c>
      <c r="L885">
        <v>4.4136920558823931</v>
      </c>
      <c r="M885">
        <v>405.45263496569555</v>
      </c>
      <c r="N885">
        <v>4.8431578327256535</v>
      </c>
      <c r="O885">
        <v>376.68351661778661</v>
      </c>
      <c r="P885">
        <v>4.4100714206899694</v>
      </c>
    </row>
    <row r="886" spans="4:16" x14ac:dyDescent="0.55000000000000004">
      <c r="D886">
        <v>879</v>
      </c>
      <c r="E886">
        <v>7.0545040208724519</v>
      </c>
      <c r="F886">
        <v>2.9454959791275468</v>
      </c>
      <c r="G886">
        <v>6.6315706559705623</v>
      </c>
      <c r="H886">
        <v>3.3684293440294399</v>
      </c>
      <c r="I886">
        <v>345.17574442959364</v>
      </c>
      <c r="J886">
        <v>4.841632688976178</v>
      </c>
      <c r="K886">
        <v>317.49686473254224</v>
      </c>
      <c r="L886">
        <v>4.4085511338177383</v>
      </c>
      <c r="M886">
        <v>374.4816830693353</v>
      </c>
      <c r="N886">
        <v>4.8511271650645895</v>
      </c>
      <c r="O886">
        <v>348.98192995553143</v>
      </c>
      <c r="P886">
        <v>4.4170458223401372</v>
      </c>
    </row>
    <row r="887" spans="4:16" x14ac:dyDescent="0.55000000000000004">
      <c r="D887">
        <v>880</v>
      </c>
      <c r="E887">
        <v>6.4533157751396883</v>
      </c>
      <c r="F887">
        <v>3.546684224860313</v>
      </c>
      <c r="G887">
        <v>5.6577566513232309</v>
      </c>
      <c r="H887">
        <v>4.3422433486767682</v>
      </c>
      <c r="I887">
        <v>323.80779005552029</v>
      </c>
      <c r="J887">
        <v>4.8017773842628202</v>
      </c>
      <c r="K887">
        <v>298.85598740571521</v>
      </c>
      <c r="L887">
        <v>4.3712712339499493</v>
      </c>
      <c r="M887">
        <v>333.88904894356273</v>
      </c>
      <c r="N887">
        <v>4.8262140949385905</v>
      </c>
      <c r="O887">
        <v>313.07748009087464</v>
      </c>
      <c r="P887">
        <v>4.3931734534916824</v>
      </c>
    </row>
    <row r="888" spans="4:16" x14ac:dyDescent="0.55000000000000004">
      <c r="D888">
        <v>881</v>
      </c>
      <c r="E888">
        <v>7.2442711548585557</v>
      </c>
      <c r="F888">
        <v>2.7557288451414443</v>
      </c>
      <c r="G888">
        <v>7.5486196623870772</v>
      </c>
      <c r="H888">
        <v>2.4513803376129215</v>
      </c>
      <c r="I888">
        <v>344.31033281218839</v>
      </c>
      <c r="J888">
        <v>4.7683070789265383</v>
      </c>
      <c r="K888">
        <v>316.58600559653888</v>
      </c>
      <c r="L888">
        <v>4.3411826222981631</v>
      </c>
      <c r="M888">
        <v>408.77560249604863</v>
      </c>
      <c r="N888">
        <v>4.7585731259551149</v>
      </c>
      <c r="O888">
        <v>379.48264906727121</v>
      </c>
      <c r="P888">
        <v>4.3325042275100323</v>
      </c>
    </row>
    <row r="889" spans="4:16" x14ac:dyDescent="0.55000000000000004">
      <c r="D889">
        <v>882</v>
      </c>
      <c r="E889">
        <v>6.3005033841676426</v>
      </c>
      <c r="F889">
        <v>3.6994966158323583</v>
      </c>
      <c r="G889">
        <v>6.5902760452996825</v>
      </c>
      <c r="H889">
        <v>3.4097239547003175</v>
      </c>
      <c r="I889">
        <v>307.58951108946013</v>
      </c>
      <c r="J889">
        <v>4.8011539044649361</v>
      </c>
      <c r="K889">
        <v>283.62799796995921</v>
      </c>
      <c r="L889">
        <v>4.3708635232657223</v>
      </c>
      <c r="M889">
        <v>371.73616346467696</v>
      </c>
      <c r="N889">
        <v>4.7920085776956967</v>
      </c>
      <c r="O889">
        <v>346.3266819654711</v>
      </c>
      <c r="P889">
        <v>4.3626542585154473</v>
      </c>
    </row>
    <row r="890" spans="4:16" x14ac:dyDescent="0.55000000000000004">
      <c r="D890">
        <v>883</v>
      </c>
      <c r="E890">
        <v>6.9409471518429937</v>
      </c>
      <c r="F890">
        <v>3.0590528481570058</v>
      </c>
      <c r="G890">
        <v>5.4174783088492751</v>
      </c>
      <c r="H890">
        <v>4.5825216911507276</v>
      </c>
      <c r="I890">
        <v>357.68585607408801</v>
      </c>
      <c r="J890">
        <v>4.8988988430001399</v>
      </c>
      <c r="K890">
        <v>329.22390294426839</v>
      </c>
      <c r="L890">
        <v>4.4611630338510189</v>
      </c>
      <c r="M890">
        <v>329.1773693521111</v>
      </c>
      <c r="N890">
        <v>4.9210895410864959</v>
      </c>
      <c r="O890">
        <v>308.79033210694035</v>
      </c>
      <c r="P890">
        <v>4.4810713287482331</v>
      </c>
    </row>
    <row r="891" spans="4:16" x14ac:dyDescent="0.55000000000000004">
      <c r="D891">
        <v>884</v>
      </c>
      <c r="E891">
        <v>6.3731784964556093</v>
      </c>
      <c r="F891">
        <v>3.6268215035443898</v>
      </c>
      <c r="G891">
        <v>6.5876320100382797</v>
      </c>
      <c r="H891">
        <v>3.4123679899617194</v>
      </c>
      <c r="I891">
        <v>312.65579814777482</v>
      </c>
      <c r="J891">
        <v>4.8653270126929025</v>
      </c>
      <c r="K891">
        <v>288.49093041003067</v>
      </c>
      <c r="L891">
        <v>4.4299550794841567</v>
      </c>
      <c r="M891">
        <v>373.1764723281816</v>
      </c>
      <c r="N891">
        <v>4.860795349986649</v>
      </c>
      <c r="O891">
        <v>347.91362265914699</v>
      </c>
      <c r="P891">
        <v>4.4258963602114543</v>
      </c>
    </row>
    <row r="892" spans="4:16" x14ac:dyDescent="0.55000000000000004">
      <c r="D892">
        <v>885</v>
      </c>
      <c r="E892">
        <v>6.7743094575306939</v>
      </c>
      <c r="F892">
        <v>3.2256905424693052</v>
      </c>
      <c r="G892">
        <v>6.1719921569631797</v>
      </c>
      <c r="H892">
        <v>3.8280078430368203</v>
      </c>
      <c r="I892">
        <v>344.41281584828016</v>
      </c>
      <c r="J892">
        <v>4.8722473286725023</v>
      </c>
      <c r="K892">
        <v>317.31116554133558</v>
      </c>
      <c r="L892">
        <v>4.4365194347057875</v>
      </c>
      <c r="M892">
        <v>363.79038874731793</v>
      </c>
      <c r="N892">
        <v>4.8836060722635164</v>
      </c>
      <c r="O892">
        <v>339.90139782985466</v>
      </c>
      <c r="P892">
        <v>4.4466865100423529</v>
      </c>
    </row>
    <row r="893" spans="4:16" x14ac:dyDescent="0.55000000000000004">
      <c r="D893">
        <v>886</v>
      </c>
      <c r="E893">
        <v>5.3794821203727867</v>
      </c>
      <c r="F893">
        <v>4.6205178796272133</v>
      </c>
      <c r="G893">
        <v>6.2988639709624739</v>
      </c>
      <c r="H893">
        <v>3.7011360290375275</v>
      </c>
      <c r="I893">
        <v>257.90668024046965</v>
      </c>
      <c r="J893">
        <v>4.8841200883541784</v>
      </c>
      <c r="K893">
        <v>239.36755353983875</v>
      </c>
      <c r="L893">
        <v>4.4466692137414476</v>
      </c>
      <c r="M893">
        <v>351.98429136607257</v>
      </c>
      <c r="N893">
        <v>4.8643156006300465</v>
      </c>
      <c r="O893">
        <v>328.92109137820262</v>
      </c>
      <c r="P893">
        <v>4.4288974349503132</v>
      </c>
    </row>
    <row r="894" spans="4:16" x14ac:dyDescent="0.55000000000000004">
      <c r="D894">
        <v>887</v>
      </c>
      <c r="E894">
        <v>6.0321384593003895</v>
      </c>
      <c r="F894">
        <v>3.9678615406996096</v>
      </c>
      <c r="G894">
        <v>6.8166678496124602</v>
      </c>
      <c r="H894">
        <v>3.1833321503875389</v>
      </c>
      <c r="I894">
        <v>292.61267189818523</v>
      </c>
      <c r="J894">
        <v>4.7647336983827389</v>
      </c>
      <c r="K894">
        <v>270.05584634968648</v>
      </c>
      <c r="L894">
        <v>4.3370891469078057</v>
      </c>
      <c r="M894">
        <v>380.66936483233485</v>
      </c>
      <c r="N894">
        <v>4.7341353741874128</v>
      </c>
      <c r="O894">
        <v>354.23619171095493</v>
      </c>
      <c r="P894">
        <v>4.3096074818487322</v>
      </c>
    </row>
    <row r="895" spans="4:16" x14ac:dyDescent="0.55000000000000004">
      <c r="D895">
        <v>888</v>
      </c>
      <c r="E895">
        <v>6.9367466976368277</v>
      </c>
      <c r="F895">
        <v>3.0632533023631709</v>
      </c>
      <c r="G895">
        <v>7.1993580489007547</v>
      </c>
      <c r="H895">
        <v>2.800641951099244</v>
      </c>
      <c r="I895">
        <v>346.95688956978705</v>
      </c>
      <c r="J895">
        <v>4.8090927536703045</v>
      </c>
      <c r="K895">
        <v>319.14808541719214</v>
      </c>
      <c r="L895">
        <v>4.3786134050625618</v>
      </c>
      <c r="M895">
        <v>410.09198323426978</v>
      </c>
      <c r="N895">
        <v>4.801865387282283</v>
      </c>
      <c r="O895">
        <v>380.90218560799883</v>
      </c>
      <c r="P895">
        <v>4.3721459073186981</v>
      </c>
    </row>
    <row r="896" spans="4:16" x14ac:dyDescent="0.55000000000000004">
      <c r="D896">
        <v>889</v>
      </c>
      <c r="E896">
        <v>7.1555271397129134</v>
      </c>
      <c r="F896">
        <v>2.8444728602870848</v>
      </c>
      <c r="G896">
        <v>6.3683070209209429</v>
      </c>
      <c r="H896">
        <v>3.6316929790790562</v>
      </c>
      <c r="I896">
        <v>351.42121951844939</v>
      </c>
      <c r="J896">
        <v>4.8043187147281285</v>
      </c>
      <c r="K896">
        <v>323.46256167760635</v>
      </c>
      <c r="L896">
        <v>4.3741062073941821</v>
      </c>
      <c r="M896">
        <v>362.75937829085359</v>
      </c>
      <c r="N896">
        <v>4.825846722606423</v>
      </c>
      <c r="O896">
        <v>338.97979721145657</v>
      </c>
      <c r="P896">
        <v>4.3933071870040923</v>
      </c>
    </row>
    <row r="897" spans="4:16" x14ac:dyDescent="0.55000000000000004">
      <c r="D897">
        <v>890</v>
      </c>
      <c r="E897">
        <v>6.1211339394173336</v>
      </c>
      <c r="F897">
        <v>3.8788660605826677</v>
      </c>
      <c r="G897">
        <v>6.7344072475444232</v>
      </c>
      <c r="H897">
        <v>3.2655927524555755</v>
      </c>
      <c r="I897">
        <v>321.76236581673351</v>
      </c>
      <c r="J897">
        <v>4.8935917252228798</v>
      </c>
      <c r="K897">
        <v>296.89008133472305</v>
      </c>
      <c r="L897">
        <v>4.4560364229409535</v>
      </c>
      <c r="M897">
        <v>403.99957422750231</v>
      </c>
      <c r="N897">
        <v>4.8829307340845487</v>
      </c>
      <c r="O897">
        <v>375.83562129543941</v>
      </c>
      <c r="P897">
        <v>4.4464640014991428</v>
      </c>
    </row>
    <row r="898" spans="4:16" x14ac:dyDescent="0.55000000000000004">
      <c r="D898">
        <v>891</v>
      </c>
      <c r="E898">
        <v>6.5921243748995799</v>
      </c>
      <c r="F898">
        <v>3.4078756251004205</v>
      </c>
      <c r="G898">
        <v>6.0651207338507485</v>
      </c>
      <c r="H898">
        <v>3.9348792661492515</v>
      </c>
      <c r="I898">
        <v>336.75604907550405</v>
      </c>
      <c r="J898">
        <v>4.8994993516324223</v>
      </c>
      <c r="K898">
        <v>310.30085092010836</v>
      </c>
      <c r="L898">
        <v>4.4616138963586671</v>
      </c>
      <c r="M898">
        <v>359.83427789597982</v>
      </c>
      <c r="N898">
        <v>4.9075338189157067</v>
      </c>
      <c r="O898">
        <v>336.14649305594401</v>
      </c>
      <c r="P898">
        <v>4.4688224636076166</v>
      </c>
    </row>
    <row r="899" spans="4:16" x14ac:dyDescent="0.55000000000000004">
      <c r="D899">
        <v>892</v>
      </c>
      <c r="E899">
        <v>7.148977276649175</v>
      </c>
      <c r="F899">
        <v>2.8510227233508241</v>
      </c>
      <c r="G899">
        <v>6.1119496590759885</v>
      </c>
      <c r="H899">
        <v>3.8880503409240115</v>
      </c>
      <c r="I899">
        <v>360.92559203310583</v>
      </c>
      <c r="J899">
        <v>4.9189039252767142</v>
      </c>
      <c r="K899">
        <v>331.86422613776028</v>
      </c>
      <c r="L899">
        <v>4.4796530200523721</v>
      </c>
      <c r="M899">
        <v>358.56987843336725</v>
      </c>
      <c r="N899">
        <v>4.9306676875479294</v>
      </c>
      <c r="O899">
        <v>334.9760563835211</v>
      </c>
      <c r="P899">
        <v>4.4901882843892915</v>
      </c>
    </row>
    <row r="900" spans="4:16" x14ac:dyDescent="0.55000000000000004">
      <c r="D900">
        <v>893</v>
      </c>
      <c r="E900">
        <v>7.2446649139799302</v>
      </c>
      <c r="F900">
        <v>2.7553350860200698</v>
      </c>
      <c r="G900">
        <v>6.9624214643382834</v>
      </c>
      <c r="H900">
        <v>3.037578535661714</v>
      </c>
      <c r="I900">
        <v>341.83399315978016</v>
      </c>
      <c r="J900">
        <v>4.922014915881241</v>
      </c>
      <c r="K900">
        <v>314.35297971112436</v>
      </c>
      <c r="L900">
        <v>4.4825036804309066</v>
      </c>
      <c r="M900">
        <v>378.51655107242846</v>
      </c>
      <c r="N900">
        <v>4.9250531211569317</v>
      </c>
      <c r="O900">
        <v>352.47158908668558</v>
      </c>
      <c r="P900">
        <v>4.4852142688037286</v>
      </c>
    </row>
    <row r="901" spans="4:16" x14ac:dyDescent="0.55000000000000004">
      <c r="D901">
        <v>894</v>
      </c>
      <c r="E901">
        <v>7.5525014846704819</v>
      </c>
      <c r="F901">
        <v>2.447498515329519</v>
      </c>
      <c r="G901">
        <v>6.602871562160006</v>
      </c>
      <c r="H901">
        <v>3.3971284378399966</v>
      </c>
      <c r="I901">
        <v>371.24023626363356</v>
      </c>
      <c r="J901">
        <v>4.7650491982865955</v>
      </c>
      <c r="K901">
        <v>340.79767218234088</v>
      </c>
      <c r="L901">
        <v>4.3385350316345335</v>
      </c>
      <c r="M901">
        <v>374.5615513919567</v>
      </c>
      <c r="N901">
        <v>4.7945912396986685</v>
      </c>
      <c r="O901">
        <v>349.06788245789681</v>
      </c>
      <c r="P901">
        <v>4.3649450125400726</v>
      </c>
    </row>
    <row r="902" spans="4:16" x14ac:dyDescent="0.55000000000000004">
      <c r="D902">
        <v>895</v>
      </c>
      <c r="E902">
        <v>6.2096933827691769</v>
      </c>
      <c r="F902">
        <v>3.790306617230824</v>
      </c>
      <c r="G902">
        <v>6.6583693524267407</v>
      </c>
      <c r="H902">
        <v>3.3416306475732611</v>
      </c>
      <c r="I902">
        <v>321.03323871109706</v>
      </c>
      <c r="J902">
        <v>4.9510494834901282</v>
      </c>
      <c r="K902">
        <v>295.94992761597251</v>
      </c>
      <c r="L902">
        <v>4.5090934577575972</v>
      </c>
      <c r="M902">
        <v>394.22921487164234</v>
      </c>
      <c r="N902">
        <v>4.9475126066901804</v>
      </c>
      <c r="O902">
        <v>366.79800475968966</v>
      </c>
      <c r="P902">
        <v>4.5059145839795418</v>
      </c>
    </row>
    <row r="903" spans="4:16" x14ac:dyDescent="0.55000000000000004">
      <c r="D903">
        <v>896</v>
      </c>
      <c r="E903">
        <v>5.3262310481531374</v>
      </c>
      <c r="F903">
        <v>4.6737689518468626</v>
      </c>
      <c r="G903">
        <v>6.0250882016067555</v>
      </c>
      <c r="H903">
        <v>3.974911798393244</v>
      </c>
      <c r="I903">
        <v>260.51980566285562</v>
      </c>
      <c r="J903">
        <v>4.8194412765818244</v>
      </c>
      <c r="K903">
        <v>241.85251059447398</v>
      </c>
      <c r="L903">
        <v>4.3865983578778511</v>
      </c>
      <c r="M903">
        <v>344.70272565971976</v>
      </c>
      <c r="N903">
        <v>4.7957500858808508</v>
      </c>
      <c r="O903">
        <v>322.55761447550043</v>
      </c>
      <c r="P903">
        <v>4.3653175406859512</v>
      </c>
    </row>
    <row r="904" spans="4:16" x14ac:dyDescent="0.55000000000000004">
      <c r="D904">
        <v>897</v>
      </c>
      <c r="E904">
        <v>6.0354347629573146</v>
      </c>
      <c r="F904">
        <v>3.9645652370426836</v>
      </c>
      <c r="G904">
        <v>5.99841963799813</v>
      </c>
      <c r="H904">
        <v>4.0015803620018664</v>
      </c>
      <c r="I904">
        <v>322.45463071455725</v>
      </c>
      <c r="J904">
        <v>4.8583945037061698</v>
      </c>
      <c r="K904">
        <v>298.42583599871148</v>
      </c>
      <c r="L904">
        <v>4.4231660353664273</v>
      </c>
      <c r="M904">
        <v>370.47702695967564</v>
      </c>
      <c r="N904">
        <v>4.8592629656059474</v>
      </c>
      <c r="O904">
        <v>346.65553283589117</v>
      </c>
      <c r="P904">
        <v>4.4239434615035726</v>
      </c>
    </row>
    <row r="905" spans="4:16" x14ac:dyDescent="0.55000000000000004">
      <c r="D905">
        <v>898</v>
      </c>
      <c r="E905">
        <v>7.919432273057212</v>
      </c>
      <c r="F905">
        <v>2.0805677269427889</v>
      </c>
      <c r="G905">
        <v>6.8015648039235801</v>
      </c>
      <c r="H905">
        <v>3.1984351960764239</v>
      </c>
      <c r="I905">
        <v>408.89842502607473</v>
      </c>
      <c r="J905">
        <v>4.763272721653971</v>
      </c>
      <c r="K905">
        <v>374.73504219697298</v>
      </c>
      <c r="L905">
        <v>4.3372705594584042</v>
      </c>
      <c r="M905">
        <v>401.18036749918463</v>
      </c>
      <c r="N905">
        <v>4.7966879608270956</v>
      </c>
      <c r="O905">
        <v>373.1113587415748</v>
      </c>
      <c r="P905">
        <v>4.3671575273082173</v>
      </c>
    </row>
    <row r="906" spans="4:16" x14ac:dyDescent="0.55000000000000004">
      <c r="D906">
        <v>899</v>
      </c>
      <c r="E906">
        <v>5.6839383607809095</v>
      </c>
      <c r="F906">
        <v>4.3160616392190914</v>
      </c>
      <c r="G906">
        <v>5.911648373369732</v>
      </c>
      <c r="H906">
        <v>4.088351626630268</v>
      </c>
      <c r="I906">
        <v>291.72766299502484</v>
      </c>
      <c r="J906">
        <v>4.9172610375968251</v>
      </c>
      <c r="K906">
        <v>270.1054527422333</v>
      </c>
      <c r="L906">
        <v>4.477612787154893</v>
      </c>
      <c r="M906">
        <v>353.41486042690877</v>
      </c>
      <c r="N906">
        <v>4.9139463482081416</v>
      </c>
      <c r="O906">
        <v>330.6081691411627</v>
      </c>
      <c r="P906">
        <v>4.4746340368768394</v>
      </c>
    </row>
    <row r="907" spans="4:16" x14ac:dyDescent="0.55000000000000004">
      <c r="D907">
        <v>900</v>
      </c>
      <c r="E907">
        <v>6.2648977448247445</v>
      </c>
      <c r="F907">
        <v>3.7351022551752564</v>
      </c>
      <c r="G907">
        <v>6.9770979280312542</v>
      </c>
      <c r="H907">
        <v>3.0229020719687485</v>
      </c>
      <c r="I907">
        <v>319.54729065465989</v>
      </c>
      <c r="J907">
        <v>4.8671191171903319</v>
      </c>
      <c r="K907">
        <v>294.9107553986799</v>
      </c>
      <c r="L907">
        <v>4.4315833203796382</v>
      </c>
      <c r="M907">
        <v>405.8737636821553</v>
      </c>
      <c r="N907">
        <v>4.8520130782833339</v>
      </c>
      <c r="O907">
        <v>377.44417703764685</v>
      </c>
      <c r="P907">
        <v>4.4180545879677693</v>
      </c>
    </row>
    <row r="908" spans="4:16" x14ac:dyDescent="0.55000000000000004">
      <c r="D908">
        <v>901</v>
      </c>
      <c r="E908">
        <v>5.0703328901784319</v>
      </c>
      <c r="F908">
        <v>4.9296671098215672</v>
      </c>
      <c r="G908">
        <v>6.4841675503765597</v>
      </c>
      <c r="H908">
        <v>3.5158324496234403</v>
      </c>
      <c r="I908">
        <v>257.69193254868577</v>
      </c>
      <c r="J908">
        <v>4.8236782192517733</v>
      </c>
      <c r="K908">
        <v>239.41914533297026</v>
      </c>
      <c r="L908">
        <v>4.3904004159991636</v>
      </c>
      <c r="M908">
        <v>379.54792184605685</v>
      </c>
      <c r="N908">
        <v>4.7745118527884225</v>
      </c>
      <c r="O908">
        <v>353.99156291707868</v>
      </c>
      <c r="P908">
        <v>4.3462177225673591</v>
      </c>
    </row>
    <row r="909" spans="4:16" x14ac:dyDescent="0.55000000000000004">
      <c r="D909">
        <v>902</v>
      </c>
      <c r="E909">
        <v>6.2951101038153707</v>
      </c>
      <c r="F909">
        <v>3.7048898961846297</v>
      </c>
      <c r="G909">
        <v>5.6868510703381556</v>
      </c>
      <c r="H909">
        <v>4.3131489296618462</v>
      </c>
      <c r="I909">
        <v>332.67571545368435</v>
      </c>
      <c r="J909">
        <v>4.8609752011489471</v>
      </c>
      <c r="K909">
        <v>307.39186138568971</v>
      </c>
      <c r="L909">
        <v>4.425760615033564</v>
      </c>
      <c r="M909">
        <v>350.53124048722492</v>
      </c>
      <c r="N909">
        <v>4.8744083402654903</v>
      </c>
      <c r="O909">
        <v>328.59728111142732</v>
      </c>
      <c r="P909">
        <v>4.4377938370112213</v>
      </c>
    </row>
    <row r="910" spans="4:16" x14ac:dyDescent="0.55000000000000004">
      <c r="D910">
        <v>903</v>
      </c>
      <c r="E910">
        <v>7.1897468552481332</v>
      </c>
      <c r="F910">
        <v>2.8102531447518668</v>
      </c>
      <c r="G910">
        <v>5.3811169986820673</v>
      </c>
      <c r="H910">
        <v>4.6188830013179327</v>
      </c>
      <c r="I910">
        <v>352.6427209083954</v>
      </c>
      <c r="J910">
        <v>4.8462141061149682</v>
      </c>
      <c r="K910">
        <v>324.00552250284096</v>
      </c>
      <c r="L910">
        <v>4.4129219790261143</v>
      </c>
      <c r="M910">
        <v>313.93303938879387</v>
      </c>
      <c r="N910">
        <v>4.8848999965641067</v>
      </c>
      <c r="O910">
        <v>294.26149025695656</v>
      </c>
      <c r="P910">
        <v>4.4476979904218394</v>
      </c>
    </row>
    <row r="911" spans="4:16" x14ac:dyDescent="0.55000000000000004">
      <c r="D911">
        <v>904</v>
      </c>
      <c r="E911">
        <v>7.465169741152458</v>
      </c>
      <c r="F911">
        <v>2.5348302588475415</v>
      </c>
      <c r="G911">
        <v>5.9192035036521755</v>
      </c>
      <c r="H911">
        <v>4.0807964963478254</v>
      </c>
      <c r="I911">
        <v>360.82553181505324</v>
      </c>
      <c r="J911">
        <v>4.8870558654817975</v>
      </c>
      <c r="K911">
        <v>331.36322635206096</v>
      </c>
      <c r="L911">
        <v>4.4504973563774994</v>
      </c>
      <c r="M911">
        <v>336.10196769579443</v>
      </c>
      <c r="N911">
        <v>4.910445530384699</v>
      </c>
      <c r="O911">
        <v>314.45585084267043</v>
      </c>
      <c r="P911">
        <v>4.4714404298395687</v>
      </c>
    </row>
    <row r="912" spans="4:16" x14ac:dyDescent="0.55000000000000004">
      <c r="D912">
        <v>905</v>
      </c>
      <c r="E912">
        <v>6.3998365495009892</v>
      </c>
      <c r="F912">
        <v>3.6001634504990121</v>
      </c>
      <c r="G912">
        <v>6.1993819899938236</v>
      </c>
      <c r="H912">
        <v>3.8006180100061737</v>
      </c>
      <c r="I912">
        <v>311.95165609497781</v>
      </c>
      <c r="J912">
        <v>4.8394396495253371</v>
      </c>
      <c r="K912">
        <v>288.07170700339753</v>
      </c>
      <c r="L912">
        <v>4.4059498903456511</v>
      </c>
      <c r="M912">
        <v>352.18076095939421</v>
      </c>
      <c r="N912">
        <v>4.8444686927016374</v>
      </c>
      <c r="O912">
        <v>329.33136893725703</v>
      </c>
      <c r="P912">
        <v>4.410448509653313</v>
      </c>
    </row>
    <row r="913" spans="4:16" x14ac:dyDescent="0.55000000000000004">
      <c r="D913">
        <v>906</v>
      </c>
      <c r="E913">
        <v>6.2553794986598188</v>
      </c>
      <c r="F913">
        <v>3.7446205013401803</v>
      </c>
      <c r="G913">
        <v>6.5875815782866924</v>
      </c>
      <c r="H913">
        <v>3.4124184217133084</v>
      </c>
      <c r="I913">
        <v>319.46548975969222</v>
      </c>
      <c r="J913">
        <v>4.8141369818332036</v>
      </c>
      <c r="K913">
        <v>294.63730400670039</v>
      </c>
      <c r="L913">
        <v>4.3828011849256772</v>
      </c>
      <c r="M913">
        <v>386.43122302814123</v>
      </c>
      <c r="N913">
        <v>4.8042664246313631</v>
      </c>
      <c r="O913">
        <v>359.86799324954461</v>
      </c>
      <c r="P913">
        <v>4.3739400654552609</v>
      </c>
    </row>
    <row r="914" spans="4:16" x14ac:dyDescent="0.55000000000000004">
      <c r="D914">
        <v>907</v>
      </c>
      <c r="E914">
        <v>8.0050452164728991</v>
      </c>
      <c r="F914">
        <v>1.9949547835271031</v>
      </c>
      <c r="G914">
        <v>5.722897327431383</v>
      </c>
      <c r="H914">
        <v>4.2771026725686152</v>
      </c>
      <c r="I914">
        <v>413.85638409360371</v>
      </c>
      <c r="J914">
        <v>4.814480411484956</v>
      </c>
      <c r="K914">
        <v>379.44913119455236</v>
      </c>
      <c r="L914">
        <v>4.3841234866575123</v>
      </c>
      <c r="M914">
        <v>345.87060790060923</v>
      </c>
      <c r="N914">
        <v>4.8673699487525539</v>
      </c>
      <c r="O914">
        <v>324.0725331714309</v>
      </c>
      <c r="P914">
        <v>4.431360701922852</v>
      </c>
    </row>
    <row r="915" spans="4:16" x14ac:dyDescent="0.55000000000000004">
      <c r="D915">
        <v>908</v>
      </c>
      <c r="E915">
        <v>6.5029258528526404</v>
      </c>
      <c r="F915">
        <v>3.4970741471473605</v>
      </c>
      <c r="G915">
        <v>6.1744648317101882</v>
      </c>
      <c r="H915">
        <v>3.8255351682898127</v>
      </c>
      <c r="I915">
        <v>317.53811583193777</v>
      </c>
      <c r="J915">
        <v>4.7561524656846768</v>
      </c>
      <c r="K915">
        <v>293.07997453771355</v>
      </c>
      <c r="L915">
        <v>4.329153964146097</v>
      </c>
      <c r="M915">
        <v>351.49935172207859</v>
      </c>
      <c r="N915">
        <v>4.7684691385080544</v>
      </c>
      <c r="O915">
        <v>328.73526022907964</v>
      </c>
      <c r="P915">
        <v>4.3401697226966984</v>
      </c>
    </row>
    <row r="916" spans="4:16" x14ac:dyDescent="0.55000000000000004">
      <c r="D916">
        <v>909</v>
      </c>
      <c r="E916">
        <v>7.0660117158433096</v>
      </c>
      <c r="F916">
        <v>2.9339882841566922</v>
      </c>
      <c r="G916">
        <v>7.2543975632302855</v>
      </c>
      <c r="H916">
        <v>2.7456024367697118</v>
      </c>
      <c r="I916">
        <v>331.11443255291374</v>
      </c>
      <c r="J916">
        <v>4.7062558174207147</v>
      </c>
      <c r="K916">
        <v>304.67153299433079</v>
      </c>
      <c r="L916">
        <v>4.28393363777076</v>
      </c>
      <c r="M916">
        <v>389.94222331622046</v>
      </c>
      <c r="N916">
        <v>4.6984243491221083</v>
      </c>
      <c r="O916">
        <v>362.54977112135811</v>
      </c>
      <c r="P916">
        <v>4.276944553661842</v>
      </c>
    </row>
    <row r="917" spans="4:16" x14ac:dyDescent="0.55000000000000004">
      <c r="D917">
        <v>910</v>
      </c>
      <c r="E917">
        <v>6.6519247053258503</v>
      </c>
      <c r="F917">
        <v>3.3480752946741505</v>
      </c>
      <c r="G917">
        <v>4.7998780858004384</v>
      </c>
      <c r="H917">
        <v>5.2001219141995607</v>
      </c>
      <c r="I917">
        <v>324.43846005807359</v>
      </c>
      <c r="J917">
        <v>4.8818628223095262</v>
      </c>
      <c r="K917">
        <v>298.97600214237633</v>
      </c>
      <c r="L917">
        <v>4.4453537404684811</v>
      </c>
      <c r="M917">
        <v>284.10743861498713</v>
      </c>
      <c r="N917">
        <v>4.914754890436325</v>
      </c>
      <c r="O917">
        <v>267.71108329413352</v>
      </c>
      <c r="P917">
        <v>4.4749445853894496</v>
      </c>
    </row>
    <row r="918" spans="4:16" x14ac:dyDescent="0.55000000000000004">
      <c r="D918">
        <v>911</v>
      </c>
      <c r="E918">
        <v>6.3532769502559843</v>
      </c>
      <c r="F918">
        <v>3.6467230497440157</v>
      </c>
      <c r="G918">
        <v>6.7333998673693936</v>
      </c>
      <c r="H918">
        <v>3.2666001326306047</v>
      </c>
      <c r="I918">
        <v>318.30876033928439</v>
      </c>
      <c r="J918">
        <v>4.7173193850336492</v>
      </c>
      <c r="K918">
        <v>293.51961339224363</v>
      </c>
      <c r="L918">
        <v>4.2935532151200437</v>
      </c>
      <c r="M918">
        <v>387.35349197467247</v>
      </c>
      <c r="N918">
        <v>4.7004063209859535</v>
      </c>
      <c r="O918">
        <v>360.5981536738625</v>
      </c>
      <c r="P918">
        <v>4.2783862675802089</v>
      </c>
    </row>
    <row r="919" spans="4:16" x14ac:dyDescent="0.55000000000000004">
      <c r="D919">
        <v>912</v>
      </c>
      <c r="E919">
        <v>6.7848583044241186</v>
      </c>
      <c r="F919">
        <v>3.2151416955758814</v>
      </c>
      <c r="G919">
        <v>6.7860241102969203</v>
      </c>
      <c r="H919">
        <v>3.2139758897030783</v>
      </c>
      <c r="I919">
        <v>332.74868325396358</v>
      </c>
      <c r="J919">
        <v>4.7133626426864526</v>
      </c>
      <c r="K919">
        <v>306.46220498286527</v>
      </c>
      <c r="L919">
        <v>4.2902257390875622</v>
      </c>
      <c r="M919">
        <v>382.80585767849817</v>
      </c>
      <c r="N919">
        <v>4.7133133913241476</v>
      </c>
      <c r="O919">
        <v>356.5133457975017</v>
      </c>
      <c r="P919">
        <v>4.2901816852153871</v>
      </c>
    </row>
    <row r="920" spans="4:16" x14ac:dyDescent="0.55000000000000004">
      <c r="D920">
        <v>913</v>
      </c>
      <c r="E920">
        <v>6.4295572214056111</v>
      </c>
      <c r="F920">
        <v>3.570442778594388</v>
      </c>
      <c r="G920">
        <v>6.9510378023424364</v>
      </c>
      <c r="H920">
        <v>3.048962197657564</v>
      </c>
      <c r="I920">
        <v>327.65696012300327</v>
      </c>
      <c r="J920">
        <v>4.8954130558903977</v>
      </c>
      <c r="K920">
        <v>302.45890595440335</v>
      </c>
      <c r="L920">
        <v>4.4576755061107551</v>
      </c>
      <c r="M920">
        <v>404.23215589917265</v>
      </c>
      <c r="N920">
        <v>4.8869303472847259</v>
      </c>
      <c r="O920">
        <v>376.20188287598046</v>
      </c>
      <c r="P920">
        <v>4.4500968317576755</v>
      </c>
    </row>
    <row r="921" spans="4:16" x14ac:dyDescent="0.55000000000000004">
      <c r="D921">
        <v>914</v>
      </c>
      <c r="E921">
        <v>7.3083890968768133</v>
      </c>
      <c r="F921">
        <v>2.6916109031231876</v>
      </c>
      <c r="G921">
        <v>6.9846615062230528</v>
      </c>
      <c r="H921">
        <v>3.0153384937769494</v>
      </c>
      <c r="I921">
        <v>373.89062237453527</v>
      </c>
      <c r="J921">
        <v>4.7938039905672518</v>
      </c>
      <c r="K921">
        <v>343.45388875672762</v>
      </c>
      <c r="L921">
        <v>4.3648087894417538</v>
      </c>
      <c r="M921">
        <v>407.32900958341168</v>
      </c>
      <c r="N921">
        <v>4.8029375132151646</v>
      </c>
      <c r="O921">
        <v>378.63987060656495</v>
      </c>
      <c r="P921">
        <v>4.3729785354675528</v>
      </c>
    </row>
    <row r="922" spans="4:16" x14ac:dyDescent="0.55000000000000004">
      <c r="D922">
        <v>915</v>
      </c>
      <c r="E922">
        <v>8.0787253371670555</v>
      </c>
      <c r="F922">
        <v>1.9212746628329442</v>
      </c>
      <c r="G922">
        <v>5.5856465821941956</v>
      </c>
      <c r="H922">
        <v>4.4143534178058035</v>
      </c>
      <c r="I922">
        <v>406.91299461852566</v>
      </c>
      <c r="J922">
        <v>4.8420018977913948</v>
      </c>
      <c r="K922">
        <v>372.94071686070413</v>
      </c>
      <c r="L922">
        <v>4.409412134835299</v>
      </c>
      <c r="M922">
        <v>331.34044453582027</v>
      </c>
      <c r="N922">
        <v>4.8907598014832203</v>
      </c>
      <c r="O922">
        <v>310.70030538560701</v>
      </c>
      <c r="P922">
        <v>4.4529933726888684</v>
      </c>
    </row>
    <row r="923" spans="4:16" x14ac:dyDescent="0.55000000000000004">
      <c r="D923">
        <v>916</v>
      </c>
      <c r="E923">
        <v>6.5269314098637086</v>
      </c>
      <c r="F923">
        <v>3.4730685901362928</v>
      </c>
      <c r="G923">
        <v>7.7890865823159707</v>
      </c>
      <c r="H923">
        <v>2.2109134176840275</v>
      </c>
      <c r="I923">
        <v>337.52574516164833</v>
      </c>
      <c r="J923">
        <v>4.7382921831187517</v>
      </c>
      <c r="K923">
        <v>311.43915703227754</v>
      </c>
      <c r="L923">
        <v>4.3127382983941223</v>
      </c>
      <c r="M923">
        <v>452.79529348994544</v>
      </c>
      <c r="N923">
        <v>4.6876840406387084</v>
      </c>
      <c r="O923">
        <v>419.63683915078536</v>
      </c>
      <c r="P923">
        <v>4.2676134788711284</v>
      </c>
    </row>
    <row r="924" spans="4:16" x14ac:dyDescent="0.55000000000000004">
      <c r="D924">
        <v>917</v>
      </c>
      <c r="E924">
        <v>7.3794382938120133</v>
      </c>
      <c r="F924">
        <v>2.6205617061879867</v>
      </c>
      <c r="G924">
        <v>6.4263483100672687</v>
      </c>
      <c r="H924">
        <v>3.5736516899327313</v>
      </c>
      <c r="I924">
        <v>322.58307523603071</v>
      </c>
      <c r="J924">
        <v>4.935843802294376</v>
      </c>
      <c r="K924">
        <v>296.33802003825298</v>
      </c>
      <c r="L924">
        <v>4.4952828104690461</v>
      </c>
      <c r="M924">
        <v>330.919918002119</v>
      </c>
      <c r="N924">
        <v>4.9441298841062729</v>
      </c>
      <c r="O924">
        <v>309.0703406848537</v>
      </c>
      <c r="P924">
        <v>4.5026947077078487</v>
      </c>
    </row>
    <row r="925" spans="4:16" x14ac:dyDescent="0.55000000000000004">
      <c r="D925">
        <v>918</v>
      </c>
      <c r="E925">
        <v>6.6387576197170679</v>
      </c>
      <c r="F925">
        <v>3.3612423802829312</v>
      </c>
      <c r="G925">
        <v>6.3268300869723308</v>
      </c>
      <c r="H925">
        <v>3.6731699130276692</v>
      </c>
      <c r="I925">
        <v>329.96224230337873</v>
      </c>
      <c r="J925">
        <v>4.7949817643351125</v>
      </c>
      <c r="K925">
        <v>303.93191297478762</v>
      </c>
      <c r="L925">
        <v>4.3653747297533014</v>
      </c>
      <c r="M925">
        <v>364.45869268817211</v>
      </c>
      <c r="N925">
        <v>4.8046147161736741</v>
      </c>
      <c r="O925">
        <v>340.02742071617348</v>
      </c>
      <c r="P925">
        <v>4.3740141257362399</v>
      </c>
    </row>
    <row r="926" spans="4:16" x14ac:dyDescent="0.55000000000000004">
      <c r="D926">
        <v>919</v>
      </c>
      <c r="E926">
        <v>6.3884196031700426</v>
      </c>
      <c r="F926">
        <v>3.6115803968299569</v>
      </c>
      <c r="G926">
        <v>6.360450153908018</v>
      </c>
      <c r="H926">
        <v>3.6395498460919833</v>
      </c>
      <c r="I926">
        <v>301.81746165577624</v>
      </c>
      <c r="J926">
        <v>4.8623651946846165</v>
      </c>
      <c r="K926">
        <v>278.76519319558122</v>
      </c>
      <c r="L926">
        <v>4.4270968109911504</v>
      </c>
      <c r="M926">
        <v>350.49606000958744</v>
      </c>
      <c r="N926">
        <v>4.862967780291557</v>
      </c>
      <c r="O926">
        <v>327.58393960447739</v>
      </c>
      <c r="P926">
        <v>4.4276354862790148</v>
      </c>
    </row>
    <row r="927" spans="4:16" x14ac:dyDescent="0.55000000000000004">
      <c r="D927">
        <v>920</v>
      </c>
      <c r="E927">
        <v>5.9737665233634392</v>
      </c>
      <c r="F927">
        <v>4.0262334766365591</v>
      </c>
      <c r="G927">
        <v>6.6629257783004361</v>
      </c>
      <c r="H927">
        <v>3.337074221699563</v>
      </c>
      <c r="I927">
        <v>298.61108065948429</v>
      </c>
      <c r="J927">
        <v>4.8894384772887811</v>
      </c>
      <c r="K927">
        <v>276.10723512433935</v>
      </c>
      <c r="L927">
        <v>4.4519899044846003</v>
      </c>
      <c r="M927">
        <v>383.06013203408577</v>
      </c>
      <c r="N927">
        <v>4.8766836271756455</v>
      </c>
      <c r="O927">
        <v>356.97351453132814</v>
      </c>
      <c r="P927">
        <v>4.4405615849321922</v>
      </c>
    </row>
    <row r="928" spans="4:16" x14ac:dyDescent="0.55000000000000004">
      <c r="D928">
        <v>921</v>
      </c>
      <c r="E928">
        <v>7.3949808234699264</v>
      </c>
      <c r="F928">
        <v>2.6050191765300736</v>
      </c>
      <c r="G928">
        <v>7.1205555444442385</v>
      </c>
      <c r="H928">
        <v>2.8794444555557637</v>
      </c>
      <c r="I928">
        <v>349.41093571890252</v>
      </c>
      <c r="J928">
        <v>4.8634313145077561</v>
      </c>
      <c r="K928">
        <v>321.00022231340336</v>
      </c>
      <c r="L928">
        <v>4.4287550777565148</v>
      </c>
      <c r="M928">
        <v>386.44441209723703</v>
      </c>
      <c r="N928">
        <v>4.8684993330080122</v>
      </c>
      <c r="O928">
        <v>359.42390018733784</v>
      </c>
      <c r="P928">
        <v>4.4332797303474223</v>
      </c>
    </row>
    <row r="929" spans="4:16" x14ac:dyDescent="0.55000000000000004">
      <c r="D929">
        <v>922</v>
      </c>
      <c r="E929">
        <v>7.1198651156202946</v>
      </c>
      <c r="F929">
        <v>2.880134884379705</v>
      </c>
      <c r="G929">
        <v>6.8791315113601001</v>
      </c>
      <c r="H929">
        <v>3.1208684886399003</v>
      </c>
      <c r="I929">
        <v>346.34820961263864</v>
      </c>
      <c r="J929">
        <v>4.7468337998199317</v>
      </c>
      <c r="K929">
        <v>318.39058060852892</v>
      </c>
      <c r="L929">
        <v>4.3214889893466077</v>
      </c>
      <c r="M929">
        <v>384.63764326410018</v>
      </c>
      <c r="N929">
        <v>4.7553937389278369</v>
      </c>
      <c r="O929">
        <v>357.91039434320754</v>
      </c>
      <c r="P929">
        <v>4.3291495715593404</v>
      </c>
    </row>
    <row r="930" spans="4:16" x14ac:dyDescent="0.55000000000000004">
      <c r="D930">
        <v>923</v>
      </c>
      <c r="E930">
        <v>7.7203257481303842</v>
      </c>
      <c r="F930">
        <v>2.2796742518696158</v>
      </c>
      <c r="G930">
        <v>6.3498014289396911</v>
      </c>
      <c r="H930">
        <v>3.650198571060308</v>
      </c>
      <c r="I930">
        <v>377.59953636067945</v>
      </c>
      <c r="J930">
        <v>4.861614415891685</v>
      </c>
      <c r="K930">
        <v>346.57705630278178</v>
      </c>
      <c r="L930">
        <v>4.4272030934842839</v>
      </c>
      <c r="M930">
        <v>360.5674752299991</v>
      </c>
      <c r="N930">
        <v>4.8861808415365857</v>
      </c>
      <c r="O930">
        <v>336.75359142980585</v>
      </c>
      <c r="P930">
        <v>4.4491276572949818</v>
      </c>
    </row>
    <row r="931" spans="4:16" x14ac:dyDescent="0.55000000000000004">
      <c r="D931">
        <v>924</v>
      </c>
      <c r="E931">
        <v>6.2369264588296351</v>
      </c>
      <c r="F931">
        <v>3.7630735411703657</v>
      </c>
      <c r="G931">
        <v>6.0997652438104968</v>
      </c>
      <c r="H931">
        <v>3.9002347561895041</v>
      </c>
      <c r="I931">
        <v>311.44762386805877</v>
      </c>
      <c r="J931">
        <v>4.910468973630179</v>
      </c>
      <c r="K931">
        <v>287.75178969515173</v>
      </c>
      <c r="L931">
        <v>4.4715000728854895</v>
      </c>
      <c r="M931">
        <v>354.59833122583279</v>
      </c>
      <c r="N931">
        <v>4.9124379217073857</v>
      </c>
      <c r="O931">
        <v>331.61674255493131</v>
      </c>
      <c r="P931">
        <v>4.4732636986934802</v>
      </c>
    </row>
    <row r="932" spans="4:16" x14ac:dyDescent="0.55000000000000004">
      <c r="D932">
        <v>925</v>
      </c>
      <c r="E932">
        <v>6.7440905070517854</v>
      </c>
      <c r="F932">
        <v>3.2559094929482137</v>
      </c>
      <c r="G932">
        <v>6.413659866460673</v>
      </c>
      <c r="H932">
        <v>3.5863401335393252</v>
      </c>
      <c r="I932">
        <v>321.71932061222429</v>
      </c>
      <c r="J932">
        <v>4.8475578290848924</v>
      </c>
      <c r="K932">
        <v>296.28070103526761</v>
      </c>
      <c r="L932">
        <v>4.4138308811977396</v>
      </c>
      <c r="M932">
        <v>355.95649520392362</v>
      </c>
      <c r="N932">
        <v>4.8550268219959314</v>
      </c>
      <c r="O932">
        <v>332.15860840358482</v>
      </c>
      <c r="P932">
        <v>4.420522435980776</v>
      </c>
    </row>
    <row r="933" spans="4:16" x14ac:dyDescent="0.55000000000000004">
      <c r="D933">
        <v>926</v>
      </c>
      <c r="E933">
        <v>6.1466881091147716</v>
      </c>
      <c r="F933">
        <v>3.8533118908852293</v>
      </c>
      <c r="G933">
        <v>5.8414060348593084</v>
      </c>
      <c r="H933">
        <v>4.1585939651406916</v>
      </c>
      <c r="I933">
        <v>302.13920503999469</v>
      </c>
      <c r="J933">
        <v>4.8276096135221644</v>
      </c>
      <c r="K933">
        <v>279.33380302108776</v>
      </c>
      <c r="L933">
        <v>4.3948409230560239</v>
      </c>
      <c r="M933">
        <v>337.13312671112527</v>
      </c>
      <c r="N933">
        <v>4.8361715730410815</v>
      </c>
      <c r="O933">
        <v>315.88617987539158</v>
      </c>
      <c r="P933">
        <v>4.4025136808862699</v>
      </c>
    </row>
    <row r="934" spans="4:16" x14ac:dyDescent="0.55000000000000004">
      <c r="D934">
        <v>927</v>
      </c>
      <c r="E934">
        <v>5.8937846883730307</v>
      </c>
      <c r="F934">
        <v>4.1062153116269702</v>
      </c>
      <c r="G934">
        <v>5.2467747611799194</v>
      </c>
      <c r="H934">
        <v>4.7532252388200806</v>
      </c>
      <c r="I934">
        <v>296.57474798766941</v>
      </c>
      <c r="J934">
        <v>4.8324279988428351</v>
      </c>
      <c r="K934">
        <v>274.71286749727886</v>
      </c>
      <c r="L934">
        <v>4.3989998174681135</v>
      </c>
      <c r="M934">
        <v>314.01726306947035</v>
      </c>
      <c r="N934">
        <v>4.8508237757503609</v>
      </c>
      <c r="O934">
        <v>295.50144654761334</v>
      </c>
      <c r="P934">
        <v>4.4155049862270648</v>
      </c>
    </row>
    <row r="935" spans="4:16" x14ac:dyDescent="0.55000000000000004">
      <c r="D935">
        <v>928</v>
      </c>
      <c r="E935">
        <v>7.6923231642682453</v>
      </c>
      <c r="F935">
        <v>2.3076768357317503</v>
      </c>
      <c r="G935">
        <v>5.672039911825248</v>
      </c>
      <c r="H935">
        <v>4.327960088174752</v>
      </c>
      <c r="I935">
        <v>383.33191863250357</v>
      </c>
      <c r="J935">
        <v>4.8599315863311281</v>
      </c>
      <c r="K935">
        <v>351.66936188798712</v>
      </c>
      <c r="L935">
        <v>4.425720316585612</v>
      </c>
      <c r="M935">
        <v>332.65504393521428</v>
      </c>
      <c r="N935">
        <v>4.8967186354824106</v>
      </c>
      <c r="O935">
        <v>311.44087459506869</v>
      </c>
      <c r="P935">
        <v>4.4586895541277052</v>
      </c>
    </row>
    <row r="936" spans="4:16" x14ac:dyDescent="0.55000000000000004">
      <c r="D936">
        <v>929</v>
      </c>
      <c r="E936">
        <v>7.7845980466107587</v>
      </c>
      <c r="F936">
        <v>2.2154019533892417</v>
      </c>
      <c r="G936">
        <v>7.2797194433736827</v>
      </c>
      <c r="H936">
        <v>2.7202805566263195</v>
      </c>
      <c r="I936">
        <v>399.39567220803696</v>
      </c>
      <c r="J936">
        <v>4.7134160244880734</v>
      </c>
      <c r="K936">
        <v>366.391409846513</v>
      </c>
      <c r="L936">
        <v>4.2913173558732698</v>
      </c>
      <c r="M936">
        <v>423.49242994479386</v>
      </c>
      <c r="N936">
        <v>4.7320027410276104</v>
      </c>
      <c r="O936">
        <v>393.29269749787466</v>
      </c>
      <c r="P936">
        <v>4.3078916987485503</v>
      </c>
    </row>
    <row r="937" spans="4:16" x14ac:dyDescent="0.55000000000000004">
      <c r="D937">
        <v>930</v>
      </c>
      <c r="E937">
        <v>5.6326525456322525</v>
      </c>
      <c r="F937">
        <v>4.3673474543677475</v>
      </c>
      <c r="G937">
        <v>6.5092567871465885</v>
      </c>
      <c r="H937">
        <v>3.4907432128534137</v>
      </c>
      <c r="I937">
        <v>284.31961400774225</v>
      </c>
      <c r="J937">
        <v>4.8962176289916055</v>
      </c>
      <c r="K937">
        <v>263.34870915751367</v>
      </c>
      <c r="L937">
        <v>4.458091750911704</v>
      </c>
      <c r="M937">
        <v>378.56799921626549</v>
      </c>
      <c r="N937">
        <v>4.8800660794537389</v>
      </c>
      <c r="O937">
        <v>353.04550393157183</v>
      </c>
      <c r="P937">
        <v>4.4436016233225022</v>
      </c>
    </row>
    <row r="938" spans="4:16" x14ac:dyDescent="0.55000000000000004">
      <c r="D938">
        <v>931</v>
      </c>
      <c r="E938">
        <v>7.0753065402687954</v>
      </c>
      <c r="F938">
        <v>2.9246934597312055</v>
      </c>
      <c r="G938">
        <v>6.202691173091468</v>
      </c>
      <c r="H938">
        <v>3.7973088269085316</v>
      </c>
      <c r="I938">
        <v>357.38086349793218</v>
      </c>
      <c r="J938">
        <v>4.9114415443981621</v>
      </c>
      <c r="K938">
        <v>328.71621850876619</v>
      </c>
      <c r="L938">
        <v>4.472763921878812</v>
      </c>
      <c r="M938">
        <v>363.30418192258514</v>
      </c>
      <c r="N938">
        <v>4.9223636816669609</v>
      </c>
      <c r="O938">
        <v>339.2502492422351</v>
      </c>
      <c r="P938">
        <v>4.4825435313768267</v>
      </c>
    </row>
    <row r="939" spans="4:16" x14ac:dyDescent="0.55000000000000004">
      <c r="D939">
        <v>932</v>
      </c>
      <c r="E939">
        <v>6.9196511987972693</v>
      </c>
      <c r="F939">
        <v>3.080348801202732</v>
      </c>
      <c r="G939">
        <v>6.7237109518861367</v>
      </c>
      <c r="H939">
        <v>3.2762890481138616</v>
      </c>
      <c r="I939">
        <v>356.78476141790117</v>
      </c>
      <c r="J939">
        <v>4.8861465144307576</v>
      </c>
      <c r="K939">
        <v>328.34817258708614</v>
      </c>
      <c r="L939">
        <v>4.4494402267010642</v>
      </c>
      <c r="M939">
        <v>396.68186862201804</v>
      </c>
      <c r="N939">
        <v>4.8893704457292024</v>
      </c>
      <c r="O939">
        <v>369.30792103563016</v>
      </c>
      <c r="P939">
        <v>4.4523250588487846</v>
      </c>
    </row>
    <row r="940" spans="4:16" x14ac:dyDescent="0.55000000000000004">
      <c r="D940">
        <v>933</v>
      </c>
      <c r="E940">
        <v>6.5777424790073358</v>
      </c>
      <c r="F940">
        <v>3.422257520992666</v>
      </c>
      <c r="G940">
        <v>5.4144536653389581</v>
      </c>
      <c r="H940">
        <v>4.5855463346610428</v>
      </c>
      <c r="I940">
        <v>285.08433227584175</v>
      </c>
      <c r="J940">
        <v>4.7870510113595053</v>
      </c>
      <c r="K940">
        <v>263.04055235012419</v>
      </c>
      <c r="L940">
        <v>4.3577363388158581</v>
      </c>
      <c r="M940">
        <v>284.66651556334358</v>
      </c>
      <c r="N940">
        <v>4.824711527434447</v>
      </c>
      <c r="O940">
        <v>267.87187986464187</v>
      </c>
      <c r="P940">
        <v>4.3914759100060081</v>
      </c>
    </row>
    <row r="941" spans="4:16" x14ac:dyDescent="0.55000000000000004">
      <c r="D941">
        <v>934</v>
      </c>
      <c r="E941">
        <v>6.3682560506010875</v>
      </c>
      <c r="F941">
        <v>3.6317439493989134</v>
      </c>
      <c r="G941">
        <v>6.9328456233122235</v>
      </c>
      <c r="H941">
        <v>3.0671543766877747</v>
      </c>
      <c r="I941">
        <v>323.39178054782712</v>
      </c>
      <c r="J941">
        <v>4.862878302996628</v>
      </c>
      <c r="K941">
        <v>298.29743110175741</v>
      </c>
      <c r="L941">
        <v>4.4277379054700727</v>
      </c>
      <c r="M941">
        <v>402.06267973074523</v>
      </c>
      <c r="N941">
        <v>4.8507215241696748</v>
      </c>
      <c r="O941">
        <v>373.97538020950242</v>
      </c>
      <c r="P941">
        <v>4.4168501706264234</v>
      </c>
    </row>
    <row r="942" spans="4:16" x14ac:dyDescent="0.55000000000000004">
      <c r="D942">
        <v>935</v>
      </c>
      <c r="E942">
        <v>6.6651635082519602</v>
      </c>
      <c r="F942">
        <v>3.3348364917480389</v>
      </c>
      <c r="G942">
        <v>5.3368844243585452</v>
      </c>
      <c r="H942">
        <v>4.6631155756414548</v>
      </c>
      <c r="I942">
        <v>339.73015106361407</v>
      </c>
      <c r="J942">
        <v>4.9349645043869188</v>
      </c>
      <c r="K942">
        <v>313.23979943811185</v>
      </c>
      <c r="L942">
        <v>4.4942549470430677</v>
      </c>
      <c r="M942">
        <v>322.02641757424652</v>
      </c>
      <c r="N942">
        <v>4.9479252199682477</v>
      </c>
      <c r="O942">
        <v>302.53617827302128</v>
      </c>
      <c r="P942">
        <v>4.5058756114898966</v>
      </c>
    </row>
    <row r="943" spans="4:16" x14ac:dyDescent="0.55000000000000004">
      <c r="D943">
        <v>936</v>
      </c>
      <c r="E943">
        <v>6.0285759153523317</v>
      </c>
      <c r="F943">
        <v>3.9714240846476692</v>
      </c>
      <c r="G943">
        <v>6.8611639125634154</v>
      </c>
      <c r="H943">
        <v>3.1388360874365846</v>
      </c>
      <c r="I943">
        <v>291.03808220781065</v>
      </c>
      <c r="J943">
        <v>4.8784920901657456</v>
      </c>
      <c r="K943">
        <v>268.97697543499169</v>
      </c>
      <c r="L943">
        <v>4.4419218854901308</v>
      </c>
      <c r="M943">
        <v>381.23245271585688</v>
      </c>
      <c r="N943">
        <v>4.8617110080802446</v>
      </c>
      <c r="O943">
        <v>354.98311863130306</v>
      </c>
      <c r="P943">
        <v>4.4268893812632335</v>
      </c>
    </row>
    <row r="944" spans="4:16" x14ac:dyDescent="0.55000000000000004">
      <c r="D944">
        <v>937</v>
      </c>
      <c r="E944">
        <v>6.0971091162202864</v>
      </c>
      <c r="F944">
        <v>3.9028908837797145</v>
      </c>
      <c r="G944">
        <v>6.9615359680878299</v>
      </c>
      <c r="H944">
        <v>3.0384640319121701</v>
      </c>
      <c r="I944">
        <v>306.78562131000348</v>
      </c>
      <c r="J944">
        <v>4.8470263630499524</v>
      </c>
      <c r="K944">
        <v>283.30402100838108</v>
      </c>
      <c r="L944">
        <v>4.4129543996832954</v>
      </c>
      <c r="M944">
        <v>400.2806160316386</v>
      </c>
      <c r="N944">
        <v>4.8253382946741246</v>
      </c>
      <c r="O944">
        <v>372.28624334538733</v>
      </c>
      <c r="P944">
        <v>4.3935165515148444</v>
      </c>
    </row>
    <row r="945" spans="4:16" x14ac:dyDescent="0.55000000000000004">
      <c r="D945">
        <v>938</v>
      </c>
      <c r="E945">
        <v>6.3128379400859034</v>
      </c>
      <c r="F945">
        <v>3.6871620599140993</v>
      </c>
      <c r="G945">
        <v>4.3437354256183074</v>
      </c>
      <c r="H945">
        <v>5.6562645743816944</v>
      </c>
      <c r="I945">
        <v>303.4304332143289</v>
      </c>
      <c r="J945">
        <v>4.8341853711811673</v>
      </c>
      <c r="K945">
        <v>280.48272825994133</v>
      </c>
      <c r="L945">
        <v>4.4009448482291207</v>
      </c>
      <c r="M945">
        <v>258.78431134664214</v>
      </c>
      <c r="N945">
        <v>4.8859063254716917</v>
      </c>
      <c r="O945">
        <v>245.4588051817569</v>
      </c>
      <c r="P945">
        <v>4.4474075912591564</v>
      </c>
    </row>
    <row r="946" spans="4:16" x14ac:dyDescent="0.55000000000000004">
      <c r="D946">
        <v>939</v>
      </c>
      <c r="E946">
        <v>6.9652548508219878</v>
      </c>
      <c r="F946">
        <v>3.0347451491780113</v>
      </c>
      <c r="G946">
        <v>5.2272267978672371</v>
      </c>
      <c r="H946">
        <v>4.7727732021327629</v>
      </c>
      <c r="I946">
        <v>337.03991807205011</v>
      </c>
      <c r="J946">
        <v>4.8301202082587844</v>
      </c>
      <c r="K946">
        <v>310.43673265477298</v>
      </c>
      <c r="L946">
        <v>4.3977484554338053</v>
      </c>
      <c r="M946">
        <v>302.93892749513475</v>
      </c>
      <c r="N946">
        <v>4.8725100202613572</v>
      </c>
      <c r="O946">
        <v>285.14080550612903</v>
      </c>
      <c r="P946">
        <v>4.4357002105141614</v>
      </c>
    </row>
    <row r="947" spans="4:16" x14ac:dyDescent="0.55000000000000004">
      <c r="D947">
        <v>940</v>
      </c>
      <c r="E947">
        <v>5.6873474367595103</v>
      </c>
      <c r="F947">
        <v>4.3126525632404906</v>
      </c>
      <c r="G947">
        <v>5.4945160060552212</v>
      </c>
      <c r="H947">
        <v>4.5054839939447788</v>
      </c>
      <c r="I947">
        <v>280.32229708491508</v>
      </c>
      <c r="J947">
        <v>4.9262342035379607</v>
      </c>
      <c r="K947">
        <v>259.53690685580949</v>
      </c>
      <c r="L947">
        <v>4.4859231239916086</v>
      </c>
      <c r="M947">
        <v>320.81787517184205</v>
      </c>
      <c r="N947">
        <v>4.9287352577160259</v>
      </c>
      <c r="O947">
        <v>300.98492824643256</v>
      </c>
      <c r="P947">
        <v>4.4881735461663945</v>
      </c>
    </row>
    <row r="948" spans="4:16" x14ac:dyDescent="0.55000000000000004">
      <c r="D948">
        <v>941</v>
      </c>
      <c r="E948">
        <v>6.5106444361148146</v>
      </c>
      <c r="F948">
        <v>3.4893555638851845</v>
      </c>
      <c r="G948">
        <v>5.775124717032238</v>
      </c>
      <c r="H948">
        <v>4.2248752829677603</v>
      </c>
      <c r="I948">
        <v>324.95598047392207</v>
      </c>
      <c r="J948">
        <v>4.6886321038577217</v>
      </c>
      <c r="K948">
        <v>299.96072022600987</v>
      </c>
      <c r="L948">
        <v>4.2668015038023883</v>
      </c>
      <c r="M948">
        <v>338.24509358435779</v>
      </c>
      <c r="N948">
        <v>4.7238079193624865</v>
      </c>
      <c r="O948">
        <v>317.10782166781087</v>
      </c>
      <c r="P948">
        <v>4.2982806533515783</v>
      </c>
    </row>
    <row r="949" spans="4:16" x14ac:dyDescent="0.55000000000000004">
      <c r="D949">
        <v>942</v>
      </c>
      <c r="E949">
        <v>7.0778828402857012</v>
      </c>
      <c r="F949">
        <v>2.9221171597143001</v>
      </c>
      <c r="G949">
        <v>7.0329830080479869</v>
      </c>
      <c r="H949">
        <v>2.9670169919520135</v>
      </c>
      <c r="I949">
        <v>347.40389736636439</v>
      </c>
      <c r="J949">
        <v>4.9545174996402146</v>
      </c>
      <c r="K949">
        <v>319.6544288316436</v>
      </c>
      <c r="L949">
        <v>4.512369810933575</v>
      </c>
      <c r="M949">
        <v>395.20007779736898</v>
      </c>
      <c r="N949">
        <v>4.9548060261222133</v>
      </c>
      <c r="O949">
        <v>367.68701814727416</v>
      </c>
      <c r="P949">
        <v>4.5126273865043656</v>
      </c>
    </row>
    <row r="950" spans="4:16" x14ac:dyDescent="0.55000000000000004">
      <c r="D950">
        <v>943</v>
      </c>
      <c r="E950">
        <v>6.2974793386029466</v>
      </c>
      <c r="F950">
        <v>3.7025206613970529</v>
      </c>
      <c r="G950">
        <v>6.4315497421132868</v>
      </c>
      <c r="H950">
        <v>3.5684502578867137</v>
      </c>
      <c r="I950">
        <v>304.05149862063018</v>
      </c>
      <c r="J950">
        <v>4.7941017681716724</v>
      </c>
      <c r="K950">
        <v>280.73338606293754</v>
      </c>
      <c r="L950">
        <v>4.3641116969125662</v>
      </c>
      <c r="M950">
        <v>360.52461348392308</v>
      </c>
      <c r="N950">
        <v>4.7897182906659861</v>
      </c>
      <c r="O950">
        <v>336.53043462308</v>
      </c>
      <c r="P950">
        <v>4.3601860394046401</v>
      </c>
    </row>
    <row r="951" spans="4:16" x14ac:dyDescent="0.55000000000000004">
      <c r="D951">
        <v>944</v>
      </c>
      <c r="E951">
        <v>7.5663253504964532</v>
      </c>
      <c r="F951">
        <v>2.4336746495035491</v>
      </c>
      <c r="G951">
        <v>5.0501760382734195</v>
      </c>
      <c r="H951">
        <v>4.9498239617265796</v>
      </c>
      <c r="I951">
        <v>344.72200422775182</v>
      </c>
      <c r="J951">
        <v>4.815246253277623</v>
      </c>
      <c r="K951">
        <v>316.43227774181821</v>
      </c>
      <c r="L951">
        <v>4.3846274515992372</v>
      </c>
      <c r="M951">
        <v>280.08616798408673</v>
      </c>
      <c r="N951">
        <v>4.8766853259069318</v>
      </c>
      <c r="O951">
        <v>263.54006685358848</v>
      </c>
      <c r="P951">
        <v>4.4397725286091454</v>
      </c>
    </row>
    <row r="952" spans="4:16" x14ac:dyDescent="0.55000000000000004">
      <c r="D952">
        <v>945</v>
      </c>
      <c r="E952">
        <v>6.5790836192202038</v>
      </c>
      <c r="F952">
        <v>3.4209163807797984</v>
      </c>
      <c r="G952">
        <v>6.5542866207395178</v>
      </c>
      <c r="H952">
        <v>3.4457133792604839</v>
      </c>
      <c r="I952">
        <v>334.09941762289679</v>
      </c>
      <c r="J952">
        <v>4.8892983751625776</v>
      </c>
      <c r="K952">
        <v>308.01899758989919</v>
      </c>
      <c r="L952">
        <v>4.4521592696129897</v>
      </c>
      <c r="M952">
        <v>382.84017496378397</v>
      </c>
      <c r="N952">
        <v>4.8897156168609328</v>
      </c>
      <c r="O952">
        <v>356.89186033716834</v>
      </c>
      <c r="P952">
        <v>4.4525327390616356</v>
      </c>
    </row>
    <row r="953" spans="4:16" x14ac:dyDescent="0.55000000000000004">
      <c r="D953">
        <v>946</v>
      </c>
      <c r="E953">
        <v>6.5235827113223728</v>
      </c>
      <c r="F953">
        <v>3.4764172886776294</v>
      </c>
      <c r="G953">
        <v>6.4386111624018199</v>
      </c>
      <c r="H953">
        <v>3.561388837598177</v>
      </c>
      <c r="I953">
        <v>327.09050592109975</v>
      </c>
      <c r="J953">
        <v>4.7570255578834741</v>
      </c>
      <c r="K953">
        <v>301.72109922743363</v>
      </c>
      <c r="L953">
        <v>4.3300901743421329</v>
      </c>
      <c r="M953">
        <v>372.83005761298159</v>
      </c>
      <c r="N953">
        <v>4.760190370166594</v>
      </c>
      <c r="O953">
        <v>347.90875388067946</v>
      </c>
      <c r="P953">
        <v>4.3329221198343273</v>
      </c>
    </row>
    <row r="954" spans="4:16" x14ac:dyDescent="0.55000000000000004">
      <c r="D954">
        <v>947</v>
      </c>
      <c r="E954">
        <v>5.7326938015028723</v>
      </c>
      <c r="F954">
        <v>4.2673061984971259</v>
      </c>
      <c r="G954">
        <v>7.1122119691370926</v>
      </c>
      <c r="H954">
        <v>2.8877880308629091</v>
      </c>
      <c r="I954">
        <v>288.26046165815245</v>
      </c>
      <c r="J954">
        <v>4.9135430249132437</v>
      </c>
      <c r="K954">
        <v>267.04488306964299</v>
      </c>
      <c r="L954">
        <v>4.474125461242096</v>
      </c>
      <c r="M954">
        <v>407.62759648816888</v>
      </c>
      <c r="N954">
        <v>4.8927379772374717</v>
      </c>
      <c r="O954">
        <v>379.0986347706546</v>
      </c>
      <c r="P954">
        <v>4.4555138915734958</v>
      </c>
    </row>
    <row r="955" spans="4:16" x14ac:dyDescent="0.55000000000000004">
      <c r="D955">
        <v>948</v>
      </c>
      <c r="E955">
        <v>6.6676170104519681</v>
      </c>
      <c r="F955">
        <v>3.3323829895480306</v>
      </c>
      <c r="G955">
        <v>6.4711285173482178</v>
      </c>
      <c r="H955">
        <v>3.5288714826517844</v>
      </c>
      <c r="I955">
        <v>331.19310923716472</v>
      </c>
      <c r="J955">
        <v>4.9469914180099224</v>
      </c>
      <c r="K955">
        <v>305.18005063872761</v>
      </c>
      <c r="L955">
        <v>4.5053742167393489</v>
      </c>
      <c r="M955">
        <v>371.43315528984806</v>
      </c>
      <c r="N955">
        <v>4.9485535317876757</v>
      </c>
      <c r="O955">
        <v>346.44117877204525</v>
      </c>
      <c r="P955">
        <v>4.5067729028621173</v>
      </c>
    </row>
    <row r="956" spans="4:16" x14ac:dyDescent="0.55000000000000004">
      <c r="D956">
        <v>949</v>
      </c>
      <c r="E956">
        <v>7.150949436737811</v>
      </c>
      <c r="F956">
        <v>2.8490505632621863</v>
      </c>
      <c r="G956">
        <v>7.0784125242719274</v>
      </c>
      <c r="H956">
        <v>2.92158747572807</v>
      </c>
      <c r="I956">
        <v>389.30871298685707</v>
      </c>
      <c r="J956">
        <v>4.7292818943365145</v>
      </c>
      <c r="K956">
        <v>358.07071626545201</v>
      </c>
      <c r="L956">
        <v>4.3052235420202392</v>
      </c>
      <c r="M956">
        <v>435.35969163158711</v>
      </c>
      <c r="N956">
        <v>4.7320279710228572</v>
      </c>
      <c r="O956">
        <v>404.545211241331</v>
      </c>
      <c r="P956">
        <v>4.307675113253552</v>
      </c>
    </row>
    <row r="957" spans="4:16" x14ac:dyDescent="0.55000000000000004">
      <c r="D957">
        <v>950</v>
      </c>
      <c r="E957">
        <v>6.7567493388898372</v>
      </c>
      <c r="F957">
        <v>3.2432506611101637</v>
      </c>
      <c r="G957">
        <v>6.9614387550274275</v>
      </c>
      <c r="H957">
        <v>3.0385612449725734</v>
      </c>
      <c r="I957">
        <v>322.51774353556726</v>
      </c>
      <c r="J957">
        <v>4.7172804415850242</v>
      </c>
      <c r="K957">
        <v>296.88859404091676</v>
      </c>
      <c r="L957">
        <v>4.2939663144677249</v>
      </c>
      <c r="M957">
        <v>382.28811761742651</v>
      </c>
      <c r="N957">
        <v>4.7087157163835798</v>
      </c>
      <c r="O957">
        <v>355.63885054350101</v>
      </c>
      <c r="P957">
        <v>4.2862958259317807</v>
      </c>
    </row>
    <row r="958" spans="4:16" x14ac:dyDescent="0.55000000000000004">
      <c r="D958">
        <v>951</v>
      </c>
      <c r="E958">
        <v>7.3139698981917824</v>
      </c>
      <c r="F958">
        <v>2.686030101808218</v>
      </c>
      <c r="G958">
        <v>5.9078491158821782</v>
      </c>
      <c r="H958">
        <v>4.0921508841178218</v>
      </c>
      <c r="I958">
        <v>360.37434117485037</v>
      </c>
      <c r="J958">
        <v>4.7182940096172876</v>
      </c>
      <c r="K958">
        <v>331.30663687536884</v>
      </c>
      <c r="L958">
        <v>4.2952356647521537</v>
      </c>
      <c r="M958">
        <v>341.09187794481068</v>
      </c>
      <c r="N958">
        <v>4.7724523741022393</v>
      </c>
      <c r="O958">
        <v>319.35943888913607</v>
      </c>
      <c r="P958">
        <v>4.343660024553281</v>
      </c>
    </row>
    <row r="959" spans="4:16" x14ac:dyDescent="0.55000000000000004">
      <c r="D959">
        <v>952</v>
      </c>
      <c r="E959">
        <v>6.3808649196868137</v>
      </c>
      <c r="F959">
        <v>3.6191350803131872</v>
      </c>
      <c r="G959">
        <v>6.585181405258969</v>
      </c>
      <c r="H959">
        <v>3.4148185947410297</v>
      </c>
      <c r="I959">
        <v>341.77684034251371</v>
      </c>
      <c r="J959">
        <v>4.7698235962099904</v>
      </c>
      <c r="K959">
        <v>315.39261643058416</v>
      </c>
      <c r="L959">
        <v>4.3418118963742884</v>
      </c>
      <c r="M959">
        <v>402.72059855518012</v>
      </c>
      <c r="N959">
        <v>4.7624533048034268</v>
      </c>
      <c r="O959">
        <v>375.19120500458797</v>
      </c>
      <c r="P959">
        <v>4.3352128422139122</v>
      </c>
    </row>
    <row r="960" spans="4:16" x14ac:dyDescent="0.55000000000000004">
      <c r="D960">
        <v>953</v>
      </c>
      <c r="E960">
        <v>6.4131661775248769</v>
      </c>
      <c r="F960">
        <v>3.5868338224751226</v>
      </c>
      <c r="G960">
        <v>5.6316749916377393</v>
      </c>
      <c r="H960">
        <v>4.3683250083622607</v>
      </c>
      <c r="I960">
        <v>319.83810071439746</v>
      </c>
      <c r="J960">
        <v>4.8002272537513226</v>
      </c>
      <c r="K960">
        <v>295.29623195678795</v>
      </c>
      <c r="L960">
        <v>4.3697755687052187</v>
      </c>
      <c r="M960">
        <v>330.86348978116706</v>
      </c>
      <c r="N960">
        <v>4.8245710234357793</v>
      </c>
      <c r="O960">
        <v>310.37154771098392</v>
      </c>
      <c r="P960">
        <v>4.3915897305204261</v>
      </c>
    </row>
    <row r="961" spans="4:16" x14ac:dyDescent="0.55000000000000004">
      <c r="D961">
        <v>954</v>
      </c>
      <c r="E961">
        <v>6.8597661670330989</v>
      </c>
      <c r="F961">
        <v>3.1402338329669002</v>
      </c>
      <c r="G961">
        <v>6.5481762512223947</v>
      </c>
      <c r="H961">
        <v>3.4518237487776053</v>
      </c>
      <c r="I961">
        <v>376.17532425233429</v>
      </c>
      <c r="J961">
        <v>4.853013729935082</v>
      </c>
      <c r="K961">
        <v>346.59674421210173</v>
      </c>
      <c r="L961">
        <v>4.4187905472123301</v>
      </c>
      <c r="M961">
        <v>409.08838065108557</v>
      </c>
      <c r="N961">
        <v>4.8596902606505115</v>
      </c>
      <c r="O961">
        <v>381.33761134777461</v>
      </c>
      <c r="P961">
        <v>4.424752881473915</v>
      </c>
    </row>
    <row r="962" spans="4:16" x14ac:dyDescent="0.55000000000000004">
      <c r="D962">
        <v>955</v>
      </c>
      <c r="E962">
        <v>6.7494746380518107</v>
      </c>
      <c r="F962">
        <v>3.2505253619481893</v>
      </c>
      <c r="G962">
        <v>6.3445397983242131</v>
      </c>
      <c r="H962">
        <v>3.655460201675786</v>
      </c>
      <c r="I962">
        <v>325.12586522750252</v>
      </c>
      <c r="J962">
        <v>4.821158165581914</v>
      </c>
      <c r="K962">
        <v>299.50597571584666</v>
      </c>
      <c r="L962">
        <v>4.3894702067151083</v>
      </c>
      <c r="M962">
        <v>355.61993370137185</v>
      </c>
      <c r="N962">
        <v>4.8318877843211858</v>
      </c>
      <c r="O962">
        <v>332.04210859302322</v>
      </c>
      <c r="P962">
        <v>4.3990765480318599</v>
      </c>
    </row>
    <row r="963" spans="4:16" x14ac:dyDescent="0.55000000000000004">
      <c r="D963">
        <v>956</v>
      </c>
      <c r="E963">
        <v>6.4509866528064848</v>
      </c>
      <c r="F963">
        <v>3.5490133471935148</v>
      </c>
      <c r="G963">
        <v>5.2216467589399409</v>
      </c>
      <c r="H963">
        <v>4.7783532410600591</v>
      </c>
      <c r="I963">
        <v>325.342541328994</v>
      </c>
      <c r="J963">
        <v>4.8296051664781583</v>
      </c>
      <c r="K963">
        <v>300.16903166405643</v>
      </c>
      <c r="L963">
        <v>4.3970088554360514</v>
      </c>
      <c r="M963">
        <v>313.34325552150329</v>
      </c>
      <c r="N963">
        <v>4.8620766592638418</v>
      </c>
      <c r="O963">
        <v>294.4804791939506</v>
      </c>
      <c r="P963">
        <v>4.4261751660834507</v>
      </c>
    </row>
    <row r="964" spans="4:16" x14ac:dyDescent="0.55000000000000004">
      <c r="D964">
        <v>957</v>
      </c>
      <c r="E964">
        <v>7.2308658506209955</v>
      </c>
      <c r="F964">
        <v>2.7691341493790076</v>
      </c>
      <c r="G964">
        <v>6.7308152761670943</v>
      </c>
      <c r="H964">
        <v>3.2691847238329079</v>
      </c>
      <c r="I964">
        <v>379.68402927490905</v>
      </c>
      <c r="J964">
        <v>4.9124213411918252</v>
      </c>
      <c r="K964">
        <v>348.77964534943055</v>
      </c>
      <c r="L964">
        <v>4.4737691270210806</v>
      </c>
      <c r="M964">
        <v>403.42697778589758</v>
      </c>
      <c r="N964">
        <v>4.918477843905559</v>
      </c>
      <c r="O964">
        <v>375.25607834081313</v>
      </c>
      <c r="P964">
        <v>4.479195118872604</v>
      </c>
    </row>
    <row r="965" spans="4:16" x14ac:dyDescent="0.55000000000000004">
      <c r="D965">
        <v>958</v>
      </c>
      <c r="E965">
        <v>6.2860271247371315</v>
      </c>
      <c r="F965">
        <v>3.7139728752628693</v>
      </c>
      <c r="G965">
        <v>6.7784883643540077</v>
      </c>
      <c r="H965">
        <v>3.221511635645991</v>
      </c>
      <c r="I965">
        <v>295.00728035843821</v>
      </c>
      <c r="J965">
        <v>4.7497850796961112</v>
      </c>
      <c r="K965">
        <v>272.31685009327367</v>
      </c>
      <c r="L965">
        <v>4.3232496342441804</v>
      </c>
      <c r="M965">
        <v>368.11880184863475</v>
      </c>
      <c r="N965">
        <v>4.7301826905593254</v>
      </c>
      <c r="O965">
        <v>343.01104699657594</v>
      </c>
      <c r="P965">
        <v>4.3056975357921647</v>
      </c>
    </row>
    <row r="966" spans="4:16" x14ac:dyDescent="0.55000000000000004">
      <c r="D966">
        <v>959</v>
      </c>
      <c r="E966">
        <v>6.754469972725035</v>
      </c>
      <c r="F966">
        <v>3.245530027274965</v>
      </c>
      <c r="G966">
        <v>6.539197370537261</v>
      </c>
      <c r="H966">
        <v>3.4608026294627403</v>
      </c>
      <c r="I966">
        <v>321.1505438798311</v>
      </c>
      <c r="J966">
        <v>4.9324725950752999</v>
      </c>
      <c r="K966">
        <v>295.78196513371518</v>
      </c>
      <c r="L966">
        <v>4.4920260938104501</v>
      </c>
      <c r="M966">
        <v>360.91511259444508</v>
      </c>
      <c r="N966">
        <v>4.9346247698922481</v>
      </c>
      <c r="O966">
        <v>336.61793516772616</v>
      </c>
      <c r="P966">
        <v>4.4939529881410012</v>
      </c>
    </row>
    <row r="967" spans="4:16" x14ac:dyDescent="0.55000000000000004">
      <c r="D967">
        <v>960</v>
      </c>
      <c r="E967">
        <v>6.3828581086860297</v>
      </c>
      <c r="F967">
        <v>3.6171418913139703</v>
      </c>
      <c r="G967">
        <v>5.8152094815768161</v>
      </c>
      <c r="H967">
        <v>4.1847905184231839</v>
      </c>
      <c r="I967">
        <v>311.33643351961001</v>
      </c>
      <c r="J967">
        <v>4.7803714253752467</v>
      </c>
      <c r="K967">
        <v>287.25832525633814</v>
      </c>
      <c r="L967">
        <v>4.3515763600907871</v>
      </c>
      <c r="M967">
        <v>333.64825746318382</v>
      </c>
      <c r="N967">
        <v>4.7999037190181255</v>
      </c>
      <c r="O967">
        <v>312.41067192247414</v>
      </c>
      <c r="P967">
        <v>4.3691048408496664</v>
      </c>
    </row>
    <row r="968" spans="4:16" x14ac:dyDescent="0.55000000000000004">
      <c r="D968">
        <v>961</v>
      </c>
      <c r="E968">
        <v>5.3951930866915507</v>
      </c>
      <c r="F968">
        <v>4.604806913308451</v>
      </c>
      <c r="G968">
        <v>6.7628823571276815</v>
      </c>
      <c r="H968">
        <v>3.2371176428723212</v>
      </c>
      <c r="I968">
        <v>277.27930040663404</v>
      </c>
      <c r="J968">
        <v>4.8597108467809882</v>
      </c>
      <c r="K968">
        <v>257.50366227379703</v>
      </c>
      <c r="L968">
        <v>4.4239356292196357</v>
      </c>
      <c r="M968">
        <v>397.5700051110959</v>
      </c>
      <c r="N968">
        <v>4.8241473430225197</v>
      </c>
      <c r="O968">
        <v>370.43669503218086</v>
      </c>
      <c r="P968">
        <v>4.3920947313876288</v>
      </c>
    </row>
    <row r="969" spans="4:16" x14ac:dyDescent="0.55000000000000004">
      <c r="D969">
        <v>962</v>
      </c>
      <c r="E969">
        <v>7.4098231651971833</v>
      </c>
      <c r="F969">
        <v>2.5901768348028162</v>
      </c>
      <c r="G969">
        <v>6.8627585560900757</v>
      </c>
      <c r="H969">
        <v>3.137241443909927</v>
      </c>
      <c r="I969">
        <v>384.92772733967689</v>
      </c>
      <c r="J969">
        <v>4.6849802623978078</v>
      </c>
      <c r="K969">
        <v>353.59672933906631</v>
      </c>
      <c r="L969">
        <v>4.2648404552238119</v>
      </c>
      <c r="M969">
        <v>406.50865012328239</v>
      </c>
      <c r="N969">
        <v>4.7082380575934888</v>
      </c>
      <c r="O969">
        <v>378.20883909317405</v>
      </c>
      <c r="P969">
        <v>4.2856175672775692</v>
      </c>
    </row>
    <row r="970" spans="4:16" x14ac:dyDescent="0.55000000000000004">
      <c r="D970">
        <v>963</v>
      </c>
      <c r="E970">
        <v>7.6222575190628259</v>
      </c>
      <c r="F970">
        <v>2.3777424809371763</v>
      </c>
      <c r="G970">
        <v>6.4100315025299395</v>
      </c>
      <c r="H970">
        <v>3.5899684974700605</v>
      </c>
      <c r="I970">
        <v>398.46055508466509</v>
      </c>
      <c r="J970">
        <v>4.7755255381668782</v>
      </c>
      <c r="K970">
        <v>365.66936460484021</v>
      </c>
      <c r="L970">
        <v>4.3482179162440042</v>
      </c>
      <c r="M970">
        <v>385.09031992431397</v>
      </c>
      <c r="N970">
        <v>4.8112254318008549</v>
      </c>
      <c r="O970">
        <v>358.98763581842894</v>
      </c>
      <c r="P970">
        <v>4.3801498111398409</v>
      </c>
    </row>
    <row r="971" spans="4:16" x14ac:dyDescent="0.55000000000000004">
      <c r="D971">
        <v>964</v>
      </c>
      <c r="E971">
        <v>6.2522042625213237</v>
      </c>
      <c r="F971">
        <v>3.747795737478675</v>
      </c>
      <c r="G971">
        <v>6.1142424407178568</v>
      </c>
      <c r="H971">
        <v>3.8857575592821414</v>
      </c>
      <c r="I971">
        <v>298.57298813941674</v>
      </c>
      <c r="J971">
        <v>4.894454731539259</v>
      </c>
      <c r="K971">
        <v>275.75751803821288</v>
      </c>
      <c r="L971">
        <v>4.4567392989568937</v>
      </c>
      <c r="M971">
        <v>341.98464398822807</v>
      </c>
      <c r="N971">
        <v>4.8967837049553813</v>
      </c>
      <c r="O971">
        <v>319.85297927332977</v>
      </c>
      <c r="P971">
        <v>4.4588265478167441</v>
      </c>
    </row>
    <row r="972" spans="4:16" x14ac:dyDescent="0.55000000000000004">
      <c r="D972">
        <v>965</v>
      </c>
      <c r="E972">
        <v>7.3608812077005403</v>
      </c>
      <c r="F972">
        <v>2.6391187922994579</v>
      </c>
      <c r="G972">
        <v>5.6771500378233863</v>
      </c>
      <c r="H972">
        <v>4.3228499621766119</v>
      </c>
      <c r="I972">
        <v>374.07454219242135</v>
      </c>
      <c r="J972">
        <v>4.7618389381340149</v>
      </c>
      <c r="K972">
        <v>343.93569137825051</v>
      </c>
      <c r="L972">
        <v>4.3352466819235671</v>
      </c>
      <c r="M972">
        <v>338.50856866631659</v>
      </c>
      <c r="N972">
        <v>4.8163160030396801</v>
      </c>
      <c r="O972">
        <v>317.47813200658072</v>
      </c>
      <c r="P972">
        <v>4.3839247165765416</v>
      </c>
    </row>
    <row r="973" spans="4:16" x14ac:dyDescent="0.55000000000000004">
      <c r="D973">
        <v>966</v>
      </c>
      <c r="E973">
        <v>6.8612630279169764</v>
      </c>
      <c r="F973">
        <v>3.1387369720830245</v>
      </c>
      <c r="G973">
        <v>6.280919934485885</v>
      </c>
      <c r="H973">
        <v>3.7190800655141167</v>
      </c>
      <c r="I973">
        <v>361.87466698895503</v>
      </c>
      <c r="J973">
        <v>4.7901425373148516</v>
      </c>
      <c r="K973">
        <v>333.16775055890963</v>
      </c>
      <c r="L973">
        <v>4.361009501706544</v>
      </c>
      <c r="M973">
        <v>381.26638644057408</v>
      </c>
      <c r="N973">
        <v>4.8078928157371728</v>
      </c>
      <c r="O973">
        <v>355.75932758609173</v>
      </c>
      <c r="P973">
        <v>4.3769041266305173</v>
      </c>
    </row>
    <row r="974" spans="4:16" x14ac:dyDescent="0.55000000000000004">
      <c r="D974">
        <v>967</v>
      </c>
      <c r="E974">
        <v>5.8220526741641647</v>
      </c>
      <c r="F974">
        <v>4.1779473258358344</v>
      </c>
      <c r="G974">
        <v>6.2338284109513324</v>
      </c>
      <c r="H974">
        <v>3.7661715890486693</v>
      </c>
      <c r="I974">
        <v>289.37264200728623</v>
      </c>
      <c r="J974">
        <v>4.9351090427680395</v>
      </c>
      <c r="K974">
        <v>267.9329968449839</v>
      </c>
      <c r="L974">
        <v>4.49413613999638</v>
      </c>
      <c r="M974">
        <v>359.83907189675915</v>
      </c>
      <c r="N974">
        <v>4.930519506530489</v>
      </c>
      <c r="O974">
        <v>336.27760948568988</v>
      </c>
      <c r="P974">
        <v>4.4900224149875214</v>
      </c>
    </row>
    <row r="975" spans="4:16" x14ac:dyDescent="0.55000000000000004">
      <c r="D975">
        <v>968</v>
      </c>
      <c r="E975">
        <v>6.9450543354419549</v>
      </c>
      <c r="F975">
        <v>3.0549456645580455</v>
      </c>
      <c r="G975">
        <v>5.2617235113957879</v>
      </c>
      <c r="H975">
        <v>4.7382764886042121</v>
      </c>
      <c r="I975">
        <v>346.18572076536782</v>
      </c>
      <c r="J975">
        <v>4.81615826966285</v>
      </c>
      <c r="K975">
        <v>318.62799669993757</v>
      </c>
      <c r="L975">
        <v>4.3850121037222722</v>
      </c>
      <c r="M975">
        <v>312.27779629671073</v>
      </c>
      <c r="N975">
        <v>4.8607175252820953</v>
      </c>
      <c r="O975">
        <v>293.31338305437816</v>
      </c>
      <c r="P975">
        <v>4.4250078865109517</v>
      </c>
    </row>
    <row r="976" spans="4:16" x14ac:dyDescent="0.55000000000000004">
      <c r="D976">
        <v>969</v>
      </c>
      <c r="E976">
        <v>5.931095124683738</v>
      </c>
      <c r="F976">
        <v>4.0689048753162602</v>
      </c>
      <c r="G976">
        <v>6.9055212048180401</v>
      </c>
      <c r="H976">
        <v>3.0944787951819595</v>
      </c>
      <c r="I976">
        <v>309.00499949925597</v>
      </c>
      <c r="J976">
        <v>4.8126563241550757</v>
      </c>
      <c r="K976">
        <v>285.17388662723101</v>
      </c>
      <c r="L976">
        <v>4.3813239812385865</v>
      </c>
      <c r="M976">
        <v>409.77176753689008</v>
      </c>
      <c r="N976">
        <v>4.7818774275341509</v>
      </c>
      <c r="O976">
        <v>380.80677931595659</v>
      </c>
      <c r="P976">
        <v>4.3536576526367954</v>
      </c>
    </row>
    <row r="977" spans="4:16" x14ac:dyDescent="0.55000000000000004">
      <c r="D977">
        <v>970</v>
      </c>
      <c r="E977">
        <v>6.16871296786816</v>
      </c>
      <c r="F977">
        <v>3.8312870321318391</v>
      </c>
      <c r="G977">
        <v>5.7771560731949414</v>
      </c>
      <c r="H977">
        <v>4.2228439268050586</v>
      </c>
      <c r="I977">
        <v>313.43341723738467</v>
      </c>
      <c r="J977">
        <v>4.9241158201293826</v>
      </c>
      <c r="K977">
        <v>289.42651976285305</v>
      </c>
      <c r="L977">
        <v>4.4841473596815824</v>
      </c>
      <c r="M977">
        <v>343.53834087712102</v>
      </c>
      <c r="N977">
        <v>4.928932541863678</v>
      </c>
      <c r="O977">
        <v>321.55384210723116</v>
      </c>
      <c r="P977">
        <v>4.4884744461101551</v>
      </c>
    </row>
    <row r="978" spans="4:16" x14ac:dyDescent="0.55000000000000004">
      <c r="D978">
        <v>971</v>
      </c>
      <c r="E978">
        <v>7.4937486357418219</v>
      </c>
      <c r="F978">
        <v>2.5062513642581781</v>
      </c>
      <c r="G978">
        <v>5.8122338192114196</v>
      </c>
      <c r="H978">
        <v>4.1877661807885804</v>
      </c>
      <c r="I978">
        <v>384.24919829199115</v>
      </c>
      <c r="J978">
        <v>4.9499367205350824</v>
      </c>
      <c r="K978">
        <v>352.52267913116282</v>
      </c>
      <c r="L978">
        <v>4.5082896437721809</v>
      </c>
      <c r="M978">
        <v>348.02790217242216</v>
      </c>
      <c r="N978">
        <v>4.9611703701110565</v>
      </c>
      <c r="O978">
        <v>325.05239800523242</v>
      </c>
      <c r="P978">
        <v>4.5183831360981852</v>
      </c>
    </row>
    <row r="979" spans="4:16" x14ac:dyDescent="0.55000000000000004">
      <c r="D979">
        <v>972</v>
      </c>
      <c r="E979">
        <v>5.4540719354045857</v>
      </c>
      <c r="F979">
        <v>4.5459280645954152</v>
      </c>
      <c r="G979">
        <v>6.1671283206590566</v>
      </c>
      <c r="H979">
        <v>3.8328716793409452</v>
      </c>
      <c r="I979">
        <v>248.44711232757629</v>
      </c>
      <c r="J979">
        <v>4.8065962046156177</v>
      </c>
      <c r="K979">
        <v>230.83047551671078</v>
      </c>
      <c r="L979">
        <v>4.3745292058748335</v>
      </c>
      <c r="M979">
        <v>330.92867875012695</v>
      </c>
      <c r="N979">
        <v>4.7813109108269414</v>
      </c>
      <c r="O979">
        <v>309.91323185046633</v>
      </c>
      <c r="P979">
        <v>4.3518897177258582</v>
      </c>
    </row>
    <row r="980" spans="4:16" x14ac:dyDescent="0.55000000000000004">
      <c r="D980">
        <v>973</v>
      </c>
      <c r="E980">
        <v>6.986214355195556</v>
      </c>
      <c r="F980">
        <v>3.0137856448044453</v>
      </c>
      <c r="G980">
        <v>5.6017714104506595</v>
      </c>
      <c r="H980">
        <v>4.3982285895493387</v>
      </c>
      <c r="I980">
        <v>357.59645216371246</v>
      </c>
      <c r="J980">
        <v>4.8574535659095188</v>
      </c>
      <c r="K980">
        <v>329.28269958710126</v>
      </c>
      <c r="L980">
        <v>4.4229594201199838</v>
      </c>
      <c r="M980">
        <v>336.73233891249532</v>
      </c>
      <c r="N980">
        <v>4.8857016835511349</v>
      </c>
      <c r="O980">
        <v>315.86936521022301</v>
      </c>
      <c r="P980">
        <v>4.4482374804433364</v>
      </c>
    </row>
    <row r="981" spans="4:16" x14ac:dyDescent="0.55000000000000004">
      <c r="D981">
        <v>974</v>
      </c>
      <c r="E981">
        <v>8.0913737167486044</v>
      </c>
      <c r="F981">
        <v>1.9086262832513938</v>
      </c>
      <c r="G981">
        <v>6.541599371410098</v>
      </c>
      <c r="H981">
        <v>3.4584006285899007</v>
      </c>
      <c r="I981">
        <v>406.28222589091746</v>
      </c>
      <c r="J981">
        <v>4.7995066010063798</v>
      </c>
      <c r="K981">
        <v>372.21282202486799</v>
      </c>
      <c r="L981">
        <v>4.3705385952754829</v>
      </c>
      <c r="M981">
        <v>378.46530719521525</v>
      </c>
      <c r="N981">
        <v>4.8379079327267114</v>
      </c>
      <c r="O981">
        <v>352.67821996491733</v>
      </c>
      <c r="P981">
        <v>4.4048527439786334</v>
      </c>
    </row>
    <row r="982" spans="4:16" x14ac:dyDescent="0.55000000000000004">
      <c r="D982">
        <v>975</v>
      </c>
      <c r="E982">
        <v>6.7251590859106134</v>
      </c>
      <c r="F982">
        <v>3.2748409140893857</v>
      </c>
      <c r="G982">
        <v>7.1720616054640649</v>
      </c>
      <c r="H982">
        <v>2.827938394535936</v>
      </c>
      <c r="I982">
        <v>314.3912595191058</v>
      </c>
      <c r="J982">
        <v>4.8480727426786325</v>
      </c>
      <c r="K982">
        <v>289.70985498474687</v>
      </c>
      <c r="L982">
        <v>4.4142191697289457</v>
      </c>
      <c r="M982">
        <v>385.28329258625325</v>
      </c>
      <c r="N982">
        <v>4.8379768217913472</v>
      </c>
      <c r="O982">
        <v>358.37095295716421</v>
      </c>
      <c r="P982">
        <v>4.4052013317715826</v>
      </c>
    </row>
    <row r="983" spans="4:16" x14ac:dyDescent="0.55000000000000004">
      <c r="D983">
        <v>976</v>
      </c>
      <c r="E983">
        <v>7.0226408310576351</v>
      </c>
      <c r="F983">
        <v>2.9773591689423657</v>
      </c>
      <c r="G983">
        <v>5.9943792721542994</v>
      </c>
      <c r="H983">
        <v>4.0056207278457023</v>
      </c>
      <c r="I983">
        <v>383.13152199878931</v>
      </c>
      <c r="J983">
        <v>4.8262932360708959</v>
      </c>
      <c r="K983">
        <v>352.93092707642853</v>
      </c>
      <c r="L983">
        <v>4.3942051066594017</v>
      </c>
      <c r="M983">
        <v>377.03305056149219</v>
      </c>
      <c r="N983">
        <v>4.8517275409380707</v>
      </c>
      <c r="O983">
        <v>352.87114108549372</v>
      </c>
      <c r="P983">
        <v>4.4169015514262098</v>
      </c>
    </row>
    <row r="984" spans="4:16" x14ac:dyDescent="0.55000000000000004">
      <c r="D984">
        <v>977</v>
      </c>
      <c r="E984">
        <v>7.5330642861365327</v>
      </c>
      <c r="F984">
        <v>2.4669357138634682</v>
      </c>
      <c r="G984">
        <v>6.3144726178511759</v>
      </c>
      <c r="H984">
        <v>3.6855273821488224</v>
      </c>
      <c r="I984">
        <v>370.16040728922962</v>
      </c>
      <c r="J984">
        <v>4.7521057456805327</v>
      </c>
      <c r="K984">
        <v>339.99075197007392</v>
      </c>
      <c r="L984">
        <v>4.3265295072980523</v>
      </c>
      <c r="M984">
        <v>360.28113756337541</v>
      </c>
      <c r="N984">
        <v>4.7922065415127735</v>
      </c>
      <c r="O984">
        <v>336.52049133187865</v>
      </c>
      <c r="P984">
        <v>4.362338227323626</v>
      </c>
    </row>
    <row r="985" spans="4:16" x14ac:dyDescent="0.55000000000000004">
      <c r="D985">
        <v>978</v>
      </c>
      <c r="E985">
        <v>6.4017366483892717</v>
      </c>
      <c r="F985">
        <v>3.5982633516107287</v>
      </c>
      <c r="G985">
        <v>6.31720098039614</v>
      </c>
      <c r="H985">
        <v>3.6827990196038618</v>
      </c>
      <c r="I985">
        <v>321.44913020305813</v>
      </c>
      <c r="J985">
        <v>4.8831623773390751</v>
      </c>
      <c r="K985">
        <v>296.61301486811954</v>
      </c>
      <c r="L985">
        <v>4.4464089197264274</v>
      </c>
      <c r="M985">
        <v>367.20435750464293</v>
      </c>
      <c r="N985">
        <v>4.8847052315708028</v>
      </c>
      <c r="O985">
        <v>342.81034959477284</v>
      </c>
      <c r="P985">
        <v>4.447791080474639</v>
      </c>
    </row>
    <row r="986" spans="4:16" x14ac:dyDescent="0.55000000000000004">
      <c r="D986">
        <v>979</v>
      </c>
      <c r="E986">
        <v>6.875874649264043</v>
      </c>
      <c r="F986">
        <v>3.1241253507359539</v>
      </c>
      <c r="G986">
        <v>4.9339968382331492</v>
      </c>
      <c r="H986">
        <v>5.0660031617668526</v>
      </c>
      <c r="I986">
        <v>342.98691708389009</v>
      </c>
      <c r="J986">
        <v>4.8162888321670154</v>
      </c>
      <c r="K986">
        <v>315.77329757958734</v>
      </c>
      <c r="L986">
        <v>4.3850843522823206</v>
      </c>
      <c r="M986">
        <v>296.1208865447224</v>
      </c>
      <c r="N986">
        <v>4.8681723609762022</v>
      </c>
      <c r="O986">
        <v>278.72403593272657</v>
      </c>
      <c r="P986">
        <v>4.4317098085886695</v>
      </c>
    </row>
    <row r="987" spans="4:16" x14ac:dyDescent="0.55000000000000004">
      <c r="D987">
        <v>980</v>
      </c>
      <c r="E987">
        <v>7.5958800805023499</v>
      </c>
      <c r="F987">
        <v>2.4041199194976492</v>
      </c>
      <c r="G987">
        <v>5.075538345564901</v>
      </c>
      <c r="H987">
        <v>4.9244616544350981</v>
      </c>
      <c r="I987">
        <v>366.45275698106542</v>
      </c>
      <c r="J987">
        <v>4.7718104562651718</v>
      </c>
      <c r="K987">
        <v>336.52767980783943</v>
      </c>
      <c r="L987">
        <v>4.3446640741515319</v>
      </c>
      <c r="M987">
        <v>294.86234645404875</v>
      </c>
      <c r="N987">
        <v>4.8475246097873512</v>
      </c>
      <c r="O987">
        <v>277.66777577542956</v>
      </c>
      <c r="P987">
        <v>4.4124509617078358</v>
      </c>
    </row>
    <row r="988" spans="4:16" x14ac:dyDescent="0.55000000000000004">
      <c r="D988">
        <v>981</v>
      </c>
      <c r="E988">
        <v>7.5873764267228418</v>
      </c>
      <c r="F988">
        <v>2.4126235732771599</v>
      </c>
      <c r="G988">
        <v>7.3545474561826358</v>
      </c>
      <c r="H988">
        <v>2.6454525438173664</v>
      </c>
      <c r="I988">
        <v>384.62751672234907</v>
      </c>
      <c r="J988">
        <v>4.7340574788172542</v>
      </c>
      <c r="K988">
        <v>352.81431946510725</v>
      </c>
      <c r="L988">
        <v>4.3102733582221022</v>
      </c>
      <c r="M988">
        <v>422.824697971391</v>
      </c>
      <c r="N988">
        <v>4.7422182869737828</v>
      </c>
      <c r="O988">
        <v>392.25513406950489</v>
      </c>
      <c r="P988">
        <v>4.3175742825284864</v>
      </c>
    </row>
    <row r="989" spans="4:16" x14ac:dyDescent="0.55000000000000004">
      <c r="D989">
        <v>982</v>
      </c>
      <c r="E989">
        <v>7.8500031768966769</v>
      </c>
      <c r="F989">
        <v>2.149996823103324</v>
      </c>
      <c r="G989">
        <v>5.2951523155286981</v>
      </c>
      <c r="H989">
        <v>4.704847684471301</v>
      </c>
      <c r="I989">
        <v>360.4628664584792</v>
      </c>
      <c r="J989">
        <v>4.7642938450079741</v>
      </c>
      <c r="K989">
        <v>330.74219783802698</v>
      </c>
      <c r="L989">
        <v>4.3379474682401522</v>
      </c>
      <c r="M989">
        <v>293.14713497279018</v>
      </c>
      <c r="N989">
        <v>4.8410064347408577</v>
      </c>
      <c r="O989">
        <v>275.90414878165325</v>
      </c>
      <c r="P989">
        <v>4.4065009192037055</v>
      </c>
    </row>
    <row r="990" spans="4:16" x14ac:dyDescent="0.55000000000000004">
      <c r="D990">
        <v>983</v>
      </c>
      <c r="E990">
        <v>6.4277233177932276</v>
      </c>
      <c r="F990">
        <v>3.5722766822067729</v>
      </c>
      <c r="G990">
        <v>6.4962303383144295</v>
      </c>
      <c r="H990">
        <v>3.5037696616855696</v>
      </c>
      <c r="I990">
        <v>324.59454233949498</v>
      </c>
      <c r="J990">
        <v>4.9083927950524782</v>
      </c>
      <c r="K990">
        <v>299.35260748173954</v>
      </c>
      <c r="L990">
        <v>4.469735904617516</v>
      </c>
      <c r="M990">
        <v>378.05408841416278</v>
      </c>
      <c r="N990">
        <v>4.9074164405395422</v>
      </c>
      <c r="O990">
        <v>352.45324803619542</v>
      </c>
      <c r="P990">
        <v>4.4688608405677837</v>
      </c>
    </row>
    <row r="991" spans="4:16" x14ac:dyDescent="0.55000000000000004">
      <c r="D991">
        <v>984</v>
      </c>
      <c r="E991">
        <v>6.5315556170028124</v>
      </c>
      <c r="F991">
        <v>3.4684443829971867</v>
      </c>
      <c r="G991">
        <v>6.2785310168909794</v>
      </c>
      <c r="H991">
        <v>3.7214689831090197</v>
      </c>
      <c r="I991">
        <v>294.96479564062935</v>
      </c>
      <c r="J991">
        <v>4.7226015857435444</v>
      </c>
      <c r="K991">
        <v>271.71375192718438</v>
      </c>
      <c r="L991">
        <v>4.2986872533709661</v>
      </c>
      <c r="M991">
        <v>333.53821461761021</v>
      </c>
      <c r="N991">
        <v>4.7333476663030032</v>
      </c>
      <c r="O991">
        <v>311.45298330766843</v>
      </c>
      <c r="P991">
        <v>4.3083369505082949</v>
      </c>
    </row>
    <row r="992" spans="4:16" x14ac:dyDescent="0.55000000000000004">
      <c r="D992">
        <v>985</v>
      </c>
      <c r="E992">
        <v>8.0075392841095123</v>
      </c>
      <c r="F992">
        <v>1.9924607158904868</v>
      </c>
      <c r="G992">
        <v>6.5760445917317725</v>
      </c>
      <c r="H992">
        <v>3.4239554082682271</v>
      </c>
      <c r="I992">
        <v>430.33717720826411</v>
      </c>
      <c r="J992">
        <v>4.8472060838330631</v>
      </c>
      <c r="K992">
        <v>394.48301390725885</v>
      </c>
      <c r="L992">
        <v>4.4141556499346457</v>
      </c>
      <c r="M992">
        <v>403.40650434488953</v>
      </c>
      <c r="N992">
        <v>4.8745208021579085</v>
      </c>
      <c r="O992">
        <v>375.83790019311584</v>
      </c>
      <c r="P992">
        <v>4.4385285284717773</v>
      </c>
    </row>
    <row r="993" spans="4:16" x14ac:dyDescent="0.55000000000000004">
      <c r="D993">
        <v>986</v>
      </c>
      <c r="E993">
        <v>6.3737736559062617</v>
      </c>
      <c r="F993">
        <v>3.6262263440937392</v>
      </c>
      <c r="G993">
        <v>6.1916661360218761</v>
      </c>
      <c r="H993">
        <v>3.8083338639781261</v>
      </c>
      <c r="I993">
        <v>328.6682444424535</v>
      </c>
      <c r="J993">
        <v>4.6105744839610914</v>
      </c>
      <c r="K993">
        <v>303.33793720080905</v>
      </c>
      <c r="L993">
        <v>4.1948066459408917</v>
      </c>
      <c r="M993">
        <v>369.27773858338384</v>
      </c>
      <c r="N993">
        <v>4.6217009090169645</v>
      </c>
      <c r="O993">
        <v>344.92379093617359</v>
      </c>
      <c r="P993">
        <v>4.2047762225779381</v>
      </c>
    </row>
    <row r="994" spans="4:16" x14ac:dyDescent="0.55000000000000004">
      <c r="D994">
        <v>987</v>
      </c>
      <c r="E994">
        <v>8.1795111931471212</v>
      </c>
      <c r="F994">
        <v>1.8204888068528775</v>
      </c>
      <c r="G994">
        <v>5.8339259436518365</v>
      </c>
      <c r="H994">
        <v>4.1660740563481644</v>
      </c>
      <c r="I994">
        <v>395.36314034218975</v>
      </c>
      <c r="J994">
        <v>4.7608377075193538</v>
      </c>
      <c r="K994">
        <v>362.24292281050811</v>
      </c>
      <c r="L994">
        <v>4.3350920446534484</v>
      </c>
      <c r="M994">
        <v>331.98742285949658</v>
      </c>
      <c r="N994">
        <v>4.8294207233294024</v>
      </c>
      <c r="O994">
        <v>311.01848202256554</v>
      </c>
      <c r="P994">
        <v>4.396324534088258</v>
      </c>
    </row>
    <row r="995" spans="4:16" x14ac:dyDescent="0.55000000000000004">
      <c r="D995">
        <v>988</v>
      </c>
      <c r="E995">
        <v>6.2982057157195763</v>
      </c>
      <c r="F995">
        <v>3.7017942842804228</v>
      </c>
      <c r="G995">
        <v>5.4252531571929206</v>
      </c>
      <c r="H995">
        <v>4.5747468428070786</v>
      </c>
      <c r="I995">
        <v>306.49545746511137</v>
      </c>
      <c r="J995">
        <v>4.9438264889754215</v>
      </c>
      <c r="K995">
        <v>282.58625577210836</v>
      </c>
      <c r="L995">
        <v>4.5024278116434333</v>
      </c>
      <c r="M995">
        <v>314.01415313058033</v>
      </c>
      <c r="N995">
        <v>4.9516123270988004</v>
      </c>
      <c r="O995">
        <v>294.31974608360167</v>
      </c>
      <c r="P995">
        <v>4.5094411756313946</v>
      </c>
    </row>
    <row r="996" spans="4:16" x14ac:dyDescent="0.55000000000000004">
      <c r="D996">
        <v>989</v>
      </c>
      <c r="E996">
        <v>6.3287992360463399</v>
      </c>
      <c r="F996">
        <v>3.6712007639536597</v>
      </c>
      <c r="G996">
        <v>6.1168313805069179</v>
      </c>
      <c r="H996">
        <v>3.8831686194930812</v>
      </c>
      <c r="I996">
        <v>305.66449390629657</v>
      </c>
      <c r="J996">
        <v>4.788276626426617</v>
      </c>
      <c r="K996">
        <v>282.30112027608499</v>
      </c>
      <c r="L996">
        <v>4.3586789591376824</v>
      </c>
      <c r="M996">
        <v>345.42699941937462</v>
      </c>
      <c r="N996">
        <v>4.795367789819557</v>
      </c>
      <c r="O996">
        <v>323.13516227592322</v>
      </c>
      <c r="P996">
        <v>4.3650279057393151</v>
      </c>
    </row>
    <row r="997" spans="4:16" x14ac:dyDescent="0.55000000000000004">
      <c r="D997">
        <v>990</v>
      </c>
      <c r="E997">
        <v>7.9044268684282111</v>
      </c>
      <c r="F997">
        <v>2.0955731315717885</v>
      </c>
      <c r="G997">
        <v>7.059117741954644</v>
      </c>
      <c r="H997">
        <v>2.9408822580453577</v>
      </c>
      <c r="I997">
        <v>381.7127066597842</v>
      </c>
      <c r="J997">
        <v>4.8361111096595071</v>
      </c>
      <c r="K997">
        <v>349.97857304540099</v>
      </c>
      <c r="L997">
        <v>4.4039555251490281</v>
      </c>
      <c r="M997">
        <v>390.8918805579919</v>
      </c>
      <c r="N997">
        <v>4.8536375890663557</v>
      </c>
      <c r="O997">
        <v>363.55236244563503</v>
      </c>
      <c r="P997">
        <v>4.4195951701761622</v>
      </c>
    </row>
    <row r="998" spans="4:16" x14ac:dyDescent="0.55000000000000004">
      <c r="D998">
        <v>991</v>
      </c>
      <c r="E998">
        <v>6.1756695211318506</v>
      </c>
      <c r="F998">
        <v>3.8243304788681494</v>
      </c>
      <c r="G998">
        <v>6.8338089921583176</v>
      </c>
      <c r="H998">
        <v>3.1661910078416833</v>
      </c>
      <c r="I998">
        <v>293.14168094835247</v>
      </c>
      <c r="J998">
        <v>4.8036523480716449</v>
      </c>
      <c r="K998">
        <v>270.99574791356002</v>
      </c>
      <c r="L998">
        <v>4.3727051166615887</v>
      </c>
      <c r="M998">
        <v>374.38171252306648</v>
      </c>
      <c r="N998">
        <v>4.7827276306243736</v>
      </c>
      <c r="O998">
        <v>348.91747002376763</v>
      </c>
      <c r="P998">
        <v>4.3540030182210021</v>
      </c>
    </row>
    <row r="999" spans="4:16" x14ac:dyDescent="0.55000000000000004">
      <c r="D999">
        <v>992</v>
      </c>
      <c r="E999">
        <v>7.2902877954414285</v>
      </c>
      <c r="F999">
        <v>2.7097122045585729</v>
      </c>
      <c r="G999">
        <v>6.0128823443917323</v>
      </c>
      <c r="H999">
        <v>3.9871176556082664</v>
      </c>
      <c r="I999">
        <v>357.9490174378671</v>
      </c>
      <c r="J999">
        <v>4.7971770546387358</v>
      </c>
      <c r="K999">
        <v>329.05599992889876</v>
      </c>
      <c r="L999">
        <v>4.3677678877636588</v>
      </c>
      <c r="M999">
        <v>345.22913052765114</v>
      </c>
      <c r="N999">
        <v>4.8327157251648059</v>
      </c>
      <c r="O999">
        <v>322.9557671422084</v>
      </c>
      <c r="P999">
        <v>4.3995556952304682</v>
      </c>
    </row>
    <row r="1000" spans="4:16" x14ac:dyDescent="0.55000000000000004">
      <c r="D1000">
        <v>993</v>
      </c>
      <c r="E1000">
        <v>5.7838874065381134</v>
      </c>
      <c r="F1000">
        <v>4.2161125934618848</v>
      </c>
      <c r="G1000">
        <v>6.0795827891362757</v>
      </c>
      <c r="H1000">
        <v>3.920417210863727</v>
      </c>
      <c r="I1000">
        <v>285.91846716068102</v>
      </c>
      <c r="J1000">
        <v>4.8387991470082525</v>
      </c>
      <c r="K1000">
        <v>264.74772033479871</v>
      </c>
      <c r="L1000">
        <v>4.4049545359895088</v>
      </c>
      <c r="M1000">
        <v>350.53575906082904</v>
      </c>
      <c r="N1000">
        <v>4.8305579167507862</v>
      </c>
      <c r="O1000">
        <v>327.85993288037901</v>
      </c>
      <c r="P1000">
        <v>4.3975618695837806</v>
      </c>
    </row>
    <row r="1001" spans="4:16" x14ac:dyDescent="0.55000000000000004">
      <c r="D1001">
        <v>994</v>
      </c>
      <c r="E1001">
        <v>7.2231849403072559</v>
      </c>
      <c r="F1001">
        <v>2.7768150596927414</v>
      </c>
      <c r="G1001">
        <v>5.9285495842150766</v>
      </c>
      <c r="H1001">
        <v>4.0714504157849225</v>
      </c>
      <c r="I1001">
        <v>358.63109115796379</v>
      </c>
      <c r="J1001">
        <v>4.7383299979837759</v>
      </c>
      <c r="K1001">
        <v>329.90331657439117</v>
      </c>
      <c r="L1001">
        <v>4.3135101246295857</v>
      </c>
      <c r="M1001">
        <v>344.35245309954701</v>
      </c>
      <c r="N1001">
        <v>4.7852299789531836</v>
      </c>
      <c r="O1001">
        <v>322.46681541418923</v>
      </c>
      <c r="P1001">
        <v>4.355417839116547</v>
      </c>
    </row>
    <row r="1002" spans="4:16" x14ac:dyDescent="0.55000000000000004">
      <c r="D1002">
        <v>995</v>
      </c>
      <c r="E1002">
        <v>7.0622802187420231</v>
      </c>
      <c r="F1002">
        <v>2.9377197812579738</v>
      </c>
      <c r="G1002">
        <v>6.730785742630176</v>
      </c>
      <c r="H1002">
        <v>3.269214257369824</v>
      </c>
      <c r="I1002">
        <v>351.67154181391373</v>
      </c>
      <c r="J1002">
        <v>4.7558877778841797</v>
      </c>
      <c r="K1002">
        <v>323.60055407151856</v>
      </c>
      <c r="L1002">
        <v>4.3295925281886349</v>
      </c>
      <c r="M1002">
        <v>385.16452567942588</v>
      </c>
      <c r="N1002">
        <v>4.7673460959735756</v>
      </c>
      <c r="O1002">
        <v>358.85418067768978</v>
      </c>
      <c r="P1002">
        <v>4.3398286990165333</v>
      </c>
    </row>
    <row r="1003" spans="4:16" x14ac:dyDescent="0.55000000000000004">
      <c r="D1003">
        <v>996</v>
      </c>
      <c r="E1003">
        <v>6.6117547109446591</v>
      </c>
      <c r="F1003">
        <v>3.3882452890553414</v>
      </c>
      <c r="G1003">
        <v>6.6681767956625713</v>
      </c>
      <c r="H1003">
        <v>3.3318232043374292</v>
      </c>
      <c r="I1003">
        <v>327.45552921026507</v>
      </c>
      <c r="J1003">
        <v>4.9446912893641182</v>
      </c>
      <c r="K1003">
        <v>301.71058685595267</v>
      </c>
      <c r="L1003">
        <v>4.5032590461892639</v>
      </c>
      <c r="M1003">
        <v>380.24990444319178</v>
      </c>
      <c r="N1003">
        <v>4.9442193068279288</v>
      </c>
      <c r="O1003">
        <v>354.21374539943514</v>
      </c>
      <c r="P1003">
        <v>4.5028362514607974</v>
      </c>
    </row>
    <row r="1004" spans="4:16" x14ac:dyDescent="0.55000000000000004">
      <c r="D1004">
        <v>997</v>
      </c>
      <c r="E1004">
        <v>8.0658512991850557</v>
      </c>
      <c r="F1004">
        <v>1.9341487008149416</v>
      </c>
      <c r="G1004">
        <v>6.9179210982016492</v>
      </c>
      <c r="H1004">
        <v>3.0820789017983508</v>
      </c>
      <c r="I1004">
        <v>405.20075627515422</v>
      </c>
      <c r="J1004">
        <v>4.8628963614874507</v>
      </c>
      <c r="K1004">
        <v>371.21435423715707</v>
      </c>
      <c r="L1004">
        <v>4.4286153133347685</v>
      </c>
      <c r="M1004">
        <v>397.5326728533135</v>
      </c>
      <c r="N1004">
        <v>4.8824089214734219</v>
      </c>
      <c r="O1004">
        <v>369.69459298362284</v>
      </c>
      <c r="P1004">
        <v>4.4460475283880934</v>
      </c>
    </row>
    <row r="1005" spans="4:16" x14ac:dyDescent="0.55000000000000004">
      <c r="D1005">
        <v>998</v>
      </c>
      <c r="E1005">
        <v>5.8394126301898952</v>
      </c>
      <c r="F1005">
        <v>4.1605873698101039</v>
      </c>
      <c r="G1005">
        <v>5.9768754681107188</v>
      </c>
      <c r="H1005">
        <v>4.0231245318892812</v>
      </c>
      <c r="I1005">
        <v>278.909800382735</v>
      </c>
      <c r="J1005">
        <v>4.833283095185779</v>
      </c>
      <c r="K1005">
        <v>257.96659538010067</v>
      </c>
      <c r="L1005">
        <v>4.400021109071476</v>
      </c>
      <c r="M1005">
        <v>335.4754834595438</v>
      </c>
      <c r="N1005">
        <v>4.8293584917510683</v>
      </c>
      <c r="O1005">
        <v>313.86602461598198</v>
      </c>
      <c r="P1005">
        <v>4.396494755458134</v>
      </c>
    </row>
    <row r="1006" spans="4:16" x14ac:dyDescent="0.55000000000000004">
      <c r="D1006">
        <v>999</v>
      </c>
      <c r="E1006">
        <v>6.2298167278518637</v>
      </c>
      <c r="F1006">
        <v>3.7701832721481363</v>
      </c>
      <c r="G1006">
        <v>5.2558907423869554</v>
      </c>
      <c r="H1006">
        <v>4.7441092576130455</v>
      </c>
      <c r="I1006">
        <v>291.70128050319562</v>
      </c>
      <c r="J1006">
        <v>4.9688846105251709</v>
      </c>
      <c r="K1006">
        <v>269.35483477970661</v>
      </c>
      <c r="L1006">
        <v>4.5254875966617503</v>
      </c>
      <c r="M1006">
        <v>296.098742019947</v>
      </c>
      <c r="N1006">
        <v>4.9737489729424338</v>
      </c>
      <c r="O1006">
        <v>278.3548194201345</v>
      </c>
      <c r="P1006">
        <v>4.5298610140296356</v>
      </c>
    </row>
    <row r="1007" spans="4:16" x14ac:dyDescent="0.55000000000000004">
      <c r="D1007">
        <v>1000</v>
      </c>
      <c r="E1007">
        <v>6.7454663387534417</v>
      </c>
      <c r="F1007">
        <v>3.2545336612465565</v>
      </c>
      <c r="G1007">
        <v>5.8444691659004242</v>
      </c>
      <c r="H1007">
        <v>4.1555308340995749</v>
      </c>
      <c r="I1007">
        <v>346.2839897278468</v>
      </c>
      <c r="J1007">
        <v>4.8026767417782361</v>
      </c>
      <c r="K1007">
        <v>319.11554494840857</v>
      </c>
      <c r="L1007">
        <v>4.3723774768165535</v>
      </c>
      <c r="M1007">
        <v>350.03056852899294</v>
      </c>
      <c r="N1007">
        <v>4.8290333624872517</v>
      </c>
      <c r="O1007">
        <v>327.69176063139975</v>
      </c>
      <c r="P1007">
        <v>4.3959820220215802</v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" r:id="rId3" name="Button 1025">
              <controlPr defaultSize="0" print="0" autoFill="0" autoPict="0" macro="[0]!RunPSA">
                <anchor moveWithCells="1" sizeWithCells="1">
                  <from>
                    <xdr:col>1</xdr:col>
                    <xdr:colOff>640080</xdr:colOff>
                    <xdr:row>3</xdr:row>
                    <xdr:rowOff>3810</xdr:rowOff>
                  </from>
                  <to>
                    <xdr:col>3</xdr:col>
                    <xdr:colOff>1306830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3"/>
  <dimension ref="E8:BZ15"/>
  <sheetViews>
    <sheetView tabSelected="1" topLeftCell="E1" workbookViewId="0">
      <selection activeCell="G10" sqref="G10"/>
    </sheetView>
  </sheetViews>
  <sheetFormatPr defaultRowHeight="14.4" x14ac:dyDescent="0.55000000000000004"/>
  <cols>
    <col min="5" max="5" width="24.7890625" customWidth="1"/>
  </cols>
  <sheetData>
    <row r="8" spans="5:78" x14ac:dyDescent="0.55000000000000004">
      <c r="E8" s="7" t="s">
        <v>98</v>
      </c>
      <c r="F8" s="7" t="str">
        <f>IF(Results!F8="","",Results!F8)</f>
        <v>SoC</v>
      </c>
      <c r="G8" s="7" t="str">
        <f>IF(Results!G8="","",Results!G8)</f>
        <v>SoC with website</v>
      </c>
      <c r="H8" s="7" t="str">
        <f>IF(Results!H8="","",Results!H8)</f>
        <v/>
      </c>
      <c r="I8" s="7" t="str">
        <f>IF(Results!I8="","",Results!I8)</f>
        <v/>
      </c>
      <c r="J8" s="7" t="str">
        <f>IF(Results!J8="","",Results!J8)</f>
        <v/>
      </c>
      <c r="K8" s="7" t="str">
        <f>IF(Results!K8="","",Results!K8)</f>
        <v/>
      </c>
      <c r="L8" s="7" t="str">
        <f>IF(Results!L8="","",Results!L8)</f>
        <v/>
      </c>
      <c r="M8" s="7" t="str">
        <f>IF(Results!M8="","",Results!M8)</f>
        <v/>
      </c>
      <c r="N8" s="7" t="str">
        <f>IF(Results!N8="","",Results!N8)</f>
        <v/>
      </c>
      <c r="O8" s="7" t="str">
        <f>IF(Results!O8="","",Results!O8)</f>
        <v/>
      </c>
      <c r="P8" s="7" t="str">
        <f>IF(Results!P8="","",Results!P8)</f>
        <v/>
      </c>
      <c r="Q8" s="7" t="str">
        <f>IF(Results!Q8="","",Results!Q8)</f>
        <v/>
      </c>
      <c r="R8" s="7" t="str">
        <f>IF(Results!R8="","",Results!R8)</f>
        <v/>
      </c>
      <c r="S8" s="7" t="str">
        <f>IF(Results!S8="","",Results!S8)</f>
        <v/>
      </c>
      <c r="T8" s="7" t="str">
        <f>IF(Results!T8="","",Results!T8)</f>
        <v/>
      </c>
      <c r="U8" s="7" t="str">
        <f>IF(Results!U8="","",Results!U8)</f>
        <v/>
      </c>
      <c r="V8" s="7" t="str">
        <f>IF(Results!V8="","",Results!V8)</f>
        <v/>
      </c>
      <c r="W8" s="7" t="str">
        <f>IF(Results!W8="","",Results!W8)</f>
        <v/>
      </c>
      <c r="X8" s="7" t="str">
        <f>IF(Results!X8="","",Results!X8)</f>
        <v/>
      </c>
      <c r="Y8" s="7" t="str">
        <f>IF(Results!Y8="","",Results!Y8)</f>
        <v/>
      </c>
      <c r="Z8" s="7" t="str">
        <f>IF(Results!Z8="","",Results!Z8)</f>
        <v/>
      </c>
      <c r="AA8" s="7" t="str">
        <f>IF(Results!AA8="","",Results!AA8)</f>
        <v/>
      </c>
      <c r="AB8" s="7" t="str">
        <f>IF(Results!AB8="","",Results!AB8)</f>
        <v/>
      </c>
      <c r="AC8" s="7" t="str">
        <f>IF(Results!AC8="","",Results!AC8)</f>
        <v/>
      </c>
      <c r="AD8" s="7" t="str">
        <f>IF(Results!AD8="","",Results!AD8)</f>
        <v/>
      </c>
      <c r="AE8" s="7" t="str">
        <f>IF(Results!AE8="","",Results!AE8)</f>
        <v/>
      </c>
      <c r="AF8" s="7" t="str">
        <f>IF(Results!AF8="","",Results!AF8)</f>
        <v/>
      </c>
      <c r="AG8" s="7" t="str">
        <f>IF(Results!AG8="","",Results!AG8)</f>
        <v/>
      </c>
      <c r="AH8" s="7" t="str">
        <f>IF(Results!AH8="","",Results!AH8)</f>
        <v/>
      </c>
      <c r="AI8" s="7" t="str">
        <f>IF(Results!AI8="","",Results!AI8)</f>
        <v/>
      </c>
      <c r="AJ8" s="7" t="str">
        <f>IF(Results!AJ8="","",Results!AJ8)</f>
        <v/>
      </c>
      <c r="AK8" s="7" t="str">
        <f>IF(Results!AK8="","",Results!AK8)</f>
        <v/>
      </c>
      <c r="AL8" s="7" t="str">
        <f>IF(Results!AL8="","",Results!AL8)</f>
        <v/>
      </c>
      <c r="AM8" s="7" t="str">
        <f>IF(Results!AM8="","",Results!AM8)</f>
        <v/>
      </c>
      <c r="AN8" s="7" t="str">
        <f>IF(Results!AN8="","",Results!AN8)</f>
        <v/>
      </c>
      <c r="AO8" s="7" t="str">
        <f>IF(Results!AO8="","",Results!AO8)</f>
        <v/>
      </c>
      <c r="AP8" s="7" t="str">
        <f>IF(Results!AP8="","",Results!AP8)</f>
        <v/>
      </c>
      <c r="AQ8" s="7" t="str">
        <f>IF(Results!AQ8="","",Results!AQ8)</f>
        <v/>
      </c>
      <c r="AR8" s="7" t="str">
        <f>IF(Results!AR8="","",Results!AR8)</f>
        <v/>
      </c>
      <c r="AS8" s="7" t="str">
        <f>IF(Results!AS8="","",Results!AS8)</f>
        <v/>
      </c>
      <c r="AT8" s="7" t="str">
        <f>IF(Results!AT8="","",Results!AT8)</f>
        <v/>
      </c>
      <c r="AU8" s="7" t="str">
        <f>IF(Results!AU8="","",Results!AU8)</f>
        <v/>
      </c>
      <c r="AV8" s="7" t="str">
        <f>IF(Results!AV8="","",Results!AV8)</f>
        <v/>
      </c>
      <c r="AW8" s="7" t="str">
        <f>IF(Results!AW8="","",Results!AW8)</f>
        <v/>
      </c>
      <c r="AX8" s="7" t="str">
        <f>IF(Results!AX8="","",Results!AX8)</f>
        <v/>
      </c>
      <c r="AY8" s="7" t="str">
        <f>IF(Results!AY8="","",Results!AY8)</f>
        <v/>
      </c>
      <c r="AZ8" s="7" t="str">
        <f>IF(Results!AZ8="","",Results!AZ8)</f>
        <v/>
      </c>
      <c r="BA8" s="7" t="str">
        <f>IF(Results!BA8="","",Results!BA8)</f>
        <v/>
      </c>
      <c r="BB8" s="7" t="str">
        <f>IF(Results!BB8="","",Results!BB8)</f>
        <v/>
      </c>
      <c r="BC8" s="7" t="str">
        <f>IF(Results!BC8="","",Results!BC8)</f>
        <v/>
      </c>
      <c r="BD8" s="7" t="str">
        <f>IF(Results!BD8="","",Results!BD8)</f>
        <v/>
      </c>
      <c r="BE8" s="7" t="str">
        <f>IF(Results!BE8="","",Results!BE8)</f>
        <v/>
      </c>
      <c r="BF8" s="7" t="str">
        <f>IF(Results!BF8="","",Results!BF8)</f>
        <v/>
      </c>
      <c r="BG8" s="7" t="str">
        <f>IF(Results!BG8="","",Results!BG8)</f>
        <v/>
      </c>
      <c r="BH8" s="7" t="str">
        <f>IF(Results!BH8="","",Results!BH8)</f>
        <v/>
      </c>
      <c r="BI8" s="7" t="str">
        <f>IF(Results!BI8="","",Results!BI8)</f>
        <v/>
      </c>
      <c r="BJ8" s="7" t="str">
        <f>IF(Results!BJ8="","",Results!BJ8)</f>
        <v/>
      </c>
      <c r="BK8" s="7" t="str">
        <f>IF(Results!BK8="","",Results!BK8)</f>
        <v/>
      </c>
      <c r="BL8" s="7" t="str">
        <f>IF(Results!BL8="","",Results!BL8)</f>
        <v/>
      </c>
      <c r="BM8" s="7" t="str">
        <f>IF(Results!BM8="","",Results!BM8)</f>
        <v/>
      </c>
      <c r="BN8" s="7" t="str">
        <f>IF(Results!BN8="","",Results!BN8)</f>
        <v/>
      </c>
      <c r="BO8" s="7" t="str">
        <f>IF(Results!BO8="","",Results!BO8)</f>
        <v/>
      </c>
      <c r="BP8" s="7" t="str">
        <f>IF(Results!BP8="","",Results!BP8)</f>
        <v/>
      </c>
      <c r="BQ8" s="7" t="str">
        <f>IF(Results!BQ8="","",Results!BQ8)</f>
        <v/>
      </c>
      <c r="BR8" s="7" t="str">
        <f>IF(Results!BR8="","",Results!BR8)</f>
        <v/>
      </c>
      <c r="BS8" s="7" t="str">
        <f>IF(Results!BS8="","",Results!BS8)</f>
        <v/>
      </c>
      <c r="BT8" s="7" t="str">
        <f>IF(Results!BT8="","",Results!BT8)</f>
        <v/>
      </c>
      <c r="BU8" s="7" t="str">
        <f>IF(Results!BU8="","",Results!BU8)</f>
        <v/>
      </c>
      <c r="BV8" s="7" t="str">
        <f>IF(Results!BV8="","",Results!BV8)</f>
        <v/>
      </c>
      <c r="BW8" s="7" t="str">
        <f>IF(Results!BW8="","",Results!BW8)</f>
        <v/>
      </c>
      <c r="BX8" s="7" t="str">
        <f>IF(Results!BX8="","",Results!BX8)</f>
        <v/>
      </c>
      <c r="BY8" s="7" t="str">
        <f>IF(Results!BY8="","",Results!BY8)</f>
        <v/>
      </c>
      <c r="BZ8" s="7" t="str">
        <f>IF(Results!BZ8="","",Results!BZ8)</f>
        <v/>
      </c>
    </row>
    <row r="9" spans="5:78" x14ac:dyDescent="0.55000000000000004">
      <c r="E9" t="s">
        <v>100</v>
      </c>
      <c r="F9" t="s">
        <v>108</v>
      </c>
      <c r="G9" t="s">
        <v>112</v>
      </c>
    </row>
    <row r="10" spans="5:78" x14ac:dyDescent="0.55000000000000004">
      <c r="E10" t="s">
        <v>101</v>
      </c>
      <c r="F10" t="s">
        <v>109</v>
      </c>
      <c r="G10" t="s">
        <v>113</v>
      </c>
    </row>
    <row r="11" spans="5:78" x14ac:dyDescent="0.55000000000000004">
      <c r="E11" t="s">
        <v>102</v>
      </c>
      <c r="F11" t="s">
        <v>110</v>
      </c>
      <c r="G11" t="s">
        <v>114</v>
      </c>
    </row>
    <row r="12" spans="5:78" x14ac:dyDescent="0.55000000000000004">
      <c r="E12" t="s">
        <v>103</v>
      </c>
      <c r="F12" t="s">
        <v>111</v>
      </c>
      <c r="G12" t="s">
        <v>115</v>
      </c>
    </row>
    <row r="13" spans="5:78" x14ac:dyDescent="0.55000000000000004">
      <c r="E13" t="s">
        <v>104</v>
      </c>
      <c r="G13" t="s">
        <v>116</v>
      </c>
      <c r="H13" t="str">
        <f t="shared" ref="H13:BS13" si="0">IF(H9&lt;&gt;"",H9-$F$9,"")</f>
        <v/>
      </c>
      <c r="I13" t="str">
        <f t="shared" si="0"/>
        <v/>
      </c>
      <c r="J13" t="str">
        <f t="shared" si="0"/>
        <v/>
      </c>
      <c r="K13" t="str">
        <f t="shared" si="0"/>
        <v/>
      </c>
      <c r="L13" t="str">
        <f t="shared" si="0"/>
        <v/>
      </c>
      <c r="M13" t="str">
        <f t="shared" si="0"/>
        <v/>
      </c>
      <c r="N13" t="str">
        <f t="shared" si="0"/>
        <v/>
      </c>
      <c r="O13" t="str">
        <f t="shared" si="0"/>
        <v/>
      </c>
      <c r="P13" t="str">
        <f t="shared" si="0"/>
        <v/>
      </c>
      <c r="Q13" t="str">
        <f t="shared" si="0"/>
        <v/>
      </c>
      <c r="R13" t="str">
        <f t="shared" si="0"/>
        <v/>
      </c>
      <c r="S13" t="str">
        <f t="shared" si="0"/>
        <v/>
      </c>
      <c r="T13" t="str">
        <f t="shared" si="0"/>
        <v/>
      </c>
      <c r="U13" t="str">
        <f t="shared" si="0"/>
        <v/>
      </c>
      <c r="V13" t="str">
        <f t="shared" si="0"/>
        <v/>
      </c>
      <c r="W13" t="str">
        <f t="shared" si="0"/>
        <v/>
      </c>
      <c r="X13" t="str">
        <f t="shared" si="0"/>
        <v/>
      </c>
      <c r="Y13" t="str">
        <f t="shared" si="0"/>
        <v/>
      </c>
      <c r="Z13" t="str">
        <f t="shared" si="0"/>
        <v/>
      </c>
      <c r="AA13" t="str">
        <f t="shared" si="0"/>
        <v/>
      </c>
      <c r="AB13" t="str">
        <f t="shared" si="0"/>
        <v/>
      </c>
      <c r="AC13" t="str">
        <f t="shared" si="0"/>
        <v/>
      </c>
      <c r="AD13" t="str">
        <f t="shared" si="0"/>
        <v/>
      </c>
      <c r="AE13" t="str">
        <f t="shared" si="0"/>
        <v/>
      </c>
      <c r="AF13" t="str">
        <f t="shared" si="0"/>
        <v/>
      </c>
      <c r="AG13" t="str">
        <f t="shared" si="0"/>
        <v/>
      </c>
      <c r="AH13" t="str">
        <f t="shared" si="0"/>
        <v/>
      </c>
      <c r="AI13" t="str">
        <f t="shared" si="0"/>
        <v/>
      </c>
      <c r="AJ13" t="str">
        <f t="shared" si="0"/>
        <v/>
      </c>
      <c r="AK13" t="str">
        <f t="shared" si="0"/>
        <v/>
      </c>
      <c r="AL13" t="str">
        <f t="shared" si="0"/>
        <v/>
      </c>
      <c r="AM13" t="str">
        <f t="shared" si="0"/>
        <v/>
      </c>
      <c r="AN13" t="str">
        <f t="shared" si="0"/>
        <v/>
      </c>
      <c r="AO13" t="str">
        <f t="shared" si="0"/>
        <v/>
      </c>
      <c r="AP13" t="str">
        <f t="shared" si="0"/>
        <v/>
      </c>
      <c r="AQ13" t="str">
        <f t="shared" si="0"/>
        <v/>
      </c>
      <c r="AR13" t="str">
        <f t="shared" si="0"/>
        <v/>
      </c>
      <c r="AS13" t="str">
        <f t="shared" si="0"/>
        <v/>
      </c>
      <c r="AT13" t="str">
        <f t="shared" si="0"/>
        <v/>
      </c>
      <c r="AU13" t="str">
        <f t="shared" si="0"/>
        <v/>
      </c>
      <c r="AV13" t="str">
        <f t="shared" si="0"/>
        <v/>
      </c>
      <c r="AW13" t="str">
        <f t="shared" si="0"/>
        <v/>
      </c>
      <c r="AX13" t="str">
        <f t="shared" si="0"/>
        <v/>
      </c>
      <c r="AY13" t="str">
        <f t="shared" si="0"/>
        <v/>
      </c>
      <c r="AZ13" t="str">
        <f t="shared" si="0"/>
        <v/>
      </c>
      <c r="BA13" t="str">
        <f t="shared" si="0"/>
        <v/>
      </c>
      <c r="BB13" t="str">
        <f t="shared" si="0"/>
        <v/>
      </c>
      <c r="BC13" t="str">
        <f t="shared" si="0"/>
        <v/>
      </c>
      <c r="BD13" t="str">
        <f t="shared" si="0"/>
        <v/>
      </c>
      <c r="BE13" t="str">
        <f t="shared" si="0"/>
        <v/>
      </c>
      <c r="BF13" t="str">
        <f t="shared" si="0"/>
        <v/>
      </c>
      <c r="BG13" t="str">
        <f t="shared" si="0"/>
        <v/>
      </c>
      <c r="BH13" t="str">
        <f t="shared" si="0"/>
        <v/>
      </c>
      <c r="BI13" t="str">
        <f t="shared" si="0"/>
        <v/>
      </c>
      <c r="BJ13" t="str">
        <f t="shared" si="0"/>
        <v/>
      </c>
      <c r="BK13" t="str">
        <f t="shared" si="0"/>
        <v/>
      </c>
      <c r="BL13" t="str">
        <f t="shared" si="0"/>
        <v/>
      </c>
      <c r="BM13" t="str">
        <f t="shared" si="0"/>
        <v/>
      </c>
      <c r="BN13" t="str">
        <f t="shared" si="0"/>
        <v/>
      </c>
      <c r="BO13" t="str">
        <f t="shared" si="0"/>
        <v/>
      </c>
      <c r="BP13" t="str">
        <f t="shared" si="0"/>
        <v/>
      </c>
      <c r="BQ13" t="str">
        <f t="shared" si="0"/>
        <v/>
      </c>
      <c r="BR13" t="str">
        <f t="shared" si="0"/>
        <v/>
      </c>
      <c r="BS13" t="str">
        <f t="shared" si="0"/>
        <v/>
      </c>
      <c r="BT13" t="str">
        <f t="shared" ref="BT13:BZ13" si="1">IF(BT9&lt;&gt;"",BT9-$F$9,"")</f>
        <v/>
      </c>
      <c r="BU13" t="str">
        <f t="shared" si="1"/>
        <v/>
      </c>
      <c r="BV13" t="str">
        <f t="shared" si="1"/>
        <v/>
      </c>
      <c r="BW13" t="str">
        <f t="shared" si="1"/>
        <v/>
      </c>
      <c r="BX13" t="str">
        <f t="shared" si="1"/>
        <v/>
      </c>
      <c r="BY13" t="str">
        <f t="shared" si="1"/>
        <v/>
      </c>
      <c r="BZ13" t="str">
        <f t="shared" si="1"/>
        <v/>
      </c>
    </row>
    <row r="14" spans="5:78" x14ac:dyDescent="0.55000000000000004">
      <c r="E14" t="s">
        <v>105</v>
      </c>
      <c r="G14" t="s">
        <v>117</v>
      </c>
      <c r="H14" t="str">
        <f t="shared" ref="H14:BS14" si="2">IF(H10&lt;&gt;"", H10-$F$10, "")</f>
        <v/>
      </c>
      <c r="I14" t="str">
        <f t="shared" si="2"/>
        <v/>
      </c>
      <c r="J14" t="str">
        <f t="shared" si="2"/>
        <v/>
      </c>
      <c r="K14" t="str">
        <f t="shared" si="2"/>
        <v/>
      </c>
      <c r="L14" t="str">
        <f t="shared" si="2"/>
        <v/>
      </c>
      <c r="M14" t="str">
        <f t="shared" si="2"/>
        <v/>
      </c>
      <c r="N14" t="str">
        <f t="shared" si="2"/>
        <v/>
      </c>
      <c r="O14" t="str">
        <f t="shared" si="2"/>
        <v/>
      </c>
      <c r="P14" t="str">
        <f t="shared" si="2"/>
        <v/>
      </c>
      <c r="Q14" t="str">
        <f t="shared" si="2"/>
        <v/>
      </c>
      <c r="R14" t="str">
        <f t="shared" si="2"/>
        <v/>
      </c>
      <c r="S14" t="str">
        <f t="shared" si="2"/>
        <v/>
      </c>
      <c r="T14" t="str">
        <f t="shared" si="2"/>
        <v/>
      </c>
      <c r="U14" t="str">
        <f t="shared" si="2"/>
        <v/>
      </c>
      <c r="V14" t="str">
        <f t="shared" si="2"/>
        <v/>
      </c>
      <c r="W14" t="str">
        <f t="shared" si="2"/>
        <v/>
      </c>
      <c r="X14" t="str">
        <f t="shared" si="2"/>
        <v/>
      </c>
      <c r="Y14" t="str">
        <f t="shared" si="2"/>
        <v/>
      </c>
      <c r="Z14" t="str">
        <f t="shared" si="2"/>
        <v/>
      </c>
      <c r="AA14" t="str">
        <f t="shared" si="2"/>
        <v/>
      </c>
      <c r="AB14" t="str">
        <f t="shared" si="2"/>
        <v/>
      </c>
      <c r="AC14" t="str">
        <f t="shared" si="2"/>
        <v/>
      </c>
      <c r="AD14" t="str">
        <f t="shared" si="2"/>
        <v/>
      </c>
      <c r="AE14" t="str">
        <f t="shared" si="2"/>
        <v/>
      </c>
      <c r="AF14" t="str">
        <f t="shared" si="2"/>
        <v/>
      </c>
      <c r="AG14" t="str">
        <f t="shared" si="2"/>
        <v/>
      </c>
      <c r="AH14" t="str">
        <f t="shared" si="2"/>
        <v/>
      </c>
      <c r="AI14" t="str">
        <f t="shared" si="2"/>
        <v/>
      </c>
      <c r="AJ14" t="str">
        <f t="shared" si="2"/>
        <v/>
      </c>
      <c r="AK14" t="str">
        <f t="shared" si="2"/>
        <v/>
      </c>
      <c r="AL14" t="str">
        <f t="shared" si="2"/>
        <v/>
      </c>
      <c r="AM14" t="str">
        <f t="shared" si="2"/>
        <v/>
      </c>
      <c r="AN14" t="str">
        <f t="shared" si="2"/>
        <v/>
      </c>
      <c r="AO14" t="str">
        <f t="shared" si="2"/>
        <v/>
      </c>
      <c r="AP14" t="str">
        <f t="shared" si="2"/>
        <v/>
      </c>
      <c r="AQ14" t="str">
        <f t="shared" si="2"/>
        <v/>
      </c>
      <c r="AR14" t="str">
        <f t="shared" si="2"/>
        <v/>
      </c>
      <c r="AS14" t="str">
        <f t="shared" si="2"/>
        <v/>
      </c>
      <c r="AT14" t="str">
        <f t="shared" si="2"/>
        <v/>
      </c>
      <c r="AU14" t="str">
        <f t="shared" si="2"/>
        <v/>
      </c>
      <c r="AV14" t="str">
        <f t="shared" si="2"/>
        <v/>
      </c>
      <c r="AW14" t="str">
        <f t="shared" si="2"/>
        <v/>
      </c>
      <c r="AX14" t="str">
        <f t="shared" si="2"/>
        <v/>
      </c>
      <c r="AY14" t="str">
        <f t="shared" si="2"/>
        <v/>
      </c>
      <c r="AZ14" t="str">
        <f t="shared" si="2"/>
        <v/>
      </c>
      <c r="BA14" t="str">
        <f t="shared" si="2"/>
        <v/>
      </c>
      <c r="BB14" t="str">
        <f t="shared" si="2"/>
        <v/>
      </c>
      <c r="BC14" t="str">
        <f t="shared" si="2"/>
        <v/>
      </c>
      <c r="BD14" t="str">
        <f t="shared" si="2"/>
        <v/>
      </c>
      <c r="BE14" t="str">
        <f t="shared" si="2"/>
        <v/>
      </c>
      <c r="BF14" t="str">
        <f t="shared" si="2"/>
        <v/>
      </c>
      <c r="BG14" t="str">
        <f t="shared" si="2"/>
        <v/>
      </c>
      <c r="BH14" t="str">
        <f t="shared" si="2"/>
        <v/>
      </c>
      <c r="BI14" t="str">
        <f t="shared" si="2"/>
        <v/>
      </c>
      <c r="BJ14" t="str">
        <f t="shared" si="2"/>
        <v/>
      </c>
      <c r="BK14" t="str">
        <f t="shared" si="2"/>
        <v/>
      </c>
      <c r="BL14" t="str">
        <f t="shared" si="2"/>
        <v/>
      </c>
      <c r="BM14" t="str">
        <f t="shared" si="2"/>
        <v/>
      </c>
      <c r="BN14" t="str">
        <f t="shared" si="2"/>
        <v/>
      </c>
      <c r="BO14" t="str">
        <f t="shared" si="2"/>
        <v/>
      </c>
      <c r="BP14" t="str">
        <f t="shared" si="2"/>
        <v/>
      </c>
      <c r="BQ14" t="str">
        <f t="shared" si="2"/>
        <v/>
      </c>
      <c r="BR14" t="str">
        <f t="shared" si="2"/>
        <v/>
      </c>
      <c r="BS14" t="str">
        <f t="shared" si="2"/>
        <v/>
      </c>
      <c r="BT14" t="str">
        <f t="shared" ref="BT14:BZ14" si="3">IF(BT10&lt;&gt;"", BT10-$F$10, "")</f>
        <v/>
      </c>
      <c r="BU14" t="str">
        <f t="shared" si="3"/>
        <v/>
      </c>
      <c r="BV14" t="str">
        <f t="shared" si="3"/>
        <v/>
      </c>
      <c r="BW14" t="str">
        <f t="shared" si="3"/>
        <v/>
      </c>
      <c r="BX14" t="str">
        <f t="shared" si="3"/>
        <v/>
      </c>
      <c r="BY14" t="str">
        <f t="shared" si="3"/>
        <v/>
      </c>
      <c r="BZ14" t="str">
        <f t="shared" si="3"/>
        <v/>
      </c>
    </row>
    <row r="15" spans="5:78" x14ac:dyDescent="0.55000000000000004">
      <c r="E15" t="s">
        <v>106</v>
      </c>
      <c r="G15" s="8">
        <v>2019.32</v>
      </c>
      <c r="H15" t="str">
        <f t="shared" ref="H15:BS15" si="4">IF(H13&lt;&gt;"", H13/H14, "")</f>
        <v/>
      </c>
      <c r="I15" t="str">
        <f t="shared" si="4"/>
        <v/>
      </c>
      <c r="J15" t="str">
        <f t="shared" si="4"/>
        <v/>
      </c>
      <c r="K15" t="str">
        <f t="shared" si="4"/>
        <v/>
      </c>
      <c r="L15" t="str">
        <f t="shared" si="4"/>
        <v/>
      </c>
      <c r="M15" t="str">
        <f t="shared" si="4"/>
        <v/>
      </c>
      <c r="N15" t="str">
        <f t="shared" si="4"/>
        <v/>
      </c>
      <c r="O15" t="str">
        <f t="shared" si="4"/>
        <v/>
      </c>
      <c r="P15" t="str">
        <f t="shared" si="4"/>
        <v/>
      </c>
      <c r="Q15" t="str">
        <f t="shared" si="4"/>
        <v/>
      </c>
      <c r="R15" t="str">
        <f t="shared" si="4"/>
        <v/>
      </c>
      <c r="S15" t="str">
        <f t="shared" si="4"/>
        <v/>
      </c>
      <c r="T15" t="str">
        <f t="shared" si="4"/>
        <v/>
      </c>
      <c r="U15" t="str">
        <f t="shared" si="4"/>
        <v/>
      </c>
      <c r="V15" t="str">
        <f t="shared" si="4"/>
        <v/>
      </c>
      <c r="W15" t="str">
        <f t="shared" si="4"/>
        <v/>
      </c>
      <c r="X15" t="str">
        <f t="shared" si="4"/>
        <v/>
      </c>
      <c r="Y15" t="str">
        <f t="shared" si="4"/>
        <v/>
      </c>
      <c r="Z15" t="str">
        <f t="shared" si="4"/>
        <v/>
      </c>
      <c r="AA15" t="str">
        <f t="shared" si="4"/>
        <v/>
      </c>
      <c r="AB15" t="str">
        <f t="shared" si="4"/>
        <v/>
      </c>
      <c r="AC15" t="str">
        <f t="shared" si="4"/>
        <v/>
      </c>
      <c r="AD15" t="str">
        <f t="shared" si="4"/>
        <v/>
      </c>
      <c r="AE15" t="str">
        <f t="shared" si="4"/>
        <v/>
      </c>
      <c r="AF15" t="str">
        <f t="shared" si="4"/>
        <v/>
      </c>
      <c r="AG15" t="str">
        <f t="shared" si="4"/>
        <v/>
      </c>
      <c r="AH15" t="str">
        <f t="shared" si="4"/>
        <v/>
      </c>
      <c r="AI15" t="str">
        <f t="shared" si="4"/>
        <v/>
      </c>
      <c r="AJ15" t="str">
        <f t="shared" si="4"/>
        <v/>
      </c>
      <c r="AK15" t="str">
        <f t="shared" si="4"/>
        <v/>
      </c>
      <c r="AL15" t="str">
        <f t="shared" si="4"/>
        <v/>
      </c>
      <c r="AM15" t="str">
        <f t="shared" si="4"/>
        <v/>
      </c>
      <c r="AN15" t="str">
        <f t="shared" si="4"/>
        <v/>
      </c>
      <c r="AO15" t="str">
        <f t="shared" si="4"/>
        <v/>
      </c>
      <c r="AP15" t="str">
        <f t="shared" si="4"/>
        <v/>
      </c>
      <c r="AQ15" t="str">
        <f t="shared" si="4"/>
        <v/>
      </c>
      <c r="AR15" t="str">
        <f t="shared" si="4"/>
        <v/>
      </c>
      <c r="AS15" t="str">
        <f t="shared" si="4"/>
        <v/>
      </c>
      <c r="AT15" t="str">
        <f t="shared" si="4"/>
        <v/>
      </c>
      <c r="AU15" t="str">
        <f t="shared" si="4"/>
        <v/>
      </c>
      <c r="AV15" t="str">
        <f t="shared" si="4"/>
        <v/>
      </c>
      <c r="AW15" t="str">
        <f t="shared" si="4"/>
        <v/>
      </c>
      <c r="AX15" t="str">
        <f t="shared" si="4"/>
        <v/>
      </c>
      <c r="AY15" t="str">
        <f t="shared" si="4"/>
        <v/>
      </c>
      <c r="AZ15" t="str">
        <f t="shared" si="4"/>
        <v/>
      </c>
      <c r="BA15" t="str">
        <f t="shared" si="4"/>
        <v/>
      </c>
      <c r="BB15" t="str">
        <f t="shared" si="4"/>
        <v/>
      </c>
      <c r="BC15" t="str">
        <f t="shared" si="4"/>
        <v/>
      </c>
      <c r="BD15" t="str">
        <f t="shared" si="4"/>
        <v/>
      </c>
      <c r="BE15" t="str">
        <f t="shared" si="4"/>
        <v/>
      </c>
      <c r="BF15" t="str">
        <f t="shared" si="4"/>
        <v/>
      </c>
      <c r="BG15" t="str">
        <f t="shared" si="4"/>
        <v/>
      </c>
      <c r="BH15" t="str">
        <f t="shared" si="4"/>
        <v/>
      </c>
      <c r="BI15" t="str">
        <f t="shared" si="4"/>
        <v/>
      </c>
      <c r="BJ15" t="str">
        <f t="shared" si="4"/>
        <v/>
      </c>
      <c r="BK15" t="str">
        <f t="shared" si="4"/>
        <v/>
      </c>
      <c r="BL15" t="str">
        <f t="shared" si="4"/>
        <v/>
      </c>
      <c r="BM15" t="str">
        <f t="shared" si="4"/>
        <v/>
      </c>
      <c r="BN15" t="str">
        <f t="shared" si="4"/>
        <v/>
      </c>
      <c r="BO15" t="str">
        <f t="shared" si="4"/>
        <v/>
      </c>
      <c r="BP15" t="str">
        <f t="shared" si="4"/>
        <v/>
      </c>
      <c r="BQ15" t="str">
        <f t="shared" si="4"/>
        <v/>
      </c>
      <c r="BR15" t="str">
        <f t="shared" si="4"/>
        <v/>
      </c>
      <c r="BS15" t="str">
        <f t="shared" si="4"/>
        <v/>
      </c>
      <c r="BT15" t="str">
        <f t="shared" ref="BT15:BZ15" si="5">IF(BT13&lt;&gt;"", BT13/BT14, "")</f>
        <v/>
      </c>
      <c r="BU15" t="str">
        <f t="shared" si="5"/>
        <v/>
      </c>
      <c r="BV15" t="str">
        <f t="shared" si="5"/>
        <v/>
      </c>
      <c r="BW15" t="str">
        <f t="shared" si="5"/>
        <v/>
      </c>
      <c r="BX15" t="str">
        <f t="shared" si="5"/>
        <v/>
      </c>
      <c r="BY15" t="str">
        <f t="shared" si="5"/>
        <v/>
      </c>
      <c r="BZ15" t="str">
        <f t="shared" si="5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input_parameters</vt:lpstr>
      <vt:lpstr>markov_trace</vt:lpstr>
      <vt:lpstr>state_costs</vt:lpstr>
      <vt:lpstr>state_qalys</vt:lpstr>
      <vt:lpstr>model_settings</vt:lpstr>
      <vt:lpstr>Results</vt:lpstr>
      <vt:lpstr>PSA</vt:lpstr>
      <vt:lpstr>Results PSA</vt:lpstr>
      <vt:lpstr>last_psa_run_samples</vt:lpstr>
      <vt:lpstr>n_cycles</vt:lpstr>
      <vt:lpstr>n_samples</vt:lpstr>
      <vt:lpstr>n_states</vt:lpstr>
      <vt:lpstr>n_treatments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Thom</dc:creator>
  <cp:lastModifiedBy>Howard Thom</cp:lastModifiedBy>
  <dcterms:created xsi:type="dcterms:W3CDTF">2023-01-03T09:33:38Z</dcterms:created>
  <dcterms:modified xsi:type="dcterms:W3CDTF">2026-01-31T16:00:20Z</dcterms:modified>
</cp:coreProperties>
</file>