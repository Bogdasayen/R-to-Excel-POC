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898e5cc837f6cd5/Documents/Thomstat/R-to-Excel-POC/output/"/>
    </mc:Choice>
  </mc:AlternateContent>
  <xr:revisionPtr revIDLastSave="0" documentId="109_{69F2E286-4D3A-4013-9B68-A1CDECBF1A38}" xr6:coauthVersionLast="47" xr6:coauthVersionMax="47" xr10:uidLastSave="{00000000-0000-0000-0000-000000000000}"/>
  <bookViews>
    <workbookView xWindow="-96" yWindow="-96" windowWidth="23232" windowHeight="12432" firstSheet="1" activeTab="7" xr2:uid="{00000000-000D-0000-FFFF-FFFF00000000}"/>
  </bookViews>
  <sheets>
    <sheet name="input_parameters" sheetId="9" r:id="rId1"/>
    <sheet name="markov_trace" sheetId="8" r:id="rId2"/>
    <sheet name="state_costs" sheetId="10" r:id="rId3"/>
    <sheet name="state_qalys" sheetId="11" r:id="rId4"/>
    <sheet name="model_settings" sheetId="12" r:id="rId5"/>
    <sheet name="Results" sheetId="13" r:id="rId6"/>
    <sheet name="PSA" sheetId="7" r:id="rId7"/>
    <sheet name="Results PSA" sheetId="14" r:id="rId8"/>
  </sheets>
  <definedNames>
    <definedName name="analysis_type">#REF!</definedName>
    <definedName name="average_costs_aspirin">#REF!</definedName>
    <definedName name="average_costs_warfarin">#REF!</definedName>
    <definedName name="average_incremental_costs">#REF!</definedName>
    <definedName name="average_incremental_net_benefit">#REF!</definedName>
    <definedName name="average_incremental_qalys">#REF!</definedName>
    <definedName name="average_net_benefit_aspirin">#REF!</definedName>
    <definedName name="average_net_benefit_warfarin">#REF!</definedName>
    <definedName name="average_qalys_aspirin">#REF!</definedName>
    <definedName name="average_qalys_warfarin">#REF!</definedName>
    <definedName name="hidden_named_cell">#REF!</definedName>
    <definedName name="last_psa_run_samples">PSA!$G$6</definedName>
    <definedName name="n_cycles">PSA!$G$2</definedName>
    <definedName name="n_samples">PSA!$G$5</definedName>
    <definedName name="n_states">PSA!$G$3</definedName>
    <definedName name="n_treatments">PSA!$G$4</definedName>
    <definedName name="net_benefit_aspirin">#REF!</definedName>
    <definedName name="net_benefit_warfarin">#REF!</definedName>
    <definedName name="test_name">#REF!</definedName>
    <definedName name="total_costs_aspirin">#REF!</definedName>
    <definedName name="total_costs_warfarin">#REF!</definedName>
    <definedName name="total_qalys_aspirin">#REF!</definedName>
    <definedName name="total_qalys_warfarin">#REF!</definedName>
    <definedName name="willingness_to_pa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Z14" i="14" l="1"/>
  <c r="BY14" i="14"/>
  <c r="BX14" i="14"/>
  <c r="BW14" i="14"/>
  <c r="BV14" i="14"/>
  <c r="BU14" i="14"/>
  <c r="BT14" i="14"/>
  <c r="BS14" i="14"/>
  <c r="BR14" i="14"/>
  <c r="BQ14" i="14"/>
  <c r="BP14" i="14"/>
  <c r="BO14" i="14"/>
  <c r="BN14" i="14"/>
  <c r="BM14" i="14"/>
  <c r="BL14" i="14"/>
  <c r="BK14" i="14"/>
  <c r="BJ14" i="14"/>
  <c r="BI14" i="14"/>
  <c r="BH14" i="14"/>
  <c r="BG14" i="14"/>
  <c r="BF14" i="14"/>
  <c r="BE14" i="14"/>
  <c r="BD14" i="14"/>
  <c r="BC14" i="14"/>
  <c r="BB14" i="14"/>
  <c r="BA14" i="14"/>
  <c r="AZ14" i="14"/>
  <c r="AY14" i="14"/>
  <c r="AX14" i="14"/>
  <c r="AW14" i="14"/>
  <c r="AV14" i="14"/>
  <c r="AU14" i="14"/>
  <c r="AT14" i="14"/>
  <c r="AS14" i="14"/>
  <c r="AR14" i="14"/>
  <c r="AQ14" i="14"/>
  <c r="AP14" i="14"/>
  <c r="AO14" i="14"/>
  <c r="AN14" i="14"/>
  <c r="AM14" i="14"/>
  <c r="AL14" i="14"/>
  <c r="AK14" i="14"/>
  <c r="AJ14" i="14"/>
  <c r="AI14" i="14"/>
  <c r="AH14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R14" i="14"/>
  <c r="Q14" i="14"/>
  <c r="P14" i="14"/>
  <c r="O14" i="14"/>
  <c r="N14" i="14"/>
  <c r="M14" i="14"/>
  <c r="L14" i="14"/>
  <c r="K14" i="14"/>
  <c r="J14" i="14"/>
  <c r="I14" i="14"/>
  <c r="H14" i="14"/>
  <c r="BZ13" i="14"/>
  <c r="BZ15" i="14" s="1"/>
  <c r="BY13" i="14"/>
  <c r="BY15" i="14" s="1"/>
  <c r="BX13" i="14"/>
  <c r="BX15" i="14" s="1"/>
  <c r="BW13" i="14"/>
  <c r="BW15" i="14" s="1"/>
  <c r="BV13" i="14"/>
  <c r="BV15" i="14" s="1"/>
  <c r="BU13" i="14"/>
  <c r="BU15" i="14" s="1"/>
  <c r="BT13" i="14"/>
  <c r="BT15" i="14" s="1"/>
  <c r="BS13" i="14"/>
  <c r="BS15" i="14" s="1"/>
  <c r="BR13" i="14"/>
  <c r="BR15" i="14" s="1"/>
  <c r="BQ13" i="14"/>
  <c r="BQ15" i="14" s="1"/>
  <c r="BP13" i="14"/>
  <c r="BP15" i="14" s="1"/>
  <c r="BO13" i="14"/>
  <c r="BO15" i="14" s="1"/>
  <c r="BN13" i="14"/>
  <c r="BN15" i="14" s="1"/>
  <c r="BM13" i="14"/>
  <c r="BM15" i="14" s="1"/>
  <c r="BL13" i="14"/>
  <c r="BL15" i="14" s="1"/>
  <c r="BK13" i="14"/>
  <c r="BK15" i="14" s="1"/>
  <c r="BJ13" i="14"/>
  <c r="BJ15" i="14" s="1"/>
  <c r="BI13" i="14"/>
  <c r="BI15" i="14" s="1"/>
  <c r="BH13" i="14"/>
  <c r="BH15" i="14" s="1"/>
  <c r="BG13" i="14"/>
  <c r="BG15" i="14" s="1"/>
  <c r="BF13" i="14"/>
  <c r="BF15" i="14" s="1"/>
  <c r="BE13" i="14"/>
  <c r="BE15" i="14" s="1"/>
  <c r="BD13" i="14"/>
  <c r="BD15" i="14" s="1"/>
  <c r="BC13" i="14"/>
  <c r="BC15" i="14" s="1"/>
  <c r="BB13" i="14"/>
  <c r="BB15" i="14" s="1"/>
  <c r="BA13" i="14"/>
  <c r="BA15" i="14" s="1"/>
  <c r="AZ13" i="14"/>
  <c r="AZ15" i="14" s="1"/>
  <c r="AY13" i="14"/>
  <c r="AY15" i="14" s="1"/>
  <c r="AX13" i="14"/>
  <c r="AX15" i="14" s="1"/>
  <c r="AW13" i="14"/>
  <c r="AW15" i="14" s="1"/>
  <c r="AV13" i="14"/>
  <c r="AV15" i="14" s="1"/>
  <c r="AU13" i="14"/>
  <c r="AU15" i="14" s="1"/>
  <c r="AT13" i="14"/>
  <c r="AT15" i="14" s="1"/>
  <c r="AS13" i="14"/>
  <c r="AS15" i="14" s="1"/>
  <c r="AR13" i="14"/>
  <c r="AR15" i="14" s="1"/>
  <c r="AQ13" i="14"/>
  <c r="AQ15" i="14" s="1"/>
  <c r="AP13" i="14"/>
  <c r="AP15" i="14" s="1"/>
  <c r="AO13" i="14"/>
  <c r="AO15" i="14" s="1"/>
  <c r="AN13" i="14"/>
  <c r="AN15" i="14" s="1"/>
  <c r="AM13" i="14"/>
  <c r="AM15" i="14" s="1"/>
  <c r="AL13" i="14"/>
  <c r="AL15" i="14" s="1"/>
  <c r="AK13" i="14"/>
  <c r="AK15" i="14" s="1"/>
  <c r="AJ13" i="14"/>
  <c r="AJ15" i="14" s="1"/>
  <c r="AI13" i="14"/>
  <c r="AI15" i="14" s="1"/>
  <c r="AH13" i="14"/>
  <c r="AH15" i="14" s="1"/>
  <c r="AG13" i="14"/>
  <c r="AG15" i="14" s="1"/>
  <c r="AF13" i="14"/>
  <c r="AF15" i="14" s="1"/>
  <c r="AE13" i="14"/>
  <c r="AE15" i="14" s="1"/>
  <c r="AD13" i="14"/>
  <c r="AD15" i="14" s="1"/>
  <c r="AC13" i="14"/>
  <c r="AC15" i="14" s="1"/>
  <c r="AB13" i="14"/>
  <c r="AB15" i="14" s="1"/>
  <c r="AA13" i="14"/>
  <c r="AA15" i="14" s="1"/>
  <c r="Z13" i="14"/>
  <c r="Z15" i="14" s="1"/>
  <c r="Y13" i="14"/>
  <c r="Y15" i="14" s="1"/>
  <c r="X13" i="14"/>
  <c r="X15" i="14" s="1"/>
  <c r="W13" i="14"/>
  <c r="W15" i="14" s="1"/>
  <c r="V13" i="14"/>
  <c r="V15" i="14" s="1"/>
  <c r="U13" i="14"/>
  <c r="U15" i="14" s="1"/>
  <c r="T13" i="14"/>
  <c r="T15" i="14" s="1"/>
  <c r="S13" i="14"/>
  <c r="S15" i="14" s="1"/>
  <c r="R13" i="14"/>
  <c r="R15" i="14" s="1"/>
  <c r="Q13" i="14"/>
  <c r="Q15" i="14" s="1"/>
  <c r="P13" i="14"/>
  <c r="P15" i="14" s="1"/>
  <c r="O13" i="14"/>
  <c r="O15" i="14" s="1"/>
  <c r="N13" i="14"/>
  <c r="N15" i="14" s="1"/>
  <c r="M13" i="14"/>
  <c r="M15" i="14" s="1"/>
  <c r="L13" i="14"/>
  <c r="L15" i="14" s="1"/>
  <c r="K13" i="14"/>
  <c r="K15" i="14" s="1"/>
  <c r="J13" i="14"/>
  <c r="J15" i="14" s="1"/>
  <c r="I13" i="14"/>
  <c r="I15" i="14" s="1"/>
  <c r="H13" i="14"/>
  <c r="H15" i="14" s="1"/>
  <c r="BZ8" i="14"/>
  <c r="BY8" i="14"/>
  <c r="BX8" i="14"/>
  <c r="BW8" i="14"/>
  <c r="BV8" i="14"/>
  <c r="BU8" i="14"/>
  <c r="BT8" i="14"/>
  <c r="BS8" i="14"/>
  <c r="BR8" i="14"/>
  <c r="BQ8" i="14"/>
  <c r="BP8" i="14"/>
  <c r="BO8" i="14"/>
  <c r="BN8" i="14"/>
  <c r="BM8" i="14"/>
  <c r="BL8" i="14"/>
  <c r="BK8" i="14"/>
  <c r="BJ8" i="14"/>
  <c r="BI8" i="14"/>
  <c r="BH8" i="14"/>
  <c r="BG8" i="14"/>
  <c r="BF8" i="14"/>
  <c r="BE8" i="14"/>
  <c r="BD8" i="14"/>
  <c r="BC8" i="14"/>
  <c r="BB8" i="14"/>
  <c r="BA8" i="14"/>
  <c r="AZ8" i="14"/>
  <c r="AY8" i="14"/>
  <c r="AX8" i="14"/>
  <c r="AW8" i="14"/>
  <c r="AV8" i="14"/>
  <c r="AU8" i="14"/>
  <c r="AT8" i="14"/>
  <c r="AS8" i="14"/>
  <c r="AR8" i="14"/>
  <c r="AQ8" i="14"/>
  <c r="AP8" i="14"/>
  <c r="AO8" i="14"/>
  <c r="AN8" i="14"/>
  <c r="AM8" i="14"/>
  <c r="AL8" i="14"/>
  <c r="AK8" i="14"/>
  <c r="AJ8" i="14"/>
  <c r="AI8" i="14"/>
  <c r="AH8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R8" i="14"/>
  <c r="Q8" i="14"/>
  <c r="P8" i="14"/>
  <c r="O8" i="14"/>
  <c r="N8" i="14"/>
  <c r="M8" i="14"/>
  <c r="L8" i="14"/>
  <c r="K8" i="14"/>
  <c r="J8" i="14"/>
  <c r="I8" i="14"/>
  <c r="H8" i="14"/>
  <c r="G8" i="14"/>
  <c r="F8" i="14"/>
  <c r="BZ7" i="7"/>
  <c r="BY7" i="7"/>
  <c r="BX7" i="7"/>
  <c r="BW7" i="7"/>
  <c r="BV7" i="7"/>
  <c r="BU7" i="7"/>
  <c r="BT7" i="7"/>
  <c r="BS7" i="7"/>
  <c r="BR7" i="7"/>
  <c r="BQ7" i="7"/>
  <c r="BP7" i="7"/>
  <c r="BO7" i="7"/>
  <c r="BN7" i="7"/>
  <c r="BM7" i="7"/>
  <c r="BL7" i="7"/>
  <c r="BK7" i="7"/>
  <c r="BJ7" i="7"/>
  <c r="BI7" i="7"/>
  <c r="BH7" i="7"/>
  <c r="BG7" i="7"/>
  <c r="BF7" i="7"/>
  <c r="BE7" i="7"/>
  <c r="BD7" i="7"/>
  <c r="BC7" i="7"/>
  <c r="BB7" i="7"/>
  <c r="BA7" i="7"/>
  <c r="AZ7" i="7"/>
  <c r="AY7" i="7"/>
  <c r="AX7" i="7"/>
  <c r="AW7" i="7"/>
  <c r="AV7" i="7"/>
  <c r="AU7" i="7"/>
  <c r="AT7" i="7"/>
  <c r="AS7" i="7"/>
  <c r="AR7" i="7"/>
  <c r="AQ7" i="7"/>
  <c r="AP7" i="7"/>
  <c r="AO7" i="7"/>
  <c r="AN7" i="7"/>
  <c r="AM7" i="7"/>
  <c r="AL7" i="7"/>
  <c r="AK7" i="7"/>
  <c r="AJ7" i="7"/>
  <c r="AI7" i="7"/>
  <c r="AH7" i="7"/>
  <c r="AG7" i="7"/>
  <c r="AF7" i="7"/>
  <c r="AE7" i="7"/>
  <c r="AD7" i="7"/>
  <c r="AC7" i="7"/>
  <c r="AB7" i="7"/>
  <c r="AA7" i="7"/>
  <c r="Z7" i="7"/>
  <c r="Y7" i="7"/>
  <c r="X7" i="7"/>
  <c r="W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G7" i="7"/>
  <c r="F7" i="7"/>
  <c r="E7" i="7"/>
  <c r="G4" i="7"/>
  <c r="G3" i="7"/>
  <c r="BZ2" i="7"/>
  <c r="BY2" i="7"/>
  <c r="BX2" i="7"/>
  <c r="BW2" i="7"/>
  <c r="BV2" i="7"/>
  <c r="BU2" i="7"/>
  <c r="BT2" i="7"/>
  <c r="BS2" i="7"/>
  <c r="BR2" i="7"/>
  <c r="BQ2" i="7"/>
  <c r="BP2" i="7"/>
  <c r="BO2" i="7"/>
  <c r="BN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Q2" i="7"/>
  <c r="AP2" i="7"/>
  <c r="AO2" i="7"/>
  <c r="AN2" i="7"/>
  <c r="AM2" i="7"/>
  <c r="AL2" i="7"/>
  <c r="AK2" i="7"/>
  <c r="AJ2" i="7"/>
  <c r="AI2" i="7"/>
  <c r="AH2" i="7"/>
  <c r="AG2" i="7"/>
  <c r="AF2" i="7"/>
  <c r="AE2" i="7"/>
  <c r="AD2" i="7"/>
  <c r="AC2" i="7"/>
  <c r="AB2" i="7"/>
  <c r="AA2" i="7"/>
  <c r="Z2" i="7"/>
  <c r="Y2" i="7"/>
  <c r="X2" i="7"/>
  <c r="W2" i="7"/>
  <c r="V2" i="7"/>
  <c r="U2" i="7"/>
  <c r="T2" i="7"/>
  <c r="S2" i="7"/>
  <c r="R2" i="7"/>
  <c r="Q2" i="7"/>
  <c r="P2" i="7"/>
  <c r="O2" i="7"/>
  <c r="N2" i="7"/>
  <c r="M2" i="7"/>
  <c r="L2" i="7"/>
  <c r="K2" i="7"/>
  <c r="J2" i="7"/>
  <c r="G2" i="7"/>
  <c r="I9" i="8"/>
  <c r="H9" i="8"/>
  <c r="G9" i="8"/>
  <c r="F9" i="8"/>
  <c r="O16" i="9"/>
  <c r="O15" i="9"/>
  <c r="O14" i="9"/>
  <c r="O13" i="9"/>
  <c r="H9" i="11" s="1"/>
  <c r="O12" i="9"/>
  <c r="E9" i="11" s="1"/>
  <c r="O11" i="9"/>
  <c r="O10" i="9"/>
  <c r="O9" i="9"/>
  <c r="G9" i="10" l="1"/>
  <c r="N9" i="8" s="1"/>
  <c r="G10" i="8"/>
  <c r="H10" i="8"/>
  <c r="I10" i="8"/>
  <c r="G9" i="11"/>
  <c r="Q9" i="8" s="1"/>
  <c r="F10" i="8"/>
  <c r="E9" i="10"/>
  <c r="F9" i="11"/>
  <c r="M9" i="8" s="1"/>
  <c r="K9" i="8"/>
  <c r="G11" i="8" l="1"/>
  <c r="P9" i="8"/>
  <c r="H11" i="8"/>
  <c r="I11" i="8"/>
  <c r="P10" i="8"/>
  <c r="N10" i="8"/>
  <c r="Q10" i="8"/>
  <c r="O9" i="8"/>
  <c r="O10" i="8"/>
  <c r="J9" i="8"/>
  <c r="L9" i="8"/>
  <c r="M10" i="8"/>
  <c r="K10" i="8"/>
  <c r="J10" i="8"/>
  <c r="F11" i="8"/>
  <c r="L10" i="8"/>
  <c r="O11" i="8" l="1"/>
  <c r="H12" i="8"/>
  <c r="P11" i="8"/>
  <c r="N11" i="8"/>
  <c r="G12" i="8"/>
  <c r="Q11" i="8"/>
  <c r="I12" i="8"/>
  <c r="M11" i="8"/>
  <c r="L11" i="8"/>
  <c r="K11" i="8"/>
  <c r="F12" i="8"/>
  <c r="J11" i="8"/>
  <c r="I13" i="8" l="1"/>
  <c r="H13" i="8"/>
  <c r="I14" i="8" s="1"/>
  <c r="P12" i="8"/>
  <c r="Q12" i="8"/>
  <c r="N12" i="8"/>
  <c r="O12" i="8"/>
  <c r="G13" i="8"/>
  <c r="L12" i="8"/>
  <c r="M12" i="8"/>
  <c r="K12" i="8"/>
  <c r="J12" i="8"/>
  <c r="F13" i="8"/>
  <c r="P13" i="8" l="1"/>
  <c r="N13" i="8"/>
  <c r="O13" i="8"/>
  <c r="H14" i="8"/>
  <c r="Q13" i="8"/>
  <c r="H15" i="8"/>
  <c r="P14" i="8"/>
  <c r="O14" i="8"/>
  <c r="Q14" i="8"/>
  <c r="N14" i="8"/>
  <c r="I15" i="8"/>
  <c r="M13" i="8"/>
  <c r="K13" i="8"/>
  <c r="F14" i="8"/>
  <c r="J13" i="8"/>
  <c r="L13" i="8"/>
  <c r="G14" i="8"/>
  <c r="I16" i="8" l="1"/>
  <c r="M14" i="8"/>
  <c r="J14" i="8"/>
  <c r="K14" i="8"/>
  <c r="F15" i="8"/>
  <c r="L14" i="8"/>
  <c r="O15" i="8"/>
  <c r="H16" i="8"/>
  <c r="P15" i="8"/>
  <c r="N15" i="8"/>
  <c r="Q15" i="8"/>
  <c r="G15" i="8"/>
  <c r="M15" i="8" l="1"/>
  <c r="L15" i="8"/>
  <c r="K15" i="8"/>
  <c r="J15" i="8"/>
  <c r="F16" i="8"/>
  <c r="O16" i="8"/>
  <c r="N16" i="8"/>
  <c r="H17" i="8"/>
  <c r="P16" i="8"/>
  <c r="Q16" i="8"/>
  <c r="G16" i="8"/>
  <c r="G17" i="8" s="1"/>
  <c r="I17" i="8"/>
  <c r="I18" i="8" l="1"/>
  <c r="H18" i="8"/>
  <c r="P17" i="8"/>
  <c r="Q17" i="8"/>
  <c r="O17" i="8"/>
  <c r="N17" i="8"/>
  <c r="M16" i="8"/>
  <c r="K16" i="8"/>
  <c r="J16" i="8"/>
  <c r="F17" i="8"/>
  <c r="L16" i="8"/>
  <c r="P18" i="8" l="1"/>
  <c r="G9" i="13" s="1"/>
  <c r="N18" i="8"/>
  <c r="G11" i="13" s="1"/>
  <c r="O18" i="8"/>
  <c r="G12" i="13" s="1"/>
  <c r="Q18" i="8"/>
  <c r="G10" i="13" s="1"/>
  <c r="M17" i="8"/>
  <c r="K17" i="8"/>
  <c r="F18" i="8"/>
  <c r="L17" i="8"/>
  <c r="J17" i="8"/>
  <c r="G18" i="8"/>
  <c r="L18" i="8" l="1"/>
  <c r="F9" i="13" s="1"/>
  <c r="F13" i="13" s="1"/>
  <c r="M18" i="8"/>
  <c r="F10" i="13" s="1"/>
  <c r="F14" i="13" s="1"/>
  <c r="K18" i="8"/>
  <c r="F12" i="13" s="1"/>
  <c r="J18" i="8"/>
  <c r="F11" i="13" s="1"/>
  <c r="G13" i="13" l="1"/>
  <c r="G14" i="13"/>
  <c r="G15" i="13" l="1"/>
</calcChain>
</file>

<file path=xl/sharedStrings.xml><?xml version="1.0" encoding="utf-8"?>
<sst xmlns="http://schemas.openxmlformats.org/spreadsheetml/2006/main" count="155" uniqueCount="118">
  <si>
    <t>n samples</t>
  </si>
  <si>
    <t>Last n samples used</t>
  </si>
  <si>
    <t>sample</t>
  </si>
  <si>
    <t>This sheet uses an Excel Macro to calculate average time spent in each state</t>
  </si>
  <si>
    <t>Setting</t>
  </si>
  <si>
    <t>Value</t>
  </si>
  <si>
    <t>Modifiable</t>
  </si>
  <si>
    <t>excel_value_location</t>
  </si>
  <si>
    <t>cycle_length</t>
  </si>
  <si>
    <t>0.5</t>
  </si>
  <si>
    <t>Y</t>
  </si>
  <si>
    <t>model_settings!F9</t>
  </si>
  <si>
    <t>costs_dr</t>
  </si>
  <si>
    <t>0.035</t>
  </si>
  <si>
    <t>model_settings!F10</t>
  </si>
  <si>
    <t>qalys_dr</t>
  </si>
  <si>
    <t>model_settings!F11</t>
  </si>
  <si>
    <t>n_samples</t>
  </si>
  <si>
    <t>1000</t>
  </si>
  <si>
    <t>model_settings!F12</t>
  </si>
  <si>
    <t>willingness_to_pay</t>
  </si>
  <si>
    <t>20000</t>
  </si>
  <si>
    <t>model_settings!F13</t>
  </si>
  <si>
    <t>reference_treatment</t>
  </si>
  <si>
    <t>SoC</t>
  </si>
  <si>
    <t>N</t>
  </si>
  <si>
    <t>model_settings!F14</t>
  </si>
  <si>
    <t>n_cycles</t>
  </si>
  <si>
    <t>10</t>
  </si>
  <si>
    <t>model_settings!F15</t>
  </si>
  <si>
    <t>n_states</t>
  </si>
  <si>
    <t>2</t>
  </si>
  <si>
    <t>model_settings!F16</t>
  </si>
  <si>
    <t>n_parameters</t>
  </si>
  <si>
    <t>8</t>
  </si>
  <si>
    <t>model_settings!F17</t>
  </si>
  <si>
    <t>n_treatments</t>
  </si>
  <si>
    <t>model_settings!F18</t>
  </si>
  <si>
    <t>v_names</t>
  </si>
  <si>
    <t>v_descriptions</t>
  </si>
  <si>
    <t>v_type</t>
  </si>
  <si>
    <t>v_distributions</t>
  </si>
  <si>
    <t>hp_1</t>
  </si>
  <si>
    <t>hp_2</t>
  </si>
  <si>
    <t>from</t>
  </si>
  <si>
    <t>to</t>
  </si>
  <si>
    <t>v_treatment</t>
  </si>
  <si>
    <t>v_state</t>
  </si>
  <si>
    <t>excel_formulae</t>
  </si>
  <si>
    <t>Probability quit smoking website</t>
  </si>
  <si>
    <t>Probability of quitting if on smoking website, follows a beta distribution</t>
  </si>
  <si>
    <t>transition_probability</t>
  </si>
  <si>
    <t>beta</t>
  </si>
  <si>
    <t>input_parameters!O9</t>
  </si>
  <si>
    <t>Probability quit smoking SoC</t>
  </si>
  <si>
    <t>Probability of quitting smoking if on SoC, follows a beta distribution</t>
  </si>
  <si>
    <t>input_parameters!O10</t>
  </si>
  <si>
    <t>Probability relapse</t>
  </si>
  <si>
    <t>Probability relapse, which is same across treatments and follows a beta distribution</t>
  </si>
  <si>
    <t>input_parameters!O11</t>
  </si>
  <si>
    <t>Utility smoking</t>
  </si>
  <si>
    <t>Utility smoking, follows a Normal distribution</t>
  </si>
  <si>
    <t>utility</t>
  </si>
  <si>
    <t>normal</t>
  </si>
  <si>
    <t>input_parameters!O12</t>
  </si>
  <si>
    <t>Utility not smoking</t>
  </si>
  <si>
    <t>Utility not smoking, follows a Normal distribution</t>
  </si>
  <si>
    <t>fixed</t>
  </si>
  <si>
    <t>input_parameters!O13</t>
  </si>
  <si>
    <t>Cost website</t>
  </si>
  <si>
    <t>Cost website, fixed value and model assumes no cost of SoC and no state costs</t>
  </si>
  <si>
    <t>one_off_cost</t>
  </si>
  <si>
    <t>input_parameters!O14</t>
  </si>
  <si>
    <t>Cost GP smoking</t>
  </si>
  <si>
    <t>Cost of 6-monthly, on average, GP visit (£49 from PRSSU) for smoking related illness, follows Normal distribution</t>
  </si>
  <si>
    <t>cost</t>
  </si>
  <si>
    <t>input_parameters!O15</t>
  </si>
  <si>
    <t>Cost statin smoking</t>
  </si>
  <si>
    <t>Cost of roughly 20% of smokers taking statins (pravastatin at £3.45 per month), follows Normal distribution</t>
  </si>
  <si>
    <t>input_parameters!O16</t>
  </si>
  <si>
    <t>SoC_Smoking</t>
  </si>
  <si>
    <t>SoC_Not smoking</t>
  </si>
  <si>
    <t>SoC with website_Smoking</t>
  </si>
  <si>
    <t>SoC with website_Not smoking</t>
  </si>
  <si>
    <t>cycle</t>
  </si>
  <si>
    <t>SoC Undiscounted Costs</t>
  </si>
  <si>
    <t>SoC Undiscounted QALYs</t>
  </si>
  <si>
    <t>SoC Discounted Costs</t>
  </si>
  <si>
    <t>SoC Discounted QALYs</t>
  </si>
  <si>
    <t>SoC with website Undiscounted Costs</t>
  </si>
  <si>
    <t>SoC with website Undiscounted QALYs</t>
  </si>
  <si>
    <t>SoC with website Discounted Costs</t>
  </si>
  <si>
    <t>SoC with website Discounted QALYs</t>
  </si>
  <si>
    <t>setting_names</t>
  </si>
  <si>
    <t>settings</t>
  </si>
  <si>
    <t>n cycles</t>
  </si>
  <si>
    <t>n states</t>
  </si>
  <si>
    <t>n treatments</t>
  </si>
  <si>
    <t>Result</t>
  </si>
  <si>
    <t>SoC with website</t>
  </si>
  <si>
    <t>Total Costs</t>
  </si>
  <si>
    <t>Total QALYs</t>
  </si>
  <si>
    <t>Total Costs (undiscounted)</t>
  </si>
  <si>
    <t>Total QALYs (undiscounted)</t>
  </si>
  <si>
    <t>Incremental Costs</t>
  </si>
  <si>
    <t>Incremental QALYs</t>
  </si>
  <si>
    <t>ICER</t>
  </si>
  <si>
    <t>Average of totals</t>
  </si>
  <si>
    <t>312.68 (248.49, 377.52)</t>
  </si>
  <si>
    <t>4.476 (4.349, 4.594)</t>
  </si>
  <si>
    <t>333.60 (263.33, 404.53)</t>
  </si>
  <si>
    <t>4.832 (4.697, 4.958)</t>
  </si>
  <si>
    <t>338.26 (273.96, 402.01)</t>
  </si>
  <si>
    <t>4.488 (4.367, 4.597)</t>
  </si>
  <si>
    <t>356.80 (286.90, 426.98)</t>
  </si>
  <si>
    <t>4.845 (4.717, 4.962)</t>
  </si>
  <si>
    <t>25.58 (-57.22, 100.53)</t>
  </si>
  <si>
    <t>0.012 (-0.028, 0.069)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</si>
</sst>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/>
    <xf numFmtId="0" fontId="2" fillId="0" borderId="0" xfId="0" applyFont="1"/>
    <xf numFmtId="0" fontId="1" fillId="0" borderId="2" xfId="0" applyFont="1" applyBorder="1"/>
    <xf numFmtId="0" fontId="3" fillId="0" borderId="2" xfId="0" applyFont="1" applyBorder="1"/>
    <xf numFmtId="0" fontId="1" fillId="0" borderId="0" xfId="0" applyFont="1"/>
    <xf numFmtId="2" fontId="3" fillId="0" borderId="0" xfId="0" applyNumberFormat="1" applyFont="1"/>
    <xf numFmtId="0" fontId="0" fillId="0" borderId="1" xfId="0" applyBorder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145" name="Button 1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500-0000011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1F09452-8640-1DFE-A2E0-85E41B577ED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510A97C-C4DC-7D73-EA9A-D084C9248AD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BCD6BD5-B10A-65A2-270D-BC26563CF61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1AE9DB6-D72B-5859-D6A0-5AB2A146CFA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B037739-9D0E-AED3-0E3C-4955076F9F0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4578EB84-BB67-AD3F-0F07-62E7A908642C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8E1C8FB-B34D-60BC-20FB-01B95A6319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0268208-8C80-3912-5498-C14F57CBD2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3FA6979-53F6-F25B-3F38-AC706A52743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0CFC387-7A4A-CA1F-FD09-E1095C2F17A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38BCB9F-86C5-ED5F-758A-15039BC2FC0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77E90AE-5F17-D6EB-3CD8-280D83BDE8DA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8DACDE3-13D0-6F2B-0E09-020CCB84F5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4F206B3-5803-BA18-0181-793D4C0F425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F54A614-8FBA-E5A6-9E0E-28704DB163A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1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777A101-ACF7-E3B4-7120-C10D08220D2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9289C9-4EB5-74F9-AA39-E50BA420266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FB9AE5-0F30-834B-46CC-9C0DB32D3DE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9B7E11A8-0246-E4F1-4D02-BFB5661A7E9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795338</xdr:colOff>
      <xdr:row>3</xdr:row>
      <xdr:rowOff>4763</xdr:rowOff>
    </xdr:from>
    <xdr:to>
      <xdr:col>3</xdr:col>
      <xdr:colOff>1633538</xdr:colOff>
      <xdr:row>5</xdr:row>
      <xdr:rowOff>0</xdr:rowOff>
    </xdr:to>
    <xdr:sp macro="" textlink="">
      <xdr:nvSpPr>
        <xdr:cNvPr id="2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AB61C7B5-1E72-7771-60EC-A37DFDF3ECA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45720" tIns="45720" rIns="45720" bIns="45720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61E8C40-2044-865F-2043-1740F3B4402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E69DC08-0A3D-3F03-17B1-EA1CAD7B8B1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2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6E70AC89-9215-671D-9DBC-4B77237B152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FDAD461-9EF2-2549-D4A0-936EB2317CED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B16AD0F-73AE-AF9C-C82B-1F9E970B5AA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3FE3DFE-8C9E-345B-896A-F222A793785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8D61FC1-9B4F-43B4-B0CE-99B6F8CB73E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D53483FA-8F19-6161-AF02-380EFFD6A3AF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F635419A-C9B5-1449-B163-ABC77BC5945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7E342E9-FD02-D289-3084-8BA9977CB69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3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A84FCC8-46F7-91B6-35FC-0E87556EC8C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B540E9CB-2E1D-9720-1FC4-D7F272A78C3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27F8D2-23F8-FF2D-E390-FCC9029D192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CBD7D736-5FA0-27B8-7FED-0569EDF5B04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CB529B7-5FED-E52D-30A2-E0D820645FA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4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1D07F993-E65D-16D4-E859-0FD22BC849C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5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544C5AD-327E-AD84-E21A-C2C7B414C1E9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6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0793B9A-3DE2-D387-FDD3-B2D87F32922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7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7B48F8DE-6043-8F17-9DD9-A2878D6DEBA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8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8A14A289-CA21-4690-4288-F9CBF99DC062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49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0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54C209E4-F5BE-575A-5AFE-7F04D954988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1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2FF3A4E3-F87E-AB4D-8649-4585748A372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636270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2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E6618261-18A0-1F67-8DCB-152B2D5C0E58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xdr:twoCellAnchor>
    <xdr:from>
      <xdr:col>1</xdr:col>
      <xdr:colOff>640080</xdr:colOff>
      <xdr:row>3</xdr:row>
      <xdr:rowOff>3810</xdr:rowOff>
    </xdr:from>
    <xdr:to>
      <xdr:col>3</xdr:col>
      <xdr:colOff>1306830</xdr:colOff>
      <xdr:row>5</xdr:row>
      <xdr:rowOff>0</xdr:rowOff>
    </xdr:to>
    <xdr:sp macro="" textlink="">
      <xdr:nvSpPr>
        <xdr:cNvPr id="53" name="Button 1025" hidden="1">
          <a:extLst>
            <a:ext uri="{63B3BB69-23CF-44E3-9099-C40C66FF867C}">
              <a14:compatExt xmlns:a14="http://schemas.microsoft.com/office/drawing/2010/main" spid="_x0000_s6145"/>
            </a:ex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54864" tIns="54864" rIns="54864" bIns="54864" anchor="ctr" upright="1"/>
        <a:lstStyle/>
        <a:p>
          <a:pPr algn="ctr" rtl="0">
            <a:defRPr sz="1000"/>
          </a:pPr>
          <a:r>
            <a:rPr lang="en-GB"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t>Run PSA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640080</xdr:colOff>
          <xdr:row>3</xdr:row>
          <xdr:rowOff>3810</xdr:rowOff>
        </xdr:from>
        <xdr:to>
          <xdr:col>3</xdr:col>
          <xdr:colOff>1306830</xdr:colOff>
          <xdr:row>5</xdr:row>
          <xdr:rowOff>0</xdr:rowOff>
        </xdr:to>
        <xdr:sp macro="" textlink="">
          <xdr:nvSpPr>
            <xdr:cNvPr id="54" name="Button 1025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5F48CF11-A241-FE3D-CE25-9E500A1D9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PSA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/>
  <dimension ref="E8:P16"/>
  <sheetViews>
    <sheetView topLeftCell="D1" workbookViewId="0">
      <selection activeCell="O16" sqref="O16"/>
    </sheetView>
  </sheetViews>
  <sheetFormatPr defaultColWidth="10.9453125" defaultRowHeight="14.4" x14ac:dyDescent="0.55000000000000004"/>
  <cols>
    <col min="5" max="5" width="31.578125" customWidth="1"/>
    <col min="6" max="6" width="13.3125" customWidth="1"/>
  </cols>
  <sheetData>
    <row r="8" spans="5:16" x14ac:dyDescent="0.55000000000000004">
      <c r="E8" t="s">
        <v>38</v>
      </c>
      <c r="F8" t="s">
        <v>39</v>
      </c>
      <c r="G8" t="s">
        <v>40</v>
      </c>
      <c r="H8" t="s">
        <v>41</v>
      </c>
      <c r="I8" t="s">
        <v>42</v>
      </c>
      <c r="J8" t="s">
        <v>43</v>
      </c>
      <c r="K8" t="s">
        <v>44</v>
      </c>
      <c r="L8" t="s">
        <v>45</v>
      </c>
      <c r="M8" t="s">
        <v>46</v>
      </c>
      <c r="N8" t="s">
        <v>47</v>
      </c>
      <c r="O8" t="s">
        <v>48</v>
      </c>
      <c r="P8" t="s">
        <v>7</v>
      </c>
    </row>
    <row r="9" spans="5:16" x14ac:dyDescent="0.55000000000000004">
      <c r="E9" t="s">
        <v>49</v>
      </c>
      <c r="F9" t="s">
        <v>50</v>
      </c>
      <c r="G9" t="s">
        <v>51</v>
      </c>
      <c r="H9" t="s">
        <v>52</v>
      </c>
      <c r="I9">
        <v>15</v>
      </c>
      <c r="J9">
        <v>85</v>
      </c>
      <c r="K9">
        <v>1</v>
      </c>
      <c r="L9">
        <v>2</v>
      </c>
      <c r="M9">
        <v>2</v>
      </c>
      <c r="N9">
        <v>1</v>
      </c>
      <c r="O9">
        <f ca="1">_xlfn.BETA.INV(RAND(), I9, J9)</f>
        <v>0.2016204603151891</v>
      </c>
      <c r="P9" t="s">
        <v>53</v>
      </c>
    </row>
    <row r="10" spans="5:16" x14ac:dyDescent="0.55000000000000004">
      <c r="E10" t="s">
        <v>54</v>
      </c>
      <c r="F10" t="s">
        <v>55</v>
      </c>
      <c r="G10" t="s">
        <v>51</v>
      </c>
      <c r="H10" t="s">
        <v>52</v>
      </c>
      <c r="I10">
        <v>12</v>
      </c>
      <c r="J10">
        <v>88</v>
      </c>
      <c r="K10">
        <v>1</v>
      </c>
      <c r="L10">
        <v>2</v>
      </c>
      <c r="M10">
        <v>1</v>
      </c>
      <c r="N10">
        <v>1</v>
      </c>
      <c r="O10">
        <f ca="1">_xlfn.BETA.INV(RAND(), I10, J10)</f>
        <v>0.14811636333005196</v>
      </c>
      <c r="P10" t="s">
        <v>56</v>
      </c>
    </row>
    <row r="11" spans="5:16" x14ac:dyDescent="0.55000000000000004">
      <c r="E11" t="s">
        <v>57</v>
      </c>
      <c r="F11" t="s">
        <v>58</v>
      </c>
      <c r="G11" t="s">
        <v>51</v>
      </c>
      <c r="H11" t="s">
        <v>52</v>
      </c>
      <c r="I11">
        <v>8</v>
      </c>
      <c r="J11">
        <v>92</v>
      </c>
      <c r="K11">
        <v>2</v>
      </c>
      <c r="L11">
        <v>1</v>
      </c>
      <c r="N11">
        <v>2</v>
      </c>
      <c r="O11">
        <f ca="1">_xlfn.BETA.INV(RAND(), I11, J11)</f>
        <v>9.2861429930154338E-2</v>
      </c>
      <c r="P11" t="s">
        <v>59</v>
      </c>
    </row>
    <row r="12" spans="5:16" x14ac:dyDescent="0.55000000000000004">
      <c r="E12" t="s">
        <v>60</v>
      </c>
      <c r="F12" t="s">
        <v>61</v>
      </c>
      <c r="G12" t="s">
        <v>62</v>
      </c>
      <c r="H12" t="s">
        <v>63</v>
      </c>
      <c r="I12">
        <v>0.95</v>
      </c>
      <c r="J12">
        <v>0.02</v>
      </c>
      <c r="N12">
        <v>1</v>
      </c>
      <c r="O12">
        <f ca="1">_xlfn.NORM.INV(RAND(), I12, J12)</f>
        <v>0.93455772164243944</v>
      </c>
      <c r="P12" t="s">
        <v>64</v>
      </c>
    </row>
    <row r="13" spans="5:16" x14ac:dyDescent="0.55000000000000004">
      <c r="E13" t="s">
        <v>65</v>
      </c>
      <c r="F13" t="s">
        <v>66</v>
      </c>
      <c r="G13" t="s">
        <v>62</v>
      </c>
      <c r="H13" t="s">
        <v>67</v>
      </c>
      <c r="I13">
        <v>1</v>
      </c>
      <c r="N13">
        <v>2</v>
      </c>
      <c r="O13">
        <f>I13</f>
        <v>1</v>
      </c>
      <c r="P13" t="s">
        <v>68</v>
      </c>
    </row>
    <row r="14" spans="5:16" x14ac:dyDescent="0.55000000000000004">
      <c r="E14" t="s">
        <v>69</v>
      </c>
      <c r="F14" t="s">
        <v>70</v>
      </c>
      <c r="G14" t="s">
        <v>71</v>
      </c>
      <c r="H14" t="s">
        <v>67</v>
      </c>
      <c r="I14">
        <v>50</v>
      </c>
      <c r="M14">
        <v>2</v>
      </c>
      <c r="O14">
        <f>I14</f>
        <v>50</v>
      </c>
      <c r="P14" t="s">
        <v>72</v>
      </c>
    </row>
    <row r="15" spans="5:16" x14ac:dyDescent="0.55000000000000004">
      <c r="E15" t="s">
        <v>73</v>
      </c>
      <c r="F15" t="s">
        <v>74</v>
      </c>
      <c r="G15" t="s">
        <v>75</v>
      </c>
      <c r="H15" t="s">
        <v>63</v>
      </c>
      <c r="I15">
        <v>49</v>
      </c>
      <c r="J15">
        <v>2</v>
      </c>
      <c r="N15">
        <v>1</v>
      </c>
      <c r="O15">
        <f ca="1">_xlfn.NORM.INV(RAND(), I15, J15)</f>
        <v>48.337389168344565</v>
      </c>
      <c r="P15" t="s">
        <v>76</v>
      </c>
    </row>
    <row r="16" spans="5:16" x14ac:dyDescent="0.55000000000000004">
      <c r="E16" t="s">
        <v>77</v>
      </c>
      <c r="F16" t="s">
        <v>78</v>
      </c>
      <c r="G16" t="s">
        <v>75</v>
      </c>
      <c r="H16" t="s">
        <v>63</v>
      </c>
      <c r="I16">
        <v>0.69</v>
      </c>
      <c r="J16">
        <v>6.9000000000000006E-2</v>
      </c>
      <c r="N16">
        <v>1</v>
      </c>
      <c r="O16">
        <f ca="1">_xlfn.NORM.INV(RAND(), I16, J16)</f>
        <v>0.61327932222469217</v>
      </c>
      <c r="P16" t="s">
        <v>79</v>
      </c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/>
  <dimension ref="E8:Q18"/>
  <sheetViews>
    <sheetView workbookViewId="0">
      <selection activeCell="F9" sqref="F9"/>
    </sheetView>
  </sheetViews>
  <sheetFormatPr defaultColWidth="10.9453125" defaultRowHeight="14.4" x14ac:dyDescent="0.55000000000000004"/>
  <sheetData>
    <row r="8" spans="5:17" x14ac:dyDescent="0.55000000000000004">
      <c r="E8" t="s">
        <v>84</v>
      </c>
      <c r="F8" t="s">
        <v>80</v>
      </c>
      <c r="G8" t="s">
        <v>81</v>
      </c>
      <c r="H8" t="s">
        <v>82</v>
      </c>
      <c r="I8" t="s">
        <v>83</v>
      </c>
      <c r="J8" t="s">
        <v>85</v>
      </c>
      <c r="K8" t="s">
        <v>86</v>
      </c>
      <c r="L8" t="s">
        <v>87</v>
      </c>
      <c r="M8" t="s">
        <v>88</v>
      </c>
      <c r="N8" t="s">
        <v>89</v>
      </c>
      <c r="O8" t="s">
        <v>90</v>
      </c>
      <c r="P8" t="s">
        <v>91</v>
      </c>
      <c r="Q8" t="s">
        <v>92</v>
      </c>
    </row>
    <row r="9" spans="5:17" x14ac:dyDescent="0.55000000000000004">
      <c r="E9">
        <v>1</v>
      </c>
      <c r="F9">
        <f>1</f>
        <v>1</v>
      </c>
      <c r="G9">
        <f>0</f>
        <v>0</v>
      </c>
      <c r="H9">
        <f>1</f>
        <v>1</v>
      </c>
      <c r="I9">
        <f>0</f>
        <v>0</v>
      </c>
      <c r="J9">
        <f ca="1">F9 * state_costs!E9 + G9 * state_costs!F9</f>
        <v>48.950668490569257</v>
      </c>
      <c r="K9">
        <f ca="1">F9 * state_qalys!E9 + G9 * state_qalys!F9</f>
        <v>0.46727886082121972</v>
      </c>
      <c r="L9">
        <f ca="1">(F9 * state_costs!E9 + G9 * state_costs!F9) * (1 / (1 + model_settings!F10)^(0 * model_settings!F9))</f>
        <v>48.950668490569257</v>
      </c>
      <c r="M9">
        <f ca="1">(F9 * state_qalys!E9 + G9 * state_qalys!F9) * (1 / (1 + model_settings!F11)^(0 * model_settings!F9))</f>
        <v>0.46727886082121972</v>
      </c>
      <c r="N9">
        <f ca="1">input_parameters!O14+H9 * state_costs!G9 + I9 * state_costs!H9</f>
        <v>98.950668490569257</v>
      </c>
      <c r="O9">
        <f ca="1">H9 * state_qalys!G9 + I9 * state_qalys!H9</f>
        <v>0.46727886082121972</v>
      </c>
      <c r="P9">
        <f ca="1">input_parameters!O14+(H9 * state_costs!G9 + I9 * state_costs!H9) * (1 / (1 + model_settings!F10)^(0 * model_settings!F9))</f>
        <v>98.950668490569257</v>
      </c>
      <c r="Q9">
        <f ca="1">(H9 * state_qalys!G9 + I9 * state_qalys!H9) * (1 / (1 + model_settings!F11)^(0 * model_settings!F9))</f>
        <v>0.46727886082121972</v>
      </c>
    </row>
    <row r="10" spans="5:17" x14ac:dyDescent="0.55000000000000004">
      <c r="E10">
        <v>2</v>
      </c>
      <c r="F10">
        <f ca="1">F9 * (1 - (input_parameters!O10)) + G9 * input_parameters!O11</f>
        <v>0.85188363666994804</v>
      </c>
      <c r="G10">
        <f ca="1">G9 * (1 - (input_parameters!O11)) + F9 * input_parameters!O10</f>
        <v>0.14811636333005196</v>
      </c>
      <c r="H10">
        <f ca="1">H9 * (1 - (input_parameters!O9)) + I9 * input_parameters!O11</f>
        <v>0.7983795396848109</v>
      </c>
      <c r="I10">
        <f ca="1">I9 * (1 - (input_parameters!O11)) + H9 * input_parameters!O9</f>
        <v>0.2016204603151891</v>
      </c>
      <c r="J10">
        <f ca="1">F10 * state_costs!E9 + G10 * state_costs!F9</f>
        <v>41.700273491171174</v>
      </c>
      <c r="K10">
        <f ca="1">F10 * state_qalys!E9 + G10 * state_qalys!F9</f>
        <v>0.47212539696039713</v>
      </c>
      <c r="L10">
        <f ca="1">(F10 * state_costs!E9 + G10 * state_costs!F9) * (1 / (1 + model_settings!F10)^(1 * model_settings!F9))</f>
        <v>40.989132638216532</v>
      </c>
      <c r="M10">
        <f ca="1">(F10 * state_qalys!E9 + G10 * state_qalys!F9) * (1 / (1 + model_settings!F11)^(1 * model_settings!F9))</f>
        <v>0.46407394718832184</v>
      </c>
      <c r="N10">
        <f ca="1">H10 * state_costs!G9 + I10 * state_costs!H9</f>
        <v>39.08121217676446</v>
      </c>
      <c r="O10">
        <f ca="1">H10 * state_qalys!G9 + I10 * state_qalys!H9</f>
        <v>0.47387611196448276</v>
      </c>
      <c r="P10">
        <f ca="1">(H10 * state_costs!G9 + I10 * state_costs!H9) * (1 / (1 + model_settings!F10)^(1 * model_settings!F9))</f>
        <v>38.414735814978251</v>
      </c>
      <c r="Q10">
        <f ca="1">(H10 * state_qalys!G9 + I10 * state_qalys!H9) * (1 / (1 + model_settings!F11)^(1 * model_settings!F9))</f>
        <v>0.46579480615413593</v>
      </c>
    </row>
    <row r="11" spans="5:17" x14ac:dyDescent="0.55000000000000004">
      <c r="E11">
        <v>3</v>
      </c>
      <c r="F11">
        <f ca="1">F10 * (1 - (input_parameters!O10)) + G10 * input_parameters!O11</f>
        <v>0.73946002772089892</v>
      </c>
      <c r="G11">
        <f ca="1">G10 * (1 - (input_parameters!O11)) + F10 * input_parameters!O10</f>
        <v>0.26053997227910108</v>
      </c>
      <c r="H11">
        <f ca="1">H10 * (1 - (input_parameters!O9)) + I10 * input_parameters!O11</f>
        <v>0.65613265363537498</v>
      </c>
      <c r="I11">
        <f ca="1">I10 * (1 - (input_parameters!O11)) + H10 * input_parameters!O9</f>
        <v>0.34386734636462507</v>
      </c>
      <c r="J11">
        <f ca="1">F11 * state_costs!E9 + G11 * state_costs!F9</f>
        <v>36.197062678992879</v>
      </c>
      <c r="K11">
        <f ca="1">F11 * state_qalys!E9 + G11 * state_qalys!F9</f>
        <v>0.47580402551579976</v>
      </c>
      <c r="L11">
        <f ca="1">(F11 * state_costs!E9 + G11 * state_costs!F9) * (1 / (1 + model_settings!F10)^(2 * model_settings!F9))</f>
        <v>34.973007419316794</v>
      </c>
      <c r="M11">
        <f ca="1">(F11 * state_qalys!E9 + G11 * state_qalys!F9) * (1 / (1 + model_settings!F11)^(2 * model_settings!F9))</f>
        <v>0.45971403431478242</v>
      </c>
      <c r="N11">
        <f ca="1">H11 * state_costs!G9 + I11 * state_costs!H9</f>
        <v>32.118132013942741</v>
      </c>
      <c r="O11">
        <f ca="1">H11 * state_qalys!G9 + I11 * state_qalys!H9</f>
        <v>0.47853059212065452</v>
      </c>
      <c r="P11">
        <f ca="1">(H11 * state_costs!G9 + I11 * state_costs!H9) * (1 / (1 + model_settings!F10)^(2 * model_settings!F9))</f>
        <v>31.03201160767415</v>
      </c>
      <c r="Q11">
        <f ca="1">(H11 * state_qalys!G9 + I11 * state_qalys!H9) * (1 / (1 + model_settings!F11)^(2 * model_settings!F9))</f>
        <v>0.46234839818420731</v>
      </c>
    </row>
    <row r="12" spans="5:17" x14ac:dyDescent="0.55000000000000004">
      <c r="E12">
        <v>4</v>
      </c>
      <c r="F12">
        <f ca="1">F11 * (1 - (input_parameters!O10)) + G11 * input_parameters!O11</f>
        <v>0.65412801196674009</v>
      </c>
      <c r="G12">
        <f ca="1">G11 * (1 - (input_parameters!O11)) + F11 * input_parameters!O10</f>
        <v>0.34587198803325991</v>
      </c>
      <c r="H12">
        <f ca="1">H11 * (1 - (input_parameters!O9)) + I11 * input_parameters!O11</f>
        <v>0.55577489947129088</v>
      </c>
      <c r="I12">
        <f ca="1">I11 * (1 - (input_parameters!O11)) + H11 * input_parameters!O9</f>
        <v>0.44422510052870912</v>
      </c>
      <c r="J12">
        <f ca="1">F12 * state_costs!E9 + G12 * state_costs!F9</f>
        <v>32.020003464179013</v>
      </c>
      <c r="K12">
        <f ca="1">F12 * state_qalys!E9 + G12 * state_qalys!F9</f>
        <v>0.47859618627969747</v>
      </c>
      <c r="L12">
        <f ca="1">(F12 * state_costs!E9 + G12 * state_costs!F9) * (1 / (1 + model_settings!F10)^(3 * model_settings!F9))</f>
        <v>30.409609963575758</v>
      </c>
      <c r="M12">
        <f ca="1">(F12 * state_qalys!E9 + G12 * state_qalys!F9) * (1 / (1 + model_settings!F11)^(3 * model_settings!F9))</f>
        <v>0.45452597689759833</v>
      </c>
      <c r="N12">
        <f ca="1">H12 * state_costs!G9 + I12 * state_costs!H9</f>
        <v>27.205552859398615</v>
      </c>
      <c r="O12">
        <f ca="1">H12 * state_qalys!G9 + I12 * state_qalys!H9</f>
        <v>0.48181441216232729</v>
      </c>
      <c r="P12">
        <f ca="1">(H12 * state_costs!G9 + I12 * state_costs!H9) * (1 / (1 + model_settings!F10)^(3 * model_settings!F9))</f>
        <v>25.837294247118759</v>
      </c>
      <c r="Q12">
        <f ca="1">(H12 * state_qalys!G9 + I12 * state_qalys!H9) * (1 / (1 + model_settings!F11)^(3 * model_settings!F9))</f>
        <v>0.45758234739346471</v>
      </c>
    </row>
    <row r="13" spans="5:17" x14ac:dyDescent="0.55000000000000004">
      <c r="E13">
        <v>5</v>
      </c>
      <c r="F13">
        <f ca="1">F12 * (1 - (input_parameters!O10)) + G12 * input_parameters!O11</f>
        <v>0.58935911706346356</v>
      </c>
      <c r="G13">
        <f ca="1">G12 * (1 - (input_parameters!O11)) + F12 * input_parameters!O10</f>
        <v>0.41064088293653639</v>
      </c>
      <c r="H13">
        <f ca="1">H12 * (1 - (input_parameters!O9)) + I12 * input_parameters!O11</f>
        <v>0.48497068645422381</v>
      </c>
      <c r="I13">
        <f ca="1">I12 * (1 - (input_parameters!O11)) + H12 * input_parameters!O9</f>
        <v>0.5150293135457763</v>
      </c>
      <c r="J13">
        <f ca="1">F13 * state_costs!E9 + G13 * state_costs!F9</f>
        <v>28.849522761268204</v>
      </c>
      <c r="K13">
        <f ca="1">F13 * state_qalys!E9 + G13 * state_qalys!F9</f>
        <v>0.48071549830428328</v>
      </c>
      <c r="L13">
        <f ca="1">(F13 * state_costs!E9 + G13 * state_costs!F9) * (1 / (1 + model_settings!F10)^(4 * model_settings!F9))</f>
        <v>26.931338198107966</v>
      </c>
      <c r="M13">
        <f ca="1">(F13 * state_qalys!E9 + G13 * state_qalys!F9) * (1 / (1 + model_settings!F11)^(4 * model_settings!F9))</f>
        <v>0.44875306149901595</v>
      </c>
      <c r="N13">
        <f ca="1">H13 * state_costs!G9 + I13 * state_costs!H9</f>
        <v>23.739639300264518</v>
      </c>
      <c r="O13">
        <f ca="1">H13 * state_qalys!G9 + I13 * state_qalys!H9</f>
        <v>0.48413120667090281</v>
      </c>
      <c r="P13">
        <f ca="1">(H13 * state_costs!G9 + I13 * state_costs!H9) * (1 / (1 + model_settings!F10)^(4 * model_settings!F9))</f>
        <v>22.161207309635717</v>
      </c>
      <c r="Q13">
        <f ca="1">(H13 * state_qalys!G9 + I13 * state_qalys!H9) * (1 / (1 + model_settings!F11)^(4 * model_settings!F9))</f>
        <v>0.4519416618085863</v>
      </c>
    </row>
    <row r="14" spans="5:17" x14ac:dyDescent="0.55000000000000004">
      <c r="E14">
        <v>6</v>
      </c>
      <c r="F14">
        <f ca="1">F13 * (1 - (input_parameters!O10)) + G13 * input_parameters!O11</f>
        <v>0.54019808752588083</v>
      </c>
      <c r="G14">
        <f ca="1">G13 * (1 - (input_parameters!O11)) + F13 * input_parameters!O10</f>
        <v>0.45980191247411906</v>
      </c>
      <c r="H14">
        <f ca="1">H13 * (1 - (input_parameters!O9)) + I13 * input_parameters!O11</f>
        <v>0.43501703192375657</v>
      </c>
      <c r="I14">
        <f ca="1">I13 * (1 - (input_parameters!O11)) + H13 * input_parameters!O9</f>
        <v>0.56498296807624349</v>
      </c>
      <c r="J14">
        <f ca="1">F14 * state_costs!E9 + G14 * state_costs!F9</f>
        <v>26.443057501718908</v>
      </c>
      <c r="K14">
        <f ca="1">F14 * state_qalys!E9 + G14 * state_qalys!F9</f>
        <v>0.48232410319395469</v>
      </c>
      <c r="L14">
        <f ca="1">(F14 * state_costs!E9 + G14 * state_costs!F9) * (1 / (1 + model_settings!F10)^(5 * model_settings!F9))</f>
        <v>24.263910474891606</v>
      </c>
      <c r="M14">
        <f ca="1">(F14 * state_qalys!E9 + G14 * state_qalys!F9) * (1 / (1 + model_settings!F11)^(5 * model_settings!F9))</f>
        <v>0.44257623608842317</v>
      </c>
      <c r="N14">
        <f ca="1">H14 * state_costs!G9 + I14 * state_costs!H9</f>
        <v>21.294374517451192</v>
      </c>
      <c r="O14">
        <f ca="1">H14 * state_qalys!G9 + I14 * state_qalys!H9</f>
        <v>0.48576574715328291</v>
      </c>
      <c r="P14">
        <f ca="1">(H14 * state_costs!G9 + I14 * state_costs!H9) * (1 / (1 + model_settings!F10)^(5 * model_settings!F9))</f>
        <v>19.539525521080996</v>
      </c>
      <c r="Q14">
        <f ca="1">(H14 * state_qalys!G9 + I14 * state_qalys!H9) * (1 / (1 + model_settings!F11)^(5 * model_settings!F9))</f>
        <v>0.44573425746738676</v>
      </c>
    </row>
    <row r="15" spans="5:17" x14ac:dyDescent="0.55000000000000004">
      <c r="E15">
        <v>7</v>
      </c>
      <c r="F15">
        <f ca="1">F14 * (1 - (input_parameters!O10)) + G14 * input_parameters!O11</f>
        <v>0.50288377440066456</v>
      </c>
      <c r="G15">
        <f ca="1">G14 * (1 - (input_parameters!O11)) + F14 * input_parameters!O10</f>
        <v>0.49711622559933527</v>
      </c>
      <c r="H15">
        <f ca="1">H14 * (1 - (input_parameters!O9)) + I14 * input_parameters!O11</f>
        <v>0.39977382400408418</v>
      </c>
      <c r="I15">
        <f ca="1">I14 * (1 - (input_parameters!O11)) + H14 * input_parameters!O9</f>
        <v>0.60022617599591588</v>
      </c>
      <c r="J15">
        <f ca="1">F15 * state_costs!E9 + G15 * state_costs!F9</f>
        <v>24.616496929973149</v>
      </c>
      <c r="K15">
        <f ca="1">F15 * state_qalys!E9 + G15 * state_qalys!F9</f>
        <v>0.48354507002708547</v>
      </c>
      <c r="L15">
        <f ca="1">(F15 * state_costs!E9 + G15 * state_costs!F9) * (1 / (1 + model_settings!F10)^(6 * model_settings!F9))</f>
        <v>22.202669845088547</v>
      </c>
      <c r="M15">
        <f ca="1">(F15 * state_qalys!E9 + G15 * state_qalys!F9) * (1 / (1 + model_settings!F11)^(6 * model_settings!F9))</f>
        <v>0.43612994877266281</v>
      </c>
      <c r="N15">
        <f ca="1">H15 * state_costs!G9 + I15 * state_costs!H9</f>
        <v>19.569195930031103</v>
      </c>
      <c r="O15">
        <f ca="1">H15 * state_qalys!G9 + I15 * state_qalys!H9</f>
        <v>0.48691894506472921</v>
      </c>
      <c r="P15">
        <f ca="1">(H15 * state_costs!G9 + I15 * state_costs!H9) * (1 / (1 + model_settings!F10)^(6 * model_settings!F9))</f>
        <v>17.650293524879906</v>
      </c>
      <c r="Q15">
        <f ca="1">(H15 * state_qalys!G9 + I15 * state_qalys!H9) * (1 / (1 + model_settings!F11)^(6 * model_settings!F9))</f>
        <v>0.439172990752701</v>
      </c>
    </row>
    <row r="16" spans="5:17" x14ac:dyDescent="0.55000000000000004">
      <c r="E16">
        <v>8</v>
      </c>
      <c r="F16">
        <f ca="1">F15 * (1 - (input_parameters!O10)) + G15 * input_parameters!O11</f>
        <v>0.47456138210938331</v>
      </c>
      <c r="G16">
        <f ca="1">G15 * (1 - (input_parameters!O11)) + F15 * input_parameters!O10</f>
        <v>0.52543861789061652</v>
      </c>
      <c r="H16">
        <f ca="1">H15 * (1 - (input_parameters!O9)) + I15 * input_parameters!O11</f>
        <v>0.37490910257090659</v>
      </c>
      <c r="I16">
        <f ca="1">I15 * (1 - (input_parameters!O11)) + H15 * input_parameters!O9</f>
        <v>0.62509089742909352</v>
      </c>
      <c r="J16">
        <f ca="1">F16 * state_costs!E9 + G16 * state_costs!F9</f>
        <v>23.230096894062786</v>
      </c>
      <c r="K16">
        <f ca="1">F16 * state_qalys!E9 + G16 * state_qalys!F9</f>
        <v>0.48447181096712444</v>
      </c>
      <c r="L16">
        <f ca="1">(F16 * state_costs!E9 + G16 * state_costs!F9) * (1 / (1 + model_settings!F10)^(7 * model_settings!F9))</f>
        <v>20.594905190095773</v>
      </c>
      <c r="M16">
        <f ca="1">(F16 * state_qalys!E9 + G16 * state_qalys!F9) * (1 / (1 + model_settings!F11)^(7 * model_settings!F9))</f>
        <v>0.42951396456258628</v>
      </c>
      <c r="N16">
        <f ca="1">H16 * state_costs!G9 + I16 * state_costs!H9</f>
        <v>18.352051194045274</v>
      </c>
      <c r="O16">
        <f ca="1">H16 * state_qalys!G9 + I16 * state_qalys!H9</f>
        <v>0.48773254707538582</v>
      </c>
      <c r="P16">
        <f ca="1">(H16 * state_costs!G9 + I16 * state_costs!H9) * (1 / (1 + model_settings!F10)^(7 * model_settings!F9))</f>
        <v>16.270218592232652</v>
      </c>
      <c r="Q16">
        <f ca="1">(H16 * state_qalys!G9 + I16 * state_qalys!H9) * (1 / (1 + model_settings!F11)^(7 * model_settings!F9))</f>
        <v>0.43240480704618905</v>
      </c>
    </row>
    <row r="17" spans="5:17" x14ac:dyDescent="0.55000000000000004">
      <c r="E17">
        <v>9</v>
      </c>
      <c r="F17">
        <f ca="1">F16 * (1 - (input_parameters!O10)) + G16 * input_parameters!O11</f>
        <v>0.45306405741230488</v>
      </c>
      <c r="G17">
        <f ca="1">G16 * (1 - (input_parameters!O11)) + F16 * input_parameters!O10</f>
        <v>0.54693594258769496</v>
      </c>
      <c r="H17">
        <f ca="1">H16 * (1 - (input_parameters!O9)) + I16 * input_parameters!O11</f>
        <v>0.35736659130579501</v>
      </c>
      <c r="I17">
        <f ca="1">I16 * (1 - (input_parameters!O11)) + H16 * input_parameters!O9</f>
        <v>0.64263340869420504</v>
      </c>
      <c r="J17">
        <f ca="1">F17 * state_costs!E9 + G17 * state_costs!F9</f>
        <v>22.177788479381974</v>
      </c>
      <c r="K17">
        <f ca="1">F17 * state_qalys!E9 + G17 * state_qalys!F9</f>
        <v>0.48517522792050899</v>
      </c>
      <c r="L17">
        <f ca="1">(F17 * state_costs!E9 + G17 * state_costs!F9) * (1 / (1 + model_settings!F10)^(8 * model_settings!F9))</f>
        <v>19.326661397900363</v>
      </c>
      <c r="M17">
        <f ca="1">(F17 * state_qalys!E9 + G17 * state_qalys!F9) * (1 / (1 + model_settings!F11)^(8 * model_settings!F9))</f>
        <v>0.42280218144321097</v>
      </c>
      <c r="N17">
        <f ca="1">H17 * state_costs!G9 + I17 * state_costs!H9</f>
        <v>17.493333540614721</v>
      </c>
      <c r="O17">
        <f ca="1">H17 * state_qalys!G9 + I17 * state_qalys!H9</f>
        <v>0.4883065580280368</v>
      </c>
      <c r="P17">
        <f ca="1">(H17 * state_costs!G9 + I17 * state_costs!H9) * (1 / (1 + model_settings!F10)^(8 * model_settings!F9))</f>
        <v>15.244429550507446</v>
      </c>
      <c r="Q17">
        <f ca="1">(H17 * state_qalys!G9 + I17 * state_qalys!H9) * (1 / (1 + model_settings!F11)^(8 * model_settings!F9))</f>
        <v>0.42553095472777458</v>
      </c>
    </row>
    <row r="18" spans="5:17" x14ac:dyDescent="0.55000000000000004">
      <c r="E18">
        <v>10</v>
      </c>
      <c r="F18">
        <f ca="1">F17 * (1 - (input_parameters!O10)) + G17 * input_parameters!O11</f>
        <v>0.43674711058172655</v>
      </c>
      <c r="G18">
        <f ca="1">G17 * (1 - (input_parameters!O11)) + F17 * input_parameters!O10</f>
        <v>0.56325288941827334</v>
      </c>
      <c r="H18">
        <f ca="1">H17 * (1 - (input_parameters!O9)) + I17 * input_parameters!O11</f>
        <v>0.34499003191768374</v>
      </c>
      <c r="I18">
        <f ca="1">I17 * (1 - (input_parameters!O11)) + H17 * input_parameters!O9</f>
        <v>0.65500996808231637</v>
      </c>
      <c r="J18">
        <f ca="1">F18 * state_costs!E9 + G18 * state_costs!F9</f>
        <v>21.379063024300088</v>
      </c>
      <c r="K18">
        <f ca="1">F18 * state_qalys!E9 + G18 * state_qalys!F9</f>
        <v>0.48570913700872509</v>
      </c>
      <c r="L18">
        <f ca="1">(F18 * state_costs!E9 + G18 * state_costs!F9) * (1 / (1 + model_settings!F10)^(9 * model_settings!F9))</f>
        <v>18.312898718049244</v>
      </c>
      <c r="M18">
        <f ca="1">(F18 * state_qalys!E9 + G18 * state_qalys!F9) * (1 / (1 + model_settings!F11)^(9 * model_settings!F9))</f>
        <v>0.41604920769267828</v>
      </c>
      <c r="N18">
        <f ca="1">H18 * state_costs!G9 + I18 * state_costs!H9</f>
        <v>16.887492684953443</v>
      </c>
      <c r="O18">
        <f ca="1">H18 * state_qalys!G9 + I18 * state_qalys!H9</f>
        <v>0.48871153315032967</v>
      </c>
      <c r="P18">
        <f ca="1">(H18 * state_costs!G9 + I18 * state_costs!H9) * (1 / (1 + model_settings!F10)^(9 * model_settings!F9))</f>
        <v>14.465505003181702</v>
      </c>
      <c r="Q18">
        <f ca="1">(H18 * state_qalys!G9 + I18 * state_qalys!H9) * (1 / (1 + model_settings!F11)^(9 * model_settings!F9))</f>
        <v>0.41862100311655498</v>
      </c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>
    <tabColor rgb="FFFFFF00"/>
  </sheetPr>
  <dimension ref="E8:H9"/>
  <sheetViews>
    <sheetView workbookViewId="0">
      <selection activeCell="E9" sqref="E9"/>
    </sheetView>
  </sheetViews>
  <sheetFormatPr defaultColWidth="10.9453125" defaultRowHeight="14.4" x14ac:dyDescent="0.55000000000000004"/>
  <sheetData>
    <row r="8" spans="5:8" x14ac:dyDescent="0.55000000000000004">
      <c r="E8" t="s">
        <v>80</v>
      </c>
      <c r="F8" t="s">
        <v>81</v>
      </c>
      <c r="G8" t="s">
        <v>82</v>
      </c>
      <c r="H8" t="s">
        <v>83</v>
      </c>
    </row>
    <row r="9" spans="5:8" x14ac:dyDescent="0.55000000000000004">
      <c r="E9">
        <f ca="1">input_parameters!O15 + input_parameters!O16</f>
        <v>48.950668490569257</v>
      </c>
      <c r="F9">
        <v>0</v>
      </c>
      <c r="G9">
        <f ca="1">input_parameters!O15 + input_parameters!O16</f>
        <v>48.950668490569257</v>
      </c>
      <c r="H9">
        <v>0</v>
      </c>
    </row>
  </sheetData>
  <pageMargins left="0.7" right="0.7" top="0.75" bottom="0.75" header="0.3" footer="0.3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FFFF00"/>
  </sheetPr>
  <dimension ref="E8:H9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8" x14ac:dyDescent="0.55000000000000004">
      <c r="E8" t="s">
        <v>80</v>
      </c>
      <c r="F8" t="s">
        <v>81</v>
      </c>
      <c r="G8" t="s">
        <v>82</v>
      </c>
      <c r="H8" t="s">
        <v>83</v>
      </c>
    </row>
    <row r="9" spans="5:8" x14ac:dyDescent="0.55000000000000004">
      <c r="E9">
        <f ca="1">model_settings!F9 * input_parameters!O12</f>
        <v>0.46727886082121972</v>
      </c>
      <c r="F9">
        <f>model_settings!F9 * input_parameters!O13</f>
        <v>0.5</v>
      </c>
      <c r="G9">
        <f ca="1">model_settings!F9 * input_parameters!O12</f>
        <v>0.46727886082121972</v>
      </c>
      <c r="H9">
        <f>model_settings!F9 * input_parameters!O13</f>
        <v>0.5</v>
      </c>
    </row>
  </sheetData>
  <pageMargins left="0.7" right="0.7" top="0.75" bottom="0.75" header="0.3" footer="0.3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>
    <tabColor rgb="FF00FF00"/>
  </sheetPr>
  <dimension ref="E8:H18"/>
  <sheetViews>
    <sheetView workbookViewId="0">
      <selection activeCell="H9" sqref="H9"/>
    </sheetView>
  </sheetViews>
  <sheetFormatPr defaultColWidth="10.9453125" defaultRowHeight="14.4" x14ac:dyDescent="0.55000000000000004"/>
  <sheetData>
    <row r="8" spans="5:8" x14ac:dyDescent="0.55000000000000004">
      <c r="E8" t="s">
        <v>4</v>
      </c>
      <c r="F8" t="s">
        <v>5</v>
      </c>
      <c r="G8" t="s">
        <v>6</v>
      </c>
      <c r="H8" t="s">
        <v>7</v>
      </c>
    </row>
    <row r="9" spans="5:8" x14ac:dyDescent="0.55000000000000004">
      <c r="E9" t="s">
        <v>8</v>
      </c>
      <c r="F9" t="s">
        <v>9</v>
      </c>
      <c r="G9" t="s">
        <v>10</v>
      </c>
      <c r="H9" t="s">
        <v>11</v>
      </c>
    </row>
    <row r="10" spans="5:8" x14ac:dyDescent="0.55000000000000004">
      <c r="E10" t="s">
        <v>12</v>
      </c>
      <c r="F10" t="s">
        <v>13</v>
      </c>
      <c r="G10" t="s">
        <v>10</v>
      </c>
      <c r="H10" t="s">
        <v>14</v>
      </c>
    </row>
    <row r="11" spans="5:8" x14ac:dyDescent="0.55000000000000004">
      <c r="E11" t="s">
        <v>15</v>
      </c>
      <c r="F11" t="s">
        <v>13</v>
      </c>
      <c r="G11" t="s">
        <v>10</v>
      </c>
      <c r="H11" t="s">
        <v>16</v>
      </c>
    </row>
    <row r="12" spans="5:8" x14ac:dyDescent="0.55000000000000004">
      <c r="E12" t="s">
        <v>17</v>
      </c>
      <c r="F12" t="s">
        <v>18</v>
      </c>
      <c r="G12" t="s">
        <v>10</v>
      </c>
      <c r="H12" t="s">
        <v>19</v>
      </c>
    </row>
    <row r="13" spans="5:8" x14ac:dyDescent="0.55000000000000004">
      <c r="E13" t="s">
        <v>20</v>
      </c>
      <c r="F13" t="s">
        <v>21</v>
      </c>
      <c r="G13" t="s">
        <v>10</v>
      </c>
      <c r="H13" t="s">
        <v>22</v>
      </c>
    </row>
    <row r="14" spans="5:8" x14ac:dyDescent="0.55000000000000004">
      <c r="E14" t="s">
        <v>23</v>
      </c>
      <c r="F14" t="s">
        <v>24</v>
      </c>
      <c r="G14" t="s">
        <v>25</v>
      </c>
      <c r="H14" t="s">
        <v>26</v>
      </c>
    </row>
    <row r="15" spans="5:8" x14ac:dyDescent="0.55000000000000004">
      <c r="E15" t="s">
        <v>27</v>
      </c>
      <c r="F15" t="s">
        <v>28</v>
      </c>
      <c r="G15" t="s">
        <v>25</v>
      </c>
      <c r="H15" t="s">
        <v>29</v>
      </c>
    </row>
    <row r="16" spans="5:8" x14ac:dyDescent="0.55000000000000004">
      <c r="E16" t="s">
        <v>30</v>
      </c>
      <c r="F16" t="s">
        <v>31</v>
      </c>
      <c r="G16" t="s">
        <v>25</v>
      </c>
      <c r="H16" t="s">
        <v>32</v>
      </c>
    </row>
    <row r="17" spans="5:8" x14ac:dyDescent="0.55000000000000004">
      <c r="E17" t="s">
        <v>33</v>
      </c>
      <c r="F17" t="s">
        <v>34</v>
      </c>
      <c r="G17" t="s">
        <v>25</v>
      </c>
      <c r="H17" t="s">
        <v>35</v>
      </c>
    </row>
    <row r="18" spans="5:8" x14ac:dyDescent="0.55000000000000004">
      <c r="E18" t="s">
        <v>36</v>
      </c>
      <c r="F18" t="s">
        <v>31</v>
      </c>
      <c r="G18" t="s">
        <v>25</v>
      </c>
      <c r="H18" t="s">
        <v>37</v>
      </c>
    </row>
  </sheetData>
  <pageMargins left="0.7" right="0.7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2">
    <tabColor rgb="FFFFA500"/>
  </sheetPr>
  <dimension ref="E8:G15"/>
  <sheetViews>
    <sheetView workbookViewId="0">
      <selection activeCell="E8" sqref="E8"/>
    </sheetView>
  </sheetViews>
  <sheetFormatPr defaultColWidth="10.9453125" defaultRowHeight="14.4" x14ac:dyDescent="0.55000000000000004"/>
  <cols>
    <col min="5" max="5" width="25.3125" customWidth="1"/>
  </cols>
  <sheetData>
    <row r="8" spans="5:7" x14ac:dyDescent="0.55000000000000004">
      <c r="E8" t="s">
        <v>98</v>
      </c>
      <c r="F8" t="s">
        <v>24</v>
      </c>
      <c r="G8" t="s">
        <v>99</v>
      </c>
    </row>
    <row r="9" spans="5:7" x14ac:dyDescent="0.55000000000000004">
      <c r="E9" t="s">
        <v>100</v>
      </c>
      <c r="F9">
        <f ca="1">SUM(markov_trace!L9:'markov_trace'!L19)</f>
        <v>286.95480233581185</v>
      </c>
      <c r="G9">
        <f ca="1">SUM(markov_trace!P9:'markov_trace'!P19)</f>
        <v>299.56588966185888</v>
      </c>
    </row>
    <row r="10" spans="5:7" x14ac:dyDescent="0.55000000000000004">
      <c r="E10" t="s">
        <v>101</v>
      </c>
      <c r="F10">
        <f ca="1">SUM(markov_trace!M9:'markov_trace'!M19)</f>
        <v>4.4414174192804996</v>
      </c>
      <c r="G10">
        <f ca="1">SUM(markov_trace!Q9:'markov_trace'!Q19)</f>
        <v>4.4664100874722203</v>
      </c>
    </row>
    <row r="11" spans="5:7" x14ac:dyDescent="0.55000000000000004">
      <c r="E11" t="s">
        <v>102</v>
      </c>
      <c r="F11">
        <f ca="1">SUM(markov_trace!J9:'markov_trace'!J19)</f>
        <v>305.56403371561737</v>
      </c>
      <c r="G11">
        <f ca="1">SUM(markov_trace!N9:'markov_trace'!N19)</f>
        <v>314.69165270803529</v>
      </c>
    </row>
    <row r="12" spans="5:7" x14ac:dyDescent="0.55000000000000004">
      <c r="E12" t="s">
        <v>103</v>
      </c>
      <c r="F12">
        <f ca="1">SUM(markov_trace!K9:'markov_trace'!K19)</f>
        <v>4.7957453169987962</v>
      </c>
      <c r="G12">
        <f ca="1">SUM(markov_trace!O9:'markov_trace'!O19)</f>
        <v>4.8230665142113516</v>
      </c>
    </row>
    <row r="13" spans="5:7" x14ac:dyDescent="0.55000000000000004">
      <c r="E13" t="s">
        <v>104</v>
      </c>
      <c r="F13">
        <f ca="1">F9 - F9</f>
        <v>0</v>
      </c>
      <c r="G13">
        <f ca="1">G9 - F9</f>
        <v>12.611087326047027</v>
      </c>
    </row>
    <row r="14" spans="5:7" x14ac:dyDescent="0.55000000000000004">
      <c r="E14" t="s">
        <v>105</v>
      </c>
      <c r="F14">
        <f ca="1">F10 - F10</f>
        <v>0</v>
      </c>
      <c r="G14">
        <f ca="1">G10 - F10</f>
        <v>2.4992668191720746E-2</v>
      </c>
    </row>
    <row r="15" spans="5:7" x14ac:dyDescent="0.55000000000000004">
      <c r="E15" t="s">
        <v>106</v>
      </c>
      <c r="G15">
        <f ca="1">G13 / G14</f>
        <v>504.59147576026589</v>
      </c>
    </row>
  </sheetData>
  <pageMargins left="0.7" right="0.7" top="0.75" bottom="0.75" header="0.3" footer="0.3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8"/>
  <dimension ref="A1:BZ1007"/>
  <sheetViews>
    <sheetView workbookViewId="0">
      <selection activeCell="A12" sqref="A12"/>
    </sheetView>
  </sheetViews>
  <sheetFormatPr defaultColWidth="10.9453125" defaultRowHeight="14.4" x14ac:dyDescent="0.55000000000000004"/>
  <cols>
    <col min="4" max="4" width="18.20703125" customWidth="1"/>
    <col min="5" max="5" width="16.41796875" customWidth="1"/>
    <col min="6" max="6" width="17.47265625" customWidth="1"/>
    <col min="7" max="7" width="18.05078125" customWidth="1"/>
    <col min="8" max="8" width="19.83984375" customWidth="1"/>
    <col min="9" max="9" width="22.734375" customWidth="1"/>
    <col min="10" max="10" width="25.20703125" customWidth="1"/>
    <col min="11" max="11" width="17.05078125" customWidth="1"/>
    <col min="12" max="12" width="25.7890625" customWidth="1"/>
    <col min="13" max="13" width="23.47265625" customWidth="1"/>
    <col min="14" max="14" width="28.20703125" customWidth="1"/>
    <col min="16" max="16" width="44.3125" customWidth="1"/>
    <col min="18" max="18" width="28.5234375" customWidth="1"/>
    <col min="21" max="21" width="29.578125" customWidth="1"/>
  </cols>
  <sheetData>
    <row r="1" spans="1:78" x14ac:dyDescent="0.55000000000000004">
      <c r="A1" t="s">
        <v>3</v>
      </c>
      <c r="F1" t="s">
        <v>93</v>
      </c>
      <c r="G1" t="s">
        <v>94</v>
      </c>
    </row>
    <row r="2" spans="1:78" x14ac:dyDescent="0.55000000000000004">
      <c r="F2" s="3" t="s">
        <v>95</v>
      </c>
      <c r="G2" s="4" t="str">
        <f>model_settings!F15</f>
        <v>10</v>
      </c>
      <c r="J2" s="5" t="str">
        <f>IF(markov_trace!F8="","",markov_trace!F8)</f>
        <v>SoC_Smoking</v>
      </c>
      <c r="K2" s="5" t="str">
        <f>IF(markov_trace!G8="","",markov_trace!G8)</f>
        <v>SoC_Not smoking</v>
      </c>
      <c r="L2" s="5" t="str">
        <f>IF(markov_trace!H8="","",markov_trace!H8)</f>
        <v>SoC with website_Smoking</v>
      </c>
      <c r="M2" s="5" t="str">
        <f>IF(markov_trace!I8="","",markov_trace!I8)</f>
        <v>SoC with website_Not smoking</v>
      </c>
      <c r="N2" s="5" t="str">
        <f>IF(markov_trace!J8="","",markov_trace!J8)</f>
        <v>SoC Undiscounted Costs</v>
      </c>
      <c r="O2" s="5" t="str">
        <f>IF(markov_trace!K8="","",markov_trace!K8)</f>
        <v>SoC Undiscounted QALYs</v>
      </c>
      <c r="P2" s="5" t="str">
        <f>IF(markov_trace!L8="","",markov_trace!L8)</f>
        <v>SoC Discounted Costs</v>
      </c>
      <c r="Q2" s="5" t="str">
        <f>IF(markov_trace!M8="","",markov_trace!M8)</f>
        <v>SoC Discounted QALYs</v>
      </c>
      <c r="R2" s="5" t="str">
        <f>IF(markov_trace!N8="","",markov_trace!N8)</f>
        <v>SoC with website Undiscounted Costs</v>
      </c>
      <c r="S2" s="5" t="str">
        <f>IF(markov_trace!O8="","",markov_trace!O8)</f>
        <v>SoC with website Undiscounted QALYs</v>
      </c>
      <c r="T2" s="5" t="str">
        <f>IF(markov_trace!P8="","",markov_trace!P8)</f>
        <v>SoC with website Discounted Costs</v>
      </c>
      <c r="U2" s="5" t="str">
        <f>IF(markov_trace!Q8="","",markov_trace!Q8)</f>
        <v>SoC with website Discounted QALYs</v>
      </c>
      <c r="V2" s="5" t="str">
        <f>IF(markov_trace!R8="","",markov_trace!R8)</f>
        <v/>
      </c>
      <c r="W2" s="5" t="str">
        <f>IF(markov_trace!S8="","",markov_trace!S8)</f>
        <v/>
      </c>
      <c r="X2" s="5" t="str">
        <f>IF(markov_trace!T8="","",markov_trace!T8)</f>
        <v/>
      </c>
      <c r="Y2" s="5" t="str">
        <f>IF(markov_trace!U8="","",markov_trace!U8)</f>
        <v/>
      </c>
      <c r="Z2" s="5" t="str">
        <f>IF(markov_trace!V8="","",markov_trace!V8)</f>
        <v/>
      </c>
      <c r="AA2" s="5" t="str">
        <f>IF(markov_trace!W8="","",markov_trace!W8)</f>
        <v/>
      </c>
      <c r="AB2" s="5" t="str">
        <f>IF(markov_trace!X8="","",markov_trace!X8)</f>
        <v/>
      </c>
      <c r="AC2" s="5" t="str">
        <f>IF(markov_trace!Y8="","",markov_trace!Y8)</f>
        <v/>
      </c>
      <c r="AD2" s="5" t="str">
        <f>IF(markov_trace!Z8="","",markov_trace!Z8)</f>
        <v/>
      </c>
      <c r="AE2" s="5" t="str">
        <f>IF(markov_trace!AA8="","",markov_trace!AA8)</f>
        <v/>
      </c>
      <c r="AF2" s="5" t="str">
        <f>IF(markov_trace!AB8="","",markov_trace!AB8)</f>
        <v/>
      </c>
      <c r="AG2" s="5" t="str">
        <f>IF(markov_trace!AC8="","",markov_trace!AC8)</f>
        <v/>
      </c>
      <c r="AH2" s="5" t="str">
        <f>IF(markov_trace!AD8="","",markov_trace!AD8)</f>
        <v/>
      </c>
      <c r="AI2" s="5" t="str">
        <f>IF(markov_trace!AE8="","",markov_trace!AE8)</f>
        <v/>
      </c>
      <c r="AJ2" s="5" t="str">
        <f>IF(markov_trace!AF8="","",markov_trace!AF8)</f>
        <v/>
      </c>
      <c r="AK2" s="5" t="str">
        <f>IF(markov_trace!AG8="","",markov_trace!AG8)</f>
        <v/>
      </c>
      <c r="AL2" s="5" t="str">
        <f>IF(markov_trace!AH8="","",markov_trace!AH8)</f>
        <v/>
      </c>
      <c r="AM2" s="5" t="str">
        <f>IF(markov_trace!AI8="","",markov_trace!AI8)</f>
        <v/>
      </c>
      <c r="AN2" s="5" t="str">
        <f>IF(markov_trace!AJ8="","",markov_trace!AJ8)</f>
        <v/>
      </c>
      <c r="AO2" s="5" t="str">
        <f>IF(markov_trace!AK8="","",markov_trace!AK8)</f>
        <v/>
      </c>
      <c r="AP2" s="5" t="str">
        <f>IF(markov_trace!AL8="","",markov_trace!AL8)</f>
        <v/>
      </c>
      <c r="AQ2" s="5" t="str">
        <f>IF(markov_trace!AM8="","",markov_trace!AM8)</f>
        <v/>
      </c>
      <c r="AR2" s="5" t="str">
        <f>IF(markov_trace!AN8="","",markov_trace!AN8)</f>
        <v/>
      </c>
      <c r="AS2" s="5" t="str">
        <f>IF(markov_trace!AO8="","",markov_trace!AO8)</f>
        <v/>
      </c>
      <c r="AT2" s="5" t="str">
        <f>IF(markov_trace!AP8="","",markov_trace!AP8)</f>
        <v/>
      </c>
      <c r="AU2" s="5" t="str">
        <f>IF(markov_trace!AQ8="","",markov_trace!AQ8)</f>
        <v/>
      </c>
      <c r="AV2" s="5" t="str">
        <f>IF(markov_trace!AR8="","",markov_trace!AR8)</f>
        <v/>
      </c>
      <c r="AW2" s="5" t="str">
        <f>IF(markov_trace!AS8="","",markov_trace!AS8)</f>
        <v/>
      </c>
      <c r="AX2" s="5" t="str">
        <f>IF(markov_trace!AT8="","",markov_trace!AT8)</f>
        <v/>
      </c>
      <c r="AY2" s="5" t="str">
        <f>IF(markov_trace!AU8="","",markov_trace!AU8)</f>
        <v/>
      </c>
      <c r="AZ2" s="5" t="str">
        <f>IF(markov_trace!AV8="","",markov_trace!AV8)</f>
        <v/>
      </c>
      <c r="BA2" s="5" t="str">
        <f>IF(markov_trace!AW8="","",markov_trace!AW8)</f>
        <v/>
      </c>
      <c r="BB2" s="5" t="str">
        <f>IF(markov_trace!AX8="","",markov_trace!AX8)</f>
        <v/>
      </c>
      <c r="BC2" s="5" t="str">
        <f>IF(markov_trace!AY8="","",markov_trace!AY8)</f>
        <v/>
      </c>
      <c r="BD2" s="5" t="str">
        <f>IF(markov_trace!AZ8="","",markov_trace!AZ8)</f>
        <v/>
      </c>
      <c r="BE2" s="5" t="str">
        <f>IF(markov_trace!BA8="","",markov_trace!BA8)</f>
        <v/>
      </c>
      <c r="BF2" s="5" t="str">
        <f>IF(markov_trace!BB8="","",markov_trace!BB8)</f>
        <v/>
      </c>
      <c r="BG2" s="5" t="str">
        <f>IF(markov_trace!BC8="","",markov_trace!BC8)</f>
        <v/>
      </c>
      <c r="BH2" s="5" t="str">
        <f>IF(markov_trace!BD8="","",markov_trace!BD8)</f>
        <v/>
      </c>
      <c r="BI2" s="5" t="str">
        <f>IF(markov_trace!BE8="","",markov_trace!BE8)</f>
        <v/>
      </c>
      <c r="BJ2" s="5" t="str">
        <f>IF(markov_trace!BF8="","",markov_trace!BF8)</f>
        <v/>
      </c>
      <c r="BK2" s="5" t="str">
        <f>IF(markov_trace!BG8="","",markov_trace!BG8)</f>
        <v/>
      </c>
      <c r="BL2" s="5" t="str">
        <f>IF(markov_trace!BH8="","",markov_trace!BH8)</f>
        <v/>
      </c>
      <c r="BM2" s="5" t="str">
        <f>IF(markov_trace!BI8="","",markov_trace!BI8)</f>
        <v/>
      </c>
      <c r="BN2" s="5" t="str">
        <f>IF(markov_trace!BJ8="","",markov_trace!BJ8)</f>
        <v/>
      </c>
      <c r="BO2" s="5" t="str">
        <f>IF(markov_trace!BK8="","",markov_trace!BK8)</f>
        <v/>
      </c>
      <c r="BP2" s="5" t="str">
        <f>IF(markov_trace!BL8="","",markov_trace!BL8)</f>
        <v/>
      </c>
      <c r="BQ2" s="5" t="str">
        <f>IF(markov_trace!BM8="","",markov_trace!BM8)</f>
        <v/>
      </c>
      <c r="BR2" s="5" t="str">
        <f>IF(markov_trace!BN8="","",markov_trace!BN8)</f>
        <v/>
      </c>
      <c r="BS2" s="5" t="str">
        <f>IF(markov_trace!BO8="","",markov_trace!BO8)</f>
        <v/>
      </c>
      <c r="BT2" s="5" t="str">
        <f>IF(markov_trace!BP8="","",markov_trace!BP8)</f>
        <v/>
      </c>
      <c r="BU2" s="5" t="str">
        <f>IF(markov_trace!BQ8="","",markov_trace!BQ8)</f>
        <v/>
      </c>
      <c r="BV2" s="5" t="str">
        <f>IF(markov_trace!BR8="","",markov_trace!BR8)</f>
        <v/>
      </c>
      <c r="BW2" s="5" t="str">
        <f>IF(markov_trace!BS8="","",markov_trace!BS8)</f>
        <v/>
      </c>
      <c r="BX2" s="5" t="str">
        <f>IF(markov_trace!BT8="","",markov_trace!BT8)</f>
        <v/>
      </c>
      <c r="BY2" s="5" t="str">
        <f>IF(markov_trace!BU8="","",markov_trace!BU8)</f>
        <v/>
      </c>
      <c r="BZ2" s="5" t="str">
        <f>IF(markov_trace!BV8="","",markov_trace!BV8)</f>
        <v/>
      </c>
    </row>
    <row r="3" spans="1:78" x14ac:dyDescent="0.55000000000000004">
      <c r="F3" s="3" t="s">
        <v>96</v>
      </c>
      <c r="G3" s="4" t="str">
        <f>model_settings!F16</f>
        <v>2</v>
      </c>
      <c r="I3" s="5" t="s">
        <v>107</v>
      </c>
      <c r="J3" s="6">
        <v>6.1471418195671159</v>
      </c>
      <c r="K3" s="6">
        <v>3.8528581804328836</v>
      </c>
      <c r="L3" s="6">
        <v>6.7369496299784428</v>
      </c>
      <c r="M3" s="6">
        <v>3.2630503700215638</v>
      </c>
      <c r="N3">
        <v>305.21757123291263</v>
      </c>
      <c r="O3">
        <v>4.8449963090278914</v>
      </c>
      <c r="P3">
        <v>281.94015282449089</v>
      </c>
      <c r="Q3">
        <v>4.4110399317654307</v>
      </c>
      <c r="R3">
        <v>334.51313192990671</v>
      </c>
      <c r="S3">
        <v>4.8303482905996011</v>
      </c>
      <c r="T3">
        <v>308.18080096218665</v>
      </c>
      <c r="U3">
        <v>4.3979194483539992</v>
      </c>
    </row>
    <row r="4" spans="1:78" x14ac:dyDescent="0.55000000000000004">
      <c r="F4" s="3" t="s">
        <v>97</v>
      </c>
      <c r="G4" s="4" t="str">
        <f>model_settings!F18</f>
        <v>2</v>
      </c>
      <c r="H4" s="2"/>
    </row>
    <row r="5" spans="1:78" x14ac:dyDescent="0.55000000000000004">
      <c r="F5" s="3" t="s">
        <v>0</v>
      </c>
      <c r="G5" s="4">
        <v>1000</v>
      </c>
    </row>
    <row r="6" spans="1:78" x14ac:dyDescent="0.55000000000000004">
      <c r="F6" s="3" t="s">
        <v>1</v>
      </c>
      <c r="G6" s="4">
        <v>1000</v>
      </c>
    </row>
    <row r="7" spans="1:78" x14ac:dyDescent="0.55000000000000004">
      <c r="D7" s="1" t="s">
        <v>2</v>
      </c>
      <c r="E7" s="1" t="str">
        <f>IF(markov_trace!F8="","",markov_trace!F8)</f>
        <v>SoC_Smoking</v>
      </c>
      <c r="F7" s="1" t="str">
        <f>IF(markov_trace!G8="","",markov_trace!G8)</f>
        <v>SoC_Not smoking</v>
      </c>
      <c r="G7" s="1" t="str">
        <f>IF(markov_trace!H8="","",markov_trace!H8)</f>
        <v>SoC with website_Smoking</v>
      </c>
      <c r="H7" s="1" t="str">
        <f>IF(markov_trace!I8="","",markov_trace!I8)</f>
        <v>SoC with website_Not smoking</v>
      </c>
      <c r="I7" s="1" t="str">
        <f>IF(markov_trace!J8="","",markov_trace!J8)</f>
        <v>SoC Undiscounted Costs</v>
      </c>
      <c r="J7" s="1" t="str">
        <f>IF(markov_trace!K8="","",markov_trace!K8)</f>
        <v>SoC Undiscounted QALYs</v>
      </c>
      <c r="K7" s="1" t="str">
        <f>IF(markov_trace!L8="","",markov_trace!L8)</f>
        <v>SoC Discounted Costs</v>
      </c>
      <c r="L7" s="1" t="str">
        <f>IF(markov_trace!M8="","",markov_trace!M8)</f>
        <v>SoC Discounted QALYs</v>
      </c>
      <c r="M7" s="1" t="str">
        <f>IF(markov_trace!N8="","",markov_trace!N8)</f>
        <v>SoC with website Undiscounted Costs</v>
      </c>
      <c r="N7" s="1" t="str">
        <f>IF(markov_trace!O8="","",markov_trace!O8)</f>
        <v>SoC with website Undiscounted QALYs</v>
      </c>
      <c r="O7" s="1" t="str">
        <f>IF(markov_trace!P8="","",markov_trace!P8)</f>
        <v>SoC with website Discounted Costs</v>
      </c>
      <c r="P7" s="1" t="str">
        <f>IF(markov_trace!Q8="","",markov_trace!Q8)</f>
        <v>SoC with website Discounted QALYs</v>
      </c>
      <c r="Q7" s="1" t="str">
        <f>IF(markov_trace!R8="","",markov_trace!R8)</f>
        <v/>
      </c>
      <c r="R7" s="1" t="str">
        <f>IF(markov_trace!S8="","",markov_trace!S8)</f>
        <v/>
      </c>
      <c r="S7" s="1" t="str">
        <f>IF(markov_trace!T8="","",markov_trace!T8)</f>
        <v/>
      </c>
      <c r="T7" s="1" t="str">
        <f>IF(markov_trace!U8="","",markov_trace!U8)</f>
        <v/>
      </c>
      <c r="U7" s="1" t="str">
        <f>IF(markov_trace!V8="","",markov_trace!V8)</f>
        <v/>
      </c>
      <c r="V7" s="1" t="str">
        <f>IF(markov_trace!W8="","",markov_trace!W8)</f>
        <v/>
      </c>
      <c r="W7" s="1" t="str">
        <f>IF(markov_trace!X8="","",markov_trace!X8)</f>
        <v/>
      </c>
      <c r="X7" s="1" t="str">
        <f>IF(markov_trace!Y8="","",markov_trace!Y8)</f>
        <v/>
      </c>
      <c r="Y7" s="1" t="str">
        <f>IF(markov_trace!Z8="","",markov_trace!Z8)</f>
        <v/>
      </c>
      <c r="Z7" s="1" t="str">
        <f>IF(markov_trace!AA8="","",markov_trace!AA8)</f>
        <v/>
      </c>
      <c r="AA7" s="1" t="str">
        <f>IF(markov_trace!AB8="","",markov_trace!AB8)</f>
        <v/>
      </c>
      <c r="AB7" s="1" t="str">
        <f>IF(markov_trace!AC8="","",markov_trace!AC8)</f>
        <v/>
      </c>
      <c r="AC7" s="1" t="str">
        <f>IF(markov_trace!AD8="","",markov_trace!AD8)</f>
        <v/>
      </c>
      <c r="AD7" s="1" t="str">
        <f>IF(markov_trace!AE8="","",markov_trace!AE8)</f>
        <v/>
      </c>
      <c r="AE7" s="1" t="str">
        <f>IF(markov_trace!AF8="","",markov_trace!AF8)</f>
        <v/>
      </c>
      <c r="AF7" s="1" t="str">
        <f>IF(markov_trace!AG8="","",markov_trace!AG8)</f>
        <v/>
      </c>
      <c r="AG7" s="1" t="str">
        <f>IF(markov_trace!AH8="","",markov_trace!AH8)</f>
        <v/>
      </c>
      <c r="AH7" s="1" t="str">
        <f>IF(markov_trace!AI8="","",markov_trace!AI8)</f>
        <v/>
      </c>
      <c r="AI7" s="1" t="str">
        <f>IF(markov_trace!AJ8="","",markov_trace!AJ8)</f>
        <v/>
      </c>
      <c r="AJ7" s="1" t="str">
        <f>IF(markov_trace!AK8="","",markov_trace!AK8)</f>
        <v/>
      </c>
      <c r="AK7" s="1" t="str">
        <f>IF(markov_trace!AL8="","",markov_trace!AL8)</f>
        <v/>
      </c>
      <c r="AL7" s="1" t="str">
        <f>IF(markov_trace!AM8="","",markov_trace!AM8)</f>
        <v/>
      </c>
      <c r="AM7" s="1" t="str">
        <f>IF(markov_trace!AN8="","",markov_trace!AN8)</f>
        <v/>
      </c>
      <c r="AN7" s="1" t="str">
        <f>IF(markov_trace!AO8="","",markov_trace!AO8)</f>
        <v/>
      </c>
      <c r="AO7" s="1" t="str">
        <f>IF(markov_trace!AP8="","",markov_trace!AP8)</f>
        <v/>
      </c>
      <c r="AP7" s="1" t="str">
        <f>IF(markov_trace!AQ8="","",markov_trace!AQ8)</f>
        <v/>
      </c>
      <c r="AQ7" s="1" t="str">
        <f>IF(markov_trace!AR8="","",markov_trace!AR8)</f>
        <v/>
      </c>
      <c r="AR7" s="1" t="str">
        <f>IF(markov_trace!AS8="","",markov_trace!AS8)</f>
        <v/>
      </c>
      <c r="AS7" s="1" t="str">
        <f>IF(markov_trace!AT8="","",markov_trace!AT8)</f>
        <v/>
      </c>
      <c r="AT7" s="1" t="str">
        <f>IF(markov_trace!AU8="","",markov_trace!AU8)</f>
        <v/>
      </c>
      <c r="AU7" s="1" t="str">
        <f>IF(markov_trace!AV8="","",markov_trace!AV8)</f>
        <v/>
      </c>
      <c r="AV7" s="1" t="str">
        <f>IF(markov_trace!AW8="","",markov_trace!AW8)</f>
        <v/>
      </c>
      <c r="AW7" s="1" t="str">
        <f>IF(markov_trace!AX8="","",markov_trace!AX8)</f>
        <v/>
      </c>
      <c r="AX7" s="1" t="str">
        <f>IF(markov_trace!AY8="","",markov_trace!AY8)</f>
        <v/>
      </c>
      <c r="AY7" s="1" t="str">
        <f>IF(markov_trace!AZ8="","",markov_trace!AZ8)</f>
        <v/>
      </c>
      <c r="AZ7" s="1" t="str">
        <f>IF(markov_trace!BA8="","",markov_trace!BA8)</f>
        <v/>
      </c>
      <c r="BA7" s="1" t="str">
        <f>IF(markov_trace!BB8="","",markov_trace!BB8)</f>
        <v/>
      </c>
      <c r="BB7" s="1" t="str">
        <f>IF(markov_trace!BC8="","",markov_trace!BC8)</f>
        <v/>
      </c>
      <c r="BC7" s="1" t="str">
        <f>IF(markov_trace!BD8="","",markov_trace!BD8)</f>
        <v/>
      </c>
      <c r="BD7" s="1" t="str">
        <f>IF(markov_trace!BE8="","",markov_trace!BE8)</f>
        <v/>
      </c>
      <c r="BE7" s="1" t="str">
        <f>IF(markov_trace!BF8="","",markov_trace!BF8)</f>
        <v/>
      </c>
      <c r="BF7" s="1" t="str">
        <f>IF(markov_trace!BG8="","",markov_trace!BG8)</f>
        <v/>
      </c>
      <c r="BG7" s="1" t="str">
        <f>IF(markov_trace!BH8="","",markov_trace!BH8)</f>
        <v/>
      </c>
      <c r="BH7" s="1" t="str">
        <f>IF(markov_trace!BI8="","",markov_trace!BI8)</f>
        <v/>
      </c>
      <c r="BI7" s="1" t="str">
        <f>IF(markov_trace!BJ8="","",markov_trace!BJ8)</f>
        <v/>
      </c>
      <c r="BJ7" s="1" t="str">
        <f>IF(markov_trace!BK8="","",markov_trace!BK8)</f>
        <v/>
      </c>
      <c r="BK7" s="1" t="str">
        <f>IF(markov_trace!BL8="","",markov_trace!BL8)</f>
        <v/>
      </c>
      <c r="BL7" s="1" t="str">
        <f>IF(markov_trace!BM8="","",markov_trace!BM8)</f>
        <v/>
      </c>
      <c r="BM7" s="1" t="str">
        <f>IF(markov_trace!BN8="","",markov_trace!BN8)</f>
        <v/>
      </c>
      <c r="BN7" s="1" t="str">
        <f>IF(markov_trace!BO8="","",markov_trace!BO8)</f>
        <v/>
      </c>
      <c r="BO7" s="1" t="str">
        <f>IF(markov_trace!BP8="","",markov_trace!BP8)</f>
        <v/>
      </c>
      <c r="BP7" s="1" t="str">
        <f>IF(markov_trace!BQ8="","",markov_trace!BQ8)</f>
        <v/>
      </c>
      <c r="BQ7" s="1" t="str">
        <f>IF(markov_trace!BR8="","",markov_trace!BR8)</f>
        <v/>
      </c>
      <c r="BR7" s="1" t="str">
        <f>IF(markov_trace!BS8="","",markov_trace!BS8)</f>
        <v/>
      </c>
      <c r="BS7" s="1" t="str">
        <f>IF(markov_trace!BT8="","",markov_trace!BT8)</f>
        <v/>
      </c>
      <c r="BT7" s="1" t="str">
        <f>IF(markov_trace!BU8="","",markov_trace!BU8)</f>
        <v/>
      </c>
      <c r="BU7" s="1" t="str">
        <f>IF(markov_trace!BV8="","",markov_trace!BV8)</f>
        <v/>
      </c>
      <c r="BV7" s="1" t="str">
        <f>IF(markov_trace!BW8="","",markov_trace!BW8)</f>
        <v/>
      </c>
      <c r="BW7" s="1" t="str">
        <f>IF(markov_trace!BX8="","",markov_trace!BX8)</f>
        <v/>
      </c>
      <c r="BX7" s="1" t="str">
        <f>IF(markov_trace!BY8="","",markov_trace!BY8)</f>
        <v/>
      </c>
      <c r="BY7" s="1" t="str">
        <f>IF(markov_trace!BZ8="","",markov_trace!BZ8)</f>
        <v/>
      </c>
      <c r="BZ7" s="1" t="str">
        <f>IF(markov_trace!CA8="","",markov_trace!CA8)</f>
        <v/>
      </c>
    </row>
    <row r="8" spans="1:78" x14ac:dyDescent="0.55000000000000004">
      <c r="D8">
        <v>1</v>
      </c>
      <c r="E8">
        <v>6.2734218282340626</v>
      </c>
      <c r="F8">
        <v>3.7265781717659374</v>
      </c>
      <c r="G8">
        <v>4.5921349077599833</v>
      </c>
      <c r="H8">
        <v>5.4078650922400167</v>
      </c>
      <c r="I8">
        <v>296.33662101088964</v>
      </c>
      <c r="J8">
        <v>4.764898198871597</v>
      </c>
      <c r="K8">
        <v>278.32786979640929</v>
      </c>
      <c r="L8">
        <v>4.4124183695638663</v>
      </c>
      <c r="M8">
        <v>266.91794032839823</v>
      </c>
      <c r="N8">
        <v>4.8279058514796391</v>
      </c>
      <c r="O8">
        <v>255.53515448866162</v>
      </c>
      <c r="P8">
        <v>4.4701692422690318</v>
      </c>
    </row>
    <row r="9" spans="1:78" x14ac:dyDescent="0.55000000000000004">
      <c r="D9">
        <v>2</v>
      </c>
      <c r="E9">
        <v>6.9084657597518895</v>
      </c>
      <c r="F9">
        <v>3.0915342402481087</v>
      </c>
      <c r="G9">
        <v>6.116649245347749</v>
      </c>
      <c r="H9">
        <v>3.8833507546522519</v>
      </c>
      <c r="I9">
        <v>347.08160516679391</v>
      </c>
      <c r="J9">
        <v>4.8140781740353118</v>
      </c>
      <c r="K9">
        <v>325.09090773883088</v>
      </c>
      <c r="L9">
        <v>4.4590907072903567</v>
      </c>
      <c r="M9">
        <v>357.30071077225682</v>
      </c>
      <c r="N9">
        <v>4.8353876770865822</v>
      </c>
      <c r="O9">
        <v>338.86012849716008</v>
      </c>
      <c r="P9">
        <v>4.4784985137902096</v>
      </c>
    </row>
    <row r="10" spans="1:78" x14ac:dyDescent="0.55000000000000004">
      <c r="D10">
        <v>3</v>
      </c>
      <c r="E10">
        <v>7.0571788788779362</v>
      </c>
      <c r="F10">
        <v>2.9428211211220647</v>
      </c>
      <c r="G10">
        <v>7.5096745613809173</v>
      </c>
      <c r="H10">
        <v>2.4903254386190823</v>
      </c>
      <c r="I10">
        <v>341.54355021522287</v>
      </c>
      <c r="J10">
        <v>4.740807189272112</v>
      </c>
      <c r="K10">
        <v>319.54602356913938</v>
      </c>
      <c r="L10">
        <v>4.3907335535708789</v>
      </c>
      <c r="M10">
        <v>413.44280833402797</v>
      </c>
      <c r="N10">
        <v>4.7241881365595306</v>
      </c>
      <c r="O10">
        <v>389.45205567583514</v>
      </c>
      <c r="P10">
        <v>4.3756271332946861</v>
      </c>
    </row>
    <row r="11" spans="1:78" x14ac:dyDescent="0.55000000000000004">
      <c r="D11">
        <v>4</v>
      </c>
      <c r="E11">
        <v>7.0405589645169355</v>
      </c>
      <c r="F11">
        <v>2.959441035483064</v>
      </c>
      <c r="G11">
        <v>6.4905265231840952</v>
      </c>
      <c r="H11">
        <v>3.5094734768159022</v>
      </c>
      <c r="I11">
        <v>380.94222815304454</v>
      </c>
      <c r="J11">
        <v>4.7294538075452177</v>
      </c>
      <c r="K11">
        <v>356.50258719085537</v>
      </c>
      <c r="L11">
        <v>4.3800436430464034</v>
      </c>
      <c r="M11">
        <v>401.18172407747545</v>
      </c>
      <c r="N11">
        <v>4.7505897973834079</v>
      </c>
      <c r="O11">
        <v>379.40617437603498</v>
      </c>
      <c r="P11">
        <v>4.3992875881237836</v>
      </c>
    </row>
    <row r="12" spans="1:78" x14ac:dyDescent="0.55000000000000004">
      <c r="D12">
        <v>5</v>
      </c>
      <c r="E12">
        <v>6.761393789101164</v>
      </c>
      <c r="F12">
        <v>3.2386062108988356</v>
      </c>
      <c r="G12">
        <v>7.7587549435908061</v>
      </c>
      <c r="H12">
        <v>2.2412450564091921</v>
      </c>
      <c r="I12">
        <v>336.26528527163129</v>
      </c>
      <c r="J12">
        <v>4.7898087043034092</v>
      </c>
      <c r="K12">
        <v>315.15562471947987</v>
      </c>
      <c r="L12">
        <v>4.4362365794013954</v>
      </c>
      <c r="M12">
        <v>435.8671785490065</v>
      </c>
      <c r="N12">
        <v>4.7588037606662636</v>
      </c>
      <c r="O12">
        <v>410.18691306017797</v>
      </c>
      <c r="P12">
        <v>4.408088610349008</v>
      </c>
    </row>
    <row r="13" spans="1:78" x14ac:dyDescent="0.55000000000000004">
      <c r="D13">
        <v>6</v>
      </c>
      <c r="E13">
        <v>6.9893181324620617</v>
      </c>
      <c r="F13">
        <v>3.0106818675379392</v>
      </c>
      <c r="G13">
        <v>7.5337453734741846</v>
      </c>
      <c r="H13">
        <v>2.4662546265258123</v>
      </c>
      <c r="I13">
        <v>370.29730431708055</v>
      </c>
      <c r="J13">
        <v>4.7513607699417122</v>
      </c>
      <c r="K13">
        <v>346.53826327265239</v>
      </c>
      <c r="L13">
        <v>4.4005467142003329</v>
      </c>
      <c r="M13">
        <v>449.14131111757791</v>
      </c>
      <c r="N13">
        <v>4.7319932197082624</v>
      </c>
      <c r="O13">
        <v>422.7597398111331</v>
      </c>
      <c r="P13">
        <v>4.3829400839021622</v>
      </c>
    </row>
    <row r="14" spans="1:78" x14ac:dyDescent="0.55000000000000004">
      <c r="D14">
        <v>7</v>
      </c>
      <c r="E14">
        <v>6.7605882165239306</v>
      </c>
      <c r="F14">
        <v>3.2394117834760703</v>
      </c>
      <c r="G14">
        <v>6.3995353951913465</v>
      </c>
      <c r="H14">
        <v>3.6004646048086522</v>
      </c>
      <c r="I14">
        <v>328.86376974982181</v>
      </c>
      <c r="J14">
        <v>4.7685414571766778</v>
      </c>
      <c r="K14">
        <v>308.13009794927848</v>
      </c>
      <c r="L14">
        <v>4.4163668184724756</v>
      </c>
      <c r="M14">
        <v>361.30062463590548</v>
      </c>
      <c r="N14">
        <v>4.780902624168573</v>
      </c>
      <c r="O14">
        <v>342.12708561431606</v>
      </c>
      <c r="P14">
        <v>4.4276299439868856</v>
      </c>
    </row>
    <row r="15" spans="1:78" x14ac:dyDescent="0.55000000000000004">
      <c r="D15">
        <v>8</v>
      </c>
      <c r="E15">
        <v>7.3921608750473951</v>
      </c>
      <c r="F15">
        <v>2.6078391249526049</v>
      </c>
      <c r="G15">
        <v>5.4630922407231868</v>
      </c>
      <c r="H15">
        <v>4.5369077592768141</v>
      </c>
      <c r="I15">
        <v>351.28440074077241</v>
      </c>
      <c r="J15">
        <v>4.8095208567583754</v>
      </c>
      <c r="K15">
        <v>328.35219886186178</v>
      </c>
      <c r="L15">
        <v>4.455188265294292</v>
      </c>
      <c r="M15">
        <v>309.61273251668837</v>
      </c>
      <c r="N15">
        <v>4.8592285602203908</v>
      </c>
      <c r="O15">
        <v>294.79204862404339</v>
      </c>
      <c r="P15">
        <v>4.5004976094976712</v>
      </c>
    </row>
    <row r="16" spans="1:78" x14ac:dyDescent="0.55000000000000004">
      <c r="D16">
        <v>9</v>
      </c>
      <c r="E16">
        <v>7.1381488689851897</v>
      </c>
      <c r="F16">
        <v>2.8618511310148058</v>
      </c>
      <c r="G16">
        <v>6.73616070082966</v>
      </c>
      <c r="H16">
        <v>3.2638392991703409</v>
      </c>
      <c r="I16">
        <v>353.53569084044074</v>
      </c>
      <c r="J16">
        <v>4.7066073664182264</v>
      </c>
      <c r="K16">
        <v>330.81031672672208</v>
      </c>
      <c r="L16">
        <v>4.3586994647367172</v>
      </c>
      <c r="M16">
        <v>383.62616424650264</v>
      </c>
      <c r="N16">
        <v>4.7231299088152214</v>
      </c>
      <c r="O16">
        <v>362.71132524953816</v>
      </c>
      <c r="P16">
        <v>4.3737194780260173</v>
      </c>
    </row>
    <row r="17" spans="4:16" x14ac:dyDescent="0.55000000000000004">
      <c r="D17">
        <v>10</v>
      </c>
      <c r="E17">
        <v>6.4885284955346165</v>
      </c>
      <c r="F17">
        <v>3.5114715044653835</v>
      </c>
      <c r="G17">
        <v>6.6303773352405235</v>
      </c>
      <c r="H17">
        <v>3.3696226647594782</v>
      </c>
      <c r="I17">
        <v>329.1002815558511</v>
      </c>
      <c r="J17">
        <v>4.8140916767363686</v>
      </c>
      <c r="K17">
        <v>308.72695732161122</v>
      </c>
      <c r="L17">
        <v>4.4588332781587789</v>
      </c>
      <c r="M17">
        <v>386.29490097036273</v>
      </c>
      <c r="N17">
        <v>4.810027445537453</v>
      </c>
      <c r="O17">
        <v>365.28227018787339</v>
      </c>
      <c r="P17">
        <v>4.4551301904018388</v>
      </c>
    </row>
    <row r="18" spans="4:16" x14ac:dyDescent="0.55000000000000004">
      <c r="D18">
        <v>11</v>
      </c>
      <c r="E18">
        <v>6.2935933171962217</v>
      </c>
      <c r="F18">
        <v>3.7064066828037792</v>
      </c>
      <c r="G18">
        <v>6.1782617272926341</v>
      </c>
      <c r="H18">
        <v>3.8217382727073654</v>
      </c>
      <c r="I18">
        <v>314.17507154227553</v>
      </c>
      <c r="J18">
        <v>4.8075835280915271</v>
      </c>
      <c r="K18">
        <v>295.1513444584528</v>
      </c>
      <c r="L18">
        <v>4.4524673435979585</v>
      </c>
      <c r="M18">
        <v>358.41773885761683</v>
      </c>
      <c r="N18">
        <v>4.8111096055659353</v>
      </c>
      <c r="O18">
        <v>339.90377734375971</v>
      </c>
      <c r="P18">
        <v>4.4556812152312348</v>
      </c>
    </row>
    <row r="19" spans="4:16" x14ac:dyDescent="0.55000000000000004">
      <c r="D19">
        <v>12</v>
      </c>
      <c r="E19">
        <v>7.5228759153782567</v>
      </c>
      <c r="F19">
        <v>2.4771240846217455</v>
      </c>
      <c r="G19">
        <v>6.8475839937851806</v>
      </c>
      <c r="H19">
        <v>3.1524160062148203</v>
      </c>
      <c r="I19">
        <v>377.86936676043689</v>
      </c>
      <c r="J19">
        <v>4.774065984770866</v>
      </c>
      <c r="K19">
        <v>353.12551271372956</v>
      </c>
      <c r="L19">
        <v>4.4220934597386927</v>
      </c>
      <c r="M19">
        <v>393.94987457936935</v>
      </c>
      <c r="N19">
        <v>4.7943469806311629</v>
      </c>
      <c r="O19">
        <v>372.35106073034098</v>
      </c>
      <c r="P19">
        <v>4.4404939867850954</v>
      </c>
    </row>
    <row r="20" spans="4:16" x14ac:dyDescent="0.55000000000000004">
      <c r="D20">
        <v>13</v>
      </c>
      <c r="E20">
        <v>6.2827487070690227</v>
      </c>
      <c r="F20">
        <v>3.7172512929309773</v>
      </c>
      <c r="G20">
        <v>6.3528199339220102</v>
      </c>
      <c r="H20">
        <v>3.6471800660779881</v>
      </c>
      <c r="I20">
        <v>327.04773502580372</v>
      </c>
      <c r="J20">
        <v>4.7944296613254718</v>
      </c>
      <c r="K20">
        <v>307.38146319211154</v>
      </c>
      <c r="L20">
        <v>4.4400239030925643</v>
      </c>
      <c r="M20">
        <v>380.69528438695585</v>
      </c>
      <c r="N20">
        <v>4.7921369441554686</v>
      </c>
      <c r="O20">
        <v>360.70182670882241</v>
      </c>
      <c r="P20">
        <v>4.4379368430718023</v>
      </c>
    </row>
    <row r="21" spans="4:16" x14ac:dyDescent="0.55000000000000004">
      <c r="D21">
        <v>14</v>
      </c>
      <c r="E21">
        <v>6.5072623565253291</v>
      </c>
      <c r="F21">
        <v>3.49273764347467</v>
      </c>
      <c r="G21">
        <v>6.1036537960216073</v>
      </c>
      <c r="H21">
        <v>3.8963462039783945</v>
      </c>
      <c r="I21">
        <v>334.8667892735815</v>
      </c>
      <c r="J21">
        <v>4.893196919351313</v>
      </c>
      <c r="K21">
        <v>314.28418530884102</v>
      </c>
      <c r="L21">
        <v>4.5329943129708328</v>
      </c>
      <c r="M21">
        <v>364.09690243419777</v>
      </c>
      <c r="N21">
        <v>4.8998213084225117</v>
      </c>
      <c r="O21">
        <v>345.36118064884153</v>
      </c>
      <c r="P21">
        <v>4.539029653761725</v>
      </c>
    </row>
    <row r="22" spans="4:16" x14ac:dyDescent="0.55000000000000004">
      <c r="D22">
        <v>15</v>
      </c>
      <c r="E22">
        <v>6.9175508191185555</v>
      </c>
      <c r="F22">
        <v>3.0824491808814418</v>
      </c>
      <c r="G22">
        <v>6.2755919585794624</v>
      </c>
      <c r="H22">
        <v>3.7244080414205367</v>
      </c>
      <c r="I22">
        <v>318.74482480383045</v>
      </c>
      <c r="J22">
        <v>4.8322037768284751</v>
      </c>
      <c r="K22">
        <v>298.6992429349915</v>
      </c>
      <c r="L22">
        <v>4.4759890707393559</v>
      </c>
      <c r="M22">
        <v>339.16483762566997</v>
      </c>
      <c r="N22">
        <v>4.8477755124104176</v>
      </c>
      <c r="O22">
        <v>321.81227774813925</v>
      </c>
      <c r="P22">
        <v>4.4901431239500225</v>
      </c>
    </row>
    <row r="23" spans="4:16" x14ac:dyDescent="0.55000000000000004">
      <c r="D23">
        <v>16</v>
      </c>
      <c r="E23">
        <v>7.3213915643223411</v>
      </c>
      <c r="F23">
        <v>2.6786084356776576</v>
      </c>
      <c r="G23">
        <v>6.2573735416601819</v>
      </c>
      <c r="H23">
        <v>3.7426264583398172</v>
      </c>
      <c r="I23">
        <v>362.86762626753523</v>
      </c>
      <c r="J23">
        <v>4.8540750353083846</v>
      </c>
      <c r="K23">
        <v>339.16560880691156</v>
      </c>
      <c r="L23">
        <v>4.4968393915054206</v>
      </c>
      <c r="M23">
        <v>360.13206489273102</v>
      </c>
      <c r="N23">
        <v>4.8752823141465829</v>
      </c>
      <c r="O23">
        <v>341.13168510995035</v>
      </c>
      <c r="P23">
        <v>4.5161559359201915</v>
      </c>
    </row>
    <row r="24" spans="4:16" x14ac:dyDescent="0.55000000000000004">
      <c r="D24">
        <v>17</v>
      </c>
      <c r="E24">
        <v>7.5026195637705966</v>
      </c>
      <c r="F24">
        <v>2.4973804362294039</v>
      </c>
      <c r="G24">
        <v>7.266108574685143</v>
      </c>
      <c r="H24">
        <v>2.7338914253148561</v>
      </c>
      <c r="I24">
        <v>338.99427148258667</v>
      </c>
      <c r="J24">
        <v>4.681173657041624</v>
      </c>
      <c r="K24">
        <v>316.78972146864612</v>
      </c>
      <c r="L24">
        <v>4.3352899193600622</v>
      </c>
      <c r="M24">
        <v>378.30788791199888</v>
      </c>
      <c r="N24">
        <v>4.6912242711076377</v>
      </c>
      <c r="O24">
        <v>357.09807209067725</v>
      </c>
      <c r="P24">
        <v>4.3444049793724293</v>
      </c>
    </row>
    <row r="25" spans="4:16" x14ac:dyDescent="0.55000000000000004">
      <c r="D25">
        <v>18</v>
      </c>
      <c r="E25">
        <v>6.1616594408961411</v>
      </c>
      <c r="F25">
        <v>3.8383405591038575</v>
      </c>
      <c r="G25">
        <v>5.5142717625891571</v>
      </c>
      <c r="H25">
        <v>4.4857282374108447</v>
      </c>
      <c r="I25">
        <v>295.77637792479368</v>
      </c>
      <c r="J25">
        <v>4.8733791903513017</v>
      </c>
      <c r="K25">
        <v>278.17913148873737</v>
      </c>
      <c r="L25">
        <v>4.5141452455415028</v>
      </c>
      <c r="M25">
        <v>314.70001214386809</v>
      </c>
      <c r="N25">
        <v>4.8866828714083494</v>
      </c>
      <c r="O25">
        <v>299.82360872920776</v>
      </c>
      <c r="P25">
        <v>4.5262841434312353</v>
      </c>
    </row>
    <row r="26" spans="4:16" x14ac:dyDescent="0.55000000000000004">
      <c r="D26">
        <v>19</v>
      </c>
      <c r="E26">
        <v>7.0709426230104837</v>
      </c>
      <c r="F26">
        <v>2.9290573769895185</v>
      </c>
      <c r="G26">
        <v>6.3159437498640409</v>
      </c>
      <c r="H26">
        <v>3.6840562501359591</v>
      </c>
      <c r="I26">
        <v>356.73005531529554</v>
      </c>
      <c r="J26">
        <v>4.8112039000000184</v>
      </c>
      <c r="K26">
        <v>333.67891729674864</v>
      </c>
      <c r="L26">
        <v>4.4566362396562971</v>
      </c>
      <c r="M26">
        <v>368.64025539186645</v>
      </c>
      <c r="N26">
        <v>4.8313625761983765</v>
      </c>
      <c r="O26">
        <v>348.94819166944694</v>
      </c>
      <c r="P26">
        <v>4.4750171566855856</v>
      </c>
    </row>
    <row r="27" spans="4:16" x14ac:dyDescent="0.55000000000000004">
      <c r="D27">
        <v>20</v>
      </c>
      <c r="E27">
        <v>6.6888111426941812</v>
      </c>
      <c r="F27">
        <v>3.3111888573058188</v>
      </c>
      <c r="G27">
        <v>7.4740196311646425</v>
      </c>
      <c r="H27">
        <v>2.5259803688353597</v>
      </c>
      <c r="I27">
        <v>318.90156733349261</v>
      </c>
      <c r="J27">
        <v>4.8244571869373569</v>
      </c>
      <c r="K27">
        <v>299.00024419071804</v>
      </c>
      <c r="L27">
        <v>4.4686448221909911</v>
      </c>
      <c r="M27">
        <v>406.3378489558695</v>
      </c>
      <c r="N27">
        <v>4.8038499812671356</v>
      </c>
      <c r="O27">
        <v>383.00439955718991</v>
      </c>
      <c r="P27">
        <v>4.4499268674980712</v>
      </c>
    </row>
    <row r="28" spans="4:16" x14ac:dyDescent="0.55000000000000004">
      <c r="D28">
        <v>21</v>
      </c>
      <c r="E28">
        <v>6.9091969320877542</v>
      </c>
      <c r="F28">
        <v>3.0908030679122431</v>
      </c>
      <c r="G28">
        <v>6.2312336700874749</v>
      </c>
      <c r="H28">
        <v>3.7687663299125269</v>
      </c>
      <c r="I28">
        <v>349.02157720179048</v>
      </c>
      <c r="J28">
        <v>4.9371176087813344</v>
      </c>
      <c r="K28">
        <v>326.92939891266542</v>
      </c>
      <c r="L28">
        <v>4.5743306411594293</v>
      </c>
      <c r="M28">
        <v>364.77392015654425</v>
      </c>
      <c r="N28">
        <v>4.9432879280661997</v>
      </c>
      <c r="O28">
        <v>345.75299183171802</v>
      </c>
      <c r="P28">
        <v>4.5799476206097385</v>
      </c>
    </row>
    <row r="29" spans="4:16" x14ac:dyDescent="0.55000000000000004">
      <c r="D29">
        <v>22</v>
      </c>
      <c r="E29">
        <v>7.7209281624975903</v>
      </c>
      <c r="F29">
        <v>2.2790718375024106</v>
      </c>
      <c r="G29">
        <v>5.4245516659578996</v>
      </c>
      <c r="H29">
        <v>4.5754483340420995</v>
      </c>
      <c r="I29">
        <v>395.77668661886668</v>
      </c>
      <c r="J29">
        <v>4.715672791359844</v>
      </c>
      <c r="K29">
        <v>369.48547669061293</v>
      </c>
      <c r="L29">
        <v>4.3677932156650225</v>
      </c>
      <c r="M29">
        <v>328.06385962425287</v>
      </c>
      <c r="N29">
        <v>4.8002380541762228</v>
      </c>
      <c r="O29">
        <v>312.27260472497824</v>
      </c>
      <c r="P29">
        <v>4.4448152779716867</v>
      </c>
    </row>
    <row r="30" spans="4:16" x14ac:dyDescent="0.55000000000000004">
      <c r="D30">
        <v>23</v>
      </c>
      <c r="E30">
        <v>6.3031965339760081</v>
      </c>
      <c r="F30">
        <v>3.6968034660239923</v>
      </c>
      <c r="G30">
        <v>6.346344424633152</v>
      </c>
      <c r="H30">
        <v>3.6536555753668436</v>
      </c>
      <c r="I30">
        <v>333.64737433926956</v>
      </c>
      <c r="J30">
        <v>4.8089247337558669</v>
      </c>
      <c r="K30">
        <v>313.32471660163401</v>
      </c>
      <c r="L30">
        <v>4.4537959774860596</v>
      </c>
      <c r="M30">
        <v>385.93132349878488</v>
      </c>
      <c r="N30">
        <v>4.8076167474586358</v>
      </c>
      <c r="O30">
        <v>365.40704480405122</v>
      </c>
      <c r="P30">
        <v>4.452603456740249</v>
      </c>
    </row>
    <row r="31" spans="4:16" x14ac:dyDescent="0.55000000000000004">
      <c r="D31">
        <v>24</v>
      </c>
      <c r="E31">
        <v>6.6923958719701506</v>
      </c>
      <c r="F31">
        <v>3.3076041280298512</v>
      </c>
      <c r="G31">
        <v>6.1020248781775503</v>
      </c>
      <c r="H31">
        <v>3.8979751218224492</v>
      </c>
      <c r="I31">
        <v>357.4360127098164</v>
      </c>
      <c r="J31">
        <v>4.8374055679958889</v>
      </c>
      <c r="K31">
        <v>335.22888295740432</v>
      </c>
      <c r="L31">
        <v>4.4807401287965778</v>
      </c>
      <c r="M31">
        <v>375.90472584668038</v>
      </c>
      <c r="N31">
        <v>4.8517488672034945</v>
      </c>
      <c r="O31">
        <v>356.52463005799984</v>
      </c>
      <c r="P31">
        <v>4.4937974356440273</v>
      </c>
    </row>
    <row r="32" spans="4:16" x14ac:dyDescent="0.55000000000000004">
      <c r="D32">
        <v>25</v>
      </c>
      <c r="E32">
        <v>6.6873388703194276</v>
      </c>
      <c r="F32">
        <v>3.3126611296805724</v>
      </c>
      <c r="G32">
        <v>5.9678932823042992</v>
      </c>
      <c r="H32">
        <v>4.0321067176957008</v>
      </c>
      <c r="I32">
        <v>326.58493823229327</v>
      </c>
      <c r="J32">
        <v>4.805735422228139</v>
      </c>
      <c r="K32">
        <v>306.27201637822481</v>
      </c>
      <c r="L32">
        <v>4.4510510225192617</v>
      </c>
      <c r="M32">
        <v>341.44987217989905</v>
      </c>
      <c r="N32">
        <v>4.8266350350780121</v>
      </c>
      <c r="O32">
        <v>324.26774218457882</v>
      </c>
      <c r="P32">
        <v>4.4700883267096385</v>
      </c>
    </row>
    <row r="33" spans="4:16" x14ac:dyDescent="0.55000000000000004">
      <c r="D33">
        <v>26</v>
      </c>
      <c r="E33">
        <v>6.1727586053344936</v>
      </c>
      <c r="F33">
        <v>3.8272413946655064</v>
      </c>
      <c r="G33">
        <v>4.9155480898270962</v>
      </c>
      <c r="H33">
        <v>5.0844519101729047</v>
      </c>
      <c r="I33">
        <v>327.71063203118376</v>
      </c>
      <c r="J33">
        <v>4.8272715185533581</v>
      </c>
      <c r="K33">
        <v>308.32384128551229</v>
      </c>
      <c r="L33">
        <v>4.4707225718743375</v>
      </c>
      <c r="M33">
        <v>310.96555434790474</v>
      </c>
      <c r="N33">
        <v>4.8624512618555968</v>
      </c>
      <c r="O33">
        <v>297.37296119689677</v>
      </c>
      <c r="P33">
        <v>4.5028483314058168</v>
      </c>
    </row>
    <row r="34" spans="4:16" x14ac:dyDescent="0.55000000000000004">
      <c r="D34">
        <v>27</v>
      </c>
      <c r="E34">
        <v>7.6389714249287461</v>
      </c>
      <c r="F34">
        <v>2.3610285750712525</v>
      </c>
      <c r="G34">
        <v>5.2314593805163305</v>
      </c>
      <c r="H34">
        <v>4.7685406194836704</v>
      </c>
      <c r="I34">
        <v>372.68092868453687</v>
      </c>
      <c r="J34">
        <v>4.9225212296386385</v>
      </c>
      <c r="K34">
        <v>348.08058250303867</v>
      </c>
      <c r="L34">
        <v>4.5608682732655295</v>
      </c>
      <c r="M34">
        <v>305.22613344825334</v>
      </c>
      <c r="N34">
        <v>4.946939578975897</v>
      </c>
      <c r="O34">
        <v>291.09324472592988</v>
      </c>
      <c r="P34">
        <v>4.5831104829875695</v>
      </c>
    </row>
    <row r="35" spans="4:16" x14ac:dyDescent="0.55000000000000004">
      <c r="D35">
        <v>28</v>
      </c>
      <c r="E35">
        <v>5.472600212608242</v>
      </c>
      <c r="F35">
        <v>4.5273997873917571</v>
      </c>
      <c r="G35">
        <v>5.2722791922862662</v>
      </c>
      <c r="H35">
        <v>4.7277208077137356</v>
      </c>
      <c r="I35">
        <v>275.7221931110023</v>
      </c>
      <c r="J35">
        <v>4.8353293432240791</v>
      </c>
      <c r="K35">
        <v>260.65412428307394</v>
      </c>
      <c r="L35">
        <v>4.4775612425350717</v>
      </c>
      <c r="M35">
        <v>315.62955909725531</v>
      </c>
      <c r="N35">
        <v>4.8413570069855307</v>
      </c>
      <c r="O35">
        <v>301.44260374330884</v>
      </c>
      <c r="P35">
        <v>4.4830626754087657</v>
      </c>
    </row>
    <row r="36" spans="4:16" x14ac:dyDescent="0.55000000000000004">
      <c r="D36">
        <v>29</v>
      </c>
      <c r="E36">
        <v>7.7792854495287536</v>
      </c>
      <c r="F36">
        <v>2.2207145504712491</v>
      </c>
      <c r="G36">
        <v>5.1885724156842468</v>
      </c>
      <c r="H36">
        <v>4.8114275843157532</v>
      </c>
      <c r="I36">
        <v>393.91806564979572</v>
      </c>
      <c r="J36">
        <v>4.7096495802012841</v>
      </c>
      <c r="K36">
        <v>367.86155562217925</v>
      </c>
      <c r="L36">
        <v>4.3620881349937184</v>
      </c>
      <c r="M36">
        <v>312.73266648083188</v>
      </c>
      <c r="N36">
        <v>4.8063441444816473</v>
      </c>
      <c r="O36">
        <v>298.62336375227289</v>
      </c>
      <c r="P36">
        <v>4.4499766125337299</v>
      </c>
    </row>
    <row r="37" spans="4:16" x14ac:dyDescent="0.55000000000000004">
      <c r="D37">
        <v>30</v>
      </c>
      <c r="E37">
        <v>6.5567388028914939</v>
      </c>
      <c r="F37">
        <v>3.4432611971085061</v>
      </c>
      <c r="G37">
        <v>6.0448815048093634</v>
      </c>
      <c r="H37">
        <v>3.9551184951906357</v>
      </c>
      <c r="I37">
        <v>336.37265485190511</v>
      </c>
      <c r="J37">
        <v>4.8586441332829287</v>
      </c>
      <c r="K37">
        <v>315.48717518811281</v>
      </c>
      <c r="L37">
        <v>4.5006536986327657</v>
      </c>
      <c r="M37">
        <v>360.11344224070876</v>
      </c>
      <c r="N37">
        <v>4.8696791972348352</v>
      </c>
      <c r="O37">
        <v>341.53632938103402</v>
      </c>
      <c r="P37">
        <v>4.5107187039738132</v>
      </c>
    </row>
    <row r="38" spans="4:16" x14ac:dyDescent="0.55000000000000004">
      <c r="D38">
        <v>31</v>
      </c>
      <c r="E38">
        <v>6.5640433721159273</v>
      </c>
      <c r="F38">
        <v>3.4359566278840727</v>
      </c>
      <c r="G38">
        <v>5.7962206959767055</v>
      </c>
      <c r="H38">
        <v>4.2037793040232945</v>
      </c>
      <c r="I38">
        <v>336.48016613564823</v>
      </c>
      <c r="J38">
        <v>4.8396636204497243</v>
      </c>
      <c r="K38">
        <v>315.75342640563304</v>
      </c>
      <c r="L38">
        <v>4.4827728693995565</v>
      </c>
      <c r="M38">
        <v>347.12072150925451</v>
      </c>
      <c r="N38">
        <v>4.8584188146264937</v>
      </c>
      <c r="O38">
        <v>329.88131199424839</v>
      </c>
      <c r="P38">
        <v>4.4998663136212169</v>
      </c>
    </row>
    <row r="39" spans="4:16" x14ac:dyDescent="0.55000000000000004">
      <c r="D39">
        <v>32</v>
      </c>
      <c r="E39">
        <v>7.4518523127956309</v>
      </c>
      <c r="F39">
        <v>2.5481476872043682</v>
      </c>
      <c r="G39">
        <v>4.7207107590442714</v>
      </c>
      <c r="H39">
        <v>5.2792892409557295</v>
      </c>
      <c r="I39">
        <v>351.96887034200205</v>
      </c>
      <c r="J39">
        <v>4.8051354601256131</v>
      </c>
      <c r="K39">
        <v>328.94465961277257</v>
      </c>
      <c r="L39">
        <v>4.4511153534229102</v>
      </c>
      <c r="M39">
        <v>272.9704995923093</v>
      </c>
      <c r="N39">
        <v>4.8765542993435798</v>
      </c>
      <c r="O39">
        <v>261.16573342306219</v>
      </c>
      <c r="P39">
        <v>4.516322643591943</v>
      </c>
    </row>
    <row r="40" spans="4:16" x14ac:dyDescent="0.55000000000000004">
      <c r="D40">
        <v>33</v>
      </c>
      <c r="E40">
        <v>8.4128159903389914</v>
      </c>
      <c r="F40">
        <v>1.5871840096610059</v>
      </c>
      <c r="G40">
        <v>6.4693278213557077</v>
      </c>
      <c r="H40">
        <v>3.5306721786442923</v>
      </c>
      <c r="I40">
        <v>422.74345085123889</v>
      </c>
      <c r="J40">
        <v>4.6504836740026256</v>
      </c>
      <c r="K40">
        <v>393.60546990084788</v>
      </c>
      <c r="L40">
        <v>4.3078071449808757</v>
      </c>
      <c r="M40">
        <v>375.08329803343753</v>
      </c>
      <c r="N40">
        <v>4.7312272496641476</v>
      </c>
      <c r="O40">
        <v>354.88705164199052</v>
      </c>
      <c r="P40">
        <v>4.3811578628588119</v>
      </c>
    </row>
    <row r="41" spans="4:16" x14ac:dyDescent="0.55000000000000004">
      <c r="D41">
        <v>34</v>
      </c>
      <c r="E41">
        <v>6.8169629929990201</v>
      </c>
      <c r="F41">
        <v>3.1830370070009781</v>
      </c>
      <c r="G41">
        <v>5.4071208366972154</v>
      </c>
      <c r="H41">
        <v>4.5928791633027846</v>
      </c>
      <c r="I41">
        <v>332.86096512243063</v>
      </c>
      <c r="J41">
        <v>4.8357676292614187</v>
      </c>
      <c r="K41">
        <v>311.8001544612415</v>
      </c>
      <c r="L41">
        <v>4.4793916923729231</v>
      </c>
      <c r="M41">
        <v>314.02071744925757</v>
      </c>
      <c r="N41">
        <v>4.8697331531955284</v>
      </c>
      <c r="O41">
        <v>298.91775059603765</v>
      </c>
      <c r="P41">
        <v>4.5104176381780281</v>
      </c>
    </row>
    <row r="42" spans="4:16" x14ac:dyDescent="0.55000000000000004">
      <c r="D42">
        <v>35</v>
      </c>
      <c r="E42">
        <v>7.7220481430396077</v>
      </c>
      <c r="F42">
        <v>2.2779518569603954</v>
      </c>
      <c r="G42">
        <v>5.8095510126896901</v>
      </c>
      <c r="H42">
        <v>4.1904489873103099</v>
      </c>
      <c r="I42">
        <v>370.31902899278919</v>
      </c>
      <c r="J42">
        <v>4.8548940619437069</v>
      </c>
      <c r="K42">
        <v>345.56224056785601</v>
      </c>
      <c r="L42">
        <v>4.4978275075146339</v>
      </c>
      <c r="M42">
        <v>328.60319568746905</v>
      </c>
      <c r="N42">
        <v>4.8908320261973381</v>
      </c>
      <c r="O42">
        <v>311.94612717417715</v>
      </c>
      <c r="P42">
        <v>4.5305916746804726</v>
      </c>
    </row>
    <row r="43" spans="4:16" x14ac:dyDescent="0.55000000000000004">
      <c r="D43">
        <v>36</v>
      </c>
      <c r="E43">
        <v>6.7718698575534511</v>
      </c>
      <c r="F43">
        <v>3.2281301424465489</v>
      </c>
      <c r="G43">
        <v>5.8890471471710564</v>
      </c>
      <c r="H43">
        <v>4.1109528528289419</v>
      </c>
      <c r="I43">
        <v>338.70480668860023</v>
      </c>
      <c r="J43">
        <v>4.8013004077983465</v>
      </c>
      <c r="K43">
        <v>317.03694771985073</v>
      </c>
      <c r="L43">
        <v>4.4472444929378074</v>
      </c>
      <c r="M43">
        <v>344.54915961472039</v>
      </c>
      <c r="N43">
        <v>4.8272041118312403</v>
      </c>
      <c r="O43">
        <v>326.65394057230088</v>
      </c>
      <c r="P43">
        <v>4.4709349953860684</v>
      </c>
    </row>
    <row r="44" spans="4:16" x14ac:dyDescent="0.55000000000000004">
      <c r="D44">
        <v>37</v>
      </c>
      <c r="E44">
        <v>5.7828155379945674</v>
      </c>
      <c r="F44">
        <v>4.2171844620054326</v>
      </c>
      <c r="G44">
        <v>6.243935311487169</v>
      </c>
      <c r="H44">
        <v>3.7560646885128328</v>
      </c>
      <c r="I44">
        <v>294.56937302367561</v>
      </c>
      <c r="J44">
        <v>4.8439427783106392</v>
      </c>
      <c r="K44">
        <v>277.58958405925989</v>
      </c>
      <c r="L44">
        <v>4.486171082773355</v>
      </c>
      <c r="M44">
        <v>368.05823613440174</v>
      </c>
      <c r="N44">
        <v>4.83149882773942</v>
      </c>
      <c r="O44">
        <v>349.00262249666787</v>
      </c>
      <c r="P44">
        <v>4.4748268644244877</v>
      </c>
    </row>
    <row r="45" spans="4:16" x14ac:dyDescent="0.55000000000000004">
      <c r="D45">
        <v>38</v>
      </c>
      <c r="E45">
        <v>7.3943722302991892</v>
      </c>
      <c r="F45">
        <v>2.605627769700809</v>
      </c>
      <c r="G45">
        <v>7.2149503788892524</v>
      </c>
      <c r="H45">
        <v>2.7850496211107489</v>
      </c>
      <c r="I45">
        <v>364.99981417416541</v>
      </c>
      <c r="J45">
        <v>4.9054383312977663</v>
      </c>
      <c r="K45">
        <v>341.10805446362076</v>
      </c>
      <c r="L45">
        <v>4.5448607827853174</v>
      </c>
      <c r="M45">
        <v>406.14322156782299</v>
      </c>
      <c r="N45">
        <v>4.907732837057357</v>
      </c>
      <c r="O45">
        <v>383.06278150335089</v>
      </c>
      <c r="P45">
        <v>4.5469450973705445</v>
      </c>
    </row>
    <row r="46" spans="4:16" x14ac:dyDescent="0.55000000000000004">
      <c r="D46">
        <v>39</v>
      </c>
      <c r="E46">
        <v>8.0440002489000069</v>
      </c>
      <c r="F46">
        <v>1.9559997510999922</v>
      </c>
      <c r="G46">
        <v>5.7602174441458036</v>
      </c>
      <c r="H46">
        <v>4.2397825558541946</v>
      </c>
      <c r="I46">
        <v>416.08554270285794</v>
      </c>
      <c r="J46">
        <v>4.8677831682445989</v>
      </c>
      <c r="K46">
        <v>387.84627035202328</v>
      </c>
      <c r="L46">
        <v>4.5099893174528622</v>
      </c>
      <c r="M46">
        <v>347.95414310953356</v>
      </c>
      <c r="N46">
        <v>4.9053210247238255</v>
      </c>
      <c r="O46">
        <v>330.21678428760214</v>
      </c>
      <c r="P46">
        <v>4.5441900482892672</v>
      </c>
    </row>
    <row r="47" spans="4:16" x14ac:dyDescent="0.55000000000000004">
      <c r="D47">
        <v>40</v>
      </c>
      <c r="E47">
        <v>5.8728496627024303</v>
      </c>
      <c r="F47">
        <v>4.1271503372975697</v>
      </c>
      <c r="G47">
        <v>6.5243363506513603</v>
      </c>
      <c r="H47">
        <v>3.475663649348641</v>
      </c>
      <c r="I47">
        <v>311.24959269417548</v>
      </c>
      <c r="J47">
        <v>4.8329703270294635</v>
      </c>
      <c r="K47">
        <v>293.21948028343809</v>
      </c>
      <c r="L47">
        <v>4.4758787835349354</v>
      </c>
      <c r="M47">
        <v>395.77711815725246</v>
      </c>
      <c r="N47">
        <v>4.814441399050283</v>
      </c>
      <c r="O47">
        <v>374.6556677524494</v>
      </c>
      <c r="P47">
        <v>4.4590087980453532</v>
      </c>
    </row>
    <row r="48" spans="4:16" x14ac:dyDescent="0.55000000000000004">
      <c r="D48">
        <v>41</v>
      </c>
      <c r="E48">
        <v>5.478671824927801</v>
      </c>
      <c r="F48">
        <v>4.5213281750721981</v>
      </c>
      <c r="G48">
        <v>6.1584031189368629</v>
      </c>
      <c r="H48">
        <v>3.841596881063138</v>
      </c>
      <c r="I48">
        <v>265.10920516039687</v>
      </c>
      <c r="J48">
        <v>4.8073378820939201</v>
      </c>
      <c r="K48">
        <v>249.93607543166047</v>
      </c>
      <c r="L48">
        <v>4.4515973478194546</v>
      </c>
      <c r="M48">
        <v>348.00094039036111</v>
      </c>
      <c r="N48">
        <v>4.7834345575481851</v>
      </c>
      <c r="O48">
        <v>330.01289559568579</v>
      </c>
      <c r="P48">
        <v>4.4297396991226634</v>
      </c>
    </row>
    <row r="49" spans="4:16" x14ac:dyDescent="0.55000000000000004">
      <c r="D49">
        <v>42</v>
      </c>
      <c r="E49">
        <v>6.9250378326896449</v>
      </c>
      <c r="F49">
        <v>3.0749621673103511</v>
      </c>
      <c r="G49">
        <v>6.2043936088833291</v>
      </c>
      <c r="H49">
        <v>3.7956063911166709</v>
      </c>
      <c r="I49">
        <v>356.49915564640332</v>
      </c>
      <c r="J49">
        <v>4.9102995790240254</v>
      </c>
      <c r="K49">
        <v>333.81584733544048</v>
      </c>
      <c r="L49">
        <v>4.5492397693078521</v>
      </c>
      <c r="M49">
        <v>369.40057748475488</v>
      </c>
      <c r="N49">
        <v>4.9196341258974305</v>
      </c>
      <c r="O49">
        <v>350.01543806455305</v>
      </c>
      <c r="P49">
        <v>4.5577444484711496</v>
      </c>
    </row>
    <row r="50" spans="4:16" x14ac:dyDescent="0.55000000000000004">
      <c r="D50">
        <v>43</v>
      </c>
      <c r="E50">
        <v>6.3480081695159898</v>
      </c>
      <c r="F50">
        <v>3.6519918304840102</v>
      </c>
      <c r="G50">
        <v>6.6176543457834729</v>
      </c>
      <c r="H50">
        <v>3.382345654216528</v>
      </c>
      <c r="I50">
        <v>281.61887058305746</v>
      </c>
      <c r="J50">
        <v>4.820402084761672</v>
      </c>
      <c r="K50">
        <v>264.23726248924606</v>
      </c>
      <c r="L50">
        <v>4.4647196633013042</v>
      </c>
      <c r="M50">
        <v>343.58127667795668</v>
      </c>
      <c r="N50">
        <v>4.8127732522497375</v>
      </c>
      <c r="O50">
        <v>325.1506084419147</v>
      </c>
      <c r="P50">
        <v>4.4577598520595485</v>
      </c>
    </row>
    <row r="51" spans="4:16" x14ac:dyDescent="0.55000000000000004">
      <c r="D51">
        <v>44</v>
      </c>
      <c r="E51">
        <v>7.3124032589264889</v>
      </c>
      <c r="F51">
        <v>2.6875967410735102</v>
      </c>
      <c r="G51">
        <v>7.1100200276627072</v>
      </c>
      <c r="H51">
        <v>2.8899799723372932</v>
      </c>
      <c r="I51">
        <v>361.74588328795181</v>
      </c>
      <c r="J51">
        <v>4.9277617423735371</v>
      </c>
      <c r="K51">
        <v>338.34038774171847</v>
      </c>
      <c r="L51">
        <v>4.5656684017781757</v>
      </c>
      <c r="M51">
        <v>401.73394902177</v>
      </c>
      <c r="N51">
        <v>4.9297610593534191</v>
      </c>
      <c r="O51">
        <v>379.25698288229506</v>
      </c>
      <c r="P51">
        <v>4.5674822975836973</v>
      </c>
    </row>
    <row r="52" spans="4:16" x14ac:dyDescent="0.55000000000000004">
      <c r="D52">
        <v>45</v>
      </c>
      <c r="E52">
        <v>6.336657084825565</v>
      </c>
      <c r="F52">
        <v>3.6633429151744332</v>
      </c>
      <c r="G52">
        <v>5.9656263828880061</v>
      </c>
      <c r="H52">
        <v>4.0343736171119939</v>
      </c>
      <c r="I52">
        <v>315.83612947417214</v>
      </c>
      <c r="J52">
        <v>4.7787004612338553</v>
      </c>
      <c r="K52">
        <v>296.94739600577839</v>
      </c>
      <c r="L52">
        <v>4.4251681247970218</v>
      </c>
      <c r="M52">
        <v>347.3429556685914</v>
      </c>
      <c r="N52">
        <v>4.7916582277829542</v>
      </c>
      <c r="O52">
        <v>330.12336519409297</v>
      </c>
      <c r="P52">
        <v>4.4369563589835659</v>
      </c>
    </row>
    <row r="53" spans="4:16" x14ac:dyDescent="0.55000000000000004">
      <c r="D53">
        <v>46</v>
      </c>
      <c r="E53">
        <v>6.4470133777200491</v>
      </c>
      <c r="F53">
        <v>3.5529866222799527</v>
      </c>
      <c r="G53">
        <v>5.9720373776646651</v>
      </c>
      <c r="H53">
        <v>4.0279626223353358</v>
      </c>
      <c r="I53">
        <v>334.23553571071466</v>
      </c>
      <c r="J53">
        <v>4.7901815613208809</v>
      </c>
      <c r="K53">
        <v>313.40457289321114</v>
      </c>
      <c r="L53">
        <v>4.4364910648560816</v>
      </c>
      <c r="M53">
        <v>359.61113235878838</v>
      </c>
      <c r="N53">
        <v>4.8056396838503108</v>
      </c>
      <c r="O53">
        <v>340.89649367813331</v>
      </c>
      <c r="P53">
        <v>4.4506206517311924</v>
      </c>
    </row>
    <row r="54" spans="4:16" x14ac:dyDescent="0.55000000000000004">
      <c r="D54">
        <v>47</v>
      </c>
      <c r="E54">
        <v>6.5441187249617423</v>
      </c>
      <c r="F54">
        <v>3.4558812750382573</v>
      </c>
      <c r="G54">
        <v>6.4782954071636327</v>
      </c>
      <c r="H54">
        <v>3.5217045928363664</v>
      </c>
      <c r="I54">
        <v>342.88693444058674</v>
      </c>
      <c r="J54">
        <v>4.8481216075666316</v>
      </c>
      <c r="K54">
        <v>321.72301497760793</v>
      </c>
      <c r="L54">
        <v>4.4907286942889266</v>
      </c>
      <c r="M54">
        <v>389.43804290865114</v>
      </c>
      <c r="N54">
        <v>4.8496492601218453</v>
      </c>
      <c r="O54">
        <v>368.58314945972086</v>
      </c>
      <c r="P54">
        <v>4.4921194668130875</v>
      </c>
    </row>
    <row r="55" spans="4:16" x14ac:dyDescent="0.55000000000000004">
      <c r="D55">
        <v>48</v>
      </c>
      <c r="E55">
        <v>6.1207153068852156</v>
      </c>
      <c r="F55">
        <v>3.8792846931147826</v>
      </c>
      <c r="G55">
        <v>4.8255368413210435</v>
      </c>
      <c r="H55">
        <v>5.1744631586789547</v>
      </c>
      <c r="I55">
        <v>310.54408819252217</v>
      </c>
      <c r="J55">
        <v>5.0020502961561224</v>
      </c>
      <c r="K55">
        <v>292.04103661186753</v>
      </c>
      <c r="L55">
        <v>4.6351608709208527</v>
      </c>
      <c r="M55">
        <v>294.83117794120426</v>
      </c>
      <c r="N55">
        <v>5.0016164417295892</v>
      </c>
      <c r="O55">
        <v>281.90532701276942</v>
      </c>
      <c r="P55">
        <v>4.6347638386831624</v>
      </c>
    </row>
    <row r="56" spans="4:16" x14ac:dyDescent="0.55000000000000004">
      <c r="D56">
        <v>49</v>
      </c>
      <c r="E56">
        <v>5.5946247171243417</v>
      </c>
      <c r="F56">
        <v>4.4053752828756574</v>
      </c>
      <c r="G56">
        <v>5.8786131823678662</v>
      </c>
      <c r="H56">
        <v>4.1213868176321311</v>
      </c>
      <c r="I56">
        <v>269.58334613131711</v>
      </c>
      <c r="J56">
        <v>4.833608951686962</v>
      </c>
      <c r="K56">
        <v>254.53029763313816</v>
      </c>
      <c r="L56">
        <v>4.4761326650571807</v>
      </c>
      <c r="M56">
        <v>333.26765287109043</v>
      </c>
      <c r="N56">
        <v>4.8251627840117557</v>
      </c>
      <c r="O56">
        <v>317.00504730549261</v>
      </c>
      <c r="P56">
        <v>4.4684330548801681</v>
      </c>
    </row>
    <row r="57" spans="4:16" x14ac:dyDescent="0.55000000000000004">
      <c r="D57">
        <v>50</v>
      </c>
      <c r="E57">
        <v>6.8970696559997977</v>
      </c>
      <c r="F57">
        <v>3.1029303440002027</v>
      </c>
      <c r="G57">
        <v>6.1378277636303675</v>
      </c>
      <c r="H57">
        <v>3.8621722363696329</v>
      </c>
      <c r="I57">
        <v>362.25767921636208</v>
      </c>
      <c r="J57">
        <v>4.7194219058779021</v>
      </c>
      <c r="K57">
        <v>339.05077125115429</v>
      </c>
      <c r="L57">
        <v>4.3706290029878971</v>
      </c>
      <c r="M57">
        <v>372.37969920287497</v>
      </c>
      <c r="N57">
        <v>4.7503084495498742</v>
      </c>
      <c r="O57">
        <v>352.65113976975192</v>
      </c>
      <c r="P57">
        <v>4.3988214742969696</v>
      </c>
    </row>
    <row r="58" spans="4:16" x14ac:dyDescent="0.55000000000000004">
      <c r="D58">
        <v>51</v>
      </c>
      <c r="E58">
        <v>5.4732534631192831</v>
      </c>
      <c r="F58">
        <v>4.5267465368807169</v>
      </c>
      <c r="G58">
        <v>6.6596800641752694</v>
      </c>
      <c r="H58">
        <v>3.3403199358247297</v>
      </c>
      <c r="I58">
        <v>253.4672907501371</v>
      </c>
      <c r="J58">
        <v>4.858586757533633</v>
      </c>
      <c r="K58">
        <v>239.24856295613583</v>
      </c>
      <c r="L58">
        <v>4.4997523381569868</v>
      </c>
      <c r="M58">
        <v>358.41090669445873</v>
      </c>
      <c r="N58">
        <v>4.8279328816014813</v>
      </c>
      <c r="O58">
        <v>339.33326026763388</v>
      </c>
      <c r="P58">
        <v>4.471809326560483</v>
      </c>
    </row>
    <row r="59" spans="4:16" x14ac:dyDescent="0.55000000000000004">
      <c r="D59">
        <v>52</v>
      </c>
      <c r="E59">
        <v>6.5715728404775922</v>
      </c>
      <c r="F59">
        <v>3.4284271595224083</v>
      </c>
      <c r="G59">
        <v>5.8775775434551205</v>
      </c>
      <c r="H59">
        <v>4.1224224565448795</v>
      </c>
      <c r="I59">
        <v>344.58631578624653</v>
      </c>
      <c r="J59">
        <v>4.8993497981492204</v>
      </c>
      <c r="K59">
        <v>323.33223941831693</v>
      </c>
      <c r="L59">
        <v>4.538790637303812</v>
      </c>
      <c r="M59">
        <v>358.19604995810784</v>
      </c>
      <c r="N59">
        <v>4.9099790292974417</v>
      </c>
      <c r="O59">
        <v>340.1695340028175</v>
      </c>
      <c r="P59">
        <v>4.5484771304727927</v>
      </c>
    </row>
    <row r="60" spans="4:16" x14ac:dyDescent="0.55000000000000004">
      <c r="D60">
        <v>53</v>
      </c>
      <c r="E60">
        <v>7.1714508875599332</v>
      </c>
      <c r="F60">
        <v>2.8285491124400663</v>
      </c>
      <c r="G60">
        <v>6.6194706848223319</v>
      </c>
      <c r="H60">
        <v>3.3805293151776663</v>
      </c>
      <c r="I60">
        <v>363.97254804717682</v>
      </c>
      <c r="J60">
        <v>4.8274453587009445</v>
      </c>
      <c r="K60">
        <v>340.33431412372613</v>
      </c>
      <c r="L60">
        <v>4.4718846742433511</v>
      </c>
      <c r="M60">
        <v>385.95790442596672</v>
      </c>
      <c r="N60">
        <v>4.8407267361210682</v>
      </c>
      <c r="O60">
        <v>364.81676981624872</v>
      </c>
      <c r="P60">
        <v>4.4839822094240489</v>
      </c>
    </row>
    <row r="61" spans="4:16" x14ac:dyDescent="0.55000000000000004">
      <c r="D61">
        <v>54</v>
      </c>
      <c r="E61">
        <v>6.9301146611467184</v>
      </c>
      <c r="F61">
        <v>3.0698853388532803</v>
      </c>
      <c r="G61">
        <v>6.6704042577709783</v>
      </c>
      <c r="H61">
        <v>3.3295957422290212</v>
      </c>
      <c r="I61">
        <v>333.80520744987416</v>
      </c>
      <c r="J61">
        <v>4.8414305287124524</v>
      </c>
      <c r="K61">
        <v>312.73110297765385</v>
      </c>
      <c r="L61">
        <v>4.4846742227112566</v>
      </c>
      <c r="M61">
        <v>371.29564746210565</v>
      </c>
      <c r="N61">
        <v>4.8473730193298223</v>
      </c>
      <c r="O61">
        <v>351.36401028934745</v>
      </c>
      <c r="P61">
        <v>4.4900740002984056</v>
      </c>
    </row>
    <row r="62" spans="4:16" x14ac:dyDescent="0.55000000000000004">
      <c r="D62">
        <v>55</v>
      </c>
      <c r="E62">
        <v>6.3995449442732335</v>
      </c>
      <c r="F62">
        <v>3.6004550557267652</v>
      </c>
      <c r="G62">
        <v>5.3498668564505483</v>
      </c>
      <c r="H62">
        <v>4.6501331435494526</v>
      </c>
      <c r="I62">
        <v>335.77057833950846</v>
      </c>
      <c r="J62">
        <v>4.7550824726640952</v>
      </c>
      <c r="K62">
        <v>315.20349269155611</v>
      </c>
      <c r="L62">
        <v>4.4033172380130283</v>
      </c>
      <c r="M62">
        <v>330.69619075607096</v>
      </c>
      <c r="N62">
        <v>4.7952547917909847</v>
      </c>
      <c r="O62">
        <v>314.87525299393002</v>
      </c>
      <c r="P62">
        <v>4.4400276254533724</v>
      </c>
    </row>
    <row r="63" spans="4:16" x14ac:dyDescent="0.55000000000000004">
      <c r="D63">
        <v>56</v>
      </c>
      <c r="E63">
        <v>6.2969033482846877</v>
      </c>
      <c r="F63">
        <v>3.7030966517153114</v>
      </c>
      <c r="G63">
        <v>5.9581474664283185</v>
      </c>
      <c r="H63">
        <v>4.0418525335716806</v>
      </c>
      <c r="I63">
        <v>306.67195209392537</v>
      </c>
      <c r="J63">
        <v>4.8841227488413104</v>
      </c>
      <c r="K63">
        <v>288.05710027679584</v>
      </c>
      <c r="L63">
        <v>4.5243891836426284</v>
      </c>
      <c r="M63">
        <v>340.17385424707004</v>
      </c>
      <c r="N63">
        <v>4.8903566225776842</v>
      </c>
      <c r="O63">
        <v>323.00653802056394</v>
      </c>
      <c r="P63">
        <v>4.5300761001367436</v>
      </c>
    </row>
    <row r="64" spans="4:16" x14ac:dyDescent="0.55000000000000004">
      <c r="D64">
        <v>57</v>
      </c>
      <c r="E64">
        <v>6.6527321604800695</v>
      </c>
      <c r="F64">
        <v>3.3472678395199291</v>
      </c>
      <c r="G64">
        <v>6.9820516590159256</v>
      </c>
      <c r="H64">
        <v>3.0179483409840753</v>
      </c>
      <c r="I64">
        <v>339.46201095386914</v>
      </c>
      <c r="J64">
        <v>4.9774158676270517</v>
      </c>
      <c r="K64">
        <v>318.0986259144961</v>
      </c>
      <c r="L64">
        <v>4.6120698932348771</v>
      </c>
      <c r="M64">
        <v>406.26585282253598</v>
      </c>
      <c r="N64">
        <v>4.9762979216510965</v>
      </c>
      <c r="O64">
        <v>383.40526824671952</v>
      </c>
      <c r="P64">
        <v>4.6110515547302393</v>
      </c>
    </row>
    <row r="65" spans="4:16" x14ac:dyDescent="0.55000000000000004">
      <c r="D65">
        <v>58</v>
      </c>
      <c r="E65">
        <v>7.4177711030259976</v>
      </c>
      <c r="F65">
        <v>2.5822288969740015</v>
      </c>
      <c r="G65">
        <v>5.9073232487871108</v>
      </c>
      <c r="H65">
        <v>4.0926767512128883</v>
      </c>
      <c r="I65">
        <v>368.62599215489746</v>
      </c>
      <c r="J65">
        <v>4.8856808864684496</v>
      </c>
      <c r="K65">
        <v>344.62060338455717</v>
      </c>
      <c r="L65">
        <v>4.5263582280096619</v>
      </c>
      <c r="M65">
        <v>343.56431511825917</v>
      </c>
      <c r="N65">
        <v>4.9089591808959741</v>
      </c>
      <c r="O65">
        <v>326.35325367638552</v>
      </c>
      <c r="P65">
        <v>4.5475294505166941</v>
      </c>
    </row>
    <row r="66" spans="4:16" x14ac:dyDescent="0.55000000000000004">
      <c r="D66">
        <v>59</v>
      </c>
      <c r="E66">
        <v>7.4820591828042362</v>
      </c>
      <c r="F66">
        <v>2.5179408171957638</v>
      </c>
      <c r="G66">
        <v>7.1150901913318698</v>
      </c>
      <c r="H66">
        <v>2.8849098086681311</v>
      </c>
      <c r="I66">
        <v>361.91335978030378</v>
      </c>
      <c r="J66">
        <v>4.7963548400868303</v>
      </c>
      <c r="K66">
        <v>337.95895841918122</v>
      </c>
      <c r="L66">
        <v>4.4430664878136952</v>
      </c>
      <c r="M66">
        <v>394.1627676780401</v>
      </c>
      <c r="N66">
        <v>4.8063429272063924</v>
      </c>
      <c r="O66">
        <v>371.80839504071895</v>
      </c>
      <c r="P66">
        <v>4.4521542541893036</v>
      </c>
    </row>
    <row r="67" spans="4:16" x14ac:dyDescent="0.55000000000000004">
      <c r="D67">
        <v>60</v>
      </c>
      <c r="E67">
        <v>6.5848860532176792</v>
      </c>
      <c r="F67">
        <v>3.4151139467823208</v>
      </c>
      <c r="G67">
        <v>5.0712963890443277</v>
      </c>
      <c r="H67">
        <v>4.9287036109556723</v>
      </c>
      <c r="I67">
        <v>316.37494324159155</v>
      </c>
      <c r="J67">
        <v>4.8214444243030989</v>
      </c>
      <c r="K67">
        <v>296.85126354591137</v>
      </c>
      <c r="L67">
        <v>4.4656959284885671</v>
      </c>
      <c r="M67">
        <v>293.65358705959511</v>
      </c>
      <c r="N67">
        <v>4.862486876924323</v>
      </c>
      <c r="O67">
        <v>280.43575177786988</v>
      </c>
      <c r="P67">
        <v>4.5031794909269838</v>
      </c>
    </row>
    <row r="68" spans="4:16" x14ac:dyDescent="0.55000000000000004">
      <c r="D68">
        <v>61</v>
      </c>
      <c r="E68">
        <v>5.9536981834886245</v>
      </c>
      <c r="F68">
        <v>4.0463018165113747</v>
      </c>
      <c r="G68">
        <v>6.4888826904935124</v>
      </c>
      <c r="H68">
        <v>3.5111173095064871</v>
      </c>
      <c r="I68">
        <v>286.27199380645686</v>
      </c>
      <c r="J68">
        <v>4.7866874347476696</v>
      </c>
      <c r="K68">
        <v>269.1093748277134</v>
      </c>
      <c r="L68">
        <v>4.4327087166891577</v>
      </c>
      <c r="M68">
        <v>362.00529958596479</v>
      </c>
      <c r="N68">
        <v>4.7675125326021233</v>
      </c>
      <c r="O68">
        <v>342.61091366155819</v>
      </c>
      <c r="P68">
        <v>4.4151967922100397</v>
      </c>
    </row>
    <row r="69" spans="4:16" x14ac:dyDescent="0.55000000000000004">
      <c r="D69">
        <v>62</v>
      </c>
      <c r="E69">
        <v>6.4598529272928769</v>
      </c>
      <c r="F69">
        <v>3.540147072707124</v>
      </c>
      <c r="G69">
        <v>6.7760364559187698</v>
      </c>
      <c r="H69">
        <v>3.2239635440812302</v>
      </c>
      <c r="I69">
        <v>315.71134654036115</v>
      </c>
      <c r="J69">
        <v>4.8462186887026126</v>
      </c>
      <c r="K69">
        <v>296.426172832124</v>
      </c>
      <c r="L69">
        <v>4.4888451307724884</v>
      </c>
      <c r="M69">
        <v>381.16413295823958</v>
      </c>
      <c r="N69">
        <v>4.8386917189418472</v>
      </c>
      <c r="O69">
        <v>360.47804940146904</v>
      </c>
      <c r="P69">
        <v>4.4820005367193998</v>
      </c>
    </row>
    <row r="70" spans="4:16" x14ac:dyDescent="0.55000000000000004">
      <c r="D70">
        <v>63</v>
      </c>
      <c r="E70">
        <v>6.815442560575864</v>
      </c>
      <c r="F70">
        <v>3.184557439424136</v>
      </c>
      <c r="G70">
        <v>5.74838453973915</v>
      </c>
      <c r="H70">
        <v>4.2516154602608491</v>
      </c>
      <c r="I70">
        <v>325.75766605789352</v>
      </c>
      <c r="J70">
        <v>4.8477168232376808</v>
      </c>
      <c r="K70">
        <v>305.10948746494233</v>
      </c>
      <c r="L70">
        <v>4.4906020428420481</v>
      </c>
      <c r="M70">
        <v>324.75550041323828</v>
      </c>
      <c r="N70">
        <v>4.8715589998474114</v>
      </c>
      <c r="O70">
        <v>308.54943832010929</v>
      </c>
      <c r="P70">
        <v>4.5123676463343223</v>
      </c>
    </row>
    <row r="71" spans="4:16" x14ac:dyDescent="0.55000000000000004">
      <c r="D71">
        <v>64</v>
      </c>
      <c r="E71">
        <v>6.1579987803601952</v>
      </c>
      <c r="F71">
        <v>3.8420012196398048</v>
      </c>
      <c r="G71">
        <v>7.2444506349322948</v>
      </c>
      <c r="H71">
        <v>2.7555493650677043</v>
      </c>
      <c r="I71">
        <v>298.84818437697032</v>
      </c>
      <c r="J71">
        <v>4.9130872210558225</v>
      </c>
      <c r="K71">
        <v>280.9143492808372</v>
      </c>
      <c r="L71">
        <v>4.5515355809148685</v>
      </c>
      <c r="M71">
        <v>401.57378172320313</v>
      </c>
      <c r="N71">
        <v>4.8977532540906008</v>
      </c>
      <c r="O71">
        <v>378.87570854991486</v>
      </c>
      <c r="P71">
        <v>4.5375871775651673</v>
      </c>
    </row>
    <row r="72" spans="4:16" x14ac:dyDescent="0.55000000000000004">
      <c r="D72">
        <v>65</v>
      </c>
      <c r="E72">
        <v>7.2524999417741487</v>
      </c>
      <c r="F72">
        <v>2.7475000582258522</v>
      </c>
      <c r="G72">
        <v>6.2925383763291096</v>
      </c>
      <c r="H72">
        <v>3.7074616236708904</v>
      </c>
      <c r="I72">
        <v>386.64923851392058</v>
      </c>
      <c r="J72">
        <v>4.810982327103849</v>
      </c>
      <c r="K72">
        <v>361.7622989074232</v>
      </c>
      <c r="L72">
        <v>4.4563813143144779</v>
      </c>
      <c r="M72">
        <v>385.47124316585604</v>
      </c>
      <c r="N72">
        <v>4.8360012450806709</v>
      </c>
      <c r="O72">
        <v>365.26258625022041</v>
      </c>
      <c r="P72">
        <v>4.4791132030687013</v>
      </c>
    </row>
    <row r="73" spans="4:16" x14ac:dyDescent="0.55000000000000004">
      <c r="D73">
        <v>66</v>
      </c>
      <c r="E73">
        <v>6.5606700399903364</v>
      </c>
      <c r="F73">
        <v>3.4393299600096618</v>
      </c>
      <c r="G73">
        <v>6.4168537139333397</v>
      </c>
      <c r="H73">
        <v>3.5831462860666603</v>
      </c>
      <c r="I73">
        <v>327.82615075333132</v>
      </c>
      <c r="J73">
        <v>4.7984528346649036</v>
      </c>
      <c r="K73">
        <v>307.80141441975871</v>
      </c>
      <c r="L73">
        <v>4.4439967579737125</v>
      </c>
      <c r="M73">
        <v>370.63987979329676</v>
      </c>
      <c r="N73">
        <v>4.8028709463317032</v>
      </c>
      <c r="O73">
        <v>351.27056445120473</v>
      </c>
      <c r="P73">
        <v>4.4480119175189978</v>
      </c>
    </row>
    <row r="74" spans="4:16" x14ac:dyDescent="0.55000000000000004">
      <c r="D74">
        <v>67</v>
      </c>
      <c r="E74">
        <v>6.0938728824932555</v>
      </c>
      <c r="F74">
        <v>3.9061271175067445</v>
      </c>
      <c r="G74">
        <v>6.0637311665933185</v>
      </c>
      <c r="H74">
        <v>3.9362688334066793</v>
      </c>
      <c r="I74">
        <v>290.70454102696789</v>
      </c>
      <c r="J74">
        <v>4.8225110209858775</v>
      </c>
      <c r="K74">
        <v>273.55518419407548</v>
      </c>
      <c r="L74">
        <v>4.466214257694606</v>
      </c>
      <c r="M74">
        <v>339.26664859707665</v>
      </c>
      <c r="N74">
        <v>4.8233889228528781</v>
      </c>
      <c r="O74">
        <v>322.24541324403117</v>
      </c>
      <c r="P74">
        <v>4.4670139352911251</v>
      </c>
    </row>
    <row r="75" spans="4:16" x14ac:dyDescent="0.55000000000000004">
      <c r="D75">
        <v>68</v>
      </c>
      <c r="E75">
        <v>7.4833131767315333</v>
      </c>
      <c r="F75">
        <v>2.5166868232684654</v>
      </c>
      <c r="G75">
        <v>6.1348502385984709</v>
      </c>
      <c r="H75">
        <v>3.86514976140153</v>
      </c>
      <c r="I75">
        <v>345.28610622842348</v>
      </c>
      <c r="J75">
        <v>4.8666071701416813</v>
      </c>
      <c r="K75">
        <v>322.73564266254033</v>
      </c>
      <c r="L75">
        <v>4.5085517263207482</v>
      </c>
      <c r="M75">
        <v>333.0669385542642</v>
      </c>
      <c r="N75">
        <v>4.8906440216042046</v>
      </c>
      <c r="O75">
        <v>316.20051629233279</v>
      </c>
      <c r="P75">
        <v>4.5303926876478489</v>
      </c>
    </row>
    <row r="76" spans="4:16" x14ac:dyDescent="0.55000000000000004">
      <c r="D76">
        <v>69</v>
      </c>
      <c r="E76">
        <v>6.4641784675376162</v>
      </c>
      <c r="F76">
        <v>3.5358215324623821</v>
      </c>
      <c r="G76">
        <v>7.2019549623908112</v>
      </c>
      <c r="H76">
        <v>2.7980450376091888</v>
      </c>
      <c r="I76">
        <v>319.52709909914751</v>
      </c>
      <c r="J76">
        <v>4.757827620368281</v>
      </c>
      <c r="K76">
        <v>299.83516845489783</v>
      </c>
      <c r="L76">
        <v>4.4059850435434695</v>
      </c>
      <c r="M76">
        <v>405.99570595581713</v>
      </c>
      <c r="N76">
        <v>4.7301877446606087</v>
      </c>
      <c r="O76">
        <v>383.00839155885228</v>
      </c>
      <c r="P76">
        <v>4.38084276796876</v>
      </c>
    </row>
    <row r="77" spans="4:16" x14ac:dyDescent="0.55000000000000004">
      <c r="D77">
        <v>70</v>
      </c>
      <c r="E77">
        <v>7.3006386794118283</v>
      </c>
      <c r="F77">
        <v>2.6993613205881739</v>
      </c>
      <c r="G77">
        <v>6.2046140632239313</v>
      </c>
      <c r="H77">
        <v>3.7953859367760687</v>
      </c>
      <c r="I77">
        <v>348.7976428415347</v>
      </c>
      <c r="J77">
        <v>4.7740363908496537</v>
      </c>
      <c r="K77">
        <v>325.81822600645228</v>
      </c>
      <c r="L77">
        <v>4.4221560172634797</v>
      </c>
      <c r="M77">
        <v>346.43362108810703</v>
      </c>
      <c r="N77">
        <v>4.8079596801489659</v>
      </c>
      <c r="O77">
        <v>328.00756865057195</v>
      </c>
      <c r="P77">
        <v>4.4531294739760119</v>
      </c>
    </row>
    <row r="78" spans="4:16" x14ac:dyDescent="0.55000000000000004">
      <c r="D78">
        <v>71</v>
      </c>
      <c r="E78">
        <v>7.0737828130837404</v>
      </c>
      <c r="F78">
        <v>2.9262171869162579</v>
      </c>
      <c r="G78">
        <v>6.3157428783253984</v>
      </c>
      <c r="H78">
        <v>3.6842571216746025</v>
      </c>
      <c r="I78">
        <v>348.7927161289083</v>
      </c>
      <c r="J78">
        <v>4.8522188740535253</v>
      </c>
      <c r="K78">
        <v>326.57953106165508</v>
      </c>
      <c r="L78">
        <v>4.4948631879611201</v>
      </c>
      <c r="M78">
        <v>361.41542949671089</v>
      </c>
      <c r="N78">
        <v>4.8680553787966137</v>
      </c>
      <c r="O78">
        <v>342.60341060863664</v>
      </c>
      <c r="P78">
        <v>4.5092586414888389</v>
      </c>
    </row>
    <row r="79" spans="4:16" x14ac:dyDescent="0.55000000000000004">
      <c r="D79">
        <v>72</v>
      </c>
      <c r="E79">
        <v>6.7752477031893505</v>
      </c>
      <c r="F79">
        <v>3.2247522968106499</v>
      </c>
      <c r="G79">
        <v>6.5774503717420076</v>
      </c>
      <c r="H79">
        <v>3.4225496282579915</v>
      </c>
      <c r="I79">
        <v>354.21696396969298</v>
      </c>
      <c r="J79">
        <v>4.9201882292473114</v>
      </c>
      <c r="K79">
        <v>331.71083924645222</v>
      </c>
      <c r="L79">
        <v>4.5584920210577469</v>
      </c>
      <c r="M79">
        <v>393.87591471276266</v>
      </c>
      <c r="N79">
        <v>4.9225182629175999</v>
      </c>
      <c r="O79">
        <v>372.28145136739994</v>
      </c>
      <c r="P79">
        <v>4.5606166402044606</v>
      </c>
    </row>
    <row r="80" spans="4:16" x14ac:dyDescent="0.55000000000000004">
      <c r="D80">
        <v>73</v>
      </c>
      <c r="E80">
        <v>6.9417780894336554</v>
      </c>
      <c r="F80">
        <v>3.058221910566346</v>
      </c>
      <c r="G80">
        <v>5.8444002940384392</v>
      </c>
      <c r="H80">
        <v>4.1555997059615608</v>
      </c>
      <c r="I80">
        <v>354.96614147436503</v>
      </c>
      <c r="J80">
        <v>5.0306083375662567</v>
      </c>
      <c r="K80">
        <v>332.33495550383799</v>
      </c>
      <c r="L80">
        <v>4.6618896123654991</v>
      </c>
      <c r="M80">
        <v>348.85199366488564</v>
      </c>
      <c r="N80">
        <v>5.0257696766977533</v>
      </c>
      <c r="O80">
        <v>331.15458703558431</v>
      </c>
      <c r="P80">
        <v>4.6574763858297654</v>
      </c>
    </row>
    <row r="81" spans="4:16" x14ac:dyDescent="0.55000000000000004">
      <c r="D81">
        <v>74</v>
      </c>
      <c r="E81">
        <v>5.9553314488251337</v>
      </c>
      <c r="F81">
        <v>4.0446685511748663</v>
      </c>
      <c r="G81">
        <v>5.9674947861316188</v>
      </c>
      <c r="H81">
        <v>4.0325052138683812</v>
      </c>
      <c r="I81">
        <v>286.01963079382625</v>
      </c>
      <c r="J81">
        <v>4.9392697688257101</v>
      </c>
      <c r="K81">
        <v>269.21755424966307</v>
      </c>
      <c r="L81">
        <v>4.5760700720357708</v>
      </c>
      <c r="M81">
        <v>336.60380537344724</v>
      </c>
      <c r="N81">
        <v>4.939145731684734</v>
      </c>
      <c r="O81">
        <v>319.75049971573753</v>
      </c>
      <c r="P81">
        <v>4.5759569123156894</v>
      </c>
    </row>
    <row r="82" spans="4:16" x14ac:dyDescent="0.55000000000000004">
      <c r="D82">
        <v>75</v>
      </c>
      <c r="E82">
        <v>6.8195362862427338</v>
      </c>
      <c r="F82">
        <v>3.180463713757268</v>
      </c>
      <c r="G82">
        <v>5.8378511000384909</v>
      </c>
      <c r="H82">
        <v>4.1621488999615082</v>
      </c>
      <c r="I82">
        <v>349.52872544022716</v>
      </c>
      <c r="J82">
        <v>4.8796707194125872</v>
      </c>
      <c r="K82">
        <v>327.60630243707192</v>
      </c>
      <c r="L82">
        <v>4.52045050238966</v>
      </c>
      <c r="M82">
        <v>349.21340229872243</v>
      </c>
      <c r="N82">
        <v>4.8969923476378918</v>
      </c>
      <c r="O82">
        <v>331.77839699816548</v>
      </c>
      <c r="P82">
        <v>4.5362272855005354</v>
      </c>
    </row>
    <row r="83" spans="4:16" x14ac:dyDescent="0.55000000000000004">
      <c r="D83">
        <v>76</v>
      </c>
      <c r="E83">
        <v>7.574236739178267</v>
      </c>
      <c r="F83">
        <v>2.4257632608217325</v>
      </c>
      <c r="G83">
        <v>6.8303314561697546</v>
      </c>
      <c r="H83">
        <v>3.1696685438302481</v>
      </c>
      <c r="I83">
        <v>384.95465710642969</v>
      </c>
      <c r="J83">
        <v>4.8222049309675654</v>
      </c>
      <c r="K83">
        <v>359.71208436263186</v>
      </c>
      <c r="L83">
        <v>4.4670961967070024</v>
      </c>
      <c r="M83">
        <v>397.14625303860652</v>
      </c>
      <c r="N83">
        <v>4.8396671117391232</v>
      </c>
      <c r="O83">
        <v>375.426200998946</v>
      </c>
      <c r="P83">
        <v>4.4829314668796121</v>
      </c>
    </row>
    <row r="84" spans="4:16" x14ac:dyDescent="0.55000000000000004">
      <c r="D84">
        <v>77</v>
      </c>
      <c r="E84">
        <v>7.2073019089159835</v>
      </c>
      <c r="F84">
        <v>2.7926980910840173</v>
      </c>
      <c r="G84">
        <v>5.1927545000805928</v>
      </c>
      <c r="H84">
        <v>4.8072454999194072</v>
      </c>
      <c r="I84">
        <v>374.88512301032313</v>
      </c>
      <c r="J84">
        <v>4.7442820707535702</v>
      </c>
      <c r="K84">
        <v>350.62323951597477</v>
      </c>
      <c r="L84">
        <v>4.3940644070747714</v>
      </c>
      <c r="M84">
        <v>320.09919025549942</v>
      </c>
      <c r="N84">
        <v>4.8157590115375903</v>
      </c>
      <c r="O84">
        <v>304.95089002105578</v>
      </c>
      <c r="P84">
        <v>4.4593247591061527</v>
      </c>
    </row>
    <row r="85" spans="4:16" x14ac:dyDescent="0.55000000000000004">
      <c r="D85">
        <v>78</v>
      </c>
      <c r="E85">
        <v>7.30839250591149</v>
      </c>
      <c r="F85">
        <v>2.6916074940885073</v>
      </c>
      <c r="G85">
        <v>4.9944857720262377</v>
      </c>
      <c r="H85">
        <v>5.0055142279737632</v>
      </c>
      <c r="I85">
        <v>351.43480157403388</v>
      </c>
      <c r="J85">
        <v>4.8229226133142102</v>
      </c>
      <c r="K85">
        <v>328.47398482545123</v>
      </c>
      <c r="L85">
        <v>4.4677246126073937</v>
      </c>
      <c r="M85">
        <v>290.16719337893124</v>
      </c>
      <c r="N85">
        <v>4.8789870019112422</v>
      </c>
      <c r="O85">
        <v>276.75340296863999</v>
      </c>
      <c r="P85">
        <v>4.5189785428575764</v>
      </c>
    </row>
    <row r="86" spans="4:16" x14ac:dyDescent="0.55000000000000004">
      <c r="D86">
        <v>79</v>
      </c>
      <c r="E86">
        <v>6.3352380913322612</v>
      </c>
      <c r="F86">
        <v>3.664761908667737</v>
      </c>
      <c r="G86">
        <v>6.5886188770732428</v>
      </c>
      <c r="H86">
        <v>3.4113811229267594</v>
      </c>
      <c r="I86">
        <v>310.08294975638142</v>
      </c>
      <c r="J86">
        <v>4.8080455504133974</v>
      </c>
      <c r="K86">
        <v>291.16449236442162</v>
      </c>
      <c r="L86">
        <v>4.452989611928853</v>
      </c>
      <c r="M86">
        <v>372.48486114810157</v>
      </c>
      <c r="N86">
        <v>4.8003682431738683</v>
      </c>
      <c r="O86">
        <v>352.4630100846565</v>
      </c>
      <c r="P86">
        <v>4.4459953519999029</v>
      </c>
    </row>
    <row r="87" spans="4:16" x14ac:dyDescent="0.55000000000000004">
      <c r="D87">
        <v>80</v>
      </c>
      <c r="E87">
        <v>6.0682673995807583</v>
      </c>
      <c r="F87">
        <v>3.9317326004192434</v>
      </c>
      <c r="G87">
        <v>6.3919841197237526</v>
      </c>
      <c r="H87">
        <v>3.6080158802762465</v>
      </c>
      <c r="I87">
        <v>323.54640591417342</v>
      </c>
      <c r="J87">
        <v>4.7879184106795423</v>
      </c>
      <c r="K87">
        <v>304.36760633289538</v>
      </c>
      <c r="L87">
        <v>4.4337226681682651</v>
      </c>
      <c r="M87">
        <v>390.80625529784197</v>
      </c>
      <c r="N87">
        <v>4.7766047437006813</v>
      </c>
      <c r="O87">
        <v>370.09163714411949</v>
      </c>
      <c r="P87">
        <v>4.4234157156445733</v>
      </c>
    </row>
    <row r="88" spans="4:16" x14ac:dyDescent="0.55000000000000004">
      <c r="D88">
        <v>81</v>
      </c>
      <c r="E88">
        <v>5.6499184065074219</v>
      </c>
      <c r="F88">
        <v>4.3500815934925789</v>
      </c>
      <c r="G88">
        <v>4.3116826744424106</v>
      </c>
      <c r="H88">
        <v>5.6883173255575894</v>
      </c>
      <c r="I88">
        <v>295.89431107234265</v>
      </c>
      <c r="J88">
        <v>4.8128984889509123</v>
      </c>
      <c r="K88">
        <v>279.15737278954379</v>
      </c>
      <c r="L88">
        <v>4.4567144183361247</v>
      </c>
      <c r="M88">
        <v>275.80899098423419</v>
      </c>
      <c r="N88">
        <v>4.8572152223254772</v>
      </c>
      <c r="O88">
        <v>264.89794584824</v>
      </c>
      <c r="P88">
        <v>4.4973472910544068</v>
      </c>
    </row>
    <row r="89" spans="4:16" x14ac:dyDescent="0.55000000000000004">
      <c r="D89">
        <v>82</v>
      </c>
      <c r="E89">
        <v>7.0401120690781012</v>
      </c>
      <c r="F89">
        <v>2.9598879309218997</v>
      </c>
      <c r="G89">
        <v>6.6660694124848847</v>
      </c>
      <c r="H89">
        <v>3.3339305875151144</v>
      </c>
      <c r="I89">
        <v>354.96627683878307</v>
      </c>
      <c r="J89">
        <v>4.75817518852209</v>
      </c>
      <c r="K89">
        <v>332.18211026694382</v>
      </c>
      <c r="L89">
        <v>4.4069298979389036</v>
      </c>
      <c r="M89">
        <v>386.10684280037469</v>
      </c>
      <c r="N89">
        <v>4.7710233923614336</v>
      </c>
      <c r="O89">
        <v>365.01606408646751</v>
      </c>
      <c r="P89">
        <v>4.4186244620490038</v>
      </c>
    </row>
    <row r="90" spans="4:16" x14ac:dyDescent="0.55000000000000004">
      <c r="D90">
        <v>83</v>
      </c>
      <c r="E90">
        <v>5.1732723591763898</v>
      </c>
      <c r="F90">
        <v>4.8267276408236119</v>
      </c>
      <c r="G90">
        <v>5.6545225101112564</v>
      </c>
      <c r="H90">
        <v>4.3454774898887436</v>
      </c>
      <c r="I90">
        <v>255.91314176953924</v>
      </c>
      <c r="J90">
        <v>4.8639942228023605</v>
      </c>
      <c r="K90">
        <v>242.05941925594789</v>
      </c>
      <c r="L90">
        <v>4.504589560505007</v>
      </c>
      <c r="M90">
        <v>329.71978281838096</v>
      </c>
      <c r="N90">
        <v>4.8513421147631846</v>
      </c>
      <c r="O90">
        <v>313.82987872813658</v>
      </c>
      <c r="P90">
        <v>4.4930195870366987</v>
      </c>
    </row>
    <row r="91" spans="4:16" x14ac:dyDescent="0.55000000000000004">
      <c r="D91">
        <v>84</v>
      </c>
      <c r="E91">
        <v>6.296325599045022</v>
      </c>
      <c r="F91">
        <v>3.7036744009549789</v>
      </c>
      <c r="G91">
        <v>7.3917640847759625</v>
      </c>
      <c r="H91">
        <v>2.6082359152240375</v>
      </c>
      <c r="I91">
        <v>300.86169508559306</v>
      </c>
      <c r="J91">
        <v>4.8231256133037359</v>
      </c>
      <c r="K91">
        <v>282.46087686615624</v>
      </c>
      <c r="L91">
        <v>4.4671760564682819</v>
      </c>
      <c r="M91">
        <v>403.20579236814046</v>
      </c>
      <c r="N91">
        <v>4.7923529019375168</v>
      </c>
      <c r="O91">
        <v>380.09962332624383</v>
      </c>
      <c r="P91">
        <v>4.4391695863833833</v>
      </c>
    </row>
    <row r="92" spans="4:16" x14ac:dyDescent="0.55000000000000004">
      <c r="D92">
        <v>85</v>
      </c>
      <c r="E92">
        <v>6.6089855677479923</v>
      </c>
      <c r="F92">
        <v>3.3910144322520082</v>
      </c>
      <c r="G92">
        <v>4.8084633740553846</v>
      </c>
      <c r="H92">
        <v>5.1915366259446136</v>
      </c>
      <c r="I92">
        <v>319.87078938517078</v>
      </c>
      <c r="J92">
        <v>4.9470855845541797</v>
      </c>
      <c r="K92">
        <v>300.28336792948141</v>
      </c>
      <c r="L92">
        <v>4.5835585578172235</v>
      </c>
      <c r="M92">
        <v>282.72663549072939</v>
      </c>
      <c r="N92">
        <v>4.9615013490311677</v>
      </c>
      <c r="O92">
        <v>270.77507807718092</v>
      </c>
      <c r="P92">
        <v>4.5967111644954324</v>
      </c>
    </row>
    <row r="93" spans="4:16" x14ac:dyDescent="0.55000000000000004">
      <c r="D93">
        <v>86</v>
      </c>
      <c r="E93">
        <v>6.4090466342416343</v>
      </c>
      <c r="F93">
        <v>3.5909533657583657</v>
      </c>
      <c r="G93">
        <v>6.0979618893701213</v>
      </c>
      <c r="H93">
        <v>3.9020381106298778</v>
      </c>
      <c r="I93">
        <v>305.92098796906765</v>
      </c>
      <c r="J93">
        <v>4.8746325059723983</v>
      </c>
      <c r="K93">
        <v>287.20210338884328</v>
      </c>
      <c r="L93">
        <v>4.515536307459759</v>
      </c>
      <c r="M93">
        <v>341.07207861884581</v>
      </c>
      <c r="N93">
        <v>4.8807176411134652</v>
      </c>
      <c r="O93">
        <v>323.66492760302719</v>
      </c>
      <c r="P93">
        <v>4.5210838895846264</v>
      </c>
    </row>
    <row r="94" spans="4:16" x14ac:dyDescent="0.55000000000000004">
      <c r="D94">
        <v>87</v>
      </c>
      <c r="E94">
        <v>6.6564376350153527</v>
      </c>
      <c r="F94">
        <v>3.3435623649846464</v>
      </c>
      <c r="G94">
        <v>6.6333775539959232</v>
      </c>
      <c r="H94">
        <v>3.3666224460040772</v>
      </c>
      <c r="I94">
        <v>323.18153763291656</v>
      </c>
      <c r="J94">
        <v>4.7197717367326089</v>
      </c>
      <c r="K94">
        <v>302.77319684012207</v>
      </c>
      <c r="L94">
        <v>4.3707003913676221</v>
      </c>
      <c r="M94">
        <v>372.06193089272938</v>
      </c>
      <c r="N94">
        <v>4.7207425392563032</v>
      </c>
      <c r="O94">
        <v>351.75200411047331</v>
      </c>
      <c r="P94">
        <v>4.3715858598482376</v>
      </c>
    </row>
    <row r="95" spans="4:16" x14ac:dyDescent="0.55000000000000004">
      <c r="D95">
        <v>88</v>
      </c>
      <c r="E95">
        <v>6.635550793053687</v>
      </c>
      <c r="F95">
        <v>3.364449206946313</v>
      </c>
      <c r="G95">
        <v>6.2115867479527234</v>
      </c>
      <c r="H95">
        <v>3.7884132520472771</v>
      </c>
      <c r="I95">
        <v>326.42584937030938</v>
      </c>
      <c r="J95">
        <v>4.8808463016984387</v>
      </c>
      <c r="K95">
        <v>306.11152016226134</v>
      </c>
      <c r="L95">
        <v>4.5214942830261897</v>
      </c>
      <c r="M95">
        <v>355.56958169326469</v>
      </c>
      <c r="N95">
        <v>4.8884593673649022</v>
      </c>
      <c r="O95">
        <v>337.10965005164928</v>
      </c>
      <c r="P95">
        <v>4.5284304466379028</v>
      </c>
    </row>
    <row r="96" spans="4:16" x14ac:dyDescent="0.55000000000000004">
      <c r="D96">
        <v>89</v>
      </c>
      <c r="E96">
        <v>6.4883658588532285</v>
      </c>
      <c r="F96">
        <v>3.5116341411467706</v>
      </c>
      <c r="G96">
        <v>5.0978722716140972</v>
      </c>
      <c r="H96">
        <v>4.9021277283859019</v>
      </c>
      <c r="I96">
        <v>308.52541108766133</v>
      </c>
      <c r="J96">
        <v>4.9160627175978222</v>
      </c>
      <c r="K96">
        <v>289.62199454421238</v>
      </c>
      <c r="L96">
        <v>4.554438309388642</v>
      </c>
      <c r="M96">
        <v>292.40666640677296</v>
      </c>
      <c r="N96">
        <v>4.9340509530718215</v>
      </c>
      <c r="O96">
        <v>279.22891012382627</v>
      </c>
      <c r="P96">
        <v>4.5708688243477242</v>
      </c>
    </row>
    <row r="97" spans="4:16" x14ac:dyDescent="0.55000000000000004">
      <c r="D97">
        <v>90</v>
      </c>
      <c r="E97">
        <v>5.5924293706110717</v>
      </c>
      <c r="F97">
        <v>4.4075706293889274</v>
      </c>
      <c r="G97">
        <v>6.4516637984337306</v>
      </c>
      <c r="H97">
        <v>3.5483362015662667</v>
      </c>
      <c r="I97">
        <v>269.62530328451845</v>
      </c>
      <c r="J97">
        <v>4.8783339491051789</v>
      </c>
      <c r="K97">
        <v>254.18326598355398</v>
      </c>
      <c r="L97">
        <v>4.5185347697830851</v>
      </c>
      <c r="M97">
        <v>361.05118957494642</v>
      </c>
      <c r="N97">
        <v>4.8596408816208712</v>
      </c>
      <c r="O97">
        <v>341.98835603197421</v>
      </c>
      <c r="P97">
        <v>4.5014755548137071</v>
      </c>
    </row>
    <row r="98" spans="4:16" x14ac:dyDescent="0.55000000000000004">
      <c r="D98">
        <v>91</v>
      </c>
      <c r="E98">
        <v>7.10141595132324</v>
      </c>
      <c r="F98">
        <v>2.8985840486767591</v>
      </c>
      <c r="G98">
        <v>7.6249468471232618</v>
      </c>
      <c r="H98">
        <v>2.3750531528767382</v>
      </c>
      <c r="I98">
        <v>360.01458615589507</v>
      </c>
      <c r="J98">
        <v>4.8078982580967997</v>
      </c>
      <c r="K98">
        <v>336.6046761216769</v>
      </c>
      <c r="L98">
        <v>4.453622390279051</v>
      </c>
      <c r="M98">
        <v>436.55559714345026</v>
      </c>
      <c r="N98">
        <v>4.7937361251204065</v>
      </c>
      <c r="O98">
        <v>410.75562589420986</v>
      </c>
      <c r="P98">
        <v>4.4407355804154331</v>
      </c>
    </row>
    <row r="99" spans="4:16" x14ac:dyDescent="0.55000000000000004">
      <c r="D99">
        <v>92</v>
      </c>
      <c r="E99">
        <v>7.0605647429043819</v>
      </c>
      <c r="F99">
        <v>2.9394352570956164</v>
      </c>
      <c r="G99">
        <v>6.4010467538865941</v>
      </c>
      <c r="H99">
        <v>3.5989532461134055</v>
      </c>
      <c r="I99">
        <v>345.05072410644181</v>
      </c>
      <c r="J99">
        <v>4.8344868051956951</v>
      </c>
      <c r="K99">
        <v>322.90873730707085</v>
      </c>
      <c r="L99">
        <v>4.478340563081316</v>
      </c>
      <c r="M99">
        <v>362.81999356884438</v>
      </c>
      <c r="N99">
        <v>4.8499471732212065</v>
      </c>
      <c r="O99">
        <v>343.56409900352548</v>
      </c>
      <c r="P99">
        <v>4.4924165365445647</v>
      </c>
    </row>
    <row r="100" spans="4:16" x14ac:dyDescent="0.55000000000000004">
      <c r="D100">
        <v>93</v>
      </c>
      <c r="E100">
        <v>6.3391900729345005</v>
      </c>
      <c r="F100">
        <v>3.6608099270654995</v>
      </c>
      <c r="G100">
        <v>5.5471877441321862</v>
      </c>
      <c r="H100">
        <v>4.4528122558678147</v>
      </c>
      <c r="I100">
        <v>325.07240272705423</v>
      </c>
      <c r="J100">
        <v>4.8469246610821957</v>
      </c>
      <c r="K100">
        <v>305.41427244747695</v>
      </c>
      <c r="L100">
        <v>4.4894143356266296</v>
      </c>
      <c r="M100">
        <v>334.45868125364052</v>
      </c>
      <c r="N100">
        <v>4.8660495056617474</v>
      </c>
      <c r="O100">
        <v>318.36423604487828</v>
      </c>
      <c r="P100">
        <v>4.5068610546703445</v>
      </c>
    </row>
    <row r="101" spans="4:16" x14ac:dyDescent="0.55000000000000004">
      <c r="D101">
        <v>94</v>
      </c>
      <c r="E101">
        <v>7.3900161990155482</v>
      </c>
      <c r="F101">
        <v>2.6099838009844527</v>
      </c>
      <c r="G101">
        <v>6.355538218645294</v>
      </c>
      <c r="H101">
        <v>3.6444617813547064</v>
      </c>
      <c r="I101">
        <v>353.68269554050613</v>
      </c>
      <c r="J101">
        <v>4.7333349449913458</v>
      </c>
      <c r="K101">
        <v>330.61445118360569</v>
      </c>
      <c r="L101">
        <v>4.3839603752164429</v>
      </c>
      <c r="M101">
        <v>354.17306650567542</v>
      </c>
      <c r="N101">
        <v>4.7706635678402947</v>
      </c>
      <c r="O101">
        <v>335.59404728287984</v>
      </c>
      <c r="P101">
        <v>4.4179042707874494</v>
      </c>
    </row>
    <row r="102" spans="4:16" x14ac:dyDescent="0.55000000000000004">
      <c r="D102">
        <v>95</v>
      </c>
      <c r="E102">
        <v>6.7067528459000769</v>
      </c>
      <c r="F102">
        <v>3.2932471540999235</v>
      </c>
      <c r="G102">
        <v>7.7187554879667211</v>
      </c>
      <c r="H102">
        <v>2.2812445120332798</v>
      </c>
      <c r="I102">
        <v>356.28224209460183</v>
      </c>
      <c r="J102">
        <v>4.9061917925402154</v>
      </c>
      <c r="K102">
        <v>333.619357568775</v>
      </c>
      <c r="L102">
        <v>4.5453916092709044</v>
      </c>
      <c r="M102">
        <v>460.04276952205555</v>
      </c>
      <c r="N102">
        <v>4.8920367825110516</v>
      </c>
      <c r="O102">
        <v>432.56503150312443</v>
      </c>
      <c r="P102">
        <v>4.5325043379107077</v>
      </c>
    </row>
    <row r="103" spans="4:16" x14ac:dyDescent="0.55000000000000004">
      <c r="D103">
        <v>96</v>
      </c>
      <c r="E103">
        <v>6.5937399304453272</v>
      </c>
      <c r="F103">
        <v>3.4062600695546736</v>
      </c>
      <c r="G103">
        <v>7.1525711394877369</v>
      </c>
      <c r="H103">
        <v>2.8474288605122648</v>
      </c>
      <c r="I103">
        <v>307.76692764930073</v>
      </c>
      <c r="J103">
        <v>4.7760153163363785</v>
      </c>
      <c r="K103">
        <v>288.75460394436584</v>
      </c>
      <c r="L103">
        <v>4.4230847229196701</v>
      </c>
      <c r="M103">
        <v>383.85072320323167</v>
      </c>
      <c r="N103">
        <v>4.7570322152588282</v>
      </c>
      <c r="O103">
        <v>362.45352551291865</v>
      </c>
      <c r="P103">
        <v>4.4058372704684121</v>
      </c>
    </row>
    <row r="104" spans="4:16" x14ac:dyDescent="0.55000000000000004">
      <c r="D104">
        <v>97</v>
      </c>
      <c r="E104">
        <v>6.6304751666073969</v>
      </c>
      <c r="F104">
        <v>3.3695248333926018</v>
      </c>
      <c r="G104">
        <v>5.3133511982543871</v>
      </c>
      <c r="H104">
        <v>4.6866488017456129</v>
      </c>
      <c r="I104">
        <v>362.43467353716107</v>
      </c>
      <c r="J104">
        <v>4.7722908774396311</v>
      </c>
      <c r="K104">
        <v>339.94052135575487</v>
      </c>
      <c r="L104">
        <v>4.419656157492053</v>
      </c>
      <c r="M104">
        <v>340.43811469592669</v>
      </c>
      <c r="N104">
        <v>4.8175246104075748</v>
      </c>
      <c r="O104">
        <v>324.21263858134995</v>
      </c>
      <c r="P104">
        <v>4.4609514297358563</v>
      </c>
    </row>
    <row r="105" spans="4:16" x14ac:dyDescent="0.55000000000000004">
      <c r="D105">
        <v>98</v>
      </c>
      <c r="E105">
        <v>7.0776079384460173</v>
      </c>
      <c r="F105">
        <v>2.9223920615539818</v>
      </c>
      <c r="G105">
        <v>7.1626411241785997</v>
      </c>
      <c r="H105">
        <v>2.8373588758213999</v>
      </c>
      <c r="I105">
        <v>360.78267930380832</v>
      </c>
      <c r="J105">
        <v>4.7978967768199228</v>
      </c>
      <c r="K105">
        <v>337.55227950455657</v>
      </c>
      <c r="L105">
        <v>4.4441427179345636</v>
      </c>
      <c r="M105">
        <v>415.11726534546972</v>
      </c>
      <c r="N105">
        <v>4.7954686286287131</v>
      </c>
      <c r="O105">
        <v>391.49385641714662</v>
      </c>
      <c r="P105">
        <v>4.4419347255775481</v>
      </c>
    </row>
    <row r="106" spans="4:16" x14ac:dyDescent="0.55000000000000004">
      <c r="D106">
        <v>99</v>
      </c>
      <c r="E106">
        <v>5.4605893015632008</v>
      </c>
      <c r="F106">
        <v>4.5394106984367983</v>
      </c>
      <c r="G106">
        <v>6.4288654608212807</v>
      </c>
      <c r="H106">
        <v>3.5711345391787201</v>
      </c>
      <c r="I106">
        <v>280.35262337470135</v>
      </c>
      <c r="J106">
        <v>4.8989200524488679</v>
      </c>
      <c r="K106">
        <v>264.51829459205976</v>
      </c>
      <c r="L106">
        <v>4.5378617893559676</v>
      </c>
      <c r="M106">
        <v>380.06497975379614</v>
      </c>
      <c r="N106">
        <v>4.8809964735111881</v>
      </c>
      <c r="O106">
        <v>359.89594866365911</v>
      </c>
      <c r="P106">
        <v>4.5215010689234711</v>
      </c>
    </row>
    <row r="107" spans="4:16" x14ac:dyDescent="0.55000000000000004">
      <c r="D107">
        <v>100</v>
      </c>
      <c r="E107">
        <v>6.7670953894865402</v>
      </c>
      <c r="F107">
        <v>3.2329046105134598</v>
      </c>
      <c r="G107">
        <v>5.7580314994887249</v>
      </c>
      <c r="H107">
        <v>4.2419685005112759</v>
      </c>
      <c r="I107">
        <v>338.44166993023867</v>
      </c>
      <c r="J107">
        <v>4.8623735156710461</v>
      </c>
      <c r="K107">
        <v>317.23581502000127</v>
      </c>
      <c r="L107">
        <v>4.504229562065726</v>
      </c>
      <c r="M107">
        <v>337.97551741704416</v>
      </c>
      <c r="N107">
        <v>4.8828954542060714</v>
      </c>
      <c r="O107">
        <v>321.23361917479781</v>
      </c>
      <c r="P107">
        <v>4.522936243447166</v>
      </c>
    </row>
    <row r="108" spans="4:16" x14ac:dyDescent="0.55000000000000004">
      <c r="D108">
        <v>101</v>
      </c>
      <c r="E108">
        <v>6.8904509759491894</v>
      </c>
      <c r="F108">
        <v>3.1095490240508106</v>
      </c>
      <c r="G108">
        <v>5.7596811526236475</v>
      </c>
      <c r="H108">
        <v>4.2403188473763525</v>
      </c>
      <c r="I108">
        <v>336.53466772038502</v>
      </c>
      <c r="J108">
        <v>4.776359927916296</v>
      </c>
      <c r="K108">
        <v>314.94646463654266</v>
      </c>
      <c r="L108">
        <v>4.423938845950353</v>
      </c>
      <c r="M108">
        <v>331.30704211367674</v>
      </c>
      <c r="N108">
        <v>4.8130607833002603</v>
      </c>
      <c r="O108">
        <v>314.46836616648807</v>
      </c>
      <c r="P108">
        <v>4.4574834601113844</v>
      </c>
    </row>
    <row r="109" spans="4:16" x14ac:dyDescent="0.55000000000000004">
      <c r="D109">
        <v>102</v>
      </c>
      <c r="E109">
        <v>6.9702453839174048</v>
      </c>
      <c r="F109">
        <v>3.0297546160825957</v>
      </c>
      <c r="G109">
        <v>5.9500216344084054</v>
      </c>
      <c r="H109">
        <v>4.0499783655915955</v>
      </c>
      <c r="I109">
        <v>346.06121738126427</v>
      </c>
      <c r="J109">
        <v>4.8912725320646722</v>
      </c>
      <c r="K109">
        <v>323.92969258683223</v>
      </c>
      <c r="L109">
        <v>4.5314586764514662</v>
      </c>
      <c r="M109">
        <v>345.40878646814525</v>
      </c>
      <c r="N109">
        <v>4.9071867989092137</v>
      </c>
      <c r="O109">
        <v>327.73389123574117</v>
      </c>
      <c r="P109">
        <v>4.545972734247818</v>
      </c>
    </row>
    <row r="110" spans="4:16" x14ac:dyDescent="0.55000000000000004">
      <c r="D110">
        <v>103</v>
      </c>
      <c r="E110">
        <v>5.6445053131672474</v>
      </c>
      <c r="F110">
        <v>4.3554946868327526</v>
      </c>
      <c r="G110">
        <v>6.5412334869487143</v>
      </c>
      <c r="H110">
        <v>3.4587665130512866</v>
      </c>
      <c r="I110">
        <v>275.2870589120979</v>
      </c>
      <c r="J110">
        <v>4.8607440492396039</v>
      </c>
      <c r="K110">
        <v>258.92558550581242</v>
      </c>
      <c r="L110">
        <v>4.502253355877059</v>
      </c>
      <c r="M110">
        <v>369.02121237778033</v>
      </c>
      <c r="N110">
        <v>4.8386208112434819</v>
      </c>
      <c r="O110">
        <v>348.9505966904178</v>
      </c>
      <c r="P110">
        <v>4.4820064143436129</v>
      </c>
    </row>
    <row r="111" spans="4:16" x14ac:dyDescent="0.55000000000000004">
      <c r="D111">
        <v>104</v>
      </c>
      <c r="E111">
        <v>6.4005425194941621</v>
      </c>
      <c r="F111">
        <v>3.5994574805058379</v>
      </c>
      <c r="G111">
        <v>5.9685701554829693</v>
      </c>
      <c r="H111">
        <v>4.0314298445170289</v>
      </c>
      <c r="I111">
        <v>313.2042071522539</v>
      </c>
      <c r="J111">
        <v>4.8226495311741724</v>
      </c>
      <c r="K111">
        <v>294.1596168161708</v>
      </c>
      <c r="L111">
        <v>4.4666661814260733</v>
      </c>
      <c r="M111">
        <v>342.06606747585306</v>
      </c>
      <c r="N111">
        <v>4.8346189073706194</v>
      </c>
      <c r="O111">
        <v>324.89857995406572</v>
      </c>
      <c r="P111">
        <v>4.4775726566251919</v>
      </c>
    </row>
    <row r="112" spans="4:16" x14ac:dyDescent="0.55000000000000004">
      <c r="D112">
        <v>105</v>
      </c>
      <c r="E112">
        <v>6.0382467702036138</v>
      </c>
      <c r="F112">
        <v>3.9617532297963853</v>
      </c>
      <c r="G112">
        <v>6.524092712676536</v>
      </c>
      <c r="H112">
        <v>3.4759072873234644</v>
      </c>
      <c r="I112">
        <v>312.87810615224373</v>
      </c>
      <c r="J112">
        <v>4.8808897140139411</v>
      </c>
      <c r="K112">
        <v>294.31717111110083</v>
      </c>
      <c r="L112">
        <v>4.5211884559942623</v>
      </c>
      <c r="M112">
        <v>388.05272457174794</v>
      </c>
      <c r="N112">
        <v>4.8713059306153106</v>
      </c>
      <c r="O112">
        <v>367.25510529397422</v>
      </c>
      <c r="P112">
        <v>4.5124561610630156</v>
      </c>
    </row>
    <row r="113" spans="4:16" x14ac:dyDescent="0.55000000000000004">
      <c r="D113">
        <v>106</v>
      </c>
      <c r="E113">
        <v>6.4521454292289668</v>
      </c>
      <c r="F113">
        <v>3.5478545707710314</v>
      </c>
      <c r="G113">
        <v>6.3370463216256576</v>
      </c>
      <c r="H113">
        <v>3.6629536783743428</v>
      </c>
      <c r="I113">
        <v>314.90317507136609</v>
      </c>
      <c r="J113">
        <v>4.8178320241012544</v>
      </c>
      <c r="K113">
        <v>295.76584178926788</v>
      </c>
      <c r="L113">
        <v>4.4621354949626575</v>
      </c>
      <c r="M113">
        <v>359.28565221331513</v>
      </c>
      <c r="N113">
        <v>4.8210816984444369</v>
      </c>
      <c r="O113">
        <v>340.65592778789448</v>
      </c>
      <c r="P113">
        <v>4.4650915232416226</v>
      </c>
    </row>
    <row r="114" spans="4:16" x14ac:dyDescent="0.55000000000000004">
      <c r="D114">
        <v>107</v>
      </c>
      <c r="E114">
        <v>6.7604925573240244</v>
      </c>
      <c r="F114">
        <v>3.2395074426759765</v>
      </c>
      <c r="G114">
        <v>4.4612645209058277</v>
      </c>
      <c r="H114">
        <v>5.5387354790941723</v>
      </c>
      <c r="I114">
        <v>334.92391960108478</v>
      </c>
      <c r="J114">
        <v>4.7257915233632293</v>
      </c>
      <c r="K114">
        <v>314.15516098506492</v>
      </c>
      <c r="L114">
        <v>4.3760280313753741</v>
      </c>
      <c r="M114">
        <v>271.01706156015223</v>
      </c>
      <c r="N114">
        <v>4.8190491982975452</v>
      </c>
      <c r="O114">
        <v>260.12412090156994</v>
      </c>
      <c r="P114">
        <v>4.4612001894529767</v>
      </c>
    </row>
    <row r="115" spans="4:16" x14ac:dyDescent="0.55000000000000004">
      <c r="D115">
        <v>108</v>
      </c>
      <c r="E115">
        <v>5.5858018061618004</v>
      </c>
      <c r="F115">
        <v>4.4141981938382004</v>
      </c>
      <c r="G115">
        <v>6.0583832806003848</v>
      </c>
      <c r="H115">
        <v>3.9416167193996143</v>
      </c>
      <c r="I115">
        <v>268.49787506803142</v>
      </c>
      <c r="J115">
        <v>4.8744624101953011</v>
      </c>
      <c r="K115">
        <v>252.94562729735327</v>
      </c>
      <c r="L115">
        <v>4.5149666821359737</v>
      </c>
      <c r="M115">
        <v>341.21388363519998</v>
      </c>
      <c r="N115">
        <v>4.8638414212404264</v>
      </c>
      <c r="O115">
        <v>323.72304900218347</v>
      </c>
      <c r="P115">
        <v>4.5052520896368007</v>
      </c>
    </row>
    <row r="116" spans="4:16" x14ac:dyDescent="0.55000000000000004">
      <c r="D116">
        <v>109</v>
      </c>
      <c r="E116">
        <v>6.5045824547517679</v>
      </c>
      <c r="F116">
        <v>3.4954175452482339</v>
      </c>
      <c r="G116">
        <v>6.7366136512234505</v>
      </c>
      <c r="H116">
        <v>3.2633863487765526</v>
      </c>
      <c r="I116">
        <v>321.43219211882479</v>
      </c>
      <c r="J116">
        <v>4.771076689062939</v>
      </c>
      <c r="K116">
        <v>301.66877486716936</v>
      </c>
      <c r="L116">
        <v>4.4183848889391646</v>
      </c>
      <c r="M116">
        <v>382.89830799031506</v>
      </c>
      <c r="N116">
        <v>4.7629105461772907</v>
      </c>
      <c r="O116">
        <v>362.10049215231788</v>
      </c>
      <c r="P116">
        <v>4.4109554424859834</v>
      </c>
    </row>
    <row r="117" spans="4:16" x14ac:dyDescent="0.55000000000000004">
      <c r="D117">
        <v>110</v>
      </c>
      <c r="E117">
        <v>5.4203366650676408</v>
      </c>
      <c r="F117">
        <v>4.5796633349323574</v>
      </c>
      <c r="G117">
        <v>6.3922116282050814</v>
      </c>
      <c r="H117">
        <v>3.607788371794916</v>
      </c>
      <c r="I117">
        <v>267.6320019749063</v>
      </c>
      <c r="J117">
        <v>4.8743984238552649</v>
      </c>
      <c r="K117">
        <v>252.62869047058382</v>
      </c>
      <c r="L117">
        <v>4.5146723201238608</v>
      </c>
      <c r="M117">
        <v>365.61884451368348</v>
      </c>
      <c r="N117">
        <v>4.8518778619919463</v>
      </c>
      <c r="O117">
        <v>346.42558951861309</v>
      </c>
      <c r="P117">
        <v>4.4941181281360123</v>
      </c>
    </row>
    <row r="118" spans="4:16" x14ac:dyDescent="0.55000000000000004">
      <c r="D118">
        <v>111</v>
      </c>
      <c r="E118">
        <v>6.3548234244591786</v>
      </c>
      <c r="F118">
        <v>3.6451765755408219</v>
      </c>
      <c r="G118">
        <v>5.8473932538633981</v>
      </c>
      <c r="H118">
        <v>4.152606746136601</v>
      </c>
      <c r="I118">
        <v>329.9713193431964</v>
      </c>
      <c r="J118">
        <v>4.8953705516659634</v>
      </c>
      <c r="K118">
        <v>309.59296339091691</v>
      </c>
      <c r="L118">
        <v>4.5350649900026943</v>
      </c>
      <c r="M118">
        <v>353.6232382585859</v>
      </c>
      <c r="N118">
        <v>4.9037251722858111</v>
      </c>
      <c r="O118">
        <v>335.50680911249981</v>
      </c>
      <c r="P118">
        <v>4.542702384184877</v>
      </c>
    </row>
    <row r="119" spans="4:16" x14ac:dyDescent="0.55000000000000004">
      <c r="D119">
        <v>112</v>
      </c>
      <c r="E119">
        <v>6.845503238450541</v>
      </c>
      <c r="F119">
        <v>3.1544967615494599</v>
      </c>
      <c r="G119">
        <v>6.3577998415870756</v>
      </c>
      <c r="H119">
        <v>3.6422001584129253</v>
      </c>
      <c r="I119">
        <v>335.30542125065006</v>
      </c>
      <c r="J119">
        <v>4.8968622685933632</v>
      </c>
      <c r="K119">
        <v>313.77498750855301</v>
      </c>
      <c r="L119">
        <v>4.5367176246303567</v>
      </c>
      <c r="M119">
        <v>361.41680601895359</v>
      </c>
      <c r="N119">
        <v>4.9042102487490471</v>
      </c>
      <c r="O119">
        <v>341.9591154404834</v>
      </c>
      <c r="P119">
        <v>4.5434280426885136</v>
      </c>
    </row>
    <row r="120" spans="4:16" x14ac:dyDescent="0.55000000000000004">
      <c r="D120">
        <v>113</v>
      </c>
      <c r="E120">
        <v>6.5708059721363661</v>
      </c>
      <c r="F120">
        <v>3.4291940278636335</v>
      </c>
      <c r="G120">
        <v>5.858327879864218</v>
      </c>
      <c r="H120">
        <v>4.141672120135782</v>
      </c>
      <c r="I120">
        <v>326.40361233079852</v>
      </c>
      <c r="J120">
        <v>4.7936042078239565</v>
      </c>
      <c r="K120">
        <v>305.79903825978977</v>
      </c>
      <c r="L120">
        <v>4.4398658979405896</v>
      </c>
      <c r="M120">
        <v>341.01139043133264</v>
      </c>
      <c r="N120">
        <v>4.8159838794937899</v>
      </c>
      <c r="O120">
        <v>323.42227674026452</v>
      </c>
      <c r="P120">
        <v>4.4603387943469714</v>
      </c>
    </row>
    <row r="121" spans="4:16" x14ac:dyDescent="0.55000000000000004">
      <c r="D121">
        <v>114</v>
      </c>
      <c r="E121">
        <v>8.1125318781720015</v>
      </c>
      <c r="F121">
        <v>1.8874681218279989</v>
      </c>
      <c r="G121">
        <v>4.9331344006047209</v>
      </c>
      <c r="H121">
        <v>5.0668655993952774</v>
      </c>
      <c r="I121">
        <v>436.42229521295457</v>
      </c>
      <c r="J121">
        <v>4.8036119684037111</v>
      </c>
      <c r="K121">
        <v>406.95314985651106</v>
      </c>
      <c r="L121">
        <v>4.4501056856023036</v>
      </c>
      <c r="M121">
        <v>315.38322068091708</v>
      </c>
      <c r="N121">
        <v>4.880578767629693</v>
      </c>
      <c r="O121">
        <v>301.34547608665531</v>
      </c>
      <c r="P121">
        <v>4.5201284252472327</v>
      </c>
    </row>
    <row r="122" spans="4:16" x14ac:dyDescent="0.55000000000000004">
      <c r="D122">
        <v>115</v>
      </c>
      <c r="E122">
        <v>6.9342568908564166</v>
      </c>
      <c r="F122">
        <v>3.0657431091435838</v>
      </c>
      <c r="G122">
        <v>5.8667622525651781</v>
      </c>
      <c r="H122">
        <v>4.1332377474348236</v>
      </c>
      <c r="I122">
        <v>321.50229688427936</v>
      </c>
      <c r="J122">
        <v>4.9701201123030083</v>
      </c>
      <c r="K122">
        <v>301.29629252510841</v>
      </c>
      <c r="L122">
        <v>4.605230761596685</v>
      </c>
      <c r="M122">
        <v>322.00860440587741</v>
      </c>
      <c r="N122">
        <v>4.9747199736019656</v>
      </c>
      <c r="O122">
        <v>306.28290388723497</v>
      </c>
      <c r="P122">
        <v>4.6094142309230168</v>
      </c>
    </row>
    <row r="123" spans="4:16" x14ac:dyDescent="0.55000000000000004">
      <c r="D123">
        <v>116</v>
      </c>
      <c r="E123">
        <v>6.6183400605416267</v>
      </c>
      <c r="F123">
        <v>3.3816599394583755</v>
      </c>
      <c r="G123">
        <v>6.2683116671818997</v>
      </c>
      <c r="H123">
        <v>3.7316883328180985</v>
      </c>
      <c r="I123">
        <v>315.49895430408026</v>
      </c>
      <c r="J123">
        <v>4.7978295046915829</v>
      </c>
      <c r="K123">
        <v>295.66165362833169</v>
      </c>
      <c r="L123">
        <v>4.4437739062586612</v>
      </c>
      <c r="M123">
        <v>348.81295886239349</v>
      </c>
      <c r="N123">
        <v>4.8085218252750224</v>
      </c>
      <c r="O123">
        <v>330.4322135574069</v>
      </c>
      <c r="P123">
        <v>4.4535328718603058</v>
      </c>
    </row>
    <row r="124" spans="4:16" x14ac:dyDescent="0.55000000000000004">
      <c r="D124">
        <v>117</v>
      </c>
      <c r="E124">
        <v>7.4940018513337137</v>
      </c>
      <c r="F124">
        <v>2.5059981486662841</v>
      </c>
      <c r="G124">
        <v>5.7607394271228358</v>
      </c>
      <c r="H124">
        <v>4.2392605728771642</v>
      </c>
      <c r="I124">
        <v>349.63872479492176</v>
      </c>
      <c r="J124">
        <v>4.888206234132026</v>
      </c>
      <c r="K124">
        <v>326.57020285050362</v>
      </c>
      <c r="L124">
        <v>4.5288149187338842</v>
      </c>
      <c r="M124">
        <v>318.77196284874043</v>
      </c>
      <c r="N124">
        <v>4.9140626373574277</v>
      </c>
      <c r="O124">
        <v>302.83371069377017</v>
      </c>
      <c r="P124">
        <v>4.552391483786657</v>
      </c>
    </row>
    <row r="125" spans="4:16" x14ac:dyDescent="0.55000000000000004">
      <c r="D125">
        <v>118</v>
      </c>
      <c r="E125">
        <v>6.4236985801356541</v>
      </c>
      <c r="F125">
        <v>3.5763014198643468</v>
      </c>
      <c r="G125">
        <v>5.0696716774757968</v>
      </c>
      <c r="H125">
        <v>4.9303283225242041</v>
      </c>
      <c r="I125">
        <v>316.49546335260874</v>
      </c>
      <c r="J125">
        <v>4.7848179342292285</v>
      </c>
      <c r="K125">
        <v>296.96408797843719</v>
      </c>
      <c r="L125">
        <v>4.431329855805652</v>
      </c>
      <c r="M125">
        <v>299.78259278386253</v>
      </c>
      <c r="N125">
        <v>4.8301753404631622</v>
      </c>
      <c r="O125">
        <v>285.89590801358162</v>
      </c>
      <c r="P125">
        <v>4.4728494939657066</v>
      </c>
    </row>
    <row r="126" spans="4:16" x14ac:dyDescent="0.55000000000000004">
      <c r="D126">
        <v>119</v>
      </c>
      <c r="E126">
        <v>6.6799510029916913</v>
      </c>
      <c r="F126">
        <v>3.3200489970083082</v>
      </c>
      <c r="G126">
        <v>6.4486039927826511</v>
      </c>
      <c r="H126">
        <v>3.5513960072173498</v>
      </c>
      <c r="I126">
        <v>339.62856682797229</v>
      </c>
      <c r="J126">
        <v>4.8100157818532132</v>
      </c>
      <c r="K126">
        <v>318.58983376729446</v>
      </c>
      <c r="L126">
        <v>4.4550173381311202</v>
      </c>
      <c r="M126">
        <v>377.86619709172066</v>
      </c>
      <c r="N126">
        <v>4.8165955128775089</v>
      </c>
      <c r="O126">
        <v>357.89439449776796</v>
      </c>
      <c r="P126">
        <v>4.4610002408248937</v>
      </c>
    </row>
    <row r="127" spans="4:16" x14ac:dyDescent="0.55000000000000004">
      <c r="D127">
        <v>120</v>
      </c>
      <c r="E127">
        <v>7.1521618257262407</v>
      </c>
      <c r="F127">
        <v>2.8478381742737571</v>
      </c>
      <c r="G127">
        <v>6.0592017633332977</v>
      </c>
      <c r="H127">
        <v>3.9407982366667005</v>
      </c>
      <c r="I127">
        <v>349.23022632277434</v>
      </c>
      <c r="J127">
        <v>4.8152532677628859</v>
      </c>
      <c r="K127">
        <v>326.76710620441793</v>
      </c>
      <c r="L127">
        <v>4.460369248816356</v>
      </c>
      <c r="M127">
        <v>345.86248951090727</v>
      </c>
      <c r="N127">
        <v>4.8434854030127434</v>
      </c>
      <c r="O127">
        <v>328.18036407288395</v>
      </c>
      <c r="P127">
        <v>4.4860721839069511</v>
      </c>
    </row>
    <row r="128" spans="4:16" x14ac:dyDescent="0.55000000000000004">
      <c r="D128">
        <v>121</v>
      </c>
      <c r="E128">
        <v>6.4718631210234099</v>
      </c>
      <c r="F128">
        <v>3.5281368789765901</v>
      </c>
      <c r="G128">
        <v>6.2950953620367578</v>
      </c>
      <c r="H128">
        <v>3.7049046379632395</v>
      </c>
      <c r="I128">
        <v>334.08380614932622</v>
      </c>
      <c r="J128">
        <v>5.030459687625183</v>
      </c>
      <c r="K128">
        <v>313.54146243426123</v>
      </c>
      <c r="L128">
        <v>4.6618195011628201</v>
      </c>
      <c r="M128">
        <v>374.95888421843586</v>
      </c>
      <c r="N128">
        <v>5.0296277338863202</v>
      </c>
      <c r="O128">
        <v>355.2274457602723</v>
      </c>
      <c r="P128">
        <v>4.6610614807316022</v>
      </c>
    </row>
    <row r="129" spans="4:16" x14ac:dyDescent="0.55000000000000004">
      <c r="D129">
        <v>122</v>
      </c>
      <c r="E129">
        <v>6.7484377947231398</v>
      </c>
      <c r="F129">
        <v>3.2515622052768607</v>
      </c>
      <c r="G129">
        <v>6.5318031858608592</v>
      </c>
      <c r="H129">
        <v>3.4681968141391417</v>
      </c>
      <c r="I129">
        <v>332.15268699116558</v>
      </c>
      <c r="J129">
        <v>4.6306724524098648</v>
      </c>
      <c r="K129">
        <v>311.30441824051007</v>
      </c>
      <c r="L129">
        <v>4.2870868171510059</v>
      </c>
      <c r="M129">
        <v>371.49010557341114</v>
      </c>
      <c r="N129">
        <v>4.6425284005934309</v>
      </c>
      <c r="O129">
        <v>351.59801521948719</v>
      </c>
      <c r="P129">
        <v>4.2978795704963106</v>
      </c>
    </row>
    <row r="130" spans="4:16" x14ac:dyDescent="0.55000000000000004">
      <c r="D130">
        <v>123</v>
      </c>
      <c r="E130">
        <v>6.8102567880095801</v>
      </c>
      <c r="F130">
        <v>3.1897432119904194</v>
      </c>
      <c r="G130">
        <v>7.3444481433066251</v>
      </c>
      <c r="H130">
        <v>2.6555518566933736</v>
      </c>
      <c r="I130">
        <v>344.16662026986558</v>
      </c>
      <c r="J130">
        <v>4.889431225200485</v>
      </c>
      <c r="K130">
        <v>322.42823978116536</v>
      </c>
      <c r="L130">
        <v>4.5296477483323327</v>
      </c>
      <c r="M130">
        <v>421.1627878231447</v>
      </c>
      <c r="N130">
        <v>4.880758294721903</v>
      </c>
      <c r="O130">
        <v>396.96668444727948</v>
      </c>
      <c r="P130">
        <v>4.5217643988079343</v>
      </c>
    </row>
    <row r="131" spans="4:16" x14ac:dyDescent="0.55000000000000004">
      <c r="D131">
        <v>124</v>
      </c>
      <c r="E131">
        <v>6.4257600870121179</v>
      </c>
      <c r="F131">
        <v>3.574239912987883</v>
      </c>
      <c r="G131">
        <v>6.7633869529060684</v>
      </c>
      <c r="H131">
        <v>3.2366130470939312</v>
      </c>
      <c r="I131">
        <v>311.73687177151402</v>
      </c>
      <c r="J131">
        <v>4.8802680533299521</v>
      </c>
      <c r="K131">
        <v>292.6920613436763</v>
      </c>
      <c r="L131">
        <v>4.5208155240315007</v>
      </c>
      <c r="M131">
        <v>378.11637265150108</v>
      </c>
      <c r="N131">
        <v>4.8739770120594708</v>
      </c>
      <c r="O131">
        <v>357.59398928646806</v>
      </c>
      <c r="P131">
        <v>4.5150919892068009</v>
      </c>
    </row>
    <row r="132" spans="4:16" x14ac:dyDescent="0.55000000000000004">
      <c r="D132">
        <v>125</v>
      </c>
      <c r="E132">
        <v>6.8441039364321563</v>
      </c>
      <c r="F132">
        <v>3.1558960635678464</v>
      </c>
      <c r="G132">
        <v>5.4206985234710352</v>
      </c>
      <c r="H132">
        <v>4.5793014765289639</v>
      </c>
      <c r="I132">
        <v>334.6171303887412</v>
      </c>
      <c r="J132">
        <v>4.8650651077846678</v>
      </c>
      <c r="K132">
        <v>313.5575028169003</v>
      </c>
      <c r="L132">
        <v>4.506790173156725</v>
      </c>
      <c r="M132">
        <v>315.02499106872597</v>
      </c>
      <c r="N132">
        <v>4.8931282491046328</v>
      </c>
      <c r="O132">
        <v>300.08204592576141</v>
      </c>
      <c r="P132">
        <v>4.5323867525188586</v>
      </c>
    </row>
    <row r="133" spans="4:16" x14ac:dyDescent="0.55000000000000004">
      <c r="D133">
        <v>126</v>
      </c>
      <c r="E133">
        <v>6.2761895401013374</v>
      </c>
      <c r="F133">
        <v>3.7238104598986634</v>
      </c>
      <c r="G133">
        <v>6.2479387827723709</v>
      </c>
      <c r="H133">
        <v>3.75206121722763</v>
      </c>
      <c r="I133">
        <v>321.62233943338373</v>
      </c>
      <c r="J133">
        <v>4.8174651576543797</v>
      </c>
      <c r="K133">
        <v>302.08679416879983</v>
      </c>
      <c r="L133">
        <v>4.4617851768872816</v>
      </c>
      <c r="M133">
        <v>370.1746338462832</v>
      </c>
      <c r="N133">
        <v>4.8182867943341261</v>
      </c>
      <c r="O133">
        <v>350.76662964727029</v>
      </c>
      <c r="P133">
        <v>4.4625344283952222</v>
      </c>
    </row>
    <row r="134" spans="4:16" x14ac:dyDescent="0.55000000000000004">
      <c r="D134">
        <v>127</v>
      </c>
      <c r="E134">
        <v>7.1716889565034743</v>
      </c>
      <c r="F134">
        <v>2.8283110434965257</v>
      </c>
      <c r="G134">
        <v>5.9530896089773524</v>
      </c>
      <c r="H134">
        <v>4.0469103910226494</v>
      </c>
      <c r="I134">
        <v>332.44911440580819</v>
      </c>
      <c r="J134">
        <v>4.8678346366512155</v>
      </c>
      <c r="K134">
        <v>310.85772633058264</v>
      </c>
      <c r="L134">
        <v>4.5096510440547695</v>
      </c>
      <c r="M134">
        <v>325.96001171916981</v>
      </c>
      <c r="N134">
        <v>4.890291916452278</v>
      </c>
      <c r="O134">
        <v>309.32005319408239</v>
      </c>
      <c r="P134">
        <v>4.530139879792566</v>
      </c>
    </row>
    <row r="135" spans="4:16" x14ac:dyDescent="0.55000000000000004">
      <c r="D135">
        <v>128</v>
      </c>
      <c r="E135">
        <v>6.8466753504139755</v>
      </c>
      <c r="F135">
        <v>3.1533246495860254</v>
      </c>
      <c r="G135">
        <v>5.9736505110105016</v>
      </c>
      <c r="H135">
        <v>4.0263494889895002</v>
      </c>
      <c r="I135">
        <v>363.36120937414211</v>
      </c>
      <c r="J135">
        <v>4.8683221345671956</v>
      </c>
      <c r="K135">
        <v>340.32511358201162</v>
      </c>
      <c r="L135">
        <v>4.5099028839993753</v>
      </c>
      <c r="M135">
        <v>367.02874212196951</v>
      </c>
      <c r="N135">
        <v>4.8851124804560966</v>
      </c>
      <c r="O135">
        <v>348.0700952534994</v>
      </c>
      <c r="P135">
        <v>4.5252156099419887</v>
      </c>
    </row>
    <row r="136" spans="4:16" x14ac:dyDescent="0.55000000000000004">
      <c r="D136">
        <v>129</v>
      </c>
      <c r="E136">
        <v>7.6158456800173981</v>
      </c>
      <c r="F136">
        <v>2.3841543199825996</v>
      </c>
      <c r="G136">
        <v>5.6812540184994749</v>
      </c>
      <c r="H136">
        <v>4.3187459815005269</v>
      </c>
      <c r="I136">
        <v>373.76713591117738</v>
      </c>
      <c r="J136">
        <v>4.7754904036345485</v>
      </c>
      <c r="K136">
        <v>349.15897152118924</v>
      </c>
      <c r="L136">
        <v>4.4235044536347354</v>
      </c>
      <c r="M136">
        <v>328.82209436701248</v>
      </c>
      <c r="N136">
        <v>4.8325207599873536</v>
      </c>
      <c r="O136">
        <v>312.80692233114303</v>
      </c>
      <c r="P136">
        <v>4.4753732827700885</v>
      </c>
    </row>
    <row r="137" spans="4:16" x14ac:dyDescent="0.55000000000000004">
      <c r="D137">
        <v>130</v>
      </c>
      <c r="E137">
        <v>6.463104832646521</v>
      </c>
      <c r="F137">
        <v>3.5368951673534799</v>
      </c>
      <c r="G137">
        <v>7.352635398069463</v>
      </c>
      <c r="H137">
        <v>2.6473646019305366</v>
      </c>
      <c r="I137">
        <v>316.33965608292669</v>
      </c>
      <c r="J137">
        <v>4.9513046189277574</v>
      </c>
      <c r="K137">
        <v>296.72547133683281</v>
      </c>
      <c r="L137">
        <v>4.5875566428156951</v>
      </c>
      <c r="M137">
        <v>409.87814113422348</v>
      </c>
      <c r="N137">
        <v>4.9446025723138938</v>
      </c>
      <c r="O137">
        <v>386.35212115753643</v>
      </c>
      <c r="P137">
        <v>4.5814567600582521</v>
      </c>
    </row>
    <row r="138" spans="4:16" x14ac:dyDescent="0.55000000000000004">
      <c r="D138">
        <v>131</v>
      </c>
      <c r="E138">
        <v>6.5758227216346476</v>
      </c>
      <c r="F138">
        <v>3.4241772783653537</v>
      </c>
      <c r="G138">
        <v>7.1086004967145922</v>
      </c>
      <c r="H138">
        <v>2.891399503285407</v>
      </c>
      <c r="I138">
        <v>324.97767975111122</v>
      </c>
      <c r="J138">
        <v>4.766547763290899</v>
      </c>
      <c r="K138">
        <v>304.73528827709532</v>
      </c>
      <c r="L138">
        <v>4.4143219037005217</v>
      </c>
      <c r="M138">
        <v>401.30759959502694</v>
      </c>
      <c r="N138">
        <v>4.7476332991201868</v>
      </c>
      <c r="O138">
        <v>378.69624167851993</v>
      </c>
      <c r="P138">
        <v>4.3971092195262447</v>
      </c>
    </row>
    <row r="139" spans="4:16" x14ac:dyDescent="0.55000000000000004">
      <c r="D139">
        <v>132</v>
      </c>
      <c r="E139">
        <v>6.5185792231947364</v>
      </c>
      <c r="F139">
        <v>3.4814207768052623</v>
      </c>
      <c r="G139">
        <v>7.3050077858891012</v>
      </c>
      <c r="H139">
        <v>2.694992214110898</v>
      </c>
      <c r="I139">
        <v>326.2419573065028</v>
      </c>
      <c r="J139">
        <v>4.8383727538656833</v>
      </c>
      <c r="K139">
        <v>305.83910523640981</v>
      </c>
      <c r="L139">
        <v>4.4817135002552035</v>
      </c>
      <c r="M139">
        <v>415.60114660073168</v>
      </c>
      <c r="N139">
        <v>4.8188733693345611</v>
      </c>
      <c r="O139">
        <v>391.68749272809998</v>
      </c>
      <c r="P139">
        <v>4.4639534420564519</v>
      </c>
    </row>
    <row r="140" spans="4:16" x14ac:dyDescent="0.55000000000000004">
      <c r="D140">
        <v>133</v>
      </c>
      <c r="E140">
        <v>6.4872934986414323</v>
      </c>
      <c r="F140">
        <v>3.5127065013585694</v>
      </c>
      <c r="G140">
        <v>5.8100409716661172</v>
      </c>
      <c r="H140">
        <v>4.189959028333881</v>
      </c>
      <c r="I140">
        <v>325.72302525678384</v>
      </c>
      <c r="J140">
        <v>4.788591793159358</v>
      </c>
      <c r="K140">
        <v>305.87434186806615</v>
      </c>
      <c r="L140">
        <v>4.4347071764949186</v>
      </c>
      <c r="M140">
        <v>341.71859151328232</v>
      </c>
      <c r="N140">
        <v>4.8106621283979498</v>
      </c>
      <c r="O140">
        <v>324.90471847561838</v>
      </c>
      <c r="P140">
        <v>4.4548077897161225</v>
      </c>
    </row>
    <row r="141" spans="4:16" x14ac:dyDescent="0.55000000000000004">
      <c r="D141">
        <v>134</v>
      </c>
      <c r="E141">
        <v>5.9034860151720814</v>
      </c>
      <c r="F141">
        <v>4.0965139848279186</v>
      </c>
      <c r="G141">
        <v>5.7061429272607054</v>
      </c>
      <c r="H141">
        <v>4.2938570727392955</v>
      </c>
      <c r="I141">
        <v>264.40896744361572</v>
      </c>
      <c r="J141">
        <v>4.8580984991656138</v>
      </c>
      <c r="K141">
        <v>249.09718920210142</v>
      </c>
      <c r="L141">
        <v>4.499548674148599</v>
      </c>
      <c r="M141">
        <v>305.57024368401335</v>
      </c>
      <c r="N141">
        <v>4.8628420151631024</v>
      </c>
      <c r="O141">
        <v>291.03643688472226</v>
      </c>
      <c r="P141">
        <v>4.503874672857151</v>
      </c>
    </row>
    <row r="142" spans="4:16" x14ac:dyDescent="0.55000000000000004">
      <c r="D142">
        <v>135</v>
      </c>
      <c r="E142">
        <v>6.7082997824656099</v>
      </c>
      <c r="F142">
        <v>3.2917002175343901</v>
      </c>
      <c r="G142">
        <v>6.4353115229512721</v>
      </c>
      <c r="H142">
        <v>3.5646884770487293</v>
      </c>
      <c r="I142">
        <v>339.57716258994151</v>
      </c>
      <c r="J142">
        <v>4.8771721197425464</v>
      </c>
      <c r="K142">
        <v>318.13183526835758</v>
      </c>
      <c r="L142">
        <v>4.518161809682292</v>
      </c>
      <c r="M142">
        <v>375.7583736877894</v>
      </c>
      <c r="N142">
        <v>4.8821704904681598</v>
      </c>
      <c r="O142">
        <v>355.52949493767807</v>
      </c>
      <c r="P142">
        <v>4.5227201808557087</v>
      </c>
    </row>
    <row r="143" spans="4:16" x14ac:dyDescent="0.55000000000000004">
      <c r="D143">
        <v>136</v>
      </c>
      <c r="E143">
        <v>6.6498348700416328</v>
      </c>
      <c r="F143">
        <v>3.3501651299583686</v>
      </c>
      <c r="G143">
        <v>6.2670926880966178</v>
      </c>
      <c r="H143">
        <v>3.7329073119033831</v>
      </c>
      <c r="I143">
        <v>333.12764853631489</v>
      </c>
      <c r="J143">
        <v>4.8638688813195694</v>
      </c>
      <c r="K143">
        <v>312.40699308984313</v>
      </c>
      <c r="L143">
        <v>4.5055690211061785</v>
      </c>
      <c r="M143">
        <v>363.95393887903987</v>
      </c>
      <c r="N143">
        <v>4.8717041317299365</v>
      </c>
      <c r="O143">
        <v>344.94541341171902</v>
      </c>
      <c r="P143">
        <v>4.5127046172836645</v>
      </c>
    </row>
    <row r="144" spans="4:16" x14ac:dyDescent="0.55000000000000004">
      <c r="D144">
        <v>137</v>
      </c>
      <c r="E144">
        <v>6.5262234225160292</v>
      </c>
      <c r="F144">
        <v>3.4737765774839708</v>
      </c>
      <c r="G144">
        <v>6.9445284130229998</v>
      </c>
      <c r="H144">
        <v>3.0554715869769993</v>
      </c>
      <c r="I144">
        <v>330.92792925635058</v>
      </c>
      <c r="J144">
        <v>4.8626585545819418</v>
      </c>
      <c r="K144">
        <v>310.16620190341285</v>
      </c>
      <c r="L144">
        <v>4.5045078070401621</v>
      </c>
      <c r="M144">
        <v>402.13909463393765</v>
      </c>
      <c r="N144">
        <v>4.8538555136343087</v>
      </c>
      <c r="O144">
        <v>379.50837078234468</v>
      </c>
      <c r="P144">
        <v>4.4964804355296275</v>
      </c>
    </row>
    <row r="145" spans="4:16" x14ac:dyDescent="0.55000000000000004">
      <c r="D145">
        <v>138</v>
      </c>
      <c r="E145">
        <v>6.5881142577487912</v>
      </c>
      <c r="F145">
        <v>3.4118857422512101</v>
      </c>
      <c r="G145">
        <v>6.1294438903871757</v>
      </c>
      <c r="H145">
        <v>3.8705561096128234</v>
      </c>
      <c r="I145">
        <v>306.62267727659525</v>
      </c>
      <c r="J145">
        <v>4.8188183136021703</v>
      </c>
      <c r="K145">
        <v>287.22008476796196</v>
      </c>
      <c r="L145">
        <v>4.4635159377993778</v>
      </c>
      <c r="M145">
        <v>335.27533408769392</v>
      </c>
      <c r="N145">
        <v>4.8314323435670481</v>
      </c>
      <c r="O145">
        <v>317.70250663809833</v>
      </c>
      <c r="P145">
        <v>4.4750487694587271</v>
      </c>
    </row>
    <row r="146" spans="4:16" x14ac:dyDescent="0.55000000000000004">
      <c r="D146">
        <v>139</v>
      </c>
      <c r="E146">
        <v>5.0848028549865374</v>
      </c>
      <c r="F146">
        <v>4.9151971450134635</v>
      </c>
      <c r="G146">
        <v>5.7211849473024809</v>
      </c>
      <c r="H146">
        <v>4.2788150526975191</v>
      </c>
      <c r="I146">
        <v>247.23203142527845</v>
      </c>
      <c r="J146">
        <v>4.9173810626712626</v>
      </c>
      <c r="K146">
        <v>234.0819094517619</v>
      </c>
      <c r="L146">
        <v>4.5550082508169414</v>
      </c>
      <c r="M146">
        <v>328.17404470149552</v>
      </c>
      <c r="N146">
        <v>4.9070409937046513</v>
      </c>
      <c r="O146">
        <v>312.36146073294645</v>
      </c>
      <c r="P146">
        <v>4.5455579119530185</v>
      </c>
    </row>
    <row r="147" spans="4:16" x14ac:dyDescent="0.55000000000000004">
      <c r="D147">
        <v>140</v>
      </c>
      <c r="E147">
        <v>6.2192386249441274</v>
      </c>
      <c r="F147">
        <v>3.7807613750558726</v>
      </c>
      <c r="G147">
        <v>6.8792971473778382</v>
      </c>
      <c r="H147">
        <v>3.1207028526221618</v>
      </c>
      <c r="I147">
        <v>320.18065544685652</v>
      </c>
      <c r="J147">
        <v>4.75423731871338</v>
      </c>
      <c r="K147">
        <v>300.94274694736015</v>
      </c>
      <c r="L147">
        <v>4.4022365941333721</v>
      </c>
      <c r="M147">
        <v>404.16198066864075</v>
      </c>
      <c r="N147">
        <v>4.7281541014480437</v>
      </c>
      <c r="O147">
        <v>381.86021776103013</v>
      </c>
      <c r="P147">
        <v>4.3785051150558374</v>
      </c>
    </row>
    <row r="148" spans="4:16" x14ac:dyDescent="0.55000000000000004">
      <c r="D148">
        <v>141</v>
      </c>
      <c r="E148">
        <v>6.9671650510751331</v>
      </c>
      <c r="F148">
        <v>3.0328349489248665</v>
      </c>
      <c r="G148">
        <v>5.7955999515180627</v>
      </c>
      <c r="H148">
        <v>4.2044000484819382</v>
      </c>
      <c r="I148">
        <v>342.85588578120428</v>
      </c>
      <c r="J148">
        <v>4.7034110374631144</v>
      </c>
      <c r="K148">
        <v>321.00601894041671</v>
      </c>
      <c r="L148">
        <v>4.3555450959210784</v>
      </c>
      <c r="M148">
        <v>335.20288244134508</v>
      </c>
      <c r="N148">
        <v>4.7532840166267745</v>
      </c>
      <c r="O148">
        <v>318.43924065647019</v>
      </c>
      <c r="P148">
        <v>4.4010182141661351</v>
      </c>
    </row>
    <row r="149" spans="4:16" x14ac:dyDescent="0.55000000000000004">
      <c r="D149">
        <v>142</v>
      </c>
      <c r="E149">
        <v>6.8022885805152029</v>
      </c>
      <c r="F149">
        <v>3.1977114194847962</v>
      </c>
      <c r="G149">
        <v>5.3869868604337965</v>
      </c>
      <c r="H149">
        <v>4.6130131395662035</v>
      </c>
      <c r="I149">
        <v>344.65412262861008</v>
      </c>
      <c r="J149">
        <v>4.6650989700018748</v>
      </c>
      <c r="K149">
        <v>323.16556388263666</v>
      </c>
      <c r="L149">
        <v>4.3192121780526804</v>
      </c>
      <c r="M149">
        <v>322.94449625570559</v>
      </c>
      <c r="N149">
        <v>4.7347793427474665</v>
      </c>
      <c r="O149">
        <v>307.83134144442886</v>
      </c>
      <c r="P149">
        <v>4.3826975593439421</v>
      </c>
    </row>
    <row r="150" spans="4:16" x14ac:dyDescent="0.55000000000000004">
      <c r="D150">
        <v>143</v>
      </c>
      <c r="E150">
        <v>6.4662220254129155</v>
      </c>
      <c r="F150">
        <v>3.5337779745870832</v>
      </c>
      <c r="G150">
        <v>4.7161768153980184</v>
      </c>
      <c r="H150">
        <v>5.2838231846019825</v>
      </c>
      <c r="I150">
        <v>340.32631937027253</v>
      </c>
      <c r="J150">
        <v>4.7805326146730591</v>
      </c>
      <c r="K150">
        <v>319.42491211765093</v>
      </c>
      <c r="L150">
        <v>4.4272441128252993</v>
      </c>
      <c r="M150">
        <v>298.21898950822487</v>
      </c>
      <c r="N150">
        <v>4.8399301801968599</v>
      </c>
      <c r="O150">
        <v>285.12824553141121</v>
      </c>
      <c r="P150">
        <v>4.4816047894890714</v>
      </c>
    </row>
    <row r="151" spans="4:16" x14ac:dyDescent="0.55000000000000004">
      <c r="D151">
        <v>144</v>
      </c>
      <c r="E151">
        <v>6.6308859493543881</v>
      </c>
      <c r="F151">
        <v>3.3691140506456119</v>
      </c>
      <c r="G151">
        <v>6.380824928072478</v>
      </c>
      <c r="H151">
        <v>3.6191750719275229</v>
      </c>
      <c r="I151">
        <v>350.40039832735727</v>
      </c>
      <c r="J151">
        <v>4.7338206226155695</v>
      </c>
      <c r="K151">
        <v>328.68384287923061</v>
      </c>
      <c r="L151">
        <v>4.3835501992542909</v>
      </c>
      <c r="M151">
        <v>387.18625437546831</v>
      </c>
      <c r="N151">
        <v>4.7438586608899911</v>
      </c>
      <c r="O151">
        <v>366.65710404194704</v>
      </c>
      <c r="P151">
        <v>4.3926862329772973</v>
      </c>
    </row>
    <row r="152" spans="4:16" x14ac:dyDescent="0.55000000000000004">
      <c r="D152">
        <v>145</v>
      </c>
      <c r="E152">
        <v>7.0411053472441862</v>
      </c>
      <c r="F152">
        <v>2.9588946527558129</v>
      </c>
      <c r="G152">
        <v>6.7006462843999621</v>
      </c>
      <c r="H152">
        <v>3.2993537156000361</v>
      </c>
      <c r="I152">
        <v>355.96481272214913</v>
      </c>
      <c r="J152">
        <v>4.8255050306106391</v>
      </c>
      <c r="K152">
        <v>332.9806489554191</v>
      </c>
      <c r="L152">
        <v>4.4700046703537542</v>
      </c>
      <c r="M152">
        <v>388.75282105775295</v>
      </c>
      <c r="N152">
        <v>4.8339423981572827</v>
      </c>
      <c r="O152">
        <v>367.29706945239923</v>
      </c>
      <c r="P152">
        <v>4.4776928058870595</v>
      </c>
    </row>
    <row r="153" spans="4:16" x14ac:dyDescent="0.55000000000000004">
      <c r="D153">
        <v>146</v>
      </c>
      <c r="E153">
        <v>6.3452804664192382</v>
      </c>
      <c r="F153">
        <v>3.6547195335807632</v>
      </c>
      <c r="G153">
        <v>5.8651018637242709</v>
      </c>
      <c r="H153">
        <v>4.1348981362757309</v>
      </c>
      <c r="I153">
        <v>323.0083119677202</v>
      </c>
      <c r="J153">
        <v>4.9105305892254405</v>
      </c>
      <c r="K153">
        <v>303.45009804651602</v>
      </c>
      <c r="L153">
        <v>4.5491807157633817</v>
      </c>
      <c r="M153">
        <v>348.56468323919421</v>
      </c>
      <c r="N153">
        <v>4.917301179883653</v>
      </c>
      <c r="O153">
        <v>331.1682359774336</v>
      </c>
      <c r="P153">
        <v>4.555352523102135</v>
      </c>
    </row>
    <row r="154" spans="4:16" x14ac:dyDescent="0.55000000000000004">
      <c r="D154">
        <v>147</v>
      </c>
      <c r="E154">
        <v>6.3359378407553084</v>
      </c>
      <c r="F154">
        <v>3.664062159244692</v>
      </c>
      <c r="G154">
        <v>6.221085745744487</v>
      </c>
      <c r="H154">
        <v>3.7789142542555143</v>
      </c>
      <c r="I154">
        <v>312.47495731490261</v>
      </c>
      <c r="J154">
        <v>4.8917608484443562</v>
      </c>
      <c r="K154">
        <v>293.58431365329648</v>
      </c>
      <c r="L154">
        <v>4.5315371729217651</v>
      </c>
      <c r="M154">
        <v>356.81069665009852</v>
      </c>
      <c r="N154">
        <v>4.8937229089365539</v>
      </c>
      <c r="O154">
        <v>338.42622721821618</v>
      </c>
      <c r="P154">
        <v>4.5333238981818678</v>
      </c>
    </row>
    <row r="155" spans="4:16" x14ac:dyDescent="0.55000000000000004">
      <c r="D155">
        <v>148</v>
      </c>
      <c r="E155">
        <v>6.7620536401050391</v>
      </c>
      <c r="F155">
        <v>3.2379463598949618</v>
      </c>
      <c r="G155">
        <v>6.184505738612212</v>
      </c>
      <c r="H155">
        <v>3.8154942613877889</v>
      </c>
      <c r="I155">
        <v>317.55627744414772</v>
      </c>
      <c r="J155">
        <v>4.9213420783859778</v>
      </c>
      <c r="K155">
        <v>297.55554083006177</v>
      </c>
      <c r="L155">
        <v>4.5595289493760003</v>
      </c>
      <c r="M155">
        <v>340.43375351798556</v>
      </c>
      <c r="N155">
        <v>4.9280602619411251</v>
      </c>
      <c r="O155">
        <v>322.83411344799475</v>
      </c>
      <c r="P155">
        <v>4.5656523871264874</v>
      </c>
    </row>
    <row r="156" spans="4:16" x14ac:dyDescent="0.55000000000000004">
      <c r="D156">
        <v>149</v>
      </c>
      <c r="E156">
        <v>6.5989948561145431</v>
      </c>
      <c r="F156">
        <v>3.4010051438854561</v>
      </c>
      <c r="G156">
        <v>6.3565943075615436</v>
      </c>
      <c r="H156">
        <v>3.643405692438459</v>
      </c>
      <c r="I156">
        <v>316.48983505926941</v>
      </c>
      <c r="J156">
        <v>4.8311278470990704</v>
      </c>
      <c r="K156">
        <v>297.02499490149756</v>
      </c>
      <c r="L156">
        <v>4.4747466030933341</v>
      </c>
      <c r="M156">
        <v>354.86422975079881</v>
      </c>
      <c r="N156">
        <v>4.8373310194595689</v>
      </c>
      <c r="O156">
        <v>336.45223047213096</v>
      </c>
      <c r="P156">
        <v>4.4803880022585485</v>
      </c>
    </row>
    <row r="157" spans="4:16" x14ac:dyDescent="0.55000000000000004">
      <c r="D157">
        <v>150</v>
      </c>
      <c r="E157">
        <v>6.7605436276096214</v>
      </c>
      <c r="F157">
        <v>3.2394563723903791</v>
      </c>
      <c r="G157">
        <v>5.8994303151763647</v>
      </c>
      <c r="H157">
        <v>4.1005696848236344</v>
      </c>
      <c r="I157">
        <v>333.07204634626055</v>
      </c>
      <c r="J157">
        <v>4.9150799645099648</v>
      </c>
      <c r="K157">
        <v>311.90914978365572</v>
      </c>
      <c r="L157">
        <v>4.5537083926845323</v>
      </c>
      <c r="M157">
        <v>340.64753303688309</v>
      </c>
      <c r="N157">
        <v>4.9258965167106084</v>
      </c>
      <c r="O157">
        <v>323.15071253896093</v>
      </c>
      <c r="P157">
        <v>4.5635902422797265</v>
      </c>
    </row>
    <row r="158" spans="4:16" x14ac:dyDescent="0.55000000000000004">
      <c r="D158">
        <v>151</v>
      </c>
      <c r="E158">
        <v>7.8845107096113205</v>
      </c>
      <c r="F158">
        <v>2.1154892903886799</v>
      </c>
      <c r="G158">
        <v>7.6909353621098004</v>
      </c>
      <c r="H158">
        <v>2.3090646378901978</v>
      </c>
      <c r="I158">
        <v>386.47156446625257</v>
      </c>
      <c r="J158">
        <v>4.7857870531662856</v>
      </c>
      <c r="K158">
        <v>360.3795237926181</v>
      </c>
      <c r="L158">
        <v>4.4334820518307874</v>
      </c>
      <c r="M158">
        <v>426.98316751350126</v>
      </c>
      <c r="N158">
        <v>4.7910462692609634</v>
      </c>
      <c r="O158">
        <v>401.76172774493591</v>
      </c>
      <c r="P158">
        <v>4.4382587124089987</v>
      </c>
    </row>
    <row r="159" spans="4:16" x14ac:dyDescent="0.55000000000000004">
      <c r="D159">
        <v>152</v>
      </c>
      <c r="E159">
        <v>6.6147462530561763</v>
      </c>
      <c r="F159">
        <v>3.3852537469438229</v>
      </c>
      <c r="G159">
        <v>6.4301182409948892</v>
      </c>
      <c r="H159">
        <v>3.5698817590051095</v>
      </c>
      <c r="I159">
        <v>333.69984439373314</v>
      </c>
      <c r="J159">
        <v>4.8389568795155204</v>
      </c>
      <c r="K159">
        <v>312.81438539094268</v>
      </c>
      <c r="L159">
        <v>4.4822689123881885</v>
      </c>
      <c r="M159">
        <v>374.38575485218632</v>
      </c>
      <c r="N159">
        <v>4.84345184728204</v>
      </c>
      <c r="O159">
        <v>354.32272118647461</v>
      </c>
      <c r="P159">
        <v>4.4863669787330442</v>
      </c>
    </row>
    <row r="160" spans="4:16" x14ac:dyDescent="0.55000000000000004">
      <c r="D160">
        <v>153</v>
      </c>
      <c r="E160">
        <v>7.6202509504449205</v>
      </c>
      <c r="F160">
        <v>2.3797490495550804</v>
      </c>
      <c r="G160">
        <v>5.602120430655499</v>
      </c>
      <c r="H160">
        <v>4.3978795693445001</v>
      </c>
      <c r="I160">
        <v>383.27593660205855</v>
      </c>
      <c r="J160">
        <v>4.7011282829452687</v>
      </c>
      <c r="K160">
        <v>357.88886057238335</v>
      </c>
      <c r="L160">
        <v>4.354157407480324</v>
      </c>
      <c r="M160">
        <v>331.76997962142565</v>
      </c>
      <c r="N160">
        <v>4.7802808118596616</v>
      </c>
      <c r="O160">
        <v>315.39072263100104</v>
      </c>
      <c r="P160">
        <v>4.4262858002930692</v>
      </c>
    </row>
    <row r="161" spans="4:16" x14ac:dyDescent="0.55000000000000004">
      <c r="D161">
        <v>154</v>
      </c>
      <c r="E161">
        <v>7.0781248029553057</v>
      </c>
      <c r="F161">
        <v>2.9218751970446952</v>
      </c>
      <c r="G161">
        <v>6.0532054431766511</v>
      </c>
      <c r="H161">
        <v>3.9467945568233498</v>
      </c>
      <c r="I161">
        <v>347.25798446540495</v>
      </c>
      <c r="J161">
        <v>4.7771879618064803</v>
      </c>
      <c r="K161">
        <v>325.03413551994481</v>
      </c>
      <c r="L161">
        <v>4.4246802443727162</v>
      </c>
      <c r="M161">
        <v>346.97469036924741</v>
      </c>
      <c r="N161">
        <v>4.8094513617737888</v>
      </c>
      <c r="O161">
        <v>329.25309584570698</v>
      </c>
      <c r="P161">
        <v>4.4540548511974913</v>
      </c>
    </row>
    <row r="162" spans="4:16" x14ac:dyDescent="0.55000000000000004">
      <c r="D162">
        <v>155</v>
      </c>
      <c r="E162">
        <v>6.2013113270523457</v>
      </c>
      <c r="F162">
        <v>3.7986886729476534</v>
      </c>
      <c r="G162">
        <v>6.7896401076296264</v>
      </c>
      <c r="H162">
        <v>3.2103598923703713</v>
      </c>
      <c r="I162">
        <v>301.45910840764759</v>
      </c>
      <c r="J162">
        <v>4.8991369842174537</v>
      </c>
      <c r="K162">
        <v>283.23647511045721</v>
      </c>
      <c r="L162">
        <v>4.5384666997955661</v>
      </c>
      <c r="M162">
        <v>380.0590383724101</v>
      </c>
      <c r="N162">
        <v>4.8895679411633131</v>
      </c>
      <c r="O162">
        <v>359.28932059093898</v>
      </c>
      <c r="P162">
        <v>4.5297498672581158</v>
      </c>
    </row>
    <row r="163" spans="4:16" x14ac:dyDescent="0.55000000000000004">
      <c r="D163">
        <v>156</v>
      </c>
      <c r="E163">
        <v>6.2632196929801953</v>
      </c>
      <c r="F163">
        <v>3.7367803070198047</v>
      </c>
      <c r="G163">
        <v>5.5864922923808296</v>
      </c>
      <c r="H163">
        <v>4.4135077076191704</v>
      </c>
      <c r="I163">
        <v>316.85143557270476</v>
      </c>
      <c r="J163">
        <v>4.7784114669039628</v>
      </c>
      <c r="K163">
        <v>297.72291347955297</v>
      </c>
      <c r="L163">
        <v>4.4250216440860726</v>
      </c>
      <c r="M163">
        <v>332.61632026745406</v>
      </c>
      <c r="N163">
        <v>4.8023536307358938</v>
      </c>
      <c r="O163">
        <v>316.47010766762804</v>
      </c>
      <c r="P163">
        <v>4.4468781440652592</v>
      </c>
    </row>
    <row r="164" spans="4:16" x14ac:dyDescent="0.55000000000000004">
      <c r="D164">
        <v>157</v>
      </c>
      <c r="E164">
        <v>6.3933208213057071</v>
      </c>
      <c r="F164">
        <v>3.6066791786942924</v>
      </c>
      <c r="G164">
        <v>4.8970230696106212</v>
      </c>
      <c r="H164">
        <v>5.1029769303893788</v>
      </c>
      <c r="I164">
        <v>304.18509679002443</v>
      </c>
      <c r="J164">
        <v>4.7962078541486788</v>
      </c>
      <c r="K164">
        <v>286.02617022439426</v>
      </c>
      <c r="L164">
        <v>4.4416063633258425</v>
      </c>
      <c r="M164">
        <v>282.9933813814568</v>
      </c>
      <c r="N164">
        <v>4.8439035256429444</v>
      </c>
      <c r="O164">
        <v>271.14978204328315</v>
      </c>
      <c r="P164">
        <v>4.4850710119954584</v>
      </c>
    </row>
    <row r="165" spans="4:16" x14ac:dyDescent="0.55000000000000004">
      <c r="D165">
        <v>158</v>
      </c>
      <c r="E165">
        <v>6.8890206125761111</v>
      </c>
      <c r="F165">
        <v>3.1109793874238876</v>
      </c>
      <c r="G165">
        <v>7.0025270391169583</v>
      </c>
      <c r="H165">
        <v>2.9974729608830422</v>
      </c>
      <c r="I165">
        <v>345.61292801127746</v>
      </c>
      <c r="J165">
        <v>4.7354349580842152</v>
      </c>
      <c r="K165">
        <v>323.24075275665325</v>
      </c>
      <c r="L165">
        <v>4.38579348806556</v>
      </c>
      <c r="M165">
        <v>401.3073932525723</v>
      </c>
      <c r="N165">
        <v>4.7310758722018678</v>
      </c>
      <c r="O165">
        <v>378.43784941889015</v>
      </c>
      <c r="P165">
        <v>4.3818151354495383</v>
      </c>
    </row>
    <row r="166" spans="4:16" x14ac:dyDescent="0.55000000000000004">
      <c r="D166">
        <v>159</v>
      </c>
      <c r="E166">
        <v>6.6987772888921562</v>
      </c>
      <c r="F166">
        <v>3.3012227111078403</v>
      </c>
      <c r="G166">
        <v>5.5725360392889218</v>
      </c>
      <c r="H166">
        <v>4.4274639607110773</v>
      </c>
      <c r="I166">
        <v>328.42005720253991</v>
      </c>
      <c r="J166">
        <v>4.8689928861015641</v>
      </c>
      <c r="K166">
        <v>308.05279481342859</v>
      </c>
      <c r="L166">
        <v>4.5103501458865018</v>
      </c>
      <c r="M166">
        <v>323.2039782575232</v>
      </c>
      <c r="N166">
        <v>4.8910186393548551</v>
      </c>
      <c r="O166">
        <v>307.74014116913867</v>
      </c>
      <c r="P166">
        <v>4.5304199175157231</v>
      </c>
    </row>
    <row r="167" spans="4:16" x14ac:dyDescent="0.55000000000000004">
      <c r="D167">
        <v>160</v>
      </c>
      <c r="E167">
        <v>7.6316284569326092</v>
      </c>
      <c r="F167">
        <v>2.36837154306739</v>
      </c>
      <c r="G167">
        <v>6.0951928861837965</v>
      </c>
      <c r="H167">
        <v>3.9048071138162035</v>
      </c>
      <c r="I167">
        <v>392.35970771394091</v>
      </c>
      <c r="J167">
        <v>4.8669215874785339</v>
      </c>
      <c r="K167">
        <v>366.19818748137709</v>
      </c>
      <c r="L167">
        <v>4.5090276452665323</v>
      </c>
      <c r="M167">
        <v>363.36799384025426</v>
      </c>
      <c r="N167">
        <v>4.8937135635096825</v>
      </c>
      <c r="O167">
        <v>344.18237600717504</v>
      </c>
      <c r="P167">
        <v>4.5334535730032792</v>
      </c>
    </row>
    <row r="168" spans="4:16" x14ac:dyDescent="0.55000000000000004">
      <c r="D168">
        <v>161</v>
      </c>
      <c r="E168">
        <v>6.7357023595518308</v>
      </c>
      <c r="F168">
        <v>3.2642976404481705</v>
      </c>
      <c r="G168">
        <v>5.9599481855057403</v>
      </c>
      <c r="H168">
        <v>4.0400518144942597</v>
      </c>
      <c r="I168">
        <v>359.48030075053651</v>
      </c>
      <c r="J168">
        <v>4.8460597187279104</v>
      </c>
      <c r="K168">
        <v>336.90953960713961</v>
      </c>
      <c r="L168">
        <v>4.4889579347079955</v>
      </c>
      <c r="M168">
        <v>368.0787766171087</v>
      </c>
      <c r="N168">
        <v>4.8637890971024325</v>
      </c>
      <c r="O168">
        <v>349.1589502963223</v>
      </c>
      <c r="P168">
        <v>4.5051238729376051</v>
      </c>
    </row>
    <row r="169" spans="4:16" x14ac:dyDescent="0.55000000000000004">
      <c r="D169">
        <v>162</v>
      </c>
      <c r="E169">
        <v>6.9159980094735412</v>
      </c>
      <c r="F169">
        <v>3.0840019905264597</v>
      </c>
      <c r="G169">
        <v>4.8317352487700518</v>
      </c>
      <c r="H169">
        <v>5.1682647512299473</v>
      </c>
      <c r="I169">
        <v>337.66939546991637</v>
      </c>
      <c r="J169">
        <v>4.816609006969089</v>
      </c>
      <c r="K169">
        <v>316.45278870196751</v>
      </c>
      <c r="L169">
        <v>4.4613646554604927</v>
      </c>
      <c r="M169">
        <v>285.90653413838459</v>
      </c>
      <c r="N169">
        <v>4.8718772440187772</v>
      </c>
      <c r="O169">
        <v>273.61516856574951</v>
      </c>
      <c r="P169">
        <v>4.5117855214786102</v>
      </c>
    </row>
    <row r="170" spans="4:16" x14ac:dyDescent="0.55000000000000004">
      <c r="D170">
        <v>163</v>
      </c>
      <c r="E170">
        <v>6.9669640175195644</v>
      </c>
      <c r="F170">
        <v>3.0330359824804374</v>
      </c>
      <c r="G170">
        <v>5.7899975467015263</v>
      </c>
      <c r="H170">
        <v>4.2100024532984737</v>
      </c>
      <c r="I170">
        <v>348.48614829335526</v>
      </c>
      <c r="J170">
        <v>4.7974819122780721</v>
      </c>
      <c r="K170">
        <v>326.39920423259161</v>
      </c>
      <c r="L170">
        <v>4.4435501828259545</v>
      </c>
      <c r="M170">
        <v>339.6145205578888</v>
      </c>
      <c r="N170">
        <v>4.8316943753227362</v>
      </c>
      <c r="O170">
        <v>322.78111464297501</v>
      </c>
      <c r="P170">
        <v>4.474709622086797</v>
      </c>
    </row>
    <row r="171" spans="4:16" x14ac:dyDescent="0.55000000000000004">
      <c r="D171">
        <v>164</v>
      </c>
      <c r="E171">
        <v>5.8655720887722715</v>
      </c>
      <c r="F171">
        <v>4.1344279112277285</v>
      </c>
      <c r="G171">
        <v>5.6174436024973335</v>
      </c>
      <c r="H171">
        <v>4.3825563975026656</v>
      </c>
      <c r="I171">
        <v>271.51013181796344</v>
      </c>
      <c r="J171">
        <v>4.8775015626517844</v>
      </c>
      <c r="K171">
        <v>255.63214790570112</v>
      </c>
      <c r="L171">
        <v>4.5178980404046944</v>
      </c>
      <c r="M171">
        <v>310.02456877369417</v>
      </c>
      <c r="N171">
        <v>4.8826835553662615</v>
      </c>
      <c r="O171">
        <v>295.13714988530302</v>
      </c>
      <c r="P171">
        <v>4.5226331154785537</v>
      </c>
    </row>
    <row r="172" spans="4:16" x14ac:dyDescent="0.55000000000000004">
      <c r="D172">
        <v>165</v>
      </c>
      <c r="E172">
        <v>7.1753060458740858</v>
      </c>
      <c r="F172">
        <v>2.8246939541259146</v>
      </c>
      <c r="G172">
        <v>5.9954570776182869</v>
      </c>
      <c r="H172">
        <v>4.0045429223817139</v>
      </c>
      <c r="I172">
        <v>348.77392844172908</v>
      </c>
      <c r="J172">
        <v>4.8890239571875815</v>
      </c>
      <c r="K172">
        <v>326.26329933609497</v>
      </c>
      <c r="L172">
        <v>4.5294193296606071</v>
      </c>
      <c r="M172">
        <v>341.42438028369406</v>
      </c>
      <c r="N172">
        <v>4.9072719550815016</v>
      </c>
      <c r="O172">
        <v>324.02178217785627</v>
      </c>
      <c r="P172">
        <v>4.5460420080547195</v>
      </c>
    </row>
    <row r="173" spans="4:16" x14ac:dyDescent="0.55000000000000004">
      <c r="D173">
        <v>166</v>
      </c>
      <c r="E173">
        <v>7.4255152428840931</v>
      </c>
      <c r="F173">
        <v>2.5744847571159033</v>
      </c>
      <c r="G173">
        <v>7.192753648763313</v>
      </c>
      <c r="H173">
        <v>2.8072463512366865</v>
      </c>
      <c r="I173">
        <v>377.47444785566972</v>
      </c>
      <c r="J173">
        <v>4.6491698059961797</v>
      </c>
      <c r="K173">
        <v>352.51630626973747</v>
      </c>
      <c r="L173">
        <v>4.3055989995367803</v>
      </c>
      <c r="M173">
        <v>415.64206298420299</v>
      </c>
      <c r="N173">
        <v>4.660166995086902</v>
      </c>
      <c r="O173">
        <v>391.74644790482137</v>
      </c>
      <c r="P173">
        <v>4.3156086611735391</v>
      </c>
    </row>
    <row r="174" spans="4:16" x14ac:dyDescent="0.55000000000000004">
      <c r="D174">
        <v>167</v>
      </c>
      <c r="E174">
        <v>5.4882466130771954</v>
      </c>
      <c r="F174">
        <v>4.5117533869228046</v>
      </c>
      <c r="G174">
        <v>6.8745159680357313</v>
      </c>
      <c r="H174">
        <v>3.1254840319642714</v>
      </c>
      <c r="I174">
        <v>275.0610472071258</v>
      </c>
      <c r="J174">
        <v>4.8986929881579471</v>
      </c>
      <c r="K174">
        <v>259.45582293727364</v>
      </c>
      <c r="L174">
        <v>4.5376732442425896</v>
      </c>
      <c r="M174">
        <v>394.53837345873285</v>
      </c>
      <c r="N174">
        <v>4.8731039766101745</v>
      </c>
      <c r="O174">
        <v>372.81046048885213</v>
      </c>
      <c r="P174">
        <v>4.5143392640885267</v>
      </c>
    </row>
    <row r="175" spans="4:16" x14ac:dyDescent="0.55000000000000004">
      <c r="D175">
        <v>168</v>
      </c>
      <c r="E175">
        <v>6.2942906857505765</v>
      </c>
      <c r="F175">
        <v>3.7057093142494235</v>
      </c>
      <c r="G175">
        <v>6.2089462046097275</v>
      </c>
      <c r="H175">
        <v>3.7910537953902725</v>
      </c>
      <c r="I175">
        <v>317.79233982193398</v>
      </c>
      <c r="J175">
        <v>4.8532752409076716</v>
      </c>
      <c r="K175">
        <v>297.976599131162</v>
      </c>
      <c r="L175">
        <v>4.4956569075380015</v>
      </c>
      <c r="M175">
        <v>363.48338370491842</v>
      </c>
      <c r="N175">
        <v>4.8552646864322639</v>
      </c>
      <c r="O175">
        <v>344.03360861977825</v>
      </c>
      <c r="P175">
        <v>4.4974773867012505</v>
      </c>
    </row>
    <row r="176" spans="4:16" x14ac:dyDescent="0.55000000000000004">
      <c r="D176">
        <v>169</v>
      </c>
      <c r="E176">
        <v>5.6934522557401497</v>
      </c>
      <c r="F176">
        <v>4.3065477442598512</v>
      </c>
      <c r="G176">
        <v>5.7035190356751251</v>
      </c>
      <c r="H176">
        <v>4.2964809643248776</v>
      </c>
      <c r="I176">
        <v>290.66092402697041</v>
      </c>
      <c r="J176">
        <v>4.8755871053771038</v>
      </c>
      <c r="K176">
        <v>274.08071421354509</v>
      </c>
      <c r="L176">
        <v>4.5159167436216805</v>
      </c>
      <c r="M176">
        <v>341.17485115350883</v>
      </c>
      <c r="N176">
        <v>4.875367126851776</v>
      </c>
      <c r="O176">
        <v>324.54990361605667</v>
      </c>
      <c r="P176">
        <v>4.515715914384355</v>
      </c>
    </row>
    <row r="177" spans="4:16" x14ac:dyDescent="0.55000000000000004">
      <c r="D177">
        <v>170</v>
      </c>
      <c r="E177">
        <v>6.1218332614219273</v>
      </c>
      <c r="F177">
        <v>3.878166738578074</v>
      </c>
      <c r="G177">
        <v>7.3246565961284649</v>
      </c>
      <c r="H177">
        <v>2.6753434038715347</v>
      </c>
      <c r="I177">
        <v>303.53753888961592</v>
      </c>
      <c r="J177">
        <v>4.8378151209579414</v>
      </c>
      <c r="K177">
        <v>285.59648079699161</v>
      </c>
      <c r="L177">
        <v>4.4806340472754265</v>
      </c>
      <c r="M177">
        <v>413.17686899626767</v>
      </c>
      <c r="N177">
        <v>4.8059488892724609</v>
      </c>
      <c r="O177">
        <v>389.760408192699</v>
      </c>
      <c r="P177">
        <v>4.4516934093390086</v>
      </c>
    </row>
    <row r="178" spans="4:16" x14ac:dyDescent="0.55000000000000004">
      <c r="D178">
        <v>171</v>
      </c>
      <c r="E178">
        <v>5.8710157225914053</v>
      </c>
      <c r="F178">
        <v>4.1289842774085947</v>
      </c>
      <c r="G178">
        <v>5.3048829594907785</v>
      </c>
      <c r="H178">
        <v>4.6951170405092215</v>
      </c>
      <c r="I178">
        <v>316.37303494383082</v>
      </c>
      <c r="J178">
        <v>4.8177762831167819</v>
      </c>
      <c r="K178">
        <v>297.91787578569762</v>
      </c>
      <c r="L178">
        <v>4.4616387745557926</v>
      </c>
      <c r="M178">
        <v>335.8656834213204</v>
      </c>
      <c r="N178">
        <v>4.8353478280105557</v>
      </c>
      <c r="O178">
        <v>320.02567378980348</v>
      </c>
      <c r="P178">
        <v>4.4777040524346479</v>
      </c>
    </row>
    <row r="179" spans="4:16" x14ac:dyDescent="0.55000000000000004">
      <c r="D179">
        <v>172</v>
      </c>
      <c r="E179">
        <v>5.8624172504686651</v>
      </c>
      <c r="F179">
        <v>4.137582749531334</v>
      </c>
      <c r="G179">
        <v>6.0773152013065141</v>
      </c>
      <c r="H179">
        <v>3.9226847986934845</v>
      </c>
      <c r="I179">
        <v>301.76942274440984</v>
      </c>
      <c r="J179">
        <v>4.9344569504765259</v>
      </c>
      <c r="K179">
        <v>284.29136896703534</v>
      </c>
      <c r="L179">
        <v>4.5714858471740394</v>
      </c>
      <c r="M179">
        <v>362.83134955763853</v>
      </c>
      <c r="N179">
        <v>4.9320543464938202</v>
      </c>
      <c r="O179">
        <v>344.37529478712349</v>
      </c>
      <c r="P179">
        <v>4.5692956608940438</v>
      </c>
    </row>
    <row r="180" spans="4:16" x14ac:dyDescent="0.55000000000000004">
      <c r="D180">
        <v>173</v>
      </c>
      <c r="E180">
        <v>4.9515915828744124</v>
      </c>
      <c r="F180">
        <v>5.0484084171255885</v>
      </c>
      <c r="G180">
        <v>5.2409055476964452</v>
      </c>
      <c r="H180">
        <v>4.7590944523035548</v>
      </c>
      <c r="I180">
        <v>249.21884406488931</v>
      </c>
      <c r="J180">
        <v>4.8783229024130339</v>
      </c>
      <c r="K180">
        <v>235.77916555774584</v>
      </c>
      <c r="L180">
        <v>4.5181173464933355</v>
      </c>
      <c r="M180">
        <v>313.7803220620147</v>
      </c>
      <c r="N180">
        <v>4.8712134946717587</v>
      </c>
      <c r="O180">
        <v>299.14424383284944</v>
      </c>
      <c r="P180">
        <v>4.5115920616994059</v>
      </c>
    </row>
    <row r="181" spans="4:16" x14ac:dyDescent="0.55000000000000004">
      <c r="D181">
        <v>174</v>
      </c>
      <c r="E181">
        <v>6.7565433337251992</v>
      </c>
      <c r="F181">
        <v>3.2434566662747999</v>
      </c>
      <c r="G181">
        <v>6.1716632570738366</v>
      </c>
      <c r="H181">
        <v>3.8283367429261626</v>
      </c>
      <c r="I181">
        <v>342.64725032170145</v>
      </c>
      <c r="J181">
        <v>4.7153831158572794</v>
      </c>
      <c r="K181">
        <v>320.81786810711935</v>
      </c>
      <c r="L181">
        <v>4.36674823452935</v>
      </c>
      <c r="M181">
        <v>362.98599601845387</v>
      </c>
      <c r="N181">
        <v>4.7400209723456346</v>
      </c>
      <c r="O181">
        <v>343.72547415766314</v>
      </c>
      <c r="P181">
        <v>4.389252290063494</v>
      </c>
    </row>
    <row r="182" spans="4:16" x14ac:dyDescent="0.55000000000000004">
      <c r="D182">
        <v>175</v>
      </c>
      <c r="E182">
        <v>5.6971276895156926</v>
      </c>
      <c r="F182">
        <v>4.3028723104843065</v>
      </c>
      <c r="G182">
        <v>6.6521388489084021</v>
      </c>
      <c r="H182">
        <v>3.3478611510915974</v>
      </c>
      <c r="I182">
        <v>286.00213047784661</v>
      </c>
      <c r="J182">
        <v>4.9843964114461166</v>
      </c>
      <c r="K182">
        <v>269.20353728762007</v>
      </c>
      <c r="L182">
        <v>4.6185456392201072</v>
      </c>
      <c r="M182">
        <v>383.94475018059239</v>
      </c>
      <c r="N182">
        <v>4.9817807773919682</v>
      </c>
      <c r="O182">
        <v>362.99321661040608</v>
      </c>
      <c r="P182">
        <v>4.6161565796074466</v>
      </c>
    </row>
    <row r="183" spans="4:16" x14ac:dyDescent="0.55000000000000004">
      <c r="D183">
        <v>176</v>
      </c>
      <c r="E183">
        <v>6.5931709350650349</v>
      </c>
      <c r="F183">
        <v>3.4068290649349655</v>
      </c>
      <c r="G183">
        <v>5.8835682515340091</v>
      </c>
      <c r="H183">
        <v>4.1164317484659936</v>
      </c>
      <c r="I183">
        <v>315.843772445215</v>
      </c>
      <c r="J183">
        <v>4.7467551150743708</v>
      </c>
      <c r="K183">
        <v>296.20127041768541</v>
      </c>
      <c r="L183">
        <v>4.3957372939653876</v>
      </c>
      <c r="M183">
        <v>331.85047988370837</v>
      </c>
      <c r="N183">
        <v>4.7740110821505475</v>
      </c>
      <c r="O183">
        <v>315.18993421584975</v>
      </c>
      <c r="P183">
        <v>4.4206023157039001</v>
      </c>
    </row>
    <row r="184" spans="4:16" x14ac:dyDescent="0.55000000000000004">
      <c r="D184">
        <v>177</v>
      </c>
      <c r="E184">
        <v>6.2893722092865847</v>
      </c>
      <c r="F184">
        <v>3.7106277907134158</v>
      </c>
      <c r="G184">
        <v>5.4286588486104277</v>
      </c>
      <c r="H184">
        <v>4.5713411513895732</v>
      </c>
      <c r="I184">
        <v>325.19197965401628</v>
      </c>
      <c r="J184">
        <v>4.934403995463132</v>
      </c>
      <c r="K184">
        <v>305.70501274805679</v>
      </c>
      <c r="L184">
        <v>4.5715675401827749</v>
      </c>
      <c r="M184">
        <v>330.68879676723168</v>
      </c>
      <c r="N184">
        <v>4.9433809419107417</v>
      </c>
      <c r="O184">
        <v>315.12036106827264</v>
      </c>
      <c r="P184">
        <v>4.5797540612604068</v>
      </c>
    </row>
    <row r="185" spans="4:16" x14ac:dyDescent="0.55000000000000004">
      <c r="D185">
        <v>178</v>
      </c>
      <c r="E185">
        <v>7.578449594845666</v>
      </c>
      <c r="F185">
        <v>2.4215504051543366</v>
      </c>
      <c r="G185">
        <v>6.8240376247594421</v>
      </c>
      <c r="H185">
        <v>3.1759623752405579</v>
      </c>
      <c r="I185">
        <v>366.27278939553918</v>
      </c>
      <c r="J185">
        <v>4.7676365852513927</v>
      </c>
      <c r="K185">
        <v>342.05753200885107</v>
      </c>
      <c r="L185">
        <v>4.4162314786263126</v>
      </c>
      <c r="M185">
        <v>379.81142969674283</v>
      </c>
      <c r="N185">
        <v>4.790767667579324</v>
      </c>
      <c r="O185">
        <v>358.92103914677466</v>
      </c>
      <c r="P185">
        <v>4.4372532658219468</v>
      </c>
    </row>
    <row r="186" spans="4:16" x14ac:dyDescent="0.55000000000000004">
      <c r="D186">
        <v>179</v>
      </c>
      <c r="E186">
        <v>7.1062221569769557</v>
      </c>
      <c r="F186">
        <v>2.893777843023047</v>
      </c>
      <c r="G186">
        <v>5.7886919604948579</v>
      </c>
      <c r="H186">
        <v>4.2113080395051412</v>
      </c>
      <c r="I186">
        <v>324.3235243052826</v>
      </c>
      <c r="J186">
        <v>4.9962865012975994</v>
      </c>
      <c r="K186">
        <v>303.55962125720907</v>
      </c>
      <c r="L186">
        <v>4.629756984547047</v>
      </c>
      <c r="M186">
        <v>314.19227210650746</v>
      </c>
      <c r="N186">
        <v>4.9969750030875693</v>
      </c>
      <c r="O186">
        <v>298.7956943240863</v>
      </c>
      <c r="P186">
        <v>4.6303840305562431</v>
      </c>
    </row>
    <row r="187" spans="4:16" x14ac:dyDescent="0.55000000000000004">
      <c r="D187">
        <v>180</v>
      </c>
      <c r="E187">
        <v>5.4181888508110401</v>
      </c>
      <c r="F187">
        <v>4.5818111491889599</v>
      </c>
      <c r="G187">
        <v>6.0083371748153658</v>
      </c>
      <c r="H187">
        <v>3.9916628251846338</v>
      </c>
      <c r="I187">
        <v>267.30149495808269</v>
      </c>
      <c r="J187">
        <v>4.9142940489977933</v>
      </c>
      <c r="K187">
        <v>251.90661314934465</v>
      </c>
      <c r="L187">
        <v>4.5524629086527097</v>
      </c>
      <c r="M187">
        <v>346.41593404407911</v>
      </c>
      <c r="N187">
        <v>4.9049589695581792</v>
      </c>
      <c r="O187">
        <v>328.57333133180305</v>
      </c>
      <c r="P187">
        <v>4.5439126517890358</v>
      </c>
    </row>
    <row r="188" spans="4:16" x14ac:dyDescent="0.55000000000000004">
      <c r="D188">
        <v>181</v>
      </c>
      <c r="E188">
        <v>8.0474075027674523</v>
      </c>
      <c r="F188">
        <v>1.9525924972325464</v>
      </c>
      <c r="G188">
        <v>5.8136671758622391</v>
      </c>
      <c r="H188">
        <v>4.1863328241377591</v>
      </c>
      <c r="I188">
        <v>390.43328397866401</v>
      </c>
      <c r="J188">
        <v>4.9108715992132561</v>
      </c>
      <c r="K188">
        <v>363.86566380056155</v>
      </c>
      <c r="L188">
        <v>4.5501692122513289</v>
      </c>
      <c r="M188">
        <v>332.05967780931593</v>
      </c>
      <c r="N188">
        <v>4.9356112067255458</v>
      </c>
      <c r="O188">
        <v>315.05002941262637</v>
      </c>
      <c r="P188">
        <v>4.5727269188484065</v>
      </c>
    </row>
    <row r="189" spans="4:16" x14ac:dyDescent="0.55000000000000004">
      <c r="D189">
        <v>182</v>
      </c>
      <c r="E189">
        <v>5.7590201603736206</v>
      </c>
      <c r="F189">
        <v>4.2409798396263776</v>
      </c>
      <c r="G189">
        <v>6.3693686702542731</v>
      </c>
      <c r="H189">
        <v>3.6306313297457278</v>
      </c>
      <c r="I189">
        <v>275.95099628161813</v>
      </c>
      <c r="J189">
        <v>4.9337483442152106</v>
      </c>
      <c r="K189">
        <v>259.94960692477162</v>
      </c>
      <c r="L189">
        <v>4.570822772429679</v>
      </c>
      <c r="M189">
        <v>355.19664479305521</v>
      </c>
      <c r="N189">
        <v>4.9267269068423047</v>
      </c>
      <c r="O189">
        <v>336.62710696260399</v>
      </c>
      <c r="P189">
        <v>4.5644179086186369</v>
      </c>
    </row>
    <row r="190" spans="4:16" x14ac:dyDescent="0.55000000000000004">
      <c r="D190">
        <v>183</v>
      </c>
      <c r="E190">
        <v>6.5401475072816151</v>
      </c>
      <c r="F190">
        <v>3.4598524927183845</v>
      </c>
      <c r="G190">
        <v>6.8316682433639491</v>
      </c>
      <c r="H190">
        <v>3.1683317566360518</v>
      </c>
      <c r="I190">
        <v>329.87681246962609</v>
      </c>
      <c r="J190">
        <v>4.9072585338528087</v>
      </c>
      <c r="K190">
        <v>309.64783257471947</v>
      </c>
      <c r="L190">
        <v>4.5461784399936738</v>
      </c>
      <c r="M190">
        <v>394.58075165151308</v>
      </c>
      <c r="N190">
        <v>4.9031246728892022</v>
      </c>
      <c r="O190">
        <v>373.01066787730014</v>
      </c>
      <c r="P190">
        <v>4.5424216165644467</v>
      </c>
    </row>
    <row r="191" spans="4:16" x14ac:dyDescent="0.55000000000000004">
      <c r="D191">
        <v>184</v>
      </c>
      <c r="E191">
        <v>6.9899923996571527</v>
      </c>
      <c r="F191">
        <v>3.0100076003428482</v>
      </c>
      <c r="G191">
        <v>7.1486113441047863</v>
      </c>
      <c r="H191">
        <v>2.8513886558952133</v>
      </c>
      <c r="I191">
        <v>353.74603497115663</v>
      </c>
      <c r="J191">
        <v>4.9657356992776158</v>
      </c>
      <c r="K191">
        <v>331.19843559550338</v>
      </c>
      <c r="L191">
        <v>4.6011524259803096</v>
      </c>
      <c r="M191">
        <v>411.77334307987689</v>
      </c>
      <c r="N191">
        <v>4.964958163780854</v>
      </c>
      <c r="O191">
        <v>388.49242809151292</v>
      </c>
      <c r="P191">
        <v>4.6004459203869095</v>
      </c>
    </row>
    <row r="192" spans="4:16" x14ac:dyDescent="0.55000000000000004">
      <c r="D192">
        <v>185</v>
      </c>
      <c r="E192">
        <v>6.17529611795013</v>
      </c>
      <c r="F192">
        <v>3.8247038820498691</v>
      </c>
      <c r="G192">
        <v>6.2934070470803141</v>
      </c>
      <c r="H192">
        <v>3.7065929529196873</v>
      </c>
      <c r="I192">
        <v>291.44811630907179</v>
      </c>
      <c r="J192">
        <v>4.9089960731682911</v>
      </c>
      <c r="K192">
        <v>273.83846603513666</v>
      </c>
      <c r="L192">
        <v>4.5477273782236551</v>
      </c>
      <c r="M192">
        <v>347.02245754761515</v>
      </c>
      <c r="N192">
        <v>4.907255499413238</v>
      </c>
      <c r="O192">
        <v>328.92382730855974</v>
      </c>
      <c r="P192">
        <v>4.5461394872086078</v>
      </c>
    </row>
    <row r="193" spans="4:16" x14ac:dyDescent="0.55000000000000004">
      <c r="D193">
        <v>186</v>
      </c>
      <c r="E193">
        <v>6.0692858096656712</v>
      </c>
      <c r="F193">
        <v>3.9307141903343288</v>
      </c>
      <c r="G193">
        <v>7.1090068981918169</v>
      </c>
      <c r="H193">
        <v>2.8909931018081827</v>
      </c>
      <c r="I193">
        <v>296.00493219225461</v>
      </c>
      <c r="J193">
        <v>4.9223276165036998</v>
      </c>
      <c r="K193">
        <v>278.19046316492137</v>
      </c>
      <c r="L193">
        <v>4.5602349115812943</v>
      </c>
      <c r="M193">
        <v>396.71313410588169</v>
      </c>
      <c r="N193">
        <v>4.9090216662403945</v>
      </c>
      <c r="O193">
        <v>374.39347530072666</v>
      </c>
      <c r="P193">
        <v>4.5481111336066569</v>
      </c>
    </row>
    <row r="194" spans="4:16" x14ac:dyDescent="0.55000000000000004">
      <c r="D194">
        <v>187</v>
      </c>
      <c r="E194">
        <v>7.4306991441992656</v>
      </c>
      <c r="F194">
        <v>2.5693008558007353</v>
      </c>
      <c r="G194">
        <v>6.5603133100434299</v>
      </c>
      <c r="H194">
        <v>3.4396866899565701</v>
      </c>
      <c r="I194">
        <v>377.31643180951414</v>
      </c>
      <c r="J194">
        <v>4.7916460261605742</v>
      </c>
      <c r="K194">
        <v>352.4390055765345</v>
      </c>
      <c r="L194">
        <v>4.4386160673113553</v>
      </c>
      <c r="M194">
        <v>383.11993416264062</v>
      </c>
      <c r="N194">
        <v>4.8160513134425216</v>
      </c>
      <c r="O194">
        <v>362.18579665997197</v>
      </c>
      <c r="P194">
        <v>4.4608438722265369</v>
      </c>
    </row>
    <row r="195" spans="4:16" x14ac:dyDescent="0.55000000000000004">
      <c r="D195">
        <v>188</v>
      </c>
      <c r="E195">
        <v>5.9888944796394696</v>
      </c>
      <c r="F195">
        <v>4.0111055203605304</v>
      </c>
      <c r="G195">
        <v>6.8056390769357966</v>
      </c>
      <c r="H195">
        <v>3.1943609230642047</v>
      </c>
      <c r="I195">
        <v>310.41213033521694</v>
      </c>
      <c r="J195">
        <v>4.8238968260319863</v>
      </c>
      <c r="K195">
        <v>292.05414141156382</v>
      </c>
      <c r="L195">
        <v>4.4675444269395701</v>
      </c>
      <c r="M195">
        <v>402.74505692934093</v>
      </c>
      <c r="N195">
        <v>4.7998804877254599</v>
      </c>
      <c r="O195">
        <v>380.60879434293616</v>
      </c>
      <c r="P195">
        <v>4.4456715808458398</v>
      </c>
    </row>
    <row r="196" spans="4:16" x14ac:dyDescent="0.55000000000000004">
      <c r="D196">
        <v>189</v>
      </c>
      <c r="E196">
        <v>6.8742213536566403</v>
      </c>
      <c r="F196">
        <v>3.1257786463433588</v>
      </c>
      <c r="G196">
        <v>7.296994840625076</v>
      </c>
      <c r="H196">
        <v>2.7030051593749227</v>
      </c>
      <c r="I196">
        <v>331.72291415625261</v>
      </c>
      <c r="J196">
        <v>4.811109447991849</v>
      </c>
      <c r="K196">
        <v>310.60996723357516</v>
      </c>
      <c r="L196">
        <v>4.45636437580972</v>
      </c>
      <c r="M196">
        <v>402.12430158765528</v>
      </c>
      <c r="N196">
        <v>4.7994924352104089</v>
      </c>
      <c r="O196">
        <v>379.16538058043653</v>
      </c>
      <c r="P196">
        <v>4.4457985025454532</v>
      </c>
    </row>
    <row r="197" spans="4:16" x14ac:dyDescent="0.55000000000000004">
      <c r="D197">
        <v>190</v>
      </c>
      <c r="E197">
        <v>7.4276882054313882</v>
      </c>
      <c r="F197">
        <v>2.5723117945686105</v>
      </c>
      <c r="G197">
        <v>6.5554779121977109</v>
      </c>
      <c r="H197">
        <v>3.4445220878022882</v>
      </c>
      <c r="I197">
        <v>369.91485616850059</v>
      </c>
      <c r="J197">
        <v>4.8186530259144869</v>
      </c>
      <c r="K197">
        <v>345.57264404037409</v>
      </c>
      <c r="L197">
        <v>4.4638192833159263</v>
      </c>
      <c r="M197">
        <v>376.47690666837309</v>
      </c>
      <c r="N197">
        <v>4.8399480362958478</v>
      </c>
      <c r="O197">
        <v>356.02705059594979</v>
      </c>
      <c r="P197">
        <v>4.4832061059589599</v>
      </c>
    </row>
    <row r="198" spans="4:16" x14ac:dyDescent="0.55000000000000004">
      <c r="D198">
        <v>191</v>
      </c>
      <c r="E198">
        <v>7.6012105869883522</v>
      </c>
      <c r="F198">
        <v>2.3987894130116483</v>
      </c>
      <c r="G198">
        <v>5.0259015023334914</v>
      </c>
      <c r="H198">
        <v>4.9740984976665095</v>
      </c>
      <c r="I198">
        <v>361.84550840476214</v>
      </c>
      <c r="J198">
        <v>4.7724911573447431</v>
      </c>
      <c r="K198">
        <v>337.98042657745401</v>
      </c>
      <c r="L198">
        <v>4.420728964165491</v>
      </c>
      <c r="M198">
        <v>289.25134864927628</v>
      </c>
      <c r="N198">
        <v>4.8495717200556809</v>
      </c>
      <c r="O198">
        <v>276.19440430702127</v>
      </c>
      <c r="P198">
        <v>4.4910139558568405</v>
      </c>
    </row>
    <row r="199" spans="4:16" x14ac:dyDescent="0.55000000000000004">
      <c r="D199">
        <v>192</v>
      </c>
      <c r="E199">
        <v>7.2953457970369877</v>
      </c>
      <c r="F199">
        <v>2.7046542029630118</v>
      </c>
      <c r="G199">
        <v>5.7301087489298705</v>
      </c>
      <c r="H199">
        <v>4.2698912510701295</v>
      </c>
      <c r="I199">
        <v>351.9199126749993</v>
      </c>
      <c r="J199">
        <v>4.765255857807956</v>
      </c>
      <c r="K199">
        <v>329.103042520131</v>
      </c>
      <c r="L199">
        <v>4.413708326319064</v>
      </c>
      <c r="M199">
        <v>326.41450133325674</v>
      </c>
      <c r="N199">
        <v>4.8156208766031368</v>
      </c>
      <c r="O199">
        <v>310.33504617910972</v>
      </c>
      <c r="P199">
        <v>4.4595792296977166</v>
      </c>
    </row>
    <row r="200" spans="4:16" x14ac:dyDescent="0.55000000000000004">
      <c r="D200">
        <v>193</v>
      </c>
      <c r="E200">
        <v>6.0541578894054835</v>
      </c>
      <c r="F200">
        <v>3.9458421105945161</v>
      </c>
      <c r="G200">
        <v>6.746327301336521</v>
      </c>
      <c r="H200">
        <v>3.2536726986634781</v>
      </c>
      <c r="I200">
        <v>283.73298010858326</v>
      </c>
      <c r="J200">
        <v>4.9495084724890432</v>
      </c>
      <c r="K200">
        <v>266.90420751734405</v>
      </c>
      <c r="L200">
        <v>4.5857359632593635</v>
      </c>
      <c r="M200">
        <v>366.17205645491953</v>
      </c>
      <c r="N200">
        <v>4.9437357966614233</v>
      </c>
      <c r="O200">
        <v>346.43913694903671</v>
      </c>
      <c r="P200">
        <v>4.5804800931050957</v>
      </c>
    </row>
    <row r="201" spans="4:16" x14ac:dyDescent="0.55000000000000004">
      <c r="D201">
        <v>194</v>
      </c>
      <c r="E201">
        <v>6.9208466780213538</v>
      </c>
      <c r="F201">
        <v>3.079153321978648</v>
      </c>
      <c r="G201">
        <v>5.6850659500286103</v>
      </c>
      <c r="H201">
        <v>4.3149340499713915</v>
      </c>
      <c r="I201">
        <v>360.42846340686731</v>
      </c>
      <c r="J201">
        <v>4.7152661434147829</v>
      </c>
      <c r="K201">
        <v>337.96737637121885</v>
      </c>
      <c r="L201">
        <v>4.3662428505939124</v>
      </c>
      <c r="M201">
        <v>346.07065147718788</v>
      </c>
      <c r="N201">
        <v>4.7661079881983834</v>
      </c>
      <c r="O201">
        <v>329.49969122544235</v>
      </c>
      <c r="P201">
        <v>4.4124315708736823</v>
      </c>
    </row>
    <row r="202" spans="4:16" x14ac:dyDescent="0.55000000000000004">
      <c r="D202">
        <v>195</v>
      </c>
      <c r="E202">
        <v>6.1037614829643605</v>
      </c>
      <c r="F202">
        <v>3.8962385170356395</v>
      </c>
      <c r="G202">
        <v>7.2670407317031644</v>
      </c>
      <c r="H202">
        <v>2.7329592682968342</v>
      </c>
      <c r="I202">
        <v>282.39871034364273</v>
      </c>
      <c r="J202">
        <v>4.800396972187901</v>
      </c>
      <c r="K202">
        <v>265.28035695478337</v>
      </c>
      <c r="L202">
        <v>4.4457291806805266</v>
      </c>
      <c r="M202">
        <v>386.21938478025504</v>
      </c>
      <c r="N202">
        <v>4.7623558297075927</v>
      </c>
      <c r="O202">
        <v>364.3255587510381</v>
      </c>
      <c r="P202">
        <v>4.4110634034669003</v>
      </c>
    </row>
    <row r="203" spans="4:16" x14ac:dyDescent="0.55000000000000004">
      <c r="D203">
        <v>196</v>
      </c>
      <c r="E203">
        <v>7.0142711145631242</v>
      </c>
      <c r="F203">
        <v>2.985728885436878</v>
      </c>
      <c r="G203">
        <v>5.9788855195129447</v>
      </c>
      <c r="H203">
        <v>4.0211144804870544</v>
      </c>
      <c r="I203">
        <v>329.02551122468407</v>
      </c>
      <c r="J203">
        <v>4.7803375061089985</v>
      </c>
      <c r="K203">
        <v>307.79906055919776</v>
      </c>
      <c r="L203">
        <v>4.4277413480983823</v>
      </c>
      <c r="M203">
        <v>330.45763166001223</v>
      </c>
      <c r="N203">
        <v>4.8127621698028982</v>
      </c>
      <c r="O203">
        <v>313.45729520701587</v>
      </c>
      <c r="P203">
        <v>4.4573445929183197</v>
      </c>
    </row>
    <row r="204" spans="4:16" x14ac:dyDescent="0.55000000000000004">
      <c r="D204">
        <v>197</v>
      </c>
      <c r="E204">
        <v>6.2418109982291146</v>
      </c>
      <c r="F204">
        <v>3.7581890017708859</v>
      </c>
      <c r="G204">
        <v>5.8045718535268804</v>
      </c>
      <c r="H204">
        <v>4.1954281464731196</v>
      </c>
      <c r="I204">
        <v>332.68296659688161</v>
      </c>
      <c r="J204">
        <v>4.8263364359943104</v>
      </c>
      <c r="K204">
        <v>312.53633650895694</v>
      </c>
      <c r="L204">
        <v>4.4700858988531387</v>
      </c>
      <c r="M204">
        <v>359.37850963509726</v>
      </c>
      <c r="N204">
        <v>4.838501576562221</v>
      </c>
      <c r="O204">
        <v>341.2595558806413</v>
      </c>
      <c r="P204">
        <v>4.4811925737523008</v>
      </c>
    </row>
    <row r="205" spans="4:16" x14ac:dyDescent="0.55000000000000004">
      <c r="D205">
        <v>198</v>
      </c>
      <c r="E205">
        <v>6.2954270752362786</v>
      </c>
      <c r="F205">
        <v>3.7045729247637222</v>
      </c>
      <c r="G205">
        <v>5.2467539757800896</v>
      </c>
      <c r="H205">
        <v>4.7532460242199113</v>
      </c>
      <c r="I205">
        <v>304.36840698357167</v>
      </c>
      <c r="J205">
        <v>4.7670310239707137</v>
      </c>
      <c r="K205">
        <v>286.04762213150536</v>
      </c>
      <c r="L205">
        <v>4.4142868144978307</v>
      </c>
      <c r="M205">
        <v>303.66764325245896</v>
      </c>
      <c r="N205">
        <v>4.8058382876003378</v>
      </c>
      <c r="O205">
        <v>289.75900213093087</v>
      </c>
      <c r="P205">
        <v>4.4497169450761485</v>
      </c>
    </row>
    <row r="206" spans="4:16" x14ac:dyDescent="0.55000000000000004">
      <c r="D206">
        <v>199</v>
      </c>
      <c r="E206">
        <v>7.3927956247976745</v>
      </c>
      <c r="F206">
        <v>2.6072043752023255</v>
      </c>
      <c r="G206">
        <v>5.9845506722691511</v>
      </c>
      <c r="H206">
        <v>4.0154493277308498</v>
      </c>
      <c r="I206">
        <v>365.44794988634931</v>
      </c>
      <c r="J206">
        <v>4.8495691278335098</v>
      </c>
      <c r="K206">
        <v>341.4168258646917</v>
      </c>
      <c r="L206">
        <v>4.4926938971136012</v>
      </c>
      <c r="M206">
        <v>345.83419928933711</v>
      </c>
      <c r="N206">
        <v>4.8782245279263154</v>
      </c>
      <c r="O206">
        <v>327.93188837301881</v>
      </c>
      <c r="P206">
        <v>4.5188264681658605</v>
      </c>
    </row>
    <row r="207" spans="4:16" x14ac:dyDescent="0.55000000000000004">
      <c r="D207">
        <v>200</v>
      </c>
      <c r="E207">
        <v>7.7476708348075434</v>
      </c>
      <c r="F207">
        <v>2.2523291651924562</v>
      </c>
      <c r="G207">
        <v>5.3527319302544774</v>
      </c>
      <c r="H207">
        <v>4.6472680697455226</v>
      </c>
      <c r="I207">
        <v>384.89006699640152</v>
      </c>
      <c r="J207">
        <v>4.9586414098921665</v>
      </c>
      <c r="K207">
        <v>359.25618064459405</v>
      </c>
      <c r="L207">
        <v>4.5946286512536041</v>
      </c>
      <c r="M207">
        <v>315.913897889623</v>
      </c>
      <c r="N207">
        <v>4.9714260646095187</v>
      </c>
      <c r="O207">
        <v>300.83693438801561</v>
      </c>
      <c r="P207">
        <v>4.6062789055735411</v>
      </c>
    </row>
    <row r="208" spans="4:16" x14ac:dyDescent="0.55000000000000004">
      <c r="D208">
        <v>201</v>
      </c>
      <c r="E208">
        <v>6.7480533520793013</v>
      </c>
      <c r="F208">
        <v>3.2519466479206982</v>
      </c>
      <c r="G208">
        <v>6.7702281648209537</v>
      </c>
      <c r="H208">
        <v>3.2297718351790441</v>
      </c>
      <c r="I208">
        <v>324.37969662158986</v>
      </c>
      <c r="J208">
        <v>4.7897300684251309</v>
      </c>
      <c r="K208">
        <v>303.91010689953293</v>
      </c>
      <c r="L208">
        <v>4.4362316359022884</v>
      </c>
      <c r="M208">
        <v>375.44564240691199</v>
      </c>
      <c r="N208">
        <v>4.7890390993241763</v>
      </c>
      <c r="O208">
        <v>354.88083106458572</v>
      </c>
      <c r="P208">
        <v>4.4356023915140312</v>
      </c>
    </row>
    <row r="209" spans="4:16" x14ac:dyDescent="0.55000000000000004">
      <c r="D209">
        <v>202</v>
      </c>
      <c r="E209">
        <v>7.3671020638984244</v>
      </c>
      <c r="F209">
        <v>2.6328979361015743</v>
      </c>
      <c r="G209">
        <v>6.596588456187698</v>
      </c>
      <c r="H209">
        <v>3.4034115438123029</v>
      </c>
      <c r="I209">
        <v>356.63267069764549</v>
      </c>
      <c r="J209">
        <v>4.7879851880325246</v>
      </c>
      <c r="K209">
        <v>333.56847095083413</v>
      </c>
      <c r="L209">
        <v>4.4349293775892349</v>
      </c>
      <c r="M209">
        <v>369.33302107376824</v>
      </c>
      <c r="N209">
        <v>4.8101594834665047</v>
      </c>
      <c r="O209">
        <v>349.72740307716816</v>
      </c>
      <c r="P209">
        <v>4.4550475782800989</v>
      </c>
    </row>
    <row r="210" spans="4:16" x14ac:dyDescent="0.55000000000000004">
      <c r="D210">
        <v>203</v>
      </c>
      <c r="E210">
        <v>6.7722946421240291</v>
      </c>
      <c r="F210">
        <v>3.2277053578759722</v>
      </c>
      <c r="G210">
        <v>6.9683082221243051</v>
      </c>
      <c r="H210">
        <v>3.031691777875694</v>
      </c>
      <c r="I210">
        <v>349.46962484540592</v>
      </c>
      <c r="J210">
        <v>4.9300319283505107</v>
      </c>
      <c r="K210">
        <v>327.40292397235896</v>
      </c>
      <c r="L210">
        <v>4.5676826873200689</v>
      </c>
      <c r="M210">
        <v>409.58448190452179</v>
      </c>
      <c r="N210">
        <v>4.9280068108778545</v>
      </c>
      <c r="O210">
        <v>386.60826106336009</v>
      </c>
      <c r="P210">
        <v>4.5658396668131331</v>
      </c>
    </row>
    <row r="211" spans="4:16" x14ac:dyDescent="0.55000000000000004">
      <c r="D211">
        <v>204</v>
      </c>
      <c r="E211">
        <v>7.3049743080657015</v>
      </c>
      <c r="F211">
        <v>2.6950256919343003</v>
      </c>
      <c r="G211">
        <v>7.5134798270531675</v>
      </c>
      <c r="H211">
        <v>2.4865201729468338</v>
      </c>
      <c r="I211">
        <v>370.05653730578149</v>
      </c>
      <c r="J211">
        <v>4.9240975876563251</v>
      </c>
      <c r="K211">
        <v>346.02448216675361</v>
      </c>
      <c r="L211">
        <v>4.5622595469389413</v>
      </c>
      <c r="M211">
        <v>430.61904267701232</v>
      </c>
      <c r="N211">
        <v>4.921931108869309</v>
      </c>
      <c r="O211">
        <v>405.60910948589731</v>
      </c>
      <c r="P211">
        <v>4.5602936410256607</v>
      </c>
    </row>
    <row r="212" spans="4:16" x14ac:dyDescent="0.55000000000000004">
      <c r="D212">
        <v>205</v>
      </c>
      <c r="E212">
        <v>6.9424894650108877</v>
      </c>
      <c r="F212">
        <v>3.0575105349891123</v>
      </c>
      <c r="G212">
        <v>6.3573741260197805</v>
      </c>
      <c r="H212">
        <v>3.6426258739802186</v>
      </c>
      <c r="I212">
        <v>352.11171508818848</v>
      </c>
      <c r="J212">
        <v>4.8372723170233618</v>
      </c>
      <c r="K212">
        <v>329.66542379717146</v>
      </c>
      <c r="L212">
        <v>4.4808785598994447</v>
      </c>
      <c r="M212">
        <v>372.43562172500719</v>
      </c>
      <c r="N212">
        <v>4.8509870606852692</v>
      </c>
      <c r="O212">
        <v>352.63441261619624</v>
      </c>
      <c r="P212">
        <v>4.4933708844359739</v>
      </c>
    </row>
    <row r="213" spans="4:16" x14ac:dyDescent="0.55000000000000004">
      <c r="D213">
        <v>206</v>
      </c>
      <c r="E213">
        <v>5.5704716441471112</v>
      </c>
      <c r="F213">
        <v>4.4295283558528906</v>
      </c>
      <c r="G213">
        <v>5.7012003049951332</v>
      </c>
      <c r="H213">
        <v>4.2987996950048677</v>
      </c>
      <c r="I213">
        <v>267.89653516638089</v>
      </c>
      <c r="J213">
        <v>4.9193100507614727</v>
      </c>
      <c r="K213">
        <v>252.75874292808879</v>
      </c>
      <c r="L213">
        <v>4.5571022631778195</v>
      </c>
      <c r="M213">
        <v>324.18357108100099</v>
      </c>
      <c r="N213">
        <v>4.9174164069765807</v>
      </c>
      <c r="O213">
        <v>308.50181450129486</v>
      </c>
      <c r="P213">
        <v>4.5553724604633956</v>
      </c>
    </row>
    <row r="214" spans="4:16" x14ac:dyDescent="0.55000000000000004">
      <c r="D214">
        <v>207</v>
      </c>
      <c r="E214">
        <v>7.0720432339576673</v>
      </c>
      <c r="F214">
        <v>2.9279567660423336</v>
      </c>
      <c r="G214">
        <v>4.9183140311916844</v>
      </c>
      <c r="H214">
        <v>5.0816859688083174</v>
      </c>
      <c r="I214">
        <v>351.46156112342686</v>
      </c>
      <c r="J214">
        <v>4.7716873792238976</v>
      </c>
      <c r="K214">
        <v>328.75125589894191</v>
      </c>
      <c r="L214">
        <v>4.4196729365898122</v>
      </c>
      <c r="M214">
        <v>294.42700225554523</v>
      </c>
      <c r="N214">
        <v>4.8412180003553456</v>
      </c>
      <c r="O214">
        <v>280.77786373755288</v>
      </c>
      <c r="P214">
        <v>4.4833173415688146</v>
      </c>
    </row>
    <row r="215" spans="4:16" x14ac:dyDescent="0.55000000000000004">
      <c r="D215">
        <v>208</v>
      </c>
      <c r="E215">
        <v>7.8451053635078978</v>
      </c>
      <c r="F215">
        <v>2.1548946364921013</v>
      </c>
      <c r="G215">
        <v>6.4771259073923746</v>
      </c>
      <c r="H215">
        <v>3.5228740926076241</v>
      </c>
      <c r="I215">
        <v>377.02808628809828</v>
      </c>
      <c r="J215">
        <v>4.7555815424229868</v>
      </c>
      <c r="K215">
        <v>351.64131699841266</v>
      </c>
      <c r="L215">
        <v>4.4052719259184423</v>
      </c>
      <c r="M215">
        <v>361.28433237756479</v>
      </c>
      <c r="N215">
        <v>4.7982016747434644</v>
      </c>
      <c r="O215">
        <v>341.79134729911425</v>
      </c>
      <c r="P215">
        <v>4.4440712562918172</v>
      </c>
    </row>
    <row r="216" spans="4:16" x14ac:dyDescent="0.55000000000000004">
      <c r="D216">
        <v>209</v>
      </c>
      <c r="E216">
        <v>5.6738828005016613</v>
      </c>
      <c r="F216">
        <v>4.3261171994983378</v>
      </c>
      <c r="G216">
        <v>5.6366508127721549</v>
      </c>
      <c r="H216">
        <v>4.3633491872278451</v>
      </c>
      <c r="I216">
        <v>283.03617115034973</v>
      </c>
      <c r="J216">
        <v>4.8902512223173238</v>
      </c>
      <c r="K216">
        <v>266.614473701164</v>
      </c>
      <c r="L216">
        <v>4.5298515595888071</v>
      </c>
      <c r="M216">
        <v>331.17888935201154</v>
      </c>
      <c r="N216">
        <v>4.8909713931928405</v>
      </c>
      <c r="O216">
        <v>314.91499506902403</v>
      </c>
      <c r="P216">
        <v>4.5305105414490301</v>
      </c>
    </row>
    <row r="217" spans="4:16" x14ac:dyDescent="0.55000000000000004">
      <c r="D217">
        <v>210</v>
      </c>
      <c r="E217">
        <v>5.9158897654869005</v>
      </c>
      <c r="F217">
        <v>4.0841102345131004</v>
      </c>
      <c r="G217">
        <v>5.5607425407201809</v>
      </c>
      <c r="H217">
        <v>4.4392574592798191</v>
      </c>
      <c r="I217">
        <v>284.03716557731269</v>
      </c>
      <c r="J217">
        <v>4.8787489116712832</v>
      </c>
      <c r="K217">
        <v>267.20755709624257</v>
      </c>
      <c r="L217">
        <v>4.5191659490707856</v>
      </c>
      <c r="M217">
        <v>316.98562893883627</v>
      </c>
      <c r="N217">
        <v>4.8860279498594368</v>
      </c>
      <c r="O217">
        <v>301.60928163371921</v>
      </c>
      <c r="P217">
        <v>4.5258246124609718</v>
      </c>
    </row>
    <row r="218" spans="4:16" x14ac:dyDescent="0.55000000000000004">
      <c r="D218">
        <v>211</v>
      </c>
      <c r="E218">
        <v>7.2232016941186474</v>
      </c>
      <c r="F218">
        <v>2.7767983058813512</v>
      </c>
      <c r="G218">
        <v>5.7087959112095366</v>
      </c>
      <c r="H218">
        <v>4.2912040887904634</v>
      </c>
      <c r="I218">
        <v>350.69475474688539</v>
      </c>
      <c r="J218">
        <v>4.8925896450627873</v>
      </c>
      <c r="K218">
        <v>327.82534853222728</v>
      </c>
      <c r="L218">
        <v>4.5328267953820101</v>
      </c>
      <c r="M218">
        <v>327.16861120073349</v>
      </c>
      <c r="N218">
        <v>4.9151091412016932</v>
      </c>
      <c r="O218">
        <v>310.68920824785164</v>
      </c>
      <c r="P218">
        <v>4.5533891692397646</v>
      </c>
    </row>
    <row r="219" spans="4:16" x14ac:dyDescent="0.55000000000000004">
      <c r="D219">
        <v>212</v>
      </c>
      <c r="E219">
        <v>7.2218044511187207</v>
      </c>
      <c r="F219">
        <v>2.7781955488812815</v>
      </c>
      <c r="G219">
        <v>5.6238750209058637</v>
      </c>
      <c r="H219">
        <v>4.3761249790941372</v>
      </c>
      <c r="I219">
        <v>366.66338753020648</v>
      </c>
      <c r="J219">
        <v>4.7938722301979109</v>
      </c>
      <c r="K219">
        <v>343.0812636434473</v>
      </c>
      <c r="L219">
        <v>4.4403621691451001</v>
      </c>
      <c r="M219">
        <v>335.53377208827948</v>
      </c>
      <c r="N219">
        <v>4.8394810017979051</v>
      </c>
      <c r="O219">
        <v>319.22479415279827</v>
      </c>
      <c r="P219">
        <v>4.4818821841215319</v>
      </c>
    </row>
    <row r="220" spans="4:16" x14ac:dyDescent="0.55000000000000004">
      <c r="D220">
        <v>213</v>
      </c>
      <c r="E220">
        <v>6.3242919191666918</v>
      </c>
      <c r="F220">
        <v>3.6757080808333091</v>
      </c>
      <c r="G220">
        <v>5.3879367783548462</v>
      </c>
      <c r="H220">
        <v>4.6120632216451547</v>
      </c>
      <c r="I220">
        <v>320.12043163223848</v>
      </c>
      <c r="J220">
        <v>4.8357618886982996</v>
      </c>
      <c r="K220">
        <v>300.93110315996825</v>
      </c>
      <c r="L220">
        <v>4.4788397300053875</v>
      </c>
      <c r="M220">
        <v>322.72438861763197</v>
      </c>
      <c r="N220">
        <v>4.8600784765155876</v>
      </c>
      <c r="O220">
        <v>307.72376714455351</v>
      </c>
      <c r="P220">
        <v>4.5010072974591973</v>
      </c>
    </row>
    <row r="221" spans="4:16" x14ac:dyDescent="0.55000000000000004">
      <c r="D221">
        <v>214</v>
      </c>
      <c r="E221">
        <v>6.1122596651278229</v>
      </c>
      <c r="F221">
        <v>3.8877403348721775</v>
      </c>
      <c r="G221">
        <v>7.6794247683556591</v>
      </c>
      <c r="H221">
        <v>2.3205752316443387</v>
      </c>
      <c r="I221">
        <v>293.3278429821633</v>
      </c>
      <c r="J221">
        <v>4.8768864605353395</v>
      </c>
      <c r="K221">
        <v>275.97251956634585</v>
      </c>
      <c r="L221">
        <v>4.5174034541182682</v>
      </c>
      <c r="M221">
        <v>418.53622490831424</v>
      </c>
      <c r="N221">
        <v>4.8453205171110678</v>
      </c>
      <c r="O221">
        <v>394.24473883589809</v>
      </c>
      <c r="P221">
        <v>4.4887487090523743</v>
      </c>
    </row>
    <row r="222" spans="4:16" x14ac:dyDescent="0.55000000000000004">
      <c r="D222">
        <v>215</v>
      </c>
      <c r="E222">
        <v>7.1160623664572755</v>
      </c>
      <c r="F222">
        <v>2.8839376335427227</v>
      </c>
      <c r="G222">
        <v>5.7192827565168471</v>
      </c>
      <c r="H222">
        <v>4.2807172434831529</v>
      </c>
      <c r="I222">
        <v>344.82745255982178</v>
      </c>
      <c r="J222">
        <v>4.8935720827985811</v>
      </c>
      <c r="K222">
        <v>322.86104750083609</v>
      </c>
      <c r="L222">
        <v>4.5335845546901847</v>
      </c>
      <c r="M222">
        <v>327.14283571981406</v>
      </c>
      <c r="N222">
        <v>4.9144623360060411</v>
      </c>
      <c r="O222">
        <v>311.28699063776878</v>
      </c>
      <c r="P222">
        <v>4.5525888380699762</v>
      </c>
    </row>
    <row r="223" spans="4:16" x14ac:dyDescent="0.55000000000000004">
      <c r="D223">
        <v>216</v>
      </c>
      <c r="E223">
        <v>5.9238866940368471</v>
      </c>
      <c r="F223">
        <v>4.076113305963152</v>
      </c>
      <c r="G223">
        <v>7.4475154695535171</v>
      </c>
      <c r="H223">
        <v>2.5524845304464852</v>
      </c>
      <c r="I223">
        <v>307.31235388485544</v>
      </c>
      <c r="J223">
        <v>4.8033697028189755</v>
      </c>
      <c r="K223">
        <v>288.93400519053262</v>
      </c>
      <c r="L223">
        <v>4.4483616160954975</v>
      </c>
      <c r="M223">
        <v>436.35335679972582</v>
      </c>
      <c r="N223">
        <v>4.7527962205096372</v>
      </c>
      <c r="O223">
        <v>410.958130021594</v>
      </c>
      <c r="P223">
        <v>4.40227780302809</v>
      </c>
    </row>
    <row r="224" spans="4:16" x14ac:dyDescent="0.55000000000000004">
      <c r="D224">
        <v>217</v>
      </c>
      <c r="E224">
        <v>6.6717031495620036</v>
      </c>
      <c r="F224">
        <v>3.3282968504379959</v>
      </c>
      <c r="G224">
        <v>6.5590792182870485</v>
      </c>
      <c r="H224">
        <v>3.4409207817129506</v>
      </c>
      <c r="I224">
        <v>338.94064819112174</v>
      </c>
      <c r="J224">
        <v>4.8235047587910103</v>
      </c>
      <c r="K224">
        <v>317.30747927198871</v>
      </c>
      <c r="L224">
        <v>4.468002451352433</v>
      </c>
      <c r="M224">
        <v>383.21904646328238</v>
      </c>
      <c r="N224">
        <v>4.8264841461334447</v>
      </c>
      <c r="O224">
        <v>362.0798654600066</v>
      </c>
      <c r="P224">
        <v>4.4707246062949499</v>
      </c>
    </row>
    <row r="225" spans="4:16" x14ac:dyDescent="0.55000000000000004">
      <c r="D225">
        <v>218</v>
      </c>
      <c r="E225">
        <v>7.4468052780135601</v>
      </c>
      <c r="F225">
        <v>2.5531947219864382</v>
      </c>
      <c r="G225">
        <v>6.0331161902021151</v>
      </c>
      <c r="H225">
        <v>3.9668838097978849</v>
      </c>
      <c r="I225">
        <v>382.20392971302584</v>
      </c>
      <c r="J225">
        <v>4.8388338815473144</v>
      </c>
      <c r="K225">
        <v>357.00405276200064</v>
      </c>
      <c r="L225">
        <v>4.4826927948052697</v>
      </c>
      <c r="M225">
        <v>359.64697346371639</v>
      </c>
      <c r="N225">
        <v>4.8694293885433391</v>
      </c>
      <c r="O225">
        <v>340.85319396552507</v>
      </c>
      <c r="P225">
        <v>4.5105870060252995</v>
      </c>
    </row>
    <row r="226" spans="4:16" x14ac:dyDescent="0.55000000000000004">
      <c r="D226">
        <v>219</v>
      </c>
      <c r="E226">
        <v>6.3806158435857503</v>
      </c>
      <c r="F226">
        <v>3.6193841564142497</v>
      </c>
      <c r="G226">
        <v>6.3165136197559617</v>
      </c>
      <c r="H226">
        <v>3.6834863802440374</v>
      </c>
      <c r="I226">
        <v>321.08078292227736</v>
      </c>
      <c r="J226">
        <v>4.7689644653068086</v>
      </c>
      <c r="K226">
        <v>301.57004058312725</v>
      </c>
      <c r="L226">
        <v>4.4162362697411801</v>
      </c>
      <c r="M226">
        <v>367.85507670223939</v>
      </c>
      <c r="N226">
        <v>4.7712855408770327</v>
      </c>
      <c r="O226">
        <v>348.63283151398093</v>
      </c>
      <c r="P226">
        <v>4.4183497555176254</v>
      </c>
    </row>
    <row r="227" spans="4:16" x14ac:dyDescent="0.55000000000000004">
      <c r="D227">
        <v>220</v>
      </c>
      <c r="E227">
        <v>7.9326472981980585</v>
      </c>
      <c r="F227">
        <v>2.0673527018019446</v>
      </c>
      <c r="G227">
        <v>6.4092385120491944</v>
      </c>
      <c r="H227">
        <v>3.5907614879508034</v>
      </c>
      <c r="I227">
        <v>410.51761731042643</v>
      </c>
      <c r="J227">
        <v>4.7165341453216927</v>
      </c>
      <c r="K227">
        <v>382.91410928442372</v>
      </c>
      <c r="L227">
        <v>4.3688273358381071</v>
      </c>
      <c r="M227">
        <v>381.68061352460836</v>
      </c>
      <c r="N227">
        <v>4.7709717570491446</v>
      </c>
      <c r="O227">
        <v>361.28087614601571</v>
      </c>
      <c r="P227">
        <v>4.4182906835696478</v>
      </c>
    </row>
    <row r="228" spans="4:16" x14ac:dyDescent="0.55000000000000004">
      <c r="D228">
        <v>221</v>
      </c>
      <c r="E228">
        <v>7.4337769622634688</v>
      </c>
      <c r="F228">
        <v>2.5662230377365303</v>
      </c>
      <c r="G228">
        <v>6.694358626975804</v>
      </c>
      <c r="H228">
        <v>3.3056413730241947</v>
      </c>
      <c r="I228">
        <v>373.38011462401028</v>
      </c>
      <c r="J228">
        <v>4.914536181315647</v>
      </c>
      <c r="K228">
        <v>348.76397743621777</v>
      </c>
      <c r="L228">
        <v>4.5534033615373248</v>
      </c>
      <c r="M228">
        <v>386.24097200696576</v>
      </c>
      <c r="N228">
        <v>4.9230370436444071</v>
      </c>
      <c r="O228">
        <v>364.95085328745535</v>
      </c>
      <c r="P228">
        <v>4.5611429239784353</v>
      </c>
    </row>
    <row r="229" spans="4:16" x14ac:dyDescent="0.55000000000000004">
      <c r="D229">
        <v>222</v>
      </c>
      <c r="E229">
        <v>6.9023799253010161</v>
      </c>
      <c r="F229">
        <v>3.0976200746989853</v>
      </c>
      <c r="G229">
        <v>5.7951771305470627</v>
      </c>
      <c r="H229">
        <v>4.204822869452939</v>
      </c>
      <c r="I229">
        <v>340.0713786461987</v>
      </c>
      <c r="J229">
        <v>4.8969895298878949</v>
      </c>
      <c r="K229">
        <v>318.44489952658245</v>
      </c>
      <c r="L229">
        <v>4.5367731085467726</v>
      </c>
      <c r="M229">
        <v>335.52092142307197</v>
      </c>
      <c r="N229">
        <v>4.9135133204690193</v>
      </c>
      <c r="O229">
        <v>318.68118728003259</v>
      </c>
      <c r="P229">
        <v>4.5518469539654838</v>
      </c>
    </row>
    <row r="230" spans="4:16" x14ac:dyDescent="0.55000000000000004">
      <c r="D230">
        <v>223</v>
      </c>
      <c r="E230">
        <v>6.3033476660683361</v>
      </c>
      <c r="F230">
        <v>3.6966523339316635</v>
      </c>
      <c r="G230">
        <v>5.8239248237084977</v>
      </c>
      <c r="H230">
        <v>4.1760751762915014</v>
      </c>
      <c r="I230">
        <v>311.00666386274639</v>
      </c>
      <c r="J230">
        <v>4.8222952734466711</v>
      </c>
      <c r="K230">
        <v>292.32814529521181</v>
      </c>
      <c r="L230">
        <v>4.4662006467457527</v>
      </c>
      <c r="M230">
        <v>337.3519796090805</v>
      </c>
      <c r="N230">
        <v>4.8358112191977822</v>
      </c>
      <c r="O230">
        <v>320.77668461739233</v>
      </c>
      <c r="P230">
        <v>4.478514840850182</v>
      </c>
    </row>
    <row r="231" spans="4:16" x14ac:dyDescent="0.55000000000000004">
      <c r="D231">
        <v>224</v>
      </c>
      <c r="E231">
        <v>6.6805875264482095</v>
      </c>
      <c r="F231">
        <v>3.3194124735517883</v>
      </c>
      <c r="G231">
        <v>6.3518526915264779</v>
      </c>
      <c r="H231">
        <v>3.6481473084735216</v>
      </c>
      <c r="I231">
        <v>327.66677341911668</v>
      </c>
      <c r="J231">
        <v>4.8356557825374216</v>
      </c>
      <c r="K231">
        <v>307.47613120563545</v>
      </c>
      <c r="L231">
        <v>4.4790153176690692</v>
      </c>
      <c r="M231">
        <v>361.54311928797517</v>
      </c>
      <c r="N231">
        <v>4.8437427462938318</v>
      </c>
      <c r="O231">
        <v>342.82533913552783</v>
      </c>
      <c r="P231">
        <v>4.4863635542108602</v>
      </c>
    </row>
    <row r="232" spans="4:16" x14ac:dyDescent="0.55000000000000004">
      <c r="D232">
        <v>225</v>
      </c>
      <c r="E232">
        <v>6.0916568129647022</v>
      </c>
      <c r="F232">
        <v>3.9083431870352978</v>
      </c>
      <c r="G232">
        <v>5.0199838276998783</v>
      </c>
      <c r="H232">
        <v>4.9800161723001217</v>
      </c>
      <c r="I232">
        <v>311.58372799859325</v>
      </c>
      <c r="J232">
        <v>4.9693923666055069</v>
      </c>
      <c r="K232">
        <v>293.2776775639586</v>
      </c>
      <c r="L232">
        <v>4.6044233517351207</v>
      </c>
      <c r="M232">
        <v>306.76844962743962</v>
      </c>
      <c r="N232">
        <v>4.9747770057700045</v>
      </c>
      <c r="O232">
        <v>293.22598900235778</v>
      </c>
      <c r="P232">
        <v>4.6093400517955168</v>
      </c>
    </row>
    <row r="233" spans="4:16" x14ac:dyDescent="0.55000000000000004">
      <c r="D233">
        <v>226</v>
      </c>
      <c r="E233">
        <v>7.7656012203197999</v>
      </c>
      <c r="F233">
        <v>2.2343987796801992</v>
      </c>
      <c r="G233">
        <v>7.2404032715370787</v>
      </c>
      <c r="H233">
        <v>2.7595967284629195</v>
      </c>
      <c r="I233">
        <v>359.4258285418943</v>
      </c>
      <c r="J233">
        <v>4.6555937957300042</v>
      </c>
      <c r="K233">
        <v>335.12778471167633</v>
      </c>
      <c r="L233">
        <v>4.3121092140343054</v>
      </c>
      <c r="M233">
        <v>385.11738125827765</v>
      </c>
      <c r="N233">
        <v>4.678886445828665</v>
      </c>
      <c r="O233">
        <v>362.98181616241646</v>
      </c>
      <c r="P233">
        <v>4.3333297506854276</v>
      </c>
    </row>
    <row r="234" spans="4:16" x14ac:dyDescent="0.55000000000000004">
      <c r="D234">
        <v>227</v>
      </c>
      <c r="E234">
        <v>7.3962357931027745</v>
      </c>
      <c r="F234">
        <v>2.6037642068972264</v>
      </c>
      <c r="G234">
        <v>6.5228786066382103</v>
      </c>
      <c r="H234">
        <v>3.4771213933617893</v>
      </c>
      <c r="I234">
        <v>353.98188916110968</v>
      </c>
      <c r="J234">
        <v>4.8044380925640251</v>
      </c>
      <c r="K234">
        <v>330.82400321440667</v>
      </c>
      <c r="L234">
        <v>4.4504647053490451</v>
      </c>
      <c r="M234">
        <v>362.18324517176404</v>
      </c>
      <c r="N234">
        <v>4.8275302981177202</v>
      </c>
      <c r="O234">
        <v>342.80477533910971</v>
      </c>
      <c r="P234">
        <v>4.4714689232206322</v>
      </c>
    </row>
    <row r="235" spans="4:16" x14ac:dyDescent="0.55000000000000004">
      <c r="D235">
        <v>228</v>
      </c>
      <c r="E235">
        <v>7.2954119320785011</v>
      </c>
      <c r="F235">
        <v>2.7045880679214971</v>
      </c>
      <c r="G235">
        <v>6.9472146380055166</v>
      </c>
      <c r="H235">
        <v>3.0527853619944816</v>
      </c>
      <c r="I235">
        <v>368.96538651297436</v>
      </c>
      <c r="J235">
        <v>4.7047410831089778</v>
      </c>
      <c r="K235">
        <v>344.98464003217703</v>
      </c>
      <c r="L235">
        <v>4.3571640462438692</v>
      </c>
      <c r="M235">
        <v>401.35531179937169</v>
      </c>
      <c r="N235">
        <v>4.7188332765134806</v>
      </c>
      <c r="O235">
        <v>378.98169434800946</v>
      </c>
      <c r="P235">
        <v>4.3699701591815305</v>
      </c>
    </row>
    <row r="236" spans="4:16" x14ac:dyDescent="0.55000000000000004">
      <c r="D236">
        <v>229</v>
      </c>
      <c r="E236">
        <v>7.2922182636173112</v>
      </c>
      <c r="F236">
        <v>2.7077817363826879</v>
      </c>
      <c r="G236">
        <v>5.391446018261731</v>
      </c>
      <c r="H236">
        <v>4.6085539817382699</v>
      </c>
      <c r="I236">
        <v>341.52610147541913</v>
      </c>
      <c r="J236">
        <v>4.8413302833271654</v>
      </c>
      <c r="K236">
        <v>319.44593037986442</v>
      </c>
      <c r="L236">
        <v>4.4848212537383629</v>
      </c>
      <c r="M236">
        <v>302.50472124770329</v>
      </c>
      <c r="N236">
        <v>4.8826887537853096</v>
      </c>
      <c r="O236">
        <v>288.34932985466503</v>
      </c>
      <c r="P236">
        <v>4.5224979483537222</v>
      </c>
    </row>
    <row r="237" spans="4:16" x14ac:dyDescent="0.55000000000000004">
      <c r="D237">
        <v>230</v>
      </c>
      <c r="E237">
        <v>7.9752279935269366</v>
      </c>
      <c r="F237">
        <v>2.0247720064730634</v>
      </c>
      <c r="G237">
        <v>6.8452193023665773</v>
      </c>
      <c r="H237">
        <v>3.1547806976334241</v>
      </c>
      <c r="I237">
        <v>400.83119558606955</v>
      </c>
      <c r="J237">
        <v>4.6661743445496882</v>
      </c>
      <c r="K237">
        <v>373.58635901671295</v>
      </c>
      <c r="L237">
        <v>4.3220974946064112</v>
      </c>
      <c r="M237">
        <v>394.03749199940268</v>
      </c>
      <c r="N237">
        <v>4.7134740446080849</v>
      </c>
      <c r="O237">
        <v>371.88034848020408</v>
      </c>
      <c r="P237">
        <v>4.3651599933543777</v>
      </c>
    </row>
    <row r="238" spans="4:16" x14ac:dyDescent="0.55000000000000004">
      <c r="D238">
        <v>231</v>
      </c>
      <c r="E238">
        <v>6.426904712288807</v>
      </c>
      <c r="F238">
        <v>3.573095287711193</v>
      </c>
      <c r="G238">
        <v>7.0704197148153467</v>
      </c>
      <c r="H238">
        <v>2.9295802851846555</v>
      </c>
      <c r="I238">
        <v>306.90681192146525</v>
      </c>
      <c r="J238">
        <v>4.8203079187622198</v>
      </c>
      <c r="K238">
        <v>288.35362964351435</v>
      </c>
      <c r="L238">
        <v>4.4644034316390142</v>
      </c>
      <c r="M238">
        <v>387.63686731989333</v>
      </c>
      <c r="N238">
        <v>4.8023156572789247</v>
      </c>
      <c r="O238">
        <v>366.24987854372671</v>
      </c>
      <c r="P238">
        <v>4.4480703467126075</v>
      </c>
    </row>
    <row r="239" spans="4:16" x14ac:dyDescent="0.55000000000000004">
      <c r="D239">
        <v>232</v>
      </c>
      <c r="E239">
        <v>6.9135417133491561</v>
      </c>
      <c r="F239">
        <v>3.0864582866508443</v>
      </c>
      <c r="G239">
        <v>6.1058395875985445</v>
      </c>
      <c r="H239">
        <v>3.8941604124014555</v>
      </c>
      <c r="I239">
        <v>320.39976893891929</v>
      </c>
      <c r="J239">
        <v>4.7132933907325301</v>
      </c>
      <c r="K239">
        <v>300.06427882069892</v>
      </c>
      <c r="L239">
        <v>4.364723142710691</v>
      </c>
      <c r="M239">
        <v>332.96778614458907</v>
      </c>
      <c r="N239">
        <v>4.746789035566052</v>
      </c>
      <c r="O239">
        <v>315.96280592688112</v>
      </c>
      <c r="P239">
        <v>4.395238513232937</v>
      </c>
    </row>
    <row r="240" spans="4:16" x14ac:dyDescent="0.55000000000000004">
      <c r="D240">
        <v>233</v>
      </c>
      <c r="E240">
        <v>8.0266203732345538</v>
      </c>
      <c r="F240">
        <v>1.9733796267654489</v>
      </c>
      <c r="G240">
        <v>6.4484319772494851</v>
      </c>
      <c r="H240">
        <v>3.5515680227505131</v>
      </c>
      <c r="I240">
        <v>400.62253182039558</v>
      </c>
      <c r="J240">
        <v>4.8020145486038324</v>
      </c>
      <c r="K240">
        <v>373.6666352873491</v>
      </c>
      <c r="L240">
        <v>4.448568741307076</v>
      </c>
      <c r="M240">
        <v>371.85241420060328</v>
      </c>
      <c r="N240">
        <v>4.8409423074161468</v>
      </c>
      <c r="O240">
        <v>352.2204022705593</v>
      </c>
      <c r="P240">
        <v>4.4838770766373655</v>
      </c>
    </row>
    <row r="241" spans="4:16" x14ac:dyDescent="0.55000000000000004">
      <c r="D241">
        <v>234</v>
      </c>
      <c r="E241">
        <v>5.5710504051928744</v>
      </c>
      <c r="F241">
        <v>4.4289495948071247</v>
      </c>
      <c r="G241">
        <v>5.5539603863968141</v>
      </c>
      <c r="H241">
        <v>4.446039613603185</v>
      </c>
      <c r="I241">
        <v>278.95621633190893</v>
      </c>
      <c r="J241">
        <v>4.9319901120806016</v>
      </c>
      <c r="K241">
        <v>262.82089141450473</v>
      </c>
      <c r="L241">
        <v>4.5691566621773658</v>
      </c>
      <c r="M241">
        <v>328.10047699486285</v>
      </c>
      <c r="N241">
        <v>4.9321987424426217</v>
      </c>
      <c r="O241">
        <v>312.03697998793422</v>
      </c>
      <c r="P241">
        <v>4.5693477808015031</v>
      </c>
    </row>
    <row r="242" spans="4:16" x14ac:dyDescent="0.55000000000000004">
      <c r="D242">
        <v>235</v>
      </c>
      <c r="E242">
        <v>5.9476592779754753</v>
      </c>
      <c r="F242">
        <v>4.0523407220245247</v>
      </c>
      <c r="G242">
        <v>7.3402842910313222</v>
      </c>
      <c r="H242">
        <v>2.6597157089686783</v>
      </c>
      <c r="I242">
        <v>278.04908023804427</v>
      </c>
      <c r="J242">
        <v>4.8457930149134913</v>
      </c>
      <c r="K242">
        <v>261.62414665326071</v>
      </c>
      <c r="L242">
        <v>4.4881350770165005</v>
      </c>
      <c r="M242">
        <v>393.15336511706619</v>
      </c>
      <c r="N242">
        <v>4.809685952524319</v>
      </c>
      <c r="O242">
        <v>370.86725759825691</v>
      </c>
      <c r="P242">
        <v>4.4552786420369213</v>
      </c>
    </row>
    <row r="243" spans="4:16" x14ac:dyDescent="0.55000000000000004">
      <c r="D243">
        <v>236</v>
      </c>
      <c r="E243">
        <v>7.3050226462080028</v>
      </c>
      <c r="F243">
        <v>2.6949773537919981</v>
      </c>
      <c r="G243">
        <v>5.7852291760299073</v>
      </c>
      <c r="H243">
        <v>4.2147708239700927</v>
      </c>
      <c r="I243">
        <v>348.49146835316736</v>
      </c>
      <c r="J243">
        <v>4.8470073779752969</v>
      </c>
      <c r="K243">
        <v>325.93011287518158</v>
      </c>
      <c r="L243">
        <v>4.4901448650683307</v>
      </c>
      <c r="M243">
        <v>325.9886050949882</v>
      </c>
      <c r="N243">
        <v>4.8788371476008932</v>
      </c>
      <c r="O243">
        <v>309.94096077408318</v>
      </c>
      <c r="P243">
        <v>4.5191150245182667</v>
      </c>
    </row>
    <row r="244" spans="4:16" x14ac:dyDescent="0.55000000000000004">
      <c r="D244">
        <v>237</v>
      </c>
      <c r="E244">
        <v>7.4850599213474345</v>
      </c>
      <c r="F244">
        <v>2.5149400786525664</v>
      </c>
      <c r="G244">
        <v>6.4237456712038412</v>
      </c>
      <c r="H244">
        <v>3.5762543287961601</v>
      </c>
      <c r="I244">
        <v>361.81685227607613</v>
      </c>
      <c r="J244">
        <v>4.7490463829446936</v>
      </c>
      <c r="K244">
        <v>337.85494703012756</v>
      </c>
      <c r="L244">
        <v>4.3988989283552611</v>
      </c>
      <c r="M244">
        <v>360.51447323064929</v>
      </c>
      <c r="N244">
        <v>4.7846293512448215</v>
      </c>
      <c r="O244">
        <v>341.10036615157878</v>
      </c>
      <c r="P244">
        <v>4.4313275759198127</v>
      </c>
    </row>
    <row r="245" spans="4:16" x14ac:dyDescent="0.55000000000000004">
      <c r="D245">
        <v>238</v>
      </c>
      <c r="E245">
        <v>5.8582384968208316</v>
      </c>
      <c r="F245">
        <v>4.1417615031791684</v>
      </c>
      <c r="G245">
        <v>5.1119303221023067</v>
      </c>
      <c r="H245">
        <v>4.8880696778976924</v>
      </c>
      <c r="I245">
        <v>296.88210724741793</v>
      </c>
      <c r="J245">
        <v>4.8889790219798028</v>
      </c>
      <c r="K245">
        <v>279.70772002493953</v>
      </c>
      <c r="L245">
        <v>4.5286342317271835</v>
      </c>
      <c r="M245">
        <v>309.0609185596154</v>
      </c>
      <c r="N245">
        <v>4.9031224993248594</v>
      </c>
      <c r="O245">
        <v>295.13728396459499</v>
      </c>
      <c r="P245">
        <v>4.5415620691694221</v>
      </c>
    </row>
    <row r="246" spans="4:16" x14ac:dyDescent="0.55000000000000004">
      <c r="D246">
        <v>239</v>
      </c>
      <c r="E246">
        <v>7.917024699835876</v>
      </c>
      <c r="F246">
        <v>2.0829753001641214</v>
      </c>
      <c r="G246">
        <v>7.0954327269268056</v>
      </c>
      <c r="H246">
        <v>2.904567273073194</v>
      </c>
      <c r="I246">
        <v>390.38317361599849</v>
      </c>
      <c r="J246">
        <v>4.8058064532037896</v>
      </c>
      <c r="K246">
        <v>364.10206978211505</v>
      </c>
      <c r="L246">
        <v>4.4521125526882344</v>
      </c>
      <c r="M246">
        <v>399.87102492858554</v>
      </c>
      <c r="N246">
        <v>4.8259589556005338</v>
      </c>
      <c r="O246">
        <v>377.31855303996275</v>
      </c>
      <c r="P246">
        <v>4.4704102716027867</v>
      </c>
    </row>
    <row r="247" spans="4:16" x14ac:dyDescent="0.55000000000000004">
      <c r="D247">
        <v>240</v>
      </c>
      <c r="E247">
        <v>6.3856739408899017</v>
      </c>
      <c r="F247">
        <v>3.6143260591100983</v>
      </c>
      <c r="G247">
        <v>6.0773348530353521</v>
      </c>
      <c r="H247">
        <v>3.9226651469646479</v>
      </c>
      <c r="I247">
        <v>301.18483234365152</v>
      </c>
      <c r="J247">
        <v>4.9021295551535395</v>
      </c>
      <c r="K247">
        <v>282.8854455608834</v>
      </c>
      <c r="L247">
        <v>4.5413087041531632</v>
      </c>
      <c r="M247">
        <v>336.64180096746367</v>
      </c>
      <c r="N247">
        <v>4.9068553341349324</v>
      </c>
      <c r="O247">
        <v>319.63640701444876</v>
      </c>
      <c r="P247">
        <v>4.5456139983017341</v>
      </c>
    </row>
    <row r="248" spans="4:16" x14ac:dyDescent="0.55000000000000004">
      <c r="D248">
        <v>241</v>
      </c>
      <c r="E248">
        <v>7.8065814423017512</v>
      </c>
      <c r="F248">
        <v>2.1934185576982497</v>
      </c>
      <c r="G248">
        <v>6.1897417867766764</v>
      </c>
      <c r="H248">
        <v>3.8102582132233236</v>
      </c>
      <c r="I248">
        <v>390.30263902807786</v>
      </c>
      <c r="J248">
        <v>4.7956792723181865</v>
      </c>
      <c r="K248">
        <v>364.2379993559577</v>
      </c>
      <c r="L248">
        <v>4.4425566675432204</v>
      </c>
      <c r="M248">
        <v>359.46613087136296</v>
      </c>
      <c r="N248">
        <v>4.8379966243375474</v>
      </c>
      <c r="O248">
        <v>340.74471401187009</v>
      </c>
      <c r="P248">
        <v>4.4810298932908701</v>
      </c>
    </row>
    <row r="249" spans="4:16" x14ac:dyDescent="0.55000000000000004">
      <c r="D249">
        <v>242</v>
      </c>
      <c r="E249">
        <v>6.2732348579510075</v>
      </c>
      <c r="F249">
        <v>3.7267651420489942</v>
      </c>
      <c r="G249">
        <v>5.9718152517880823</v>
      </c>
      <c r="H249">
        <v>4.0281847482119186</v>
      </c>
      <c r="I249">
        <v>334.55213409601902</v>
      </c>
      <c r="J249">
        <v>4.8119272428200528</v>
      </c>
      <c r="K249">
        <v>314.60734715160879</v>
      </c>
      <c r="L249">
        <v>4.4563721965820777</v>
      </c>
      <c r="M249">
        <v>368.47740155633443</v>
      </c>
      <c r="N249">
        <v>4.8209638591245261</v>
      </c>
      <c r="O249">
        <v>349.97699488762754</v>
      </c>
      <c r="P249">
        <v>4.4645968360578809</v>
      </c>
    </row>
    <row r="250" spans="4:16" x14ac:dyDescent="0.55000000000000004">
      <c r="D250">
        <v>243</v>
      </c>
      <c r="E250">
        <v>7.1019851252568076</v>
      </c>
      <c r="F250">
        <v>2.8980148747431951</v>
      </c>
      <c r="G250">
        <v>6.4998671516084761</v>
      </c>
      <c r="H250">
        <v>3.5001328483915244</v>
      </c>
      <c r="I250">
        <v>370.44494702991187</v>
      </c>
      <c r="J250">
        <v>4.7537040448644481</v>
      </c>
      <c r="K250">
        <v>346.81544096190908</v>
      </c>
      <c r="L250">
        <v>4.402647218149025</v>
      </c>
      <c r="M250">
        <v>389.03801545796654</v>
      </c>
      <c r="N250">
        <v>4.7745854208189824</v>
      </c>
      <c r="O250">
        <v>368.28112920815005</v>
      </c>
      <c r="P250">
        <v>4.421618689143231</v>
      </c>
    </row>
    <row r="251" spans="4:16" x14ac:dyDescent="0.55000000000000004">
      <c r="D251">
        <v>244</v>
      </c>
      <c r="E251">
        <v>5.7332407623972346</v>
      </c>
      <c r="F251">
        <v>4.2667592376027645</v>
      </c>
      <c r="G251">
        <v>6.9974886110399126</v>
      </c>
      <c r="H251">
        <v>3.0025113889600883</v>
      </c>
      <c r="I251">
        <v>299.84682293308344</v>
      </c>
      <c r="J251">
        <v>4.8974086170746665</v>
      </c>
      <c r="K251">
        <v>282.42576001780333</v>
      </c>
      <c r="L251">
        <v>4.5366019005144649</v>
      </c>
      <c r="M251">
        <v>415.96661739589064</v>
      </c>
      <c r="N251">
        <v>4.8747859956764339</v>
      </c>
      <c r="O251">
        <v>392.67691635785303</v>
      </c>
      <c r="P251">
        <v>4.5159872100157914</v>
      </c>
    </row>
    <row r="252" spans="4:16" x14ac:dyDescent="0.55000000000000004">
      <c r="D252">
        <v>245</v>
      </c>
      <c r="E252">
        <v>7.3512985054163513</v>
      </c>
      <c r="F252">
        <v>2.6487014945836496</v>
      </c>
      <c r="G252">
        <v>6.1184592010320937</v>
      </c>
      <c r="H252">
        <v>3.8815407989679072</v>
      </c>
      <c r="I252">
        <v>347.2120054685725</v>
      </c>
      <c r="J252">
        <v>4.7873295786953332</v>
      </c>
      <c r="K252">
        <v>324.55039381302277</v>
      </c>
      <c r="L252">
        <v>4.4344427529930277</v>
      </c>
      <c r="M252">
        <v>338.98329839316938</v>
      </c>
      <c r="N252">
        <v>4.8229951762861774</v>
      </c>
      <c r="O252">
        <v>321.52999030376736</v>
      </c>
      <c r="P252">
        <v>4.4669182186291865</v>
      </c>
    </row>
    <row r="253" spans="4:16" x14ac:dyDescent="0.55000000000000004">
      <c r="D253">
        <v>246</v>
      </c>
      <c r="E253">
        <v>6.1884864903998373</v>
      </c>
      <c r="F253">
        <v>3.8115135096001627</v>
      </c>
      <c r="G253">
        <v>5.1698035988981763</v>
      </c>
      <c r="H253">
        <v>4.8301964011018237</v>
      </c>
      <c r="I253">
        <v>286.8761992130037</v>
      </c>
      <c r="J253">
        <v>4.783860661224236</v>
      </c>
      <c r="K253">
        <v>269.80697992502184</v>
      </c>
      <c r="L253">
        <v>4.4299537531713362</v>
      </c>
      <c r="M253">
        <v>289.6536874452795</v>
      </c>
      <c r="N253">
        <v>4.8194392226274028</v>
      </c>
      <c r="O253">
        <v>276.69126339753575</v>
      </c>
      <c r="P253">
        <v>4.4624381575473686</v>
      </c>
    </row>
    <row r="254" spans="4:16" x14ac:dyDescent="0.55000000000000004">
      <c r="D254">
        <v>247</v>
      </c>
      <c r="E254">
        <v>6.0447266006149141</v>
      </c>
      <c r="F254">
        <v>3.9552733993850868</v>
      </c>
      <c r="G254">
        <v>5.9142204717613689</v>
      </c>
      <c r="H254">
        <v>4.0857795282386311</v>
      </c>
      <c r="I254">
        <v>274.73000167027578</v>
      </c>
      <c r="J254">
        <v>4.8089519040886</v>
      </c>
      <c r="K254">
        <v>258.60826642955413</v>
      </c>
      <c r="L254">
        <v>4.4533957457374873</v>
      </c>
      <c r="M254">
        <v>318.79855904816156</v>
      </c>
      <c r="N254">
        <v>4.8130766476989573</v>
      </c>
      <c r="O254">
        <v>303.20334905637145</v>
      </c>
      <c r="P254">
        <v>4.4571543420554249</v>
      </c>
    </row>
    <row r="255" spans="4:16" x14ac:dyDescent="0.55000000000000004">
      <c r="D255">
        <v>248</v>
      </c>
      <c r="E255">
        <v>6.9437323006569294</v>
      </c>
      <c r="F255">
        <v>3.0562676993430729</v>
      </c>
      <c r="G255">
        <v>6.4871484154698873</v>
      </c>
      <c r="H255">
        <v>3.5128515845301131</v>
      </c>
      <c r="I255">
        <v>346.67927913420476</v>
      </c>
      <c r="J255">
        <v>4.8471441723174831</v>
      </c>
      <c r="K255">
        <v>324.40672476447526</v>
      </c>
      <c r="L255">
        <v>4.4901971954159707</v>
      </c>
      <c r="M255">
        <v>373.88344465683554</v>
      </c>
      <c r="N255">
        <v>4.857195180140776</v>
      </c>
      <c r="O255">
        <v>353.61863381594344</v>
      </c>
      <c r="P255">
        <v>4.4993629605456675</v>
      </c>
    </row>
    <row r="256" spans="4:16" x14ac:dyDescent="0.55000000000000004">
      <c r="D256">
        <v>249</v>
      </c>
      <c r="E256">
        <v>7.0575937778186582</v>
      </c>
      <c r="F256">
        <v>2.9424062221813396</v>
      </c>
      <c r="G256">
        <v>5.1062565048184121</v>
      </c>
      <c r="H256">
        <v>4.8937434951815879</v>
      </c>
      <c r="I256">
        <v>363.80503153539581</v>
      </c>
      <c r="J256">
        <v>4.7436131584684311</v>
      </c>
      <c r="K256">
        <v>340.66245965918222</v>
      </c>
      <c r="L256">
        <v>4.3931553204771987</v>
      </c>
      <c r="M256">
        <v>313.21744595187653</v>
      </c>
      <c r="N256">
        <v>4.8145009448638083</v>
      </c>
      <c r="O256">
        <v>298.94249304175054</v>
      </c>
      <c r="P256">
        <v>4.4577937682940938</v>
      </c>
    </row>
    <row r="257" spans="4:16" x14ac:dyDescent="0.55000000000000004">
      <c r="D257">
        <v>250</v>
      </c>
      <c r="E257">
        <v>7.0874063005699259</v>
      </c>
      <c r="F257">
        <v>2.9125936994300714</v>
      </c>
      <c r="G257">
        <v>6.9002830588429953</v>
      </c>
      <c r="H257">
        <v>3.0997169411570056</v>
      </c>
      <c r="I257">
        <v>350.52461385034553</v>
      </c>
      <c r="J257">
        <v>4.7128561577285346</v>
      </c>
      <c r="K257">
        <v>328.2578738112008</v>
      </c>
      <c r="L257">
        <v>4.3643294319390069</v>
      </c>
      <c r="M257">
        <v>391.26998680243906</v>
      </c>
      <c r="N257">
        <v>4.7204373918682299</v>
      </c>
      <c r="O257">
        <v>369.86215172437517</v>
      </c>
      <c r="P257">
        <v>4.3712070656440236</v>
      </c>
    </row>
    <row r="258" spans="4:16" x14ac:dyDescent="0.55000000000000004">
      <c r="D258">
        <v>251</v>
      </c>
      <c r="E258">
        <v>6.0299448094701606</v>
      </c>
      <c r="F258">
        <v>3.9700551905298411</v>
      </c>
      <c r="G258">
        <v>6.0328709510071521</v>
      </c>
      <c r="H258">
        <v>3.9671290489928466</v>
      </c>
      <c r="I258">
        <v>287.8129367258897</v>
      </c>
      <c r="J258">
        <v>4.8835192353675545</v>
      </c>
      <c r="K258">
        <v>270.62186090756541</v>
      </c>
      <c r="L258">
        <v>4.5237093720463513</v>
      </c>
      <c r="M258">
        <v>337.95260324285607</v>
      </c>
      <c r="N258">
        <v>4.8834627109358353</v>
      </c>
      <c r="O258">
        <v>320.7494002717126</v>
      </c>
      <c r="P258">
        <v>4.5236577555942707</v>
      </c>
    </row>
    <row r="259" spans="4:16" x14ac:dyDescent="0.55000000000000004">
      <c r="D259">
        <v>252</v>
      </c>
      <c r="E259">
        <v>6.9662884397074016</v>
      </c>
      <c r="F259">
        <v>3.0337115602925988</v>
      </c>
      <c r="G259">
        <v>6.651454234361533</v>
      </c>
      <c r="H259">
        <v>3.3485457656384696</v>
      </c>
      <c r="I259">
        <v>344.77073378857034</v>
      </c>
      <c r="J259">
        <v>4.8693877923154183</v>
      </c>
      <c r="K259">
        <v>322.88420380963078</v>
      </c>
      <c r="L259">
        <v>4.510911975461581</v>
      </c>
      <c r="M259">
        <v>379.18917684640672</v>
      </c>
      <c r="N259">
        <v>4.8752906760347408</v>
      </c>
      <c r="O259">
        <v>358.71744267379739</v>
      </c>
      <c r="P259">
        <v>4.5162788809624015</v>
      </c>
    </row>
    <row r="260" spans="4:16" x14ac:dyDescent="0.55000000000000004">
      <c r="D260">
        <v>253</v>
      </c>
      <c r="E260">
        <v>7.1444140525331061</v>
      </c>
      <c r="F260">
        <v>2.8555859474668939</v>
      </c>
      <c r="G260">
        <v>5.9832642173084638</v>
      </c>
      <c r="H260">
        <v>4.0167357826915353</v>
      </c>
      <c r="I260">
        <v>354.09273644853533</v>
      </c>
      <c r="J260">
        <v>4.8646273033811909</v>
      </c>
      <c r="K260">
        <v>331.20462297799918</v>
      </c>
      <c r="L260">
        <v>4.5066103628087104</v>
      </c>
      <c r="M260">
        <v>346.54361911599761</v>
      </c>
      <c r="N260">
        <v>4.8866288255797974</v>
      </c>
      <c r="O260">
        <v>328.73787363133994</v>
      </c>
      <c r="P260">
        <v>4.5266688520426817</v>
      </c>
    </row>
    <row r="261" spans="4:16" x14ac:dyDescent="0.55000000000000004">
      <c r="D261">
        <v>254</v>
      </c>
      <c r="E261">
        <v>6.4379997979515471</v>
      </c>
      <c r="F261">
        <v>3.562000202048452</v>
      </c>
      <c r="G261">
        <v>4.662674110570177</v>
      </c>
      <c r="H261">
        <v>5.3373258894298203</v>
      </c>
      <c r="I261">
        <v>301.89938522134975</v>
      </c>
      <c r="J261">
        <v>4.7192237310726854</v>
      </c>
      <c r="K261">
        <v>283.53670032200301</v>
      </c>
      <c r="L261">
        <v>4.3695343634979968</v>
      </c>
      <c r="M261">
        <v>268.6484143594617</v>
      </c>
      <c r="N261">
        <v>4.7966498476116088</v>
      </c>
      <c r="O261">
        <v>257.42465113632187</v>
      </c>
      <c r="P261">
        <v>4.4403210501787234</v>
      </c>
    </row>
    <row r="262" spans="4:16" x14ac:dyDescent="0.55000000000000004">
      <c r="D262">
        <v>255</v>
      </c>
      <c r="E262">
        <v>6.5524877815119291</v>
      </c>
      <c r="F262">
        <v>3.4475122184880691</v>
      </c>
      <c r="G262">
        <v>6.614302220496862</v>
      </c>
      <c r="H262">
        <v>3.3856977795031358</v>
      </c>
      <c r="I262">
        <v>317.28010018610524</v>
      </c>
      <c r="J262">
        <v>4.8888891290011678</v>
      </c>
      <c r="K262">
        <v>297.63082955848415</v>
      </c>
      <c r="L262">
        <v>4.5290030020941208</v>
      </c>
      <c r="M262">
        <v>370.2732368462643</v>
      </c>
      <c r="N262">
        <v>4.8878409383925119</v>
      </c>
      <c r="O262">
        <v>350.35605264767884</v>
      </c>
      <c r="P262">
        <v>4.52804863429441</v>
      </c>
    </row>
    <row r="263" spans="4:16" x14ac:dyDescent="0.55000000000000004">
      <c r="D263">
        <v>256</v>
      </c>
      <c r="E263">
        <v>7.0422542961044172</v>
      </c>
      <c r="F263">
        <v>2.9577457038955837</v>
      </c>
      <c r="G263">
        <v>5.2166842706167023</v>
      </c>
      <c r="H263">
        <v>4.7833157293832969</v>
      </c>
      <c r="I263">
        <v>362.59629376439869</v>
      </c>
      <c r="J263">
        <v>4.87280402905869</v>
      </c>
      <c r="K263">
        <v>339.52356101997822</v>
      </c>
      <c r="L263">
        <v>4.5141305018900804</v>
      </c>
      <c r="M263">
        <v>318.60012472298894</v>
      </c>
      <c r="N263">
        <v>4.9057771570017845</v>
      </c>
      <c r="O263">
        <v>303.81292093152052</v>
      </c>
      <c r="P263">
        <v>4.5441971304616784</v>
      </c>
    </row>
    <row r="264" spans="4:16" x14ac:dyDescent="0.55000000000000004">
      <c r="D264">
        <v>257</v>
      </c>
      <c r="E264">
        <v>7.1018237369728761</v>
      </c>
      <c r="F264">
        <v>2.8981762630271271</v>
      </c>
      <c r="G264">
        <v>7.0870117454635082</v>
      </c>
      <c r="H264">
        <v>2.9129882545364931</v>
      </c>
      <c r="I264">
        <v>362.54820393414468</v>
      </c>
      <c r="J264">
        <v>4.8029492297883456</v>
      </c>
      <c r="K264">
        <v>339.35776205249027</v>
      </c>
      <c r="L264">
        <v>4.4487863442372451</v>
      </c>
      <c r="M264">
        <v>411.792051554517</v>
      </c>
      <c r="N264">
        <v>4.8033602107480808</v>
      </c>
      <c r="O264">
        <v>388.67121421104684</v>
      </c>
      <c r="P264">
        <v>4.4491594940128492</v>
      </c>
    </row>
    <row r="265" spans="4:16" x14ac:dyDescent="0.55000000000000004">
      <c r="D265">
        <v>258</v>
      </c>
      <c r="E265">
        <v>6.7060412020440818</v>
      </c>
      <c r="F265">
        <v>3.2939587979559195</v>
      </c>
      <c r="G265">
        <v>6.0429637510960577</v>
      </c>
      <c r="H265">
        <v>3.9570362489039428</v>
      </c>
      <c r="I265">
        <v>320.94133486639657</v>
      </c>
      <c r="J265">
        <v>4.8823327262768048</v>
      </c>
      <c r="K265">
        <v>300.75036033213013</v>
      </c>
      <c r="L265">
        <v>4.5229681149265275</v>
      </c>
      <c r="M265">
        <v>339.20741677442305</v>
      </c>
      <c r="N265">
        <v>4.893967387259293</v>
      </c>
      <c r="O265">
        <v>321.79935054189639</v>
      </c>
      <c r="P265">
        <v>4.5335824734508607</v>
      </c>
    </row>
    <row r="266" spans="4:16" x14ac:dyDescent="0.55000000000000004">
      <c r="D266">
        <v>259</v>
      </c>
      <c r="E266">
        <v>6.1479322095488236</v>
      </c>
      <c r="F266">
        <v>3.8520677904511773</v>
      </c>
      <c r="G266">
        <v>6.5617314292168176</v>
      </c>
      <c r="H266">
        <v>3.438268570783181</v>
      </c>
      <c r="I266">
        <v>287.68985912381356</v>
      </c>
      <c r="J266">
        <v>4.9422075661121037</v>
      </c>
      <c r="K266">
        <v>270.59711241903182</v>
      </c>
      <c r="L266">
        <v>4.5788739709315891</v>
      </c>
      <c r="M266">
        <v>357.05341668336678</v>
      </c>
      <c r="N266">
        <v>4.9383177275077692</v>
      </c>
      <c r="O266">
        <v>338.21768731086604</v>
      </c>
      <c r="P266">
        <v>4.5753342705312887</v>
      </c>
    </row>
    <row r="267" spans="4:16" x14ac:dyDescent="0.55000000000000004">
      <c r="D267">
        <v>260</v>
      </c>
      <c r="E267">
        <v>7.2542689490838912</v>
      </c>
      <c r="F267">
        <v>2.7457310509161106</v>
      </c>
      <c r="G267">
        <v>5.4215936925460602</v>
      </c>
      <c r="H267">
        <v>4.5784063074539407</v>
      </c>
      <c r="I267">
        <v>362.58566242857256</v>
      </c>
      <c r="J267">
        <v>4.8253564285448203</v>
      </c>
      <c r="K267">
        <v>338.99552856450157</v>
      </c>
      <c r="L267">
        <v>4.4699516258611149</v>
      </c>
      <c r="M267">
        <v>320.98418244868549</v>
      </c>
      <c r="N267">
        <v>4.8694773391928496</v>
      </c>
      <c r="O267">
        <v>305.37254623506317</v>
      </c>
      <c r="P267">
        <v>4.5102296009799563</v>
      </c>
    </row>
    <row r="268" spans="4:16" x14ac:dyDescent="0.55000000000000004">
      <c r="D268">
        <v>261</v>
      </c>
      <c r="E268">
        <v>6.0526811071953714</v>
      </c>
      <c r="F268">
        <v>3.9473188928046286</v>
      </c>
      <c r="G268">
        <v>5.7141184804423624</v>
      </c>
      <c r="H268">
        <v>4.2858815195576367</v>
      </c>
      <c r="I268">
        <v>293.18271747059919</v>
      </c>
      <c r="J268">
        <v>4.8119805920726213</v>
      </c>
      <c r="K268">
        <v>275.92335896781015</v>
      </c>
      <c r="L268">
        <v>4.4562818339689292</v>
      </c>
      <c r="M268">
        <v>326.78325594479185</v>
      </c>
      <c r="N268">
        <v>4.8224976412118474</v>
      </c>
      <c r="O268">
        <v>310.96702514282867</v>
      </c>
      <c r="P268">
        <v>4.4658733987610084</v>
      </c>
    </row>
    <row r="269" spans="4:16" x14ac:dyDescent="0.55000000000000004">
      <c r="D269">
        <v>262</v>
      </c>
      <c r="E269">
        <v>7.0342865860104844</v>
      </c>
      <c r="F269">
        <v>2.9657134139895134</v>
      </c>
      <c r="G269">
        <v>5.1492714676637608</v>
      </c>
      <c r="H269">
        <v>4.8507285323362392</v>
      </c>
      <c r="I269">
        <v>338.96919149121004</v>
      </c>
      <c r="J269">
        <v>4.720626606891078</v>
      </c>
      <c r="K269">
        <v>317.35474954572129</v>
      </c>
      <c r="L269">
        <v>4.3716736471120736</v>
      </c>
      <c r="M269">
        <v>298.13381781089413</v>
      </c>
      <c r="N269">
        <v>4.7954917781113506</v>
      </c>
      <c r="O269">
        <v>284.46031988084366</v>
      </c>
      <c r="P269">
        <v>4.4399940097486486</v>
      </c>
    </row>
    <row r="270" spans="4:16" x14ac:dyDescent="0.55000000000000004">
      <c r="D270">
        <v>263</v>
      </c>
      <c r="E270">
        <v>7.0598332841276372</v>
      </c>
      <c r="F270">
        <v>2.9401667158723628</v>
      </c>
      <c r="G270">
        <v>6.4635237422482108</v>
      </c>
      <c r="H270">
        <v>3.536476257751787</v>
      </c>
      <c r="I270">
        <v>342.16902734326311</v>
      </c>
      <c r="J270">
        <v>4.8170039195988981</v>
      </c>
      <c r="K270">
        <v>320.20875632003941</v>
      </c>
      <c r="L270">
        <v>4.4619812716100213</v>
      </c>
      <c r="M270">
        <v>363.26768538110622</v>
      </c>
      <c r="N270">
        <v>4.8324607022845525</v>
      </c>
      <c r="O270">
        <v>343.89815500935623</v>
      </c>
      <c r="P270">
        <v>4.4760524952687923</v>
      </c>
    </row>
    <row r="271" spans="4:16" x14ac:dyDescent="0.55000000000000004">
      <c r="D271">
        <v>264</v>
      </c>
      <c r="E271">
        <v>6.597425907748045</v>
      </c>
      <c r="F271">
        <v>3.4025740922519567</v>
      </c>
      <c r="G271">
        <v>6.1334026522222507</v>
      </c>
      <c r="H271">
        <v>3.8665973477777489</v>
      </c>
      <c r="I271">
        <v>338.36479479671482</v>
      </c>
      <c r="J271">
        <v>4.7817084326921533</v>
      </c>
      <c r="K271">
        <v>317.58598101085749</v>
      </c>
      <c r="L271">
        <v>4.4283463462094632</v>
      </c>
      <c r="M271">
        <v>364.56625035948269</v>
      </c>
      <c r="N271">
        <v>4.7970617485356932</v>
      </c>
      <c r="O271">
        <v>345.93626568183896</v>
      </c>
      <c r="P271">
        <v>4.442313373405006</v>
      </c>
    </row>
    <row r="272" spans="4:16" x14ac:dyDescent="0.55000000000000004">
      <c r="D272">
        <v>265</v>
      </c>
      <c r="E272">
        <v>5.8935797625357882</v>
      </c>
      <c r="F272">
        <v>4.1064202374642127</v>
      </c>
      <c r="G272">
        <v>7.1504041064148618</v>
      </c>
      <c r="H272">
        <v>2.8495958935851373</v>
      </c>
      <c r="I272">
        <v>287.4349514943861</v>
      </c>
      <c r="J272">
        <v>4.9279369160951427</v>
      </c>
      <c r="K272">
        <v>270.39770298840995</v>
      </c>
      <c r="L272">
        <v>4.5654410774281899</v>
      </c>
      <c r="M272">
        <v>398.73135518714122</v>
      </c>
      <c r="N272">
        <v>4.9125692377407475</v>
      </c>
      <c r="O272">
        <v>376.25350348636334</v>
      </c>
      <c r="P272">
        <v>4.5514374177586543</v>
      </c>
    </row>
    <row r="273" spans="4:16" x14ac:dyDescent="0.55000000000000004">
      <c r="D273">
        <v>266</v>
      </c>
      <c r="E273">
        <v>7.3024265712202681</v>
      </c>
      <c r="F273">
        <v>2.6975734287797311</v>
      </c>
      <c r="G273">
        <v>6.2040900695255257</v>
      </c>
      <c r="H273">
        <v>3.7959099304744743</v>
      </c>
      <c r="I273">
        <v>346.3090725761034</v>
      </c>
      <c r="J273">
        <v>4.6614119442181625</v>
      </c>
      <c r="K273">
        <v>324.00068410236508</v>
      </c>
      <c r="L273">
        <v>4.3164557004834601</v>
      </c>
      <c r="M273">
        <v>344.22174358091058</v>
      </c>
      <c r="N273">
        <v>4.7123379777874259</v>
      </c>
      <c r="O273">
        <v>326.6964561024036</v>
      </c>
      <c r="P273">
        <v>4.3627052730679274</v>
      </c>
    </row>
    <row r="274" spans="4:16" x14ac:dyDescent="0.55000000000000004">
      <c r="D274">
        <v>267</v>
      </c>
      <c r="E274">
        <v>5.4285937741736019</v>
      </c>
      <c r="F274">
        <v>4.5714062258263972</v>
      </c>
      <c r="G274">
        <v>5.6350383420837273</v>
      </c>
      <c r="H274">
        <v>4.3649616579162736</v>
      </c>
      <c r="I274">
        <v>258.66877097416528</v>
      </c>
      <c r="J274">
        <v>4.9556758906688616</v>
      </c>
      <c r="K274">
        <v>244.20928520069901</v>
      </c>
      <c r="L274">
        <v>4.5913863284192544</v>
      </c>
      <c r="M274">
        <v>318.50571307686187</v>
      </c>
      <c r="N274">
        <v>4.9539902844180501</v>
      </c>
      <c r="O274">
        <v>303.20318311578882</v>
      </c>
      <c r="P274">
        <v>4.5898451817512571</v>
      </c>
    </row>
    <row r="275" spans="4:16" x14ac:dyDescent="0.55000000000000004">
      <c r="D275">
        <v>268</v>
      </c>
      <c r="E275">
        <v>5.282699429829008</v>
      </c>
      <c r="F275">
        <v>4.7173005701709938</v>
      </c>
      <c r="G275">
        <v>5.8561105028035687</v>
      </c>
      <c r="H275">
        <v>4.1438894971964331</v>
      </c>
      <c r="I275">
        <v>269.60793299463376</v>
      </c>
      <c r="J275">
        <v>4.891305479181054</v>
      </c>
      <c r="K275">
        <v>254.58267505958671</v>
      </c>
      <c r="L275">
        <v>4.5305957649040485</v>
      </c>
      <c r="M275">
        <v>348.87254972977701</v>
      </c>
      <c r="N275">
        <v>4.87950722288479</v>
      </c>
      <c r="O275">
        <v>331.36025833306053</v>
      </c>
      <c r="P275">
        <v>4.5198001753593688</v>
      </c>
    </row>
    <row r="276" spans="4:16" x14ac:dyDescent="0.55000000000000004">
      <c r="D276">
        <v>269</v>
      </c>
      <c r="E276">
        <v>5.9065914488230149</v>
      </c>
      <c r="F276">
        <v>4.0934085511769851</v>
      </c>
      <c r="G276">
        <v>6.3750230608820582</v>
      </c>
      <c r="H276">
        <v>3.6249769391179409</v>
      </c>
      <c r="I276">
        <v>263.79487555843752</v>
      </c>
      <c r="J276">
        <v>4.8803961063236034</v>
      </c>
      <c r="K276">
        <v>248.49562471680474</v>
      </c>
      <c r="L276">
        <v>4.5205654828104942</v>
      </c>
      <c r="M276">
        <v>334.7155469611256</v>
      </c>
      <c r="N276">
        <v>4.8709107296543674</v>
      </c>
      <c r="O276">
        <v>317.54447458823375</v>
      </c>
      <c r="P276">
        <v>4.5119287850359191</v>
      </c>
    </row>
    <row r="277" spans="4:16" x14ac:dyDescent="0.55000000000000004">
      <c r="D277">
        <v>270</v>
      </c>
      <c r="E277">
        <v>5.9359330572501632</v>
      </c>
      <c r="F277">
        <v>4.0640669427498368</v>
      </c>
      <c r="G277">
        <v>6.5851270851548538</v>
      </c>
      <c r="H277">
        <v>3.4148729148451458</v>
      </c>
      <c r="I277">
        <v>290.85706443743328</v>
      </c>
      <c r="J277">
        <v>4.8416800808741902</v>
      </c>
      <c r="K277">
        <v>273.80853572054525</v>
      </c>
      <c r="L277">
        <v>4.4841927082217419</v>
      </c>
      <c r="M277">
        <v>372.66717202886639</v>
      </c>
      <c r="N277">
        <v>4.8243651372918519</v>
      </c>
      <c r="O277">
        <v>352.78291892964199</v>
      </c>
      <c r="P277">
        <v>4.4684213120025813</v>
      </c>
    </row>
    <row r="278" spans="4:16" x14ac:dyDescent="0.55000000000000004">
      <c r="D278">
        <v>271</v>
      </c>
      <c r="E278">
        <v>7.2243431534394649</v>
      </c>
      <c r="F278">
        <v>2.7756568465605325</v>
      </c>
      <c r="G278">
        <v>6.1603388711073039</v>
      </c>
      <c r="H278">
        <v>3.8396611288926947</v>
      </c>
      <c r="I278">
        <v>373.06433813451719</v>
      </c>
      <c r="J278">
        <v>4.8265443410664952</v>
      </c>
      <c r="K278">
        <v>349.11703033728776</v>
      </c>
      <c r="L278">
        <v>4.470911339907425</v>
      </c>
      <c r="M278">
        <v>368.11926632247872</v>
      </c>
      <c r="N278">
        <v>4.8520909630887523</v>
      </c>
      <c r="O278">
        <v>349.18814620319256</v>
      </c>
      <c r="P278">
        <v>4.4941256936046985</v>
      </c>
    </row>
    <row r="279" spans="4:16" x14ac:dyDescent="0.55000000000000004">
      <c r="D279">
        <v>272</v>
      </c>
      <c r="E279">
        <v>7.0700001456945119</v>
      </c>
      <c r="F279">
        <v>2.9299998543054868</v>
      </c>
      <c r="G279">
        <v>6.1359674030983644</v>
      </c>
      <c r="H279">
        <v>3.8640325969016356</v>
      </c>
      <c r="I279">
        <v>343.39301310243343</v>
      </c>
      <c r="J279">
        <v>4.795943397693728</v>
      </c>
      <c r="K279">
        <v>321.51102581540135</v>
      </c>
      <c r="L279">
        <v>4.4421792063350081</v>
      </c>
      <c r="M279">
        <v>348.02663245083681</v>
      </c>
      <c r="N279">
        <v>4.8229017490330923</v>
      </c>
      <c r="O279">
        <v>330.24798582325866</v>
      </c>
      <c r="P279">
        <v>4.4666992035986475</v>
      </c>
    </row>
    <row r="280" spans="4:16" x14ac:dyDescent="0.55000000000000004">
      <c r="D280">
        <v>273</v>
      </c>
      <c r="E280">
        <v>7.3823834420897683</v>
      </c>
      <c r="F280">
        <v>2.617616557910234</v>
      </c>
      <c r="G280">
        <v>7.0583830814491026</v>
      </c>
      <c r="H280">
        <v>2.9416169185508974</v>
      </c>
      <c r="I280">
        <v>368.81066747559777</v>
      </c>
      <c r="J280">
        <v>4.6471975288606728</v>
      </c>
      <c r="K280">
        <v>344.75190219647607</v>
      </c>
      <c r="L280">
        <v>4.3034447623559027</v>
      </c>
      <c r="M280">
        <v>402.62418919150696</v>
      </c>
      <c r="N280">
        <v>4.662681434401577</v>
      </c>
      <c r="O280">
        <v>380.05288723138011</v>
      </c>
      <c r="P280">
        <v>4.317505767799414</v>
      </c>
    </row>
    <row r="281" spans="4:16" x14ac:dyDescent="0.55000000000000004">
      <c r="D281">
        <v>274</v>
      </c>
      <c r="E281">
        <v>7.6953535958506158</v>
      </c>
      <c r="F281">
        <v>2.3046464041493815</v>
      </c>
      <c r="G281">
        <v>5.4519722942041415</v>
      </c>
      <c r="H281">
        <v>4.5480277057958585</v>
      </c>
      <c r="I281">
        <v>377.51372680624814</v>
      </c>
      <c r="J281">
        <v>4.8921327435686797</v>
      </c>
      <c r="K281">
        <v>352.52462137222415</v>
      </c>
      <c r="L281">
        <v>4.532505634747829</v>
      </c>
      <c r="M281">
        <v>317.45936409461518</v>
      </c>
      <c r="N281">
        <v>4.9235786522100202</v>
      </c>
      <c r="O281">
        <v>302.35915188546784</v>
      </c>
      <c r="P281">
        <v>4.5611259831364777</v>
      </c>
    </row>
    <row r="282" spans="4:16" x14ac:dyDescent="0.55000000000000004">
      <c r="D282">
        <v>275</v>
      </c>
      <c r="E282">
        <v>5.2506781754116449</v>
      </c>
      <c r="F282">
        <v>4.7493218245883551</v>
      </c>
      <c r="G282">
        <v>5.8620076603316154</v>
      </c>
      <c r="H282">
        <v>4.1379923396683864</v>
      </c>
      <c r="I282">
        <v>263.32770736273881</v>
      </c>
      <c r="J282">
        <v>4.8294636834124232</v>
      </c>
      <c r="K282">
        <v>248.74766529539153</v>
      </c>
      <c r="L282">
        <v>4.4721387486582547</v>
      </c>
      <c r="M282">
        <v>343.98660252433359</v>
      </c>
      <c r="N282">
        <v>4.8096083666139497</v>
      </c>
      <c r="O282">
        <v>326.79497514097875</v>
      </c>
      <c r="P282">
        <v>4.4539747470073836</v>
      </c>
    </row>
    <row r="283" spans="4:16" x14ac:dyDescent="0.55000000000000004">
      <c r="D283">
        <v>276</v>
      </c>
      <c r="E283">
        <v>6.7949195245864304</v>
      </c>
      <c r="F283">
        <v>3.2050804754135687</v>
      </c>
      <c r="G283">
        <v>6.1869170571484426</v>
      </c>
      <c r="H283">
        <v>3.8130829428515547</v>
      </c>
      <c r="I283">
        <v>334.38009099956764</v>
      </c>
      <c r="J283">
        <v>5.0015298978235077</v>
      </c>
      <c r="K283">
        <v>313.37985931824022</v>
      </c>
      <c r="L283">
        <v>4.6346665518451449</v>
      </c>
      <c r="M283">
        <v>354.46010156418868</v>
      </c>
      <c r="N283">
        <v>5.0013930041269354</v>
      </c>
      <c r="O283">
        <v>336.13541920378668</v>
      </c>
      <c r="P283">
        <v>4.6345418996581396</v>
      </c>
    </row>
    <row r="284" spans="4:16" x14ac:dyDescent="0.55000000000000004">
      <c r="D284">
        <v>277</v>
      </c>
      <c r="E284">
        <v>6.4180342902668119</v>
      </c>
      <c r="F284">
        <v>3.5819657097331912</v>
      </c>
      <c r="G284">
        <v>6.1001062601658571</v>
      </c>
      <c r="H284">
        <v>3.8998937398341429</v>
      </c>
      <c r="I284">
        <v>318.81252252300447</v>
      </c>
      <c r="J284">
        <v>4.8618656962840561</v>
      </c>
      <c r="K284">
        <v>299.26917094539795</v>
      </c>
      <c r="L284">
        <v>4.5035661283921504</v>
      </c>
      <c r="M284">
        <v>353.01961262675019</v>
      </c>
      <c r="N284">
        <v>4.8687084093459623</v>
      </c>
      <c r="O284">
        <v>334.86919162677401</v>
      </c>
      <c r="P284">
        <v>4.5098053159276983</v>
      </c>
    </row>
    <row r="285" spans="4:16" x14ac:dyDescent="0.55000000000000004">
      <c r="D285">
        <v>278</v>
      </c>
      <c r="E285">
        <v>6.1790949861505693</v>
      </c>
      <c r="F285">
        <v>3.8209050138494312</v>
      </c>
      <c r="G285">
        <v>6.0370909376238941</v>
      </c>
      <c r="H285">
        <v>3.9629090623761036</v>
      </c>
      <c r="I285">
        <v>304.29253580534726</v>
      </c>
      <c r="J285">
        <v>4.7098498815424517</v>
      </c>
      <c r="K285">
        <v>286.27483530521283</v>
      </c>
      <c r="L285">
        <v>4.360262921360829</v>
      </c>
      <c r="M285">
        <v>347.29947741772617</v>
      </c>
      <c r="N285">
        <v>4.7165179278492015</v>
      </c>
      <c r="O285">
        <v>329.90876970787508</v>
      </c>
      <c r="P285">
        <v>4.3663331152362295</v>
      </c>
    </row>
    <row r="286" spans="4:16" x14ac:dyDescent="0.55000000000000004">
      <c r="D286">
        <v>279</v>
      </c>
      <c r="E286">
        <v>7.2752720262527104</v>
      </c>
      <c r="F286">
        <v>2.7247279737472914</v>
      </c>
      <c r="G286">
        <v>5.5197616771637286</v>
      </c>
      <c r="H286">
        <v>4.4802383228362714</v>
      </c>
      <c r="I286">
        <v>368.86393496356595</v>
      </c>
      <c r="J286">
        <v>4.8844398786086609</v>
      </c>
      <c r="K286">
        <v>344.98148083606151</v>
      </c>
      <c r="L286">
        <v>4.525154667952302</v>
      </c>
      <c r="M286">
        <v>329.85771596617724</v>
      </c>
      <c r="N286">
        <v>4.9123243327311217</v>
      </c>
      <c r="O286">
        <v>313.87315962388993</v>
      </c>
      <c r="P286">
        <v>4.5505648166729999</v>
      </c>
    </row>
    <row r="287" spans="4:16" x14ac:dyDescent="0.55000000000000004">
      <c r="D287">
        <v>280</v>
      </c>
      <c r="E287">
        <v>6.5459797905907653</v>
      </c>
      <c r="F287">
        <v>3.4540202094092338</v>
      </c>
      <c r="G287">
        <v>7.1797086106435533</v>
      </c>
      <c r="H287">
        <v>2.8202913893564467</v>
      </c>
      <c r="I287">
        <v>325.05557315311182</v>
      </c>
      <c r="J287">
        <v>4.8510127648295267</v>
      </c>
      <c r="K287">
        <v>304.93646096008274</v>
      </c>
      <c r="L287">
        <v>4.4934669738537574</v>
      </c>
      <c r="M287">
        <v>406.52482472672733</v>
      </c>
      <c r="N287">
        <v>4.836589025715142</v>
      </c>
      <c r="O287">
        <v>383.55281287293974</v>
      </c>
      <c r="P287">
        <v>4.4803508438615678</v>
      </c>
    </row>
    <row r="288" spans="4:16" x14ac:dyDescent="0.55000000000000004">
      <c r="D288">
        <v>281</v>
      </c>
      <c r="E288">
        <v>7.4597759224756199</v>
      </c>
      <c r="F288">
        <v>2.5402240775243801</v>
      </c>
      <c r="G288">
        <v>5.803577270622962</v>
      </c>
      <c r="H288">
        <v>4.1964227293770389</v>
      </c>
      <c r="I288">
        <v>378.06384107557005</v>
      </c>
      <c r="J288">
        <v>4.8434870225175031</v>
      </c>
      <c r="K288">
        <v>353.29254668498839</v>
      </c>
      <c r="L288">
        <v>4.4869747180461825</v>
      </c>
      <c r="M288">
        <v>344.12716115237453</v>
      </c>
      <c r="N288">
        <v>4.8782355974073948</v>
      </c>
      <c r="O288">
        <v>326.86454911966001</v>
      </c>
      <c r="P288">
        <v>4.5186148067358163</v>
      </c>
    </row>
    <row r="289" spans="4:16" x14ac:dyDescent="0.55000000000000004">
      <c r="D289">
        <v>282</v>
      </c>
      <c r="E289">
        <v>6.8777026795609109</v>
      </c>
      <c r="F289">
        <v>3.1222973204390914</v>
      </c>
      <c r="G289">
        <v>6.9939692213252265</v>
      </c>
      <c r="H289">
        <v>3.0060307786747713</v>
      </c>
      <c r="I289">
        <v>339.12291421751064</v>
      </c>
      <c r="J289">
        <v>4.9022403759388364</v>
      </c>
      <c r="K289">
        <v>317.46697766559458</v>
      </c>
      <c r="L289">
        <v>4.5417159119375823</v>
      </c>
      <c r="M289">
        <v>394.85573668834547</v>
      </c>
      <c r="N289">
        <v>4.9005877640212621</v>
      </c>
      <c r="O289">
        <v>372.68733958534074</v>
      </c>
      <c r="P289">
        <v>4.5402110280228065</v>
      </c>
    </row>
    <row r="290" spans="4:16" x14ac:dyDescent="0.55000000000000004">
      <c r="D290">
        <v>283</v>
      </c>
      <c r="E290">
        <v>7.5904270564707392</v>
      </c>
      <c r="F290">
        <v>2.4095729435292599</v>
      </c>
      <c r="G290">
        <v>6.0035706013544754</v>
      </c>
      <c r="H290">
        <v>3.996429398645525</v>
      </c>
      <c r="I290">
        <v>372.82052760931975</v>
      </c>
      <c r="J290">
        <v>4.8639953628137835</v>
      </c>
      <c r="K290">
        <v>347.94239108784484</v>
      </c>
      <c r="L290">
        <v>4.5063036245007932</v>
      </c>
      <c r="M290">
        <v>344.87858093948665</v>
      </c>
      <c r="N290">
        <v>4.8924285240626899</v>
      </c>
      <c r="O290">
        <v>326.80726071876268</v>
      </c>
      <c r="P290">
        <v>4.5322536644813693</v>
      </c>
    </row>
    <row r="291" spans="4:16" x14ac:dyDescent="0.55000000000000004">
      <c r="D291">
        <v>284</v>
      </c>
      <c r="E291">
        <v>6.5645243780967437</v>
      </c>
      <c r="F291">
        <v>3.4354756219032554</v>
      </c>
      <c r="G291">
        <v>6.5007632776093871</v>
      </c>
      <c r="H291">
        <v>3.4992367223906133</v>
      </c>
      <c r="I291">
        <v>336.52076245310872</v>
      </c>
      <c r="J291">
        <v>4.804983531424055</v>
      </c>
      <c r="K291">
        <v>314.9941264197459</v>
      </c>
      <c r="L291">
        <v>4.450691125792348</v>
      </c>
      <c r="M291">
        <v>383.25214268494267</v>
      </c>
      <c r="N291">
        <v>4.8068777226759059</v>
      </c>
      <c r="O291">
        <v>362.00296994930164</v>
      </c>
      <c r="P291">
        <v>4.4524245248479417</v>
      </c>
    </row>
    <row r="292" spans="4:16" x14ac:dyDescent="0.55000000000000004">
      <c r="D292">
        <v>285</v>
      </c>
      <c r="E292">
        <v>6.1548769985203347</v>
      </c>
      <c r="F292">
        <v>3.8451230014796649</v>
      </c>
      <c r="G292">
        <v>5.9984087470797709</v>
      </c>
      <c r="H292">
        <v>4.0015912529202291</v>
      </c>
      <c r="I292">
        <v>285.85571909438454</v>
      </c>
      <c r="J292">
        <v>4.8361185190311176</v>
      </c>
      <c r="K292">
        <v>268.83114333391404</v>
      </c>
      <c r="L292">
        <v>4.4791114688924987</v>
      </c>
      <c r="M292">
        <v>328.58874291569947</v>
      </c>
      <c r="N292">
        <v>4.8402846865722156</v>
      </c>
      <c r="O292">
        <v>312.20760829378116</v>
      </c>
      <c r="P292">
        <v>4.4829087507347696</v>
      </c>
    </row>
    <row r="293" spans="4:16" x14ac:dyDescent="0.55000000000000004">
      <c r="D293">
        <v>286</v>
      </c>
      <c r="E293">
        <v>7.532136628822256</v>
      </c>
      <c r="F293">
        <v>2.4678633711777431</v>
      </c>
      <c r="G293">
        <v>7.3921882051538166</v>
      </c>
      <c r="H293">
        <v>2.6078117948461839</v>
      </c>
      <c r="I293">
        <v>365.83158446388848</v>
      </c>
      <c r="J293">
        <v>4.8036628938084576</v>
      </c>
      <c r="K293">
        <v>341.60002805233347</v>
      </c>
      <c r="L293">
        <v>4.449900395398573</v>
      </c>
      <c r="M293">
        <v>409.03436926495829</v>
      </c>
      <c r="N293">
        <v>4.8073108717824615</v>
      </c>
      <c r="O293">
        <v>385.42236855228214</v>
      </c>
      <c r="P293">
        <v>4.4532158657974836</v>
      </c>
    </row>
    <row r="294" spans="4:16" x14ac:dyDescent="0.55000000000000004">
      <c r="D294">
        <v>287</v>
      </c>
      <c r="E294">
        <v>6.5468325782627845</v>
      </c>
      <c r="F294">
        <v>3.4531674217372164</v>
      </c>
      <c r="G294">
        <v>5.249639040753272</v>
      </c>
      <c r="H294">
        <v>4.750360959246728</v>
      </c>
      <c r="I294">
        <v>323.11660477683353</v>
      </c>
      <c r="J294">
        <v>4.8795198751643403</v>
      </c>
      <c r="K294">
        <v>303.22061335281899</v>
      </c>
      <c r="L294">
        <v>4.5201712080199448</v>
      </c>
      <c r="M294">
        <v>309.09407684932921</v>
      </c>
      <c r="N294">
        <v>4.9033918831112153</v>
      </c>
      <c r="O294">
        <v>294.77024003733243</v>
      </c>
      <c r="P294">
        <v>4.5419655329467137</v>
      </c>
    </row>
    <row r="295" spans="4:16" x14ac:dyDescent="0.55000000000000004">
      <c r="D295">
        <v>288</v>
      </c>
      <c r="E295">
        <v>6.2170284462101426</v>
      </c>
      <c r="F295">
        <v>3.7829715537898569</v>
      </c>
      <c r="G295">
        <v>6.6085276155754853</v>
      </c>
      <c r="H295">
        <v>3.391472384424512</v>
      </c>
      <c r="I295">
        <v>297.41816448668345</v>
      </c>
      <c r="J295">
        <v>4.8374806528767813</v>
      </c>
      <c r="K295">
        <v>279.08335229620144</v>
      </c>
      <c r="L295">
        <v>4.4807321514698026</v>
      </c>
      <c r="M295">
        <v>366.14720286219256</v>
      </c>
      <c r="N295">
        <v>4.8272464726804003</v>
      </c>
      <c r="O295">
        <v>346.19232308639113</v>
      </c>
      <c r="P295">
        <v>4.4713832310110568</v>
      </c>
    </row>
    <row r="296" spans="4:16" x14ac:dyDescent="0.55000000000000004">
      <c r="D296">
        <v>289</v>
      </c>
      <c r="E296">
        <v>7.181263860540942</v>
      </c>
      <c r="F296">
        <v>2.8187361394590562</v>
      </c>
      <c r="G296">
        <v>6.0033269961599993</v>
      </c>
      <c r="H296">
        <v>3.9966730038400007</v>
      </c>
      <c r="I296">
        <v>360.58144602436789</v>
      </c>
      <c r="J296">
        <v>4.8227736448654825</v>
      </c>
      <c r="K296">
        <v>337.63208312893573</v>
      </c>
      <c r="L296">
        <v>4.4672860302087152</v>
      </c>
      <c r="M296">
        <v>351.43556500226373</v>
      </c>
      <c r="N296">
        <v>4.8518439396084316</v>
      </c>
      <c r="O296">
        <v>333.93451919431988</v>
      </c>
      <c r="P296">
        <v>4.4936784684238855</v>
      </c>
    </row>
    <row r="297" spans="4:16" x14ac:dyDescent="0.55000000000000004">
      <c r="D297">
        <v>290</v>
      </c>
      <c r="E297">
        <v>6.2184549300048575</v>
      </c>
      <c r="F297">
        <v>3.7815450699951434</v>
      </c>
      <c r="G297">
        <v>5.505863938450414</v>
      </c>
      <c r="H297">
        <v>4.494136061549586</v>
      </c>
      <c r="I297">
        <v>309.15478035011193</v>
      </c>
      <c r="J297">
        <v>4.884182157208623</v>
      </c>
      <c r="K297">
        <v>290.49188241537206</v>
      </c>
      <c r="L297">
        <v>4.5244065265303623</v>
      </c>
      <c r="M297">
        <v>323.72782719965943</v>
      </c>
      <c r="N297">
        <v>4.8974540635524608</v>
      </c>
      <c r="O297">
        <v>308.12428345572346</v>
      </c>
      <c r="P297">
        <v>4.536532315054794</v>
      </c>
    </row>
    <row r="298" spans="4:16" x14ac:dyDescent="0.55000000000000004">
      <c r="D298">
        <v>291</v>
      </c>
      <c r="E298">
        <v>7.7223223504765892</v>
      </c>
      <c r="F298">
        <v>2.2776776495234108</v>
      </c>
      <c r="G298">
        <v>6.1264941374163211</v>
      </c>
      <c r="H298">
        <v>3.8735058625836767</v>
      </c>
      <c r="I298">
        <v>378.74667533183589</v>
      </c>
      <c r="J298">
        <v>4.8039719289037759</v>
      </c>
      <c r="K298">
        <v>353.62946300532565</v>
      </c>
      <c r="L298">
        <v>4.4502045916445638</v>
      </c>
      <c r="M298">
        <v>350.47816973649259</v>
      </c>
      <c r="N298">
        <v>4.8444813912403006</v>
      </c>
      <c r="O298">
        <v>332.50559349450168</v>
      </c>
      <c r="P298">
        <v>4.487016201771282</v>
      </c>
    </row>
    <row r="299" spans="4:16" x14ac:dyDescent="0.55000000000000004">
      <c r="D299">
        <v>292</v>
      </c>
      <c r="E299">
        <v>7.8181293327420587</v>
      </c>
      <c r="F299">
        <v>2.1818706672579395</v>
      </c>
      <c r="G299">
        <v>7.3808019989379989</v>
      </c>
      <c r="H299">
        <v>2.6191980010620011</v>
      </c>
      <c r="I299">
        <v>406.86956034565361</v>
      </c>
      <c r="J299">
        <v>4.8580405305740761</v>
      </c>
      <c r="K299">
        <v>379.26754421640118</v>
      </c>
      <c r="L299">
        <v>4.5009037927218829</v>
      </c>
      <c r="M299">
        <v>434.11025662234385</v>
      </c>
      <c r="N299">
        <v>4.8659814015458931</v>
      </c>
      <c r="O299">
        <v>408.5333759866441</v>
      </c>
      <c r="P299">
        <v>4.5081380805815687</v>
      </c>
    </row>
    <row r="300" spans="4:16" x14ac:dyDescent="0.55000000000000004">
      <c r="D300">
        <v>293</v>
      </c>
      <c r="E300">
        <v>7.0246084056565987</v>
      </c>
      <c r="F300">
        <v>2.9753915943433977</v>
      </c>
      <c r="G300">
        <v>6.2065367629006403</v>
      </c>
      <c r="H300">
        <v>3.7934632370993584</v>
      </c>
      <c r="I300">
        <v>343.41347008112604</v>
      </c>
      <c r="J300">
        <v>4.7574615491023309</v>
      </c>
      <c r="K300">
        <v>321.40663839636505</v>
      </c>
      <c r="L300">
        <v>4.4062367831328366</v>
      </c>
      <c r="M300">
        <v>353.42023410407643</v>
      </c>
      <c r="N300">
        <v>4.7857070850097241</v>
      </c>
      <c r="O300">
        <v>334.9689965873057</v>
      </c>
      <c r="P300">
        <v>4.4319711528319798</v>
      </c>
    </row>
    <row r="301" spans="4:16" x14ac:dyDescent="0.55000000000000004">
      <c r="D301">
        <v>294</v>
      </c>
      <c r="E301">
        <v>7.2932972564813774</v>
      </c>
      <c r="F301">
        <v>2.7067027435186231</v>
      </c>
      <c r="G301">
        <v>6.1576087417560723</v>
      </c>
      <c r="H301">
        <v>3.8423912582439299</v>
      </c>
      <c r="I301">
        <v>362.21775839088207</v>
      </c>
      <c r="J301">
        <v>4.9000399036694846</v>
      </c>
      <c r="K301">
        <v>338.71749850055602</v>
      </c>
      <c r="L301">
        <v>4.5397579334512876</v>
      </c>
      <c r="M301">
        <v>355.81438779351629</v>
      </c>
      <c r="N301">
        <v>4.9156053645771038</v>
      </c>
      <c r="O301">
        <v>337.39114250014075</v>
      </c>
      <c r="P301">
        <v>4.5539223065976735</v>
      </c>
    </row>
    <row r="302" spans="4:16" x14ac:dyDescent="0.55000000000000004">
      <c r="D302">
        <v>295</v>
      </c>
      <c r="E302">
        <v>7.7422715131912874</v>
      </c>
      <c r="F302">
        <v>2.2577284868087162</v>
      </c>
      <c r="G302">
        <v>4.6368636327328385</v>
      </c>
      <c r="H302">
        <v>5.3631363672671615</v>
      </c>
      <c r="I302">
        <v>393.54110255415497</v>
      </c>
      <c r="J302">
        <v>4.7293467661133608</v>
      </c>
      <c r="K302">
        <v>367.36005780464751</v>
      </c>
      <c r="L302">
        <v>4.3805852065863542</v>
      </c>
      <c r="M302">
        <v>285.69264179250962</v>
      </c>
      <c r="N302">
        <v>4.8379051761292198</v>
      </c>
      <c r="O302">
        <v>273.25658795532337</v>
      </c>
      <c r="P302">
        <v>4.4796906618383581</v>
      </c>
    </row>
    <row r="303" spans="4:16" x14ac:dyDescent="0.55000000000000004">
      <c r="D303">
        <v>296</v>
      </c>
      <c r="E303">
        <v>7.3466746461550301</v>
      </c>
      <c r="F303">
        <v>2.6533253538449677</v>
      </c>
      <c r="G303">
        <v>6.4334106528302124</v>
      </c>
      <c r="H303">
        <v>3.5665893471697885</v>
      </c>
      <c r="I303">
        <v>361.77008142096287</v>
      </c>
      <c r="J303">
        <v>4.7160640130554228</v>
      </c>
      <c r="K303">
        <v>338.13603471640431</v>
      </c>
      <c r="L303">
        <v>4.3678459797809284</v>
      </c>
      <c r="M303">
        <v>366.79849833923936</v>
      </c>
      <c r="N303">
        <v>4.7513600518450749</v>
      </c>
      <c r="O303">
        <v>347.2050504067783</v>
      </c>
      <c r="P303">
        <v>4.399970746375554</v>
      </c>
    </row>
    <row r="304" spans="4:16" x14ac:dyDescent="0.55000000000000004">
      <c r="D304">
        <v>297</v>
      </c>
      <c r="E304">
        <v>7.2144412041786667</v>
      </c>
      <c r="F304">
        <v>2.785558795821335</v>
      </c>
      <c r="G304">
        <v>4.743930686616431</v>
      </c>
      <c r="H304">
        <v>5.256069313383569</v>
      </c>
      <c r="I304">
        <v>371.7222120870623</v>
      </c>
      <c r="J304">
        <v>4.778474698855705</v>
      </c>
      <c r="K304">
        <v>347.57875524554714</v>
      </c>
      <c r="L304">
        <v>4.4260955631839272</v>
      </c>
      <c r="M304">
        <v>294.4297983599015</v>
      </c>
      <c r="N304">
        <v>4.8543337392019099</v>
      </c>
      <c r="O304">
        <v>281.1112113585811</v>
      </c>
      <c r="P304">
        <v>4.4955035966405168</v>
      </c>
    </row>
    <row r="305" spans="4:16" x14ac:dyDescent="0.55000000000000004">
      <c r="D305">
        <v>298</v>
      </c>
      <c r="E305">
        <v>6.1686745455295862</v>
      </c>
      <c r="F305">
        <v>3.8313254544704147</v>
      </c>
      <c r="G305">
        <v>5.8592428253054054</v>
      </c>
      <c r="H305">
        <v>4.1407571746945946</v>
      </c>
      <c r="I305">
        <v>321.51221666195943</v>
      </c>
      <c r="J305">
        <v>4.76199912470807</v>
      </c>
      <c r="K305">
        <v>302.21891601164572</v>
      </c>
      <c r="L305">
        <v>4.4095138148619046</v>
      </c>
      <c r="M305">
        <v>355.38459029092689</v>
      </c>
      <c r="N305">
        <v>4.7739376732103267</v>
      </c>
      <c r="O305">
        <v>337.50139179175642</v>
      </c>
      <c r="P305">
        <v>4.4204085288570081</v>
      </c>
    </row>
    <row r="306" spans="4:16" x14ac:dyDescent="0.55000000000000004">
      <c r="D306">
        <v>299</v>
      </c>
      <c r="E306">
        <v>5.6927646219139429</v>
      </c>
      <c r="F306">
        <v>4.3072353780860562</v>
      </c>
      <c r="G306">
        <v>6.1352653118686167</v>
      </c>
      <c r="H306">
        <v>3.8647346881313838</v>
      </c>
      <c r="I306">
        <v>273.50506796845036</v>
      </c>
      <c r="J306">
        <v>4.9341610525572541</v>
      </c>
      <c r="K306">
        <v>257.81131990260656</v>
      </c>
      <c r="L306">
        <v>4.5711716348463556</v>
      </c>
      <c r="M306">
        <v>344.76471759742964</v>
      </c>
      <c r="N306">
        <v>4.929043366932742</v>
      </c>
      <c r="O306">
        <v>327.20966967855878</v>
      </c>
      <c r="P306">
        <v>4.5665020068176636</v>
      </c>
    </row>
    <row r="307" spans="4:16" x14ac:dyDescent="0.55000000000000004">
      <c r="D307">
        <v>300</v>
      </c>
      <c r="E307">
        <v>6.6986260924974959</v>
      </c>
      <c r="F307">
        <v>3.3013739075025059</v>
      </c>
      <c r="G307">
        <v>5.8716533675491265</v>
      </c>
      <c r="H307">
        <v>4.1283466324508726</v>
      </c>
      <c r="I307">
        <v>325.95064098097242</v>
      </c>
      <c r="J307">
        <v>4.8020339578947162</v>
      </c>
      <c r="K307">
        <v>305.56045376617294</v>
      </c>
      <c r="L307">
        <v>4.4476506700355793</v>
      </c>
      <c r="M307">
        <v>335.71070430610683</v>
      </c>
      <c r="N307">
        <v>4.8264736735955829</v>
      </c>
      <c r="O307">
        <v>318.86564078933873</v>
      </c>
      <c r="P307">
        <v>4.4699372557252239</v>
      </c>
    </row>
    <row r="308" spans="4:16" x14ac:dyDescent="0.55000000000000004">
      <c r="D308">
        <v>301</v>
      </c>
      <c r="E308">
        <v>5.8696465185677438</v>
      </c>
      <c r="F308">
        <v>4.1303534814322562</v>
      </c>
      <c r="G308">
        <v>6.2519358312248858</v>
      </c>
      <c r="H308">
        <v>3.7480641687751128</v>
      </c>
      <c r="I308">
        <v>279.75194615521787</v>
      </c>
      <c r="J308">
        <v>4.8597971496925823</v>
      </c>
      <c r="K308">
        <v>263.73023792993195</v>
      </c>
      <c r="L308">
        <v>4.501059461352714</v>
      </c>
      <c r="M308">
        <v>347.9721539431772</v>
      </c>
      <c r="N308">
        <v>4.8506657563272322</v>
      </c>
      <c r="O308">
        <v>330.30896706016165</v>
      </c>
      <c r="P308">
        <v>4.4927507253082357</v>
      </c>
    </row>
    <row r="309" spans="4:16" x14ac:dyDescent="0.55000000000000004">
      <c r="D309">
        <v>302</v>
      </c>
      <c r="E309">
        <v>5.943287576166826</v>
      </c>
      <c r="F309">
        <v>4.0567124238331722</v>
      </c>
      <c r="G309">
        <v>5.6362288200544404</v>
      </c>
      <c r="H309">
        <v>4.3637711799455579</v>
      </c>
      <c r="I309">
        <v>308.68388375537387</v>
      </c>
      <c r="J309">
        <v>4.814551428441165</v>
      </c>
      <c r="K309">
        <v>290.54233678253399</v>
      </c>
      <c r="L309">
        <v>4.4586830951383263</v>
      </c>
      <c r="M309">
        <v>342.7357930457876</v>
      </c>
      <c r="N309">
        <v>4.8241325915560074</v>
      </c>
      <c r="O309">
        <v>325.97627137683463</v>
      </c>
      <c r="P309">
        <v>4.4674339764278068</v>
      </c>
    </row>
    <row r="310" spans="4:16" x14ac:dyDescent="0.55000000000000004">
      <c r="D310">
        <v>303</v>
      </c>
      <c r="E310">
        <v>5.9687489913857945</v>
      </c>
      <c r="F310">
        <v>4.0312510086142055</v>
      </c>
      <c r="G310">
        <v>6.7305112314749671</v>
      </c>
      <c r="H310">
        <v>3.2694887685250338</v>
      </c>
      <c r="I310">
        <v>303.23752217730265</v>
      </c>
      <c r="J310">
        <v>4.7509959906519903</v>
      </c>
      <c r="K310">
        <v>285.20644256567402</v>
      </c>
      <c r="L310">
        <v>4.3990349793983938</v>
      </c>
      <c r="M310">
        <v>391.93824397114048</v>
      </c>
      <c r="N310">
        <v>4.7192168268396273</v>
      </c>
      <c r="O310">
        <v>370.48994903064653</v>
      </c>
      <c r="P310">
        <v>4.3700618677908611</v>
      </c>
    </row>
    <row r="311" spans="4:16" x14ac:dyDescent="0.55000000000000004">
      <c r="D311">
        <v>304</v>
      </c>
      <c r="E311">
        <v>7.0578404156482035</v>
      </c>
      <c r="F311">
        <v>2.9421595843517947</v>
      </c>
      <c r="G311">
        <v>5.0121243186854461</v>
      </c>
      <c r="H311">
        <v>4.9878756813145531</v>
      </c>
      <c r="I311">
        <v>352.16597473937111</v>
      </c>
      <c r="J311">
        <v>4.8553085306980881</v>
      </c>
      <c r="K311">
        <v>329.88374507980933</v>
      </c>
      <c r="L311">
        <v>4.4976961797347936</v>
      </c>
      <c r="M311">
        <v>300.0906144450783</v>
      </c>
      <c r="N311">
        <v>4.8972473746520899</v>
      </c>
      <c r="O311">
        <v>286.89910192976106</v>
      </c>
      <c r="P311">
        <v>4.5358999972667151</v>
      </c>
    </row>
    <row r="312" spans="4:16" x14ac:dyDescent="0.55000000000000004">
      <c r="D312">
        <v>305</v>
      </c>
      <c r="E312">
        <v>6.8897615491624036</v>
      </c>
      <c r="F312">
        <v>3.1102384508375978</v>
      </c>
      <c r="G312">
        <v>6.6536576776514931</v>
      </c>
      <c r="H312">
        <v>3.346342322348506</v>
      </c>
      <c r="I312">
        <v>351.122164303185</v>
      </c>
      <c r="J312">
        <v>4.7659972264746235</v>
      </c>
      <c r="K312">
        <v>328.97671978750651</v>
      </c>
      <c r="L312">
        <v>4.4139886313595804</v>
      </c>
      <c r="M312">
        <v>389.08962852183413</v>
      </c>
      <c r="N312">
        <v>4.7740162210914017</v>
      </c>
      <c r="O312">
        <v>368.03830874438518</v>
      </c>
      <c r="P312">
        <v>4.4212784546241712</v>
      </c>
    </row>
    <row r="313" spans="4:16" x14ac:dyDescent="0.55000000000000004">
      <c r="D313">
        <v>306</v>
      </c>
      <c r="E313">
        <v>7.444249853011474</v>
      </c>
      <c r="F313">
        <v>2.5557501469885273</v>
      </c>
      <c r="G313">
        <v>6.3617265385473925</v>
      </c>
      <c r="H313">
        <v>3.638273461452608</v>
      </c>
      <c r="I313">
        <v>363.36641170141439</v>
      </c>
      <c r="J313">
        <v>4.7211103001436578</v>
      </c>
      <c r="K313">
        <v>339.67418602548463</v>
      </c>
      <c r="L313">
        <v>4.3725272101060506</v>
      </c>
      <c r="M313">
        <v>360.52661989877765</v>
      </c>
      <c r="N313">
        <v>4.7616657097845962</v>
      </c>
      <c r="O313">
        <v>341.67405550690813</v>
      </c>
      <c r="P313">
        <v>4.4093681000790923</v>
      </c>
    </row>
    <row r="314" spans="4:16" x14ac:dyDescent="0.55000000000000004">
      <c r="D314">
        <v>307</v>
      </c>
      <c r="E314">
        <v>6.6078693992879503</v>
      </c>
      <c r="F314">
        <v>3.3921306007120502</v>
      </c>
      <c r="G314">
        <v>6.1566262652806927</v>
      </c>
      <c r="H314">
        <v>3.8433737347193047</v>
      </c>
      <c r="I314">
        <v>329.38078001159283</v>
      </c>
      <c r="J314">
        <v>4.8112241834906033</v>
      </c>
      <c r="K314">
        <v>309.12749298820432</v>
      </c>
      <c r="L314">
        <v>4.4560645521465609</v>
      </c>
      <c r="M314">
        <v>356.88777864110534</v>
      </c>
      <c r="N314">
        <v>4.8241154478178974</v>
      </c>
      <c r="O314">
        <v>338.66524785160061</v>
      </c>
      <c r="P314">
        <v>4.4677919426553254</v>
      </c>
    </row>
    <row r="315" spans="4:16" x14ac:dyDescent="0.55000000000000004">
      <c r="D315">
        <v>308</v>
      </c>
      <c r="E315">
        <v>5.2743305173371899</v>
      </c>
      <c r="F315">
        <v>4.7256694826628101</v>
      </c>
      <c r="G315">
        <v>5.9347168989002643</v>
      </c>
      <c r="H315">
        <v>4.0652831010997375</v>
      </c>
      <c r="I315">
        <v>262.20630149154266</v>
      </c>
      <c r="J315">
        <v>4.9082601145945137</v>
      </c>
      <c r="K315">
        <v>247.3646236857341</v>
      </c>
      <c r="L315">
        <v>4.5466856093305292</v>
      </c>
      <c r="M315">
        <v>345.0365289670209</v>
      </c>
      <c r="N315">
        <v>4.8967735817030329</v>
      </c>
      <c r="O315">
        <v>327.44055413904675</v>
      </c>
      <c r="P315">
        <v>4.5361627408961898</v>
      </c>
    </row>
    <row r="316" spans="4:16" x14ac:dyDescent="0.55000000000000004">
      <c r="D316">
        <v>309</v>
      </c>
      <c r="E316">
        <v>5.7157586452602258</v>
      </c>
      <c r="F316">
        <v>4.2842413547397724</v>
      </c>
      <c r="G316">
        <v>4.7557446671476953</v>
      </c>
      <c r="H316">
        <v>5.2442553328523047</v>
      </c>
      <c r="I316">
        <v>281.44771346852315</v>
      </c>
      <c r="J316">
        <v>4.7599197487923757</v>
      </c>
      <c r="K316">
        <v>265.69684313915013</v>
      </c>
      <c r="L316">
        <v>4.4065882776013439</v>
      </c>
      <c r="M316">
        <v>284.17599403340489</v>
      </c>
      <c r="N316">
        <v>4.80024342432392</v>
      </c>
      <c r="O316">
        <v>272.52428769251952</v>
      </c>
      <c r="P316">
        <v>4.4434152883066957</v>
      </c>
    </row>
    <row r="317" spans="4:16" x14ac:dyDescent="0.55000000000000004">
      <c r="D317">
        <v>310</v>
      </c>
      <c r="E317">
        <v>6.1898277885349229</v>
      </c>
      <c r="F317">
        <v>3.8101722114650758</v>
      </c>
      <c r="G317">
        <v>6.2379444422211803</v>
      </c>
      <c r="H317">
        <v>3.7620555577788193</v>
      </c>
      <c r="I317">
        <v>319.90688904068276</v>
      </c>
      <c r="J317">
        <v>4.8666541048265275</v>
      </c>
      <c r="K317">
        <v>300.93243282241531</v>
      </c>
      <c r="L317">
        <v>4.5077959113444566</v>
      </c>
      <c r="M317">
        <v>372.39368665730279</v>
      </c>
      <c r="N317">
        <v>4.8656175399207262</v>
      </c>
      <c r="O317">
        <v>353.19533814581786</v>
      </c>
      <c r="P317">
        <v>4.5068526708379872</v>
      </c>
    </row>
    <row r="318" spans="4:16" x14ac:dyDescent="0.55000000000000004">
      <c r="D318">
        <v>311</v>
      </c>
      <c r="E318">
        <v>7.0238044032779179</v>
      </c>
      <c r="F318">
        <v>2.9761955967220834</v>
      </c>
      <c r="G318">
        <v>6.4621929555576347</v>
      </c>
      <c r="H318">
        <v>3.5378070444423635</v>
      </c>
      <c r="I318">
        <v>355.49006077784071</v>
      </c>
      <c r="J318">
        <v>4.9049932718256279</v>
      </c>
      <c r="K318">
        <v>332.52569114372864</v>
      </c>
      <c r="L318">
        <v>4.5443633663393186</v>
      </c>
      <c r="M318">
        <v>377.06568045334853</v>
      </c>
      <c r="N318">
        <v>4.9125898481380714</v>
      </c>
      <c r="O318">
        <v>356.60255797547688</v>
      </c>
      <c r="P318">
        <v>4.5512914702107885</v>
      </c>
    </row>
    <row r="319" spans="4:16" x14ac:dyDescent="0.55000000000000004">
      <c r="D319">
        <v>312</v>
      </c>
      <c r="E319">
        <v>7.0983359703950288</v>
      </c>
      <c r="F319">
        <v>2.9016640296049729</v>
      </c>
      <c r="G319">
        <v>5.8358320851337</v>
      </c>
      <c r="H319">
        <v>4.1641679148663009</v>
      </c>
      <c r="I319">
        <v>334.10963134990487</v>
      </c>
      <c r="J319">
        <v>4.8473119577649806</v>
      </c>
      <c r="K319">
        <v>312.65510535248075</v>
      </c>
      <c r="L319">
        <v>4.4903494092597613</v>
      </c>
      <c r="M319">
        <v>324.6851818110631</v>
      </c>
      <c r="N319">
        <v>4.8744689206586278</v>
      </c>
      <c r="O319">
        <v>308.49894879911159</v>
      </c>
      <c r="P319">
        <v>4.5150987631939712</v>
      </c>
    </row>
    <row r="320" spans="4:16" x14ac:dyDescent="0.55000000000000004">
      <c r="D320">
        <v>313</v>
      </c>
      <c r="E320">
        <v>6.7492242585872066</v>
      </c>
      <c r="F320">
        <v>3.250775741412792</v>
      </c>
      <c r="G320">
        <v>5.4456344513023609</v>
      </c>
      <c r="H320">
        <v>4.55436554869764</v>
      </c>
      <c r="I320">
        <v>322.81920443717627</v>
      </c>
      <c r="J320">
        <v>4.9217260271165291</v>
      </c>
      <c r="K320">
        <v>302.63321673721441</v>
      </c>
      <c r="L320">
        <v>4.5598532604994535</v>
      </c>
      <c r="M320">
        <v>310.46776842366978</v>
      </c>
      <c r="N320">
        <v>4.9368443798808137</v>
      </c>
      <c r="O320">
        <v>295.75500250881487</v>
      </c>
      <c r="P320">
        <v>4.5736445211709995</v>
      </c>
    </row>
    <row r="321" spans="4:16" x14ac:dyDescent="0.55000000000000004">
      <c r="D321">
        <v>314</v>
      </c>
      <c r="E321">
        <v>5.8204598942478949</v>
      </c>
      <c r="F321">
        <v>4.1795401057521042</v>
      </c>
      <c r="G321">
        <v>6.1801718766588305</v>
      </c>
      <c r="H321">
        <v>3.8198281233411699</v>
      </c>
      <c r="I321">
        <v>263.62406455189171</v>
      </c>
      <c r="J321">
        <v>4.9195652977683437</v>
      </c>
      <c r="K321">
        <v>248.14235271079767</v>
      </c>
      <c r="L321">
        <v>4.5575216811598516</v>
      </c>
      <c r="M321">
        <v>329.9163741965134</v>
      </c>
      <c r="N321">
        <v>4.9145943286834131</v>
      </c>
      <c r="O321">
        <v>313.02132823937194</v>
      </c>
      <c r="P321">
        <v>4.5529819363979795</v>
      </c>
    </row>
    <row r="322" spans="4:16" x14ac:dyDescent="0.55000000000000004">
      <c r="D322">
        <v>315</v>
      </c>
      <c r="E322">
        <v>7.001107055575079</v>
      </c>
      <c r="F322">
        <v>2.9988929444249197</v>
      </c>
      <c r="G322">
        <v>4.8055799311467009</v>
      </c>
      <c r="H322">
        <v>5.1944200688532964</v>
      </c>
      <c r="I322">
        <v>344.33086054779631</v>
      </c>
      <c r="J322">
        <v>4.774016330424546</v>
      </c>
      <c r="K322">
        <v>322.52109629443549</v>
      </c>
      <c r="L322">
        <v>4.4215627729216953</v>
      </c>
      <c r="M322">
        <v>286.349688697489</v>
      </c>
      <c r="N322">
        <v>4.8448841620820646</v>
      </c>
      <c r="O322">
        <v>273.97123159294591</v>
      </c>
      <c r="P322">
        <v>4.4862408561640059</v>
      </c>
    </row>
    <row r="323" spans="4:16" x14ac:dyDescent="0.55000000000000004">
      <c r="D323">
        <v>316</v>
      </c>
      <c r="E323">
        <v>5.6531399539199354</v>
      </c>
      <c r="F323">
        <v>4.3468600460800655</v>
      </c>
      <c r="G323">
        <v>5.5322591584809144</v>
      </c>
      <c r="H323">
        <v>4.4677408415190856</v>
      </c>
      <c r="I323">
        <v>308.31556026678959</v>
      </c>
      <c r="J323">
        <v>4.8515832128132343</v>
      </c>
      <c r="K323">
        <v>290.60410766985621</v>
      </c>
      <c r="L323">
        <v>4.4933418797543565</v>
      </c>
      <c r="M323">
        <v>351.72286479576474</v>
      </c>
      <c r="N323">
        <v>4.8547568011973681</v>
      </c>
      <c r="O323">
        <v>334.57454682038099</v>
      </c>
      <c r="P323">
        <v>4.4962443866815169</v>
      </c>
    </row>
    <row r="324" spans="4:16" x14ac:dyDescent="0.55000000000000004">
      <c r="D324">
        <v>317</v>
      </c>
      <c r="E324">
        <v>7.5004595933524403</v>
      </c>
      <c r="F324">
        <v>2.4995404066475584</v>
      </c>
      <c r="G324">
        <v>6.671484111454105</v>
      </c>
      <c r="H324">
        <v>3.3285158885458976</v>
      </c>
      <c r="I324">
        <v>360.27554472377074</v>
      </c>
      <c r="J324">
        <v>4.8070932684208953</v>
      </c>
      <c r="K324">
        <v>336.32553384162395</v>
      </c>
      <c r="L324">
        <v>4.4531498519458053</v>
      </c>
      <c r="M324">
        <v>370.45670567979107</v>
      </c>
      <c r="N324">
        <v>4.8284139553443959</v>
      </c>
      <c r="O324">
        <v>350.03088769417263</v>
      </c>
      <c r="P324">
        <v>4.4725835372587897</v>
      </c>
    </row>
    <row r="325" spans="4:16" x14ac:dyDescent="0.55000000000000004">
      <c r="D325">
        <v>318</v>
      </c>
      <c r="E325">
        <v>6.6868932276965776</v>
      </c>
      <c r="F325">
        <v>3.3131067723034247</v>
      </c>
      <c r="G325">
        <v>6.0838690903786246</v>
      </c>
      <c r="H325">
        <v>3.9161309096213772</v>
      </c>
      <c r="I325">
        <v>334.86253427104288</v>
      </c>
      <c r="J325">
        <v>4.8424856116421449</v>
      </c>
      <c r="K325">
        <v>314.03407987998577</v>
      </c>
      <c r="L325">
        <v>4.4855157457580841</v>
      </c>
      <c r="M325">
        <v>354.6646256200537</v>
      </c>
      <c r="N325">
        <v>4.8566902616822025</v>
      </c>
      <c r="O325">
        <v>336.53469933968518</v>
      </c>
      <c r="P325">
        <v>4.4984510480469906</v>
      </c>
    </row>
    <row r="326" spans="4:16" x14ac:dyDescent="0.55000000000000004">
      <c r="D326">
        <v>319</v>
      </c>
      <c r="E326">
        <v>7.0625751961204921</v>
      </c>
      <c r="F326">
        <v>2.937424803879507</v>
      </c>
      <c r="G326">
        <v>7.1404474365797084</v>
      </c>
      <c r="H326">
        <v>2.8595525634202925</v>
      </c>
      <c r="I326">
        <v>351.75229045245419</v>
      </c>
      <c r="J326">
        <v>4.896069151854948</v>
      </c>
      <c r="K326">
        <v>328.92708768829067</v>
      </c>
      <c r="L326">
        <v>4.5360459605186705</v>
      </c>
      <c r="M326">
        <v>405.63072546851453</v>
      </c>
      <c r="N326">
        <v>4.8949232061095032</v>
      </c>
      <c r="O326">
        <v>382.46010602078729</v>
      </c>
      <c r="P326">
        <v>4.5350020736648391</v>
      </c>
    </row>
    <row r="327" spans="4:16" x14ac:dyDescent="0.55000000000000004">
      <c r="D327">
        <v>320</v>
      </c>
      <c r="E327">
        <v>7.2607924284439882</v>
      </c>
      <c r="F327">
        <v>2.7392075715560131</v>
      </c>
      <c r="G327">
        <v>6.3521978633546574</v>
      </c>
      <c r="H327">
        <v>3.6478021366453408</v>
      </c>
      <c r="I327">
        <v>372.08174171271241</v>
      </c>
      <c r="J327">
        <v>4.8034965463841788</v>
      </c>
      <c r="K327">
        <v>348.03127328384647</v>
      </c>
      <c r="L327">
        <v>4.4494307936929731</v>
      </c>
      <c r="M327">
        <v>375.52050867639042</v>
      </c>
      <c r="N327">
        <v>4.8280864202493472</v>
      </c>
      <c r="O327">
        <v>355.6956988511904</v>
      </c>
      <c r="P327">
        <v>4.4717890167773229</v>
      </c>
    </row>
    <row r="328" spans="4:16" x14ac:dyDescent="0.55000000000000004">
      <c r="D328">
        <v>321</v>
      </c>
      <c r="E328">
        <v>7.373452529465311</v>
      </c>
      <c r="F328">
        <v>2.6265474705346907</v>
      </c>
      <c r="G328">
        <v>5.9843723335969834</v>
      </c>
      <c r="H328">
        <v>4.0156276664030166</v>
      </c>
      <c r="I328">
        <v>363.06602686255235</v>
      </c>
      <c r="J328">
        <v>4.8176636585428554</v>
      </c>
      <c r="K328">
        <v>339.4382432807235</v>
      </c>
      <c r="L328">
        <v>4.4627625666184549</v>
      </c>
      <c r="M328">
        <v>344.66824092821469</v>
      </c>
      <c r="N328">
        <v>4.8520138899836978</v>
      </c>
      <c r="O328">
        <v>327.20611606459477</v>
      </c>
      <c r="P328">
        <v>4.4940163264255659</v>
      </c>
    </row>
    <row r="329" spans="4:16" x14ac:dyDescent="0.55000000000000004">
      <c r="D329">
        <v>322</v>
      </c>
      <c r="E329">
        <v>7.7215715783782501</v>
      </c>
      <c r="F329">
        <v>2.2784284216217525</v>
      </c>
      <c r="G329">
        <v>6.2134267076323333</v>
      </c>
      <c r="H329">
        <v>3.7865732923676658</v>
      </c>
      <c r="I329">
        <v>396.91196408282099</v>
      </c>
      <c r="J329">
        <v>4.7564845085329441</v>
      </c>
      <c r="K329">
        <v>370.54332924683632</v>
      </c>
      <c r="L329">
        <v>4.405895067370623</v>
      </c>
      <c r="M329">
        <v>369.38878933878561</v>
      </c>
      <c r="N329">
        <v>4.8040469296897461</v>
      </c>
      <c r="O329">
        <v>350.07075934506764</v>
      </c>
      <c r="P329">
        <v>4.4491317647935169</v>
      </c>
    </row>
    <row r="330" spans="4:16" x14ac:dyDescent="0.55000000000000004">
      <c r="D330">
        <v>323</v>
      </c>
      <c r="E330">
        <v>6.6576997391492734</v>
      </c>
      <c r="F330">
        <v>3.342300260850728</v>
      </c>
      <c r="G330">
        <v>6.5188444923397766</v>
      </c>
      <c r="H330">
        <v>3.4811555076602203</v>
      </c>
      <c r="I330">
        <v>323.50417070991637</v>
      </c>
      <c r="J330">
        <v>4.8596703618906743</v>
      </c>
      <c r="K330">
        <v>303.25846206028649</v>
      </c>
      <c r="L330">
        <v>4.501685282243626</v>
      </c>
      <c r="M330">
        <v>366.75705785895946</v>
      </c>
      <c r="N330">
        <v>4.8625971244810264</v>
      </c>
      <c r="O330">
        <v>347.11189488985815</v>
      </c>
      <c r="P330">
        <v>4.5043515401306493</v>
      </c>
    </row>
    <row r="331" spans="4:16" x14ac:dyDescent="0.55000000000000004">
      <c r="D331">
        <v>324</v>
      </c>
      <c r="E331">
        <v>6.3511958694939992</v>
      </c>
      <c r="F331">
        <v>3.6488041305060017</v>
      </c>
      <c r="G331">
        <v>7.1986882111845611</v>
      </c>
      <c r="H331">
        <v>2.8013117888154371</v>
      </c>
      <c r="I331">
        <v>306.87242881193606</v>
      </c>
      <c r="J331">
        <v>4.7846808213726799</v>
      </c>
      <c r="K331">
        <v>288.28088879401122</v>
      </c>
      <c r="L331">
        <v>4.4309584419336856</v>
      </c>
      <c r="M331">
        <v>397.8209428615931</v>
      </c>
      <c r="N331">
        <v>4.7559490110718423</v>
      </c>
      <c r="O331">
        <v>375.49167049360017</v>
      </c>
      <c r="P331">
        <v>4.404849237588885</v>
      </c>
    </row>
    <row r="332" spans="4:16" x14ac:dyDescent="0.55000000000000004">
      <c r="D332">
        <v>325</v>
      </c>
      <c r="E332">
        <v>6.4918172302972605</v>
      </c>
      <c r="F332">
        <v>3.5081827697027399</v>
      </c>
      <c r="G332">
        <v>6.2769725834153753</v>
      </c>
      <c r="H332">
        <v>3.7230274165846251</v>
      </c>
      <c r="I332">
        <v>325.66171321538752</v>
      </c>
      <c r="J332">
        <v>4.9264633549781713</v>
      </c>
      <c r="K332">
        <v>305.69980043905866</v>
      </c>
      <c r="L332">
        <v>4.5642036285064176</v>
      </c>
      <c r="M332">
        <v>364.88404137148899</v>
      </c>
      <c r="N332">
        <v>4.9288970270875554</v>
      </c>
      <c r="O332">
        <v>345.88689006892275</v>
      </c>
      <c r="P332">
        <v>4.5664194508682021</v>
      </c>
    </row>
    <row r="333" spans="4:16" x14ac:dyDescent="0.55000000000000004">
      <c r="D333">
        <v>326</v>
      </c>
      <c r="E333">
        <v>6.3340837527554896</v>
      </c>
      <c r="F333">
        <v>3.6659162472445108</v>
      </c>
      <c r="G333">
        <v>6.8364216250124912</v>
      </c>
      <c r="H333">
        <v>3.1635783749875079</v>
      </c>
      <c r="I333">
        <v>294.81051460873158</v>
      </c>
      <c r="J333">
        <v>4.8239139594583449</v>
      </c>
      <c r="K333">
        <v>276.50035036604027</v>
      </c>
      <c r="L333">
        <v>4.4680830916688388</v>
      </c>
      <c r="M333">
        <v>368.19108430251202</v>
      </c>
      <c r="N333">
        <v>4.8099490846015236</v>
      </c>
      <c r="O333">
        <v>347.84082261551504</v>
      </c>
      <c r="P333">
        <v>4.4553367373989223</v>
      </c>
    </row>
    <row r="334" spans="4:16" x14ac:dyDescent="0.55000000000000004">
      <c r="D334">
        <v>327</v>
      </c>
      <c r="E334">
        <v>7.4578206355265539</v>
      </c>
      <c r="F334">
        <v>2.5421793644734487</v>
      </c>
      <c r="G334">
        <v>4.812861227256727</v>
      </c>
      <c r="H334">
        <v>5.187138772743273</v>
      </c>
      <c r="I334">
        <v>359.39300879460308</v>
      </c>
      <c r="J334">
        <v>4.957670248085523</v>
      </c>
      <c r="K334">
        <v>336.05081563142488</v>
      </c>
      <c r="L334">
        <v>4.5936522573119856</v>
      </c>
      <c r="M334">
        <v>281.93219063689054</v>
      </c>
      <c r="N334">
        <v>4.9726827404807654</v>
      </c>
      <c r="O334">
        <v>269.96739004510368</v>
      </c>
      <c r="P334">
        <v>4.6073247063752873</v>
      </c>
    </row>
    <row r="335" spans="4:16" x14ac:dyDescent="0.55000000000000004">
      <c r="D335">
        <v>328</v>
      </c>
      <c r="E335">
        <v>5.7244756342823511</v>
      </c>
      <c r="F335">
        <v>4.2755243657176498</v>
      </c>
      <c r="G335">
        <v>4.352350468017165</v>
      </c>
      <c r="H335">
        <v>5.6476495319828341</v>
      </c>
      <c r="I335">
        <v>283.66763073934061</v>
      </c>
      <c r="J335">
        <v>4.8760334573838602</v>
      </c>
      <c r="K335">
        <v>267.1374967090693</v>
      </c>
      <c r="L335">
        <v>4.5164900836131565</v>
      </c>
      <c r="M335">
        <v>265.67406768506015</v>
      </c>
      <c r="N335">
        <v>4.9057475523971767</v>
      </c>
      <c r="O335">
        <v>254.65166423237929</v>
      </c>
      <c r="P335">
        <v>4.5437972268160554</v>
      </c>
    </row>
    <row r="336" spans="4:16" x14ac:dyDescent="0.55000000000000004">
      <c r="D336">
        <v>329</v>
      </c>
      <c r="E336">
        <v>7.0725803332784851</v>
      </c>
      <c r="F336">
        <v>2.9274196667215135</v>
      </c>
      <c r="G336">
        <v>6.2314806848979956</v>
      </c>
      <c r="H336">
        <v>3.7685193151020022</v>
      </c>
      <c r="I336">
        <v>334.32671957812357</v>
      </c>
      <c r="J336">
        <v>4.8056036734278944</v>
      </c>
      <c r="K336">
        <v>312.89692842091097</v>
      </c>
      <c r="L336">
        <v>4.4512968941700404</v>
      </c>
      <c r="M336">
        <v>344.56724382381833</v>
      </c>
      <c r="N336">
        <v>4.8287220650503846</v>
      </c>
      <c r="O336">
        <v>326.69797065774753</v>
      </c>
      <c r="P336">
        <v>4.4723450007161665</v>
      </c>
    </row>
    <row r="337" spans="4:16" x14ac:dyDescent="0.55000000000000004">
      <c r="D337">
        <v>330</v>
      </c>
      <c r="E337">
        <v>7.4252329312775158</v>
      </c>
      <c r="F337">
        <v>2.5747670687224855</v>
      </c>
      <c r="G337">
        <v>6.4780150721019414</v>
      </c>
      <c r="H337">
        <v>3.5219849278980577</v>
      </c>
      <c r="I337">
        <v>352.14965266623977</v>
      </c>
      <c r="J337">
        <v>4.7759541665060592</v>
      </c>
      <c r="K337">
        <v>329.16398272487606</v>
      </c>
      <c r="L337">
        <v>4.4238109234752248</v>
      </c>
      <c r="M337">
        <v>357.22682759190928</v>
      </c>
      <c r="N337">
        <v>4.8045351169925281</v>
      </c>
      <c r="O337">
        <v>338.34155133482085</v>
      </c>
      <c r="P337">
        <v>4.449783107734917</v>
      </c>
    </row>
    <row r="338" spans="4:16" x14ac:dyDescent="0.55000000000000004">
      <c r="D338">
        <v>331</v>
      </c>
      <c r="E338">
        <v>7.9838537788460524</v>
      </c>
      <c r="F338">
        <v>2.0161462211539485</v>
      </c>
      <c r="G338">
        <v>6.2289858480803755</v>
      </c>
      <c r="H338">
        <v>3.7710141519196223</v>
      </c>
      <c r="I338">
        <v>407.2018780704052</v>
      </c>
      <c r="J338">
        <v>4.7755353469569277</v>
      </c>
      <c r="K338">
        <v>379.9623332792429</v>
      </c>
      <c r="L338">
        <v>4.4237835229021965</v>
      </c>
      <c r="M338">
        <v>367.69804483805467</v>
      </c>
      <c r="N338">
        <v>4.8248731519978243</v>
      </c>
      <c r="O338">
        <v>348.84496470851093</v>
      </c>
      <c r="P338">
        <v>4.468498400147551</v>
      </c>
    </row>
    <row r="339" spans="4:16" x14ac:dyDescent="0.55000000000000004">
      <c r="D339">
        <v>332</v>
      </c>
      <c r="E339">
        <v>7.7765929650431209</v>
      </c>
      <c r="F339">
        <v>2.22340703495688</v>
      </c>
      <c r="G339">
        <v>5.6362498837473964</v>
      </c>
      <c r="H339">
        <v>4.3637501162526036</v>
      </c>
      <c r="I339">
        <v>370.76980629024405</v>
      </c>
      <c r="J339">
        <v>4.7790926852931825</v>
      </c>
      <c r="K339">
        <v>346.07344266360701</v>
      </c>
      <c r="L339">
        <v>4.4270396931158285</v>
      </c>
      <c r="M339">
        <v>318.72324255546857</v>
      </c>
      <c r="N339">
        <v>4.8398927612089127</v>
      </c>
      <c r="O339">
        <v>303.19899518335575</v>
      </c>
      <c r="P339">
        <v>4.4823749562620439</v>
      </c>
    </row>
    <row r="340" spans="4:16" x14ac:dyDescent="0.55000000000000004">
      <c r="D340">
        <v>333</v>
      </c>
      <c r="E340">
        <v>6.9370729187204612</v>
      </c>
      <c r="F340">
        <v>3.0629270812795384</v>
      </c>
      <c r="G340">
        <v>6.2953264961897615</v>
      </c>
      <c r="H340">
        <v>3.7046735038102385</v>
      </c>
      <c r="I340">
        <v>329.81300317477826</v>
      </c>
      <c r="J340">
        <v>4.7848255334100518</v>
      </c>
      <c r="K340">
        <v>308.87364601140598</v>
      </c>
      <c r="L340">
        <v>4.4317193903145062</v>
      </c>
      <c r="M340">
        <v>349.30210652262662</v>
      </c>
      <c r="N340">
        <v>4.8047312552861214</v>
      </c>
      <c r="O340">
        <v>331.09806221841188</v>
      </c>
      <c r="P340">
        <v>4.4498405570646078</v>
      </c>
    </row>
    <row r="341" spans="4:16" x14ac:dyDescent="0.55000000000000004">
      <c r="D341">
        <v>334</v>
      </c>
      <c r="E341">
        <v>6.7277964801651544</v>
      </c>
      <c r="F341">
        <v>3.2722035198348447</v>
      </c>
      <c r="G341">
        <v>6.7550873559298488</v>
      </c>
      <c r="H341">
        <v>3.2449126440701512</v>
      </c>
      <c r="I341">
        <v>323.50616649306005</v>
      </c>
      <c r="J341">
        <v>4.7556346782359284</v>
      </c>
      <c r="K341">
        <v>303.53142134349258</v>
      </c>
      <c r="L341">
        <v>4.4039556438563974</v>
      </c>
      <c r="M341">
        <v>374.81844854928806</v>
      </c>
      <c r="N341">
        <v>4.7546434259504098</v>
      </c>
      <c r="O341">
        <v>354.72237192258939</v>
      </c>
      <c r="P341">
        <v>4.4030560411544739</v>
      </c>
    </row>
    <row r="342" spans="4:16" x14ac:dyDescent="0.55000000000000004">
      <c r="D342">
        <v>335</v>
      </c>
      <c r="E342">
        <v>7.9874100898611884</v>
      </c>
      <c r="F342">
        <v>2.0125899101388138</v>
      </c>
      <c r="G342">
        <v>6.7689527080456724</v>
      </c>
      <c r="H342">
        <v>3.2310472919543276</v>
      </c>
      <c r="I342">
        <v>371.20084399943335</v>
      </c>
      <c r="J342">
        <v>4.8850445804906322</v>
      </c>
      <c r="K342">
        <v>346.12084684367835</v>
      </c>
      <c r="L342">
        <v>4.526044222150837</v>
      </c>
      <c r="M342">
        <v>364.57517893168176</v>
      </c>
      <c r="N342">
        <v>4.9025807127168575</v>
      </c>
      <c r="O342">
        <v>344.67631582701921</v>
      </c>
      <c r="P342">
        <v>4.541975833676192</v>
      </c>
    </row>
    <row r="343" spans="4:16" x14ac:dyDescent="0.55000000000000004">
      <c r="D343">
        <v>336</v>
      </c>
      <c r="E343">
        <v>6.5033578617125904</v>
      </c>
      <c r="F343">
        <v>3.4966421382874096</v>
      </c>
      <c r="G343">
        <v>5.3074234524562245</v>
      </c>
      <c r="H343">
        <v>4.6925765475437746</v>
      </c>
      <c r="I343">
        <v>321.51000658317633</v>
      </c>
      <c r="J343">
        <v>4.7920977596409138</v>
      </c>
      <c r="K343">
        <v>301.86312530372521</v>
      </c>
      <c r="L343">
        <v>4.4380350175738164</v>
      </c>
      <c r="M343">
        <v>312.38595282984261</v>
      </c>
      <c r="N343">
        <v>4.8303299234390531</v>
      </c>
      <c r="O343">
        <v>297.92932466549098</v>
      </c>
      <c r="P343">
        <v>4.4729109397976172</v>
      </c>
    </row>
    <row r="344" spans="4:16" x14ac:dyDescent="0.55000000000000004">
      <c r="D344">
        <v>337</v>
      </c>
      <c r="E344">
        <v>6.4540315029899302</v>
      </c>
      <c r="F344">
        <v>3.5459684970100707</v>
      </c>
      <c r="G344">
        <v>5.8382566990401914</v>
      </c>
      <c r="H344">
        <v>4.1617433009598077</v>
      </c>
      <c r="I344">
        <v>327.67567138849597</v>
      </c>
      <c r="J344">
        <v>4.8336033491526864</v>
      </c>
      <c r="K344">
        <v>307.56948161561695</v>
      </c>
      <c r="L344">
        <v>4.4770461899408387</v>
      </c>
      <c r="M344">
        <v>346.41235601501575</v>
      </c>
      <c r="N344">
        <v>4.8494791416718153</v>
      </c>
      <c r="O344">
        <v>329.05339584688329</v>
      </c>
      <c r="P344">
        <v>4.4915269145765278</v>
      </c>
    </row>
    <row r="345" spans="4:16" x14ac:dyDescent="0.55000000000000004">
      <c r="D345">
        <v>338</v>
      </c>
      <c r="E345">
        <v>6.6050292724157718</v>
      </c>
      <c r="F345">
        <v>3.3949707275842274</v>
      </c>
      <c r="G345">
        <v>6.5155386868116185</v>
      </c>
      <c r="H345">
        <v>3.4844613131883797</v>
      </c>
      <c r="I345">
        <v>312.77685201869019</v>
      </c>
      <c r="J345">
        <v>4.790140745045294</v>
      </c>
      <c r="K345">
        <v>293.43395205012843</v>
      </c>
      <c r="L345">
        <v>4.4363517012621587</v>
      </c>
      <c r="M345">
        <v>358.5390837218149</v>
      </c>
      <c r="N345">
        <v>4.7929840977157774</v>
      </c>
      <c r="O345">
        <v>339.57820251954001</v>
      </c>
      <c r="P345">
        <v>4.4389387364553272</v>
      </c>
    </row>
    <row r="346" spans="4:16" x14ac:dyDescent="0.55000000000000004">
      <c r="D346">
        <v>339</v>
      </c>
      <c r="E346">
        <v>7.2295536700244956</v>
      </c>
      <c r="F346">
        <v>2.7704463299755058</v>
      </c>
      <c r="G346">
        <v>6.9592065766384641</v>
      </c>
      <c r="H346">
        <v>3.0407934233615364</v>
      </c>
      <c r="I346">
        <v>348.62054670569898</v>
      </c>
      <c r="J346">
        <v>4.8028515289538882</v>
      </c>
      <c r="K346">
        <v>325.99910223742552</v>
      </c>
      <c r="L346">
        <v>4.4488769231982523</v>
      </c>
      <c r="M346">
        <v>385.58398099247768</v>
      </c>
      <c r="N346">
        <v>4.8102238396864037</v>
      </c>
      <c r="O346">
        <v>364.14543944198067</v>
      </c>
      <c r="P346">
        <v>4.4555802902788804</v>
      </c>
    </row>
    <row r="347" spans="4:16" x14ac:dyDescent="0.55000000000000004">
      <c r="D347">
        <v>340</v>
      </c>
      <c r="E347">
        <v>7.1576199871399533</v>
      </c>
      <c r="F347">
        <v>2.8423800128600454</v>
      </c>
      <c r="G347">
        <v>6.2391597355650923</v>
      </c>
      <c r="H347">
        <v>3.760840264434909</v>
      </c>
      <c r="I347">
        <v>364.67307680651555</v>
      </c>
      <c r="J347">
        <v>4.8145614730459414</v>
      </c>
      <c r="K347">
        <v>341.24994616712695</v>
      </c>
      <c r="L347">
        <v>4.4597050175334818</v>
      </c>
      <c r="M347">
        <v>367.87851011143096</v>
      </c>
      <c r="N347">
        <v>4.8383568011611393</v>
      </c>
      <c r="O347">
        <v>348.68299905071137</v>
      </c>
      <c r="P347">
        <v>4.4813505748072036</v>
      </c>
    </row>
    <row r="348" spans="4:16" x14ac:dyDescent="0.55000000000000004">
      <c r="D348">
        <v>341</v>
      </c>
      <c r="E348">
        <v>6.8503500534031074</v>
      </c>
      <c r="F348">
        <v>3.149649946596893</v>
      </c>
      <c r="G348">
        <v>6.486867700256667</v>
      </c>
      <c r="H348">
        <v>3.5131322997433312</v>
      </c>
      <c r="I348">
        <v>359.3115835049739</v>
      </c>
      <c r="J348">
        <v>4.8762089955584313</v>
      </c>
      <c r="K348">
        <v>336.6099486575697</v>
      </c>
      <c r="L348">
        <v>4.5172629614888926</v>
      </c>
      <c r="M348">
        <v>390.24636510488921</v>
      </c>
      <c r="N348">
        <v>4.8827773964783852</v>
      </c>
      <c r="O348">
        <v>369.2564317196879</v>
      </c>
      <c r="P348">
        <v>4.5232416423635211</v>
      </c>
    </row>
    <row r="349" spans="4:16" x14ac:dyDescent="0.55000000000000004">
      <c r="D349">
        <v>342</v>
      </c>
      <c r="E349">
        <v>7.6397321036651098</v>
      </c>
      <c r="F349">
        <v>2.3602678963348884</v>
      </c>
      <c r="G349">
        <v>6.596671274414879</v>
      </c>
      <c r="H349">
        <v>3.4033287255851206</v>
      </c>
      <c r="I349">
        <v>370.58243800829314</v>
      </c>
      <c r="J349">
        <v>4.7639402184692416</v>
      </c>
      <c r="K349">
        <v>346.18092299135787</v>
      </c>
      <c r="L349">
        <v>4.4127166393678152</v>
      </c>
      <c r="M349">
        <v>369.98641973835112</v>
      </c>
      <c r="N349">
        <v>4.7961697139718371</v>
      </c>
      <c r="O349">
        <v>350.27775420188709</v>
      </c>
      <c r="P349">
        <v>4.4419568053461314</v>
      </c>
    </row>
    <row r="350" spans="4:16" x14ac:dyDescent="0.55000000000000004">
      <c r="D350">
        <v>343</v>
      </c>
      <c r="E350">
        <v>5.7919406326757992</v>
      </c>
      <c r="F350">
        <v>4.2080593673241999</v>
      </c>
      <c r="G350">
        <v>5.6164722446078468</v>
      </c>
      <c r="H350">
        <v>4.3835277553921541</v>
      </c>
      <c r="I350">
        <v>287.84030416190308</v>
      </c>
      <c r="J350">
        <v>4.8526592818394922</v>
      </c>
      <c r="K350">
        <v>271.12017918385993</v>
      </c>
      <c r="L350">
        <v>4.4944507757742684</v>
      </c>
      <c r="M350">
        <v>329.12010528635886</v>
      </c>
      <c r="N350">
        <v>4.857123008240027</v>
      </c>
      <c r="O350">
        <v>313.15085424538205</v>
      </c>
      <c r="P350">
        <v>4.4985301421545563</v>
      </c>
    </row>
    <row r="351" spans="4:16" x14ac:dyDescent="0.55000000000000004">
      <c r="D351">
        <v>344</v>
      </c>
      <c r="E351">
        <v>6.940959426361224</v>
      </c>
      <c r="F351">
        <v>3.059040573638776</v>
      </c>
      <c r="G351">
        <v>7.2986285979984959</v>
      </c>
      <c r="H351">
        <v>2.7013714020015045</v>
      </c>
      <c r="I351">
        <v>341.804443942116</v>
      </c>
      <c r="J351">
        <v>4.774940288352723</v>
      </c>
      <c r="K351">
        <v>320.10683765618239</v>
      </c>
      <c r="L351">
        <v>4.4224597237084797</v>
      </c>
      <c r="M351">
        <v>409.41770240065233</v>
      </c>
      <c r="N351">
        <v>4.7633429117237682</v>
      </c>
      <c r="O351">
        <v>386.10467533481221</v>
      </c>
      <c r="P351">
        <v>4.4119260141598051</v>
      </c>
    </row>
    <row r="352" spans="4:16" x14ac:dyDescent="0.55000000000000004">
      <c r="D352">
        <v>345</v>
      </c>
      <c r="E352">
        <v>6.3633809244534705</v>
      </c>
      <c r="F352">
        <v>3.6366190755465286</v>
      </c>
      <c r="G352">
        <v>6.2223271761158223</v>
      </c>
      <c r="H352">
        <v>3.777672823884179</v>
      </c>
      <c r="I352">
        <v>300.05563657628329</v>
      </c>
      <c r="J352">
        <v>4.857867817118529</v>
      </c>
      <c r="K352">
        <v>281.70399105063149</v>
      </c>
      <c r="L352">
        <v>4.4997934733523905</v>
      </c>
      <c r="M352">
        <v>343.40445967026471</v>
      </c>
      <c r="N352">
        <v>4.8610183871367099</v>
      </c>
      <c r="O352">
        <v>325.63911048302765</v>
      </c>
      <c r="P352">
        <v>4.5026663229473014</v>
      </c>
    </row>
    <row r="353" spans="4:16" x14ac:dyDescent="0.55000000000000004">
      <c r="D353">
        <v>346</v>
      </c>
      <c r="E353">
        <v>8.0252644051438082</v>
      </c>
      <c r="F353">
        <v>1.9747355948561935</v>
      </c>
      <c r="G353">
        <v>5.8697228365845566</v>
      </c>
      <c r="H353">
        <v>4.1302771634154443</v>
      </c>
      <c r="I353">
        <v>372.59789199924501</v>
      </c>
      <c r="J353">
        <v>4.7853133298536656</v>
      </c>
      <c r="K353">
        <v>347.41633434044206</v>
      </c>
      <c r="L353">
        <v>4.4330553940657618</v>
      </c>
      <c r="M353">
        <v>322.52016196867521</v>
      </c>
      <c r="N353">
        <v>4.8429769803396709</v>
      </c>
      <c r="O353">
        <v>306.37116669944788</v>
      </c>
      <c r="P353">
        <v>4.4855145847736875</v>
      </c>
    </row>
    <row r="354" spans="4:16" x14ac:dyDescent="0.55000000000000004">
      <c r="D354">
        <v>347</v>
      </c>
      <c r="E354">
        <v>7.6622142008395722</v>
      </c>
      <c r="F354">
        <v>2.3377857991604269</v>
      </c>
      <c r="G354">
        <v>6.160063287463859</v>
      </c>
      <c r="H354">
        <v>3.8399367125361392</v>
      </c>
      <c r="I354">
        <v>393.90461479952404</v>
      </c>
      <c r="J354">
        <v>4.9382157752840348</v>
      </c>
      <c r="K354">
        <v>367.91682530400726</v>
      </c>
      <c r="L354">
        <v>4.5755247158489274</v>
      </c>
      <c r="M354">
        <v>366.6809609842627</v>
      </c>
      <c r="N354">
        <v>4.9503283614316693</v>
      </c>
      <c r="O354">
        <v>347.77928336925544</v>
      </c>
      <c r="P354">
        <v>4.5865258402052067</v>
      </c>
    </row>
    <row r="355" spans="4:16" x14ac:dyDescent="0.55000000000000004">
      <c r="D355">
        <v>348</v>
      </c>
      <c r="E355">
        <v>6.8221174860036173</v>
      </c>
      <c r="F355">
        <v>3.1778825139963836</v>
      </c>
      <c r="G355">
        <v>6.3974795439411771</v>
      </c>
      <c r="H355">
        <v>3.6025204560588246</v>
      </c>
      <c r="I355">
        <v>334.59196870751674</v>
      </c>
      <c r="J355">
        <v>4.8504329338375882</v>
      </c>
      <c r="K355">
        <v>313.50297398915387</v>
      </c>
      <c r="L355">
        <v>4.4930927322646799</v>
      </c>
      <c r="M355">
        <v>363.76552511224361</v>
      </c>
      <c r="N355">
        <v>4.8597426314946315</v>
      </c>
      <c r="O355">
        <v>344.54331371858467</v>
      </c>
      <c r="P355">
        <v>4.5015679529134589</v>
      </c>
    </row>
    <row r="356" spans="4:16" x14ac:dyDescent="0.55000000000000004">
      <c r="D356">
        <v>349</v>
      </c>
      <c r="E356">
        <v>7.0351409051626472</v>
      </c>
      <c r="F356">
        <v>2.9648590948373501</v>
      </c>
      <c r="G356">
        <v>6.8213876314267168</v>
      </c>
      <c r="H356">
        <v>3.1786123685732806</v>
      </c>
      <c r="I356">
        <v>355.6986594503162</v>
      </c>
      <c r="J356">
        <v>4.696753151307079</v>
      </c>
      <c r="K356">
        <v>333.04583863328094</v>
      </c>
      <c r="L356">
        <v>4.3492982931089523</v>
      </c>
      <c r="M356">
        <v>394.89123512919241</v>
      </c>
      <c r="N356">
        <v>4.7059668980581417</v>
      </c>
      <c r="O356">
        <v>373.2269659792122</v>
      </c>
      <c r="P356">
        <v>4.3576692613736769</v>
      </c>
    </row>
    <row r="357" spans="4:16" x14ac:dyDescent="0.55000000000000004">
      <c r="D357">
        <v>350</v>
      </c>
      <c r="E357">
        <v>6.483199923716489</v>
      </c>
      <c r="F357">
        <v>3.5168000762835105</v>
      </c>
      <c r="G357">
        <v>6.7277744664614385</v>
      </c>
      <c r="H357">
        <v>3.2722255335385602</v>
      </c>
      <c r="I357">
        <v>309.66554382821914</v>
      </c>
      <c r="J357">
        <v>4.9329381468518951</v>
      </c>
      <c r="K357">
        <v>290.37936522359132</v>
      </c>
      <c r="L357">
        <v>4.5703475411480898</v>
      </c>
      <c r="M357">
        <v>371.34747708290689</v>
      </c>
      <c r="N357">
        <v>4.9304082816214052</v>
      </c>
      <c r="O357">
        <v>351.03108792437286</v>
      </c>
      <c r="P357">
        <v>4.5680407805873138</v>
      </c>
    </row>
    <row r="358" spans="4:16" x14ac:dyDescent="0.55000000000000004">
      <c r="D358">
        <v>351</v>
      </c>
      <c r="E358">
        <v>7.2069304081666257</v>
      </c>
      <c r="F358">
        <v>2.7930695918333748</v>
      </c>
      <c r="G358">
        <v>7.2730843466530022</v>
      </c>
      <c r="H358">
        <v>2.7269156533469974</v>
      </c>
      <c r="I358">
        <v>362.95986693561366</v>
      </c>
      <c r="J358">
        <v>4.7273817581725384</v>
      </c>
      <c r="K358">
        <v>339.72511490257909</v>
      </c>
      <c r="L358">
        <v>4.3780660588218945</v>
      </c>
      <c r="M358">
        <v>416.29155232043064</v>
      </c>
      <c r="N358">
        <v>4.7248793376718927</v>
      </c>
      <c r="O358">
        <v>392.74468969151758</v>
      </c>
      <c r="P358">
        <v>4.3757980638036651</v>
      </c>
    </row>
    <row r="359" spans="4:16" x14ac:dyDescent="0.55000000000000004">
      <c r="D359">
        <v>352</v>
      </c>
      <c r="E359">
        <v>7.1263317284202365</v>
      </c>
      <c r="F359">
        <v>2.8736682715797652</v>
      </c>
      <c r="G359">
        <v>5.8348187383238965</v>
      </c>
      <c r="H359">
        <v>4.1651812616761035</v>
      </c>
      <c r="I359">
        <v>336.09016404978769</v>
      </c>
      <c r="J359">
        <v>4.8005248666398144</v>
      </c>
      <c r="K359">
        <v>314.44368929779273</v>
      </c>
      <c r="L359">
        <v>4.4466051483565714</v>
      </c>
      <c r="M359">
        <v>325.18017146793323</v>
      </c>
      <c r="N359">
        <v>4.8366759659365899</v>
      </c>
      <c r="O359">
        <v>308.92065330566925</v>
      </c>
      <c r="P359">
        <v>4.4795589988222773</v>
      </c>
    </row>
    <row r="360" spans="4:16" x14ac:dyDescent="0.55000000000000004">
      <c r="D360">
        <v>353</v>
      </c>
      <c r="E360">
        <v>6.8513577418526808</v>
      </c>
      <c r="F360">
        <v>3.1486422581473175</v>
      </c>
      <c r="G360">
        <v>5.9708044265402354</v>
      </c>
      <c r="H360">
        <v>4.0291955734597655</v>
      </c>
      <c r="I360">
        <v>352.28091129017429</v>
      </c>
      <c r="J360">
        <v>4.8954611668149806</v>
      </c>
      <c r="K360">
        <v>329.93303090960035</v>
      </c>
      <c r="L360">
        <v>4.5353256037923471</v>
      </c>
      <c r="M360">
        <v>357.00490381169607</v>
      </c>
      <c r="N360">
        <v>4.9088967542719972</v>
      </c>
      <c r="O360">
        <v>338.6389221687574</v>
      </c>
      <c r="P360">
        <v>4.5475795687584695</v>
      </c>
    </row>
    <row r="361" spans="4:16" x14ac:dyDescent="0.55000000000000004">
      <c r="D361">
        <v>354</v>
      </c>
      <c r="E361">
        <v>7.4265205545503861</v>
      </c>
      <c r="F361">
        <v>2.5734794454496108</v>
      </c>
      <c r="G361">
        <v>5.6401897046926273</v>
      </c>
      <c r="H361">
        <v>4.3598102953073727</v>
      </c>
      <c r="I361">
        <v>357.61784778684262</v>
      </c>
      <c r="J361">
        <v>4.820366900265272</v>
      </c>
      <c r="K361">
        <v>334.41800208175357</v>
      </c>
      <c r="L361">
        <v>4.4652530270360264</v>
      </c>
      <c r="M361">
        <v>321.59858893352231</v>
      </c>
      <c r="N361">
        <v>4.8635747720209235</v>
      </c>
      <c r="O361">
        <v>306.22754005097704</v>
      </c>
      <c r="P361">
        <v>4.5045284579218228</v>
      </c>
    </row>
    <row r="362" spans="4:16" x14ac:dyDescent="0.55000000000000004">
      <c r="D362">
        <v>355</v>
      </c>
      <c r="E362">
        <v>6.3644395833085916</v>
      </c>
      <c r="F362">
        <v>3.6355604166914093</v>
      </c>
      <c r="G362">
        <v>6.9672409034153171</v>
      </c>
      <c r="H362">
        <v>3.0327590965846833</v>
      </c>
      <c r="I362">
        <v>305.07870615649591</v>
      </c>
      <c r="J362">
        <v>4.7366401074291025</v>
      </c>
      <c r="K362">
        <v>286.17092348885137</v>
      </c>
      <c r="L362">
        <v>4.3861950310898452</v>
      </c>
      <c r="M362">
        <v>383.97392063694906</v>
      </c>
      <c r="N362">
        <v>4.7116962472782014</v>
      </c>
      <c r="O362">
        <v>362.52036671957387</v>
      </c>
      <c r="P362">
        <v>4.3634488138071923</v>
      </c>
    </row>
    <row r="363" spans="4:16" x14ac:dyDescent="0.55000000000000004">
      <c r="D363">
        <v>356</v>
      </c>
      <c r="E363">
        <v>6.3084678493823914</v>
      </c>
      <c r="F363">
        <v>3.6915321506176082</v>
      </c>
      <c r="G363">
        <v>6.1107780875933582</v>
      </c>
      <c r="H363">
        <v>3.8892219124066418</v>
      </c>
      <c r="I363">
        <v>325.82786498475235</v>
      </c>
      <c r="J363">
        <v>4.8743955789654363</v>
      </c>
      <c r="K363">
        <v>306.22450501187114</v>
      </c>
      <c r="L363">
        <v>4.5151852775353376</v>
      </c>
      <c r="M363">
        <v>365.61732978810068</v>
      </c>
      <c r="N363">
        <v>4.8783316706864079</v>
      </c>
      <c r="O363">
        <v>346.9268954069853</v>
      </c>
      <c r="P363">
        <v>4.5187694426633929</v>
      </c>
    </row>
    <row r="364" spans="4:16" x14ac:dyDescent="0.55000000000000004">
      <c r="D364">
        <v>357</v>
      </c>
      <c r="E364">
        <v>6.139670417246772</v>
      </c>
      <c r="F364">
        <v>3.8603295827532298</v>
      </c>
      <c r="G364">
        <v>5.2509152546146085</v>
      </c>
      <c r="H364">
        <v>4.7490847453853924</v>
      </c>
      <c r="I364">
        <v>300.03037212368628</v>
      </c>
      <c r="J364">
        <v>4.7236986309119802</v>
      </c>
      <c r="K364">
        <v>282.20103859075829</v>
      </c>
      <c r="L364">
        <v>4.3733506030934119</v>
      </c>
      <c r="M364">
        <v>306.59912515930097</v>
      </c>
      <c r="N364">
        <v>4.7636949583255008</v>
      </c>
      <c r="O364">
        <v>292.53583382110355</v>
      </c>
      <c r="P364">
        <v>4.4098787395798551</v>
      </c>
    </row>
    <row r="365" spans="4:16" x14ac:dyDescent="0.55000000000000004">
      <c r="D365">
        <v>358</v>
      </c>
      <c r="E365">
        <v>6.3786374708603049</v>
      </c>
      <c r="F365">
        <v>3.6213625291396934</v>
      </c>
      <c r="G365">
        <v>6.9422044552506863</v>
      </c>
      <c r="H365">
        <v>3.0577955447493128</v>
      </c>
      <c r="I365">
        <v>346.87698550836149</v>
      </c>
      <c r="J365">
        <v>4.8023289919548748</v>
      </c>
      <c r="K365">
        <v>325.69334513736112</v>
      </c>
      <c r="L365">
        <v>4.4476334191904643</v>
      </c>
      <c r="M365">
        <v>427.52434829867957</v>
      </c>
      <c r="N365">
        <v>4.7848643132653716</v>
      </c>
      <c r="O365">
        <v>403.58006895690693</v>
      </c>
      <c r="P365">
        <v>4.4317419157503988</v>
      </c>
    </row>
    <row r="366" spans="4:16" x14ac:dyDescent="0.55000000000000004">
      <c r="D366">
        <v>359</v>
      </c>
      <c r="E366">
        <v>7.6063450046482286</v>
      </c>
      <c r="F366">
        <v>2.3936549953517736</v>
      </c>
      <c r="G366">
        <v>7.6878946412180618</v>
      </c>
      <c r="H366">
        <v>2.3121053587819396</v>
      </c>
      <c r="I366">
        <v>396.60027867064957</v>
      </c>
      <c r="J366">
        <v>4.8505687568098166</v>
      </c>
      <c r="K366">
        <v>370.34870617063029</v>
      </c>
      <c r="L366">
        <v>4.4936925738068423</v>
      </c>
      <c r="M366">
        <v>450.85233515366758</v>
      </c>
      <c r="N366">
        <v>4.8489666649290388</v>
      </c>
      <c r="O366">
        <v>424.20598271452451</v>
      </c>
      <c r="P366">
        <v>4.4922392273008489</v>
      </c>
    </row>
    <row r="367" spans="4:16" x14ac:dyDescent="0.55000000000000004">
      <c r="D367">
        <v>360</v>
      </c>
      <c r="E367">
        <v>6.8671456367911734</v>
      </c>
      <c r="F367">
        <v>3.1328543632088262</v>
      </c>
      <c r="G367">
        <v>6.306247646452908</v>
      </c>
      <c r="H367">
        <v>3.6937523535470946</v>
      </c>
      <c r="I367">
        <v>333.36073557948555</v>
      </c>
      <c r="J367">
        <v>4.7890687629436988</v>
      </c>
      <c r="K367">
        <v>312.39745297380352</v>
      </c>
      <c r="L367">
        <v>4.4355658428449871</v>
      </c>
      <c r="M367">
        <v>356.13233872672987</v>
      </c>
      <c r="N367">
        <v>4.8062973049350894</v>
      </c>
      <c r="O367">
        <v>337.63111080894362</v>
      </c>
      <c r="P367">
        <v>4.4512365401786509</v>
      </c>
    </row>
    <row r="368" spans="4:16" x14ac:dyDescent="0.55000000000000004">
      <c r="D368">
        <v>361</v>
      </c>
      <c r="E368">
        <v>6.9076421014513967</v>
      </c>
      <c r="F368">
        <v>3.0923578985486038</v>
      </c>
      <c r="G368">
        <v>6.8959458619504206</v>
      </c>
      <c r="H368">
        <v>3.1040541380495794</v>
      </c>
      <c r="I368">
        <v>331.96619443658221</v>
      </c>
      <c r="J368">
        <v>4.8455707190451278</v>
      </c>
      <c r="K368">
        <v>310.46007673644698</v>
      </c>
      <c r="L368">
        <v>4.4888080116959932</v>
      </c>
      <c r="M368">
        <v>381.40409870849828</v>
      </c>
      <c r="N368">
        <v>4.8458322036196728</v>
      </c>
      <c r="O368">
        <v>359.94698353706565</v>
      </c>
      <c r="P368">
        <v>4.4890467004997667</v>
      </c>
    </row>
    <row r="369" spans="4:16" x14ac:dyDescent="0.55000000000000004">
      <c r="D369">
        <v>362</v>
      </c>
      <c r="E369">
        <v>6.447744886594835</v>
      </c>
      <c r="F369">
        <v>3.552255113405165</v>
      </c>
      <c r="G369">
        <v>6.2008275074676256</v>
      </c>
      <c r="H369">
        <v>3.7991724925323718</v>
      </c>
      <c r="I369">
        <v>321.91617274341809</v>
      </c>
      <c r="J369">
        <v>4.7780732758087225</v>
      </c>
      <c r="K369">
        <v>302.14358819146065</v>
      </c>
      <c r="L369">
        <v>4.424937092153665</v>
      </c>
      <c r="M369">
        <v>359.58834354568984</v>
      </c>
      <c r="N369">
        <v>4.7865719937417968</v>
      </c>
      <c r="O369">
        <v>340.90696971508078</v>
      </c>
      <c r="P369">
        <v>4.4326835371619966</v>
      </c>
    </row>
    <row r="370" spans="4:16" x14ac:dyDescent="0.55000000000000004">
      <c r="D370">
        <v>363</v>
      </c>
      <c r="E370">
        <v>6.8597961381946666</v>
      </c>
      <c r="F370">
        <v>3.1402038618053334</v>
      </c>
      <c r="G370">
        <v>6.2016315198673491</v>
      </c>
      <c r="H370">
        <v>3.7983684801326509</v>
      </c>
      <c r="I370">
        <v>318.61379603758758</v>
      </c>
      <c r="J370">
        <v>4.7768047317649138</v>
      </c>
      <c r="K370">
        <v>298.36867293204517</v>
      </c>
      <c r="L370">
        <v>4.4242195779928375</v>
      </c>
      <c r="M370">
        <v>338.04432673582426</v>
      </c>
      <c r="N370">
        <v>4.7982192498600638</v>
      </c>
      <c r="O370">
        <v>320.49880519634132</v>
      </c>
      <c r="P370">
        <v>4.4437429717764916</v>
      </c>
    </row>
    <row r="371" spans="4:16" x14ac:dyDescent="0.55000000000000004">
      <c r="D371">
        <v>364</v>
      </c>
      <c r="E371">
        <v>7.4463026809686097</v>
      </c>
      <c r="F371">
        <v>2.5536973190313903</v>
      </c>
      <c r="G371">
        <v>6.3008982773657838</v>
      </c>
      <c r="H371">
        <v>3.699101722634218</v>
      </c>
      <c r="I371">
        <v>355.39545098219861</v>
      </c>
      <c r="J371">
        <v>4.7916010878579813</v>
      </c>
      <c r="K371">
        <v>332.11958035993928</v>
      </c>
      <c r="L371">
        <v>4.4384824691371154</v>
      </c>
      <c r="M371">
        <v>350.72784854698972</v>
      </c>
      <c r="N371">
        <v>4.8236574038446509</v>
      </c>
      <c r="O371">
        <v>332.39625454381843</v>
      </c>
      <c r="P371">
        <v>4.4676395306006897</v>
      </c>
    </row>
    <row r="372" spans="4:16" x14ac:dyDescent="0.55000000000000004">
      <c r="D372">
        <v>365</v>
      </c>
      <c r="E372">
        <v>6.5729453680622001</v>
      </c>
      <c r="F372">
        <v>3.4270546319377999</v>
      </c>
      <c r="G372">
        <v>6.8680709770052273</v>
      </c>
      <c r="H372">
        <v>3.1319290229947745</v>
      </c>
      <c r="I372">
        <v>317.46829685005252</v>
      </c>
      <c r="J372">
        <v>4.8115576261892761</v>
      </c>
      <c r="K372">
        <v>297.86032368784026</v>
      </c>
      <c r="L372">
        <v>4.4564292355428012</v>
      </c>
      <c r="M372">
        <v>381.72264085893926</v>
      </c>
      <c r="N372">
        <v>4.8030965532292331</v>
      </c>
      <c r="O372">
        <v>360.82237107306247</v>
      </c>
      <c r="P372">
        <v>4.4487352421489605</v>
      </c>
    </row>
    <row r="373" spans="4:16" x14ac:dyDescent="0.55000000000000004">
      <c r="D373">
        <v>366</v>
      </c>
      <c r="E373">
        <v>7.3419739994236188</v>
      </c>
      <c r="F373">
        <v>2.6580260005763794</v>
      </c>
      <c r="G373">
        <v>5.7119890371821054</v>
      </c>
      <c r="H373">
        <v>4.2880109628178964</v>
      </c>
      <c r="I373">
        <v>346.47018598950672</v>
      </c>
      <c r="J373">
        <v>4.7852070669848574</v>
      </c>
      <c r="K373">
        <v>323.85319766653413</v>
      </c>
      <c r="L373">
        <v>4.4324611236453908</v>
      </c>
      <c r="M373">
        <v>319.5506554828267</v>
      </c>
      <c r="N373">
        <v>4.8328930504598642</v>
      </c>
      <c r="O373">
        <v>303.72867057746765</v>
      </c>
      <c r="P373">
        <v>4.4759345694391284</v>
      </c>
    </row>
    <row r="374" spans="4:16" x14ac:dyDescent="0.55000000000000004">
      <c r="D374">
        <v>367</v>
      </c>
      <c r="E374">
        <v>7.1334961385564863</v>
      </c>
      <c r="F374">
        <v>2.8665038614435092</v>
      </c>
      <c r="G374">
        <v>6.6016530756807432</v>
      </c>
      <c r="H374">
        <v>3.3983469243192572</v>
      </c>
      <c r="I374">
        <v>344.58059810033421</v>
      </c>
      <c r="J374">
        <v>4.7937333167767182</v>
      </c>
      <c r="K374">
        <v>322.61818556879336</v>
      </c>
      <c r="L374">
        <v>4.4401128008261113</v>
      </c>
      <c r="M374">
        <v>368.89013761060272</v>
      </c>
      <c r="N374">
        <v>4.8091116813883934</v>
      </c>
      <c r="O374">
        <v>349.298242873243</v>
      </c>
      <c r="P374">
        <v>4.4540721684146725</v>
      </c>
    </row>
    <row r="375" spans="4:16" x14ac:dyDescent="0.55000000000000004">
      <c r="D375">
        <v>368</v>
      </c>
      <c r="E375">
        <v>6.0463582712510506</v>
      </c>
      <c r="F375">
        <v>3.9536417287489494</v>
      </c>
      <c r="G375">
        <v>6.561143635529187</v>
      </c>
      <c r="H375">
        <v>3.4388563644708139</v>
      </c>
      <c r="I375">
        <v>290.83559748239043</v>
      </c>
      <c r="J375">
        <v>4.8409447500286573</v>
      </c>
      <c r="K375">
        <v>273.59378879203462</v>
      </c>
      <c r="L375">
        <v>4.4836068697866898</v>
      </c>
      <c r="M375">
        <v>365.59726430370557</v>
      </c>
      <c r="N375">
        <v>4.8274028275815279</v>
      </c>
      <c r="O375">
        <v>346.14934263831532</v>
      </c>
      <c r="P375">
        <v>4.4712714497544859</v>
      </c>
    </row>
    <row r="376" spans="4:16" x14ac:dyDescent="0.55000000000000004">
      <c r="D376">
        <v>369</v>
      </c>
      <c r="E376">
        <v>7.0649753828985</v>
      </c>
      <c r="F376">
        <v>2.9350246171015009</v>
      </c>
      <c r="G376">
        <v>5.6861055331639117</v>
      </c>
      <c r="H376">
        <v>4.3138944668360883</v>
      </c>
      <c r="I376">
        <v>371.29024084085097</v>
      </c>
      <c r="J376">
        <v>4.9310678852502932</v>
      </c>
      <c r="K376">
        <v>347.4195493590147</v>
      </c>
      <c r="L376">
        <v>4.5687323498697534</v>
      </c>
      <c r="M376">
        <v>348.82559788747329</v>
      </c>
      <c r="N376">
        <v>4.9445213524678708</v>
      </c>
      <c r="O376">
        <v>331.30283754155687</v>
      </c>
      <c r="P376">
        <v>4.5810072880840016</v>
      </c>
    </row>
    <row r="377" spans="4:16" x14ac:dyDescent="0.55000000000000004">
      <c r="D377">
        <v>370</v>
      </c>
      <c r="E377">
        <v>7.8703812767586241</v>
      </c>
      <c r="F377">
        <v>2.1296187232413746</v>
      </c>
      <c r="G377">
        <v>5.638113602881905</v>
      </c>
      <c r="H377">
        <v>4.3618863971180968</v>
      </c>
      <c r="I377">
        <v>394.74518609613352</v>
      </c>
      <c r="J377">
        <v>4.7516384450284983</v>
      </c>
      <c r="K377">
        <v>368.07882979888541</v>
      </c>
      <c r="L377">
        <v>4.4016488348476548</v>
      </c>
      <c r="M377">
        <v>332.78403868095296</v>
      </c>
      <c r="N377">
        <v>4.8220809625001522</v>
      </c>
      <c r="O377">
        <v>315.88278408032068</v>
      </c>
      <c r="P377">
        <v>4.465947450057163</v>
      </c>
    </row>
    <row r="378" spans="4:16" x14ac:dyDescent="0.55000000000000004">
      <c r="D378">
        <v>371</v>
      </c>
      <c r="E378">
        <v>6.5830496747327887</v>
      </c>
      <c r="F378">
        <v>3.4169503252672135</v>
      </c>
      <c r="G378">
        <v>5.6877262637383099</v>
      </c>
      <c r="H378">
        <v>4.3122737362616892</v>
      </c>
      <c r="I378">
        <v>314.98601073557745</v>
      </c>
      <c r="J378">
        <v>4.8269896460115049</v>
      </c>
      <c r="K378">
        <v>295.56330829952071</v>
      </c>
      <c r="L378">
        <v>4.470890566627812</v>
      </c>
      <c r="M378">
        <v>322.14654217896691</v>
      </c>
      <c r="N378">
        <v>4.8505198072473945</v>
      </c>
      <c r="O378">
        <v>306.51215958817858</v>
      </c>
      <c r="P378">
        <v>4.4923399416220509</v>
      </c>
    </row>
    <row r="379" spans="4:16" x14ac:dyDescent="0.55000000000000004">
      <c r="D379">
        <v>372</v>
      </c>
      <c r="E379">
        <v>5.8577523367214503</v>
      </c>
      <c r="F379">
        <v>4.1422476632785514</v>
      </c>
      <c r="G379">
        <v>5.927982928853206</v>
      </c>
      <c r="H379">
        <v>4.0720170711467931</v>
      </c>
      <c r="I379">
        <v>308.36186755796285</v>
      </c>
      <c r="J379">
        <v>4.879057178712972</v>
      </c>
      <c r="K379">
        <v>290.20189603013864</v>
      </c>
      <c r="L379">
        <v>4.5194124506236655</v>
      </c>
      <c r="M379">
        <v>362.05892323812344</v>
      </c>
      <c r="N379">
        <v>4.8776071539483823</v>
      </c>
      <c r="O379">
        <v>343.5801795924699</v>
      </c>
      <c r="P379">
        <v>4.5180874516918195</v>
      </c>
    </row>
    <row r="380" spans="4:16" x14ac:dyDescent="0.55000000000000004">
      <c r="D380">
        <v>373</v>
      </c>
      <c r="E380">
        <v>7.9597321179444949</v>
      </c>
      <c r="F380">
        <v>2.0402678820555056</v>
      </c>
      <c r="G380">
        <v>5.2202722875755594</v>
      </c>
      <c r="H380">
        <v>4.7797277124244433</v>
      </c>
      <c r="I380">
        <v>390.81279531818137</v>
      </c>
      <c r="J380">
        <v>4.847894987588159</v>
      </c>
      <c r="K380">
        <v>364.53849315140724</v>
      </c>
      <c r="L380">
        <v>4.4913537281231513</v>
      </c>
      <c r="M380">
        <v>306.30877707933274</v>
      </c>
      <c r="N380">
        <v>4.9002441829286187</v>
      </c>
      <c r="O380">
        <v>292.04775418490016</v>
      </c>
      <c r="P380">
        <v>4.539027334499492</v>
      </c>
    </row>
    <row r="381" spans="4:16" x14ac:dyDescent="0.55000000000000004">
      <c r="D381">
        <v>374</v>
      </c>
      <c r="E381">
        <v>6.9333131167813518</v>
      </c>
      <c r="F381">
        <v>3.0666868832186487</v>
      </c>
      <c r="G381">
        <v>6.0704778061661147</v>
      </c>
      <c r="H381">
        <v>3.9295221938338862</v>
      </c>
      <c r="I381">
        <v>327.55209787535409</v>
      </c>
      <c r="J381">
        <v>4.8380863452340312</v>
      </c>
      <c r="K381">
        <v>306.58333835773863</v>
      </c>
      <c r="L381">
        <v>4.4816842378402972</v>
      </c>
      <c r="M381">
        <v>336.78897188456432</v>
      </c>
      <c r="N381">
        <v>4.8582361374401124</v>
      </c>
      <c r="O381">
        <v>319.39206029347793</v>
      </c>
      <c r="P381">
        <v>4.5000684148791921</v>
      </c>
    </row>
    <row r="382" spans="4:16" x14ac:dyDescent="0.55000000000000004">
      <c r="D382">
        <v>375</v>
      </c>
      <c r="E382">
        <v>6.8618067115763033</v>
      </c>
      <c r="F382">
        <v>3.1381932884236963</v>
      </c>
      <c r="G382">
        <v>6.847143631420626</v>
      </c>
      <c r="H382">
        <v>3.152856368579374</v>
      </c>
      <c r="I382">
        <v>351.79516934481398</v>
      </c>
      <c r="J382">
        <v>4.7987596251216269</v>
      </c>
      <c r="K382">
        <v>329.37349441239024</v>
      </c>
      <c r="L382">
        <v>4.4448184229499477</v>
      </c>
      <c r="M382">
        <v>401.04341386942576</v>
      </c>
      <c r="N382">
        <v>4.7991896581830984</v>
      </c>
      <c r="O382">
        <v>378.68881435896753</v>
      </c>
      <c r="P382">
        <v>4.4452100862888138</v>
      </c>
    </row>
    <row r="383" spans="4:16" x14ac:dyDescent="0.55000000000000004">
      <c r="D383">
        <v>376</v>
      </c>
      <c r="E383">
        <v>6.2373978100911422</v>
      </c>
      <c r="F383">
        <v>3.7626021899088564</v>
      </c>
      <c r="G383">
        <v>6.1814247038526045</v>
      </c>
      <c r="H383">
        <v>3.818575296147396</v>
      </c>
      <c r="I383">
        <v>308.24789190110977</v>
      </c>
      <c r="J383">
        <v>4.8168577892758302</v>
      </c>
      <c r="K383">
        <v>289.66339050827776</v>
      </c>
      <c r="L383">
        <v>4.46113231029274</v>
      </c>
      <c r="M383">
        <v>355.48173964875969</v>
      </c>
      <c r="N383">
        <v>4.8185012692541394</v>
      </c>
      <c r="O383">
        <v>337.14186300339225</v>
      </c>
      <c r="P383">
        <v>4.4626304490757782</v>
      </c>
    </row>
    <row r="384" spans="4:16" x14ac:dyDescent="0.55000000000000004">
      <c r="D384">
        <v>377</v>
      </c>
      <c r="E384">
        <v>6.502121785297474</v>
      </c>
      <c r="F384">
        <v>3.4978782147025278</v>
      </c>
      <c r="G384">
        <v>6.4629228210170719</v>
      </c>
      <c r="H384">
        <v>3.5370771789829289</v>
      </c>
      <c r="I384">
        <v>318.93932392737975</v>
      </c>
      <c r="J384">
        <v>4.8593335108778355</v>
      </c>
      <c r="K384">
        <v>299.07615044233336</v>
      </c>
      <c r="L384">
        <v>4.5013267946096365</v>
      </c>
      <c r="M384">
        <v>367.01655293368447</v>
      </c>
      <c r="N384">
        <v>4.8601815387777467</v>
      </c>
      <c r="O384">
        <v>347.3222213624943</v>
      </c>
      <c r="P384">
        <v>4.5021003556832362</v>
      </c>
    </row>
    <row r="385" spans="4:16" x14ac:dyDescent="0.55000000000000004">
      <c r="D385">
        <v>378</v>
      </c>
      <c r="E385">
        <v>6.6377324764053816</v>
      </c>
      <c r="F385">
        <v>3.3622675235946184</v>
      </c>
      <c r="G385">
        <v>6.6899724695942435</v>
      </c>
      <c r="H385">
        <v>3.3100275304057583</v>
      </c>
      <c r="I385">
        <v>329.93491946562136</v>
      </c>
      <c r="J385">
        <v>4.7437547898285857</v>
      </c>
      <c r="K385">
        <v>309.5765041333936</v>
      </c>
      <c r="L385">
        <v>4.3927989674546861</v>
      </c>
      <c r="M385">
        <v>382.5315589064121</v>
      </c>
      <c r="N385">
        <v>4.7417380999300995</v>
      </c>
      <c r="O385">
        <v>361.93620020160773</v>
      </c>
      <c r="P385">
        <v>4.3909663005277686</v>
      </c>
    </row>
    <row r="386" spans="4:16" x14ac:dyDescent="0.55000000000000004">
      <c r="D386">
        <v>379</v>
      </c>
      <c r="E386">
        <v>7.5036806825034663</v>
      </c>
      <c r="F386">
        <v>2.4963193174965337</v>
      </c>
      <c r="G386">
        <v>6.8059468049252176</v>
      </c>
      <c r="H386">
        <v>3.1940531950747846</v>
      </c>
      <c r="I386">
        <v>363.27833309905662</v>
      </c>
      <c r="J386">
        <v>4.8141589744603319</v>
      </c>
      <c r="K386">
        <v>339.16896876075145</v>
      </c>
      <c r="L386">
        <v>4.4597252545234101</v>
      </c>
      <c r="M386">
        <v>379.49869738182866</v>
      </c>
      <c r="N386">
        <v>4.8314395044894507</v>
      </c>
      <c r="O386">
        <v>358.40262166966886</v>
      </c>
      <c r="P386">
        <v>4.4754642870353152</v>
      </c>
    </row>
    <row r="387" spans="4:16" x14ac:dyDescent="0.55000000000000004">
      <c r="D387">
        <v>380</v>
      </c>
      <c r="E387">
        <v>6.7213819836162889</v>
      </c>
      <c r="F387">
        <v>3.2786180163837111</v>
      </c>
      <c r="G387">
        <v>4.8131273395160363</v>
      </c>
      <c r="H387">
        <v>5.1868726604839628</v>
      </c>
      <c r="I387">
        <v>330.839206762255</v>
      </c>
      <c r="J387">
        <v>4.9365830417549983</v>
      </c>
      <c r="K387">
        <v>310.15724053032329</v>
      </c>
      <c r="L387">
        <v>4.5737802041801583</v>
      </c>
      <c r="M387">
        <v>286.91128326476519</v>
      </c>
      <c r="N387">
        <v>4.9545876285171726</v>
      </c>
      <c r="O387">
        <v>274.27798894961381</v>
      </c>
      <c r="P387">
        <v>4.5902419801737127</v>
      </c>
    </row>
    <row r="388" spans="4:16" x14ac:dyDescent="0.55000000000000004">
      <c r="D388">
        <v>381</v>
      </c>
      <c r="E388">
        <v>8.0788750552854456</v>
      </c>
      <c r="F388">
        <v>1.9211249447145531</v>
      </c>
      <c r="G388">
        <v>7.2000213557347497</v>
      </c>
      <c r="H388">
        <v>2.7999786442652512</v>
      </c>
      <c r="I388">
        <v>418.48832230688032</v>
      </c>
      <c r="J388">
        <v>4.7049427814812148</v>
      </c>
      <c r="K388">
        <v>389.98473689341154</v>
      </c>
      <c r="L388">
        <v>4.3582721093505317</v>
      </c>
      <c r="M388">
        <v>422.96341843582144</v>
      </c>
      <c r="N388">
        <v>4.7370403354475599</v>
      </c>
      <c r="O388">
        <v>398.61290264112097</v>
      </c>
      <c r="P388">
        <v>4.3874415214674825</v>
      </c>
    </row>
    <row r="389" spans="4:16" x14ac:dyDescent="0.55000000000000004">
      <c r="D389">
        <v>382</v>
      </c>
      <c r="E389">
        <v>5.8391078770330989</v>
      </c>
      <c r="F389">
        <v>4.1608921229669003</v>
      </c>
      <c r="G389">
        <v>4.1626695139506271</v>
      </c>
      <c r="H389">
        <v>5.8373304860493729</v>
      </c>
      <c r="I389">
        <v>279.80919711289391</v>
      </c>
      <c r="J389">
        <v>4.8298468143879312</v>
      </c>
      <c r="K389">
        <v>263.63114150567657</v>
      </c>
      <c r="L389">
        <v>4.4729174970486447</v>
      </c>
      <c r="M389">
        <v>249.47451546941906</v>
      </c>
      <c r="N389">
        <v>4.878698682510243</v>
      </c>
      <c r="O389">
        <v>239.93546130835193</v>
      </c>
      <c r="P389">
        <v>4.5177321596144502</v>
      </c>
    </row>
    <row r="390" spans="4:16" x14ac:dyDescent="0.55000000000000004">
      <c r="D390">
        <v>383</v>
      </c>
      <c r="E390">
        <v>8.1448184887582737</v>
      </c>
      <c r="F390">
        <v>1.8551815112417247</v>
      </c>
      <c r="G390">
        <v>6.4753928342707798</v>
      </c>
      <c r="H390">
        <v>3.5246071657292219</v>
      </c>
      <c r="I390">
        <v>414.0452518777019</v>
      </c>
      <c r="J390">
        <v>4.9107427852632384</v>
      </c>
      <c r="K390">
        <v>385.95638535650602</v>
      </c>
      <c r="L390">
        <v>4.5500307395295918</v>
      </c>
      <c r="M390">
        <v>379.17930102104242</v>
      </c>
      <c r="N390">
        <v>4.9290376415986286</v>
      </c>
      <c r="O390">
        <v>358.93588014755824</v>
      </c>
      <c r="P390">
        <v>4.5666343251072377</v>
      </c>
    </row>
    <row r="391" spans="4:16" x14ac:dyDescent="0.55000000000000004">
      <c r="D391">
        <v>384</v>
      </c>
      <c r="E391">
        <v>6.901082042343643</v>
      </c>
      <c r="F391">
        <v>3.0989179576563584</v>
      </c>
      <c r="G391">
        <v>6.0872862312069493</v>
      </c>
      <c r="H391">
        <v>3.9127137687930507</v>
      </c>
      <c r="I391">
        <v>338.23490719639688</v>
      </c>
      <c r="J391">
        <v>4.9017254907849628</v>
      </c>
      <c r="K391">
        <v>316.6952246546968</v>
      </c>
      <c r="L391">
        <v>4.5412166051989606</v>
      </c>
      <c r="M391">
        <v>348.34925608143664</v>
      </c>
      <c r="N391">
        <v>4.913314308806541</v>
      </c>
      <c r="O391">
        <v>330.32668235911382</v>
      </c>
      <c r="P391">
        <v>4.5517835235415722</v>
      </c>
    </row>
    <row r="392" spans="4:16" x14ac:dyDescent="0.55000000000000004">
      <c r="D392">
        <v>385</v>
      </c>
      <c r="E392">
        <v>5.5444799956463768</v>
      </c>
      <c r="F392">
        <v>4.4555200043536241</v>
      </c>
      <c r="G392">
        <v>5.8462821206976257</v>
      </c>
      <c r="H392">
        <v>4.1537178793023743</v>
      </c>
      <c r="I392">
        <v>295.99700449655137</v>
      </c>
      <c r="J392">
        <v>4.7961067304338183</v>
      </c>
      <c r="K392">
        <v>279.42732542583627</v>
      </c>
      <c r="L392">
        <v>4.4407532519207615</v>
      </c>
      <c r="M392">
        <v>362.10897983707184</v>
      </c>
      <c r="N392">
        <v>4.7850082284846653</v>
      </c>
      <c r="O392">
        <v>344.12996373184774</v>
      </c>
      <c r="P392">
        <v>4.4306255514713584</v>
      </c>
    </row>
    <row r="393" spans="4:16" x14ac:dyDescent="0.55000000000000004">
      <c r="D393">
        <v>386</v>
      </c>
      <c r="E393">
        <v>6.0124216905986589</v>
      </c>
      <c r="F393">
        <v>3.9875783094013428</v>
      </c>
      <c r="G393">
        <v>5.3560250060035539</v>
      </c>
      <c r="H393">
        <v>4.6439749939964452</v>
      </c>
      <c r="I393">
        <v>299.1065436567452</v>
      </c>
      <c r="J393">
        <v>4.906625644271057</v>
      </c>
      <c r="K393">
        <v>281.37928555244702</v>
      </c>
      <c r="L393">
        <v>4.5453924336544054</v>
      </c>
      <c r="M393">
        <v>316.45205704547095</v>
      </c>
      <c r="N393">
        <v>4.9168196427430075</v>
      </c>
      <c r="O393">
        <v>301.52468846313138</v>
      </c>
      <c r="P393">
        <v>4.5547123694026554</v>
      </c>
    </row>
    <row r="394" spans="4:16" x14ac:dyDescent="0.55000000000000004">
      <c r="D394">
        <v>387</v>
      </c>
      <c r="E394">
        <v>6.5360507056262227</v>
      </c>
      <c r="F394">
        <v>3.4639492943737769</v>
      </c>
      <c r="G394">
        <v>6.8746105187113802</v>
      </c>
      <c r="H394">
        <v>3.1253894812886189</v>
      </c>
      <c r="I394">
        <v>312.23165972236632</v>
      </c>
      <c r="J394">
        <v>4.8391158402558947</v>
      </c>
      <c r="K394">
        <v>292.96837652055746</v>
      </c>
      <c r="L394">
        <v>4.4822744031956097</v>
      </c>
      <c r="M394">
        <v>378.40489599543855</v>
      </c>
      <c r="N394">
        <v>4.8307822281857735</v>
      </c>
      <c r="O394">
        <v>357.67971288179564</v>
      </c>
      <c r="P394">
        <v>4.4746940668796338</v>
      </c>
    </row>
    <row r="395" spans="4:16" x14ac:dyDescent="0.55000000000000004">
      <c r="D395">
        <v>388</v>
      </c>
      <c r="E395">
        <v>6.6265611290653537</v>
      </c>
      <c r="F395">
        <v>3.3734388709346468</v>
      </c>
      <c r="G395">
        <v>5.4076574419649415</v>
      </c>
      <c r="H395">
        <v>4.5923425580350576</v>
      </c>
      <c r="I395">
        <v>335.07717886856852</v>
      </c>
      <c r="J395">
        <v>4.8353240487996549</v>
      </c>
      <c r="K395">
        <v>314.04204932426092</v>
      </c>
      <c r="L395">
        <v>4.4788946427425467</v>
      </c>
      <c r="M395">
        <v>323.44237299698835</v>
      </c>
      <c r="N395">
        <v>4.8656148919965068</v>
      </c>
      <c r="O395">
        <v>307.6746219564796</v>
      </c>
      <c r="P395">
        <v>4.5065967970636756</v>
      </c>
    </row>
    <row r="396" spans="4:16" x14ac:dyDescent="0.55000000000000004">
      <c r="D396">
        <v>389</v>
      </c>
      <c r="E396">
        <v>6.5250030838348954</v>
      </c>
      <c r="F396">
        <v>3.4749969161651038</v>
      </c>
      <c r="G396">
        <v>6.1967540105300492</v>
      </c>
      <c r="H396">
        <v>3.8032459894699517</v>
      </c>
      <c r="I396">
        <v>329.86288014074506</v>
      </c>
      <c r="J396">
        <v>4.8619473075607242</v>
      </c>
      <c r="K396">
        <v>309.48666327783991</v>
      </c>
      <c r="L396">
        <v>4.5037078048607011</v>
      </c>
      <c r="M396">
        <v>363.26868342808541</v>
      </c>
      <c r="N396">
        <v>4.8688922342953482</v>
      </c>
      <c r="O396">
        <v>344.36321154854966</v>
      </c>
      <c r="P396">
        <v>4.510037202182744</v>
      </c>
    </row>
    <row r="397" spans="4:16" x14ac:dyDescent="0.55000000000000004">
      <c r="D397">
        <v>390</v>
      </c>
      <c r="E397">
        <v>7.1139576463039331</v>
      </c>
      <c r="F397">
        <v>2.8860423536960669</v>
      </c>
      <c r="G397">
        <v>5.7668090882886958</v>
      </c>
      <c r="H397">
        <v>4.2331909117113042</v>
      </c>
      <c r="I397">
        <v>365.54558722660374</v>
      </c>
      <c r="J397">
        <v>4.7703625971158257</v>
      </c>
      <c r="K397">
        <v>342.27387983810212</v>
      </c>
      <c r="L397">
        <v>4.4182147266166734</v>
      </c>
      <c r="M397">
        <v>346.32332934923193</v>
      </c>
      <c r="N397">
        <v>4.8138483348081929</v>
      </c>
      <c r="O397">
        <v>329.31516186372585</v>
      </c>
      <c r="P397">
        <v>4.4577656800127823</v>
      </c>
    </row>
    <row r="398" spans="4:16" x14ac:dyDescent="0.55000000000000004">
      <c r="D398">
        <v>391</v>
      </c>
      <c r="E398">
        <v>7.0387684714805197</v>
      </c>
      <c r="F398">
        <v>2.9612315285194795</v>
      </c>
      <c r="G398">
        <v>6.3773699511723807</v>
      </c>
      <c r="H398">
        <v>3.6226300488276215</v>
      </c>
      <c r="I398">
        <v>346.88959271187224</v>
      </c>
      <c r="J398">
        <v>4.8388626569208935</v>
      </c>
      <c r="K398">
        <v>324.84841170537771</v>
      </c>
      <c r="L398">
        <v>4.482333975282347</v>
      </c>
      <c r="M398">
        <v>364.29408054812757</v>
      </c>
      <c r="N398">
        <v>4.8540039420350052</v>
      </c>
      <c r="O398">
        <v>345.22122927201031</v>
      </c>
      <c r="P398">
        <v>4.4960964102487901</v>
      </c>
    </row>
    <row r="399" spans="4:16" x14ac:dyDescent="0.55000000000000004">
      <c r="D399">
        <v>392</v>
      </c>
      <c r="E399">
        <v>6.3906033892619218</v>
      </c>
      <c r="F399">
        <v>3.6093966107380764</v>
      </c>
      <c r="G399">
        <v>7.5351196772871702</v>
      </c>
      <c r="H399">
        <v>2.4648803227128293</v>
      </c>
      <c r="I399">
        <v>280.23655566147067</v>
      </c>
      <c r="J399">
        <v>4.8583026979868533</v>
      </c>
      <c r="K399">
        <v>263.0286250463684</v>
      </c>
      <c r="L399">
        <v>4.5002363602233473</v>
      </c>
      <c r="M399">
        <v>380.4251345668016</v>
      </c>
      <c r="N399">
        <v>4.8329256153790086</v>
      </c>
      <c r="O399">
        <v>358.66693479467182</v>
      </c>
      <c r="P399">
        <v>4.4771600511939615</v>
      </c>
    </row>
    <row r="400" spans="4:16" x14ac:dyDescent="0.55000000000000004">
      <c r="D400">
        <v>393</v>
      </c>
      <c r="E400">
        <v>6.2718124534388595</v>
      </c>
      <c r="F400">
        <v>3.7281875465611409</v>
      </c>
      <c r="G400">
        <v>5.9023483239055814</v>
      </c>
      <c r="H400">
        <v>4.0976516760944159</v>
      </c>
      <c r="I400">
        <v>332.39582904811863</v>
      </c>
      <c r="J400">
        <v>4.8166586654221142</v>
      </c>
      <c r="K400">
        <v>312.52106988772891</v>
      </c>
      <c r="L400">
        <v>4.4608538289157478</v>
      </c>
      <c r="M400">
        <v>362.81483287652242</v>
      </c>
      <c r="N400">
        <v>4.8274590595809252</v>
      </c>
      <c r="O400">
        <v>344.68834711604092</v>
      </c>
      <c r="P400">
        <v>4.4706899186208471</v>
      </c>
    </row>
    <row r="401" spans="4:16" x14ac:dyDescent="0.55000000000000004">
      <c r="D401">
        <v>394</v>
      </c>
      <c r="E401">
        <v>7.3628602683047308</v>
      </c>
      <c r="F401">
        <v>2.6371397316952714</v>
      </c>
      <c r="G401">
        <v>6.1827928104394427</v>
      </c>
      <c r="H401">
        <v>3.8172071895605577</v>
      </c>
      <c r="I401">
        <v>377.27805707692204</v>
      </c>
      <c r="J401">
        <v>4.8217862580574691</v>
      </c>
      <c r="K401">
        <v>352.84111764453763</v>
      </c>
      <c r="L401">
        <v>4.4665622012060835</v>
      </c>
      <c r="M401">
        <v>366.81058363597532</v>
      </c>
      <c r="N401">
        <v>4.8503491031675532</v>
      </c>
      <c r="O401">
        <v>347.90619700413754</v>
      </c>
      <c r="P401">
        <v>4.4925116503908402</v>
      </c>
    </row>
    <row r="402" spans="4:16" x14ac:dyDescent="0.55000000000000004">
      <c r="D402">
        <v>395</v>
      </c>
      <c r="E402">
        <v>7.1000131005998499</v>
      </c>
      <c r="F402">
        <v>2.8999868994001492</v>
      </c>
      <c r="G402">
        <v>7.3586260008904816</v>
      </c>
      <c r="H402">
        <v>2.6413739991095198</v>
      </c>
      <c r="I402">
        <v>347.49788408372251</v>
      </c>
      <c r="J402">
        <v>4.7046532069057756</v>
      </c>
      <c r="K402">
        <v>325.30795326363835</v>
      </c>
      <c r="L402">
        <v>4.3567456986828095</v>
      </c>
      <c r="M402">
        <v>410.15524603142893</v>
      </c>
      <c r="N402">
        <v>4.6938954111564737</v>
      </c>
      <c r="O402">
        <v>386.79040042238961</v>
      </c>
      <c r="P402">
        <v>4.3469864912155378</v>
      </c>
    </row>
    <row r="403" spans="4:16" x14ac:dyDescent="0.55000000000000004">
      <c r="D403">
        <v>396</v>
      </c>
      <c r="E403">
        <v>7.1283843085185836</v>
      </c>
      <c r="F403">
        <v>2.8716156914814195</v>
      </c>
      <c r="G403">
        <v>6.0086523926585853</v>
      </c>
      <c r="H403">
        <v>3.9913476073414151</v>
      </c>
      <c r="I403">
        <v>358.72607085022906</v>
      </c>
      <c r="J403">
        <v>4.9095980353516966</v>
      </c>
      <c r="K403">
        <v>335.71483273290789</v>
      </c>
      <c r="L403">
        <v>4.548629796385951</v>
      </c>
      <c r="M403">
        <v>352.37711248920999</v>
      </c>
      <c r="N403">
        <v>4.9237984432831521</v>
      </c>
      <c r="O403">
        <v>334.41962232908401</v>
      </c>
      <c r="P403">
        <v>4.5615566176414095</v>
      </c>
    </row>
    <row r="404" spans="4:16" x14ac:dyDescent="0.55000000000000004">
      <c r="D404">
        <v>397</v>
      </c>
      <c r="E404">
        <v>6.7054793659599605</v>
      </c>
      <c r="F404">
        <v>3.2945206340400381</v>
      </c>
      <c r="G404">
        <v>6.731829644687207</v>
      </c>
      <c r="H404">
        <v>3.2681703553127921</v>
      </c>
      <c r="I404">
        <v>329.16444901662305</v>
      </c>
      <c r="J404">
        <v>4.7464835850823306</v>
      </c>
      <c r="K404">
        <v>308.56793299291087</v>
      </c>
      <c r="L404">
        <v>4.3955793804770931</v>
      </c>
      <c r="M404">
        <v>380.45795459695773</v>
      </c>
      <c r="N404">
        <v>4.7454873508341251</v>
      </c>
      <c r="O404">
        <v>359.74495296183431</v>
      </c>
      <c r="P404">
        <v>4.3946728613080284</v>
      </c>
    </row>
    <row r="405" spans="4:16" x14ac:dyDescent="0.55000000000000004">
      <c r="D405">
        <v>398</v>
      </c>
      <c r="E405">
        <v>8.1639434890471865</v>
      </c>
      <c r="F405">
        <v>1.8360565109528131</v>
      </c>
      <c r="G405">
        <v>5.2424560849920807</v>
      </c>
      <c r="H405">
        <v>4.7575439150079193</v>
      </c>
      <c r="I405">
        <v>386.97911395130461</v>
      </c>
      <c r="J405">
        <v>4.9300141497249932</v>
      </c>
      <c r="K405">
        <v>360.7983696749701</v>
      </c>
      <c r="L405">
        <v>4.5679817200855304</v>
      </c>
      <c r="M405">
        <v>298.49767926745318</v>
      </c>
      <c r="N405">
        <v>4.955058759638673</v>
      </c>
      <c r="O405">
        <v>284.96947157058969</v>
      </c>
      <c r="P405">
        <v>4.5907380966069518</v>
      </c>
    </row>
    <row r="406" spans="4:16" x14ac:dyDescent="0.55000000000000004">
      <c r="D406">
        <v>399</v>
      </c>
      <c r="E406">
        <v>6.2630283556211381</v>
      </c>
      <c r="F406">
        <v>3.7369716443788619</v>
      </c>
      <c r="G406">
        <v>6.1063641392551684</v>
      </c>
      <c r="H406">
        <v>3.8936358607448329</v>
      </c>
      <c r="I406">
        <v>326.98083438540561</v>
      </c>
      <c r="J406">
        <v>4.8137546659807748</v>
      </c>
      <c r="K406">
        <v>306.85145739628877</v>
      </c>
      <c r="L406">
        <v>4.4584529144755392</v>
      </c>
      <c r="M406">
        <v>368.80169271830709</v>
      </c>
      <c r="N406">
        <v>4.8184134313015106</v>
      </c>
      <c r="O406">
        <v>349.37514441239927</v>
      </c>
      <c r="P406">
        <v>4.4627113549175741</v>
      </c>
    </row>
    <row r="407" spans="4:16" x14ac:dyDescent="0.55000000000000004">
      <c r="D407">
        <v>400</v>
      </c>
      <c r="E407">
        <v>7.0789547684563043</v>
      </c>
      <c r="F407">
        <v>2.921045231543697</v>
      </c>
      <c r="G407">
        <v>6.0230823612557076</v>
      </c>
      <c r="H407">
        <v>3.9769176387442919</v>
      </c>
      <c r="I407">
        <v>350.36691540572599</v>
      </c>
      <c r="J407">
        <v>4.7656554915938374</v>
      </c>
      <c r="K407">
        <v>328.03409390388435</v>
      </c>
      <c r="L407">
        <v>4.4138256379737948</v>
      </c>
      <c r="M407">
        <v>348.10739822087982</v>
      </c>
      <c r="N407">
        <v>4.8006095078714424</v>
      </c>
      <c r="O407">
        <v>330.49239335978928</v>
      </c>
      <c r="P407">
        <v>4.4456241210865546</v>
      </c>
    </row>
    <row r="408" spans="4:16" x14ac:dyDescent="0.55000000000000004">
      <c r="D408">
        <v>401</v>
      </c>
      <c r="E408">
        <v>6.3608634033378708</v>
      </c>
      <c r="F408">
        <v>3.6391365966621301</v>
      </c>
      <c r="G408">
        <v>7.360606814293531</v>
      </c>
      <c r="H408">
        <v>2.6393931857064654</v>
      </c>
      <c r="I408">
        <v>326.32092862609335</v>
      </c>
      <c r="J408">
        <v>4.7694011314013283</v>
      </c>
      <c r="K408">
        <v>305.96803540338192</v>
      </c>
      <c r="L408">
        <v>4.4170165013018758</v>
      </c>
      <c r="M408">
        <v>427.60912294255621</v>
      </c>
      <c r="N408">
        <v>4.7331576712235179</v>
      </c>
      <c r="O408">
        <v>402.73769572756771</v>
      </c>
      <c r="P408">
        <v>4.383966121110479</v>
      </c>
    </row>
    <row r="409" spans="4:16" x14ac:dyDescent="0.55000000000000004">
      <c r="D409">
        <v>402</v>
      </c>
      <c r="E409">
        <v>7.2902501194689489</v>
      </c>
      <c r="F409">
        <v>2.7097498805310525</v>
      </c>
      <c r="G409">
        <v>5.0402949902571015</v>
      </c>
      <c r="H409">
        <v>4.9597050097428994</v>
      </c>
      <c r="I409">
        <v>358.36078586859492</v>
      </c>
      <c r="J409">
        <v>4.8624471431471701</v>
      </c>
      <c r="K409">
        <v>335.13354683404168</v>
      </c>
      <c r="L409">
        <v>4.5045954009959974</v>
      </c>
      <c r="M409">
        <v>297.76160544813388</v>
      </c>
      <c r="N409">
        <v>4.904899425406632</v>
      </c>
      <c r="O409">
        <v>284.21088050637024</v>
      </c>
      <c r="P409">
        <v>4.5433334594610963</v>
      </c>
    </row>
    <row r="410" spans="4:16" x14ac:dyDescent="0.55000000000000004">
      <c r="D410">
        <v>403</v>
      </c>
      <c r="E410">
        <v>6.3185037170036269</v>
      </c>
      <c r="F410">
        <v>3.6814962829963749</v>
      </c>
      <c r="G410">
        <v>6.3526595551136698</v>
      </c>
      <c r="H410">
        <v>3.6473404448863294</v>
      </c>
      <c r="I410">
        <v>315.49769947549248</v>
      </c>
      <c r="J410">
        <v>4.865573859132085</v>
      </c>
      <c r="K410">
        <v>296.34755312336301</v>
      </c>
      <c r="L410">
        <v>4.5069660224944066</v>
      </c>
      <c r="M410">
        <v>367.2031805244909</v>
      </c>
      <c r="N410">
        <v>4.8648471938152804</v>
      </c>
      <c r="O410">
        <v>347.90138358523814</v>
      </c>
      <c r="P410">
        <v>4.5063039719219296</v>
      </c>
    </row>
    <row r="411" spans="4:16" x14ac:dyDescent="0.55000000000000004">
      <c r="D411">
        <v>404</v>
      </c>
      <c r="E411">
        <v>7.5320105365880137</v>
      </c>
      <c r="F411">
        <v>2.4679894634119868</v>
      </c>
      <c r="G411">
        <v>5.0609453957161685</v>
      </c>
      <c r="H411">
        <v>4.9390546042838306</v>
      </c>
      <c r="I411">
        <v>399.3190442396849</v>
      </c>
      <c r="J411">
        <v>4.7067093012706973</v>
      </c>
      <c r="K411">
        <v>373.15796643698081</v>
      </c>
      <c r="L411">
        <v>4.3591567510862648</v>
      </c>
      <c r="M411">
        <v>318.31240723172078</v>
      </c>
      <c r="N411">
        <v>4.802930677787816</v>
      </c>
      <c r="O411">
        <v>303.79661251626692</v>
      </c>
      <c r="P411">
        <v>4.4468249337028416</v>
      </c>
    </row>
    <row r="412" spans="4:16" x14ac:dyDescent="0.55000000000000004">
      <c r="D412">
        <v>405</v>
      </c>
      <c r="E412">
        <v>6.7638376657657515</v>
      </c>
      <c r="F412">
        <v>3.236162334234248</v>
      </c>
      <c r="G412">
        <v>7.4355846380692583</v>
      </c>
      <c r="H412">
        <v>2.564415361930739</v>
      </c>
      <c r="I412">
        <v>323.66051546930612</v>
      </c>
      <c r="J412">
        <v>4.8991934837721534</v>
      </c>
      <c r="K412">
        <v>303.07404665389066</v>
      </c>
      <c r="L412">
        <v>4.5388380321549651</v>
      </c>
      <c r="M412">
        <v>405.80468894956721</v>
      </c>
      <c r="N412">
        <v>4.8891819377518697</v>
      </c>
      <c r="O412">
        <v>382.33727958057148</v>
      </c>
      <c r="P412">
        <v>4.5297237768661294</v>
      </c>
    </row>
    <row r="413" spans="4:16" x14ac:dyDescent="0.55000000000000004">
      <c r="D413">
        <v>406</v>
      </c>
      <c r="E413">
        <v>5.6710880402820196</v>
      </c>
      <c r="F413">
        <v>4.3289119597179804</v>
      </c>
      <c r="G413">
        <v>6.5573382301152412</v>
      </c>
      <c r="H413">
        <v>3.4426617698847575</v>
      </c>
      <c r="I413">
        <v>265.10694015361844</v>
      </c>
      <c r="J413">
        <v>4.8090451431767098</v>
      </c>
      <c r="K413">
        <v>249.84239528717677</v>
      </c>
      <c r="L413">
        <v>4.4532728354837987</v>
      </c>
      <c r="M413">
        <v>356.53656959480844</v>
      </c>
      <c r="N413">
        <v>4.7792036424087545</v>
      </c>
      <c r="O413">
        <v>337.62686396385698</v>
      </c>
      <c r="P413">
        <v>4.4260569210225675</v>
      </c>
    </row>
    <row r="414" spans="4:16" x14ac:dyDescent="0.55000000000000004">
      <c r="D414">
        <v>407</v>
      </c>
      <c r="E414">
        <v>6.9943600191130493</v>
      </c>
      <c r="F414">
        <v>3.0056399808869489</v>
      </c>
      <c r="G414">
        <v>7.3473128825867642</v>
      </c>
      <c r="H414">
        <v>2.6526871174132332</v>
      </c>
      <c r="I414">
        <v>399.86164175649293</v>
      </c>
      <c r="J414">
        <v>4.952963055414056</v>
      </c>
      <c r="K414">
        <v>374.04656244641149</v>
      </c>
      <c r="L414">
        <v>4.5892324988563118</v>
      </c>
      <c r="M414">
        <v>470.03965819625182</v>
      </c>
      <c r="N414">
        <v>4.9505894537928503</v>
      </c>
      <c r="O414">
        <v>442.41695747542281</v>
      </c>
      <c r="P414">
        <v>4.5870715332552958</v>
      </c>
    </row>
    <row r="415" spans="4:16" x14ac:dyDescent="0.55000000000000004">
      <c r="D415">
        <v>408</v>
      </c>
      <c r="E415">
        <v>7.203379493738991</v>
      </c>
      <c r="F415">
        <v>2.7966205062610081</v>
      </c>
      <c r="G415">
        <v>5.0145630940992767</v>
      </c>
      <c r="H415">
        <v>4.9854369059007242</v>
      </c>
      <c r="I415">
        <v>334.75202072639223</v>
      </c>
      <c r="J415">
        <v>4.7767074017335691</v>
      </c>
      <c r="K415">
        <v>313.16351568701373</v>
      </c>
      <c r="L415">
        <v>4.4243405099281476</v>
      </c>
      <c r="M415">
        <v>283.03438757721329</v>
      </c>
      <c r="N415">
        <v>4.8445570133538567</v>
      </c>
      <c r="O415">
        <v>270.3165479664662</v>
      </c>
      <c r="P415">
        <v>4.4862730432060456</v>
      </c>
    </row>
    <row r="416" spans="4:16" x14ac:dyDescent="0.55000000000000004">
      <c r="D416">
        <v>409</v>
      </c>
      <c r="E416">
        <v>7.788607136943849</v>
      </c>
      <c r="F416">
        <v>2.2113928630561519</v>
      </c>
      <c r="G416">
        <v>7.0840904992371874</v>
      </c>
      <c r="H416">
        <v>2.9159095007628131</v>
      </c>
      <c r="I416">
        <v>391.75762673716326</v>
      </c>
      <c r="J416">
        <v>4.9383726455428754</v>
      </c>
      <c r="K416">
        <v>365.76305645013326</v>
      </c>
      <c r="L416">
        <v>4.5756945858075619</v>
      </c>
      <c r="M416">
        <v>406.32128219801547</v>
      </c>
      <c r="N416">
        <v>4.9439471334826948</v>
      </c>
      <c r="O416">
        <v>383.65955048242728</v>
      </c>
      <c r="P416">
        <v>4.5807447852333301</v>
      </c>
    </row>
    <row r="417" spans="4:16" x14ac:dyDescent="0.55000000000000004">
      <c r="D417">
        <v>410</v>
      </c>
      <c r="E417">
        <v>6.2610878193460211</v>
      </c>
      <c r="F417">
        <v>3.7389121806539771</v>
      </c>
      <c r="G417">
        <v>6.1171465249364791</v>
      </c>
      <c r="H417">
        <v>3.88285347506352</v>
      </c>
      <c r="I417">
        <v>324.68788691408332</v>
      </c>
      <c r="J417">
        <v>4.9322414685336335</v>
      </c>
      <c r="K417">
        <v>305.41817190833882</v>
      </c>
      <c r="L417">
        <v>4.5694955676405806</v>
      </c>
      <c r="M417">
        <v>367.22337019270742</v>
      </c>
      <c r="N417">
        <v>4.933799225110123</v>
      </c>
      <c r="O417">
        <v>348.63000711719678</v>
      </c>
      <c r="P417">
        <v>4.5709121775485491</v>
      </c>
    </row>
    <row r="418" spans="4:16" x14ac:dyDescent="0.55000000000000004">
      <c r="D418">
        <v>411</v>
      </c>
      <c r="E418">
        <v>6.040080251202645</v>
      </c>
      <c r="F418">
        <v>3.9599197487973559</v>
      </c>
      <c r="G418">
        <v>6.8781529107790131</v>
      </c>
      <c r="H418">
        <v>3.1218470892209851</v>
      </c>
      <c r="I418">
        <v>292.28932300028077</v>
      </c>
      <c r="J418">
        <v>4.8101110750261418</v>
      </c>
      <c r="K418">
        <v>274.78727076163051</v>
      </c>
      <c r="L418">
        <v>4.4547142097790413</v>
      </c>
      <c r="M418">
        <v>382.84502426664181</v>
      </c>
      <c r="N418">
        <v>4.7837636243701249</v>
      </c>
      <c r="O418">
        <v>361.74931908533955</v>
      </c>
      <c r="P418">
        <v>4.4307014146862338</v>
      </c>
    </row>
    <row r="419" spans="4:16" x14ac:dyDescent="0.55000000000000004">
      <c r="D419">
        <v>412</v>
      </c>
      <c r="E419">
        <v>6.8939995299494816</v>
      </c>
      <c r="F419">
        <v>3.1060004700505157</v>
      </c>
      <c r="G419">
        <v>5.755919003366559</v>
      </c>
      <c r="H419">
        <v>4.244080996633441</v>
      </c>
      <c r="I419">
        <v>336.18330963553058</v>
      </c>
      <c r="J419">
        <v>4.8027317908971039</v>
      </c>
      <c r="K419">
        <v>314.81309741838663</v>
      </c>
      <c r="L419">
        <v>4.4485043040994015</v>
      </c>
      <c r="M419">
        <v>330.68523824804993</v>
      </c>
      <c r="N419">
        <v>4.8352973729396584</v>
      </c>
      <c r="O419">
        <v>314.17771677742343</v>
      </c>
      <c r="P419">
        <v>4.4782165193402941</v>
      </c>
    </row>
    <row r="420" spans="4:16" x14ac:dyDescent="0.55000000000000004">
      <c r="D420">
        <v>413</v>
      </c>
      <c r="E420">
        <v>6.1574972664433414</v>
      </c>
      <c r="F420">
        <v>3.8425027335566595</v>
      </c>
      <c r="G420">
        <v>5.6797008604655339</v>
      </c>
      <c r="H420">
        <v>4.3202991395344652</v>
      </c>
      <c r="I420">
        <v>291.98032841065094</v>
      </c>
      <c r="J420">
        <v>4.7968799328477925</v>
      </c>
      <c r="K420">
        <v>274.4024800618123</v>
      </c>
      <c r="L420">
        <v>4.4423409378734924</v>
      </c>
      <c r="M420">
        <v>319.32385850182879</v>
      </c>
      <c r="N420">
        <v>4.8126412127749782</v>
      </c>
      <c r="O420">
        <v>303.70445923555974</v>
      </c>
      <c r="P420">
        <v>4.4567397961905275</v>
      </c>
    </row>
    <row r="421" spans="4:16" x14ac:dyDescent="0.55000000000000004">
      <c r="D421">
        <v>414</v>
      </c>
      <c r="E421">
        <v>7.6545097883186815</v>
      </c>
      <c r="F421">
        <v>2.345490211681319</v>
      </c>
      <c r="G421">
        <v>6.9091577362383019</v>
      </c>
      <c r="H421">
        <v>3.0908422637616977</v>
      </c>
      <c r="I421">
        <v>396.10637709049945</v>
      </c>
      <c r="J421">
        <v>4.7319821426431607</v>
      </c>
      <c r="K421">
        <v>369.84905179038014</v>
      </c>
      <c r="L421">
        <v>4.3829814000596956</v>
      </c>
      <c r="M421">
        <v>407.5358207555812</v>
      </c>
      <c r="N421">
        <v>4.7580801770698677</v>
      </c>
      <c r="O421">
        <v>384.8203018589773</v>
      </c>
      <c r="P421">
        <v>4.4066829384481014</v>
      </c>
    </row>
    <row r="422" spans="4:16" x14ac:dyDescent="0.55000000000000004">
      <c r="D422">
        <v>415</v>
      </c>
      <c r="E422">
        <v>6.3144034889706164</v>
      </c>
      <c r="F422">
        <v>3.6855965110293822</v>
      </c>
      <c r="G422">
        <v>5.9036218630073494</v>
      </c>
      <c r="H422">
        <v>4.0963781369926497</v>
      </c>
      <c r="I422">
        <v>319.19528446332498</v>
      </c>
      <c r="J422">
        <v>4.9149165379233875</v>
      </c>
      <c r="K422">
        <v>299.84940581801391</v>
      </c>
      <c r="L422">
        <v>4.5533060375294312</v>
      </c>
      <c r="M422">
        <v>348.43013092496165</v>
      </c>
      <c r="N422">
        <v>4.9204516170413859</v>
      </c>
      <c r="O422">
        <v>330.91196096823728</v>
      </c>
      <c r="P422">
        <v>4.5583539296792575</v>
      </c>
    </row>
    <row r="423" spans="4:16" x14ac:dyDescent="0.55000000000000004">
      <c r="D423">
        <v>416</v>
      </c>
      <c r="E423">
        <v>7.2383402579068798</v>
      </c>
      <c r="F423">
        <v>2.761659742093121</v>
      </c>
      <c r="G423">
        <v>6.5596902793465865</v>
      </c>
      <c r="H423">
        <v>3.4403097206534157</v>
      </c>
      <c r="I423">
        <v>358.84765470197988</v>
      </c>
      <c r="J423">
        <v>4.8681942611938984</v>
      </c>
      <c r="K423">
        <v>335.55506884722115</v>
      </c>
      <c r="L423">
        <v>4.5099824294997255</v>
      </c>
      <c r="M423">
        <v>375.20293167256904</v>
      </c>
      <c r="N423">
        <v>4.8805520612734359</v>
      </c>
      <c r="O423">
        <v>354.93807794228138</v>
      </c>
      <c r="P423">
        <v>4.5212281351727821</v>
      </c>
    </row>
    <row r="424" spans="4:16" x14ac:dyDescent="0.55000000000000004">
      <c r="D424">
        <v>417</v>
      </c>
      <c r="E424">
        <v>7.1631358064999429</v>
      </c>
      <c r="F424">
        <v>2.8368641935000571</v>
      </c>
      <c r="G424">
        <v>6.7923894426645735</v>
      </c>
      <c r="H424">
        <v>3.207610557335431</v>
      </c>
      <c r="I424">
        <v>362.89158399950787</v>
      </c>
      <c r="J424">
        <v>4.8447171501382957</v>
      </c>
      <c r="K424">
        <v>339.65821154931228</v>
      </c>
      <c r="L424">
        <v>4.4878915457947306</v>
      </c>
      <c r="M424">
        <v>394.1092044846323</v>
      </c>
      <c r="N424">
        <v>4.8527542100946341</v>
      </c>
      <c r="O424">
        <v>372.60713067969914</v>
      </c>
      <c r="P424">
        <v>4.4951877757085654</v>
      </c>
    </row>
    <row r="425" spans="4:16" x14ac:dyDescent="0.55000000000000004">
      <c r="D425">
        <v>418</v>
      </c>
      <c r="E425">
        <v>7.2921880419631346</v>
      </c>
      <c r="F425">
        <v>2.7078119580368636</v>
      </c>
      <c r="G425">
        <v>5.4027801062170369</v>
      </c>
      <c r="H425">
        <v>4.5972198937829631</v>
      </c>
      <c r="I425">
        <v>374.33829480645596</v>
      </c>
      <c r="J425">
        <v>4.7374262158862264</v>
      </c>
      <c r="K425">
        <v>350.03102337309537</v>
      </c>
      <c r="L425">
        <v>4.3877089109077234</v>
      </c>
      <c r="M425">
        <v>327.3471392313491</v>
      </c>
      <c r="N425">
        <v>4.8054591558719455</v>
      </c>
      <c r="O425">
        <v>311.57930157650321</v>
      </c>
      <c r="P425">
        <v>4.4497519976710427</v>
      </c>
    </row>
    <row r="426" spans="4:16" x14ac:dyDescent="0.55000000000000004">
      <c r="D426">
        <v>419</v>
      </c>
      <c r="E426">
        <v>7.1923326303672583</v>
      </c>
      <c r="F426">
        <v>2.8076673696327408</v>
      </c>
      <c r="G426">
        <v>6.7632101162809377</v>
      </c>
      <c r="H426">
        <v>3.2367898837190641</v>
      </c>
      <c r="I426">
        <v>341.32549511056339</v>
      </c>
      <c r="J426">
        <v>4.8403045089300614</v>
      </c>
      <c r="K426">
        <v>319.14423021715595</v>
      </c>
      <c r="L426">
        <v>4.4839151638224983</v>
      </c>
      <c r="M426">
        <v>370.96068968357582</v>
      </c>
      <c r="N426">
        <v>4.8498325625029519</v>
      </c>
      <c r="O426">
        <v>350.60357884630736</v>
      </c>
      <c r="P426">
        <v>4.4925897529400363</v>
      </c>
    </row>
    <row r="427" spans="4:16" x14ac:dyDescent="0.55000000000000004">
      <c r="D427">
        <v>420</v>
      </c>
      <c r="E427">
        <v>6.4454049235767803</v>
      </c>
      <c r="F427">
        <v>3.5545950764232197</v>
      </c>
      <c r="G427">
        <v>7.0286320736536725</v>
      </c>
      <c r="H427">
        <v>2.9713679263463266</v>
      </c>
      <c r="I427">
        <v>330.55234540388852</v>
      </c>
      <c r="J427">
        <v>4.7361435400431926</v>
      </c>
      <c r="K427">
        <v>310.32668413931339</v>
      </c>
      <c r="L427">
        <v>4.3855209858306345</v>
      </c>
      <c r="M427">
        <v>410.46312752650476</v>
      </c>
      <c r="N427">
        <v>4.7122678870788501</v>
      </c>
      <c r="O427">
        <v>387.52271603064446</v>
      </c>
      <c r="P427">
        <v>4.3638123251616232</v>
      </c>
    </row>
    <row r="428" spans="4:16" x14ac:dyDescent="0.55000000000000004">
      <c r="D428">
        <v>421</v>
      </c>
      <c r="E428">
        <v>6.9608300689640377</v>
      </c>
      <c r="F428">
        <v>3.0391699310359641</v>
      </c>
      <c r="G428">
        <v>6.0797959873118437</v>
      </c>
      <c r="H428">
        <v>3.9202040126881559</v>
      </c>
      <c r="I428">
        <v>368.17891948232517</v>
      </c>
      <c r="J428">
        <v>4.8201237376645292</v>
      </c>
      <c r="K428">
        <v>344.80014500298296</v>
      </c>
      <c r="L428">
        <v>4.464778330506455</v>
      </c>
      <c r="M428">
        <v>371.57841738759669</v>
      </c>
      <c r="N428">
        <v>4.8428907232147651</v>
      </c>
      <c r="O428">
        <v>352.3687936468321</v>
      </c>
      <c r="P428">
        <v>4.4855084497064324</v>
      </c>
    </row>
    <row r="429" spans="4:16" x14ac:dyDescent="0.55000000000000004">
      <c r="D429">
        <v>422</v>
      </c>
      <c r="E429">
        <v>6.7727791762159768</v>
      </c>
      <c r="F429">
        <v>3.227220823784025</v>
      </c>
      <c r="G429">
        <v>6.1762302007859153</v>
      </c>
      <c r="H429">
        <v>3.8237697992140856</v>
      </c>
      <c r="I429">
        <v>362.84120785547884</v>
      </c>
      <c r="J429">
        <v>4.796967010415468</v>
      </c>
      <c r="K429">
        <v>339.61331643255357</v>
      </c>
      <c r="L429">
        <v>4.4431972463397766</v>
      </c>
      <c r="M429">
        <v>380.88201574862421</v>
      </c>
      <c r="N429">
        <v>4.8148502336483308</v>
      </c>
      <c r="O429">
        <v>360.4039558452377</v>
      </c>
      <c r="P429">
        <v>4.459541761999799</v>
      </c>
    </row>
    <row r="430" spans="4:16" x14ac:dyDescent="0.55000000000000004">
      <c r="D430">
        <v>423</v>
      </c>
      <c r="E430">
        <v>7.6046497335978422</v>
      </c>
      <c r="F430">
        <v>2.3953502664021564</v>
      </c>
      <c r="G430">
        <v>6.539717427430479</v>
      </c>
      <c r="H430">
        <v>3.4602825725695201</v>
      </c>
      <c r="I430">
        <v>374.52191351515512</v>
      </c>
      <c r="J430">
        <v>4.7847156835236353</v>
      </c>
      <c r="K430">
        <v>349.91759155272814</v>
      </c>
      <c r="L430">
        <v>4.43209158388854</v>
      </c>
      <c r="M430">
        <v>372.07498971959819</v>
      </c>
      <c r="N430">
        <v>4.8148634525410481</v>
      </c>
      <c r="O430">
        <v>352.33038905215329</v>
      </c>
      <c r="P430">
        <v>4.4594458667586769</v>
      </c>
    </row>
    <row r="431" spans="4:16" x14ac:dyDescent="0.55000000000000004">
      <c r="D431">
        <v>424</v>
      </c>
      <c r="E431">
        <v>6.6310909938101927</v>
      </c>
      <c r="F431">
        <v>3.3689090061898064</v>
      </c>
      <c r="G431">
        <v>5.6998639439248127</v>
      </c>
      <c r="H431">
        <v>4.3001360560751891</v>
      </c>
      <c r="I431">
        <v>347.08348577302212</v>
      </c>
      <c r="J431">
        <v>4.8665076731754153</v>
      </c>
      <c r="K431">
        <v>325.66635658887054</v>
      </c>
      <c r="L431">
        <v>4.5079776859277381</v>
      </c>
      <c r="M431">
        <v>348.34135105913407</v>
      </c>
      <c r="N431">
        <v>4.8852544624755829</v>
      </c>
      <c r="O431">
        <v>331.26216586950341</v>
      </c>
      <c r="P431">
        <v>4.525056051747101</v>
      </c>
    </row>
    <row r="432" spans="4:16" x14ac:dyDescent="0.55000000000000004">
      <c r="D432">
        <v>425</v>
      </c>
      <c r="E432">
        <v>5.730309966306006</v>
      </c>
      <c r="F432">
        <v>4.2696900336939958</v>
      </c>
      <c r="G432">
        <v>6.1298056159815655</v>
      </c>
      <c r="H432">
        <v>3.8701943840184354</v>
      </c>
      <c r="I432">
        <v>264.58065917782801</v>
      </c>
      <c r="J432">
        <v>4.8610293436010883</v>
      </c>
      <c r="K432">
        <v>249.17981745618081</v>
      </c>
      <c r="L432">
        <v>4.5023513531465156</v>
      </c>
      <c r="M432">
        <v>333.02622721015763</v>
      </c>
      <c r="N432">
        <v>4.8513408323354898</v>
      </c>
      <c r="O432">
        <v>316.02891201404827</v>
      </c>
      <c r="P432">
        <v>4.493501387552997</v>
      </c>
    </row>
    <row r="433" spans="4:16" x14ac:dyDescent="0.55000000000000004">
      <c r="D433">
        <v>426</v>
      </c>
      <c r="E433">
        <v>6.8304898707451276</v>
      </c>
      <c r="F433">
        <v>3.1695101292548702</v>
      </c>
      <c r="G433">
        <v>6.1884477902168777</v>
      </c>
      <c r="H433">
        <v>3.8115522097831209</v>
      </c>
      <c r="I433">
        <v>345.11930019152959</v>
      </c>
      <c r="J433">
        <v>4.903344389475234</v>
      </c>
      <c r="K433">
        <v>322.95720179343925</v>
      </c>
      <c r="L433">
        <v>4.5427839399534653</v>
      </c>
      <c r="M433">
        <v>362.67929695333561</v>
      </c>
      <c r="N433">
        <v>4.9124296777122947</v>
      </c>
      <c r="O433">
        <v>343.31351989155633</v>
      </c>
      <c r="P433">
        <v>4.5510860782889289</v>
      </c>
    </row>
    <row r="434" spans="4:16" x14ac:dyDescent="0.55000000000000004">
      <c r="D434">
        <v>427</v>
      </c>
      <c r="E434">
        <v>7.055859622482834</v>
      </c>
      <c r="F434">
        <v>2.9441403775171628</v>
      </c>
      <c r="G434">
        <v>7.3604481592605167</v>
      </c>
      <c r="H434">
        <v>2.6395518407394838</v>
      </c>
      <c r="I434">
        <v>334.24525761592332</v>
      </c>
      <c r="J434">
        <v>4.8195662996942072</v>
      </c>
      <c r="K434">
        <v>313.00807713100687</v>
      </c>
      <c r="L434">
        <v>4.4642633819477266</v>
      </c>
      <c r="M434">
        <v>398.67401320194921</v>
      </c>
      <c r="N434">
        <v>4.811777307324463</v>
      </c>
      <c r="O434">
        <v>376.09286905283085</v>
      </c>
      <c r="P434">
        <v>4.4571998937743249</v>
      </c>
    </row>
    <row r="435" spans="4:16" x14ac:dyDescent="0.55000000000000004">
      <c r="D435">
        <v>428</v>
      </c>
      <c r="E435">
        <v>6.7767813104430674</v>
      </c>
      <c r="F435">
        <v>3.2232186895569335</v>
      </c>
      <c r="G435">
        <v>6.4925454734719485</v>
      </c>
      <c r="H435">
        <v>3.5074545265280501</v>
      </c>
      <c r="I435">
        <v>346.32365113426999</v>
      </c>
      <c r="J435">
        <v>4.7167595427699949</v>
      </c>
      <c r="K435">
        <v>324.50006938292398</v>
      </c>
      <c r="L435">
        <v>4.3678406745479936</v>
      </c>
      <c r="M435">
        <v>381.79793629508077</v>
      </c>
      <c r="N435">
        <v>4.7286393843550831</v>
      </c>
      <c r="O435">
        <v>361.27164075879659</v>
      </c>
      <c r="P435">
        <v>4.3786595318788768</v>
      </c>
    </row>
    <row r="436" spans="4:16" x14ac:dyDescent="0.55000000000000004">
      <c r="D436">
        <v>429</v>
      </c>
      <c r="E436">
        <v>6.9073194401339251</v>
      </c>
      <c r="F436">
        <v>3.0926805598660736</v>
      </c>
      <c r="G436">
        <v>6.9957422770344202</v>
      </c>
      <c r="H436">
        <v>3.0042577229655771</v>
      </c>
      <c r="I436">
        <v>344.04546255013196</v>
      </c>
      <c r="J436">
        <v>4.747294221950658</v>
      </c>
      <c r="K436">
        <v>322.3754100555131</v>
      </c>
      <c r="L436">
        <v>4.3964438886737423</v>
      </c>
      <c r="M436">
        <v>398.44970012522754</v>
      </c>
      <c r="N436">
        <v>4.7440592533076202</v>
      </c>
      <c r="O436">
        <v>376.37424681158353</v>
      </c>
      <c r="P436">
        <v>4.3935066921002273</v>
      </c>
    </row>
    <row r="437" spans="4:16" x14ac:dyDescent="0.55000000000000004">
      <c r="D437">
        <v>430</v>
      </c>
      <c r="E437">
        <v>7.379509814299106</v>
      </c>
      <c r="F437">
        <v>2.6204901857008949</v>
      </c>
      <c r="G437">
        <v>6.4577417417628951</v>
      </c>
      <c r="H437">
        <v>3.5422582582371049</v>
      </c>
      <c r="I437">
        <v>390.90564864183864</v>
      </c>
      <c r="J437">
        <v>4.9091809428867093</v>
      </c>
      <c r="K437">
        <v>365.52721691984499</v>
      </c>
      <c r="L437">
        <v>4.5483098474587589</v>
      </c>
      <c r="M437">
        <v>392.07796829999359</v>
      </c>
      <c r="N437">
        <v>4.9205250713358186</v>
      </c>
      <c r="O437">
        <v>371.1807685099962</v>
      </c>
      <c r="P437">
        <v>4.5586128518919216</v>
      </c>
    </row>
    <row r="438" spans="4:16" x14ac:dyDescent="0.55000000000000004">
      <c r="D438">
        <v>431</v>
      </c>
      <c r="E438">
        <v>6.7841070208683636</v>
      </c>
      <c r="F438">
        <v>3.2158929791316351</v>
      </c>
      <c r="G438">
        <v>6.747562413286766</v>
      </c>
      <c r="H438">
        <v>3.2524375867132336</v>
      </c>
      <c r="I438">
        <v>334.2890388390806</v>
      </c>
      <c r="J438">
        <v>4.788789157484679</v>
      </c>
      <c r="K438">
        <v>313.24299708541446</v>
      </c>
      <c r="L438">
        <v>4.4353192260380654</v>
      </c>
      <c r="M438">
        <v>382.48829163600362</v>
      </c>
      <c r="N438">
        <v>4.7899269074247908</v>
      </c>
      <c r="O438">
        <v>361.60446018976069</v>
      </c>
      <c r="P438">
        <v>4.4363544880957893</v>
      </c>
    </row>
    <row r="439" spans="4:16" x14ac:dyDescent="0.55000000000000004">
      <c r="D439">
        <v>432</v>
      </c>
      <c r="E439">
        <v>6.5567713067612381</v>
      </c>
      <c r="F439">
        <v>3.443228693238761</v>
      </c>
      <c r="G439">
        <v>5.7398041600161198</v>
      </c>
      <c r="H439">
        <v>4.2601958399838784</v>
      </c>
      <c r="I439">
        <v>327.69965304353349</v>
      </c>
      <c r="J439">
        <v>4.8547599045129992</v>
      </c>
      <c r="K439">
        <v>307.43859784509976</v>
      </c>
      <c r="L439">
        <v>4.4969725642519354</v>
      </c>
      <c r="M439">
        <v>336.86860403923589</v>
      </c>
      <c r="N439">
        <v>4.8728566751416533</v>
      </c>
      <c r="O439">
        <v>320.1925770773592</v>
      </c>
      <c r="P439">
        <v>4.5134804108809305</v>
      </c>
    </row>
    <row r="440" spans="4:16" x14ac:dyDescent="0.55000000000000004">
      <c r="D440">
        <v>433</v>
      </c>
      <c r="E440">
        <v>7.8288510356616356</v>
      </c>
      <c r="F440">
        <v>2.1711489643383639</v>
      </c>
      <c r="G440">
        <v>5.7931144058208961</v>
      </c>
      <c r="H440">
        <v>4.206885594179103</v>
      </c>
      <c r="I440">
        <v>393.65667597678203</v>
      </c>
      <c r="J440">
        <v>4.8708453444313529</v>
      </c>
      <c r="K440">
        <v>367.38248555000757</v>
      </c>
      <c r="L440">
        <v>4.5126983695936858</v>
      </c>
      <c r="M440">
        <v>341.29410563065272</v>
      </c>
      <c r="N440">
        <v>4.9044294376856374</v>
      </c>
      <c r="O440">
        <v>324.28916593447298</v>
      </c>
      <c r="P440">
        <v>4.5432413182198017</v>
      </c>
    </row>
    <row r="441" spans="4:16" x14ac:dyDescent="0.55000000000000004">
      <c r="D441">
        <v>434</v>
      </c>
      <c r="E441">
        <v>6.7402813091254679</v>
      </c>
      <c r="F441">
        <v>3.2597186908745326</v>
      </c>
      <c r="G441">
        <v>6.2237600057260813</v>
      </c>
      <c r="H441">
        <v>3.7762399942739173</v>
      </c>
      <c r="I441">
        <v>359.23560383556179</v>
      </c>
      <c r="J441">
        <v>4.8697247182827379</v>
      </c>
      <c r="K441">
        <v>336.67562317672946</v>
      </c>
      <c r="L441">
        <v>4.511138737361196</v>
      </c>
      <c r="M441">
        <v>381.70665751852982</v>
      </c>
      <c r="N441">
        <v>4.8797079749492251</v>
      </c>
      <c r="O441">
        <v>361.59174057131378</v>
      </c>
      <c r="P441">
        <v>4.5202353019502644</v>
      </c>
    </row>
    <row r="442" spans="4:16" x14ac:dyDescent="0.55000000000000004">
      <c r="D442">
        <v>435</v>
      </c>
      <c r="E442">
        <v>7.8543233849018819</v>
      </c>
      <c r="F442">
        <v>2.1456766150981181</v>
      </c>
      <c r="G442">
        <v>6.2580894887068927</v>
      </c>
      <c r="H442">
        <v>3.7419105112931081</v>
      </c>
      <c r="I442">
        <v>377.95005220508062</v>
      </c>
      <c r="J442">
        <v>4.8130159554696954</v>
      </c>
      <c r="K442">
        <v>352.5339503037477</v>
      </c>
      <c r="L442">
        <v>4.4588228553048239</v>
      </c>
      <c r="M442">
        <v>351.13927490017426</v>
      </c>
      <c r="N442">
        <v>4.8510167169994087</v>
      </c>
      <c r="O442">
        <v>332.61412805750484</v>
      </c>
      <c r="P442">
        <v>4.4934144397752194</v>
      </c>
    </row>
    <row r="443" spans="4:16" x14ac:dyDescent="0.55000000000000004">
      <c r="D443">
        <v>436</v>
      </c>
      <c r="E443">
        <v>7.1703986936798358</v>
      </c>
      <c r="F443">
        <v>2.8296013063201664</v>
      </c>
      <c r="G443">
        <v>6.0503965186531508</v>
      </c>
      <c r="H443">
        <v>3.9496034813468519</v>
      </c>
      <c r="I443">
        <v>369.26096895604115</v>
      </c>
      <c r="J443">
        <v>4.8487666535999807</v>
      </c>
      <c r="K443">
        <v>345.25118323623678</v>
      </c>
      <c r="L443">
        <v>4.4918327618928329</v>
      </c>
      <c r="M443">
        <v>361.58313177416153</v>
      </c>
      <c r="N443">
        <v>4.872389004900179</v>
      </c>
      <c r="O443">
        <v>342.62794732988937</v>
      </c>
      <c r="P443">
        <v>4.5133849667928372</v>
      </c>
    </row>
    <row r="444" spans="4:16" x14ac:dyDescent="0.55000000000000004">
      <c r="D444">
        <v>437</v>
      </c>
      <c r="E444">
        <v>5.4207579372818566</v>
      </c>
      <c r="F444">
        <v>4.5792420627181452</v>
      </c>
      <c r="G444">
        <v>6.2987632982453601</v>
      </c>
      <c r="H444">
        <v>3.7012367017546399</v>
      </c>
      <c r="I444">
        <v>262.09213125545801</v>
      </c>
      <c r="J444">
        <v>4.9112156537485108</v>
      </c>
      <c r="K444">
        <v>247.60994534026975</v>
      </c>
      <c r="L444">
        <v>4.5493542663350635</v>
      </c>
      <c r="M444">
        <v>354.54344507007767</v>
      </c>
      <c r="N444">
        <v>4.8968351680525313</v>
      </c>
      <c r="O444">
        <v>336.31271272350591</v>
      </c>
      <c r="P444">
        <v>4.5362436098503212</v>
      </c>
    </row>
    <row r="445" spans="4:16" x14ac:dyDescent="0.55000000000000004">
      <c r="D445">
        <v>438</v>
      </c>
      <c r="E445">
        <v>6.9391237198909934</v>
      </c>
      <c r="F445">
        <v>3.0608762801090079</v>
      </c>
      <c r="G445">
        <v>5.1302132783104462</v>
      </c>
      <c r="H445">
        <v>4.869786721689553</v>
      </c>
      <c r="I445">
        <v>355.69232380653625</v>
      </c>
      <c r="J445">
        <v>4.7884916841204417</v>
      </c>
      <c r="K445">
        <v>333.25185372078909</v>
      </c>
      <c r="L445">
        <v>4.4350683863671625</v>
      </c>
      <c r="M445">
        <v>312.96944055841914</v>
      </c>
      <c r="N445">
        <v>4.8436282714648815</v>
      </c>
      <c r="O445">
        <v>298.69501576391571</v>
      </c>
      <c r="P445">
        <v>4.4853491295694994</v>
      </c>
    </row>
    <row r="446" spans="4:16" x14ac:dyDescent="0.55000000000000004">
      <c r="D446">
        <v>439</v>
      </c>
      <c r="E446">
        <v>6.9309023186351508</v>
      </c>
      <c r="F446">
        <v>3.0690976813648509</v>
      </c>
      <c r="G446">
        <v>7.6116738725096988</v>
      </c>
      <c r="H446">
        <v>2.3883261274902994</v>
      </c>
      <c r="I446">
        <v>336.21935290726958</v>
      </c>
      <c r="J446">
        <v>4.7813141704180806</v>
      </c>
      <c r="K446">
        <v>314.83255315899646</v>
      </c>
      <c r="L446">
        <v>4.4284574392722433</v>
      </c>
      <c r="M446">
        <v>419.24370685119442</v>
      </c>
      <c r="N446">
        <v>4.7598342699418366</v>
      </c>
      <c r="O446">
        <v>394.8248180522387</v>
      </c>
      <c r="P446">
        <v>4.4089496885359889</v>
      </c>
    </row>
    <row r="447" spans="4:16" x14ac:dyDescent="0.55000000000000004">
      <c r="D447">
        <v>440</v>
      </c>
      <c r="E447">
        <v>5.5112944857255188</v>
      </c>
      <c r="F447">
        <v>4.4887055142744812</v>
      </c>
      <c r="G447">
        <v>6.8632199648723464</v>
      </c>
      <c r="H447">
        <v>3.1367800351276509</v>
      </c>
      <c r="I447">
        <v>266.57445880454043</v>
      </c>
      <c r="J447">
        <v>4.8791222944708945</v>
      </c>
      <c r="K447">
        <v>251.51266053349914</v>
      </c>
      <c r="L447">
        <v>4.5191847765385154</v>
      </c>
      <c r="M447">
        <v>381.96541257793371</v>
      </c>
      <c r="N447">
        <v>4.8494708849175003</v>
      </c>
      <c r="O447">
        <v>361.10498226535583</v>
      </c>
      <c r="P447">
        <v>4.4921627461819575</v>
      </c>
    </row>
    <row r="448" spans="4:16" x14ac:dyDescent="0.55000000000000004">
      <c r="D448">
        <v>441</v>
      </c>
      <c r="E448">
        <v>6.8644980141387277</v>
      </c>
      <c r="F448">
        <v>3.1355019858612709</v>
      </c>
      <c r="G448">
        <v>5.8865246028651246</v>
      </c>
      <c r="H448">
        <v>4.1134753971348754</v>
      </c>
      <c r="I448">
        <v>355.48611359889793</v>
      </c>
      <c r="J448">
        <v>4.8829489514322644</v>
      </c>
      <c r="K448">
        <v>332.9427301365381</v>
      </c>
      <c r="L448">
        <v>4.5236045568471601</v>
      </c>
      <c r="M448">
        <v>354.84060879131448</v>
      </c>
      <c r="N448">
        <v>4.8996250161678319</v>
      </c>
      <c r="O448">
        <v>336.75272216314187</v>
      </c>
      <c r="P448">
        <v>4.5388135584362876</v>
      </c>
    </row>
    <row r="449" spans="4:16" x14ac:dyDescent="0.55000000000000004">
      <c r="D449">
        <v>442</v>
      </c>
      <c r="E449">
        <v>6.4576580638405945</v>
      </c>
      <c r="F449">
        <v>3.5423419361594073</v>
      </c>
      <c r="G449">
        <v>6.7058754170221091</v>
      </c>
      <c r="H449">
        <v>3.2941245829778913</v>
      </c>
      <c r="I449">
        <v>316.93469907242155</v>
      </c>
      <c r="J449">
        <v>4.7857869752372801</v>
      </c>
      <c r="K449">
        <v>297.20964098580816</v>
      </c>
      <c r="L449">
        <v>4.4323516835985313</v>
      </c>
      <c r="M449">
        <v>379.11693160276241</v>
      </c>
      <c r="N449">
        <v>4.7775531249005248</v>
      </c>
      <c r="O449">
        <v>358.32028717602566</v>
      </c>
      <c r="P449">
        <v>4.4248421078580389</v>
      </c>
    </row>
    <row r="450" spans="4:16" x14ac:dyDescent="0.55000000000000004">
      <c r="D450">
        <v>443</v>
      </c>
      <c r="E450">
        <v>6.4408636791981335</v>
      </c>
      <c r="F450">
        <v>3.559136320801866</v>
      </c>
      <c r="G450">
        <v>7.5504151533003716</v>
      </c>
      <c r="H450">
        <v>2.4495848466996306</v>
      </c>
      <c r="I450">
        <v>321.57885217103956</v>
      </c>
      <c r="J450">
        <v>4.7253571457420787</v>
      </c>
      <c r="K450">
        <v>301.57332935618098</v>
      </c>
      <c r="L450">
        <v>4.3756755020992042</v>
      </c>
      <c r="M450">
        <v>426.97643660041587</v>
      </c>
      <c r="N450">
        <v>4.6780451082621202</v>
      </c>
      <c r="O450">
        <v>402.00880888729239</v>
      </c>
      <c r="P450">
        <v>4.3326013261676231</v>
      </c>
    </row>
    <row r="451" spans="4:16" x14ac:dyDescent="0.55000000000000004">
      <c r="D451">
        <v>444</v>
      </c>
      <c r="E451">
        <v>7.7821028393461456</v>
      </c>
      <c r="F451">
        <v>2.2178971606538518</v>
      </c>
      <c r="G451">
        <v>4.9519109563004449</v>
      </c>
      <c r="H451">
        <v>5.048089043699556</v>
      </c>
      <c r="I451">
        <v>370.7571868557086</v>
      </c>
      <c r="J451">
        <v>4.7989330700545114</v>
      </c>
      <c r="K451">
        <v>346.15212234049642</v>
      </c>
      <c r="L451">
        <v>4.4455094856922006</v>
      </c>
      <c r="M451">
        <v>285.92036929084986</v>
      </c>
      <c r="N451">
        <v>4.8720570064542592</v>
      </c>
      <c r="O451">
        <v>273.38051164775652</v>
      </c>
      <c r="P451">
        <v>4.5120902876877107</v>
      </c>
    </row>
    <row r="452" spans="4:16" x14ac:dyDescent="0.55000000000000004">
      <c r="D452">
        <v>445</v>
      </c>
      <c r="E452">
        <v>6.6093378785486827</v>
      </c>
      <c r="F452">
        <v>3.3906621214513164</v>
      </c>
      <c r="G452">
        <v>7.3847272318399195</v>
      </c>
      <c r="H452">
        <v>2.6152727681600805</v>
      </c>
      <c r="I452">
        <v>331.62444480254482</v>
      </c>
      <c r="J452">
        <v>4.7648636636493817</v>
      </c>
      <c r="K452">
        <v>311.04322337472036</v>
      </c>
      <c r="L452">
        <v>4.4126893929752402</v>
      </c>
      <c r="M452">
        <v>420.52971315409633</v>
      </c>
      <c r="N452">
        <v>4.7372781149713648</v>
      </c>
      <c r="O452">
        <v>396.39293234203564</v>
      </c>
      <c r="P452">
        <v>4.3876248924901082</v>
      </c>
    </row>
    <row r="453" spans="4:16" x14ac:dyDescent="0.55000000000000004">
      <c r="D453">
        <v>446</v>
      </c>
      <c r="E453">
        <v>6.2377743676561064</v>
      </c>
      <c r="F453">
        <v>3.7622256323438945</v>
      </c>
      <c r="G453">
        <v>5.9388102426208871</v>
      </c>
      <c r="H453">
        <v>4.0611897573791147</v>
      </c>
      <c r="I453">
        <v>325.14459761350798</v>
      </c>
      <c r="J453">
        <v>4.854889367109319</v>
      </c>
      <c r="K453">
        <v>305.69234231774641</v>
      </c>
      <c r="L453">
        <v>4.4968035617508058</v>
      </c>
      <c r="M453">
        <v>359.56106342229339</v>
      </c>
      <c r="N453">
        <v>4.8618442312705525</v>
      </c>
      <c r="O453">
        <v>341.49355325420277</v>
      </c>
      <c r="P453">
        <v>4.5031404201283243</v>
      </c>
    </row>
    <row r="454" spans="4:16" x14ac:dyDescent="0.55000000000000004">
      <c r="D454">
        <v>447</v>
      </c>
      <c r="E454">
        <v>7.5182685472927284</v>
      </c>
      <c r="F454">
        <v>2.4817314527072716</v>
      </c>
      <c r="G454">
        <v>6.1975901299839329</v>
      </c>
      <c r="H454">
        <v>3.802409870016068</v>
      </c>
      <c r="I454">
        <v>388.27701427161884</v>
      </c>
      <c r="J454">
        <v>4.8121235905920212</v>
      </c>
      <c r="K454">
        <v>363.02507047740511</v>
      </c>
      <c r="L454">
        <v>4.4575750382694554</v>
      </c>
      <c r="M454">
        <v>370.0712738860513</v>
      </c>
      <c r="N454">
        <v>4.8451264445690763</v>
      </c>
      <c r="O454">
        <v>351.17114595304577</v>
      </c>
      <c r="P454">
        <v>4.487504425846593</v>
      </c>
    </row>
    <row r="455" spans="4:16" x14ac:dyDescent="0.55000000000000004">
      <c r="D455">
        <v>448</v>
      </c>
      <c r="E455">
        <v>6.3228992246243534</v>
      </c>
      <c r="F455">
        <v>3.6771007753756466</v>
      </c>
      <c r="G455">
        <v>5.889220639610989</v>
      </c>
      <c r="H455">
        <v>4.110779360389011</v>
      </c>
      <c r="I455">
        <v>320.01216508312177</v>
      </c>
      <c r="J455">
        <v>4.9127457362633384</v>
      </c>
      <c r="K455">
        <v>300.72175758113457</v>
      </c>
      <c r="L455">
        <v>4.5512381804315121</v>
      </c>
      <c r="M455">
        <v>348.06298986934848</v>
      </c>
      <c r="N455">
        <v>4.9187303810108514</v>
      </c>
      <c r="O455">
        <v>330.72213669241216</v>
      </c>
      <c r="P455">
        <v>4.5566912612392523</v>
      </c>
    </row>
    <row r="456" spans="4:16" x14ac:dyDescent="0.55000000000000004">
      <c r="D456">
        <v>449</v>
      </c>
      <c r="E456">
        <v>5.4884632460425724</v>
      </c>
      <c r="F456">
        <v>4.5115367539574285</v>
      </c>
      <c r="G456">
        <v>5.3616362399656881</v>
      </c>
      <c r="H456">
        <v>4.6383637600343128</v>
      </c>
      <c r="I456">
        <v>283.21079636866313</v>
      </c>
      <c r="J456">
        <v>4.8905092407459705</v>
      </c>
      <c r="K456">
        <v>266.88923576781588</v>
      </c>
      <c r="L456">
        <v>4.5300519774459493</v>
      </c>
      <c r="M456">
        <v>326.66638206143665</v>
      </c>
      <c r="N456">
        <v>4.8930393451789893</v>
      </c>
      <c r="O456">
        <v>310.88705431529087</v>
      </c>
      <c r="P456">
        <v>4.5323724518517405</v>
      </c>
    </row>
    <row r="457" spans="4:16" x14ac:dyDescent="0.55000000000000004">
      <c r="D457">
        <v>450</v>
      </c>
      <c r="E457">
        <v>7.2309215616461779</v>
      </c>
      <c r="F457">
        <v>2.7690784383538221</v>
      </c>
      <c r="G457">
        <v>7.6168729010145144</v>
      </c>
      <c r="H457">
        <v>2.3831270989854856</v>
      </c>
      <c r="I457">
        <v>358.3504065614635</v>
      </c>
      <c r="J457">
        <v>4.8159581207632405</v>
      </c>
      <c r="K457">
        <v>334.85657187586258</v>
      </c>
      <c r="L457">
        <v>4.4612568394913303</v>
      </c>
      <c r="M457">
        <v>427.47740416425569</v>
      </c>
      <c r="N457">
        <v>4.8061348625262754</v>
      </c>
      <c r="O457">
        <v>402.26235751080026</v>
      </c>
      <c r="P457">
        <v>4.4523175626293785</v>
      </c>
    </row>
    <row r="458" spans="4:16" x14ac:dyDescent="0.55000000000000004">
      <c r="D458">
        <v>451</v>
      </c>
      <c r="E458">
        <v>6.7402714817183202</v>
      </c>
      <c r="F458">
        <v>3.2597285182816798</v>
      </c>
      <c r="G458">
        <v>6.7690451411674193</v>
      </c>
      <c r="H458">
        <v>3.2309548588325825</v>
      </c>
      <c r="I458">
        <v>313.44451978031623</v>
      </c>
      <c r="J458">
        <v>4.7924622066870191</v>
      </c>
      <c r="K458">
        <v>293.76674634826315</v>
      </c>
      <c r="L458">
        <v>4.4387239851697169</v>
      </c>
      <c r="M458">
        <v>364.78258841639519</v>
      </c>
      <c r="N458">
        <v>4.7915762450749693</v>
      </c>
      <c r="O458">
        <v>344.98433616261497</v>
      </c>
      <c r="P458">
        <v>4.4379177949596995</v>
      </c>
    </row>
    <row r="459" spans="4:16" x14ac:dyDescent="0.55000000000000004">
      <c r="D459">
        <v>452</v>
      </c>
      <c r="E459">
        <v>7.107864295479672</v>
      </c>
      <c r="F459">
        <v>2.8921357045203302</v>
      </c>
      <c r="G459">
        <v>4.6340184074409416</v>
      </c>
      <c r="H459">
        <v>5.3659815925590593</v>
      </c>
      <c r="I459">
        <v>328.9597362892884</v>
      </c>
      <c r="J459">
        <v>4.765079212324304</v>
      </c>
      <c r="K459">
        <v>308.08504086184666</v>
      </c>
      <c r="L459">
        <v>4.413219244428995</v>
      </c>
      <c r="M459">
        <v>264.46744196297379</v>
      </c>
      <c r="N459">
        <v>4.8468418628824947</v>
      </c>
      <c r="O459">
        <v>253.69516942296241</v>
      </c>
      <c r="P459">
        <v>4.4877674280468867</v>
      </c>
    </row>
    <row r="460" spans="4:16" x14ac:dyDescent="0.55000000000000004">
      <c r="D460">
        <v>453</v>
      </c>
      <c r="E460">
        <v>6.9904875775642212</v>
      </c>
      <c r="F460">
        <v>3.0095124224357805</v>
      </c>
      <c r="G460">
        <v>5.360664158561856</v>
      </c>
      <c r="H460">
        <v>4.6393358414381431</v>
      </c>
      <c r="I460">
        <v>347.65758686018557</v>
      </c>
      <c r="J460">
        <v>4.8450721654293396</v>
      </c>
      <c r="K460">
        <v>325.68962449268855</v>
      </c>
      <c r="L460">
        <v>4.4880945602444147</v>
      </c>
      <c r="M460">
        <v>316.60165612981251</v>
      </c>
      <c r="N460">
        <v>4.8811933959210432</v>
      </c>
      <c r="O460">
        <v>301.85897388335405</v>
      </c>
      <c r="P460">
        <v>4.5209959645461328</v>
      </c>
    </row>
    <row r="461" spans="4:16" x14ac:dyDescent="0.55000000000000004">
      <c r="D461">
        <v>454</v>
      </c>
      <c r="E461">
        <v>6.617065214242615</v>
      </c>
      <c r="F461">
        <v>3.3829347857573846</v>
      </c>
      <c r="G461">
        <v>5.7779532557562359</v>
      </c>
      <c r="H461">
        <v>4.2220467442437624</v>
      </c>
      <c r="I461">
        <v>319.00373287551395</v>
      </c>
      <c r="J461">
        <v>4.72044153842055</v>
      </c>
      <c r="K461">
        <v>299.09031382254659</v>
      </c>
      <c r="L461">
        <v>4.3711253714311118</v>
      </c>
      <c r="M461">
        <v>328.55077701201697</v>
      </c>
      <c r="N461">
        <v>4.7558924279935386</v>
      </c>
      <c r="O461">
        <v>312.1641360871227</v>
      </c>
      <c r="P461">
        <v>4.4034855740741099</v>
      </c>
    </row>
    <row r="462" spans="4:16" x14ac:dyDescent="0.55000000000000004">
      <c r="D462">
        <v>455</v>
      </c>
      <c r="E462">
        <v>5.9548898570371493</v>
      </c>
      <c r="F462">
        <v>4.0451101429628515</v>
      </c>
      <c r="G462">
        <v>6.1184667414202458</v>
      </c>
      <c r="H462">
        <v>3.8815332585797537</v>
      </c>
      <c r="I462">
        <v>303.69824657107193</v>
      </c>
      <c r="J462">
        <v>4.8834754713841884</v>
      </c>
      <c r="K462">
        <v>286.12684584970606</v>
      </c>
      <c r="L462">
        <v>4.5234500950608556</v>
      </c>
      <c r="M462">
        <v>362.04063646565555</v>
      </c>
      <c r="N462">
        <v>4.8802746196803302</v>
      </c>
      <c r="O462">
        <v>343.72055024384184</v>
      </c>
      <c r="P462">
        <v>4.5205365029181106</v>
      </c>
    </row>
    <row r="463" spans="4:16" x14ac:dyDescent="0.55000000000000004">
      <c r="D463">
        <v>456</v>
      </c>
      <c r="E463">
        <v>6.8295900181759484</v>
      </c>
      <c r="F463">
        <v>3.1704099818240534</v>
      </c>
      <c r="G463">
        <v>5.8111853137771812</v>
      </c>
      <c r="H463">
        <v>4.1888146862228188</v>
      </c>
      <c r="I463">
        <v>339.84661235852229</v>
      </c>
      <c r="J463">
        <v>4.8307377185007505</v>
      </c>
      <c r="K463">
        <v>318.39581426321712</v>
      </c>
      <c r="L463">
        <v>4.4746541312145016</v>
      </c>
      <c r="M463">
        <v>339.16986779862839</v>
      </c>
      <c r="N463">
        <v>4.8559775210800185</v>
      </c>
      <c r="O463">
        <v>322.18640079838951</v>
      </c>
      <c r="P463">
        <v>4.4976689575078037</v>
      </c>
    </row>
    <row r="464" spans="4:16" x14ac:dyDescent="0.55000000000000004">
      <c r="D464">
        <v>457</v>
      </c>
      <c r="E464">
        <v>5.7443935865596929</v>
      </c>
      <c r="F464">
        <v>4.2556064134403062</v>
      </c>
      <c r="G464">
        <v>6.6126368532892208</v>
      </c>
      <c r="H464">
        <v>3.3873631467107805</v>
      </c>
      <c r="I464">
        <v>262.24419440418671</v>
      </c>
      <c r="J464">
        <v>4.8918960504545925</v>
      </c>
      <c r="K464">
        <v>246.96256417778221</v>
      </c>
      <c r="L464">
        <v>4.5314282770051202</v>
      </c>
      <c r="M464">
        <v>351.88140808033182</v>
      </c>
      <c r="N464">
        <v>4.875556549185168</v>
      </c>
      <c r="O464">
        <v>333.12183022178414</v>
      </c>
      <c r="P464">
        <v>4.5165224771611978</v>
      </c>
    </row>
    <row r="465" spans="4:16" x14ac:dyDescent="0.55000000000000004">
      <c r="D465">
        <v>458</v>
      </c>
      <c r="E465">
        <v>7.268285784165184</v>
      </c>
      <c r="F465">
        <v>2.7317142158348164</v>
      </c>
      <c r="G465">
        <v>5.2802149190086194</v>
      </c>
      <c r="H465">
        <v>4.7197850809913806</v>
      </c>
      <c r="I465">
        <v>369.12003493203787</v>
      </c>
      <c r="J465">
        <v>4.8419278420176761</v>
      </c>
      <c r="K465">
        <v>345.05532275077167</v>
      </c>
      <c r="L465">
        <v>4.4854660639458457</v>
      </c>
      <c r="M465">
        <v>318.15581737296668</v>
      </c>
      <c r="N465">
        <v>4.8851648116703741</v>
      </c>
      <c r="O465">
        <v>302.82265440482524</v>
      </c>
      <c r="P465">
        <v>4.5249638303691615</v>
      </c>
    </row>
    <row r="466" spans="4:16" x14ac:dyDescent="0.55000000000000004">
      <c r="D466">
        <v>459</v>
      </c>
      <c r="E466">
        <v>6.2914905013765061</v>
      </c>
      <c r="F466">
        <v>3.7085094986234943</v>
      </c>
      <c r="G466">
        <v>6.1792100030906028</v>
      </c>
      <c r="H466">
        <v>3.8207899969093972</v>
      </c>
      <c r="I466">
        <v>311.02324081784388</v>
      </c>
      <c r="J466">
        <v>4.7378080106118157</v>
      </c>
      <c r="K466">
        <v>291.844140656359</v>
      </c>
      <c r="L466">
        <v>4.3872086918089224</v>
      </c>
      <c r="M466">
        <v>355.47259356662681</v>
      </c>
      <c r="N466">
        <v>4.7424871954899679</v>
      </c>
      <c r="O466">
        <v>336.7719370231041</v>
      </c>
      <c r="P466">
        <v>4.3914845496441393</v>
      </c>
    </row>
    <row r="467" spans="4:16" x14ac:dyDescent="0.55000000000000004">
      <c r="D467">
        <v>460</v>
      </c>
      <c r="E467">
        <v>6.2877431701979472</v>
      </c>
      <c r="F467">
        <v>3.7122568298020542</v>
      </c>
      <c r="G467">
        <v>5.66563426129599</v>
      </c>
      <c r="H467">
        <v>4.33436573870401</v>
      </c>
      <c r="I467">
        <v>332.0361025999112</v>
      </c>
      <c r="J467">
        <v>4.852509006344893</v>
      </c>
      <c r="K467">
        <v>312.06209213930771</v>
      </c>
      <c r="L467">
        <v>4.4946142322125882</v>
      </c>
      <c r="M467">
        <v>349.18447175030286</v>
      </c>
      <c r="N467">
        <v>4.867101755865983</v>
      </c>
      <c r="O467">
        <v>332.10480647461384</v>
      </c>
      <c r="P467">
        <v>4.5079213087482364</v>
      </c>
    </row>
    <row r="468" spans="4:16" x14ac:dyDescent="0.55000000000000004">
      <c r="D468">
        <v>461</v>
      </c>
      <c r="E468">
        <v>5.9077875383222018</v>
      </c>
      <c r="F468">
        <v>4.0922124616778</v>
      </c>
      <c r="G468">
        <v>6.8240912440074233</v>
      </c>
      <c r="H468">
        <v>3.1759087559925754</v>
      </c>
      <c r="I468">
        <v>298.58911977996013</v>
      </c>
      <c r="J468">
        <v>4.9227541891308668</v>
      </c>
      <c r="K468">
        <v>280.8346970934308</v>
      </c>
      <c r="L468">
        <v>4.5605800431019574</v>
      </c>
      <c r="M468">
        <v>394.90058835544772</v>
      </c>
      <c r="N468">
        <v>4.9107732872638108</v>
      </c>
      <c r="O468">
        <v>373.07613593674375</v>
      </c>
      <c r="P468">
        <v>4.5496520689073989</v>
      </c>
    </row>
    <row r="469" spans="4:16" x14ac:dyDescent="0.55000000000000004">
      <c r="D469">
        <v>462</v>
      </c>
      <c r="E469">
        <v>6.3344272023937709</v>
      </c>
      <c r="F469">
        <v>3.66557279760623</v>
      </c>
      <c r="G469">
        <v>6.9176847871464782</v>
      </c>
      <c r="H469">
        <v>3.0823152128535205</v>
      </c>
      <c r="I469">
        <v>312.53538410337984</v>
      </c>
      <c r="J469">
        <v>4.8424048949619154</v>
      </c>
      <c r="K469">
        <v>292.95709585540345</v>
      </c>
      <c r="L469">
        <v>4.485509929708841</v>
      </c>
      <c r="M469">
        <v>391.31282955464502</v>
      </c>
      <c r="N469">
        <v>4.8278939475002982</v>
      </c>
      <c r="O469">
        <v>369.24838321609758</v>
      </c>
      <c r="P469">
        <v>4.4722526206042037</v>
      </c>
    </row>
    <row r="470" spans="4:16" x14ac:dyDescent="0.55000000000000004">
      <c r="D470">
        <v>463</v>
      </c>
      <c r="E470">
        <v>7.526002670213285</v>
      </c>
      <c r="F470">
        <v>2.4739973297867146</v>
      </c>
      <c r="G470">
        <v>6.4358270364626335</v>
      </c>
      <c r="H470">
        <v>3.564172963537366</v>
      </c>
      <c r="I470">
        <v>372.43911942665562</v>
      </c>
      <c r="J470">
        <v>4.8403997834764638</v>
      </c>
      <c r="K470">
        <v>348.1612483805996</v>
      </c>
      <c r="L470">
        <v>4.4840362435127172</v>
      </c>
      <c r="M470">
        <v>368.48962314738014</v>
      </c>
      <c r="N470">
        <v>4.8635185989778078</v>
      </c>
      <c r="O470">
        <v>349.23595303803489</v>
      </c>
      <c r="P470">
        <v>4.5050020532863302</v>
      </c>
    </row>
    <row r="471" spans="4:16" x14ac:dyDescent="0.55000000000000004">
      <c r="D471">
        <v>464</v>
      </c>
      <c r="E471">
        <v>5.7682914099912326</v>
      </c>
      <c r="F471">
        <v>4.2317085900087683</v>
      </c>
      <c r="G471">
        <v>4.9866163197991762</v>
      </c>
      <c r="H471">
        <v>5.0133836802008229</v>
      </c>
      <c r="I471">
        <v>278.02869966077975</v>
      </c>
      <c r="J471">
        <v>4.8490509618505913</v>
      </c>
      <c r="K471">
        <v>262.18001311797866</v>
      </c>
      <c r="L471">
        <v>4.4908883643783355</v>
      </c>
      <c r="M471">
        <v>290.3523595738543</v>
      </c>
      <c r="N471">
        <v>4.869506430311402</v>
      </c>
      <c r="O471">
        <v>277.74643531814741</v>
      </c>
      <c r="P471">
        <v>4.509583252550919</v>
      </c>
    </row>
    <row r="472" spans="4:16" x14ac:dyDescent="0.55000000000000004">
      <c r="D472">
        <v>465</v>
      </c>
      <c r="E472">
        <v>4.4356940202757054</v>
      </c>
      <c r="F472">
        <v>5.5643059797242946</v>
      </c>
      <c r="G472">
        <v>7.1314149889979959</v>
      </c>
      <c r="H472">
        <v>2.868585011002005</v>
      </c>
      <c r="I472">
        <v>229.0729663380929</v>
      </c>
      <c r="J472">
        <v>4.8562130144715123</v>
      </c>
      <c r="K472">
        <v>217.72541000228449</v>
      </c>
      <c r="L472">
        <v>4.4965685077124702</v>
      </c>
      <c r="M472">
        <v>418.28833960376943</v>
      </c>
      <c r="N472">
        <v>4.7688288102981113</v>
      </c>
      <c r="O472">
        <v>394.81806695622913</v>
      </c>
      <c r="P472">
        <v>4.4167936206171401</v>
      </c>
    </row>
    <row r="473" spans="4:16" x14ac:dyDescent="0.55000000000000004">
      <c r="D473">
        <v>466</v>
      </c>
      <c r="E473">
        <v>6.4720342759951537</v>
      </c>
      <c r="F473">
        <v>3.5279657240048463</v>
      </c>
      <c r="G473">
        <v>5.6312253767569516</v>
      </c>
      <c r="H473">
        <v>4.3687746232430493</v>
      </c>
      <c r="I473">
        <v>327.09096890087517</v>
      </c>
      <c r="J473">
        <v>4.8524736025260964</v>
      </c>
      <c r="K473">
        <v>307.01517473040559</v>
      </c>
      <c r="L473">
        <v>4.4947610363727151</v>
      </c>
      <c r="M473">
        <v>334.59722029197832</v>
      </c>
      <c r="N473">
        <v>4.8716393705951386</v>
      </c>
      <c r="O473">
        <v>318.24151191893156</v>
      </c>
      <c r="P473">
        <v>4.5122489505473755</v>
      </c>
    </row>
    <row r="474" spans="4:16" x14ac:dyDescent="0.55000000000000004">
      <c r="D474">
        <v>467</v>
      </c>
      <c r="E474">
        <v>7.6076940045937667</v>
      </c>
      <c r="F474">
        <v>2.3923059954062342</v>
      </c>
      <c r="G474">
        <v>7.1617101240635384</v>
      </c>
      <c r="H474">
        <v>2.8382898759364648</v>
      </c>
      <c r="I474">
        <v>365.95685879544737</v>
      </c>
      <c r="J474">
        <v>4.7508867026369028</v>
      </c>
      <c r="K474">
        <v>341.69826642769658</v>
      </c>
      <c r="L474">
        <v>4.400632691841599</v>
      </c>
      <c r="M474">
        <v>394.50346439056017</v>
      </c>
      <c r="N474">
        <v>4.7654904071211526</v>
      </c>
      <c r="O474">
        <v>372.20992464950649</v>
      </c>
      <c r="P474">
        <v>4.4138987502958216</v>
      </c>
    </row>
    <row r="475" spans="4:16" x14ac:dyDescent="0.55000000000000004">
      <c r="D475">
        <v>468</v>
      </c>
      <c r="E475">
        <v>5.958077441993642</v>
      </c>
      <c r="F475">
        <v>4.0419225580063589</v>
      </c>
      <c r="G475">
        <v>6.7285392199980452</v>
      </c>
      <c r="H475">
        <v>3.2714607800019575</v>
      </c>
      <c r="I475">
        <v>290.71680555431738</v>
      </c>
      <c r="J475">
        <v>4.7974836809524684</v>
      </c>
      <c r="K475">
        <v>273.29551749209111</v>
      </c>
      <c r="L475">
        <v>4.4428522664522845</v>
      </c>
      <c r="M475">
        <v>378.31050739586169</v>
      </c>
      <c r="N475">
        <v>4.7712955213041015</v>
      </c>
      <c r="O475">
        <v>357.60468388732232</v>
      </c>
      <c r="P475">
        <v>4.4189521480029814</v>
      </c>
    </row>
    <row r="476" spans="4:16" x14ac:dyDescent="0.55000000000000004">
      <c r="D476">
        <v>469</v>
      </c>
      <c r="E476">
        <v>7.2310389219612556</v>
      </c>
      <c r="F476">
        <v>2.7689610780387426</v>
      </c>
      <c r="G476">
        <v>5.7415923754329885</v>
      </c>
      <c r="H476">
        <v>4.2584076245670115</v>
      </c>
      <c r="I476">
        <v>375.19867732210628</v>
      </c>
      <c r="J476">
        <v>4.852908247966095</v>
      </c>
      <c r="K476">
        <v>350.92509048915252</v>
      </c>
      <c r="L476">
        <v>4.4956571282834767</v>
      </c>
      <c r="M476">
        <v>347.91540167797353</v>
      </c>
      <c r="N476">
        <v>4.8832061490635867</v>
      </c>
      <c r="O476">
        <v>330.50284478659086</v>
      </c>
      <c r="P476">
        <v>4.5232652520020453</v>
      </c>
    </row>
    <row r="477" spans="4:16" x14ac:dyDescent="0.55000000000000004">
      <c r="D477">
        <v>470</v>
      </c>
      <c r="E477">
        <v>6.7984455669955164</v>
      </c>
      <c r="F477">
        <v>3.2015544330044836</v>
      </c>
      <c r="G477">
        <v>6.7441984864306201</v>
      </c>
      <c r="H477">
        <v>3.2558015135693812</v>
      </c>
      <c r="I477">
        <v>346.87570065553581</v>
      </c>
      <c r="J477">
        <v>4.8349501053059853</v>
      </c>
      <c r="K477">
        <v>325.32537868440426</v>
      </c>
      <c r="L477">
        <v>4.4784368852901046</v>
      </c>
      <c r="M477">
        <v>394.1078629352757</v>
      </c>
      <c r="N477">
        <v>4.8362670938508616</v>
      </c>
      <c r="O477">
        <v>372.81330597650731</v>
      </c>
      <c r="P477">
        <v>4.4796321760963469</v>
      </c>
    </row>
    <row r="478" spans="4:16" x14ac:dyDescent="0.55000000000000004">
      <c r="D478">
        <v>471</v>
      </c>
      <c r="E478">
        <v>7.0105539044645528</v>
      </c>
      <c r="F478">
        <v>2.9894460955354472</v>
      </c>
      <c r="G478">
        <v>4.8847621986117868</v>
      </c>
      <c r="H478">
        <v>5.1152378013882132</v>
      </c>
      <c r="I478">
        <v>358.48110936320973</v>
      </c>
      <c r="J478">
        <v>4.8339674092566929</v>
      </c>
      <c r="K478">
        <v>335.56876909395976</v>
      </c>
      <c r="L478">
        <v>4.4778121285545929</v>
      </c>
      <c r="M478">
        <v>299.77983135093922</v>
      </c>
      <c r="N478">
        <v>4.8843130323148927</v>
      </c>
      <c r="O478">
        <v>286.20116905502306</v>
      </c>
      <c r="P478">
        <v>4.5238348048951007</v>
      </c>
    </row>
    <row r="479" spans="4:16" x14ac:dyDescent="0.55000000000000004">
      <c r="D479">
        <v>472</v>
      </c>
      <c r="E479">
        <v>6.3995411422756163</v>
      </c>
      <c r="F479">
        <v>3.6004588577243819</v>
      </c>
      <c r="G479">
        <v>5.8175160472206953</v>
      </c>
      <c r="H479">
        <v>4.1824839527793038</v>
      </c>
      <c r="I479">
        <v>317.54050122864754</v>
      </c>
      <c r="J479">
        <v>4.8753486174890828</v>
      </c>
      <c r="K479">
        <v>298.40188338683134</v>
      </c>
      <c r="L479">
        <v>4.5160942706025198</v>
      </c>
      <c r="M479">
        <v>338.66084621862092</v>
      </c>
      <c r="N479">
        <v>4.8866854041651413</v>
      </c>
      <c r="O479">
        <v>322.11223779412745</v>
      </c>
      <c r="P479">
        <v>4.5264143420774108</v>
      </c>
    </row>
    <row r="480" spans="4:16" x14ac:dyDescent="0.55000000000000004">
      <c r="D480">
        <v>473</v>
      </c>
      <c r="E480">
        <v>6.3797823648221375</v>
      </c>
      <c r="F480">
        <v>3.6202176351778639</v>
      </c>
      <c r="G480">
        <v>6.9335460694932545</v>
      </c>
      <c r="H480">
        <v>3.0664539305067464</v>
      </c>
      <c r="I480">
        <v>312.61422663977902</v>
      </c>
      <c r="J480">
        <v>4.7906122997170719</v>
      </c>
      <c r="K480">
        <v>293.65628525036163</v>
      </c>
      <c r="L480">
        <v>4.4365429864159793</v>
      </c>
      <c r="M480">
        <v>389.74907268585821</v>
      </c>
      <c r="N480">
        <v>4.7724374934320499</v>
      </c>
      <c r="O480">
        <v>368.32247620386414</v>
      </c>
      <c r="P480">
        <v>4.4200216749772512</v>
      </c>
    </row>
    <row r="481" spans="4:16" x14ac:dyDescent="0.55000000000000004">
      <c r="D481">
        <v>474</v>
      </c>
      <c r="E481">
        <v>6.2318609835918721</v>
      </c>
      <c r="F481">
        <v>3.7681390164081274</v>
      </c>
      <c r="G481">
        <v>5.1570383545394183</v>
      </c>
      <c r="H481">
        <v>4.8429616454605799</v>
      </c>
      <c r="I481">
        <v>304.50225787501211</v>
      </c>
      <c r="J481">
        <v>4.9427297238182106</v>
      </c>
      <c r="K481">
        <v>286.4026670181151</v>
      </c>
      <c r="L481">
        <v>4.5793666015639323</v>
      </c>
      <c r="M481">
        <v>301.98409063358076</v>
      </c>
      <c r="N481">
        <v>4.95260725301444</v>
      </c>
      <c r="O481">
        <v>288.48855503717795</v>
      </c>
      <c r="P481">
        <v>4.5883782077349435</v>
      </c>
    </row>
    <row r="482" spans="4:16" x14ac:dyDescent="0.55000000000000004">
      <c r="D482">
        <v>475</v>
      </c>
      <c r="E482">
        <v>6.0114806992686258</v>
      </c>
      <c r="F482">
        <v>3.9885193007313737</v>
      </c>
      <c r="G482">
        <v>5.1163502495516333</v>
      </c>
      <c r="H482">
        <v>4.8836497504483667</v>
      </c>
      <c r="I482">
        <v>297.55524478174573</v>
      </c>
      <c r="J482">
        <v>4.9183443075627382</v>
      </c>
      <c r="K482">
        <v>279.77845434953718</v>
      </c>
      <c r="L482">
        <v>4.5564553860946102</v>
      </c>
      <c r="M482">
        <v>303.24823068627683</v>
      </c>
      <c r="N482">
        <v>4.9305031250571059</v>
      </c>
      <c r="O482">
        <v>289.19718519438374</v>
      </c>
      <c r="P482">
        <v>4.5675917773730692</v>
      </c>
    </row>
    <row r="483" spans="4:16" x14ac:dyDescent="0.55000000000000004">
      <c r="D483">
        <v>476</v>
      </c>
      <c r="E483">
        <v>7.0110910034501899</v>
      </c>
      <c r="F483">
        <v>2.9889089965498092</v>
      </c>
      <c r="G483">
        <v>5.6055249200535684</v>
      </c>
      <c r="H483">
        <v>4.3944750799464316</v>
      </c>
      <c r="I483">
        <v>354.29437062647895</v>
      </c>
      <c r="J483">
        <v>4.7925090463057005</v>
      </c>
      <c r="K483">
        <v>331.81681301671711</v>
      </c>
      <c r="L483">
        <v>4.4389056668555549</v>
      </c>
      <c r="M483">
        <v>333.26631655531219</v>
      </c>
      <c r="N483">
        <v>4.8341063165423606</v>
      </c>
      <c r="O483">
        <v>317.1279309978064</v>
      </c>
      <c r="P483">
        <v>4.4767904286139411</v>
      </c>
    </row>
    <row r="484" spans="4:16" x14ac:dyDescent="0.55000000000000004">
      <c r="D484">
        <v>477</v>
      </c>
      <c r="E484">
        <v>7.224039368995979</v>
      </c>
      <c r="F484">
        <v>2.7759606310040232</v>
      </c>
      <c r="G484">
        <v>5.8326133796893602</v>
      </c>
      <c r="H484">
        <v>4.167386620310638</v>
      </c>
      <c r="I484">
        <v>360.45459188792796</v>
      </c>
      <c r="J484">
        <v>4.9292662610842122</v>
      </c>
      <c r="K484">
        <v>337.40937848578778</v>
      </c>
      <c r="L484">
        <v>4.5670212711149167</v>
      </c>
      <c r="M484">
        <v>341.02724501184355</v>
      </c>
      <c r="N484">
        <v>4.9428903234156882</v>
      </c>
      <c r="O484">
        <v>324.3326225667214</v>
      </c>
      <c r="P484">
        <v>4.5793991264266349</v>
      </c>
    </row>
    <row r="485" spans="4:16" x14ac:dyDescent="0.55000000000000004">
      <c r="D485">
        <v>478</v>
      </c>
      <c r="E485">
        <v>6.6756900275126956</v>
      </c>
      <c r="F485">
        <v>3.3243099724873044</v>
      </c>
      <c r="G485">
        <v>6.6323261396930713</v>
      </c>
      <c r="H485">
        <v>3.3676738603069305</v>
      </c>
      <c r="I485">
        <v>341.95434772217493</v>
      </c>
      <c r="J485">
        <v>4.7572021562170024</v>
      </c>
      <c r="K485">
        <v>320.51899290507095</v>
      </c>
      <c r="L485">
        <v>4.4056546380106649</v>
      </c>
      <c r="M485">
        <v>389.73308371606544</v>
      </c>
      <c r="N485">
        <v>4.7587793202880215</v>
      </c>
      <c r="O485">
        <v>368.49590199819886</v>
      </c>
      <c r="P485">
        <v>4.4070910932370344</v>
      </c>
    </row>
    <row r="486" spans="4:16" x14ac:dyDescent="0.55000000000000004">
      <c r="D486">
        <v>479</v>
      </c>
      <c r="E486">
        <v>6.3626356107213669</v>
      </c>
      <c r="F486">
        <v>3.6373643892786345</v>
      </c>
      <c r="G486">
        <v>5.6461533537016884</v>
      </c>
      <c r="H486">
        <v>4.3538466462983099</v>
      </c>
      <c r="I486">
        <v>297.44133398474389</v>
      </c>
      <c r="J486">
        <v>4.8400028123772403</v>
      </c>
      <c r="K486">
        <v>279.24828099085306</v>
      </c>
      <c r="L486">
        <v>4.4830218062195515</v>
      </c>
      <c r="M486">
        <v>313.94712634141621</v>
      </c>
      <c r="N486">
        <v>4.8580197401283103</v>
      </c>
      <c r="O486">
        <v>298.65855833804352</v>
      </c>
      <c r="P486">
        <v>4.499476377374954</v>
      </c>
    </row>
    <row r="487" spans="4:16" x14ac:dyDescent="0.55000000000000004">
      <c r="D487">
        <v>480</v>
      </c>
      <c r="E487">
        <v>6.397279760532391</v>
      </c>
      <c r="F487">
        <v>3.602720239467609</v>
      </c>
      <c r="G487">
        <v>6.2653870729544234</v>
      </c>
      <c r="H487">
        <v>3.7346129270455766</v>
      </c>
      <c r="I487">
        <v>312.15916956411439</v>
      </c>
      <c r="J487">
        <v>4.8634778971212915</v>
      </c>
      <c r="K487">
        <v>292.83330372647242</v>
      </c>
      <c r="L487">
        <v>4.5051627575147286</v>
      </c>
      <c r="M487">
        <v>355.72338539223523</v>
      </c>
      <c r="N487">
        <v>4.8662925726922364</v>
      </c>
      <c r="O487">
        <v>336.95752281777641</v>
      </c>
      <c r="P487">
        <v>4.5077325169321121</v>
      </c>
    </row>
    <row r="488" spans="4:16" x14ac:dyDescent="0.55000000000000004">
      <c r="D488">
        <v>481</v>
      </c>
      <c r="E488">
        <v>6.2157027476948228</v>
      </c>
      <c r="F488">
        <v>3.7842972523051785</v>
      </c>
      <c r="G488">
        <v>4.9998252006809238</v>
      </c>
      <c r="H488">
        <v>5.000174799319077</v>
      </c>
      <c r="I488">
        <v>319.28769255837341</v>
      </c>
      <c r="J488">
        <v>4.9870483825352085</v>
      </c>
      <c r="K488">
        <v>300.09559472869893</v>
      </c>
      <c r="L488">
        <v>4.6210596296065694</v>
      </c>
      <c r="M488">
        <v>306.83059765247924</v>
      </c>
      <c r="N488">
        <v>4.9895818982955618</v>
      </c>
      <c r="O488">
        <v>292.97628402859021</v>
      </c>
      <c r="P488">
        <v>4.6233766229617244</v>
      </c>
    </row>
    <row r="489" spans="4:16" x14ac:dyDescent="0.55000000000000004">
      <c r="D489">
        <v>482</v>
      </c>
      <c r="E489">
        <v>6.6996087279513956</v>
      </c>
      <c r="F489">
        <v>3.3003912720486035</v>
      </c>
      <c r="G489">
        <v>5.8249269805882458</v>
      </c>
      <c r="H489">
        <v>4.1750730194117551</v>
      </c>
      <c r="I489">
        <v>320.3867341934116</v>
      </c>
      <c r="J489">
        <v>4.9196744172580802</v>
      </c>
      <c r="K489">
        <v>300.2450175380244</v>
      </c>
      <c r="L489">
        <v>4.5579569735230212</v>
      </c>
      <c r="M489">
        <v>328.55795883118873</v>
      </c>
      <c r="N489">
        <v>4.9301614955224489</v>
      </c>
      <c r="O489">
        <v>312.06379790833586</v>
      </c>
      <c r="P489">
        <v>4.5675295568706851</v>
      </c>
    </row>
    <row r="490" spans="4:16" x14ac:dyDescent="0.55000000000000004">
      <c r="D490">
        <v>483</v>
      </c>
      <c r="E490">
        <v>7.1920461566411964</v>
      </c>
      <c r="F490">
        <v>2.8079538433588001</v>
      </c>
      <c r="G490">
        <v>7.2717284906192026</v>
      </c>
      <c r="H490">
        <v>2.7282715093807983</v>
      </c>
      <c r="I490">
        <v>387.7631286109571</v>
      </c>
      <c r="J490">
        <v>4.8743682746676695</v>
      </c>
      <c r="K490">
        <v>362.59470178653561</v>
      </c>
      <c r="L490">
        <v>4.5157553528673446</v>
      </c>
      <c r="M490">
        <v>442.05924552197035</v>
      </c>
      <c r="N490">
        <v>4.8729763718797665</v>
      </c>
      <c r="O490">
        <v>416.50074425704651</v>
      </c>
      <c r="P490">
        <v>4.5144898306487944</v>
      </c>
    </row>
    <row r="491" spans="4:16" x14ac:dyDescent="0.55000000000000004">
      <c r="D491">
        <v>484</v>
      </c>
      <c r="E491">
        <v>6.2936967931349681</v>
      </c>
      <c r="F491">
        <v>3.7063032068650306</v>
      </c>
      <c r="G491">
        <v>5.109737312686403</v>
      </c>
      <c r="H491">
        <v>4.8902626873135961</v>
      </c>
      <c r="I491">
        <v>304.99896366895126</v>
      </c>
      <c r="J491">
        <v>4.7627457446465353</v>
      </c>
      <c r="K491">
        <v>286.50963502718463</v>
      </c>
      <c r="L491">
        <v>4.4103610612531172</v>
      </c>
      <c r="M491">
        <v>297.62308007749357</v>
      </c>
      <c r="N491">
        <v>4.8073776095321943</v>
      </c>
      <c r="O491">
        <v>284.04659331518224</v>
      </c>
      <c r="P491">
        <v>4.451171297934672</v>
      </c>
    </row>
    <row r="492" spans="4:16" x14ac:dyDescent="0.55000000000000004">
      <c r="D492">
        <v>485</v>
      </c>
      <c r="E492">
        <v>8.1072877293011611</v>
      </c>
      <c r="F492">
        <v>1.892712270698838</v>
      </c>
      <c r="G492">
        <v>5.8696461329158005</v>
      </c>
      <c r="H492">
        <v>4.1303538670842013</v>
      </c>
      <c r="I492">
        <v>421.03610133887463</v>
      </c>
      <c r="J492">
        <v>4.6143097805141391</v>
      </c>
      <c r="K492">
        <v>392.45818739927051</v>
      </c>
      <c r="L492">
        <v>4.2737213222096049</v>
      </c>
      <c r="M492">
        <v>354.82856986928431</v>
      </c>
      <c r="N492">
        <v>4.7207617170010359</v>
      </c>
      <c r="O492">
        <v>336.74293166461678</v>
      </c>
      <c r="P492">
        <v>4.370561807046049</v>
      </c>
    </row>
    <row r="493" spans="4:16" x14ac:dyDescent="0.55000000000000004">
      <c r="D493">
        <v>486</v>
      </c>
      <c r="E493">
        <v>5.8505390965251491</v>
      </c>
      <c r="F493">
        <v>4.14946090347485</v>
      </c>
      <c r="G493">
        <v>6.7890772853650452</v>
      </c>
      <c r="H493">
        <v>3.2109227146349548</v>
      </c>
      <c r="I493">
        <v>281.09222299933344</v>
      </c>
      <c r="J493">
        <v>4.9112276751316113</v>
      </c>
      <c r="K493">
        <v>264.74665450204526</v>
      </c>
      <c r="L493">
        <v>4.549622540344207</v>
      </c>
      <c r="M493">
        <v>376.18478310673697</v>
      </c>
      <c r="N493">
        <v>4.8969868990891836</v>
      </c>
      <c r="O493">
        <v>355.80512908219492</v>
      </c>
      <c r="P493">
        <v>4.5366557773184004</v>
      </c>
    </row>
    <row r="494" spans="4:16" x14ac:dyDescent="0.55000000000000004">
      <c r="D494">
        <v>487</v>
      </c>
      <c r="E494">
        <v>6.8826662885574059</v>
      </c>
      <c r="F494">
        <v>3.117333711442595</v>
      </c>
      <c r="G494">
        <v>7.3461623028086098</v>
      </c>
      <c r="H494">
        <v>2.6538376971913915</v>
      </c>
      <c r="I494">
        <v>339.06707213875961</v>
      </c>
      <c r="J494">
        <v>4.7728669249575546</v>
      </c>
      <c r="K494">
        <v>317.84768992976058</v>
      </c>
      <c r="L494">
        <v>4.4203140280844542</v>
      </c>
      <c r="M494">
        <v>411.90069938601079</v>
      </c>
      <c r="N494">
        <v>4.7575712138809028</v>
      </c>
      <c r="O494">
        <v>388.54827583157368</v>
      </c>
      <c r="P494">
        <v>4.4064471913509404</v>
      </c>
    </row>
    <row r="495" spans="4:16" x14ac:dyDescent="0.55000000000000004">
      <c r="D495">
        <v>488</v>
      </c>
      <c r="E495">
        <v>7.1602610044697137</v>
      </c>
      <c r="F495">
        <v>2.8397389955302863</v>
      </c>
      <c r="G495">
        <v>6.3900426938662518</v>
      </c>
      <c r="H495">
        <v>3.6099573061337495</v>
      </c>
      <c r="I495">
        <v>394.58884324872929</v>
      </c>
      <c r="J495">
        <v>4.9110343436102619</v>
      </c>
      <c r="K495">
        <v>369.20621173276601</v>
      </c>
      <c r="L495">
        <v>4.5499899551448832</v>
      </c>
      <c r="M495">
        <v>402.14352567716423</v>
      </c>
      <c r="N495">
        <v>4.9206042430208372</v>
      </c>
      <c r="O495">
        <v>380.59782604734454</v>
      </c>
      <c r="P495">
        <v>4.5586947637917081</v>
      </c>
    </row>
    <row r="496" spans="4:16" x14ac:dyDescent="0.55000000000000004">
      <c r="D496">
        <v>489</v>
      </c>
      <c r="E496">
        <v>6.8467980131810453</v>
      </c>
      <c r="F496">
        <v>3.1532019868189525</v>
      </c>
      <c r="G496">
        <v>5.8025383633103633</v>
      </c>
      <c r="H496">
        <v>4.1974616366896367</v>
      </c>
      <c r="I496">
        <v>333.28736542990401</v>
      </c>
      <c r="J496">
        <v>4.9547348631100725</v>
      </c>
      <c r="K496">
        <v>312.04381290953285</v>
      </c>
      <c r="L496">
        <v>4.5908527748463026</v>
      </c>
      <c r="M496">
        <v>332.45505712168006</v>
      </c>
      <c r="N496">
        <v>4.9616386093443028</v>
      </c>
      <c r="O496">
        <v>315.61728182708111</v>
      </c>
      <c r="P496">
        <v>4.5971581542358306</v>
      </c>
    </row>
    <row r="497" spans="4:16" x14ac:dyDescent="0.55000000000000004">
      <c r="D497">
        <v>490</v>
      </c>
      <c r="E497">
        <v>7.3488048254673952</v>
      </c>
      <c r="F497">
        <v>2.6511951745326021</v>
      </c>
      <c r="G497">
        <v>5.0686895728952264</v>
      </c>
      <c r="H497">
        <v>4.931310427104771</v>
      </c>
      <c r="I497">
        <v>381.87957602082929</v>
      </c>
      <c r="J497">
        <v>4.7737520845274366</v>
      </c>
      <c r="K497">
        <v>357.08534450590992</v>
      </c>
      <c r="L497">
        <v>4.421674382106727</v>
      </c>
      <c r="M497">
        <v>313.39371789688511</v>
      </c>
      <c r="N497">
        <v>4.843950073885364</v>
      </c>
      <c r="O497">
        <v>299.03843157952201</v>
      </c>
      <c r="P497">
        <v>4.4856877265163995</v>
      </c>
    </row>
    <row r="498" spans="4:16" x14ac:dyDescent="0.55000000000000004">
      <c r="D498">
        <v>491</v>
      </c>
      <c r="E498">
        <v>7.7173709117627753</v>
      </c>
      <c r="F498">
        <v>2.2826290882372242</v>
      </c>
      <c r="G498">
        <v>7.7971034076114485</v>
      </c>
      <c r="H498">
        <v>2.202896592388552</v>
      </c>
      <c r="I498">
        <v>417.86077956246896</v>
      </c>
      <c r="J498">
        <v>4.6809343575023661</v>
      </c>
      <c r="K498">
        <v>390.04130882140771</v>
      </c>
      <c r="L498">
        <v>4.3354091868623179</v>
      </c>
      <c r="M498">
        <v>472.17793410288459</v>
      </c>
      <c r="N498">
        <v>4.6776379110432327</v>
      </c>
      <c r="O498">
        <v>443.95608145365043</v>
      </c>
      <c r="P498">
        <v>4.3324199868554487</v>
      </c>
    </row>
    <row r="499" spans="4:16" x14ac:dyDescent="0.55000000000000004">
      <c r="D499">
        <v>492</v>
      </c>
      <c r="E499">
        <v>6.3341105898785699</v>
      </c>
      <c r="F499">
        <v>3.6658894101214288</v>
      </c>
      <c r="G499">
        <v>5.9694660696127366</v>
      </c>
      <c r="H499">
        <v>4.0305339303872616</v>
      </c>
      <c r="I499">
        <v>300.23299328498086</v>
      </c>
      <c r="J499">
        <v>4.9526485278481127</v>
      </c>
      <c r="K499">
        <v>282.15669044348914</v>
      </c>
      <c r="L499">
        <v>4.5887321824558791</v>
      </c>
      <c r="M499">
        <v>332.94906458640156</v>
      </c>
      <c r="N499">
        <v>4.9553744756511549</v>
      </c>
      <c r="O499">
        <v>316.41652010923605</v>
      </c>
      <c r="P499">
        <v>4.5912146552484039</v>
      </c>
    </row>
    <row r="500" spans="4:16" x14ac:dyDescent="0.55000000000000004">
      <c r="D500">
        <v>493</v>
      </c>
      <c r="E500">
        <v>6.9740625115486869</v>
      </c>
      <c r="F500">
        <v>3.0259374884513113</v>
      </c>
      <c r="G500">
        <v>6.5683989661270239</v>
      </c>
      <c r="H500">
        <v>3.4316010338729761</v>
      </c>
      <c r="I500">
        <v>347.57428607916472</v>
      </c>
      <c r="J500">
        <v>4.8022121226618637</v>
      </c>
      <c r="K500">
        <v>325.27333566544218</v>
      </c>
      <c r="L500">
        <v>4.4481352622441905</v>
      </c>
      <c r="M500">
        <v>377.3567705414431</v>
      </c>
      <c r="N500">
        <v>4.8137169423318262</v>
      </c>
      <c r="O500">
        <v>356.85190762746146</v>
      </c>
      <c r="P500">
        <v>4.4586180145509582</v>
      </c>
    </row>
    <row r="501" spans="4:16" x14ac:dyDescent="0.55000000000000004">
      <c r="D501">
        <v>494</v>
      </c>
      <c r="E501">
        <v>6.6522567926600411</v>
      </c>
      <c r="F501">
        <v>3.3477432073399567</v>
      </c>
      <c r="G501">
        <v>6.9852532837486452</v>
      </c>
      <c r="H501">
        <v>3.0147467162513548</v>
      </c>
      <c r="I501">
        <v>343.19751521418971</v>
      </c>
      <c r="J501">
        <v>4.7771912974108011</v>
      </c>
      <c r="K501">
        <v>321.72372723918801</v>
      </c>
      <c r="L501">
        <v>4.4243651225576652</v>
      </c>
      <c r="M501">
        <v>410.37718399107018</v>
      </c>
      <c r="N501">
        <v>4.7660380123740493</v>
      </c>
      <c r="O501">
        <v>387.3581540218226</v>
      </c>
      <c r="P501">
        <v>4.4142150305764041</v>
      </c>
    </row>
    <row r="502" spans="4:16" x14ac:dyDescent="0.55000000000000004">
      <c r="D502">
        <v>495</v>
      </c>
      <c r="E502">
        <v>7.7690794376997978</v>
      </c>
      <c r="F502">
        <v>2.2309205623002022</v>
      </c>
      <c r="G502">
        <v>5.580920637045069</v>
      </c>
      <c r="H502">
        <v>4.419079362954931</v>
      </c>
      <c r="I502">
        <v>367.80174370981894</v>
      </c>
      <c r="J502">
        <v>4.8337042329138873</v>
      </c>
      <c r="K502">
        <v>343.28623032868711</v>
      </c>
      <c r="L502">
        <v>4.4780212731941536</v>
      </c>
      <c r="M502">
        <v>314.21049730172763</v>
      </c>
      <c r="N502">
        <v>4.8805413838503746</v>
      </c>
      <c r="O502">
        <v>298.95745365213821</v>
      </c>
      <c r="P502">
        <v>4.5206705442865092</v>
      </c>
    </row>
    <row r="503" spans="4:16" x14ac:dyDescent="0.55000000000000004">
      <c r="D503">
        <v>496</v>
      </c>
      <c r="E503">
        <v>5.8430829438353769</v>
      </c>
      <c r="F503">
        <v>4.1569170561646223</v>
      </c>
      <c r="G503">
        <v>6.8388108769787479</v>
      </c>
      <c r="H503">
        <v>3.1611891230212548</v>
      </c>
      <c r="I503">
        <v>302.41101790721802</v>
      </c>
      <c r="J503">
        <v>4.8525973895681735</v>
      </c>
      <c r="K503">
        <v>284.60807781970971</v>
      </c>
      <c r="L503">
        <v>4.4945077198537273</v>
      </c>
      <c r="M503">
        <v>403.94530224220694</v>
      </c>
      <c r="N503">
        <v>4.8274783046542646</v>
      </c>
      <c r="O503">
        <v>381.59362546411887</v>
      </c>
      <c r="P503">
        <v>4.4716058017183267</v>
      </c>
    </row>
    <row r="504" spans="4:16" x14ac:dyDescent="0.55000000000000004">
      <c r="D504">
        <v>497</v>
      </c>
      <c r="E504">
        <v>6.1281271635536108</v>
      </c>
      <c r="F504">
        <v>3.8718728364463875</v>
      </c>
      <c r="G504">
        <v>6.5242841296187493</v>
      </c>
      <c r="H504">
        <v>3.4757158703812499</v>
      </c>
      <c r="I504">
        <v>318.25342369062213</v>
      </c>
      <c r="J504">
        <v>4.8887014871332868</v>
      </c>
      <c r="K504">
        <v>299.3686843463388</v>
      </c>
      <c r="L504">
        <v>4.5285385313406792</v>
      </c>
      <c r="M504">
        <v>388.8271336356371</v>
      </c>
      <c r="N504">
        <v>4.8815065187509283</v>
      </c>
      <c r="O504">
        <v>368.09386434945117</v>
      </c>
      <c r="P504">
        <v>4.5219900246087157</v>
      </c>
    </row>
    <row r="505" spans="4:16" x14ac:dyDescent="0.55000000000000004">
      <c r="D505">
        <v>498</v>
      </c>
      <c r="E505">
        <v>6.1010317640391545</v>
      </c>
      <c r="F505">
        <v>3.8989682359608455</v>
      </c>
      <c r="G505">
        <v>5.2177135826266401</v>
      </c>
      <c r="H505">
        <v>4.7822864173733599</v>
      </c>
      <c r="I505">
        <v>306.7947997969552</v>
      </c>
      <c r="J505">
        <v>4.9533755836719733</v>
      </c>
      <c r="K505">
        <v>288.55007377372851</v>
      </c>
      <c r="L505">
        <v>4.5893810198126523</v>
      </c>
      <c r="M505">
        <v>312.37650546503869</v>
      </c>
      <c r="N505">
        <v>4.9601259492221166</v>
      </c>
      <c r="O505">
        <v>297.95304890948677</v>
      </c>
      <c r="P505">
        <v>4.5955506569453641</v>
      </c>
    </row>
    <row r="506" spans="4:16" x14ac:dyDescent="0.55000000000000004">
      <c r="D506">
        <v>499</v>
      </c>
      <c r="E506">
        <v>7.3392617460387601</v>
      </c>
      <c r="F506">
        <v>2.6607382539612376</v>
      </c>
      <c r="G506">
        <v>6.9158097989296028</v>
      </c>
      <c r="H506">
        <v>3.0841902010703972</v>
      </c>
      <c r="I506">
        <v>366.43786356058041</v>
      </c>
      <c r="J506">
        <v>4.8330743561819132</v>
      </c>
      <c r="K506">
        <v>342.49650036246476</v>
      </c>
      <c r="L506">
        <v>4.4772132462690104</v>
      </c>
      <c r="M506">
        <v>395.29556993642984</v>
      </c>
      <c r="N506">
        <v>4.842705432350491</v>
      </c>
      <c r="O506">
        <v>373.27174521054621</v>
      </c>
      <c r="P506">
        <v>4.4859708146048733</v>
      </c>
    </row>
    <row r="507" spans="4:16" x14ac:dyDescent="0.55000000000000004">
      <c r="D507">
        <v>500</v>
      </c>
      <c r="E507">
        <v>6.6387482460359379</v>
      </c>
      <c r="F507">
        <v>3.3612517539640647</v>
      </c>
      <c r="G507">
        <v>6.3948983051701731</v>
      </c>
      <c r="H507">
        <v>3.6051016948298265</v>
      </c>
      <c r="I507">
        <v>336.00355436028406</v>
      </c>
      <c r="J507">
        <v>4.9047452706686849</v>
      </c>
      <c r="K507">
        <v>315.24493967360144</v>
      </c>
      <c r="L507">
        <v>4.5438629340963361</v>
      </c>
      <c r="M507">
        <v>373.66170257966178</v>
      </c>
      <c r="N507">
        <v>4.9082441019624437</v>
      </c>
      <c r="O507">
        <v>354.01968334308054</v>
      </c>
      <c r="P507">
        <v>4.5470452181512577</v>
      </c>
    </row>
    <row r="508" spans="4:16" x14ac:dyDescent="0.55000000000000004">
      <c r="D508">
        <v>501</v>
      </c>
      <c r="E508">
        <v>6.1372009875184856</v>
      </c>
      <c r="F508">
        <v>3.8627990124815157</v>
      </c>
      <c r="G508">
        <v>6.6228917117973864</v>
      </c>
      <c r="H508">
        <v>3.377108288202614</v>
      </c>
      <c r="I508">
        <v>291.51318641100704</v>
      </c>
      <c r="J508">
        <v>4.8477466145862591</v>
      </c>
      <c r="K508">
        <v>274.06917742862879</v>
      </c>
      <c r="L508">
        <v>4.490090120922356</v>
      </c>
      <c r="M508">
        <v>364.58319029922274</v>
      </c>
      <c r="N508">
        <v>4.8356974643000123</v>
      </c>
      <c r="O508">
        <v>345.08173808019899</v>
      </c>
      <c r="P508">
        <v>4.4791155453472307</v>
      </c>
    </row>
    <row r="509" spans="4:16" x14ac:dyDescent="0.55000000000000004">
      <c r="D509">
        <v>502</v>
      </c>
      <c r="E509">
        <v>6.7077819985193132</v>
      </c>
      <c r="F509">
        <v>3.2922180014806885</v>
      </c>
      <c r="G509">
        <v>5.7660684663112205</v>
      </c>
      <c r="H509">
        <v>4.2339315336887813</v>
      </c>
      <c r="I509">
        <v>354.58754110312594</v>
      </c>
      <c r="J509">
        <v>4.9153572113670352</v>
      </c>
      <c r="K509">
        <v>332.16220983925746</v>
      </c>
      <c r="L509">
        <v>4.5539430483106802</v>
      </c>
      <c r="M509">
        <v>354.80657238903876</v>
      </c>
      <c r="N509">
        <v>4.9272403136319998</v>
      </c>
      <c r="O509">
        <v>336.67268111200832</v>
      </c>
      <c r="P509">
        <v>4.5648017506584697</v>
      </c>
    </row>
    <row r="510" spans="4:16" x14ac:dyDescent="0.55000000000000004">
      <c r="D510">
        <v>503</v>
      </c>
      <c r="E510">
        <v>6.431463280964393</v>
      </c>
      <c r="F510">
        <v>3.5685367190356061</v>
      </c>
      <c r="G510">
        <v>6.3132093427105875</v>
      </c>
      <c r="H510">
        <v>3.6867906572894116</v>
      </c>
      <c r="I510">
        <v>305.24758307717138</v>
      </c>
      <c r="J510">
        <v>4.9302975838245739</v>
      </c>
      <c r="K510">
        <v>286.21134172084601</v>
      </c>
      <c r="L510">
        <v>4.5678771922397194</v>
      </c>
      <c r="M510">
        <v>349.63506112619177</v>
      </c>
      <c r="N510">
        <v>4.9315791872262364</v>
      </c>
      <c r="O510">
        <v>331.08444388735791</v>
      </c>
      <c r="P510">
        <v>4.5690479047573298</v>
      </c>
    </row>
    <row r="511" spans="4:16" x14ac:dyDescent="0.55000000000000004">
      <c r="D511">
        <v>504</v>
      </c>
      <c r="E511">
        <v>7.0645860548521462</v>
      </c>
      <c r="F511">
        <v>2.9354139451478534</v>
      </c>
      <c r="G511">
        <v>6.654924957775167</v>
      </c>
      <c r="H511">
        <v>3.345075042224833</v>
      </c>
      <c r="I511">
        <v>361.14744367951067</v>
      </c>
      <c r="J511">
        <v>4.7151995304265926</v>
      </c>
      <c r="K511">
        <v>338.26219146972414</v>
      </c>
      <c r="L511">
        <v>4.3664795516073589</v>
      </c>
      <c r="M511">
        <v>390.20523180247079</v>
      </c>
      <c r="N511">
        <v>4.7317145352559757</v>
      </c>
      <c r="O511">
        <v>369.25697096636446</v>
      </c>
      <c r="P511">
        <v>4.3814670472090347</v>
      </c>
    </row>
    <row r="512" spans="4:16" x14ac:dyDescent="0.55000000000000004">
      <c r="D512">
        <v>505</v>
      </c>
      <c r="E512">
        <v>6.1538998610812055</v>
      </c>
      <c r="F512">
        <v>3.8461001389187937</v>
      </c>
      <c r="G512">
        <v>6.8389016988014593</v>
      </c>
      <c r="H512">
        <v>3.1610983011985407</v>
      </c>
      <c r="I512">
        <v>309.66466928005599</v>
      </c>
      <c r="J512">
        <v>4.8957703892285993</v>
      </c>
      <c r="K512">
        <v>291.35368970510473</v>
      </c>
      <c r="L512">
        <v>4.5351663939143059</v>
      </c>
      <c r="M512">
        <v>394.13400942570541</v>
      </c>
      <c r="N512">
        <v>4.8841684008090596</v>
      </c>
      <c r="O512">
        <v>372.67911557547376</v>
      </c>
      <c r="P512">
        <v>4.5246226113339176</v>
      </c>
    </row>
    <row r="513" spans="4:16" x14ac:dyDescent="0.55000000000000004">
      <c r="D513">
        <v>506</v>
      </c>
      <c r="E513">
        <v>7.8289890187044673</v>
      </c>
      <c r="F513">
        <v>2.1710109812955305</v>
      </c>
      <c r="G513">
        <v>5.2009903746329966</v>
      </c>
      <c r="H513">
        <v>4.7990096253670025</v>
      </c>
      <c r="I513">
        <v>377.33119990635549</v>
      </c>
      <c r="J513">
        <v>4.6540853058918152</v>
      </c>
      <c r="K513">
        <v>352.26955931892553</v>
      </c>
      <c r="L513">
        <v>4.3102930571766587</v>
      </c>
      <c r="M513">
        <v>300.6704165854643</v>
      </c>
      <c r="N513">
        <v>4.7702003425726485</v>
      </c>
      <c r="O513">
        <v>287.10673424353502</v>
      </c>
      <c r="P513">
        <v>4.4158674528759132</v>
      </c>
    </row>
    <row r="514" spans="4:16" x14ac:dyDescent="0.55000000000000004">
      <c r="D514">
        <v>507</v>
      </c>
      <c r="E514">
        <v>6.0635096717306469</v>
      </c>
      <c r="F514">
        <v>3.9364903282693531</v>
      </c>
      <c r="G514">
        <v>6.3256237608879351</v>
      </c>
      <c r="H514">
        <v>3.6743762391120649</v>
      </c>
      <c r="I514">
        <v>278.55900846134921</v>
      </c>
      <c r="J514">
        <v>4.819831089631224</v>
      </c>
      <c r="K514">
        <v>262.03910527585589</v>
      </c>
      <c r="L514">
        <v>4.4637487186792466</v>
      </c>
      <c r="M514">
        <v>340.60058911880441</v>
      </c>
      <c r="N514">
        <v>4.8120427273802431</v>
      </c>
      <c r="O514">
        <v>323.01231915468645</v>
      </c>
      <c r="P514">
        <v>4.4566513643387333</v>
      </c>
    </row>
    <row r="515" spans="4:16" x14ac:dyDescent="0.55000000000000004">
      <c r="D515">
        <v>508</v>
      </c>
      <c r="E515">
        <v>7.7299894810412075</v>
      </c>
      <c r="F515">
        <v>2.2700105189587925</v>
      </c>
      <c r="G515">
        <v>6.3828335383593604</v>
      </c>
      <c r="H515">
        <v>3.6171664616406414</v>
      </c>
      <c r="I515">
        <v>406.46668052637523</v>
      </c>
      <c r="J515">
        <v>4.7876963477858521</v>
      </c>
      <c r="K515">
        <v>379.49325733367527</v>
      </c>
      <c r="L515">
        <v>4.4350177087713032</v>
      </c>
      <c r="M515">
        <v>385.62906742013934</v>
      </c>
      <c r="N515">
        <v>4.8246958970652933</v>
      </c>
      <c r="O515">
        <v>365.15460823583328</v>
      </c>
      <c r="P515">
        <v>4.4686227515371897</v>
      </c>
    </row>
    <row r="516" spans="4:16" x14ac:dyDescent="0.55000000000000004">
      <c r="D516">
        <v>509</v>
      </c>
      <c r="E516">
        <v>6.8442523636473789</v>
      </c>
      <c r="F516">
        <v>3.1557476363526198</v>
      </c>
      <c r="G516">
        <v>6.3234188421346689</v>
      </c>
      <c r="H516">
        <v>3.6765811578653329</v>
      </c>
      <c r="I516">
        <v>358.42280160659016</v>
      </c>
      <c r="J516">
        <v>4.8167444308297602</v>
      </c>
      <c r="K516">
        <v>335.82040959813162</v>
      </c>
      <c r="L516">
        <v>4.4615333918349167</v>
      </c>
      <c r="M516">
        <v>381.14756392793032</v>
      </c>
      <c r="N516">
        <v>4.8306898025601637</v>
      </c>
      <c r="O516">
        <v>360.99108640043835</v>
      </c>
      <c r="P516">
        <v>4.4742282084992304</v>
      </c>
    </row>
    <row r="517" spans="4:16" x14ac:dyDescent="0.55000000000000004">
      <c r="D517">
        <v>510</v>
      </c>
      <c r="E517">
        <v>6.3275170273378105</v>
      </c>
      <c r="F517">
        <v>3.6724829726621886</v>
      </c>
      <c r="G517">
        <v>5.310821281601287</v>
      </c>
      <c r="H517">
        <v>4.689178718398713</v>
      </c>
      <c r="I517">
        <v>314.23512675176272</v>
      </c>
      <c r="J517">
        <v>4.7698380253483732</v>
      </c>
      <c r="K517">
        <v>294.94805651217638</v>
      </c>
      <c r="L517">
        <v>4.417197604858802</v>
      </c>
      <c r="M517">
        <v>313.7443078177028</v>
      </c>
      <c r="N517">
        <v>4.8068200989560177</v>
      </c>
      <c r="O517">
        <v>298.74479916576576</v>
      </c>
      <c r="P517">
        <v>4.4510392477588594</v>
      </c>
    </row>
    <row r="518" spans="4:16" x14ac:dyDescent="0.55000000000000004">
      <c r="D518">
        <v>511</v>
      </c>
      <c r="E518">
        <v>7.083986395281622</v>
      </c>
      <c r="F518">
        <v>2.9160136047183784</v>
      </c>
      <c r="G518">
        <v>5.5692772605061247</v>
      </c>
      <c r="H518">
        <v>4.4307227394938735</v>
      </c>
      <c r="I518">
        <v>332.94668306625044</v>
      </c>
      <c r="J518">
        <v>4.8310173570000359</v>
      </c>
      <c r="K518">
        <v>311.69844152611171</v>
      </c>
      <c r="L518">
        <v>4.475034355177514</v>
      </c>
      <c r="M518">
        <v>311.75549859848257</v>
      </c>
      <c r="N518">
        <v>4.8671494920279956</v>
      </c>
      <c r="O518">
        <v>296.84764518700314</v>
      </c>
      <c r="P518">
        <v>4.5079485108768935</v>
      </c>
    </row>
    <row r="519" spans="4:16" x14ac:dyDescent="0.55000000000000004">
      <c r="D519">
        <v>512</v>
      </c>
      <c r="E519">
        <v>6.2533484841759801</v>
      </c>
      <c r="F519">
        <v>3.7466515158240195</v>
      </c>
      <c r="G519">
        <v>5.6061848336115014</v>
      </c>
      <c r="H519">
        <v>4.3938151663884986</v>
      </c>
      <c r="I519">
        <v>328.55155497467143</v>
      </c>
      <c r="J519">
        <v>4.8763179508639096</v>
      </c>
      <c r="K519">
        <v>308.77902749862028</v>
      </c>
      <c r="L519">
        <v>4.5169939845154161</v>
      </c>
      <c r="M519">
        <v>344.54951202854528</v>
      </c>
      <c r="N519">
        <v>4.8891178974254608</v>
      </c>
      <c r="O519">
        <v>327.75076657383437</v>
      </c>
      <c r="P519">
        <v>4.5286744615492349</v>
      </c>
    </row>
    <row r="520" spans="4:16" x14ac:dyDescent="0.55000000000000004">
      <c r="D520">
        <v>513</v>
      </c>
      <c r="E520">
        <v>8.1977978525216102</v>
      </c>
      <c r="F520">
        <v>1.8022021474783911</v>
      </c>
      <c r="G520">
        <v>5.9328166563657296</v>
      </c>
      <c r="H520">
        <v>4.0671833436342713</v>
      </c>
      <c r="I520">
        <v>390.38487470392363</v>
      </c>
      <c r="J520">
        <v>4.8846383629194845</v>
      </c>
      <c r="K520">
        <v>363.7757116280074</v>
      </c>
      <c r="L520">
        <v>4.5257343056479256</v>
      </c>
      <c r="M520">
        <v>332.52488396310815</v>
      </c>
      <c r="N520">
        <v>4.9165117932535534</v>
      </c>
      <c r="O520">
        <v>315.69093042114821</v>
      </c>
      <c r="P520">
        <v>4.5547190887835134</v>
      </c>
    </row>
    <row r="521" spans="4:16" x14ac:dyDescent="0.55000000000000004">
      <c r="D521">
        <v>514</v>
      </c>
      <c r="E521">
        <v>5.7023638317267826</v>
      </c>
      <c r="F521">
        <v>4.2976361682732174</v>
      </c>
      <c r="G521">
        <v>6.9786179514579656</v>
      </c>
      <c r="H521">
        <v>3.0213820485420344</v>
      </c>
      <c r="I521">
        <v>281.004408357361</v>
      </c>
      <c r="J521">
        <v>4.7664094508337307</v>
      </c>
      <c r="K521">
        <v>265.07332925801944</v>
      </c>
      <c r="L521">
        <v>4.4128852167074513</v>
      </c>
      <c r="M521">
        <v>393.89640269720735</v>
      </c>
      <c r="N521">
        <v>4.7141292194242501</v>
      </c>
      <c r="O521">
        <v>372.26373830979173</v>
      </c>
      <c r="P521">
        <v>4.3653445423972537</v>
      </c>
    </row>
    <row r="522" spans="4:16" x14ac:dyDescent="0.55000000000000004">
      <c r="D522">
        <v>515</v>
      </c>
      <c r="E522">
        <v>6.7979577954086423</v>
      </c>
      <c r="F522">
        <v>3.2020422045913586</v>
      </c>
      <c r="G522">
        <v>6.3038334368946858</v>
      </c>
      <c r="H522">
        <v>3.696166563105316</v>
      </c>
      <c r="I522">
        <v>348.66947058938121</v>
      </c>
      <c r="J522">
        <v>4.8729330284704941</v>
      </c>
      <c r="K522">
        <v>326.71211794084525</v>
      </c>
      <c r="L522">
        <v>4.5141677688340476</v>
      </c>
      <c r="M522">
        <v>373.32567121999688</v>
      </c>
      <c r="N522">
        <v>4.8821691678648484</v>
      </c>
      <c r="O522">
        <v>353.63070233258651</v>
      </c>
      <c r="P522">
        <v>4.5225794189134136</v>
      </c>
    </row>
    <row r="523" spans="4:16" x14ac:dyDescent="0.55000000000000004">
      <c r="D523">
        <v>516</v>
      </c>
      <c r="E523">
        <v>6.0679072357711217</v>
      </c>
      <c r="F523">
        <v>3.9320927642288783</v>
      </c>
      <c r="G523">
        <v>7.2495587793464509</v>
      </c>
      <c r="H523">
        <v>2.7504412206535491</v>
      </c>
      <c r="I523">
        <v>307.77648458993804</v>
      </c>
      <c r="J523">
        <v>4.847370655134613</v>
      </c>
      <c r="K523">
        <v>289.67875761440496</v>
      </c>
      <c r="L523">
        <v>4.489578230453712</v>
      </c>
      <c r="M523">
        <v>417.71223244513249</v>
      </c>
      <c r="N523">
        <v>4.8176479362552165</v>
      </c>
      <c r="O523">
        <v>394.12276424115663</v>
      </c>
      <c r="P523">
        <v>4.4625789193323326</v>
      </c>
    </row>
    <row r="524" spans="4:16" x14ac:dyDescent="0.55000000000000004">
      <c r="D524">
        <v>517</v>
      </c>
      <c r="E524">
        <v>8.1298923329739932</v>
      </c>
      <c r="F524">
        <v>1.8701076670260062</v>
      </c>
      <c r="G524">
        <v>6.8633472433408604</v>
      </c>
      <c r="H524">
        <v>3.1366527566591405</v>
      </c>
      <c r="I524">
        <v>423.21571173486603</v>
      </c>
      <c r="J524">
        <v>4.7091443111221327</v>
      </c>
      <c r="K524">
        <v>394.66753101687021</v>
      </c>
      <c r="L524">
        <v>4.3619968318527746</v>
      </c>
      <c r="M524">
        <v>407.28350013849126</v>
      </c>
      <c r="N524">
        <v>4.7544563311898536</v>
      </c>
      <c r="O524">
        <v>384.99177974946457</v>
      </c>
      <c r="P524">
        <v>4.4030090893444331</v>
      </c>
    </row>
    <row r="525" spans="4:16" x14ac:dyDescent="0.55000000000000004">
      <c r="D525">
        <v>518</v>
      </c>
      <c r="E525">
        <v>7.1053101857630816</v>
      </c>
      <c r="F525">
        <v>2.894689814236918</v>
      </c>
      <c r="G525">
        <v>6.1441232075408649</v>
      </c>
      <c r="H525">
        <v>3.8558767924591359</v>
      </c>
      <c r="I525">
        <v>369.1208379393496</v>
      </c>
      <c r="J525">
        <v>4.8059204765245669</v>
      </c>
      <c r="K525">
        <v>345.57107493347763</v>
      </c>
      <c r="L525">
        <v>4.4515354100394413</v>
      </c>
      <c r="M525">
        <v>369.18717796646365</v>
      </c>
      <c r="N525">
        <v>4.8321750249998674</v>
      </c>
      <c r="O525">
        <v>350.16845947897946</v>
      </c>
      <c r="P525">
        <v>4.4754075870239207</v>
      </c>
    </row>
    <row r="526" spans="4:16" x14ac:dyDescent="0.55000000000000004">
      <c r="D526">
        <v>519</v>
      </c>
      <c r="E526">
        <v>6.5639603683162111</v>
      </c>
      <c r="F526">
        <v>3.4360396316837889</v>
      </c>
      <c r="G526">
        <v>5.4851974398842973</v>
      </c>
      <c r="H526">
        <v>4.5148025601157009</v>
      </c>
      <c r="I526">
        <v>309.92014417535262</v>
      </c>
      <c r="J526">
        <v>4.8658623685801414</v>
      </c>
      <c r="K526">
        <v>290.84281384142531</v>
      </c>
      <c r="L526">
        <v>4.5073520321740377</v>
      </c>
      <c r="M526">
        <v>308.98589967192248</v>
      </c>
      <c r="N526">
        <v>4.8879073987088839</v>
      </c>
      <c r="O526">
        <v>294.38760180714297</v>
      </c>
      <c r="P526">
        <v>4.527458476451697</v>
      </c>
    </row>
    <row r="527" spans="4:16" x14ac:dyDescent="0.55000000000000004">
      <c r="D527">
        <v>520</v>
      </c>
      <c r="E527">
        <v>7.4312443425073216</v>
      </c>
      <c r="F527">
        <v>2.5687556574926793</v>
      </c>
      <c r="G527">
        <v>6.2901352773638326</v>
      </c>
      <c r="H527">
        <v>3.7098647226361687</v>
      </c>
      <c r="I527">
        <v>365.22642526258147</v>
      </c>
      <c r="J527">
        <v>4.7917607021875748</v>
      </c>
      <c r="K527">
        <v>341.44130285897518</v>
      </c>
      <c r="L527">
        <v>4.4385548816692255</v>
      </c>
      <c r="M527">
        <v>359.14386822524068</v>
      </c>
      <c r="N527">
        <v>4.8237370091828451</v>
      </c>
      <c r="O527">
        <v>340.49174327502294</v>
      </c>
      <c r="P527">
        <v>4.467604533550209</v>
      </c>
    </row>
    <row r="528" spans="4:16" x14ac:dyDescent="0.55000000000000004">
      <c r="D528">
        <v>521</v>
      </c>
      <c r="E528">
        <v>6.3504740920964116</v>
      </c>
      <c r="F528">
        <v>3.6495259079035876</v>
      </c>
      <c r="G528">
        <v>7.1558111700316056</v>
      </c>
      <c r="H528">
        <v>2.8441888299683953</v>
      </c>
      <c r="I528">
        <v>328.39554059872364</v>
      </c>
      <c r="J528">
        <v>4.7649442448443979</v>
      </c>
      <c r="K528">
        <v>308.56156816006211</v>
      </c>
      <c r="L528">
        <v>4.4123735489931777</v>
      </c>
      <c r="M528">
        <v>420.04110929758235</v>
      </c>
      <c r="N528">
        <v>4.7351355861106397</v>
      </c>
      <c r="O528">
        <v>396.39332308213659</v>
      </c>
      <c r="P528">
        <v>4.3852947046646058</v>
      </c>
    </row>
    <row r="529" spans="4:16" x14ac:dyDescent="0.55000000000000004">
      <c r="D529">
        <v>522</v>
      </c>
      <c r="E529">
        <v>7.2164068577041816</v>
      </c>
      <c r="F529">
        <v>2.7835931422958162</v>
      </c>
      <c r="G529">
        <v>5.6180319502891205</v>
      </c>
      <c r="H529">
        <v>4.3819680497108804</v>
      </c>
      <c r="I529">
        <v>375.28589977726938</v>
      </c>
      <c r="J529">
        <v>4.8511747329725026</v>
      </c>
      <c r="K529">
        <v>351.18675056646231</v>
      </c>
      <c r="L529">
        <v>4.4939643499113391</v>
      </c>
      <c r="M529">
        <v>342.16315224671985</v>
      </c>
      <c r="N529">
        <v>4.8841383084882244</v>
      </c>
      <c r="O529">
        <v>325.53627284705226</v>
      </c>
      <c r="P529">
        <v>4.5239646844670247</v>
      </c>
    </row>
    <row r="530" spans="4:16" x14ac:dyDescent="0.55000000000000004">
      <c r="D530">
        <v>523</v>
      </c>
      <c r="E530">
        <v>7.660807784455919</v>
      </c>
      <c r="F530">
        <v>2.339192215544081</v>
      </c>
      <c r="G530">
        <v>5.7320546878942515</v>
      </c>
      <c r="H530">
        <v>4.2679453121057485</v>
      </c>
      <c r="I530">
        <v>395.75933609547002</v>
      </c>
      <c r="J530">
        <v>4.8678396464518627</v>
      </c>
      <c r="K530">
        <v>369.64409368453215</v>
      </c>
      <c r="L530">
        <v>4.5097933391542391</v>
      </c>
      <c r="M530">
        <v>346.1194460911629</v>
      </c>
      <c r="N530">
        <v>4.9011135123835823</v>
      </c>
      <c r="O530">
        <v>329.04912377656922</v>
      </c>
      <c r="P530">
        <v>4.5400467334792962</v>
      </c>
    </row>
    <row r="531" spans="4:16" x14ac:dyDescent="0.55000000000000004">
      <c r="D531">
        <v>524</v>
      </c>
      <c r="E531">
        <v>6.2996747865172793</v>
      </c>
      <c r="F531">
        <v>3.7003252134827207</v>
      </c>
      <c r="G531">
        <v>6.0579075020376516</v>
      </c>
      <c r="H531">
        <v>3.9420924979623475</v>
      </c>
      <c r="I531">
        <v>317.01784017981555</v>
      </c>
      <c r="J531">
        <v>4.80567816957935</v>
      </c>
      <c r="K531">
        <v>297.56864296528397</v>
      </c>
      <c r="L531">
        <v>4.4508326444091715</v>
      </c>
      <c r="M531">
        <v>354.8514117610174</v>
      </c>
      <c r="N531">
        <v>4.8131358023696116</v>
      </c>
      <c r="O531">
        <v>336.45621060866273</v>
      </c>
      <c r="P531">
        <v>4.4576442112116563</v>
      </c>
    </row>
    <row r="532" spans="4:16" x14ac:dyDescent="0.55000000000000004">
      <c r="D532">
        <v>525</v>
      </c>
      <c r="E532">
        <v>7.8174035940859685</v>
      </c>
      <c r="F532">
        <v>2.1825964059140301</v>
      </c>
      <c r="G532">
        <v>5.6140227848272346</v>
      </c>
      <c r="H532">
        <v>4.3859772151727663</v>
      </c>
      <c r="I532">
        <v>380.54219519685637</v>
      </c>
      <c r="J532">
        <v>4.7373949076798274</v>
      </c>
      <c r="K532">
        <v>355.05789680119932</v>
      </c>
      <c r="L532">
        <v>4.3882138850164782</v>
      </c>
      <c r="M532">
        <v>323.28415742018689</v>
      </c>
      <c r="N532">
        <v>4.8114116849726907</v>
      </c>
      <c r="O532">
        <v>307.33623037243137</v>
      </c>
      <c r="P532">
        <v>4.4556497897810816</v>
      </c>
    </row>
    <row r="533" spans="4:16" x14ac:dyDescent="0.55000000000000004">
      <c r="D533">
        <v>526</v>
      </c>
      <c r="E533">
        <v>7.2793076266955197</v>
      </c>
      <c r="F533">
        <v>2.7206923733044794</v>
      </c>
      <c r="G533">
        <v>7.5572494875870388</v>
      </c>
      <c r="H533">
        <v>2.4427505124129607</v>
      </c>
      <c r="I533">
        <v>355.01252879918201</v>
      </c>
      <c r="J533">
        <v>4.9208406018378863</v>
      </c>
      <c r="K533">
        <v>331.66858538183021</v>
      </c>
      <c r="L533">
        <v>4.5592784860758426</v>
      </c>
      <c r="M533">
        <v>418.56777992394348</v>
      </c>
      <c r="N533">
        <v>4.9178181014078266</v>
      </c>
      <c r="O533">
        <v>394.0057150846261</v>
      </c>
      <c r="P533">
        <v>4.5565275979152915</v>
      </c>
    </row>
    <row r="534" spans="4:16" x14ac:dyDescent="0.55000000000000004">
      <c r="D534">
        <v>527</v>
      </c>
      <c r="E534">
        <v>6.6830486085496421</v>
      </c>
      <c r="F534">
        <v>3.3169513914503566</v>
      </c>
      <c r="G534">
        <v>5.452138515826757</v>
      </c>
      <c r="H534">
        <v>4.547861484173243</v>
      </c>
      <c r="I534">
        <v>324.84804353070797</v>
      </c>
      <c r="J534">
        <v>4.9162085816432315</v>
      </c>
      <c r="K534">
        <v>304.51985521279431</v>
      </c>
      <c r="L534">
        <v>4.5546847785936508</v>
      </c>
      <c r="M534">
        <v>315.01625734981877</v>
      </c>
      <c r="N534">
        <v>4.9316416135692558</v>
      </c>
      <c r="O534">
        <v>299.88071470923472</v>
      </c>
      <c r="P534">
        <v>4.5687784176712567</v>
      </c>
    </row>
    <row r="535" spans="4:16" x14ac:dyDescent="0.55000000000000004">
      <c r="D535">
        <v>528</v>
      </c>
      <c r="E535">
        <v>7.1702662002296416</v>
      </c>
      <c r="F535">
        <v>2.8297337997703598</v>
      </c>
      <c r="G535">
        <v>5.8788201737667967</v>
      </c>
      <c r="H535">
        <v>4.1211798262332033</v>
      </c>
      <c r="I535">
        <v>350.63564925842172</v>
      </c>
      <c r="J535">
        <v>4.8481211368714279</v>
      </c>
      <c r="K535">
        <v>327.89155587922096</v>
      </c>
      <c r="L535">
        <v>4.4912055447584134</v>
      </c>
      <c r="M535">
        <v>337.4822037201647</v>
      </c>
      <c r="N535">
        <v>4.8754762376185674</v>
      </c>
      <c r="O535">
        <v>320.27726565510767</v>
      </c>
      <c r="P535">
        <v>4.5161613440837369</v>
      </c>
    </row>
    <row r="536" spans="4:16" x14ac:dyDescent="0.55000000000000004">
      <c r="D536">
        <v>529</v>
      </c>
      <c r="E536">
        <v>6.0725038360847945</v>
      </c>
      <c r="F536">
        <v>3.9274961639152068</v>
      </c>
      <c r="G536">
        <v>6.4670542887196483</v>
      </c>
      <c r="H536">
        <v>3.5329457112803504</v>
      </c>
      <c r="I536">
        <v>272.79733569545897</v>
      </c>
      <c r="J536">
        <v>4.914007208488929</v>
      </c>
      <c r="K536">
        <v>256.55109675291993</v>
      </c>
      <c r="L536">
        <v>4.5523611810508608</v>
      </c>
      <c r="M536">
        <v>340.52187160050687</v>
      </c>
      <c r="N536">
        <v>4.9084199753261579</v>
      </c>
      <c r="O536">
        <v>322.70409440533518</v>
      </c>
      <c r="P536">
        <v>4.547269337481854</v>
      </c>
    </row>
    <row r="537" spans="4:16" x14ac:dyDescent="0.55000000000000004">
      <c r="D537">
        <v>530</v>
      </c>
      <c r="E537">
        <v>6.7833485363552892</v>
      </c>
      <c r="F537">
        <v>3.2166514636447121</v>
      </c>
      <c r="G537">
        <v>5.3597272432352652</v>
      </c>
      <c r="H537">
        <v>4.6402727567647348</v>
      </c>
      <c r="I537">
        <v>338.48199706167884</v>
      </c>
      <c r="J537">
        <v>4.7631929048972861</v>
      </c>
      <c r="K537">
        <v>317.40031479165788</v>
      </c>
      <c r="L537">
        <v>4.41117470375272</v>
      </c>
      <c r="M537">
        <v>317.4447835420998</v>
      </c>
      <c r="N537">
        <v>4.8128916077050974</v>
      </c>
      <c r="O537">
        <v>302.66732593560857</v>
      </c>
      <c r="P537">
        <v>4.4564628761854888</v>
      </c>
    </row>
    <row r="538" spans="4:16" x14ac:dyDescent="0.55000000000000004">
      <c r="D538">
        <v>531</v>
      </c>
      <c r="E538">
        <v>6.7225330233523533</v>
      </c>
      <c r="F538">
        <v>3.2774669766476485</v>
      </c>
      <c r="G538">
        <v>4.9024182729263392</v>
      </c>
      <c r="H538">
        <v>5.0975817270736616</v>
      </c>
      <c r="I538">
        <v>328.69457593242555</v>
      </c>
      <c r="J538">
        <v>4.8854850541980719</v>
      </c>
      <c r="K538">
        <v>308.22800151564934</v>
      </c>
      <c r="L538">
        <v>4.5258482058925686</v>
      </c>
      <c r="M538">
        <v>289.7010605474623</v>
      </c>
      <c r="N538">
        <v>4.916489787276257</v>
      </c>
      <c r="O538">
        <v>276.94728658356996</v>
      </c>
      <c r="P538">
        <v>4.5541658519589356</v>
      </c>
    </row>
    <row r="539" spans="4:16" x14ac:dyDescent="0.55000000000000004">
      <c r="D539">
        <v>532</v>
      </c>
      <c r="E539">
        <v>6.9183512993728238</v>
      </c>
      <c r="F539">
        <v>3.0816487006271758</v>
      </c>
      <c r="G539">
        <v>7.2674016157333536</v>
      </c>
      <c r="H539">
        <v>2.732598384266645</v>
      </c>
      <c r="I539">
        <v>336.71371209311422</v>
      </c>
      <c r="J539">
        <v>4.8841795534017365</v>
      </c>
      <c r="K539">
        <v>315.39005961132449</v>
      </c>
      <c r="L539">
        <v>4.5247470523622919</v>
      </c>
      <c r="M539">
        <v>403.70186760058101</v>
      </c>
      <c r="N539">
        <v>4.8783360855324771</v>
      </c>
      <c r="O539">
        <v>380.81909554408668</v>
      </c>
      <c r="P539">
        <v>4.5194398796273152</v>
      </c>
    </row>
    <row r="540" spans="4:16" x14ac:dyDescent="0.55000000000000004">
      <c r="D540">
        <v>533</v>
      </c>
      <c r="E540">
        <v>5.9034529986263919</v>
      </c>
      <c r="F540">
        <v>4.0965470013736081</v>
      </c>
      <c r="G540">
        <v>6.1345763949926466</v>
      </c>
      <c r="H540">
        <v>3.8654236050073543</v>
      </c>
      <c r="I540">
        <v>293.98624780680348</v>
      </c>
      <c r="J540">
        <v>4.8190184100108926</v>
      </c>
      <c r="K540">
        <v>276.58641870141855</v>
      </c>
      <c r="L540">
        <v>4.4629626981034889</v>
      </c>
      <c r="M540">
        <v>355.49596933654038</v>
      </c>
      <c r="N540">
        <v>4.8119328823090912</v>
      </c>
      <c r="O540">
        <v>337.09811513364627</v>
      </c>
      <c r="P540">
        <v>4.4564915670625647</v>
      </c>
    </row>
    <row r="541" spans="4:16" x14ac:dyDescent="0.55000000000000004">
      <c r="D541">
        <v>534</v>
      </c>
      <c r="E541">
        <v>6.4827155217234385</v>
      </c>
      <c r="F541">
        <v>3.5172844782765624</v>
      </c>
      <c r="G541">
        <v>5.8399448280768897</v>
      </c>
      <c r="H541">
        <v>4.1600551719231111</v>
      </c>
      <c r="I541">
        <v>311.19068156607221</v>
      </c>
      <c r="J541">
        <v>4.8205645818139971</v>
      </c>
      <c r="K541">
        <v>292.1329106786722</v>
      </c>
      <c r="L541">
        <v>4.4647862052651686</v>
      </c>
      <c r="M541">
        <v>330.33567187510414</v>
      </c>
      <c r="N541">
        <v>4.8383558650849805</v>
      </c>
      <c r="O541">
        <v>314.00925658926525</v>
      </c>
      <c r="P541">
        <v>4.4810025636954904</v>
      </c>
    </row>
    <row r="542" spans="4:16" x14ac:dyDescent="0.55000000000000004">
      <c r="D542">
        <v>535</v>
      </c>
      <c r="E542">
        <v>6.5549271013046928</v>
      </c>
      <c r="F542">
        <v>3.4450728986953072</v>
      </c>
      <c r="G542">
        <v>5.7867319630347342</v>
      </c>
      <c r="H542">
        <v>4.2132680369652658</v>
      </c>
      <c r="I542">
        <v>321.9124796487838</v>
      </c>
      <c r="J542">
        <v>4.8616190535740547</v>
      </c>
      <c r="K542">
        <v>301.95579310630421</v>
      </c>
      <c r="L542">
        <v>4.5034305979224438</v>
      </c>
      <c r="M542">
        <v>334.18641527113391</v>
      </c>
      <c r="N542">
        <v>4.8778364071205873</v>
      </c>
      <c r="O542">
        <v>317.53034741668489</v>
      </c>
      <c r="P542">
        <v>4.518229110117006</v>
      </c>
    </row>
    <row r="543" spans="4:16" x14ac:dyDescent="0.55000000000000004">
      <c r="D543">
        <v>536</v>
      </c>
      <c r="E543">
        <v>6.7598034483405769</v>
      </c>
      <c r="F543">
        <v>3.2401965516594236</v>
      </c>
      <c r="G543">
        <v>6.6456732441355895</v>
      </c>
      <c r="H543">
        <v>3.3543267558644105</v>
      </c>
      <c r="I543">
        <v>326.51832256517872</v>
      </c>
      <c r="J543">
        <v>4.9057030031596529</v>
      </c>
      <c r="K543">
        <v>306.22861120227179</v>
      </c>
      <c r="L543">
        <v>4.5447953158415366</v>
      </c>
      <c r="M543">
        <v>371.0054991353523</v>
      </c>
      <c r="N543">
        <v>4.9072950813299077</v>
      </c>
      <c r="O543">
        <v>351.22111360063883</v>
      </c>
      <c r="P543">
        <v>4.5462414582258583</v>
      </c>
    </row>
    <row r="544" spans="4:16" x14ac:dyDescent="0.55000000000000004">
      <c r="D544">
        <v>537</v>
      </c>
      <c r="E544">
        <v>7.2316151987707462</v>
      </c>
      <c r="F544">
        <v>2.7683848012292529</v>
      </c>
      <c r="G544">
        <v>5.5199711947855503</v>
      </c>
      <c r="H544">
        <v>4.4800288052144488</v>
      </c>
      <c r="I544">
        <v>356.24856717856767</v>
      </c>
      <c r="J544">
        <v>4.8188231456810637</v>
      </c>
      <c r="K544">
        <v>333.39886057464895</v>
      </c>
      <c r="L544">
        <v>4.4636765271354939</v>
      </c>
      <c r="M544">
        <v>321.92843852416092</v>
      </c>
      <c r="N544">
        <v>4.8617057200205585</v>
      </c>
      <c r="O544">
        <v>306.68221661088256</v>
      </c>
      <c r="P544">
        <v>4.5026922074997433</v>
      </c>
    </row>
    <row r="545" spans="4:16" x14ac:dyDescent="0.55000000000000004">
      <c r="D545">
        <v>538</v>
      </c>
      <c r="E545">
        <v>6.3593482159823935</v>
      </c>
      <c r="F545">
        <v>3.6406517840176069</v>
      </c>
      <c r="G545">
        <v>5.7421248941829637</v>
      </c>
      <c r="H545">
        <v>4.2578751058170363</v>
      </c>
      <c r="I545">
        <v>312.42564195679307</v>
      </c>
      <c r="J545">
        <v>4.8752942496437237</v>
      </c>
      <c r="K545">
        <v>293.41799193704173</v>
      </c>
      <c r="L545">
        <v>4.5161139542779978</v>
      </c>
      <c r="M545">
        <v>332.10234686512746</v>
      </c>
      <c r="N545">
        <v>4.8873978953112065</v>
      </c>
      <c r="O545">
        <v>315.75278434245149</v>
      </c>
      <c r="P545">
        <v>4.5271566153420437</v>
      </c>
    </row>
    <row r="546" spans="4:16" x14ac:dyDescent="0.55000000000000004">
      <c r="D546">
        <v>539</v>
      </c>
      <c r="E546">
        <v>7.2695118264281264</v>
      </c>
      <c r="F546">
        <v>2.7304881735718722</v>
      </c>
      <c r="G546">
        <v>5.9926616514569373</v>
      </c>
      <c r="H546">
        <v>4.0073383485430645</v>
      </c>
      <c r="I546">
        <v>346.43889668261414</v>
      </c>
      <c r="J546">
        <v>4.7746897880528341</v>
      </c>
      <c r="K546">
        <v>324.12378323334553</v>
      </c>
      <c r="L546">
        <v>4.422435395754623</v>
      </c>
      <c r="M546">
        <v>335.58879059462794</v>
      </c>
      <c r="N546">
        <v>4.814264300126899</v>
      </c>
      <c r="O546">
        <v>318.80414000090843</v>
      </c>
      <c r="P546">
        <v>4.4584131126359958</v>
      </c>
    </row>
    <row r="547" spans="4:16" x14ac:dyDescent="0.55000000000000004">
      <c r="D547">
        <v>540</v>
      </c>
      <c r="E547">
        <v>6.5108177029269445</v>
      </c>
      <c r="F547">
        <v>3.4891822970730555</v>
      </c>
      <c r="G547">
        <v>6.0464913510181919</v>
      </c>
      <c r="H547">
        <v>3.9535086489818081</v>
      </c>
      <c r="I547">
        <v>306.9734421289308</v>
      </c>
      <c r="J547">
        <v>4.7630584365400646</v>
      </c>
      <c r="K547">
        <v>288.08551470133256</v>
      </c>
      <c r="L547">
        <v>4.4108700732651549</v>
      </c>
      <c r="M547">
        <v>335.08128279961619</v>
      </c>
      <c r="N547">
        <v>4.779956192981234</v>
      </c>
      <c r="O547">
        <v>318.13476327446784</v>
      </c>
      <c r="P547">
        <v>4.4262693280101182</v>
      </c>
    </row>
    <row r="548" spans="4:16" x14ac:dyDescent="0.55000000000000004">
      <c r="D548">
        <v>541</v>
      </c>
      <c r="E548">
        <v>6.3973738866624101</v>
      </c>
      <c r="F548">
        <v>3.6026261133375899</v>
      </c>
      <c r="G548">
        <v>5.7220817030075777</v>
      </c>
      <c r="H548">
        <v>4.2779182969924214</v>
      </c>
      <c r="I548">
        <v>306.22737856712126</v>
      </c>
      <c r="J548">
        <v>4.8549135703069473</v>
      </c>
      <c r="K548">
        <v>287.75125838295293</v>
      </c>
      <c r="L548">
        <v>4.4969000454624082</v>
      </c>
      <c r="M548">
        <v>323.90271553646437</v>
      </c>
      <c r="N548">
        <v>4.8702285626243995</v>
      </c>
      <c r="O548">
        <v>308.31248161979312</v>
      </c>
      <c r="P548">
        <v>4.5108477435261243</v>
      </c>
    </row>
    <row r="549" spans="4:16" x14ac:dyDescent="0.55000000000000004">
      <c r="D549">
        <v>542</v>
      </c>
      <c r="E549">
        <v>6.8209550980645393</v>
      </c>
      <c r="F549">
        <v>3.1790449019354603</v>
      </c>
      <c r="G549">
        <v>5.6890961706937269</v>
      </c>
      <c r="H549">
        <v>4.310903829306274</v>
      </c>
      <c r="I549">
        <v>339.87820561701</v>
      </c>
      <c r="J549">
        <v>4.7578729956750179</v>
      </c>
      <c r="K549">
        <v>318.41115982251466</v>
      </c>
      <c r="L549">
        <v>4.4063987152119655</v>
      </c>
      <c r="M549">
        <v>333.47933248038089</v>
      </c>
      <c r="N549">
        <v>4.79805118296151</v>
      </c>
      <c r="O549">
        <v>316.95430481902628</v>
      </c>
      <c r="P549">
        <v>4.4430562411964916</v>
      </c>
    </row>
    <row r="550" spans="4:16" x14ac:dyDescent="0.55000000000000004">
      <c r="D550">
        <v>543</v>
      </c>
      <c r="E550">
        <v>5.8645327239175469</v>
      </c>
      <c r="F550">
        <v>4.1354672760824531</v>
      </c>
      <c r="G550">
        <v>5.5136716626671323</v>
      </c>
      <c r="H550">
        <v>4.4863283373328668</v>
      </c>
      <c r="I550">
        <v>290.49177005190484</v>
      </c>
      <c r="J550">
        <v>4.7310467778490821</v>
      </c>
      <c r="K550">
        <v>273.41912812655494</v>
      </c>
      <c r="L550">
        <v>4.3800863035673236</v>
      </c>
      <c r="M550">
        <v>323.1123375339057</v>
      </c>
      <c r="N550">
        <v>4.7471376102125422</v>
      </c>
      <c r="O550">
        <v>307.52404431973906</v>
      </c>
      <c r="P550">
        <v>4.3948028444367537</v>
      </c>
    </row>
    <row r="551" spans="4:16" x14ac:dyDescent="0.55000000000000004">
      <c r="D551">
        <v>544</v>
      </c>
      <c r="E551">
        <v>7.2419166598320945</v>
      </c>
      <c r="F551">
        <v>2.758083340167905</v>
      </c>
      <c r="G551">
        <v>5.957020214000817</v>
      </c>
      <c r="H551">
        <v>4.042979785999183</v>
      </c>
      <c r="I551">
        <v>383.87213732329616</v>
      </c>
      <c r="J551">
        <v>4.7259049634296373</v>
      </c>
      <c r="K551">
        <v>359.01609726252229</v>
      </c>
      <c r="L551">
        <v>4.3768855818642169</v>
      </c>
      <c r="M551">
        <v>365.7636560926112</v>
      </c>
      <c r="N551">
        <v>4.7745362519202477</v>
      </c>
      <c r="O551">
        <v>346.98630124556729</v>
      </c>
      <c r="P551">
        <v>4.4211765255265343</v>
      </c>
    </row>
    <row r="552" spans="4:16" x14ac:dyDescent="0.55000000000000004">
      <c r="D552">
        <v>545</v>
      </c>
      <c r="E552">
        <v>5.9814644201387539</v>
      </c>
      <c r="F552">
        <v>4.0185355798612461</v>
      </c>
      <c r="G552">
        <v>5.8919961199979998</v>
      </c>
      <c r="H552">
        <v>4.1080038800020002</v>
      </c>
      <c r="I552">
        <v>322.68848474004511</v>
      </c>
      <c r="J552">
        <v>4.8445964534564565</v>
      </c>
      <c r="K552">
        <v>303.71754507041675</v>
      </c>
      <c r="L552">
        <v>4.4869654051649324</v>
      </c>
      <c r="M552">
        <v>367.86184226976906</v>
      </c>
      <c r="N552">
        <v>4.8469209161914169</v>
      </c>
      <c r="O552">
        <v>349.31433878842881</v>
      </c>
      <c r="P552">
        <v>4.4890859452670542</v>
      </c>
    </row>
    <row r="553" spans="4:16" x14ac:dyDescent="0.55000000000000004">
      <c r="D553">
        <v>546</v>
      </c>
      <c r="E553">
        <v>5.6201771894040977</v>
      </c>
      <c r="F553">
        <v>4.3798228105959014</v>
      </c>
      <c r="G553">
        <v>6.3378674089445255</v>
      </c>
      <c r="H553">
        <v>3.6621325910554754</v>
      </c>
      <c r="I553">
        <v>275.23516155434578</v>
      </c>
      <c r="J553">
        <v>4.8751944186205218</v>
      </c>
      <c r="K553">
        <v>259.78530512238638</v>
      </c>
      <c r="L553">
        <v>4.515432904020102</v>
      </c>
      <c r="M553">
        <v>360.3823778900869</v>
      </c>
      <c r="N553">
        <v>4.8592568881688187</v>
      </c>
      <c r="O553">
        <v>341.79457583277821</v>
      </c>
      <c r="P553">
        <v>4.5009182772624508</v>
      </c>
    </row>
    <row r="554" spans="4:16" x14ac:dyDescent="0.55000000000000004">
      <c r="D554">
        <v>547</v>
      </c>
      <c r="E554">
        <v>6.8716770953147392</v>
      </c>
      <c r="F554">
        <v>3.1283229046852608</v>
      </c>
      <c r="G554">
        <v>5.5188222533282838</v>
      </c>
      <c r="H554">
        <v>4.4811777466717153</v>
      </c>
      <c r="I554">
        <v>355.27513074619003</v>
      </c>
      <c r="J554">
        <v>4.8777292460591255</v>
      </c>
      <c r="K554">
        <v>332.39207722934634</v>
      </c>
      <c r="L554">
        <v>4.5188373673342577</v>
      </c>
      <c r="M554">
        <v>335.33067989371023</v>
      </c>
      <c r="N554">
        <v>4.9018011835509245</v>
      </c>
      <c r="O554">
        <v>318.35719788796905</v>
      </c>
      <c r="P554">
        <v>4.5408754789215742</v>
      </c>
    </row>
    <row r="555" spans="4:16" x14ac:dyDescent="0.55000000000000004">
      <c r="D555">
        <v>548</v>
      </c>
      <c r="E555">
        <v>7.1260270541570119</v>
      </c>
      <c r="F555">
        <v>2.8739729458429903</v>
      </c>
      <c r="G555">
        <v>5.9766867978509399</v>
      </c>
      <c r="H555">
        <v>4.023313202149061</v>
      </c>
      <c r="I555">
        <v>369.11449497529009</v>
      </c>
      <c r="J555">
        <v>4.7808660792403908</v>
      </c>
      <c r="K555">
        <v>345.24015679106566</v>
      </c>
      <c r="L555">
        <v>4.4282724056659744</v>
      </c>
      <c r="M555">
        <v>359.58088037671735</v>
      </c>
      <c r="N555">
        <v>4.8162096773964311</v>
      </c>
      <c r="O555">
        <v>340.94123684192283</v>
      </c>
      <c r="P555">
        <v>4.4605082982777349</v>
      </c>
    </row>
    <row r="556" spans="4:16" x14ac:dyDescent="0.55000000000000004">
      <c r="D556">
        <v>549</v>
      </c>
      <c r="E556">
        <v>6.3867673780630785</v>
      </c>
      <c r="F556">
        <v>3.6132326219369215</v>
      </c>
      <c r="G556">
        <v>6.8148754716327797</v>
      </c>
      <c r="H556">
        <v>3.1851245283672198</v>
      </c>
      <c r="I556">
        <v>308.28115777989132</v>
      </c>
      <c r="J556">
        <v>4.8479726037296436</v>
      </c>
      <c r="K556">
        <v>289.31525978976293</v>
      </c>
      <c r="L556">
        <v>4.4905582836272258</v>
      </c>
      <c r="M556">
        <v>378.94539227102365</v>
      </c>
      <c r="N556">
        <v>4.837782134132893</v>
      </c>
      <c r="O556">
        <v>358.14133050454808</v>
      </c>
      <c r="P556">
        <v>4.4812742958110965</v>
      </c>
    </row>
    <row r="557" spans="4:16" x14ac:dyDescent="0.55000000000000004">
      <c r="D557">
        <v>550</v>
      </c>
      <c r="E557">
        <v>6.6217903487075551</v>
      </c>
      <c r="F557">
        <v>3.3782096512924453</v>
      </c>
      <c r="G557">
        <v>6.7422781132542413</v>
      </c>
      <c r="H557">
        <v>3.2577218867457569</v>
      </c>
      <c r="I557">
        <v>306.33387067624778</v>
      </c>
      <c r="J557">
        <v>4.8317293865036497</v>
      </c>
      <c r="K557">
        <v>287.23741528982242</v>
      </c>
      <c r="L557">
        <v>4.4754518947858344</v>
      </c>
      <c r="M557">
        <v>361.90781387575106</v>
      </c>
      <c r="N557">
        <v>4.8286675936966592</v>
      </c>
      <c r="O557">
        <v>342.31170742749066</v>
      </c>
      <c r="P557">
        <v>4.4726645626205066</v>
      </c>
    </row>
    <row r="558" spans="4:16" x14ac:dyDescent="0.55000000000000004">
      <c r="D558">
        <v>551</v>
      </c>
      <c r="E558">
        <v>7.1172864120128843</v>
      </c>
      <c r="F558">
        <v>2.882713587987114</v>
      </c>
      <c r="G558">
        <v>6.9666471780329537</v>
      </c>
      <c r="H558">
        <v>3.0333528219670454</v>
      </c>
      <c r="I558">
        <v>353.64981144161311</v>
      </c>
      <c r="J558">
        <v>4.9237905097091232</v>
      </c>
      <c r="K558">
        <v>331.08200365039835</v>
      </c>
      <c r="L558">
        <v>4.5618864787688791</v>
      </c>
      <c r="M558">
        <v>396.16472040989714</v>
      </c>
      <c r="N558">
        <v>4.9254035035630803</v>
      </c>
      <c r="O558">
        <v>374.28918611059237</v>
      </c>
      <c r="P558">
        <v>4.5633502916866284</v>
      </c>
    </row>
    <row r="559" spans="4:16" x14ac:dyDescent="0.55000000000000004">
      <c r="D559">
        <v>552</v>
      </c>
      <c r="E559">
        <v>4.831001794436184</v>
      </c>
      <c r="F559">
        <v>5.1689982055638168</v>
      </c>
      <c r="G559">
        <v>5.2549804688324988</v>
      </c>
      <c r="H559">
        <v>4.7450195311675012</v>
      </c>
      <c r="I559">
        <v>247.30448094432199</v>
      </c>
      <c r="J559">
        <v>4.8667317752917825</v>
      </c>
      <c r="K559">
        <v>234.5111486685033</v>
      </c>
      <c r="L559">
        <v>4.506858623771425</v>
      </c>
      <c r="M559">
        <v>319.00843189789003</v>
      </c>
      <c r="N559">
        <v>4.8550358812194565</v>
      </c>
      <c r="O559">
        <v>304.39777065753913</v>
      </c>
      <c r="P559">
        <v>4.4961420577075888</v>
      </c>
    </row>
    <row r="560" spans="4:16" x14ac:dyDescent="0.55000000000000004">
      <c r="D560">
        <v>553</v>
      </c>
      <c r="E560">
        <v>5.024480416722529</v>
      </c>
      <c r="F560">
        <v>4.975519583277471</v>
      </c>
      <c r="G560">
        <v>6.2431849187130712</v>
      </c>
      <c r="H560">
        <v>3.7568150812869301</v>
      </c>
      <c r="I560">
        <v>248.75104539876162</v>
      </c>
      <c r="J560">
        <v>4.9184081580329737</v>
      </c>
      <c r="K560">
        <v>235.53944695295047</v>
      </c>
      <c r="L560">
        <v>4.5559743788630627</v>
      </c>
      <c r="M560">
        <v>359.08644204860508</v>
      </c>
      <c r="N560">
        <v>4.8986177843258805</v>
      </c>
      <c r="O560">
        <v>340.63470328892765</v>
      </c>
      <c r="P560">
        <v>4.5379028027581612</v>
      </c>
    </row>
    <row r="561" spans="4:16" x14ac:dyDescent="0.55000000000000004">
      <c r="D561">
        <v>554</v>
      </c>
      <c r="E561">
        <v>7.1216844807560182</v>
      </c>
      <c r="F561">
        <v>2.8783155192439822</v>
      </c>
      <c r="G561">
        <v>6.2690379320656007</v>
      </c>
      <c r="H561">
        <v>3.7309620679344002</v>
      </c>
      <c r="I561">
        <v>367.13717673254513</v>
      </c>
      <c r="J561">
        <v>4.7703525504196067</v>
      </c>
      <c r="K561">
        <v>343.51641798387266</v>
      </c>
      <c r="L561">
        <v>4.4183602743146411</v>
      </c>
      <c r="M561">
        <v>373.18153007579843</v>
      </c>
      <c r="N561">
        <v>4.7978471840037527</v>
      </c>
      <c r="O561">
        <v>353.49807916685745</v>
      </c>
      <c r="P561">
        <v>4.4433920881112225</v>
      </c>
    </row>
    <row r="562" spans="4:16" x14ac:dyDescent="0.55000000000000004">
      <c r="D562">
        <v>555</v>
      </c>
      <c r="E562">
        <v>6.7955983215348166</v>
      </c>
      <c r="F562">
        <v>3.2044016784651843</v>
      </c>
      <c r="G562">
        <v>7.198482107490765</v>
      </c>
      <c r="H562">
        <v>2.8015178925092368</v>
      </c>
      <c r="I562">
        <v>334.88012393216582</v>
      </c>
      <c r="J562">
        <v>4.7334270384142014</v>
      </c>
      <c r="K562">
        <v>313.70342397655605</v>
      </c>
      <c r="L562">
        <v>4.3835169586090412</v>
      </c>
      <c r="M562">
        <v>404.73382419335439</v>
      </c>
      <c r="N562">
        <v>4.7176229960156331</v>
      </c>
      <c r="O562">
        <v>381.76213984064486</v>
      </c>
      <c r="P562">
        <v>4.3691417687237752</v>
      </c>
    </row>
    <row r="563" spans="4:16" x14ac:dyDescent="0.55000000000000004">
      <c r="D563">
        <v>556</v>
      </c>
      <c r="E563">
        <v>7.7649675202029345</v>
      </c>
      <c r="F563">
        <v>2.2350324797970669</v>
      </c>
      <c r="G563">
        <v>6.2614261546424546</v>
      </c>
      <c r="H563">
        <v>3.7385738453575477</v>
      </c>
      <c r="I563">
        <v>393.11593832611038</v>
      </c>
      <c r="J563">
        <v>4.683221183050696</v>
      </c>
      <c r="K563">
        <v>366.99557528848368</v>
      </c>
      <c r="L563">
        <v>4.337502106765414</v>
      </c>
      <c r="M563">
        <v>366.99635724652558</v>
      </c>
      <c r="N563">
        <v>4.7445595020813149</v>
      </c>
      <c r="O563">
        <v>347.85963435777819</v>
      </c>
      <c r="P563">
        <v>4.3932129020843718</v>
      </c>
    </row>
    <row r="564" spans="4:16" x14ac:dyDescent="0.55000000000000004">
      <c r="D564">
        <v>557</v>
      </c>
      <c r="E564">
        <v>8.0823142956205576</v>
      </c>
      <c r="F564">
        <v>1.9176857043794415</v>
      </c>
      <c r="G564">
        <v>6.8439013177578039</v>
      </c>
      <c r="H564">
        <v>3.1560986822421966</v>
      </c>
      <c r="I564">
        <v>408.86680318856793</v>
      </c>
      <c r="J564">
        <v>4.719477557489939</v>
      </c>
      <c r="K564">
        <v>381.36083835467036</v>
      </c>
      <c r="L564">
        <v>4.3715820648231167</v>
      </c>
      <c r="M564">
        <v>396.21816855673421</v>
      </c>
      <c r="N564">
        <v>4.7624606215826653</v>
      </c>
      <c r="O564">
        <v>374.65369289193239</v>
      </c>
      <c r="P564">
        <v>4.4104886887625607</v>
      </c>
    </row>
    <row r="565" spans="4:16" x14ac:dyDescent="0.55000000000000004">
      <c r="D565">
        <v>558</v>
      </c>
      <c r="E565">
        <v>5.6157544799788912</v>
      </c>
      <c r="F565">
        <v>4.3842455200211097</v>
      </c>
      <c r="G565">
        <v>5.7871240575242187</v>
      </c>
      <c r="H565">
        <v>4.2128759424757831</v>
      </c>
      <c r="I565">
        <v>290.40367743664342</v>
      </c>
      <c r="J565">
        <v>4.9190367811374349</v>
      </c>
      <c r="K565">
        <v>274.26950406357588</v>
      </c>
      <c r="L565">
        <v>4.556767651903006</v>
      </c>
      <c r="M565">
        <v>349.26559540284944</v>
      </c>
      <c r="N565">
        <v>4.9165661188849006</v>
      </c>
      <c r="O565">
        <v>332.34348668487451</v>
      </c>
      <c r="P565">
        <v>4.5545166624257698</v>
      </c>
    </row>
    <row r="566" spans="4:16" x14ac:dyDescent="0.55000000000000004">
      <c r="D566">
        <v>559</v>
      </c>
      <c r="E566">
        <v>5.670635650485373</v>
      </c>
      <c r="F566">
        <v>4.3293643495146288</v>
      </c>
      <c r="G566">
        <v>6.7625172562758804</v>
      </c>
      <c r="H566">
        <v>3.2374827437241174</v>
      </c>
      <c r="I566">
        <v>268.21663379041308</v>
      </c>
      <c r="J566">
        <v>4.8285464036067651</v>
      </c>
      <c r="K566">
        <v>252.6658723164168</v>
      </c>
      <c r="L566">
        <v>4.4717197394525199</v>
      </c>
      <c r="M566">
        <v>369.8617802701969</v>
      </c>
      <c r="N566">
        <v>4.7955329921151648</v>
      </c>
      <c r="O566">
        <v>349.77616050303419</v>
      </c>
      <c r="P566">
        <v>4.4416051704096864</v>
      </c>
    </row>
    <row r="567" spans="4:16" x14ac:dyDescent="0.55000000000000004">
      <c r="D567">
        <v>560</v>
      </c>
      <c r="E567">
        <v>6.5458905214661831</v>
      </c>
      <c r="F567">
        <v>3.4541094785338178</v>
      </c>
      <c r="G567">
        <v>6.8476361446558185</v>
      </c>
      <c r="H567">
        <v>3.1523638553441842</v>
      </c>
      <c r="I567">
        <v>311.60249657714388</v>
      </c>
      <c r="J567">
        <v>4.8518916353977311</v>
      </c>
      <c r="K567">
        <v>292.27976734765798</v>
      </c>
      <c r="L567">
        <v>4.4943086948365893</v>
      </c>
      <c r="M567">
        <v>375.96642295336079</v>
      </c>
      <c r="N567">
        <v>4.8450642907255359</v>
      </c>
      <c r="O567">
        <v>355.35474875913405</v>
      </c>
      <c r="P567">
        <v>4.4880940010028407</v>
      </c>
    </row>
    <row r="568" spans="4:16" x14ac:dyDescent="0.55000000000000004">
      <c r="D568">
        <v>561</v>
      </c>
      <c r="E568">
        <v>5.7525189637904983</v>
      </c>
      <c r="F568">
        <v>4.2474810362095017</v>
      </c>
      <c r="G568">
        <v>6.0284760553715815</v>
      </c>
      <c r="H568">
        <v>3.9715239446284176</v>
      </c>
      <c r="I568">
        <v>272.20367993596074</v>
      </c>
      <c r="J568">
        <v>4.9348443895424667</v>
      </c>
      <c r="K568">
        <v>256.05921138605066</v>
      </c>
      <c r="L568">
        <v>4.5719415220668589</v>
      </c>
      <c r="M568">
        <v>335.26170483003239</v>
      </c>
      <c r="N568">
        <v>4.9317187757243781</v>
      </c>
      <c r="O568">
        <v>318.01131058512561</v>
      </c>
      <c r="P568">
        <v>4.5690806264325756</v>
      </c>
    </row>
    <row r="569" spans="4:16" x14ac:dyDescent="0.55000000000000004">
      <c r="D569">
        <v>562</v>
      </c>
      <c r="E569">
        <v>4.5585794001876225</v>
      </c>
      <c r="F569">
        <v>5.4414205998123784</v>
      </c>
      <c r="G569">
        <v>6.8178221822347602</v>
      </c>
      <c r="H569">
        <v>3.1821778177652402</v>
      </c>
      <c r="I569">
        <v>227.1447550327301</v>
      </c>
      <c r="J569">
        <v>4.9652571730079593</v>
      </c>
      <c r="K569">
        <v>215.41472610480636</v>
      </c>
      <c r="L569">
        <v>4.6002840713907576</v>
      </c>
      <c r="M569">
        <v>389.71823532934172</v>
      </c>
      <c r="N569">
        <v>4.9480385454007605</v>
      </c>
      <c r="O569">
        <v>368.37452728248979</v>
      </c>
      <c r="P569">
        <v>4.5845358998825247</v>
      </c>
    </row>
    <row r="570" spans="4:16" x14ac:dyDescent="0.55000000000000004">
      <c r="D570">
        <v>563</v>
      </c>
      <c r="E570">
        <v>6.8881258476365694</v>
      </c>
      <c r="F570">
        <v>3.1118741523634315</v>
      </c>
      <c r="G570">
        <v>7.2546792137478349</v>
      </c>
      <c r="H570">
        <v>2.7453207862521665</v>
      </c>
      <c r="I570">
        <v>310.30845041942445</v>
      </c>
      <c r="J570">
        <v>4.8663670923209494</v>
      </c>
      <c r="K570">
        <v>290.82452261365927</v>
      </c>
      <c r="L570">
        <v>4.507990493183831</v>
      </c>
      <c r="M570">
        <v>376.82159340635741</v>
      </c>
      <c r="N570">
        <v>4.8592557832048726</v>
      </c>
      <c r="O570">
        <v>355.80544467373744</v>
      </c>
      <c r="P570">
        <v>4.5015390279662544</v>
      </c>
    </row>
    <row r="571" spans="4:16" x14ac:dyDescent="0.55000000000000004">
      <c r="D571">
        <v>564</v>
      </c>
      <c r="E571">
        <v>7.1061171715082274</v>
      </c>
      <c r="F571">
        <v>2.8938828284917735</v>
      </c>
      <c r="G571">
        <v>5.5686346389336983</v>
      </c>
      <c r="H571">
        <v>4.4313653610663017</v>
      </c>
      <c r="I571">
        <v>347.87048452712776</v>
      </c>
      <c r="J571">
        <v>4.911834284432163</v>
      </c>
      <c r="K571">
        <v>325.70323677301229</v>
      </c>
      <c r="L571">
        <v>4.5506851791085765</v>
      </c>
      <c r="M571">
        <v>322.60507858882693</v>
      </c>
      <c r="N571">
        <v>4.9309098561383227</v>
      </c>
      <c r="O571">
        <v>307.18987996980331</v>
      </c>
      <c r="P571">
        <v>4.5680494839208121</v>
      </c>
    </row>
    <row r="572" spans="4:16" x14ac:dyDescent="0.55000000000000004">
      <c r="D572">
        <v>565</v>
      </c>
      <c r="E572">
        <v>7.4173653754319409</v>
      </c>
      <c r="F572">
        <v>2.5826346245680618</v>
      </c>
      <c r="G572">
        <v>6.1925090373167695</v>
      </c>
      <c r="H572">
        <v>3.8074909626832327</v>
      </c>
      <c r="I572">
        <v>377.69897523466392</v>
      </c>
      <c r="J572">
        <v>4.7380503626490738</v>
      </c>
      <c r="K572">
        <v>352.79532891766701</v>
      </c>
      <c r="L572">
        <v>4.3885547935626894</v>
      </c>
      <c r="M572">
        <v>365.32817909617074</v>
      </c>
      <c r="N572">
        <v>4.7813070525027221</v>
      </c>
      <c r="O572">
        <v>345.92808879073334</v>
      </c>
      <c r="P572">
        <v>4.4279945429534378</v>
      </c>
    </row>
    <row r="573" spans="4:16" x14ac:dyDescent="0.55000000000000004">
      <c r="D573">
        <v>566</v>
      </c>
      <c r="E573">
        <v>7.0791967025689422</v>
      </c>
      <c r="F573">
        <v>2.9208032974310596</v>
      </c>
      <c r="G573">
        <v>6.8745026051004805</v>
      </c>
      <c r="H573">
        <v>3.1254973948995173</v>
      </c>
      <c r="I573">
        <v>360.85257587135521</v>
      </c>
      <c r="J573">
        <v>4.8055885340727436</v>
      </c>
      <c r="K573">
        <v>337.60716017695302</v>
      </c>
      <c r="L573">
        <v>4.4513448765976209</v>
      </c>
      <c r="M573">
        <v>400.41856825148625</v>
      </c>
      <c r="N573">
        <v>4.8112099175753453</v>
      </c>
      <c r="O573">
        <v>378.1126752855626</v>
      </c>
      <c r="P573">
        <v>4.4564600866567483</v>
      </c>
    </row>
    <row r="574" spans="4:16" x14ac:dyDescent="0.55000000000000004">
      <c r="D574">
        <v>567</v>
      </c>
      <c r="E574">
        <v>8.1743592668423144</v>
      </c>
      <c r="F574">
        <v>1.8256407331576836</v>
      </c>
      <c r="G574">
        <v>5.4252746265836604</v>
      </c>
      <c r="H574">
        <v>4.5747253734163396</v>
      </c>
      <c r="I574">
        <v>393.7509953765101</v>
      </c>
      <c r="J574">
        <v>4.7490016861943154</v>
      </c>
      <c r="K574">
        <v>367.03763555667825</v>
      </c>
      <c r="L574">
        <v>4.3992629725024246</v>
      </c>
      <c r="M574">
        <v>311.33024187881557</v>
      </c>
      <c r="N574">
        <v>4.8334138812898919</v>
      </c>
      <c r="O574">
        <v>296.65053612262028</v>
      </c>
      <c r="P574">
        <v>4.4760042615828795</v>
      </c>
    </row>
    <row r="575" spans="4:16" x14ac:dyDescent="0.55000000000000004">
      <c r="D575">
        <v>568</v>
      </c>
      <c r="E575">
        <v>6.4333346307639356</v>
      </c>
      <c r="F575">
        <v>3.5666653692360644</v>
      </c>
      <c r="G575">
        <v>7.4092013425092587</v>
      </c>
      <c r="H575">
        <v>2.5907986574907405</v>
      </c>
      <c r="I575">
        <v>308.01990786716601</v>
      </c>
      <c r="J575">
        <v>4.8800360595822463</v>
      </c>
      <c r="K575">
        <v>289.25645556477474</v>
      </c>
      <c r="L575">
        <v>4.5205765633606658</v>
      </c>
      <c r="M575">
        <v>404.74316911414621</v>
      </c>
      <c r="N575">
        <v>4.8618388379572943</v>
      </c>
      <c r="O575">
        <v>381.68511227353264</v>
      </c>
      <c r="P575">
        <v>4.5040519533747094</v>
      </c>
    </row>
    <row r="576" spans="4:16" x14ac:dyDescent="0.55000000000000004">
      <c r="D576">
        <v>569</v>
      </c>
      <c r="E576">
        <v>6.6944054025866881</v>
      </c>
      <c r="F576">
        <v>3.3055945974133123</v>
      </c>
      <c r="G576">
        <v>6.5275315815599138</v>
      </c>
      <c r="H576">
        <v>3.472468418440084</v>
      </c>
      <c r="I576">
        <v>331.99887381711682</v>
      </c>
      <c r="J576">
        <v>4.8769033085458586</v>
      </c>
      <c r="K576">
        <v>311.06694851355189</v>
      </c>
      <c r="L576">
        <v>4.5178970680303348</v>
      </c>
      <c r="M576">
        <v>373.72301997817237</v>
      </c>
      <c r="N576">
        <v>4.8799717834922314</v>
      </c>
      <c r="O576">
        <v>353.52208971759916</v>
      </c>
      <c r="P576">
        <v>4.5206945087101547</v>
      </c>
    </row>
    <row r="577" spans="4:16" x14ac:dyDescent="0.55000000000000004">
      <c r="D577">
        <v>570</v>
      </c>
      <c r="E577">
        <v>7.1606873276630729</v>
      </c>
      <c r="F577">
        <v>2.839312672336928</v>
      </c>
      <c r="G577">
        <v>6.8265047834942694</v>
      </c>
      <c r="H577">
        <v>3.1734952165057289</v>
      </c>
      <c r="I577">
        <v>354.80203898610205</v>
      </c>
      <c r="J577">
        <v>4.8635009116970815</v>
      </c>
      <c r="K577">
        <v>331.90728040571065</v>
      </c>
      <c r="L577">
        <v>4.5055416974167475</v>
      </c>
      <c r="M577">
        <v>388.24376145782594</v>
      </c>
      <c r="N577">
        <v>4.8698711957939116</v>
      </c>
      <c r="O577">
        <v>366.85033798850037</v>
      </c>
      <c r="P577">
        <v>4.5113343893597015</v>
      </c>
    </row>
    <row r="578" spans="4:16" x14ac:dyDescent="0.55000000000000004">
      <c r="D578">
        <v>571</v>
      </c>
      <c r="E578">
        <v>7.9088436460178375</v>
      </c>
      <c r="F578">
        <v>2.0911563539821616</v>
      </c>
      <c r="G578">
        <v>6.0619316356659061</v>
      </c>
      <c r="H578">
        <v>3.9380683643340957</v>
      </c>
      <c r="I578">
        <v>415.65953782404648</v>
      </c>
      <c r="J578">
        <v>4.74835798469383</v>
      </c>
      <c r="K578">
        <v>387.80284749939619</v>
      </c>
      <c r="L578">
        <v>4.3984552779531461</v>
      </c>
      <c r="M578">
        <v>368.5926811526416</v>
      </c>
      <c r="N578">
        <v>4.8071226639794231</v>
      </c>
      <c r="O578">
        <v>349.59814748735903</v>
      </c>
      <c r="P578">
        <v>4.4518547706887155</v>
      </c>
    </row>
    <row r="579" spans="4:16" x14ac:dyDescent="0.55000000000000004">
      <c r="D579">
        <v>572</v>
      </c>
      <c r="E579">
        <v>7.0469979569549377</v>
      </c>
      <c r="F579">
        <v>2.9530020430450632</v>
      </c>
      <c r="G579">
        <v>6.1725658375413222</v>
      </c>
      <c r="H579">
        <v>3.8274341624586796</v>
      </c>
      <c r="I579">
        <v>328.36081704411464</v>
      </c>
      <c r="J579">
        <v>4.9222606318491708</v>
      </c>
      <c r="K579">
        <v>307.16433878505381</v>
      </c>
      <c r="L579">
        <v>4.5605116314295948</v>
      </c>
      <c r="M579">
        <v>337.61591447224799</v>
      </c>
      <c r="N579">
        <v>4.931906980673058</v>
      </c>
      <c r="O579">
        <v>319.99507094759133</v>
      </c>
      <c r="P579">
        <v>4.5693114493321225</v>
      </c>
    </row>
    <row r="580" spans="4:16" x14ac:dyDescent="0.55000000000000004">
      <c r="D580">
        <v>573</v>
      </c>
      <c r="E580">
        <v>5.7796499393025353</v>
      </c>
      <c r="F580">
        <v>4.2203500606974638</v>
      </c>
      <c r="G580">
        <v>6.3244420074654322</v>
      </c>
      <c r="H580">
        <v>3.6755579925345705</v>
      </c>
      <c r="I580">
        <v>269.53569050604938</v>
      </c>
      <c r="J580">
        <v>4.8517828600211237</v>
      </c>
      <c r="K580">
        <v>253.74167904623985</v>
      </c>
      <c r="L580">
        <v>4.493700692422653</v>
      </c>
      <c r="M580">
        <v>344.94223031669827</v>
      </c>
      <c r="N580">
        <v>4.8378118543245376</v>
      </c>
      <c r="O580">
        <v>326.94057341854443</v>
      </c>
      <c r="P580">
        <v>4.4809436665605897</v>
      </c>
    </row>
    <row r="581" spans="4:16" x14ac:dyDescent="0.55000000000000004">
      <c r="D581">
        <v>574</v>
      </c>
      <c r="E581">
        <v>6.5525749469520953</v>
      </c>
      <c r="F581">
        <v>3.4474250530479047</v>
      </c>
      <c r="G581">
        <v>6.655952954585544</v>
      </c>
      <c r="H581">
        <v>3.3440470454144546</v>
      </c>
      <c r="I581">
        <v>315.8336302361418</v>
      </c>
      <c r="J581">
        <v>4.8118819121793237</v>
      </c>
      <c r="K581">
        <v>296.17254090531361</v>
      </c>
      <c r="L581">
        <v>4.4568252656256302</v>
      </c>
      <c r="M581">
        <v>370.81644259643974</v>
      </c>
      <c r="N581">
        <v>4.8089140295871893</v>
      </c>
      <c r="O581">
        <v>350.71256798586467</v>
      </c>
      <c r="P581">
        <v>4.4541211165696586</v>
      </c>
    </row>
    <row r="582" spans="4:16" x14ac:dyDescent="0.55000000000000004">
      <c r="D582">
        <v>575</v>
      </c>
      <c r="E582">
        <v>7.2476152353095813</v>
      </c>
      <c r="F582">
        <v>2.75238476469042</v>
      </c>
      <c r="G582">
        <v>5.1424743821512431</v>
      </c>
      <c r="H582">
        <v>4.8575256178487596</v>
      </c>
      <c r="I582">
        <v>369.37052696593037</v>
      </c>
      <c r="J582">
        <v>4.7025243411079263</v>
      </c>
      <c r="K582">
        <v>345.65838123974606</v>
      </c>
      <c r="L582">
        <v>4.3548538539187183</v>
      </c>
      <c r="M582">
        <v>312.08323852374946</v>
      </c>
      <c r="N582">
        <v>4.7889290607325261</v>
      </c>
      <c r="O582">
        <v>297.95391182513168</v>
      </c>
      <c r="P582">
        <v>4.4335409696844383</v>
      </c>
    </row>
    <row r="583" spans="4:16" x14ac:dyDescent="0.55000000000000004">
      <c r="D583">
        <v>576</v>
      </c>
      <c r="E583">
        <v>7.0074777884130492</v>
      </c>
      <c r="F583">
        <v>2.9925222115869508</v>
      </c>
      <c r="G583">
        <v>5.7661080932403364</v>
      </c>
      <c r="H583">
        <v>4.2338919067596645</v>
      </c>
      <c r="I583">
        <v>353.52173281136476</v>
      </c>
      <c r="J583">
        <v>4.9383210255920478</v>
      </c>
      <c r="K583">
        <v>330.71241276118911</v>
      </c>
      <c r="L583">
        <v>4.5755333070139361</v>
      </c>
      <c r="M583">
        <v>340.89560983989867</v>
      </c>
      <c r="N583">
        <v>4.9492474119426362</v>
      </c>
      <c r="O583">
        <v>323.49676543475277</v>
      </c>
      <c r="P583">
        <v>4.5855157271019973</v>
      </c>
    </row>
    <row r="584" spans="4:16" x14ac:dyDescent="0.55000000000000004">
      <c r="D584">
        <v>577</v>
      </c>
      <c r="E584">
        <v>6.1449361681245529</v>
      </c>
      <c r="F584">
        <v>3.8550638318754471</v>
      </c>
      <c r="G584">
        <v>5.902461738487923</v>
      </c>
      <c r="H584">
        <v>4.097538261512077</v>
      </c>
      <c r="I584">
        <v>327.76342225757242</v>
      </c>
      <c r="J584">
        <v>4.8700652249513983</v>
      </c>
      <c r="K584">
        <v>307.98866115880355</v>
      </c>
      <c r="L584">
        <v>4.5111372415498519</v>
      </c>
      <c r="M584">
        <v>364.83013105759068</v>
      </c>
      <c r="N584">
        <v>4.8751923507030543</v>
      </c>
      <c r="O584">
        <v>346.17547491184143</v>
      </c>
      <c r="P584">
        <v>4.5158203257300018</v>
      </c>
    </row>
    <row r="585" spans="4:16" x14ac:dyDescent="0.55000000000000004">
      <c r="D585">
        <v>578</v>
      </c>
      <c r="E585">
        <v>6.8536362553979977</v>
      </c>
      <c r="F585">
        <v>3.1463637446020032</v>
      </c>
      <c r="G585">
        <v>6.9559474331715743</v>
      </c>
      <c r="H585">
        <v>3.0440525668284266</v>
      </c>
      <c r="I585">
        <v>333.01257585214</v>
      </c>
      <c r="J585">
        <v>4.7805424007778283</v>
      </c>
      <c r="K585">
        <v>311.75294322752353</v>
      </c>
      <c r="L585">
        <v>4.4277853831807441</v>
      </c>
      <c r="M585">
        <v>387.98379223702045</v>
      </c>
      <c r="N585">
        <v>4.7772663346705704</v>
      </c>
      <c r="O585">
        <v>366.28128935858228</v>
      </c>
      <c r="P585">
        <v>4.4248011716451101</v>
      </c>
    </row>
    <row r="586" spans="4:16" x14ac:dyDescent="0.55000000000000004">
      <c r="D586">
        <v>579</v>
      </c>
      <c r="E586">
        <v>6.9356481550408624</v>
      </c>
      <c r="F586">
        <v>3.0643518449591394</v>
      </c>
      <c r="G586">
        <v>5.8241968422856969</v>
      </c>
      <c r="H586">
        <v>4.1758031577143022</v>
      </c>
      <c r="I586">
        <v>347.13274406170882</v>
      </c>
      <c r="J586">
        <v>4.8036136129955711</v>
      </c>
      <c r="K586">
        <v>325.03956104391483</v>
      </c>
      <c r="L586">
        <v>4.449345315988281</v>
      </c>
      <c r="M586">
        <v>341.50403633851312</v>
      </c>
      <c r="N586">
        <v>4.835084919319649</v>
      </c>
      <c r="O586">
        <v>324.31241681155188</v>
      </c>
      <c r="P586">
        <v>4.4780436187248132</v>
      </c>
    </row>
    <row r="587" spans="4:16" x14ac:dyDescent="0.55000000000000004">
      <c r="D587">
        <v>580</v>
      </c>
      <c r="E587">
        <v>5.8974165491693009</v>
      </c>
      <c r="F587">
        <v>4.1025834508307</v>
      </c>
      <c r="G587">
        <v>5.6468819709418439</v>
      </c>
      <c r="H587">
        <v>4.3531180290581561</v>
      </c>
      <c r="I587">
        <v>301.78514665442742</v>
      </c>
      <c r="J587">
        <v>4.9039568788554231</v>
      </c>
      <c r="K587">
        <v>284.40023458774044</v>
      </c>
      <c r="L587">
        <v>4.5427223639395393</v>
      </c>
      <c r="M587">
        <v>338.9646830154756</v>
      </c>
      <c r="N587">
        <v>4.9080369913329775</v>
      </c>
      <c r="O587">
        <v>322.71285787571691</v>
      </c>
      <c r="P587">
        <v>4.5464418715092751</v>
      </c>
    </row>
    <row r="588" spans="4:16" x14ac:dyDescent="0.55000000000000004">
      <c r="D588">
        <v>581</v>
      </c>
      <c r="E588">
        <v>7.5255566630876771</v>
      </c>
      <c r="F588">
        <v>2.4744433369123198</v>
      </c>
      <c r="G588">
        <v>5.5390709047920641</v>
      </c>
      <c r="H588">
        <v>4.4609290952079359</v>
      </c>
      <c r="I588">
        <v>360.89095962766362</v>
      </c>
      <c r="J588">
        <v>4.8972522465081303</v>
      </c>
      <c r="K588">
        <v>337.11247040199527</v>
      </c>
      <c r="L588">
        <v>4.5372548574985929</v>
      </c>
      <c r="M588">
        <v>315.62827226868615</v>
      </c>
      <c r="N588">
        <v>4.9243740872099089</v>
      </c>
      <c r="O588">
        <v>300.27723261364599</v>
      </c>
      <c r="P588">
        <v>4.5619773543322362</v>
      </c>
    </row>
    <row r="589" spans="4:16" x14ac:dyDescent="0.55000000000000004">
      <c r="D589">
        <v>582</v>
      </c>
      <c r="E589">
        <v>6.226051617893253</v>
      </c>
      <c r="F589">
        <v>3.7739483821067465</v>
      </c>
      <c r="G589">
        <v>5.9667402091942785</v>
      </c>
      <c r="H589">
        <v>4.0332597908057215</v>
      </c>
      <c r="I589">
        <v>302.26999732409053</v>
      </c>
      <c r="J589">
        <v>4.8174747723690015</v>
      </c>
      <c r="K589">
        <v>283.93504376545184</v>
      </c>
      <c r="L589">
        <v>4.4617790400460153</v>
      </c>
      <c r="M589">
        <v>339.68062871232371</v>
      </c>
      <c r="N589">
        <v>4.8250768413534724</v>
      </c>
      <c r="O589">
        <v>322.44124248622518</v>
      </c>
      <c r="P589">
        <v>4.4687195525461263</v>
      </c>
    </row>
    <row r="590" spans="4:16" x14ac:dyDescent="0.55000000000000004">
      <c r="D590">
        <v>583</v>
      </c>
      <c r="E590">
        <v>8.5669627829666251</v>
      </c>
      <c r="F590">
        <v>1.4330372170333749</v>
      </c>
      <c r="G590">
        <v>5.5514962424707655</v>
      </c>
      <c r="H590">
        <v>4.4485037575292337</v>
      </c>
      <c r="I590">
        <v>423.57067240519899</v>
      </c>
      <c r="J590">
        <v>4.786028890859896</v>
      </c>
      <c r="K590">
        <v>394.05626433536253</v>
      </c>
      <c r="L590">
        <v>4.4341711364930916</v>
      </c>
      <c r="M590">
        <v>324.47895547691417</v>
      </c>
      <c r="N590">
        <v>4.8613441147718808</v>
      </c>
      <c r="O590">
        <v>308.05866363212118</v>
      </c>
      <c r="P590">
        <v>4.5028717320693303</v>
      </c>
    </row>
    <row r="591" spans="4:16" x14ac:dyDescent="0.55000000000000004">
      <c r="D591">
        <v>584</v>
      </c>
      <c r="E591">
        <v>5.6721690673218266</v>
      </c>
      <c r="F591">
        <v>4.3278309326781743</v>
      </c>
      <c r="G591">
        <v>5.8019326401660063</v>
      </c>
      <c r="H591">
        <v>4.1980673598339919</v>
      </c>
      <c r="I591">
        <v>275.04892554725041</v>
      </c>
      <c r="J591">
        <v>4.9034473481668011</v>
      </c>
      <c r="K591">
        <v>259.28599024521424</v>
      </c>
      <c r="L591">
        <v>4.5422134759241741</v>
      </c>
      <c r="M591">
        <v>331.34128581760746</v>
      </c>
      <c r="N591">
        <v>4.9012384899820827</v>
      </c>
      <c r="O591">
        <v>315.03344919296893</v>
      </c>
      <c r="P591">
        <v>4.5401958988636411</v>
      </c>
    </row>
    <row r="592" spans="4:16" x14ac:dyDescent="0.55000000000000004">
      <c r="D592">
        <v>585</v>
      </c>
      <c r="E592">
        <v>6.2737464770774993</v>
      </c>
      <c r="F592">
        <v>3.7262535229225024</v>
      </c>
      <c r="G592">
        <v>6.3837680253029196</v>
      </c>
      <c r="H592">
        <v>3.6162319746970795</v>
      </c>
      <c r="I592">
        <v>321.14911074865756</v>
      </c>
      <c r="J592">
        <v>4.8434671698297604</v>
      </c>
      <c r="K592">
        <v>301.37271511512955</v>
      </c>
      <c r="L592">
        <v>4.4863392147095214</v>
      </c>
      <c r="M592">
        <v>376.78104415637205</v>
      </c>
      <c r="N592">
        <v>4.8407220821239756</v>
      </c>
      <c r="O592">
        <v>356.51651467370942</v>
      </c>
      <c r="P592">
        <v>4.4838320506670737</v>
      </c>
    </row>
    <row r="593" spans="4:16" x14ac:dyDescent="0.55000000000000004">
      <c r="D593">
        <v>586</v>
      </c>
      <c r="E593">
        <v>6.3031588141035968</v>
      </c>
      <c r="F593">
        <v>3.6968411858964032</v>
      </c>
      <c r="G593">
        <v>6.0129450058882234</v>
      </c>
      <c r="H593">
        <v>3.9870549941117792</v>
      </c>
      <c r="I593">
        <v>325.07708361619103</v>
      </c>
      <c r="J593">
        <v>4.9045108964369684</v>
      </c>
      <c r="K593">
        <v>305.61566038450019</v>
      </c>
      <c r="L593">
        <v>4.5434602893519545</v>
      </c>
      <c r="M593">
        <v>360.10969009459546</v>
      </c>
      <c r="N593">
        <v>4.9089074628579343</v>
      </c>
      <c r="O593">
        <v>341.9920506513501</v>
      </c>
      <c r="P593">
        <v>4.5474621287502899</v>
      </c>
    </row>
    <row r="594" spans="4:16" x14ac:dyDescent="0.55000000000000004">
      <c r="D594">
        <v>587</v>
      </c>
      <c r="E594">
        <v>7.7845518938070466</v>
      </c>
      <c r="F594">
        <v>2.215448106192953</v>
      </c>
      <c r="G594">
        <v>6.5282730891421545</v>
      </c>
      <c r="H594">
        <v>3.4717269108578463</v>
      </c>
      <c r="I594">
        <v>361.89435389993895</v>
      </c>
      <c r="J594">
        <v>4.8531803763508767</v>
      </c>
      <c r="K594">
        <v>337.51291271418461</v>
      </c>
      <c r="L594">
        <v>4.4963046022671005</v>
      </c>
      <c r="M594">
        <v>353.49147952330657</v>
      </c>
      <c r="N594">
        <v>4.8768742747043587</v>
      </c>
      <c r="O594">
        <v>334.29037245121748</v>
      </c>
      <c r="P594">
        <v>4.5178968521788523</v>
      </c>
    </row>
    <row r="595" spans="4:16" x14ac:dyDescent="0.55000000000000004">
      <c r="D595">
        <v>588</v>
      </c>
      <c r="E595">
        <v>7.7727477268649388</v>
      </c>
      <c r="F595">
        <v>2.2272522731350617</v>
      </c>
      <c r="G595">
        <v>6.5217848321204315</v>
      </c>
      <c r="H595">
        <v>3.4782151678795712</v>
      </c>
      <c r="I595">
        <v>393.26410813243859</v>
      </c>
      <c r="J595">
        <v>4.821734333428231</v>
      </c>
      <c r="K595">
        <v>367.17636981551925</v>
      </c>
      <c r="L595">
        <v>4.4667925788672349</v>
      </c>
      <c r="M595">
        <v>379.97132874528376</v>
      </c>
      <c r="N595">
        <v>4.8504247968427867</v>
      </c>
      <c r="O595">
        <v>359.76066860638593</v>
      </c>
      <c r="P595">
        <v>4.4928189769952969</v>
      </c>
    </row>
    <row r="596" spans="4:16" x14ac:dyDescent="0.55000000000000004">
      <c r="D596">
        <v>589</v>
      </c>
      <c r="E596">
        <v>7.5970863906921826</v>
      </c>
      <c r="F596">
        <v>2.4029136093078196</v>
      </c>
      <c r="G596">
        <v>7.0784763128565045</v>
      </c>
      <c r="H596">
        <v>2.9215236871434977</v>
      </c>
      <c r="I596">
        <v>396.6009614305334</v>
      </c>
      <c r="J596">
        <v>4.6843713890428322</v>
      </c>
      <c r="K596">
        <v>370.42747593324071</v>
      </c>
      <c r="L596">
        <v>4.3384338809945584</v>
      </c>
      <c r="M596">
        <v>419.52725910575907</v>
      </c>
      <c r="N596">
        <v>4.7059175674167157</v>
      </c>
      <c r="O596">
        <v>395.8548427602226</v>
      </c>
      <c r="P596">
        <v>4.3579896229876809</v>
      </c>
    </row>
    <row r="597" spans="4:16" x14ac:dyDescent="0.55000000000000004">
      <c r="D597">
        <v>590</v>
      </c>
      <c r="E597">
        <v>6.2441437498204762</v>
      </c>
      <c r="F597">
        <v>3.7558562501795265</v>
      </c>
      <c r="G597">
        <v>4.5561987154109795</v>
      </c>
      <c r="H597">
        <v>5.4438012845890205</v>
      </c>
      <c r="I597">
        <v>322.98208826439588</v>
      </c>
      <c r="J597">
        <v>4.7851015948891007</v>
      </c>
      <c r="K597">
        <v>303.51016771163899</v>
      </c>
      <c r="L597">
        <v>4.4312901111656258</v>
      </c>
      <c r="M597">
        <v>285.67211688444951</v>
      </c>
      <c r="N597">
        <v>4.8431938987089609</v>
      </c>
      <c r="O597">
        <v>273.53814841371019</v>
      </c>
      <c r="P597">
        <v>4.4845000569337454</v>
      </c>
    </row>
    <row r="598" spans="4:16" x14ac:dyDescent="0.55000000000000004">
      <c r="D598">
        <v>591</v>
      </c>
      <c r="E598">
        <v>6.59854252097435</v>
      </c>
      <c r="F598">
        <v>3.40145747902565</v>
      </c>
      <c r="G598">
        <v>5.0222561088795441</v>
      </c>
      <c r="H598">
        <v>4.9777438911204559</v>
      </c>
      <c r="I598">
        <v>321.57522717787197</v>
      </c>
      <c r="J598">
        <v>4.918546833444128</v>
      </c>
      <c r="K598">
        <v>301.89409652067394</v>
      </c>
      <c r="L598">
        <v>4.5567646882412882</v>
      </c>
      <c r="M598">
        <v>294.7560418114752</v>
      </c>
      <c r="N598">
        <v>4.9380046939119513</v>
      </c>
      <c r="O598">
        <v>281.84661067612177</v>
      </c>
      <c r="P598">
        <v>4.574507315934933</v>
      </c>
    </row>
    <row r="599" spans="4:16" x14ac:dyDescent="0.55000000000000004">
      <c r="D599">
        <v>592</v>
      </c>
      <c r="E599">
        <v>6.7338105439524654</v>
      </c>
      <c r="F599">
        <v>3.2661894560475337</v>
      </c>
      <c r="G599">
        <v>5.9355729293291404</v>
      </c>
      <c r="H599">
        <v>4.0644270706708614</v>
      </c>
      <c r="I599">
        <v>332.52421594010582</v>
      </c>
      <c r="J599">
        <v>4.7978021306123608</v>
      </c>
      <c r="K599">
        <v>311.83160751002947</v>
      </c>
      <c r="L599">
        <v>4.4436174138147333</v>
      </c>
      <c r="M599">
        <v>343.10621699225857</v>
      </c>
      <c r="N599">
        <v>4.8217710177511393</v>
      </c>
      <c r="O599">
        <v>325.94451307319775</v>
      </c>
      <c r="P599">
        <v>4.4654392652342629</v>
      </c>
    </row>
    <row r="600" spans="4:16" x14ac:dyDescent="0.55000000000000004">
      <c r="D600">
        <v>593</v>
      </c>
      <c r="E600">
        <v>6.8949567338697308</v>
      </c>
      <c r="F600">
        <v>3.1050432661302678</v>
      </c>
      <c r="G600">
        <v>6.6202620245669737</v>
      </c>
      <c r="H600">
        <v>3.3797379754330259</v>
      </c>
      <c r="I600">
        <v>336.41176777313075</v>
      </c>
      <c r="J600">
        <v>4.8122922051526054</v>
      </c>
      <c r="K600">
        <v>315.08182556373134</v>
      </c>
      <c r="L600">
        <v>4.4574264175866727</v>
      </c>
      <c r="M600">
        <v>373.00914085010407</v>
      </c>
      <c r="N600">
        <v>4.8197704737088349</v>
      </c>
      <c r="O600">
        <v>352.88579515297874</v>
      </c>
      <c r="P600">
        <v>4.4642314410537409</v>
      </c>
    </row>
    <row r="601" spans="4:16" x14ac:dyDescent="0.55000000000000004">
      <c r="D601">
        <v>594</v>
      </c>
      <c r="E601">
        <v>5.7377539652229181</v>
      </c>
      <c r="F601">
        <v>4.262246034777081</v>
      </c>
      <c r="G601">
        <v>4.7230486146346626</v>
      </c>
      <c r="H601">
        <v>5.2769513853653374</v>
      </c>
      <c r="I601">
        <v>294.83162010731894</v>
      </c>
      <c r="J601">
        <v>4.8987388017028497</v>
      </c>
      <c r="K601">
        <v>277.8970272986212</v>
      </c>
      <c r="L601">
        <v>4.5377877979516512</v>
      </c>
      <c r="M601">
        <v>292.69149275804915</v>
      </c>
      <c r="N601">
        <v>4.916646554517258</v>
      </c>
      <c r="O601">
        <v>280.13697015948361</v>
      </c>
      <c r="P601">
        <v>4.554191196660681</v>
      </c>
    </row>
    <row r="602" spans="4:16" x14ac:dyDescent="0.55000000000000004">
      <c r="D602">
        <v>595</v>
      </c>
      <c r="E602">
        <v>6.99050776125278</v>
      </c>
      <c r="F602">
        <v>3.0094922387472196</v>
      </c>
      <c r="G602">
        <v>6.4835857520329023</v>
      </c>
      <c r="H602">
        <v>3.516414247967095</v>
      </c>
      <c r="I602">
        <v>329.6786211788513</v>
      </c>
      <c r="J602">
        <v>4.7891056928369791</v>
      </c>
      <c r="K602">
        <v>308.66029482772643</v>
      </c>
      <c r="L602">
        <v>4.4357837825618862</v>
      </c>
      <c r="M602">
        <v>355.77172417615469</v>
      </c>
      <c r="N602">
        <v>4.8043988545887863</v>
      </c>
      <c r="O602">
        <v>336.905103975423</v>
      </c>
      <c r="P602">
        <v>4.4497005051130465</v>
      </c>
    </row>
    <row r="603" spans="4:16" x14ac:dyDescent="0.55000000000000004">
      <c r="D603">
        <v>596</v>
      </c>
      <c r="E603">
        <v>7.3442254805397464</v>
      </c>
      <c r="F603">
        <v>2.6557745194602571</v>
      </c>
      <c r="G603">
        <v>6.557893229494848</v>
      </c>
      <c r="H603">
        <v>3.4421067705051525</v>
      </c>
      <c r="I603">
        <v>360.63516125528258</v>
      </c>
      <c r="J603">
        <v>4.7121621115303789</v>
      </c>
      <c r="K603">
        <v>337.13219354249941</v>
      </c>
      <c r="L603">
        <v>4.3641535423507438</v>
      </c>
      <c r="M603">
        <v>372.02264058755316</v>
      </c>
      <c r="N603">
        <v>4.7429803666855417</v>
      </c>
      <c r="O603">
        <v>352.01796240178862</v>
      </c>
      <c r="P603">
        <v>4.3921796674562259</v>
      </c>
    </row>
    <row r="604" spans="4:16" x14ac:dyDescent="0.55000000000000004">
      <c r="D604">
        <v>597</v>
      </c>
      <c r="E604">
        <v>6.444699802332293</v>
      </c>
      <c r="F604">
        <v>3.5553001976677079</v>
      </c>
      <c r="G604">
        <v>7.2037461204747579</v>
      </c>
      <c r="H604">
        <v>2.7962538795252438</v>
      </c>
      <c r="I604">
        <v>323.6797660540721</v>
      </c>
      <c r="J604">
        <v>4.7450137023512591</v>
      </c>
      <c r="K604">
        <v>303.07438338705668</v>
      </c>
      <c r="L604">
        <v>4.3944788108599431</v>
      </c>
      <c r="M604">
        <v>411.80224533412252</v>
      </c>
      <c r="N604">
        <v>4.7149818286653788</v>
      </c>
      <c r="O604">
        <v>387.91781129892195</v>
      </c>
      <c r="P604">
        <v>4.3670300864958964</v>
      </c>
    </row>
    <row r="605" spans="4:16" x14ac:dyDescent="0.55000000000000004">
      <c r="D605">
        <v>598</v>
      </c>
      <c r="E605">
        <v>5.9274005523257545</v>
      </c>
      <c r="F605">
        <v>4.0725994476742455</v>
      </c>
      <c r="G605">
        <v>5.6706541740094707</v>
      </c>
      <c r="H605">
        <v>4.3293458259905275</v>
      </c>
      <c r="I605">
        <v>273.5633950182189</v>
      </c>
      <c r="J605">
        <v>4.9536450192029031</v>
      </c>
      <c r="K605">
        <v>257.29365954497268</v>
      </c>
      <c r="L605">
        <v>4.5896346427880568</v>
      </c>
      <c r="M605">
        <v>311.71394933105751</v>
      </c>
      <c r="N605">
        <v>4.9556528931995238</v>
      </c>
      <c r="O605">
        <v>296.45432173041235</v>
      </c>
      <c r="P605">
        <v>4.5914713552481183</v>
      </c>
    </row>
    <row r="606" spans="4:16" x14ac:dyDescent="0.55000000000000004">
      <c r="D606">
        <v>599</v>
      </c>
      <c r="E606">
        <v>6.7931157750565276</v>
      </c>
      <c r="F606">
        <v>3.2068842249434732</v>
      </c>
      <c r="G606">
        <v>5.901536603364784</v>
      </c>
      <c r="H606">
        <v>4.0984633966352169</v>
      </c>
      <c r="I606">
        <v>351.98087449226745</v>
      </c>
      <c r="J606">
        <v>4.8737494949176048</v>
      </c>
      <c r="K606">
        <v>329.93262679503442</v>
      </c>
      <c r="L606">
        <v>4.514890622918343</v>
      </c>
      <c r="M606">
        <v>355.78427974505956</v>
      </c>
      <c r="N606">
        <v>4.8903195526752441</v>
      </c>
      <c r="O606">
        <v>337.85638852194546</v>
      </c>
      <c r="P606">
        <v>4.5299827677446984</v>
      </c>
    </row>
    <row r="607" spans="4:16" x14ac:dyDescent="0.55000000000000004">
      <c r="D607">
        <v>600</v>
      </c>
      <c r="E607">
        <v>6.0063613562800446</v>
      </c>
      <c r="F607">
        <v>3.9936386437199554</v>
      </c>
      <c r="G607">
        <v>6.126213226813336</v>
      </c>
      <c r="H607">
        <v>3.8737867731866626</v>
      </c>
      <c r="I607">
        <v>309.92940580966047</v>
      </c>
      <c r="J607">
        <v>4.7299897512611775</v>
      </c>
      <c r="K607">
        <v>291.8304289144092</v>
      </c>
      <c r="L607">
        <v>4.378990302277586</v>
      </c>
      <c r="M607">
        <v>366.11378547251934</v>
      </c>
      <c r="N607">
        <v>4.7246019246795035</v>
      </c>
      <c r="O607">
        <v>347.46220888809677</v>
      </c>
      <c r="P607">
        <v>4.3740839001000795</v>
      </c>
    </row>
    <row r="608" spans="4:16" x14ac:dyDescent="0.55000000000000004">
      <c r="D608">
        <v>601</v>
      </c>
      <c r="E608">
        <v>7.0791066149680679</v>
      </c>
      <c r="F608">
        <v>2.9208933850319303</v>
      </c>
      <c r="G608">
        <v>5.6254052279702735</v>
      </c>
      <c r="H608">
        <v>4.3745947720297247</v>
      </c>
      <c r="I608">
        <v>334.06914386690494</v>
      </c>
      <c r="J608">
        <v>4.8988706722204896</v>
      </c>
      <c r="K608">
        <v>312.80102371948317</v>
      </c>
      <c r="L608">
        <v>4.5385416891599801</v>
      </c>
      <c r="M608">
        <v>315.46772221778701</v>
      </c>
      <c r="N608">
        <v>4.9196376774451869</v>
      </c>
      <c r="O608">
        <v>300.34768141823804</v>
      </c>
      <c r="P608">
        <v>4.5574475493403064</v>
      </c>
    </row>
    <row r="609" spans="4:16" x14ac:dyDescent="0.55000000000000004">
      <c r="D609">
        <v>602</v>
      </c>
      <c r="E609">
        <v>7.7331491412547892</v>
      </c>
      <c r="F609">
        <v>2.266850858745213</v>
      </c>
      <c r="G609">
        <v>6.3122138313587701</v>
      </c>
      <c r="H609">
        <v>3.6877861686412294</v>
      </c>
      <c r="I609">
        <v>380.13519621575841</v>
      </c>
      <c r="J609">
        <v>4.8963785173583103</v>
      </c>
      <c r="K609">
        <v>354.64850524750335</v>
      </c>
      <c r="L609">
        <v>4.5365587001674497</v>
      </c>
      <c r="M609">
        <v>360.28687013658782</v>
      </c>
      <c r="N609">
        <v>4.9154185514841053</v>
      </c>
      <c r="O609">
        <v>341.00353194211488</v>
      </c>
      <c r="P609">
        <v>4.5539077553516272</v>
      </c>
    </row>
    <row r="610" spans="4:16" x14ac:dyDescent="0.55000000000000004">
      <c r="D610">
        <v>603</v>
      </c>
      <c r="E610">
        <v>7.7743529885647682</v>
      </c>
      <c r="F610">
        <v>2.22564701143523</v>
      </c>
      <c r="G610">
        <v>6.3725872834355988</v>
      </c>
      <c r="H610">
        <v>3.6274127165644039</v>
      </c>
      <c r="I610">
        <v>404.5280467849887</v>
      </c>
      <c r="J610">
        <v>4.8513540213500592</v>
      </c>
      <c r="K610">
        <v>377.59509611237348</v>
      </c>
      <c r="L610">
        <v>4.4944834139976821</v>
      </c>
      <c r="M610">
        <v>381.58904548415245</v>
      </c>
      <c r="N610">
        <v>4.8781558446507702</v>
      </c>
      <c r="O610">
        <v>361.33332494476718</v>
      </c>
      <c r="P610">
        <v>4.5188316536329021</v>
      </c>
    </row>
    <row r="611" spans="4:16" x14ac:dyDescent="0.55000000000000004">
      <c r="D611">
        <v>604</v>
      </c>
      <c r="E611">
        <v>6.6551744711611569</v>
      </c>
      <c r="F611">
        <v>3.3448255288388449</v>
      </c>
      <c r="G611">
        <v>4.8575251631025225</v>
      </c>
      <c r="H611">
        <v>5.1424748368974775</v>
      </c>
      <c r="I611">
        <v>313.75450234907669</v>
      </c>
      <c r="J611">
        <v>4.8709107436965882</v>
      </c>
      <c r="K611">
        <v>294.38283202498081</v>
      </c>
      <c r="L611">
        <v>4.5121136435853639</v>
      </c>
      <c r="M611">
        <v>279.00532462395967</v>
      </c>
      <c r="N611">
        <v>4.9057794332068632</v>
      </c>
      <c r="O611">
        <v>267.0096991250702</v>
      </c>
      <c r="P611">
        <v>4.5439475777891252</v>
      </c>
    </row>
    <row r="612" spans="4:16" x14ac:dyDescent="0.55000000000000004">
      <c r="D612">
        <v>605</v>
      </c>
      <c r="E612">
        <v>7.5293696883841523</v>
      </c>
      <c r="F612">
        <v>2.4706303116158503</v>
      </c>
      <c r="G612">
        <v>6.0954612264467762</v>
      </c>
      <c r="H612">
        <v>3.904538773553226</v>
      </c>
      <c r="I612">
        <v>353.714966517807</v>
      </c>
      <c r="J612">
        <v>4.7012594639622485</v>
      </c>
      <c r="K612">
        <v>330.53250787465191</v>
      </c>
      <c r="L612">
        <v>4.3540716385022593</v>
      </c>
      <c r="M612">
        <v>336.35276960160985</v>
      </c>
      <c r="N612">
        <v>4.7581522186385268</v>
      </c>
      <c r="O612">
        <v>319.30982358173117</v>
      </c>
      <c r="P612">
        <v>4.4057790844816944</v>
      </c>
    </row>
    <row r="613" spans="4:16" x14ac:dyDescent="0.55000000000000004">
      <c r="D613">
        <v>606</v>
      </c>
      <c r="E613">
        <v>6.8460274450780334</v>
      </c>
      <c r="F613">
        <v>3.1539725549219653</v>
      </c>
      <c r="G613">
        <v>5.9075347208031372</v>
      </c>
      <c r="H613">
        <v>4.092465279196861</v>
      </c>
      <c r="I613">
        <v>325.56774295044323</v>
      </c>
      <c r="J613">
        <v>4.8155671148185304</v>
      </c>
      <c r="K613">
        <v>304.96086199643986</v>
      </c>
      <c r="L613">
        <v>4.4604735712382819</v>
      </c>
      <c r="M613">
        <v>330.93704865819916</v>
      </c>
      <c r="N613">
        <v>4.8408502329842733</v>
      </c>
      <c r="O613">
        <v>314.2628547890908</v>
      </c>
      <c r="P613">
        <v>4.4835288371634761</v>
      </c>
    </row>
    <row r="614" spans="4:16" x14ac:dyDescent="0.55000000000000004">
      <c r="D614">
        <v>607</v>
      </c>
      <c r="E614">
        <v>6.6700707609194678</v>
      </c>
      <c r="F614">
        <v>3.3299292390805326</v>
      </c>
      <c r="G614">
        <v>6.1164842103863668</v>
      </c>
      <c r="H614">
        <v>3.8835157896136328</v>
      </c>
      <c r="I614">
        <v>320.07744294432513</v>
      </c>
      <c r="J614">
        <v>4.8125764131126427</v>
      </c>
      <c r="K614">
        <v>300.00989595252173</v>
      </c>
      <c r="L614">
        <v>4.4575598426246046</v>
      </c>
      <c r="M614">
        <v>343.51242228799583</v>
      </c>
      <c r="N614">
        <v>4.8281317468823275</v>
      </c>
      <c r="O614">
        <v>325.78186471334573</v>
      </c>
      <c r="P614">
        <v>4.4717467358848557</v>
      </c>
    </row>
    <row r="615" spans="4:16" x14ac:dyDescent="0.55000000000000004">
      <c r="D615">
        <v>608</v>
      </c>
      <c r="E615">
        <v>6.8645922077587462</v>
      </c>
      <c r="F615">
        <v>3.1354077922412555</v>
      </c>
      <c r="G615">
        <v>5.7763538969878816</v>
      </c>
      <c r="H615">
        <v>4.2236461030121184</v>
      </c>
      <c r="I615">
        <v>346.79455775619101</v>
      </c>
      <c r="J615">
        <v>4.7802695006566589</v>
      </c>
      <c r="K615">
        <v>325.09120213454332</v>
      </c>
      <c r="L615">
        <v>4.4272535755431113</v>
      </c>
      <c r="M615">
        <v>341.81749396344691</v>
      </c>
      <c r="N615">
        <v>4.8151032009251118</v>
      </c>
      <c r="O615">
        <v>325.06618985192063</v>
      </c>
      <c r="P615">
        <v>4.4589496350188913</v>
      </c>
    </row>
    <row r="616" spans="4:16" x14ac:dyDescent="0.55000000000000004">
      <c r="D616">
        <v>609</v>
      </c>
      <c r="E616">
        <v>6.5719774229803685</v>
      </c>
      <c r="F616">
        <v>3.4280225770196324</v>
      </c>
      <c r="G616">
        <v>7.894630190792733</v>
      </c>
      <c r="H616">
        <v>2.1053698092072666</v>
      </c>
      <c r="I616">
        <v>311.62882470917259</v>
      </c>
      <c r="J616">
        <v>4.8695963360481516</v>
      </c>
      <c r="K616">
        <v>292.14094675200818</v>
      </c>
      <c r="L616">
        <v>4.5109839369832061</v>
      </c>
      <c r="M616">
        <v>424.34613199790948</v>
      </c>
      <c r="N616">
        <v>4.8433517591182786</v>
      </c>
      <c r="O616">
        <v>399.15963657630164</v>
      </c>
      <c r="P616">
        <v>4.487123993751827</v>
      </c>
    </row>
    <row r="617" spans="4:16" x14ac:dyDescent="0.55000000000000004">
      <c r="D617">
        <v>610</v>
      </c>
      <c r="E617">
        <v>6.6337626320283167</v>
      </c>
      <c r="F617">
        <v>3.3662373679716837</v>
      </c>
      <c r="G617">
        <v>4.8943369586205101</v>
      </c>
      <c r="H617">
        <v>5.1056630413794899</v>
      </c>
      <c r="I617">
        <v>319.90039593209838</v>
      </c>
      <c r="J617">
        <v>4.8272440060787858</v>
      </c>
      <c r="K617">
        <v>299.87577953958646</v>
      </c>
      <c r="L617">
        <v>4.4712906480523413</v>
      </c>
      <c r="M617">
        <v>286.0199509292782</v>
      </c>
      <c r="N617">
        <v>4.8725420108055175</v>
      </c>
      <c r="O617">
        <v>273.0865606289554</v>
      </c>
      <c r="P617">
        <v>4.5127591738936017</v>
      </c>
    </row>
    <row r="618" spans="4:16" x14ac:dyDescent="0.55000000000000004">
      <c r="D618">
        <v>611</v>
      </c>
      <c r="E618">
        <v>6.6444815425942148</v>
      </c>
      <c r="F618">
        <v>3.3555184574057852</v>
      </c>
      <c r="G618">
        <v>6.4980283691005418</v>
      </c>
      <c r="H618">
        <v>3.5019716308994573</v>
      </c>
      <c r="I618">
        <v>340.99816094592308</v>
      </c>
      <c r="J618">
        <v>4.8321142494619043</v>
      </c>
      <c r="K618">
        <v>319.68827611412183</v>
      </c>
      <c r="L618">
        <v>4.4758386148393612</v>
      </c>
      <c r="M618">
        <v>383.48210984307985</v>
      </c>
      <c r="N618">
        <v>4.8358146737603329</v>
      </c>
      <c r="O618">
        <v>362.84132368470017</v>
      </c>
      <c r="P618">
        <v>4.4792096176163945</v>
      </c>
    </row>
    <row r="619" spans="4:16" x14ac:dyDescent="0.55000000000000004">
      <c r="D619">
        <v>612</v>
      </c>
      <c r="E619">
        <v>5.9641360003407229</v>
      </c>
      <c r="F619">
        <v>4.0358639996592753</v>
      </c>
      <c r="G619">
        <v>6.1470805018706898</v>
      </c>
      <c r="H619">
        <v>3.8529194981293107</v>
      </c>
      <c r="I619">
        <v>306.30896494207747</v>
      </c>
      <c r="J619">
        <v>4.7558480842418636</v>
      </c>
      <c r="K619">
        <v>288.33713410510387</v>
      </c>
      <c r="L619">
        <v>4.4034057591530358</v>
      </c>
      <c r="M619">
        <v>365.70471663222787</v>
      </c>
      <c r="N619">
        <v>4.7483589440674265</v>
      </c>
      <c r="O619">
        <v>346.90260933903318</v>
      </c>
      <c r="P619">
        <v>4.3965784134756483</v>
      </c>
    </row>
    <row r="620" spans="4:16" x14ac:dyDescent="0.55000000000000004">
      <c r="D620">
        <v>613</v>
      </c>
      <c r="E620">
        <v>7.0069529940743056</v>
      </c>
      <c r="F620">
        <v>2.9930470059256935</v>
      </c>
      <c r="G620">
        <v>6.7559876539238539</v>
      </c>
      <c r="H620">
        <v>3.244012346076147</v>
      </c>
      <c r="I620">
        <v>334.99338070466644</v>
      </c>
      <c r="J620">
        <v>4.7227139808654357</v>
      </c>
      <c r="K620">
        <v>313.5092946301296</v>
      </c>
      <c r="L620">
        <v>4.3737298652920131</v>
      </c>
      <c r="M620">
        <v>372.99505164383288</v>
      </c>
      <c r="N620">
        <v>4.7326454275541634</v>
      </c>
      <c r="O620">
        <v>352.58736021948062</v>
      </c>
      <c r="P620">
        <v>4.3827703415772667</v>
      </c>
    </row>
    <row r="621" spans="4:16" x14ac:dyDescent="0.55000000000000004">
      <c r="D621">
        <v>614</v>
      </c>
      <c r="E621">
        <v>6.5315746885309132</v>
      </c>
      <c r="F621">
        <v>3.4684253114690877</v>
      </c>
      <c r="G621">
        <v>7.3625366526089007</v>
      </c>
      <c r="H621">
        <v>2.637463347391098</v>
      </c>
      <c r="I621">
        <v>326.17300182142708</v>
      </c>
      <c r="J621">
        <v>4.824943873809362</v>
      </c>
      <c r="K621">
        <v>305.90152895990843</v>
      </c>
      <c r="L621">
        <v>4.4690562527964035</v>
      </c>
      <c r="M621">
        <v>417.6694817895231</v>
      </c>
      <c r="N621">
        <v>4.8026728305495032</v>
      </c>
      <c r="O621">
        <v>393.6514394392297</v>
      </c>
      <c r="P621">
        <v>4.4487959827689902</v>
      </c>
    </row>
    <row r="622" spans="4:16" x14ac:dyDescent="0.55000000000000004">
      <c r="D622">
        <v>615</v>
      </c>
      <c r="E622">
        <v>6.3285793968540993</v>
      </c>
      <c r="F622">
        <v>3.6714206031459007</v>
      </c>
      <c r="G622">
        <v>5.1750358663728084</v>
      </c>
      <c r="H622">
        <v>4.8249641336271907</v>
      </c>
      <c r="I622">
        <v>289.96159913913573</v>
      </c>
      <c r="J622">
        <v>4.8335771333476387</v>
      </c>
      <c r="K622">
        <v>272.03408438904472</v>
      </c>
      <c r="L622">
        <v>4.4770993306855207</v>
      </c>
      <c r="M622">
        <v>287.10876980729086</v>
      </c>
      <c r="N622">
        <v>4.8639119066217802</v>
      </c>
      <c r="O622">
        <v>273.59826498797958</v>
      </c>
      <c r="P622">
        <v>4.5048989701457565</v>
      </c>
    </row>
    <row r="623" spans="4:16" x14ac:dyDescent="0.55000000000000004">
      <c r="D623">
        <v>616</v>
      </c>
      <c r="E623">
        <v>7.2727393001231313</v>
      </c>
      <c r="F623">
        <v>2.72726069987687</v>
      </c>
      <c r="G623">
        <v>5.4898614977253386</v>
      </c>
      <c r="H623">
        <v>4.5101385022746623</v>
      </c>
      <c r="I623">
        <v>355.52565863929044</v>
      </c>
      <c r="J623">
        <v>4.7472732579716777</v>
      </c>
      <c r="K623">
        <v>332.48305296929675</v>
      </c>
      <c r="L623">
        <v>4.3968859171779684</v>
      </c>
      <c r="M623">
        <v>318.3702170905861</v>
      </c>
      <c r="N623">
        <v>4.8092280290476843</v>
      </c>
      <c r="O623">
        <v>303.0312168249385</v>
      </c>
      <c r="P623">
        <v>4.4533645515859099</v>
      </c>
    </row>
    <row r="624" spans="4:16" x14ac:dyDescent="0.55000000000000004">
      <c r="D624">
        <v>617</v>
      </c>
      <c r="E624">
        <v>6.8002601056374159</v>
      </c>
      <c r="F624">
        <v>3.1997398943625841</v>
      </c>
      <c r="G624">
        <v>5.3916871161148761</v>
      </c>
      <c r="H624">
        <v>4.6083128838851248</v>
      </c>
      <c r="I624">
        <v>325.84463185299774</v>
      </c>
      <c r="J624">
        <v>4.9213450542754922</v>
      </c>
      <c r="K624">
        <v>305.55779026873421</v>
      </c>
      <c r="L624">
        <v>4.5594747889305509</v>
      </c>
      <c r="M624">
        <v>308.35075072504543</v>
      </c>
      <c r="N624">
        <v>4.9376372593263049</v>
      </c>
      <c r="O624">
        <v>294.08073026180267</v>
      </c>
      <c r="P624">
        <v>4.5743146062712556</v>
      </c>
    </row>
    <row r="625" spans="4:16" x14ac:dyDescent="0.55000000000000004">
      <c r="D625">
        <v>618</v>
      </c>
      <c r="E625">
        <v>4.8438663498055661</v>
      </c>
      <c r="F625">
        <v>5.1561336501944348</v>
      </c>
      <c r="G625">
        <v>5.4116232314620873</v>
      </c>
      <c r="H625">
        <v>4.5883767685379127</v>
      </c>
      <c r="I625">
        <v>253.82654790690412</v>
      </c>
      <c r="J625">
        <v>4.8547018404104465</v>
      </c>
      <c r="K625">
        <v>240.41062204044024</v>
      </c>
      <c r="L625">
        <v>4.4956142678671487</v>
      </c>
      <c r="M625">
        <v>333.57794047516694</v>
      </c>
      <c r="N625">
        <v>4.8376712239479769</v>
      </c>
      <c r="O625">
        <v>317.69465668619091</v>
      </c>
      <c r="P625">
        <v>4.4799960433240678</v>
      </c>
    </row>
    <row r="626" spans="4:16" x14ac:dyDescent="0.55000000000000004">
      <c r="D626">
        <v>619</v>
      </c>
      <c r="E626">
        <v>6.7913375881360878</v>
      </c>
      <c r="F626">
        <v>3.2086624118639109</v>
      </c>
      <c r="G626">
        <v>6.3345639283141271</v>
      </c>
      <c r="H626">
        <v>3.665436071685872</v>
      </c>
      <c r="I626">
        <v>351.78084315565025</v>
      </c>
      <c r="J626">
        <v>4.8109999482100765</v>
      </c>
      <c r="K626">
        <v>329.60681070319305</v>
      </c>
      <c r="L626">
        <v>4.4561460492711671</v>
      </c>
      <c r="M626">
        <v>378.12067001624325</v>
      </c>
      <c r="N626">
        <v>4.8237117659105291</v>
      </c>
      <c r="O626">
        <v>358.05470608513912</v>
      </c>
      <c r="P626">
        <v>4.4677252724387904</v>
      </c>
    </row>
    <row r="627" spans="4:16" x14ac:dyDescent="0.55000000000000004">
      <c r="D627">
        <v>620</v>
      </c>
      <c r="E627">
        <v>5.5334191408847078</v>
      </c>
      <c r="F627">
        <v>4.4665808591152913</v>
      </c>
      <c r="G627">
        <v>5.2389016327695863</v>
      </c>
      <c r="H627">
        <v>4.7610983672304155</v>
      </c>
      <c r="I627">
        <v>266.77332522458926</v>
      </c>
      <c r="J627">
        <v>4.8877003705944837</v>
      </c>
      <c r="K627">
        <v>252.00954583337136</v>
      </c>
      <c r="L627">
        <v>4.5271479978271394</v>
      </c>
      <c r="M627">
        <v>302.57425355184967</v>
      </c>
      <c r="N627">
        <v>4.8936775442320979</v>
      </c>
      <c r="O627">
        <v>289.04290540119462</v>
      </c>
      <c r="P627">
        <v>4.5326063730748967</v>
      </c>
    </row>
    <row r="628" spans="4:16" x14ac:dyDescent="0.55000000000000004">
      <c r="D628">
        <v>621</v>
      </c>
      <c r="E628">
        <v>7.7418350575878261</v>
      </c>
      <c r="F628">
        <v>2.2581649424121739</v>
      </c>
      <c r="G628">
        <v>6.743950716583071</v>
      </c>
      <c r="H628">
        <v>3.256049283416929</v>
      </c>
      <c r="I628">
        <v>385.48267691275697</v>
      </c>
      <c r="J628">
        <v>4.7945932067911059</v>
      </c>
      <c r="K628">
        <v>359.76570354200589</v>
      </c>
      <c r="L628">
        <v>4.441529389671226</v>
      </c>
      <c r="M628">
        <v>385.79586181549911</v>
      </c>
      <c r="N628">
        <v>4.8210691289664629</v>
      </c>
      <c r="O628">
        <v>364.60903141205557</v>
      </c>
      <c r="P628">
        <v>4.4655913975634727</v>
      </c>
    </row>
    <row r="629" spans="4:16" x14ac:dyDescent="0.55000000000000004">
      <c r="D629">
        <v>622</v>
      </c>
      <c r="E629">
        <v>6.1094154766059718</v>
      </c>
      <c r="F629">
        <v>3.8905845233940282</v>
      </c>
      <c r="G629">
        <v>5.7247065561594646</v>
      </c>
      <c r="H629">
        <v>4.2752934438405354</v>
      </c>
      <c r="I629">
        <v>294.63884555124821</v>
      </c>
      <c r="J629">
        <v>4.7418913432826484</v>
      </c>
      <c r="K629">
        <v>277.20095215786614</v>
      </c>
      <c r="L629">
        <v>4.3903999723943832</v>
      </c>
      <c r="M629">
        <v>326.08548432910447</v>
      </c>
      <c r="N629">
        <v>4.7581444043265169</v>
      </c>
      <c r="O629">
        <v>310.28190742642022</v>
      </c>
      <c r="P629">
        <v>4.4052213443027748</v>
      </c>
    </row>
    <row r="630" spans="4:16" x14ac:dyDescent="0.55000000000000004">
      <c r="D630">
        <v>623</v>
      </c>
      <c r="E630">
        <v>6.5666579980888153</v>
      </c>
      <c r="F630">
        <v>3.4333420019111847</v>
      </c>
      <c r="G630">
        <v>6.2783386602038238</v>
      </c>
      <c r="H630">
        <v>3.7216613397961762</v>
      </c>
      <c r="I630">
        <v>337.53297273730522</v>
      </c>
      <c r="J630">
        <v>4.8919504665017186</v>
      </c>
      <c r="K630">
        <v>316.58520475910137</v>
      </c>
      <c r="L630">
        <v>4.5318889084672671</v>
      </c>
      <c r="M630">
        <v>372.71306232895199</v>
      </c>
      <c r="N630">
        <v>4.896694549407524</v>
      </c>
      <c r="O630">
        <v>353.07887121156875</v>
      </c>
      <c r="P630">
        <v>4.5362124950705214</v>
      </c>
    </row>
    <row r="631" spans="4:16" x14ac:dyDescent="0.55000000000000004">
      <c r="D631">
        <v>624</v>
      </c>
      <c r="E631">
        <v>6.8012214655850718</v>
      </c>
      <c r="F631">
        <v>3.1987785344149269</v>
      </c>
      <c r="G631">
        <v>6.0718948026261401</v>
      </c>
      <c r="H631">
        <v>3.9281051973738617</v>
      </c>
      <c r="I631">
        <v>348.72468079322778</v>
      </c>
      <c r="J631">
        <v>4.9407993099494041</v>
      </c>
      <c r="K631">
        <v>326.74668950950104</v>
      </c>
      <c r="L631">
        <v>4.5777631055585299</v>
      </c>
      <c r="M631">
        <v>361.32930864995865</v>
      </c>
      <c r="N631">
        <v>4.9471476757448638</v>
      </c>
      <c r="O631">
        <v>342.6666770815911</v>
      </c>
      <c r="P631">
        <v>4.5835486445920051</v>
      </c>
    </row>
    <row r="632" spans="4:16" x14ac:dyDescent="0.55000000000000004">
      <c r="D632">
        <v>625</v>
      </c>
      <c r="E632">
        <v>6.8196807089009388</v>
      </c>
      <c r="F632">
        <v>3.1803192910990576</v>
      </c>
      <c r="G632">
        <v>5.2612950617088492</v>
      </c>
      <c r="H632">
        <v>4.7387049382911499</v>
      </c>
      <c r="I632">
        <v>335.29408496229735</v>
      </c>
      <c r="J632">
        <v>4.8654551444353391</v>
      </c>
      <c r="K632">
        <v>314.3068006679211</v>
      </c>
      <c r="L632">
        <v>4.5071095364371612</v>
      </c>
      <c r="M632">
        <v>308.67503021510555</v>
      </c>
      <c r="N632">
        <v>4.8962003920158965</v>
      </c>
      <c r="O632">
        <v>294.43980673969696</v>
      </c>
      <c r="P632">
        <v>4.5351453564184974</v>
      </c>
    </row>
    <row r="633" spans="4:16" x14ac:dyDescent="0.55000000000000004">
      <c r="D633">
        <v>626</v>
      </c>
      <c r="E633">
        <v>6.3140517528661828</v>
      </c>
      <c r="F633">
        <v>3.6859482471338185</v>
      </c>
      <c r="G633">
        <v>5.4898412951575262</v>
      </c>
      <c r="H633">
        <v>4.5101587048424738</v>
      </c>
      <c r="I633">
        <v>300.46688980434465</v>
      </c>
      <c r="J633">
        <v>4.7387244025244017</v>
      </c>
      <c r="K633">
        <v>282.18820822110786</v>
      </c>
      <c r="L633">
        <v>4.3878516476720328</v>
      </c>
      <c r="M633">
        <v>311.24517251963618</v>
      </c>
      <c r="N633">
        <v>4.7728302490096963</v>
      </c>
      <c r="O633">
        <v>296.35740358150656</v>
      </c>
      <c r="P633">
        <v>4.4190088740018263</v>
      </c>
    </row>
    <row r="634" spans="4:16" x14ac:dyDescent="0.55000000000000004">
      <c r="D634">
        <v>627</v>
      </c>
      <c r="E634">
        <v>7.4599777881929263</v>
      </c>
      <c r="F634">
        <v>2.5400222118070754</v>
      </c>
      <c r="G634">
        <v>6.7529760474540357</v>
      </c>
      <c r="H634">
        <v>3.2470239525459617</v>
      </c>
      <c r="I634">
        <v>369.18132918796874</v>
      </c>
      <c r="J634">
        <v>4.8825054112615431</v>
      </c>
      <c r="K634">
        <v>345.03396732846272</v>
      </c>
      <c r="L634">
        <v>4.5234232181647211</v>
      </c>
      <c r="M634">
        <v>384.19304238672652</v>
      </c>
      <c r="N634">
        <v>4.8936406828567156</v>
      </c>
      <c r="O634">
        <v>363.25945522880681</v>
      </c>
      <c r="P634">
        <v>4.5335356830602924</v>
      </c>
    </row>
    <row r="635" spans="4:16" x14ac:dyDescent="0.55000000000000004">
      <c r="D635">
        <v>628</v>
      </c>
      <c r="E635">
        <v>7.925254694866374</v>
      </c>
      <c r="F635">
        <v>2.074745305133626</v>
      </c>
      <c r="G635">
        <v>7.0716754432697497</v>
      </c>
      <c r="H635">
        <v>2.9283245567302529</v>
      </c>
      <c r="I635">
        <v>370.76306179794676</v>
      </c>
      <c r="J635">
        <v>4.7169044711490598</v>
      </c>
      <c r="K635">
        <v>345.91131734338131</v>
      </c>
      <c r="L635">
        <v>4.3691127168633006</v>
      </c>
      <c r="M635">
        <v>380.83050833513323</v>
      </c>
      <c r="N635">
        <v>4.747394906971075</v>
      </c>
      <c r="O635">
        <v>359.71041320177193</v>
      </c>
      <c r="P635">
        <v>4.3967538579552805</v>
      </c>
    </row>
    <row r="636" spans="4:16" x14ac:dyDescent="0.55000000000000004">
      <c r="D636">
        <v>629</v>
      </c>
      <c r="E636">
        <v>7.2857297828903178</v>
      </c>
      <c r="F636">
        <v>2.7142702171096826</v>
      </c>
      <c r="G636">
        <v>6.5846077738792097</v>
      </c>
      <c r="H636">
        <v>3.4153922261207956</v>
      </c>
      <c r="I636">
        <v>352.75419771014191</v>
      </c>
      <c r="J636">
        <v>4.9247860138564743</v>
      </c>
      <c r="K636">
        <v>329.66909965753325</v>
      </c>
      <c r="L636">
        <v>4.5629409381148278</v>
      </c>
      <c r="M636">
        <v>368.80787535730815</v>
      </c>
      <c r="N636">
        <v>4.9320240233136108</v>
      </c>
      <c r="O636">
        <v>348.74339243931973</v>
      </c>
      <c r="P636">
        <v>4.569534894272655</v>
      </c>
    </row>
    <row r="637" spans="4:16" x14ac:dyDescent="0.55000000000000004">
      <c r="D637">
        <v>630</v>
      </c>
      <c r="E637">
        <v>5.8480349518804307</v>
      </c>
      <c r="F637">
        <v>4.1519650481195693</v>
      </c>
      <c r="G637">
        <v>5.992565269952876</v>
      </c>
      <c r="H637">
        <v>4.007434730047124</v>
      </c>
      <c r="I637">
        <v>270.48741782865744</v>
      </c>
      <c r="J637">
        <v>4.7926185004630284</v>
      </c>
      <c r="K637">
        <v>254.677572377454</v>
      </c>
      <c r="L637">
        <v>4.437972575535456</v>
      </c>
      <c r="M637">
        <v>327.1723355582958</v>
      </c>
      <c r="N637">
        <v>4.7874932037886682</v>
      </c>
      <c r="O637">
        <v>310.78041492056366</v>
      </c>
      <c r="P637">
        <v>4.4332935533162789</v>
      </c>
    </row>
    <row r="638" spans="4:16" x14ac:dyDescent="0.55000000000000004">
      <c r="D638">
        <v>631</v>
      </c>
      <c r="E638">
        <v>6.597840980234337</v>
      </c>
      <c r="F638">
        <v>3.4021590197656639</v>
      </c>
      <c r="G638">
        <v>5.7043164413277792</v>
      </c>
      <c r="H638">
        <v>4.2956835586722217</v>
      </c>
      <c r="I638">
        <v>331.35391335309481</v>
      </c>
      <c r="J638">
        <v>4.8773030297257316</v>
      </c>
      <c r="K638">
        <v>310.8323412083235</v>
      </c>
      <c r="L638">
        <v>4.5181346952426171</v>
      </c>
      <c r="M638">
        <v>336.47971078733485</v>
      </c>
      <c r="N638">
        <v>4.8939194886731325</v>
      </c>
      <c r="O638">
        <v>319.90627840960718</v>
      </c>
      <c r="P638">
        <v>4.533289198353331</v>
      </c>
    </row>
    <row r="639" spans="4:16" x14ac:dyDescent="0.55000000000000004">
      <c r="D639">
        <v>632</v>
      </c>
      <c r="E639">
        <v>6.0629074884373413</v>
      </c>
      <c r="F639">
        <v>3.9370925115626587</v>
      </c>
      <c r="G639">
        <v>5.2781666971161254</v>
      </c>
      <c r="H639">
        <v>4.7218333028838746</v>
      </c>
      <c r="I639">
        <v>300.07039682478</v>
      </c>
      <c r="J639">
        <v>4.7308692851770484</v>
      </c>
      <c r="K639">
        <v>281.9143221826078</v>
      </c>
      <c r="L639">
        <v>4.3803860587728787</v>
      </c>
      <c r="M639">
        <v>311.23136108071964</v>
      </c>
      <c r="N639">
        <v>4.7657037025785653</v>
      </c>
      <c r="O639">
        <v>296.3245499662803</v>
      </c>
      <c r="P639">
        <v>4.412306237965228</v>
      </c>
    </row>
    <row r="640" spans="4:16" x14ac:dyDescent="0.55000000000000004">
      <c r="D640">
        <v>633</v>
      </c>
      <c r="E640">
        <v>6.0324277370185504</v>
      </c>
      <c r="F640">
        <v>3.9675722629814496</v>
      </c>
      <c r="G640">
        <v>5.7725601942532139</v>
      </c>
      <c r="H640">
        <v>4.2274398057467852</v>
      </c>
      <c r="I640">
        <v>299.40222303760891</v>
      </c>
      <c r="J640">
        <v>5.0189608827532872</v>
      </c>
      <c r="K640">
        <v>281.5452714386488</v>
      </c>
      <c r="L640">
        <v>4.6510627544386685</v>
      </c>
      <c r="M640">
        <v>336.50444400217918</v>
      </c>
      <c r="N640">
        <v>5.0181440776087314</v>
      </c>
      <c r="O640">
        <v>319.76139413840036</v>
      </c>
      <c r="P640">
        <v>4.6503164917235749</v>
      </c>
    </row>
    <row r="641" spans="4:16" x14ac:dyDescent="0.55000000000000004">
      <c r="D641">
        <v>634</v>
      </c>
      <c r="E641">
        <v>7.2730001318178852</v>
      </c>
      <c r="F641">
        <v>2.7269998681821135</v>
      </c>
      <c r="G641">
        <v>7.0484058943612062</v>
      </c>
      <c r="H641">
        <v>2.951594105638796</v>
      </c>
      <c r="I641">
        <v>346.86868684716558</v>
      </c>
      <c r="J641">
        <v>4.63996576543604</v>
      </c>
      <c r="K641">
        <v>324.07151719222514</v>
      </c>
      <c r="L641">
        <v>4.2968609482285869</v>
      </c>
      <c r="M641">
        <v>386.15719134213708</v>
      </c>
      <c r="N641">
        <v>4.6510838202833726</v>
      </c>
      <c r="O641">
        <v>364.31240488264893</v>
      </c>
      <c r="P641">
        <v>4.3069904717734744</v>
      </c>
    </row>
    <row r="642" spans="4:16" x14ac:dyDescent="0.55000000000000004">
      <c r="D642">
        <v>635</v>
      </c>
      <c r="E642">
        <v>7.4484453892940001</v>
      </c>
      <c r="F642">
        <v>2.5515546107060003</v>
      </c>
      <c r="G642">
        <v>6.0482550655999594</v>
      </c>
      <c r="H642">
        <v>3.9517449344000406</v>
      </c>
      <c r="I642">
        <v>407.98918791933556</v>
      </c>
      <c r="J642">
        <v>4.7455849515537958</v>
      </c>
      <c r="K642">
        <v>381.22799061886758</v>
      </c>
      <c r="L642">
        <v>4.3955055113618018</v>
      </c>
      <c r="M642">
        <v>381.29365170481947</v>
      </c>
      <c r="N642">
        <v>4.7934109703292771</v>
      </c>
      <c r="O642">
        <v>361.40198920600557</v>
      </c>
      <c r="P642">
        <v>4.4390478062516605</v>
      </c>
    </row>
    <row r="643" spans="4:16" x14ac:dyDescent="0.55000000000000004">
      <c r="D643">
        <v>636</v>
      </c>
      <c r="E643">
        <v>6.6806673112734032</v>
      </c>
      <c r="F643">
        <v>3.3193326887265968</v>
      </c>
      <c r="G643">
        <v>6.1857816184820846</v>
      </c>
      <c r="H643">
        <v>3.8142183815179154</v>
      </c>
      <c r="I643">
        <v>339.64548127523494</v>
      </c>
      <c r="J643">
        <v>4.8615869340691908</v>
      </c>
      <c r="K643">
        <v>318.44693847456921</v>
      </c>
      <c r="L643">
        <v>4.5034585473014577</v>
      </c>
      <c r="M643">
        <v>364.48546634368807</v>
      </c>
      <c r="N643">
        <v>4.8718401981269519</v>
      </c>
      <c r="O643">
        <v>345.52534717724546</v>
      </c>
      <c r="P643">
        <v>4.5127996040867968</v>
      </c>
    </row>
    <row r="644" spans="4:16" x14ac:dyDescent="0.55000000000000004">
      <c r="D644">
        <v>637</v>
      </c>
      <c r="E644">
        <v>7.4321718528675529</v>
      </c>
      <c r="F644">
        <v>2.5678281471324476</v>
      </c>
      <c r="G644">
        <v>6.1210611161501127</v>
      </c>
      <c r="H644">
        <v>3.8789388838498886</v>
      </c>
      <c r="I644">
        <v>366.25265049153609</v>
      </c>
      <c r="J644">
        <v>4.7725197750173693</v>
      </c>
      <c r="K644">
        <v>342.39841882097903</v>
      </c>
      <c r="L644">
        <v>4.4205684210657008</v>
      </c>
      <c r="M644">
        <v>351.6419563476166</v>
      </c>
      <c r="N644">
        <v>4.8126496013009961</v>
      </c>
      <c r="O644">
        <v>333.67830517898818</v>
      </c>
      <c r="P644">
        <v>4.4570395964807012</v>
      </c>
    </row>
    <row r="645" spans="4:16" x14ac:dyDescent="0.55000000000000004">
      <c r="D645">
        <v>638</v>
      </c>
      <c r="E645">
        <v>6.3705348073752281</v>
      </c>
      <c r="F645">
        <v>3.6294651926247723</v>
      </c>
      <c r="G645">
        <v>5.9523812502213627</v>
      </c>
      <c r="H645">
        <v>4.0476187497786391</v>
      </c>
      <c r="I645">
        <v>314.08730927642335</v>
      </c>
      <c r="J645">
        <v>4.818628556126102</v>
      </c>
      <c r="K645">
        <v>295.00417512134254</v>
      </c>
      <c r="L645">
        <v>4.4628809538013794</v>
      </c>
      <c r="M645">
        <v>343.47102985844208</v>
      </c>
      <c r="N645">
        <v>4.8305335400427118</v>
      </c>
      <c r="O645">
        <v>326.21235816453748</v>
      </c>
      <c r="P645">
        <v>4.4737323918372605</v>
      </c>
    </row>
    <row r="646" spans="4:16" x14ac:dyDescent="0.55000000000000004">
      <c r="D646">
        <v>639</v>
      </c>
      <c r="E646">
        <v>6.4806391929859792</v>
      </c>
      <c r="F646">
        <v>3.5193608070140208</v>
      </c>
      <c r="G646">
        <v>6.6031729799729337</v>
      </c>
      <c r="H646">
        <v>3.396827020027068</v>
      </c>
      <c r="I646">
        <v>334.35141824749343</v>
      </c>
      <c r="J646">
        <v>4.9436689501596032</v>
      </c>
      <c r="K646">
        <v>313.88718608414729</v>
      </c>
      <c r="L646">
        <v>4.5803494717141815</v>
      </c>
      <c r="M646">
        <v>390.67322451417556</v>
      </c>
      <c r="N646">
        <v>4.9426038612607543</v>
      </c>
      <c r="O646">
        <v>369.638233136282</v>
      </c>
      <c r="P646">
        <v>4.5793805435133503</v>
      </c>
    </row>
    <row r="647" spans="4:16" x14ac:dyDescent="0.55000000000000004">
      <c r="D647">
        <v>640</v>
      </c>
      <c r="E647">
        <v>6.9536338104886264</v>
      </c>
      <c r="F647">
        <v>3.0463661895113749</v>
      </c>
      <c r="G647">
        <v>6.7549301636537642</v>
      </c>
      <c r="H647">
        <v>3.2450698363462358</v>
      </c>
      <c r="I647">
        <v>326.28469322920978</v>
      </c>
      <c r="J647">
        <v>4.7204551669384358</v>
      </c>
      <c r="K647">
        <v>305.73782979404808</v>
      </c>
      <c r="L647">
        <v>4.3712914556907609</v>
      </c>
      <c r="M647">
        <v>366.96094104179309</v>
      </c>
      <c r="N647">
        <v>4.728443303687798</v>
      </c>
      <c r="O647">
        <v>347.27428088934244</v>
      </c>
      <c r="P647">
        <v>4.3785426121647548</v>
      </c>
    </row>
    <row r="648" spans="4:16" x14ac:dyDescent="0.55000000000000004">
      <c r="D648">
        <v>641</v>
      </c>
      <c r="E648">
        <v>6.7058175473386177</v>
      </c>
      <c r="F648">
        <v>3.294182452661381</v>
      </c>
      <c r="G648">
        <v>7.4930393850974424</v>
      </c>
      <c r="H648">
        <v>2.5069606149025585</v>
      </c>
      <c r="I648">
        <v>345.88331660314446</v>
      </c>
      <c r="J648">
        <v>4.8326145175388664</v>
      </c>
      <c r="K648">
        <v>323.97606882301193</v>
      </c>
      <c r="L648">
        <v>4.4764489662602491</v>
      </c>
      <c r="M648">
        <v>436.4878958694726</v>
      </c>
      <c r="N648">
        <v>4.8129644888604846</v>
      </c>
      <c r="O648">
        <v>410.93657179630378</v>
      </c>
      <c r="P648">
        <v>4.4585624382746021</v>
      </c>
    </row>
    <row r="649" spans="4:16" x14ac:dyDescent="0.55000000000000004">
      <c r="D649">
        <v>642</v>
      </c>
      <c r="E649">
        <v>5.5086822536599449</v>
      </c>
      <c r="F649">
        <v>4.491317746340056</v>
      </c>
      <c r="G649">
        <v>6.5923227430228089</v>
      </c>
      <c r="H649">
        <v>3.4076772569771863</v>
      </c>
      <c r="I649">
        <v>279.81911166273028</v>
      </c>
      <c r="J649">
        <v>4.9413319992989075</v>
      </c>
      <c r="K649">
        <v>264.14317948424519</v>
      </c>
      <c r="L649">
        <v>4.5778514152271601</v>
      </c>
      <c r="M649">
        <v>384.86373125280079</v>
      </c>
      <c r="N649">
        <v>4.9297911229037519</v>
      </c>
      <c r="O649">
        <v>364.30115256749332</v>
      </c>
      <c r="P649">
        <v>4.5673350927982588</v>
      </c>
    </row>
    <row r="650" spans="4:16" x14ac:dyDescent="0.55000000000000004">
      <c r="D650">
        <v>643</v>
      </c>
      <c r="E650">
        <v>6.6867205454173773</v>
      </c>
      <c r="F650">
        <v>3.3132794545826223</v>
      </c>
      <c r="G650">
        <v>6.2135082674659152</v>
      </c>
      <c r="H650">
        <v>3.7864917325340848</v>
      </c>
      <c r="I650">
        <v>323.34221162591575</v>
      </c>
      <c r="J650">
        <v>4.9346765186304378</v>
      </c>
      <c r="K650">
        <v>303.15183803895343</v>
      </c>
      <c r="L650">
        <v>4.5719882327017665</v>
      </c>
      <c r="M650">
        <v>350.459618659439</v>
      </c>
      <c r="N650">
        <v>4.9392993936575396</v>
      </c>
      <c r="O650">
        <v>332.30654962723662</v>
      </c>
      <c r="P650">
        <v>4.5761995195682692</v>
      </c>
    </row>
    <row r="651" spans="4:16" x14ac:dyDescent="0.55000000000000004">
      <c r="D651">
        <v>644</v>
      </c>
      <c r="E651">
        <v>6.1875067147566689</v>
      </c>
      <c r="F651">
        <v>3.8124932852433306</v>
      </c>
      <c r="G651">
        <v>6.6258141020894268</v>
      </c>
      <c r="H651">
        <v>3.3741858979105732</v>
      </c>
      <c r="I651">
        <v>291.94325830144254</v>
      </c>
      <c r="J651">
        <v>4.9184985507829113</v>
      </c>
      <c r="K651">
        <v>274.36888289954408</v>
      </c>
      <c r="L651">
        <v>4.5566375050037031</v>
      </c>
      <c r="M651">
        <v>362.62378321955566</v>
      </c>
      <c r="N651">
        <v>4.9127251934490159</v>
      </c>
      <c r="O651">
        <v>343.20783903866158</v>
      </c>
      <c r="P651">
        <v>4.5513782562167711</v>
      </c>
    </row>
    <row r="652" spans="4:16" x14ac:dyDescent="0.55000000000000004">
      <c r="D652">
        <v>645</v>
      </c>
      <c r="E652">
        <v>7.5790153501497519</v>
      </c>
      <c r="F652">
        <v>2.420984649850249</v>
      </c>
      <c r="G652">
        <v>5.2775576826285553</v>
      </c>
      <c r="H652">
        <v>4.7224423173714447</v>
      </c>
      <c r="I652">
        <v>377.67960251872034</v>
      </c>
      <c r="J652">
        <v>4.8814317919157455</v>
      </c>
      <c r="K652">
        <v>352.8239650416715</v>
      </c>
      <c r="L652">
        <v>4.5224676730280544</v>
      </c>
      <c r="M652">
        <v>312.99272342882745</v>
      </c>
      <c r="N652">
        <v>4.9174364309107528</v>
      </c>
      <c r="O652">
        <v>298.34656655146483</v>
      </c>
      <c r="P652">
        <v>4.5552671619114253</v>
      </c>
    </row>
    <row r="653" spans="4:16" x14ac:dyDescent="0.55000000000000004">
      <c r="D653">
        <v>646</v>
      </c>
      <c r="E653">
        <v>7.5110849066741592</v>
      </c>
      <c r="F653">
        <v>2.4889150933258386</v>
      </c>
      <c r="G653">
        <v>6.8444197792959773</v>
      </c>
      <c r="H653">
        <v>3.1555802207040227</v>
      </c>
      <c r="I653">
        <v>378.0954608212038</v>
      </c>
      <c r="J653">
        <v>4.6890359282675851</v>
      </c>
      <c r="K653">
        <v>353.34159419745049</v>
      </c>
      <c r="L653">
        <v>4.3426274474385744</v>
      </c>
      <c r="M653">
        <v>394.53665251569481</v>
      </c>
      <c r="N653">
        <v>4.716636322227628</v>
      </c>
      <c r="O653">
        <v>372.88959965400716</v>
      </c>
      <c r="P653">
        <v>4.367672646857355</v>
      </c>
    </row>
    <row r="654" spans="4:16" x14ac:dyDescent="0.55000000000000004">
      <c r="D654">
        <v>647</v>
      </c>
      <c r="E654">
        <v>7.0165868362744206</v>
      </c>
      <c r="F654">
        <v>2.983413163725579</v>
      </c>
      <c r="G654">
        <v>5.6540239619418875</v>
      </c>
      <c r="H654">
        <v>4.3459760380581125</v>
      </c>
      <c r="I654">
        <v>355.05071671692053</v>
      </c>
      <c r="J654">
        <v>4.7069657701216396</v>
      </c>
      <c r="K654">
        <v>332.50534598545215</v>
      </c>
      <c r="L654">
        <v>4.3588058919560524</v>
      </c>
      <c r="M654">
        <v>336.10281706254898</v>
      </c>
      <c r="N654">
        <v>4.7638705832248842</v>
      </c>
      <c r="O654">
        <v>319.71258644917873</v>
      </c>
      <c r="P654">
        <v>4.4106306794196417</v>
      </c>
    </row>
    <row r="655" spans="4:16" x14ac:dyDescent="0.55000000000000004">
      <c r="D655">
        <v>648</v>
      </c>
      <c r="E655">
        <v>5.9897618552958258</v>
      </c>
      <c r="F655">
        <v>4.0102381447041742</v>
      </c>
      <c r="G655">
        <v>5.8385618948481275</v>
      </c>
      <c r="H655">
        <v>4.1614381051518725</v>
      </c>
      <c r="I655">
        <v>283.01380017723693</v>
      </c>
      <c r="J655">
        <v>4.8986301208681731</v>
      </c>
      <c r="K655">
        <v>265.58558625036449</v>
      </c>
      <c r="L655">
        <v>4.5381052952188581</v>
      </c>
      <c r="M655">
        <v>325.86966382812369</v>
      </c>
      <c r="N655">
        <v>4.9011890075293802</v>
      </c>
      <c r="O655">
        <v>309.03178123223182</v>
      </c>
      <c r="P655">
        <v>4.5404527370118934</v>
      </c>
    </row>
    <row r="656" spans="4:16" x14ac:dyDescent="0.55000000000000004">
      <c r="D656">
        <v>649</v>
      </c>
      <c r="E656">
        <v>6.3026168170550081</v>
      </c>
      <c r="F656">
        <v>3.6973831829449928</v>
      </c>
      <c r="G656">
        <v>5.1857210293859701</v>
      </c>
      <c r="H656">
        <v>4.8142789706140299</v>
      </c>
      <c r="I656">
        <v>311.89829094180465</v>
      </c>
      <c r="J656">
        <v>4.8867685940328576</v>
      </c>
      <c r="K656">
        <v>292.86705776130935</v>
      </c>
      <c r="L656">
        <v>4.5269104207212667</v>
      </c>
      <c r="M656">
        <v>306.62634637563485</v>
      </c>
      <c r="N656">
        <v>4.9068344942815161</v>
      </c>
      <c r="O656">
        <v>292.29661465430121</v>
      </c>
      <c r="P656">
        <v>4.5452694901348796</v>
      </c>
    </row>
    <row r="657" spans="4:16" x14ac:dyDescent="0.55000000000000004">
      <c r="D657">
        <v>650</v>
      </c>
      <c r="E657">
        <v>5.6064658264735021</v>
      </c>
      <c r="F657">
        <v>4.3935341735264979</v>
      </c>
      <c r="G657">
        <v>6.0632352408984049</v>
      </c>
      <c r="H657">
        <v>3.9367647591015964</v>
      </c>
      <c r="I657">
        <v>275.76253014223681</v>
      </c>
      <c r="J657">
        <v>4.8697756288799354</v>
      </c>
      <c r="K657">
        <v>259.20572598441129</v>
      </c>
      <c r="L657">
        <v>4.5108270473607162</v>
      </c>
      <c r="M657">
        <v>348.22942699169613</v>
      </c>
      <c r="N657">
        <v>4.8591660021415564</v>
      </c>
      <c r="O657">
        <v>329.82141296224319</v>
      </c>
      <c r="P657">
        <v>4.5010916243846095</v>
      </c>
    </row>
    <row r="658" spans="4:16" x14ac:dyDescent="0.55000000000000004">
      <c r="D658">
        <v>651</v>
      </c>
      <c r="E658">
        <v>5.8221924695218341</v>
      </c>
      <c r="F658">
        <v>4.177807530478165</v>
      </c>
      <c r="G658">
        <v>6.512823146852055</v>
      </c>
      <c r="H658">
        <v>3.4871768531479455</v>
      </c>
      <c r="I658">
        <v>262.57483803999878</v>
      </c>
      <c r="J658">
        <v>4.8138586081076111</v>
      </c>
      <c r="K658">
        <v>247.3644695506454</v>
      </c>
      <c r="L658">
        <v>4.4578740962740282</v>
      </c>
      <c r="M658">
        <v>343.72156484347215</v>
      </c>
      <c r="N658">
        <v>4.7917784456542414</v>
      </c>
      <c r="O658">
        <v>325.7411558922874</v>
      </c>
      <c r="P658">
        <v>4.4377576375441841</v>
      </c>
    </row>
    <row r="659" spans="4:16" x14ac:dyDescent="0.55000000000000004">
      <c r="D659">
        <v>652</v>
      </c>
      <c r="E659">
        <v>5.8324318362118168</v>
      </c>
      <c r="F659">
        <v>4.1675681637881832</v>
      </c>
      <c r="G659">
        <v>6.7702188429448</v>
      </c>
      <c r="H659">
        <v>3.2297811570551986</v>
      </c>
      <c r="I659">
        <v>286.1499441786508</v>
      </c>
      <c r="J659">
        <v>4.8522362166890876</v>
      </c>
      <c r="K659">
        <v>269.33192185903653</v>
      </c>
      <c r="L659">
        <v>4.4941535424293546</v>
      </c>
      <c r="M659">
        <v>382.1595174002386</v>
      </c>
      <c r="N659">
        <v>4.8284775239266029</v>
      </c>
      <c r="O659">
        <v>361.28486654716528</v>
      </c>
      <c r="P659">
        <v>4.4724896352566832</v>
      </c>
    </row>
    <row r="660" spans="4:16" x14ac:dyDescent="0.55000000000000004">
      <c r="D660">
        <v>653</v>
      </c>
      <c r="E660">
        <v>6.0405678360765185</v>
      </c>
      <c r="F660">
        <v>3.9594321639234806</v>
      </c>
      <c r="G660">
        <v>5.5789095926128836</v>
      </c>
      <c r="H660">
        <v>4.4210904073871156</v>
      </c>
      <c r="I660">
        <v>304.28008812740802</v>
      </c>
      <c r="J660">
        <v>4.7882579216043455</v>
      </c>
      <c r="K660">
        <v>286.13185610266891</v>
      </c>
      <c r="L660">
        <v>4.4341196293918719</v>
      </c>
      <c r="M660">
        <v>331.02508713778252</v>
      </c>
      <c r="N660">
        <v>4.804440584994973</v>
      </c>
      <c r="O660">
        <v>314.87541479037611</v>
      </c>
      <c r="P660">
        <v>4.4489115373686934</v>
      </c>
    </row>
    <row r="661" spans="4:16" x14ac:dyDescent="0.55000000000000004">
      <c r="D661">
        <v>654</v>
      </c>
      <c r="E661">
        <v>6.4316128532312877</v>
      </c>
      <c r="F661">
        <v>3.5683871467687132</v>
      </c>
      <c r="G661">
        <v>5.2654542007398701</v>
      </c>
      <c r="H661">
        <v>4.734545799260129</v>
      </c>
      <c r="I661">
        <v>330.43312855524687</v>
      </c>
      <c r="J661">
        <v>4.8097870687421969</v>
      </c>
      <c r="K661">
        <v>310.35026404728956</v>
      </c>
      <c r="L661">
        <v>4.4545804519668017</v>
      </c>
      <c r="M661">
        <v>320.52009262975366</v>
      </c>
      <c r="N661">
        <v>4.8442758448336551</v>
      </c>
      <c r="O661">
        <v>305.68043833944728</v>
      </c>
      <c r="P661">
        <v>4.4860509883646165</v>
      </c>
    </row>
    <row r="662" spans="4:16" x14ac:dyDescent="0.55000000000000004">
      <c r="D662">
        <v>655</v>
      </c>
      <c r="E662">
        <v>7.1603092725198181</v>
      </c>
      <c r="F662">
        <v>2.8396907274801806</v>
      </c>
      <c r="G662">
        <v>6.9617028215862105</v>
      </c>
      <c r="H662">
        <v>3.0382971784137878</v>
      </c>
      <c r="I662">
        <v>344.44958533337638</v>
      </c>
      <c r="J662">
        <v>4.8098793033342897</v>
      </c>
      <c r="K662">
        <v>322.29741306517275</v>
      </c>
      <c r="L662">
        <v>4.4553390441587108</v>
      </c>
      <c r="M662">
        <v>384.8955413577674</v>
      </c>
      <c r="N662">
        <v>4.8151527063922703</v>
      </c>
      <c r="O662">
        <v>363.61829356804236</v>
      </c>
      <c r="P662">
        <v>4.4601295282106586</v>
      </c>
    </row>
    <row r="663" spans="4:16" x14ac:dyDescent="0.55000000000000004">
      <c r="D663">
        <v>656</v>
      </c>
      <c r="E663">
        <v>5.5023056752766735</v>
      </c>
      <c r="F663">
        <v>4.4976943247233274</v>
      </c>
      <c r="G663">
        <v>5.6902265999523394</v>
      </c>
      <c r="H663">
        <v>4.3097734000476624</v>
      </c>
      <c r="I663">
        <v>269.74064118980198</v>
      </c>
      <c r="J663">
        <v>4.895242110841961</v>
      </c>
      <c r="K663">
        <v>254.7270173050367</v>
      </c>
      <c r="L663">
        <v>4.534305617423521</v>
      </c>
      <c r="M663">
        <v>328.95312659255922</v>
      </c>
      <c r="N663">
        <v>4.8916643017271193</v>
      </c>
      <c r="O663">
        <v>313.13713675576616</v>
      </c>
      <c r="P663">
        <v>4.5310394193551131</v>
      </c>
    </row>
    <row r="664" spans="4:16" x14ac:dyDescent="0.55000000000000004">
      <c r="D664">
        <v>657</v>
      </c>
      <c r="E664">
        <v>5.9568185731745924</v>
      </c>
      <c r="F664">
        <v>4.0431814268254085</v>
      </c>
      <c r="G664">
        <v>6.2419904936902588</v>
      </c>
      <c r="H664">
        <v>3.7580095063097412</v>
      </c>
      <c r="I664">
        <v>300.12984755396263</v>
      </c>
      <c r="J664">
        <v>4.8047954950093592</v>
      </c>
      <c r="K664">
        <v>282.6095781165817</v>
      </c>
      <c r="L664">
        <v>4.4494234182165568</v>
      </c>
      <c r="M664">
        <v>364.4980214339713</v>
      </c>
      <c r="N664">
        <v>4.7954504322216183</v>
      </c>
      <c r="O664">
        <v>345.69810125495081</v>
      </c>
      <c r="P664">
        <v>4.4409106404934917</v>
      </c>
    </row>
    <row r="665" spans="4:16" x14ac:dyDescent="0.55000000000000004">
      <c r="D665">
        <v>658</v>
      </c>
      <c r="E665">
        <v>8.17400671460301</v>
      </c>
      <c r="F665">
        <v>1.8259932853969902</v>
      </c>
      <c r="G665">
        <v>6.3229317696915528</v>
      </c>
      <c r="H665">
        <v>3.677068230308445</v>
      </c>
      <c r="I665">
        <v>444.80960215164544</v>
      </c>
      <c r="J665">
        <v>4.772308344774709</v>
      </c>
      <c r="K665">
        <v>414.55013905515727</v>
      </c>
      <c r="L665">
        <v>4.4210304668292277</v>
      </c>
      <c r="M665">
        <v>394.07859732778485</v>
      </c>
      <c r="N665">
        <v>4.8238711013112283</v>
      </c>
      <c r="O665">
        <v>373.05641769174815</v>
      </c>
      <c r="P665">
        <v>4.4678647904571021</v>
      </c>
    </row>
    <row r="666" spans="4:16" x14ac:dyDescent="0.55000000000000004">
      <c r="D666">
        <v>659</v>
      </c>
      <c r="E666">
        <v>7.4254196169698092</v>
      </c>
      <c r="F666">
        <v>2.574580383030193</v>
      </c>
      <c r="G666">
        <v>5.1946094836675467</v>
      </c>
      <c r="H666">
        <v>4.8053905163324515</v>
      </c>
      <c r="I666">
        <v>365.95527586943791</v>
      </c>
      <c r="J666">
        <v>4.8516439319091758</v>
      </c>
      <c r="K666">
        <v>342.26369278306493</v>
      </c>
      <c r="L666">
        <v>4.494481094139557</v>
      </c>
      <c r="M666">
        <v>306.01176023575624</v>
      </c>
      <c r="N666">
        <v>4.8962143719793279</v>
      </c>
      <c r="O666">
        <v>292.26924791175657</v>
      </c>
      <c r="P666">
        <v>4.5350182407534074</v>
      </c>
    </row>
    <row r="667" spans="4:16" x14ac:dyDescent="0.55000000000000004">
      <c r="D667">
        <v>660</v>
      </c>
      <c r="E667">
        <v>6.6512558559346644</v>
      </c>
      <c r="F667">
        <v>3.3487441440653356</v>
      </c>
      <c r="G667">
        <v>5.8872849765280151</v>
      </c>
      <c r="H667">
        <v>4.1127150234719867</v>
      </c>
      <c r="I667">
        <v>329.42290906226805</v>
      </c>
      <c r="J667">
        <v>4.8616611667497809</v>
      </c>
      <c r="K667">
        <v>309.16571795021582</v>
      </c>
      <c r="L667">
        <v>4.5034007685741768</v>
      </c>
      <c r="M667">
        <v>341.58501574044641</v>
      </c>
      <c r="N667">
        <v>4.8775509238698547</v>
      </c>
      <c r="O667">
        <v>324.74356564663697</v>
      </c>
      <c r="P667">
        <v>4.517856109282552</v>
      </c>
    </row>
    <row r="668" spans="4:16" x14ac:dyDescent="0.55000000000000004">
      <c r="D668">
        <v>661</v>
      </c>
      <c r="E668">
        <v>7.7279890790149937</v>
      </c>
      <c r="F668">
        <v>2.2720109209850041</v>
      </c>
      <c r="G668">
        <v>5.6037448741506486</v>
      </c>
      <c r="H668">
        <v>4.3962551258493514</v>
      </c>
      <c r="I668">
        <v>398.93641964262792</v>
      </c>
      <c r="J668">
        <v>4.8838584497851851</v>
      </c>
      <c r="K668">
        <v>372.39476802009494</v>
      </c>
      <c r="L668">
        <v>4.52481820387748</v>
      </c>
      <c r="M668">
        <v>339.27808952977063</v>
      </c>
      <c r="N668">
        <v>4.915783056880934</v>
      </c>
      <c r="O668">
        <v>322.52893759443867</v>
      </c>
      <c r="P668">
        <v>4.5538919404130329</v>
      </c>
    </row>
    <row r="669" spans="4:16" x14ac:dyDescent="0.55000000000000004">
      <c r="D669">
        <v>662</v>
      </c>
      <c r="E669">
        <v>5.8754134670770544</v>
      </c>
      <c r="F669">
        <v>4.1245865329229456</v>
      </c>
      <c r="G669">
        <v>6.1684012779270843</v>
      </c>
      <c r="H669">
        <v>3.8315987220729157</v>
      </c>
      <c r="I669">
        <v>282.5123092804634</v>
      </c>
      <c r="J669">
        <v>4.8845352581223827</v>
      </c>
      <c r="K669">
        <v>266.15932352130119</v>
      </c>
      <c r="L669">
        <v>4.5244515738386291</v>
      </c>
      <c r="M669">
        <v>346.6002817266729</v>
      </c>
      <c r="N669">
        <v>4.8787774059911833</v>
      </c>
      <c r="O669">
        <v>328.99568430306823</v>
      </c>
      <c r="P669">
        <v>4.5192052640828173</v>
      </c>
    </row>
    <row r="670" spans="4:16" x14ac:dyDescent="0.55000000000000004">
      <c r="D670">
        <v>663</v>
      </c>
      <c r="E670">
        <v>5.7211492024085828</v>
      </c>
      <c r="F670">
        <v>4.2788507975914163</v>
      </c>
      <c r="G670">
        <v>6.6447439241612472</v>
      </c>
      <c r="H670">
        <v>3.3552560758387511</v>
      </c>
      <c r="I670">
        <v>280.7689561279451</v>
      </c>
      <c r="J670">
        <v>4.8201830150924616</v>
      </c>
      <c r="K670">
        <v>264.50208144955474</v>
      </c>
      <c r="L670">
        <v>4.4638337853992347</v>
      </c>
      <c r="M670">
        <v>376.09494164893164</v>
      </c>
      <c r="N670">
        <v>4.7911542286954614</v>
      </c>
      <c r="O670">
        <v>355.83367516223683</v>
      </c>
      <c r="P670">
        <v>4.437363185994891</v>
      </c>
    </row>
    <row r="671" spans="4:16" x14ac:dyDescent="0.55000000000000004">
      <c r="D671">
        <v>664</v>
      </c>
      <c r="E671">
        <v>7.3613682274876879</v>
      </c>
      <c r="F671">
        <v>2.6386317725123103</v>
      </c>
      <c r="G671">
        <v>5.8003986382559978</v>
      </c>
      <c r="H671">
        <v>4.1996013617440031</v>
      </c>
      <c r="I671">
        <v>377.0243003126929</v>
      </c>
      <c r="J671">
        <v>4.939612370635051</v>
      </c>
      <c r="K671">
        <v>352.15674993905782</v>
      </c>
      <c r="L671">
        <v>4.5768281198288827</v>
      </c>
      <c r="M671">
        <v>347.07673499570518</v>
      </c>
      <c r="N671">
        <v>4.9524174973576205</v>
      </c>
      <c r="O671">
        <v>329.126121869884</v>
      </c>
      <c r="P671">
        <v>4.5885253671852828</v>
      </c>
    </row>
    <row r="672" spans="4:16" x14ac:dyDescent="0.55000000000000004">
      <c r="D672">
        <v>665</v>
      </c>
      <c r="E672">
        <v>6.0145018284135245</v>
      </c>
      <c r="F672">
        <v>3.9854981715864777</v>
      </c>
      <c r="G672">
        <v>6.6258613155403365</v>
      </c>
      <c r="H672">
        <v>3.3741386844596621</v>
      </c>
      <c r="I672">
        <v>299.34875406633915</v>
      </c>
      <c r="J672">
        <v>4.942549339546682</v>
      </c>
      <c r="K672">
        <v>281.71077758111056</v>
      </c>
      <c r="L672">
        <v>4.5791671361496427</v>
      </c>
      <c r="M672">
        <v>379.77682707705458</v>
      </c>
      <c r="N672">
        <v>4.9367096195978224</v>
      </c>
      <c r="O672">
        <v>359.41386407336626</v>
      </c>
      <c r="P672">
        <v>4.5738503924052454</v>
      </c>
    </row>
    <row r="673" spans="4:16" x14ac:dyDescent="0.55000000000000004">
      <c r="D673">
        <v>666</v>
      </c>
      <c r="E673">
        <v>7.3794217788001681</v>
      </c>
      <c r="F673">
        <v>2.6205782211998314</v>
      </c>
      <c r="G673">
        <v>6.6229599498127296</v>
      </c>
      <c r="H673">
        <v>3.377040050187269</v>
      </c>
      <c r="I673">
        <v>357.89982161919397</v>
      </c>
      <c r="J673">
        <v>4.8695373002220972</v>
      </c>
      <c r="K673">
        <v>334.33633958960837</v>
      </c>
      <c r="L673">
        <v>4.5113594671907506</v>
      </c>
      <c r="M673">
        <v>371.21164173576233</v>
      </c>
      <c r="N673">
        <v>4.8829109838855178</v>
      </c>
      <c r="O673">
        <v>350.91315142251375</v>
      </c>
      <c r="P673">
        <v>4.5235429864329131</v>
      </c>
    </row>
    <row r="674" spans="4:16" x14ac:dyDescent="0.55000000000000004">
      <c r="D674">
        <v>667</v>
      </c>
      <c r="E674">
        <v>7.5335382449514654</v>
      </c>
      <c r="F674">
        <v>2.4664617550485337</v>
      </c>
      <c r="G674">
        <v>5.6526816991260773</v>
      </c>
      <c r="H674">
        <v>4.3473183008739236</v>
      </c>
      <c r="I674">
        <v>385.81827142448083</v>
      </c>
      <c r="J674">
        <v>4.697521551899948</v>
      </c>
      <c r="K674">
        <v>360.50648798220385</v>
      </c>
      <c r="L674">
        <v>4.3505985251919315</v>
      </c>
      <c r="M674">
        <v>339.49317188787569</v>
      </c>
      <c r="N674">
        <v>4.7730396617949031</v>
      </c>
      <c r="O674">
        <v>322.84892908930226</v>
      </c>
      <c r="P674">
        <v>4.4193213523412771</v>
      </c>
    </row>
    <row r="675" spans="4:16" x14ac:dyDescent="0.55000000000000004">
      <c r="D675">
        <v>668</v>
      </c>
      <c r="E675">
        <v>7.9406349772194043</v>
      </c>
      <c r="F675">
        <v>2.0593650227805953</v>
      </c>
      <c r="G675">
        <v>6.9786134761570446</v>
      </c>
      <c r="H675">
        <v>3.0213865238429571</v>
      </c>
      <c r="I675">
        <v>381.84604575809954</v>
      </c>
      <c r="J675">
        <v>4.7814856900042422</v>
      </c>
      <c r="K675">
        <v>356.02213711036558</v>
      </c>
      <c r="L675">
        <v>4.4294963554709614</v>
      </c>
      <c r="M675">
        <v>385.58474459404988</v>
      </c>
      <c r="N675">
        <v>4.8079590721844845</v>
      </c>
      <c r="O675">
        <v>363.96283862570618</v>
      </c>
      <c r="P675">
        <v>4.4535651095915778</v>
      </c>
    </row>
    <row r="676" spans="4:16" x14ac:dyDescent="0.55000000000000004">
      <c r="D676">
        <v>669</v>
      </c>
      <c r="E676">
        <v>6.0808644252384916</v>
      </c>
      <c r="F676">
        <v>3.9191355747615089</v>
      </c>
      <c r="G676">
        <v>4.8187195576555393</v>
      </c>
      <c r="H676">
        <v>5.1812804423444616</v>
      </c>
      <c r="I676">
        <v>302.58840002687083</v>
      </c>
      <c r="J676">
        <v>4.8242627729709806</v>
      </c>
      <c r="K676">
        <v>284.71386732535012</v>
      </c>
      <c r="L676">
        <v>4.4678766772177116</v>
      </c>
      <c r="M676">
        <v>289.78311949817794</v>
      </c>
      <c r="N676">
        <v>4.8607388105253353</v>
      </c>
      <c r="O676">
        <v>277.27514882543255</v>
      </c>
      <c r="P676">
        <v>4.5012359240109783</v>
      </c>
    </row>
    <row r="677" spans="4:16" x14ac:dyDescent="0.55000000000000004">
      <c r="D677">
        <v>670</v>
      </c>
      <c r="E677">
        <v>6.3474884005421988</v>
      </c>
      <c r="F677">
        <v>3.6525115994578017</v>
      </c>
      <c r="G677">
        <v>7.404541740342732</v>
      </c>
      <c r="H677">
        <v>2.5954582596572671</v>
      </c>
      <c r="I677">
        <v>328.90555591537412</v>
      </c>
      <c r="J677">
        <v>4.9020698340710842</v>
      </c>
      <c r="K677">
        <v>308.48044674794454</v>
      </c>
      <c r="L677">
        <v>4.5413840563729684</v>
      </c>
      <c r="M677">
        <v>433.67851403997656</v>
      </c>
      <c r="N677">
        <v>4.885761429481712</v>
      </c>
      <c r="O677">
        <v>408.40104699269943</v>
      </c>
      <c r="P677">
        <v>4.5265204197535311</v>
      </c>
    </row>
    <row r="678" spans="4:16" x14ac:dyDescent="0.55000000000000004">
      <c r="D678">
        <v>671</v>
      </c>
      <c r="E678">
        <v>7.6733955610165125</v>
      </c>
      <c r="F678">
        <v>2.3266044389834879</v>
      </c>
      <c r="G678">
        <v>5.5600041989999696</v>
      </c>
      <c r="H678">
        <v>4.4399958010000296</v>
      </c>
      <c r="I678">
        <v>380.47408036177956</v>
      </c>
      <c r="J678">
        <v>4.7948295935639216</v>
      </c>
      <c r="K678">
        <v>354.98765434561295</v>
      </c>
      <c r="L678">
        <v>4.4418058695441216</v>
      </c>
      <c r="M678">
        <v>325.68466497013333</v>
      </c>
      <c r="N678">
        <v>4.8513372193282303</v>
      </c>
      <c r="O678">
        <v>309.25803095623525</v>
      </c>
      <c r="P678">
        <v>4.4934280082193636</v>
      </c>
    </row>
    <row r="679" spans="4:16" x14ac:dyDescent="0.55000000000000004">
      <c r="D679">
        <v>672</v>
      </c>
      <c r="E679">
        <v>6.4509987774497652</v>
      </c>
      <c r="F679">
        <v>3.5490012225502356</v>
      </c>
      <c r="G679">
        <v>5.5581029898239178</v>
      </c>
      <c r="H679">
        <v>4.4418970101760813</v>
      </c>
      <c r="I679">
        <v>314.13890878163187</v>
      </c>
      <c r="J679">
        <v>4.7843026868781386</v>
      </c>
      <c r="K679">
        <v>294.74338649586446</v>
      </c>
      <c r="L679">
        <v>4.4308529783165476</v>
      </c>
      <c r="M679">
        <v>320.65830708612435</v>
      </c>
      <c r="N679">
        <v>4.8141577882249189</v>
      </c>
      <c r="O679">
        <v>305.01222171107617</v>
      </c>
      <c r="P679">
        <v>4.4581336024344527</v>
      </c>
    </row>
    <row r="680" spans="4:16" x14ac:dyDescent="0.55000000000000004">
      <c r="D680">
        <v>673</v>
      </c>
      <c r="E680">
        <v>6.5753155188714016</v>
      </c>
      <c r="F680">
        <v>3.424684481128597</v>
      </c>
      <c r="G680">
        <v>6.5190577849447884</v>
      </c>
      <c r="H680">
        <v>3.4809422150552125</v>
      </c>
      <c r="I680">
        <v>331.17787349968188</v>
      </c>
      <c r="J680">
        <v>4.7971134469269527</v>
      </c>
      <c r="K680">
        <v>310.55785255459608</v>
      </c>
      <c r="L680">
        <v>4.4429784437563296</v>
      </c>
      <c r="M680">
        <v>378.34434914085011</v>
      </c>
      <c r="N680">
        <v>4.7988493237358023</v>
      </c>
      <c r="O680">
        <v>357.97594770495783</v>
      </c>
      <c r="P680">
        <v>4.4445601731447395</v>
      </c>
    </row>
    <row r="681" spans="4:16" x14ac:dyDescent="0.55000000000000004">
      <c r="D681">
        <v>674</v>
      </c>
      <c r="E681">
        <v>5.5544914270803023</v>
      </c>
      <c r="F681">
        <v>4.4455085729196977</v>
      </c>
      <c r="G681">
        <v>6.4988707619903865</v>
      </c>
      <c r="H681">
        <v>3.5011292380096131</v>
      </c>
      <c r="I681">
        <v>290.11841997703709</v>
      </c>
      <c r="J681">
        <v>4.9190898733708508</v>
      </c>
      <c r="K681">
        <v>273.46163170987592</v>
      </c>
      <c r="L681">
        <v>4.5569679645859118</v>
      </c>
      <c r="M681">
        <v>389.44459935816116</v>
      </c>
      <c r="N681">
        <v>4.9053334651421876</v>
      </c>
      <c r="O681">
        <v>368.50088226886749</v>
      </c>
      <c r="P681">
        <v>4.5444071231670931</v>
      </c>
    </row>
    <row r="682" spans="4:16" x14ac:dyDescent="0.55000000000000004">
      <c r="D682">
        <v>675</v>
      </c>
      <c r="E682">
        <v>7.352534765546805</v>
      </c>
      <c r="F682">
        <v>2.6474652344531941</v>
      </c>
      <c r="G682">
        <v>4.9435123167042017</v>
      </c>
      <c r="H682">
        <v>5.0564876832957983</v>
      </c>
      <c r="I682">
        <v>375.38114959272752</v>
      </c>
      <c r="J682">
        <v>4.7583694126199454</v>
      </c>
      <c r="K682">
        <v>350.91232039606251</v>
      </c>
      <c r="L682">
        <v>4.4073525876698474</v>
      </c>
      <c r="M682">
        <v>302.38933179423367</v>
      </c>
      <c r="N682">
        <v>4.8375385057132831</v>
      </c>
      <c r="O682">
        <v>288.60403936367271</v>
      </c>
      <c r="P682">
        <v>4.4796447524281024</v>
      </c>
    </row>
    <row r="683" spans="4:16" x14ac:dyDescent="0.55000000000000004">
      <c r="D683">
        <v>676</v>
      </c>
      <c r="E683">
        <v>7.0771038816954253</v>
      </c>
      <c r="F683">
        <v>2.9228961183045747</v>
      </c>
      <c r="G683">
        <v>6.2516629715845049</v>
      </c>
      <c r="H683">
        <v>3.7483370284154933</v>
      </c>
      <c r="I683">
        <v>360.51554077727701</v>
      </c>
      <c r="J683">
        <v>4.8857989448732679</v>
      </c>
      <c r="K683">
        <v>337.54626825596654</v>
      </c>
      <c r="L683">
        <v>4.5263076931193007</v>
      </c>
      <c r="M683">
        <v>368.46666300709012</v>
      </c>
      <c r="N683">
        <v>4.8991188317161392</v>
      </c>
      <c r="O683">
        <v>349.31665846396606</v>
      </c>
      <c r="P683">
        <v>4.5384177446469449</v>
      </c>
    </row>
    <row r="684" spans="4:16" x14ac:dyDescent="0.55000000000000004">
      <c r="D684">
        <v>677</v>
      </c>
      <c r="E684">
        <v>6.6648494155660716</v>
      </c>
      <c r="F684">
        <v>3.3351505844339284</v>
      </c>
      <c r="G684">
        <v>6.6237306172726553</v>
      </c>
      <c r="H684">
        <v>3.3762693827273469</v>
      </c>
      <c r="I684">
        <v>317.40448770536631</v>
      </c>
      <c r="J684">
        <v>4.9199104832366078</v>
      </c>
      <c r="K684">
        <v>297.62071838641651</v>
      </c>
      <c r="L684">
        <v>4.5581351865159689</v>
      </c>
      <c r="M684">
        <v>365.44626025060938</v>
      </c>
      <c r="N684">
        <v>4.9204045956283347</v>
      </c>
      <c r="O684">
        <v>345.83859407002518</v>
      </c>
      <c r="P684">
        <v>4.5585848634450636</v>
      </c>
    </row>
    <row r="685" spans="4:16" x14ac:dyDescent="0.55000000000000004">
      <c r="D685">
        <v>678</v>
      </c>
      <c r="E685">
        <v>5.4444989991861021</v>
      </c>
      <c r="F685">
        <v>4.5555010008138952</v>
      </c>
      <c r="G685">
        <v>5.5027765610185178</v>
      </c>
      <c r="H685">
        <v>4.4972234389814831</v>
      </c>
      <c r="I685">
        <v>263.79895787798131</v>
      </c>
      <c r="J685">
        <v>4.8516913836149804</v>
      </c>
      <c r="K685">
        <v>248.90642997278135</v>
      </c>
      <c r="L685">
        <v>4.4932967472739671</v>
      </c>
      <c r="M685">
        <v>316.62264470047103</v>
      </c>
      <c r="N685">
        <v>4.8501038978678173</v>
      </c>
      <c r="O685">
        <v>301.49113914095329</v>
      </c>
      <c r="P685">
        <v>4.4918436155270776</v>
      </c>
    </row>
    <row r="686" spans="4:16" x14ac:dyDescent="0.55000000000000004">
      <c r="D686">
        <v>679</v>
      </c>
      <c r="E686">
        <v>6.5981171850500511</v>
      </c>
      <c r="F686">
        <v>3.4018828149499494</v>
      </c>
      <c r="G686">
        <v>7.3553824681314453</v>
      </c>
      <c r="H686">
        <v>2.6446175318685543</v>
      </c>
      <c r="I686">
        <v>317.65058623745654</v>
      </c>
      <c r="J686">
        <v>4.8792351824447051</v>
      </c>
      <c r="K686">
        <v>297.70289535550728</v>
      </c>
      <c r="L686">
        <v>4.5200516587148014</v>
      </c>
      <c r="M686">
        <v>404.10731387077362</v>
      </c>
      <c r="N686">
        <v>4.8653750157960287</v>
      </c>
      <c r="O686">
        <v>380.8944301849773</v>
      </c>
      <c r="P686">
        <v>4.5074328573597029</v>
      </c>
    </row>
    <row r="687" spans="4:16" x14ac:dyDescent="0.55000000000000004">
      <c r="D687">
        <v>680</v>
      </c>
      <c r="E687">
        <v>7.4528877841732744</v>
      </c>
      <c r="F687">
        <v>2.5471122158267261</v>
      </c>
      <c r="G687">
        <v>6.7589214162542541</v>
      </c>
      <c r="H687">
        <v>3.2410785837457468</v>
      </c>
      <c r="I687">
        <v>359.30933766874887</v>
      </c>
      <c r="J687">
        <v>4.8516877016204178</v>
      </c>
      <c r="K687">
        <v>335.9308869197547</v>
      </c>
      <c r="L687">
        <v>4.4945703735688571</v>
      </c>
      <c r="M687">
        <v>375.85269599612366</v>
      </c>
      <c r="N687">
        <v>4.865497616649967</v>
      </c>
      <c r="O687">
        <v>355.5850618774254</v>
      </c>
      <c r="P687">
        <v>4.5070962352329422</v>
      </c>
    </row>
    <row r="688" spans="4:16" x14ac:dyDescent="0.55000000000000004">
      <c r="D688">
        <v>681</v>
      </c>
      <c r="E688">
        <v>7.3610548909043887</v>
      </c>
      <c r="F688">
        <v>2.638945109095614</v>
      </c>
      <c r="G688">
        <v>5.1578869728411103</v>
      </c>
      <c r="H688">
        <v>4.8421130271588897</v>
      </c>
      <c r="I688">
        <v>357.8829045784102</v>
      </c>
      <c r="J688">
        <v>4.7850003483127264</v>
      </c>
      <c r="K688">
        <v>334.6768748530065</v>
      </c>
      <c r="L688">
        <v>4.4321742046454</v>
      </c>
      <c r="M688">
        <v>300.76834756502251</v>
      </c>
      <c r="N688">
        <v>4.8493498664201757</v>
      </c>
      <c r="O688">
        <v>287.0804585363511</v>
      </c>
      <c r="P688">
        <v>4.4908056599218824</v>
      </c>
    </row>
    <row r="689" spans="4:16" x14ac:dyDescent="0.55000000000000004">
      <c r="D689">
        <v>682</v>
      </c>
      <c r="E689">
        <v>4.9685623959134162</v>
      </c>
      <c r="F689">
        <v>5.0314376040865838</v>
      </c>
      <c r="G689">
        <v>5.8939645851313838</v>
      </c>
      <c r="H689">
        <v>4.1060354148686162</v>
      </c>
      <c r="I689">
        <v>246.5625115176835</v>
      </c>
      <c r="J689">
        <v>4.8832206837025076</v>
      </c>
      <c r="K689">
        <v>233.19402469997073</v>
      </c>
      <c r="L689">
        <v>4.522785132370668</v>
      </c>
      <c r="M689">
        <v>342.48514864209812</v>
      </c>
      <c r="N689">
        <v>4.8614703611049759</v>
      </c>
      <c r="O689">
        <v>325.26221592057158</v>
      </c>
      <c r="P689">
        <v>4.5028603896416346</v>
      </c>
    </row>
    <row r="690" spans="4:16" x14ac:dyDescent="0.55000000000000004">
      <c r="D690">
        <v>683</v>
      </c>
      <c r="E690">
        <v>8.2318812833789465</v>
      </c>
      <c r="F690">
        <v>1.7681187166210508</v>
      </c>
      <c r="G690">
        <v>6.3833743185997163</v>
      </c>
      <c r="H690">
        <v>3.6166256814002846</v>
      </c>
      <c r="I690">
        <v>410.60118424742677</v>
      </c>
      <c r="J690">
        <v>4.7632207981926484</v>
      </c>
      <c r="K690">
        <v>382.43743666948319</v>
      </c>
      <c r="L690">
        <v>4.4126945736868013</v>
      </c>
      <c r="M690">
        <v>368.3987917808991</v>
      </c>
      <c r="N690">
        <v>4.8163906616283017</v>
      </c>
      <c r="O690">
        <v>348.51643501792881</v>
      </c>
      <c r="P690">
        <v>4.461088851512252</v>
      </c>
    </row>
    <row r="691" spans="4:16" x14ac:dyDescent="0.55000000000000004">
      <c r="D691">
        <v>684</v>
      </c>
      <c r="E691">
        <v>7.8605741584802606</v>
      </c>
      <c r="F691">
        <v>2.1394258415197394</v>
      </c>
      <c r="G691">
        <v>5.9312357340802668</v>
      </c>
      <c r="H691">
        <v>4.0687642659197341</v>
      </c>
      <c r="I691">
        <v>383.73161377415215</v>
      </c>
      <c r="J691">
        <v>4.8082648537315569</v>
      </c>
      <c r="K691">
        <v>357.74510550863408</v>
      </c>
      <c r="L691">
        <v>4.4544819963793003</v>
      </c>
      <c r="M691">
        <v>339.54661759129999</v>
      </c>
      <c r="N691">
        <v>4.8553252818307664</v>
      </c>
      <c r="O691">
        <v>321.75812891663168</v>
      </c>
      <c r="P691">
        <v>4.4974462061088429</v>
      </c>
    </row>
    <row r="692" spans="4:16" x14ac:dyDescent="0.55000000000000004">
      <c r="D692">
        <v>685</v>
      </c>
      <c r="E692">
        <v>5.0026384299947475</v>
      </c>
      <c r="F692">
        <v>4.9973615700052507</v>
      </c>
      <c r="G692">
        <v>5.9550918447635093</v>
      </c>
      <c r="H692">
        <v>4.0449081552364907</v>
      </c>
      <c r="I692">
        <v>263.29762661000774</v>
      </c>
      <c r="J692">
        <v>4.802965729095857</v>
      </c>
      <c r="K692">
        <v>248.59798031645224</v>
      </c>
      <c r="L692">
        <v>4.4471986946454898</v>
      </c>
      <c r="M692">
        <v>363.42691879742557</v>
      </c>
      <c r="N692">
        <v>4.7654523315606845</v>
      </c>
      <c r="O692">
        <v>344.59350856441239</v>
      </c>
      <c r="P692">
        <v>4.4127787285794406</v>
      </c>
    </row>
    <row r="693" spans="4:16" x14ac:dyDescent="0.55000000000000004">
      <c r="D693">
        <v>686</v>
      </c>
      <c r="E693">
        <v>7.0397934174565817</v>
      </c>
      <c r="F693">
        <v>2.9602065825434187</v>
      </c>
      <c r="G693">
        <v>6.1466867402850216</v>
      </c>
      <c r="H693">
        <v>3.8533132597149788</v>
      </c>
      <c r="I693">
        <v>334.58458642947141</v>
      </c>
      <c r="J693">
        <v>4.7667990683761605</v>
      </c>
      <c r="K693">
        <v>313.38016705584795</v>
      </c>
      <c r="L693">
        <v>4.4148109988199442</v>
      </c>
      <c r="M693">
        <v>342.13735673124449</v>
      </c>
      <c r="N693">
        <v>4.7963842133946812</v>
      </c>
      <c r="O693">
        <v>324.79977133884864</v>
      </c>
      <c r="P693">
        <v>4.4417010128508725</v>
      </c>
    </row>
    <row r="694" spans="4:16" x14ac:dyDescent="0.55000000000000004">
      <c r="D694">
        <v>687</v>
      </c>
      <c r="E694">
        <v>7.6225864849130049</v>
      </c>
      <c r="F694">
        <v>2.3774135150869959</v>
      </c>
      <c r="G694">
        <v>6.1503348837426346</v>
      </c>
      <c r="H694">
        <v>3.849665116257365</v>
      </c>
      <c r="I694">
        <v>361.94991861014245</v>
      </c>
      <c r="J694">
        <v>4.8918651396724009</v>
      </c>
      <c r="K694">
        <v>337.89162236235427</v>
      </c>
      <c r="L694">
        <v>4.5322854469472871</v>
      </c>
      <c r="M694">
        <v>342.0417124819507</v>
      </c>
      <c r="N694">
        <v>4.9127506647595531</v>
      </c>
      <c r="O694">
        <v>324.21281983886649</v>
      </c>
      <c r="P694">
        <v>4.5513098977418815</v>
      </c>
    </row>
    <row r="695" spans="4:16" x14ac:dyDescent="0.55000000000000004">
      <c r="D695">
        <v>688</v>
      </c>
      <c r="E695">
        <v>5.8897379616010657</v>
      </c>
      <c r="F695">
        <v>4.1102620383989352</v>
      </c>
      <c r="G695">
        <v>6.1613271092515332</v>
      </c>
      <c r="H695">
        <v>3.8386728907484668</v>
      </c>
      <c r="I695">
        <v>304.58479287848007</v>
      </c>
      <c r="J695">
        <v>4.8986791375570657</v>
      </c>
      <c r="K695">
        <v>286.61476934910525</v>
      </c>
      <c r="L695">
        <v>4.5378896459387148</v>
      </c>
      <c r="M695">
        <v>368.62988704471934</v>
      </c>
      <c r="N695">
        <v>4.8940070032703638</v>
      </c>
      <c r="O695">
        <v>349.43842651862781</v>
      </c>
      <c r="P695">
        <v>4.533623825600773</v>
      </c>
    </row>
    <row r="696" spans="4:16" x14ac:dyDescent="0.55000000000000004">
      <c r="D696">
        <v>689</v>
      </c>
      <c r="E696">
        <v>6.7790686056910081</v>
      </c>
      <c r="F696">
        <v>3.2209313943089901</v>
      </c>
      <c r="G696">
        <v>6.538648801030897</v>
      </c>
      <c r="H696">
        <v>3.4613511989691039</v>
      </c>
      <c r="I696">
        <v>337.89574711591592</v>
      </c>
      <c r="J696">
        <v>4.8908516491741834</v>
      </c>
      <c r="K696">
        <v>316.8674973270202</v>
      </c>
      <c r="L696">
        <v>4.5308770101661091</v>
      </c>
      <c r="M696">
        <v>375.9122676377923</v>
      </c>
      <c r="N696">
        <v>4.8947225976349351</v>
      </c>
      <c r="O696">
        <v>355.98011005751414</v>
      </c>
      <c r="P696">
        <v>4.5343938948129621</v>
      </c>
    </row>
    <row r="697" spans="4:16" x14ac:dyDescent="0.55000000000000004">
      <c r="D697">
        <v>690</v>
      </c>
      <c r="E697">
        <v>6.0730823916600478</v>
      </c>
      <c r="F697">
        <v>3.926917608339954</v>
      </c>
      <c r="G697">
        <v>5.2268632103870329</v>
      </c>
      <c r="H697">
        <v>4.7731367896129679</v>
      </c>
      <c r="I697">
        <v>302.67230308156945</v>
      </c>
      <c r="J697">
        <v>4.8954643516312419</v>
      </c>
      <c r="K697">
        <v>284.94713701796758</v>
      </c>
      <c r="L697">
        <v>4.5348189295933201</v>
      </c>
      <c r="M697">
        <v>310.49814966329325</v>
      </c>
      <c r="N697">
        <v>4.9100302779717016</v>
      </c>
      <c r="O697">
        <v>296.46915369761228</v>
      </c>
      <c r="P697">
        <v>4.5481082887231903</v>
      </c>
    </row>
    <row r="698" spans="4:16" x14ac:dyDescent="0.55000000000000004">
      <c r="D698">
        <v>691</v>
      </c>
      <c r="E698">
        <v>6.7388820165919467</v>
      </c>
      <c r="F698">
        <v>3.2611179834080528</v>
      </c>
      <c r="G698">
        <v>5.9169326421034425</v>
      </c>
      <c r="H698">
        <v>4.0830673578965584</v>
      </c>
      <c r="I698">
        <v>335.57373614058002</v>
      </c>
      <c r="J698">
        <v>4.9190498572510117</v>
      </c>
      <c r="K698">
        <v>314.58557986829788</v>
      </c>
      <c r="L698">
        <v>4.5573455477449878</v>
      </c>
      <c r="M698">
        <v>344.64341241085651</v>
      </c>
      <c r="N698">
        <v>4.9289234414795917</v>
      </c>
      <c r="O698">
        <v>327.28827894089881</v>
      </c>
      <c r="P698">
        <v>4.5663427412350046</v>
      </c>
    </row>
    <row r="699" spans="4:16" x14ac:dyDescent="0.55000000000000004">
      <c r="D699">
        <v>692</v>
      </c>
      <c r="E699">
        <v>6.6640665709581404</v>
      </c>
      <c r="F699">
        <v>3.3359334290418587</v>
      </c>
      <c r="G699">
        <v>7.0451557115486114</v>
      </c>
      <c r="H699">
        <v>2.9548442884513895</v>
      </c>
      <c r="I699">
        <v>339.08577880817779</v>
      </c>
      <c r="J699">
        <v>4.8624316807102375</v>
      </c>
      <c r="K699">
        <v>317.50952810113586</v>
      </c>
      <c r="L699">
        <v>4.5044179800981938</v>
      </c>
      <c r="M699">
        <v>408.47662772250374</v>
      </c>
      <c r="N699">
        <v>4.8545647436062351</v>
      </c>
      <c r="O699">
        <v>385.19869299739327</v>
      </c>
      <c r="P699">
        <v>4.497241422316943</v>
      </c>
    </row>
    <row r="700" spans="4:16" x14ac:dyDescent="0.55000000000000004">
      <c r="D700">
        <v>693</v>
      </c>
      <c r="E700">
        <v>6.9949484355496274</v>
      </c>
      <c r="F700">
        <v>3.0050515644503752</v>
      </c>
      <c r="G700">
        <v>5.7912240872738785</v>
      </c>
      <c r="H700">
        <v>4.2087759127261206</v>
      </c>
      <c r="I700">
        <v>345.98825923304975</v>
      </c>
      <c r="J700">
        <v>4.6760300225177573</v>
      </c>
      <c r="K700">
        <v>323.77069718716496</v>
      </c>
      <c r="L700">
        <v>4.330066422232937</v>
      </c>
      <c r="M700">
        <v>336.4489365784662</v>
      </c>
      <c r="N700">
        <v>4.7317803334169497</v>
      </c>
      <c r="O700">
        <v>319.42130722975605</v>
      </c>
      <c r="P700">
        <v>4.380957081585672</v>
      </c>
    </row>
    <row r="701" spans="4:16" x14ac:dyDescent="0.55000000000000004">
      <c r="D701">
        <v>694</v>
      </c>
      <c r="E701">
        <v>6.5520329674007494</v>
      </c>
      <c r="F701">
        <v>3.447967032599252</v>
      </c>
      <c r="G701">
        <v>6.6909714169259438</v>
      </c>
      <c r="H701">
        <v>3.3090285830740553</v>
      </c>
      <c r="I701">
        <v>341.9714491610232</v>
      </c>
      <c r="J701">
        <v>4.7824931910650958</v>
      </c>
      <c r="K701">
        <v>320.38282887324175</v>
      </c>
      <c r="L701">
        <v>4.4294571091117003</v>
      </c>
      <c r="M701">
        <v>399.22308894438731</v>
      </c>
      <c r="N701">
        <v>4.7778808731868203</v>
      </c>
      <c r="O701">
        <v>377.00373741172479</v>
      </c>
      <c r="P701">
        <v>4.4252459602219645</v>
      </c>
    </row>
    <row r="702" spans="4:16" x14ac:dyDescent="0.55000000000000004">
      <c r="D702">
        <v>695</v>
      </c>
      <c r="E702">
        <v>6.0846948759343302</v>
      </c>
      <c r="F702">
        <v>3.9153051240656689</v>
      </c>
      <c r="G702">
        <v>5.8323911906688819</v>
      </c>
      <c r="H702">
        <v>4.1676088093311181</v>
      </c>
      <c r="I702">
        <v>283.24273631072509</v>
      </c>
      <c r="J702">
        <v>4.7901637526887635</v>
      </c>
      <c r="K702">
        <v>266.18006880306245</v>
      </c>
      <c r="L702">
        <v>4.4360371178061149</v>
      </c>
      <c r="M702">
        <v>321.497991890013</v>
      </c>
      <c r="N702">
        <v>4.798864675180095</v>
      </c>
      <c r="O702">
        <v>305.44466404359355</v>
      </c>
      <c r="P702">
        <v>4.4439902857405711</v>
      </c>
    </row>
    <row r="703" spans="4:16" x14ac:dyDescent="0.55000000000000004">
      <c r="D703">
        <v>696</v>
      </c>
      <c r="E703">
        <v>7.0747761956525173</v>
      </c>
      <c r="F703">
        <v>2.9252238043474836</v>
      </c>
      <c r="G703">
        <v>6.1853540156930453</v>
      </c>
      <c r="H703">
        <v>3.8146459843069556</v>
      </c>
      <c r="I703">
        <v>375.59349719510061</v>
      </c>
      <c r="J703">
        <v>4.7393773809886017</v>
      </c>
      <c r="K703">
        <v>351.4810304090812</v>
      </c>
      <c r="L703">
        <v>4.3893416489175978</v>
      </c>
      <c r="M703">
        <v>378.37487461038188</v>
      </c>
      <c r="N703">
        <v>4.7721421683878562</v>
      </c>
      <c r="O703">
        <v>358.47335473677884</v>
      </c>
      <c r="P703">
        <v>4.4191844794112418</v>
      </c>
    </row>
    <row r="704" spans="4:16" x14ac:dyDescent="0.55000000000000004">
      <c r="D704">
        <v>697</v>
      </c>
      <c r="E704">
        <v>5.80389865521113</v>
      </c>
      <c r="F704">
        <v>4.1961013447888691</v>
      </c>
      <c r="G704">
        <v>5.993419206391712</v>
      </c>
      <c r="H704">
        <v>4.0065807936082871</v>
      </c>
      <c r="I704">
        <v>285.95794779717727</v>
      </c>
      <c r="J704">
        <v>4.877469938834575</v>
      </c>
      <c r="K704">
        <v>269.03190390419934</v>
      </c>
      <c r="L704">
        <v>4.5179553127589029</v>
      </c>
      <c r="M704">
        <v>345.29562081673095</v>
      </c>
      <c r="N704">
        <v>4.8734688412779494</v>
      </c>
      <c r="O704">
        <v>327.5730008297574</v>
      </c>
      <c r="P704">
        <v>4.5142955399259721</v>
      </c>
    </row>
    <row r="705" spans="4:16" x14ac:dyDescent="0.55000000000000004">
      <c r="D705">
        <v>698</v>
      </c>
      <c r="E705">
        <v>7.0698036560130957</v>
      </c>
      <c r="F705">
        <v>2.9301963439869039</v>
      </c>
      <c r="G705">
        <v>6.0472515520516135</v>
      </c>
      <c r="H705">
        <v>3.9527484479483856</v>
      </c>
      <c r="I705">
        <v>346.57985240104415</v>
      </c>
      <c r="J705">
        <v>4.8581944285203402</v>
      </c>
      <c r="K705">
        <v>324.09353587031535</v>
      </c>
      <c r="L705">
        <v>4.5006275991772773</v>
      </c>
      <c r="M705">
        <v>346.45173364318833</v>
      </c>
      <c r="N705">
        <v>4.8787046990349472</v>
      </c>
      <c r="O705">
        <v>328.31675164599</v>
      </c>
      <c r="P705">
        <v>4.5193574907230794</v>
      </c>
    </row>
    <row r="706" spans="4:16" x14ac:dyDescent="0.55000000000000004">
      <c r="D706">
        <v>699</v>
      </c>
      <c r="E706">
        <v>6.3129969580174423</v>
      </c>
      <c r="F706">
        <v>3.6870030419825564</v>
      </c>
      <c r="G706">
        <v>5.2908208134240127</v>
      </c>
      <c r="H706">
        <v>4.7091791865759873</v>
      </c>
      <c r="I706">
        <v>323.85226569276648</v>
      </c>
      <c r="J706">
        <v>4.8057862442256898</v>
      </c>
      <c r="K706">
        <v>304.1297797267793</v>
      </c>
      <c r="L706">
        <v>4.4508465287001204</v>
      </c>
      <c r="M706">
        <v>321.41535457668078</v>
      </c>
      <c r="N706">
        <v>4.837232587289785</v>
      </c>
      <c r="O706">
        <v>306.18934831372553</v>
      </c>
      <c r="P706">
        <v>4.4795963391059637</v>
      </c>
    </row>
    <row r="707" spans="4:16" x14ac:dyDescent="0.55000000000000004">
      <c r="D707">
        <v>700</v>
      </c>
      <c r="E707">
        <v>7.0217446641870618</v>
      </c>
      <c r="F707">
        <v>2.9782553358129373</v>
      </c>
      <c r="G707">
        <v>5.0881258205526603</v>
      </c>
      <c r="H707">
        <v>4.9118741794473388</v>
      </c>
      <c r="I707">
        <v>349.69352871100227</v>
      </c>
      <c r="J707">
        <v>4.8199880127640444</v>
      </c>
      <c r="K707">
        <v>327.29472926081121</v>
      </c>
      <c r="L707">
        <v>4.4647509956570142</v>
      </c>
      <c r="M707">
        <v>303.39637907790819</v>
      </c>
      <c r="N707">
        <v>4.8695589651763136</v>
      </c>
      <c r="O707">
        <v>289.29582021331453</v>
      </c>
      <c r="P707">
        <v>4.5100502568433072</v>
      </c>
    </row>
    <row r="708" spans="4:16" x14ac:dyDescent="0.55000000000000004">
      <c r="D708">
        <v>701</v>
      </c>
      <c r="E708">
        <v>7.0317945350961475</v>
      </c>
      <c r="F708">
        <v>2.9682054649038512</v>
      </c>
      <c r="G708">
        <v>7.3634102884532648</v>
      </c>
      <c r="H708">
        <v>2.6365897115467347</v>
      </c>
      <c r="I708">
        <v>341.24274764500888</v>
      </c>
      <c r="J708">
        <v>4.8753396588067881</v>
      </c>
      <c r="K708">
        <v>319.69051311498959</v>
      </c>
      <c r="L708">
        <v>4.5164457027171441</v>
      </c>
      <c r="M708">
        <v>407.33557718847118</v>
      </c>
      <c r="N708">
        <v>4.8694607423008778</v>
      </c>
      <c r="O708">
        <v>384.2723920643395</v>
      </c>
      <c r="P708">
        <v>4.511118755792678</v>
      </c>
    </row>
    <row r="709" spans="4:16" x14ac:dyDescent="0.55000000000000004">
      <c r="D709">
        <v>702</v>
      </c>
      <c r="E709">
        <v>6.9493753690366216</v>
      </c>
      <c r="F709">
        <v>3.0506246309633798</v>
      </c>
      <c r="G709">
        <v>6.3113382023957296</v>
      </c>
      <c r="H709">
        <v>3.6886617976042686</v>
      </c>
      <c r="I709">
        <v>326.40745628978141</v>
      </c>
      <c r="J709">
        <v>4.8657767762818454</v>
      </c>
      <c r="K709">
        <v>305.61834194031786</v>
      </c>
      <c r="L709">
        <v>4.5075582822109297</v>
      </c>
      <c r="M709">
        <v>346.43928252994846</v>
      </c>
      <c r="N709">
        <v>4.8781001004384459</v>
      </c>
      <c r="O709">
        <v>328.32567333732851</v>
      </c>
      <c r="P709">
        <v>4.5187814019441754</v>
      </c>
    </row>
    <row r="710" spans="4:16" x14ac:dyDescent="0.55000000000000004">
      <c r="D710">
        <v>703</v>
      </c>
      <c r="E710">
        <v>7.7384372473388874</v>
      </c>
      <c r="F710">
        <v>2.2615627526611122</v>
      </c>
      <c r="G710">
        <v>6.434955777979944</v>
      </c>
      <c r="H710">
        <v>3.565044222020056</v>
      </c>
      <c r="I710">
        <v>381.3606678076834</v>
      </c>
      <c r="J710">
        <v>4.7884909826318287</v>
      </c>
      <c r="K710">
        <v>355.91689811891968</v>
      </c>
      <c r="L710">
        <v>4.4358352606199123</v>
      </c>
      <c r="M710">
        <v>367.12333567701199</v>
      </c>
      <c r="N710">
        <v>4.8241180835476545</v>
      </c>
      <c r="O710">
        <v>347.49233996076885</v>
      </c>
      <c r="P710">
        <v>4.4682384996776729</v>
      </c>
    </row>
    <row r="711" spans="4:16" x14ac:dyDescent="0.55000000000000004">
      <c r="D711">
        <v>704</v>
      </c>
      <c r="E711">
        <v>7.241746878396178</v>
      </c>
      <c r="F711">
        <v>2.7582531216038215</v>
      </c>
      <c r="G711">
        <v>5.9188791271836507</v>
      </c>
      <c r="H711">
        <v>4.0811208728163493</v>
      </c>
      <c r="I711">
        <v>343.36876126248217</v>
      </c>
      <c r="J711">
        <v>4.861467209447655</v>
      </c>
      <c r="K711">
        <v>321.2695746654087</v>
      </c>
      <c r="L711">
        <v>4.5036159059250416</v>
      </c>
      <c r="M711">
        <v>330.64474333208341</v>
      </c>
      <c r="N711">
        <v>4.8867733357434933</v>
      </c>
      <c r="O711">
        <v>314.2205948718244</v>
      </c>
      <c r="P711">
        <v>4.5266324271132587</v>
      </c>
    </row>
    <row r="712" spans="4:16" x14ac:dyDescent="0.55000000000000004">
      <c r="D712">
        <v>705</v>
      </c>
      <c r="E712">
        <v>7.5709638196414026</v>
      </c>
      <c r="F712">
        <v>2.4290361803585956</v>
      </c>
      <c r="G712">
        <v>7.0085271646659759</v>
      </c>
      <c r="H712">
        <v>2.9914728353340232</v>
      </c>
      <c r="I712">
        <v>379.10028107271955</v>
      </c>
      <c r="J712">
        <v>4.8539817160689012</v>
      </c>
      <c r="K712">
        <v>353.84847291736668</v>
      </c>
      <c r="L712">
        <v>4.496940707169121</v>
      </c>
      <c r="M712">
        <v>400.93743429835956</v>
      </c>
      <c r="N712">
        <v>4.8648292167485909</v>
      </c>
      <c r="O712">
        <v>378.20998641028956</v>
      </c>
      <c r="P712">
        <v>4.506815898481987</v>
      </c>
    </row>
    <row r="713" spans="4:16" x14ac:dyDescent="0.55000000000000004">
      <c r="D713">
        <v>706</v>
      </c>
      <c r="E713">
        <v>8.0466938777481278</v>
      </c>
      <c r="F713">
        <v>1.9533061222518695</v>
      </c>
      <c r="G713">
        <v>6.1708518428478083</v>
      </c>
      <c r="H713">
        <v>3.8291481571521917</v>
      </c>
      <c r="I713">
        <v>383.30217562059767</v>
      </c>
      <c r="J713">
        <v>4.8527348704379429</v>
      </c>
      <c r="K713">
        <v>357.3816029767687</v>
      </c>
      <c r="L713">
        <v>4.4959263206969569</v>
      </c>
      <c r="M713">
        <v>343.94692686605219</v>
      </c>
      <c r="N713">
        <v>4.8870652581107574</v>
      </c>
      <c r="O713">
        <v>326.16549434078888</v>
      </c>
      <c r="P713">
        <v>4.527129641527158</v>
      </c>
    </row>
    <row r="714" spans="4:16" x14ac:dyDescent="0.55000000000000004">
      <c r="D714">
        <v>707</v>
      </c>
      <c r="E714">
        <v>7.1851046005392378</v>
      </c>
      <c r="F714">
        <v>2.8148953994607604</v>
      </c>
      <c r="G714">
        <v>5.8496731794537666</v>
      </c>
      <c r="H714">
        <v>4.1503268205462334</v>
      </c>
      <c r="I714">
        <v>330.16247633636573</v>
      </c>
      <c r="J714">
        <v>4.8103960769062137</v>
      </c>
      <c r="K714">
        <v>308.51229730300929</v>
      </c>
      <c r="L714">
        <v>4.4560619616702599</v>
      </c>
      <c r="M714">
        <v>318.7981163895555</v>
      </c>
      <c r="N714">
        <v>4.845636069994347</v>
      </c>
      <c r="O714">
        <v>302.40583381434504</v>
      </c>
      <c r="P714">
        <v>4.4882824783880073</v>
      </c>
    </row>
    <row r="715" spans="4:16" x14ac:dyDescent="0.55000000000000004">
      <c r="D715">
        <v>708</v>
      </c>
      <c r="E715">
        <v>5.726522381175057</v>
      </c>
      <c r="F715">
        <v>4.2734776188249439</v>
      </c>
      <c r="G715">
        <v>5.852039381755799</v>
      </c>
      <c r="H715">
        <v>4.147960618244201</v>
      </c>
      <c r="I715">
        <v>289.77414886410344</v>
      </c>
      <c r="J715">
        <v>4.9944431299615371</v>
      </c>
      <c r="K715">
        <v>273.31180526523269</v>
      </c>
      <c r="L715">
        <v>4.6279915579279995</v>
      </c>
      <c r="M715">
        <v>346.12557466675548</v>
      </c>
      <c r="N715">
        <v>4.9943213314923405</v>
      </c>
      <c r="O715">
        <v>329.10278670715508</v>
      </c>
      <c r="P715">
        <v>4.6278805068511728</v>
      </c>
    </row>
    <row r="716" spans="4:16" x14ac:dyDescent="0.55000000000000004">
      <c r="D716">
        <v>709</v>
      </c>
      <c r="E716">
        <v>5.3171778297930805</v>
      </c>
      <c r="F716">
        <v>4.6828221702069186</v>
      </c>
      <c r="G716">
        <v>6.4620479308936609</v>
      </c>
      <c r="H716">
        <v>3.5379520691063391</v>
      </c>
      <c r="I716">
        <v>255.92759818200068</v>
      </c>
      <c r="J716">
        <v>4.8496935815801105</v>
      </c>
      <c r="K716">
        <v>241.64849710574083</v>
      </c>
      <c r="L716">
        <v>4.4913124423750439</v>
      </c>
      <c r="M716">
        <v>361.0327431638562</v>
      </c>
      <c r="N716">
        <v>4.8173302997864784</v>
      </c>
      <c r="O716">
        <v>341.97018511820431</v>
      </c>
      <c r="P716">
        <v>4.4617584874763709</v>
      </c>
    </row>
    <row r="717" spans="4:16" x14ac:dyDescent="0.55000000000000004">
      <c r="D717">
        <v>710</v>
      </c>
      <c r="E717">
        <v>7.0032306188580415</v>
      </c>
      <c r="F717">
        <v>2.9967693811419567</v>
      </c>
      <c r="G717">
        <v>6.4582615257057334</v>
      </c>
      <c r="H717">
        <v>3.5417384742942666</v>
      </c>
      <c r="I717">
        <v>342.3517544635007</v>
      </c>
      <c r="J717">
        <v>4.9475029129928165</v>
      </c>
      <c r="K717">
        <v>320.2825148796619</v>
      </c>
      <c r="L717">
        <v>4.5841198031293997</v>
      </c>
      <c r="M717">
        <v>365.71103172809859</v>
      </c>
      <c r="N717">
        <v>4.9515880690381442</v>
      </c>
      <c r="O717">
        <v>345.9893456044644</v>
      </c>
      <c r="P717">
        <v>4.5878449793684384</v>
      </c>
    </row>
    <row r="718" spans="4:16" x14ac:dyDescent="0.55000000000000004">
      <c r="D718">
        <v>711</v>
      </c>
      <c r="E718">
        <v>6.362387391602903</v>
      </c>
      <c r="F718">
        <v>3.6376126083970965</v>
      </c>
      <c r="G718">
        <v>6.192499943489211</v>
      </c>
      <c r="H718">
        <v>3.8075000565107904</v>
      </c>
      <c r="I718">
        <v>306.82665334054707</v>
      </c>
      <c r="J718">
        <v>4.8606926493106357</v>
      </c>
      <c r="K718">
        <v>288.13064942781142</v>
      </c>
      <c r="L718">
        <v>4.5024138625269847</v>
      </c>
      <c r="M718">
        <v>348.63381723344594</v>
      </c>
      <c r="N718">
        <v>4.8644124118550129</v>
      </c>
      <c r="O718">
        <v>330.6634207908059</v>
      </c>
      <c r="P718">
        <v>4.5058041802425013</v>
      </c>
    </row>
    <row r="719" spans="4:16" x14ac:dyDescent="0.55000000000000004">
      <c r="D719">
        <v>712</v>
      </c>
      <c r="E719">
        <v>6.1727888681498202</v>
      </c>
      <c r="F719">
        <v>3.8272111318501785</v>
      </c>
      <c r="G719">
        <v>7.9273309740641045</v>
      </c>
      <c r="H719">
        <v>2.0726690259358942</v>
      </c>
      <c r="I719">
        <v>319.22662010959203</v>
      </c>
      <c r="J719">
        <v>4.9174096147195874</v>
      </c>
      <c r="K719">
        <v>299.84455405237952</v>
      </c>
      <c r="L719">
        <v>4.5556568842718299</v>
      </c>
      <c r="M719">
        <v>459.96300495517659</v>
      </c>
      <c r="N719">
        <v>4.8939342761629971</v>
      </c>
      <c r="O719">
        <v>432.36998688450592</v>
      </c>
      <c r="P719">
        <v>4.5343058851267761</v>
      </c>
    </row>
    <row r="720" spans="4:16" x14ac:dyDescent="0.55000000000000004">
      <c r="D720">
        <v>713</v>
      </c>
      <c r="E720">
        <v>6.3880756218521695</v>
      </c>
      <c r="F720">
        <v>3.611924378147831</v>
      </c>
      <c r="G720">
        <v>6.1416945860074268</v>
      </c>
      <c r="H720">
        <v>3.8583054139925728</v>
      </c>
      <c r="I720">
        <v>314.66705321105377</v>
      </c>
      <c r="J720">
        <v>4.8047825288169905</v>
      </c>
      <c r="K720">
        <v>295.11353285715148</v>
      </c>
      <c r="L720">
        <v>4.4501461474345803</v>
      </c>
      <c r="M720">
        <v>352.53069179242146</v>
      </c>
      <c r="N720">
        <v>4.812311851513253</v>
      </c>
      <c r="O720">
        <v>334.02248687578697</v>
      </c>
      <c r="P720">
        <v>4.4570269629732957</v>
      </c>
    </row>
    <row r="721" spans="4:16" x14ac:dyDescent="0.55000000000000004">
      <c r="D721">
        <v>714</v>
      </c>
      <c r="E721">
        <v>5.6893598398247294</v>
      </c>
      <c r="F721">
        <v>4.3106401601752715</v>
      </c>
      <c r="G721">
        <v>5.241668589540561</v>
      </c>
      <c r="H721">
        <v>4.7583314104594399</v>
      </c>
      <c r="I721">
        <v>298.45728164374935</v>
      </c>
      <c r="J721">
        <v>4.8028751821684246</v>
      </c>
      <c r="K721">
        <v>281.1226264605088</v>
      </c>
      <c r="L721">
        <v>4.4475570977673513</v>
      </c>
      <c r="M721">
        <v>324.97191293140207</v>
      </c>
      <c r="N721">
        <v>4.8183867790161603</v>
      </c>
      <c r="O721">
        <v>309.60739881805642</v>
      </c>
      <c r="P721">
        <v>4.4617674574753314</v>
      </c>
    </row>
    <row r="722" spans="4:16" x14ac:dyDescent="0.55000000000000004">
      <c r="D722">
        <v>715</v>
      </c>
      <c r="E722">
        <v>6.5732591573560155</v>
      </c>
      <c r="F722">
        <v>3.426740842643984</v>
      </c>
      <c r="G722">
        <v>5.9634851888380913</v>
      </c>
      <c r="H722">
        <v>4.0365148111619078</v>
      </c>
      <c r="I722">
        <v>326.89221581921151</v>
      </c>
      <c r="J722">
        <v>4.8958706069945208</v>
      </c>
      <c r="K722">
        <v>306.92078306695566</v>
      </c>
      <c r="L722">
        <v>4.5354651141547988</v>
      </c>
      <c r="M722">
        <v>346.56778178337532</v>
      </c>
      <c r="N722">
        <v>4.9055302585756184</v>
      </c>
      <c r="O722">
        <v>329.33706871849364</v>
      </c>
      <c r="P722">
        <v>4.5442517272735712</v>
      </c>
    </row>
    <row r="723" spans="4:16" x14ac:dyDescent="0.55000000000000004">
      <c r="D723">
        <v>716</v>
      </c>
      <c r="E723">
        <v>6.3814669762676166</v>
      </c>
      <c r="F723">
        <v>3.6185330237323843</v>
      </c>
      <c r="G723">
        <v>5.7047473728423013</v>
      </c>
      <c r="H723">
        <v>4.2952526271576978</v>
      </c>
      <c r="I723">
        <v>335.5815779196746</v>
      </c>
      <c r="J723">
        <v>4.7869845942989731</v>
      </c>
      <c r="K723">
        <v>315.19618628345057</v>
      </c>
      <c r="L723">
        <v>4.4331572622400071</v>
      </c>
      <c r="M723">
        <v>349.99499051411453</v>
      </c>
      <c r="N723">
        <v>4.8095737107835621</v>
      </c>
      <c r="O723">
        <v>332.74324962467091</v>
      </c>
      <c r="P723">
        <v>4.4537572472314784</v>
      </c>
    </row>
    <row r="724" spans="4:16" x14ac:dyDescent="0.55000000000000004">
      <c r="D724">
        <v>717</v>
      </c>
      <c r="E724">
        <v>5.6931414960993401</v>
      </c>
      <c r="F724">
        <v>4.3068585039006608</v>
      </c>
      <c r="G724">
        <v>5.6817530784755323</v>
      </c>
      <c r="H724">
        <v>4.3182469215244668</v>
      </c>
      <c r="I724">
        <v>288.66020528456988</v>
      </c>
      <c r="J724">
        <v>4.8473252838782388</v>
      </c>
      <c r="K724">
        <v>272.33182306141077</v>
      </c>
      <c r="L724">
        <v>4.4891942341570381</v>
      </c>
      <c r="M724">
        <v>338.0827766414547</v>
      </c>
      <c r="N724">
        <v>4.8476306905555493</v>
      </c>
      <c r="O724">
        <v>321.80511492132433</v>
      </c>
      <c r="P724">
        <v>4.4894728143502691</v>
      </c>
    </row>
    <row r="725" spans="4:16" x14ac:dyDescent="0.55000000000000004">
      <c r="D725">
        <v>718</v>
      </c>
      <c r="E725">
        <v>6.8895617587365843</v>
      </c>
      <c r="F725">
        <v>3.1104382412634162</v>
      </c>
      <c r="G725">
        <v>7.7302464636255408</v>
      </c>
      <c r="H725">
        <v>2.2697535363744592</v>
      </c>
      <c r="I725">
        <v>344.67184410800411</v>
      </c>
      <c r="J725">
        <v>4.8423229525831797</v>
      </c>
      <c r="K725">
        <v>322.95527095541087</v>
      </c>
      <c r="L725">
        <v>4.4854903714149916</v>
      </c>
      <c r="M725">
        <v>436.7297220535828</v>
      </c>
      <c r="N725">
        <v>4.8230827328540693</v>
      </c>
      <c r="O725">
        <v>411.09934252459351</v>
      </c>
      <c r="P725">
        <v>4.4680406009034206</v>
      </c>
    </row>
    <row r="726" spans="4:16" x14ac:dyDescent="0.55000000000000004">
      <c r="D726">
        <v>719</v>
      </c>
      <c r="E726">
        <v>5.9664587837239074</v>
      </c>
      <c r="F726">
        <v>4.0335412162760926</v>
      </c>
      <c r="G726">
        <v>6.3515299875318023</v>
      </c>
      <c r="H726">
        <v>3.6484700124681968</v>
      </c>
      <c r="I726">
        <v>308.51509847048993</v>
      </c>
      <c r="J726">
        <v>4.9193741303970562</v>
      </c>
      <c r="K726">
        <v>290.45013566124703</v>
      </c>
      <c r="L726">
        <v>4.5573278788444362</v>
      </c>
      <c r="M726">
        <v>378.42645370938322</v>
      </c>
      <c r="N726">
        <v>4.9141705914484977</v>
      </c>
      <c r="O726">
        <v>358.58766091227886</v>
      </c>
      <c r="P726">
        <v>4.5525879041947013</v>
      </c>
    </row>
    <row r="727" spans="4:16" x14ac:dyDescent="0.55000000000000004">
      <c r="D727">
        <v>720</v>
      </c>
      <c r="E727">
        <v>5.8118460525542597</v>
      </c>
      <c r="F727">
        <v>4.1881539474457394</v>
      </c>
      <c r="G727">
        <v>7.0308493142505437</v>
      </c>
      <c r="H727">
        <v>2.969150685749455</v>
      </c>
      <c r="I727">
        <v>295.39887862394619</v>
      </c>
      <c r="J727">
        <v>4.8156421712442441</v>
      </c>
      <c r="K727">
        <v>277.97237807871267</v>
      </c>
      <c r="L727">
        <v>4.4597507510878502</v>
      </c>
      <c r="M727">
        <v>407.35719501564716</v>
      </c>
      <c r="N727">
        <v>4.7769741142206517</v>
      </c>
      <c r="O727">
        <v>384.46798446753468</v>
      </c>
      <c r="P727">
        <v>4.424491960070764</v>
      </c>
    </row>
    <row r="728" spans="4:16" x14ac:dyDescent="0.55000000000000004">
      <c r="D728">
        <v>721</v>
      </c>
      <c r="E728">
        <v>6.7782258575055252</v>
      </c>
      <c r="F728">
        <v>3.2217741424944748</v>
      </c>
      <c r="G728">
        <v>6.0558788239184969</v>
      </c>
      <c r="H728">
        <v>3.9441211760815027</v>
      </c>
      <c r="I728">
        <v>320.83143241343282</v>
      </c>
      <c r="J728">
        <v>4.6772410795259534</v>
      </c>
      <c r="K728">
        <v>300.47764692541188</v>
      </c>
      <c r="L728">
        <v>4.3309498832162285</v>
      </c>
      <c r="M728">
        <v>336.64082880161874</v>
      </c>
      <c r="N728">
        <v>4.7116370931244109</v>
      </c>
      <c r="O728">
        <v>319.27009832859693</v>
      </c>
      <c r="P728">
        <v>4.3623449202298383</v>
      </c>
    </row>
    <row r="729" spans="4:16" x14ac:dyDescent="0.55000000000000004">
      <c r="D729">
        <v>722</v>
      </c>
      <c r="E729">
        <v>6.4782596675819191</v>
      </c>
      <c r="F729">
        <v>3.5217403324180818</v>
      </c>
      <c r="G729">
        <v>5.7270398790136827</v>
      </c>
      <c r="H729">
        <v>4.2729601209863191</v>
      </c>
      <c r="I729">
        <v>299.41315975469092</v>
      </c>
      <c r="J729">
        <v>4.7854438170536415</v>
      </c>
      <c r="K729">
        <v>281.07639078226669</v>
      </c>
      <c r="L729">
        <v>4.4318164812965231</v>
      </c>
      <c r="M729">
        <v>314.69317288985093</v>
      </c>
      <c r="N729">
        <v>4.8103237784413473</v>
      </c>
      <c r="O729">
        <v>299.41827505097899</v>
      </c>
      <c r="P729">
        <v>4.4545023394469938</v>
      </c>
    </row>
    <row r="730" spans="4:16" x14ac:dyDescent="0.55000000000000004">
      <c r="D730">
        <v>723</v>
      </c>
      <c r="E730">
        <v>6.2852783032478889</v>
      </c>
      <c r="F730">
        <v>3.7147216967521102</v>
      </c>
      <c r="G730">
        <v>5.7550514142308353</v>
      </c>
      <c r="H730">
        <v>4.2449485857691638</v>
      </c>
      <c r="I730">
        <v>311.27047420393006</v>
      </c>
      <c r="J730">
        <v>4.7904240758869552</v>
      </c>
      <c r="K730">
        <v>292.55463907131031</v>
      </c>
      <c r="L730">
        <v>4.4362580351166248</v>
      </c>
      <c r="M730">
        <v>335.01165681875131</v>
      </c>
      <c r="N730">
        <v>4.8081039278989035</v>
      </c>
      <c r="O730">
        <v>318.61601297160098</v>
      </c>
      <c r="P730">
        <v>4.4523757208678152</v>
      </c>
    </row>
    <row r="731" spans="4:16" x14ac:dyDescent="0.55000000000000004">
      <c r="D731">
        <v>724</v>
      </c>
      <c r="E731">
        <v>5.7074448461169123</v>
      </c>
      <c r="F731">
        <v>4.2925551538830877</v>
      </c>
      <c r="G731">
        <v>5.9235305508200966</v>
      </c>
      <c r="H731">
        <v>4.0764694491799034</v>
      </c>
      <c r="I731">
        <v>275.91787166062727</v>
      </c>
      <c r="J731">
        <v>4.8945306325641589</v>
      </c>
      <c r="K731">
        <v>259.50885779575719</v>
      </c>
      <c r="L731">
        <v>4.5340357008214687</v>
      </c>
      <c r="M731">
        <v>336.36421137051576</v>
      </c>
      <c r="N731">
        <v>4.8905375282589159</v>
      </c>
      <c r="O731">
        <v>319.08049589640996</v>
      </c>
      <c r="P731">
        <v>4.5303769504486677</v>
      </c>
    </row>
    <row r="732" spans="4:16" x14ac:dyDescent="0.55000000000000004">
      <c r="D732">
        <v>725</v>
      </c>
      <c r="E732">
        <v>6.2138186323246103</v>
      </c>
      <c r="F732">
        <v>3.7861813676753888</v>
      </c>
      <c r="G732">
        <v>7.0676745477384113</v>
      </c>
      <c r="H732">
        <v>2.9323254522615883</v>
      </c>
      <c r="I732">
        <v>321.01194028470798</v>
      </c>
      <c r="J732">
        <v>4.717089707995628</v>
      </c>
      <c r="K732">
        <v>301.57336187512254</v>
      </c>
      <c r="L732">
        <v>4.3674538135792202</v>
      </c>
      <c r="M732">
        <v>415.12297093254301</v>
      </c>
      <c r="N732">
        <v>4.6782143174100801</v>
      </c>
      <c r="O732">
        <v>391.73360337507671</v>
      </c>
      <c r="P732">
        <v>4.3320602838568023</v>
      </c>
    </row>
    <row r="733" spans="4:16" x14ac:dyDescent="0.55000000000000004">
      <c r="D733">
        <v>726</v>
      </c>
      <c r="E733">
        <v>6.4806208074852396</v>
      </c>
      <c r="F733">
        <v>3.5193791925147604</v>
      </c>
      <c r="G733">
        <v>5.9216469419196578</v>
      </c>
      <c r="H733">
        <v>4.0783530580803422</v>
      </c>
      <c r="I733">
        <v>346.08313090412997</v>
      </c>
      <c r="J733">
        <v>4.9578686169419646</v>
      </c>
      <c r="K733">
        <v>324.45461438631236</v>
      </c>
      <c r="L733">
        <v>4.5937343608868044</v>
      </c>
      <c r="M733">
        <v>366.2323756701436</v>
      </c>
      <c r="N733">
        <v>4.9615025808397402</v>
      </c>
      <c r="O733">
        <v>347.16520774422997</v>
      </c>
      <c r="P733">
        <v>4.5970565119597584</v>
      </c>
    </row>
    <row r="734" spans="4:16" x14ac:dyDescent="0.55000000000000004">
      <c r="D734">
        <v>727</v>
      </c>
      <c r="E734">
        <v>7.1284044555892585</v>
      </c>
      <c r="F734">
        <v>2.8715955444107411</v>
      </c>
      <c r="G734">
        <v>6.4656715191834566</v>
      </c>
      <c r="H734">
        <v>3.5343284808165421</v>
      </c>
      <c r="I734">
        <v>363.65651596144835</v>
      </c>
      <c r="J734">
        <v>4.8341377271573629</v>
      </c>
      <c r="K734">
        <v>340.26073999456082</v>
      </c>
      <c r="L734">
        <v>4.4780411833053941</v>
      </c>
      <c r="M734">
        <v>379.84710571154807</v>
      </c>
      <c r="N734">
        <v>4.849558063055075</v>
      </c>
      <c r="O734">
        <v>359.49731662863155</v>
      </c>
      <c r="P734">
        <v>4.4920722568485232</v>
      </c>
    </row>
    <row r="735" spans="4:16" x14ac:dyDescent="0.55000000000000004">
      <c r="D735">
        <v>728</v>
      </c>
      <c r="E735">
        <v>6.6174079944127575</v>
      </c>
      <c r="F735">
        <v>3.3825920055872429</v>
      </c>
      <c r="G735">
        <v>6.4874997539646611</v>
      </c>
      <c r="H735">
        <v>3.5125002460353381</v>
      </c>
      <c r="I735">
        <v>348.53729929941062</v>
      </c>
      <c r="J735">
        <v>4.7258247545391816</v>
      </c>
      <c r="K735">
        <v>326.7516165612634</v>
      </c>
      <c r="L735">
        <v>4.3761950974621335</v>
      </c>
      <c r="M735">
        <v>391.69506328785639</v>
      </c>
      <c r="N735">
        <v>4.7312071676747038</v>
      </c>
      <c r="O735">
        <v>370.51594261463998</v>
      </c>
      <c r="P735">
        <v>4.3811003613703745</v>
      </c>
    </row>
    <row r="736" spans="4:16" x14ac:dyDescent="0.55000000000000004">
      <c r="D736">
        <v>729</v>
      </c>
      <c r="E736">
        <v>5.8381738384322626</v>
      </c>
      <c r="F736">
        <v>4.1618261615677383</v>
      </c>
      <c r="G736">
        <v>5.8721212972504517</v>
      </c>
      <c r="H736">
        <v>4.1278787027495483</v>
      </c>
      <c r="I736">
        <v>298.71853605430761</v>
      </c>
      <c r="J736">
        <v>4.8776178366227176</v>
      </c>
      <c r="K736">
        <v>281.19332681935725</v>
      </c>
      <c r="L736">
        <v>4.5180304862744141</v>
      </c>
      <c r="M736">
        <v>350.45550646347527</v>
      </c>
      <c r="N736">
        <v>4.876906216248555</v>
      </c>
      <c r="O736">
        <v>332.78045886499893</v>
      </c>
      <c r="P736">
        <v>4.517380253262842</v>
      </c>
    </row>
    <row r="737" spans="4:16" x14ac:dyDescent="0.55000000000000004">
      <c r="D737">
        <v>730</v>
      </c>
      <c r="E737">
        <v>7.831826218335479</v>
      </c>
      <c r="F737">
        <v>2.1681737816645241</v>
      </c>
      <c r="G737">
        <v>6.1257798668179353</v>
      </c>
      <c r="H737">
        <v>3.8742201331820665</v>
      </c>
      <c r="I737">
        <v>402.89009978918136</v>
      </c>
      <c r="J737">
        <v>4.8578212039997863</v>
      </c>
      <c r="K737">
        <v>376.10044462342051</v>
      </c>
      <c r="L737">
        <v>4.500507935741842</v>
      </c>
      <c r="M737">
        <v>365.12650983634444</v>
      </c>
      <c r="N737">
        <v>4.8887927308719528</v>
      </c>
      <c r="O737">
        <v>346.45204134908329</v>
      </c>
      <c r="P737">
        <v>4.5286156357990288</v>
      </c>
    </row>
    <row r="738" spans="4:16" x14ac:dyDescent="0.55000000000000004">
      <c r="D738">
        <v>731</v>
      </c>
      <c r="E738">
        <v>6.889046122959309</v>
      </c>
      <c r="F738">
        <v>3.1109538770406928</v>
      </c>
      <c r="G738">
        <v>5.8599311767679758</v>
      </c>
      <c r="H738">
        <v>4.1400688232320242</v>
      </c>
      <c r="I738">
        <v>333.98942210327351</v>
      </c>
      <c r="J738">
        <v>4.9970309241274107</v>
      </c>
      <c r="K738">
        <v>312.96051098993252</v>
      </c>
      <c r="L738">
        <v>4.6304506023962251</v>
      </c>
      <c r="M738">
        <v>334.09666481561629</v>
      </c>
      <c r="N738">
        <v>4.9974744572816849</v>
      </c>
      <c r="O738">
        <v>317.5340800571455</v>
      </c>
      <c r="P738">
        <v>4.6308544311139457</v>
      </c>
    </row>
    <row r="739" spans="4:16" x14ac:dyDescent="0.55000000000000004">
      <c r="D739">
        <v>732</v>
      </c>
      <c r="E739">
        <v>7.491747130204673</v>
      </c>
      <c r="F739">
        <v>2.5082528697953275</v>
      </c>
      <c r="G739">
        <v>6.803737924107816</v>
      </c>
      <c r="H739">
        <v>3.196262075892184</v>
      </c>
      <c r="I739">
        <v>374.98142072024922</v>
      </c>
      <c r="J739">
        <v>4.771627390560826</v>
      </c>
      <c r="K739">
        <v>350.03369657498627</v>
      </c>
      <c r="L739">
        <v>4.4200538852200157</v>
      </c>
      <c r="M739">
        <v>390.54477128627906</v>
      </c>
      <c r="N739">
        <v>4.7926001296273952</v>
      </c>
      <c r="O739">
        <v>368.64422418974959</v>
      </c>
      <c r="P739">
        <v>4.4391708209438345</v>
      </c>
    </row>
    <row r="740" spans="4:16" x14ac:dyDescent="0.55000000000000004">
      <c r="D740">
        <v>733</v>
      </c>
      <c r="E740">
        <v>6.3604459417212862</v>
      </c>
      <c r="F740">
        <v>3.6395540582787134</v>
      </c>
      <c r="G740">
        <v>6.2680085164149952</v>
      </c>
      <c r="H740">
        <v>3.7319914835850048</v>
      </c>
      <c r="I740">
        <v>320.88972126023276</v>
      </c>
      <c r="J740">
        <v>4.8222557110560134</v>
      </c>
      <c r="K740">
        <v>301.51780253778225</v>
      </c>
      <c r="L740">
        <v>4.4662187633806534</v>
      </c>
      <c r="M740">
        <v>366.22617723952499</v>
      </c>
      <c r="N740">
        <v>4.8248388985531516</v>
      </c>
      <c r="O740">
        <v>347.27380018023445</v>
      </c>
      <c r="P740">
        <v>4.4685695622107202</v>
      </c>
    </row>
    <row r="741" spans="4:16" x14ac:dyDescent="0.55000000000000004">
      <c r="D741">
        <v>734</v>
      </c>
      <c r="E741">
        <v>6.7953283981655455</v>
      </c>
      <c r="F741">
        <v>3.2046716018344532</v>
      </c>
      <c r="G741">
        <v>6.4646598445056469</v>
      </c>
      <c r="H741">
        <v>3.5353401554943518</v>
      </c>
      <c r="I741">
        <v>332.76279363559956</v>
      </c>
      <c r="J741">
        <v>4.8085704371912161</v>
      </c>
      <c r="K741">
        <v>311.84807133334647</v>
      </c>
      <c r="L741">
        <v>4.4538348562091086</v>
      </c>
      <c r="M741">
        <v>366.57017052219481</v>
      </c>
      <c r="N741">
        <v>4.8178856215285641</v>
      </c>
      <c r="O741">
        <v>347.11122861363418</v>
      </c>
      <c r="P741">
        <v>4.4623125689010674</v>
      </c>
    </row>
    <row r="742" spans="4:16" x14ac:dyDescent="0.55000000000000004">
      <c r="D742">
        <v>735</v>
      </c>
      <c r="E742">
        <v>7.0196800869577984</v>
      </c>
      <c r="F742">
        <v>2.9803199130422029</v>
      </c>
      <c r="G742">
        <v>5.797959564789779</v>
      </c>
      <c r="H742">
        <v>4.2020404352102201</v>
      </c>
      <c r="I742">
        <v>375.85010368416391</v>
      </c>
      <c r="J742">
        <v>4.944561270040416</v>
      </c>
      <c r="K742">
        <v>352.07358917465393</v>
      </c>
      <c r="L742">
        <v>4.5813010959697102</v>
      </c>
      <c r="M742">
        <v>360.43632709581749</v>
      </c>
      <c r="N742">
        <v>4.9542099482245394</v>
      </c>
      <c r="O742">
        <v>342.57276813993565</v>
      </c>
      <c r="P742">
        <v>4.5900775999998613</v>
      </c>
    </row>
    <row r="743" spans="4:16" x14ac:dyDescent="0.55000000000000004">
      <c r="D743">
        <v>736</v>
      </c>
      <c r="E743">
        <v>6.3648193857010185</v>
      </c>
      <c r="F743">
        <v>3.6351806142989815</v>
      </c>
      <c r="G743">
        <v>4.7974419926171619</v>
      </c>
      <c r="H743">
        <v>5.2025580073828372</v>
      </c>
      <c r="I743">
        <v>309.98179852116715</v>
      </c>
      <c r="J743">
        <v>4.7731021731358974</v>
      </c>
      <c r="K743">
        <v>291.11092718280878</v>
      </c>
      <c r="L743">
        <v>4.4201478491334329</v>
      </c>
      <c r="M743">
        <v>283.64680237641164</v>
      </c>
      <c r="N743">
        <v>4.8289772110302334</v>
      </c>
      <c r="O743">
        <v>271.26590056665242</v>
      </c>
      <c r="P743">
        <v>4.4712724146146199</v>
      </c>
    </row>
    <row r="744" spans="4:16" x14ac:dyDescent="0.55000000000000004">
      <c r="D744">
        <v>737</v>
      </c>
      <c r="E744">
        <v>7.8792177565291839</v>
      </c>
      <c r="F744">
        <v>2.1207822434708148</v>
      </c>
      <c r="G744">
        <v>5.0906163303490635</v>
      </c>
      <c r="H744">
        <v>4.9093836696509365</v>
      </c>
      <c r="I744">
        <v>394.43751940235774</v>
      </c>
      <c r="J744">
        <v>4.7521039391295492</v>
      </c>
      <c r="K744">
        <v>368.138204176361</v>
      </c>
      <c r="L744">
        <v>4.4018652675956007</v>
      </c>
      <c r="M744">
        <v>304.83875933091571</v>
      </c>
      <c r="N744">
        <v>4.8398389567732671</v>
      </c>
      <c r="O744">
        <v>291.13688921667443</v>
      </c>
      <c r="P744">
        <v>4.4816830439358855</v>
      </c>
    </row>
    <row r="745" spans="4:16" x14ac:dyDescent="0.55000000000000004">
      <c r="D745">
        <v>738</v>
      </c>
      <c r="E745">
        <v>6.3030269197118232</v>
      </c>
      <c r="F745">
        <v>3.696973080288176</v>
      </c>
      <c r="G745">
        <v>7.0113016449939707</v>
      </c>
      <c r="H745">
        <v>2.9886983550060302</v>
      </c>
      <c r="I745">
        <v>312.12510405179171</v>
      </c>
      <c r="J745">
        <v>4.8555478069343501</v>
      </c>
      <c r="K745">
        <v>293.10836441173717</v>
      </c>
      <c r="L745">
        <v>4.4975815332996705</v>
      </c>
      <c r="M745">
        <v>397.19877978599783</v>
      </c>
      <c r="N745">
        <v>4.8393156317170734</v>
      </c>
      <c r="O745">
        <v>375.03685703814722</v>
      </c>
      <c r="P745">
        <v>4.4828049558270688</v>
      </c>
    </row>
    <row r="746" spans="4:16" x14ac:dyDescent="0.55000000000000004">
      <c r="D746">
        <v>739</v>
      </c>
      <c r="E746">
        <v>6.7285278981071723</v>
      </c>
      <c r="F746">
        <v>3.2714721018928281</v>
      </c>
      <c r="G746">
        <v>6.8418982065041476</v>
      </c>
      <c r="H746">
        <v>3.1581017934958506</v>
      </c>
      <c r="I746">
        <v>325.1419200574249</v>
      </c>
      <c r="J746">
        <v>4.7359771939831647</v>
      </c>
      <c r="K746">
        <v>304.92998363246477</v>
      </c>
      <c r="L746">
        <v>4.3856224936678849</v>
      </c>
      <c r="M746">
        <v>380.62030111014587</v>
      </c>
      <c r="N746">
        <v>4.7315286210716376</v>
      </c>
      <c r="O746">
        <v>359.9066828530498</v>
      </c>
      <c r="P746">
        <v>4.3815812980795421</v>
      </c>
    </row>
    <row r="747" spans="4:16" x14ac:dyDescent="0.55000000000000004">
      <c r="D747">
        <v>740</v>
      </c>
      <c r="E747">
        <v>6.1598594732912222</v>
      </c>
      <c r="F747">
        <v>3.8401405267087769</v>
      </c>
      <c r="G747">
        <v>6.5824872887615937</v>
      </c>
      <c r="H747">
        <v>3.4175127112384072</v>
      </c>
      <c r="I747">
        <v>304.75534393667374</v>
      </c>
      <c r="J747">
        <v>4.8492850025911487</v>
      </c>
      <c r="K747">
        <v>286.49482616955947</v>
      </c>
      <c r="L747">
        <v>4.4915483732411738</v>
      </c>
      <c r="M747">
        <v>375.66460100971875</v>
      </c>
      <c r="N747">
        <v>4.8389444501175571</v>
      </c>
      <c r="O747">
        <v>355.53907028025009</v>
      </c>
      <c r="P747">
        <v>4.48213015217007</v>
      </c>
    </row>
    <row r="748" spans="4:16" x14ac:dyDescent="0.55000000000000004">
      <c r="D748">
        <v>741</v>
      </c>
      <c r="E748">
        <v>6.7369976022656841</v>
      </c>
      <c r="F748">
        <v>3.2630023977343141</v>
      </c>
      <c r="G748">
        <v>6.4955043915267616</v>
      </c>
      <c r="H748">
        <v>3.5044956084732384</v>
      </c>
      <c r="I748">
        <v>356.91442531109425</v>
      </c>
      <c r="J748">
        <v>4.8758474015919893</v>
      </c>
      <c r="K748">
        <v>334.15360732952399</v>
      </c>
      <c r="L748">
        <v>4.5169974836636051</v>
      </c>
      <c r="M748">
        <v>394.12053467672229</v>
      </c>
      <c r="N748">
        <v>4.8802977534224627</v>
      </c>
      <c r="O748">
        <v>372.47267533731412</v>
      </c>
      <c r="P748">
        <v>4.5210606930936974</v>
      </c>
    </row>
    <row r="749" spans="4:16" x14ac:dyDescent="0.55000000000000004">
      <c r="D749">
        <v>742</v>
      </c>
      <c r="E749">
        <v>7.8977945956263209</v>
      </c>
      <c r="F749">
        <v>2.1022054043736786</v>
      </c>
      <c r="G749">
        <v>5.4878014132954878</v>
      </c>
      <c r="H749">
        <v>4.5121985867045105</v>
      </c>
      <c r="I749">
        <v>416.20030828310502</v>
      </c>
      <c r="J749">
        <v>4.9752755660503096</v>
      </c>
      <c r="K749">
        <v>388.37734589679502</v>
      </c>
      <c r="L749">
        <v>4.6101611297046192</v>
      </c>
      <c r="M749">
        <v>339.19777696863628</v>
      </c>
      <c r="N749">
        <v>4.982820168095131</v>
      </c>
      <c r="O749">
        <v>322.88956260484235</v>
      </c>
      <c r="P749">
        <v>4.6170216966315802</v>
      </c>
    </row>
    <row r="750" spans="4:16" x14ac:dyDescent="0.55000000000000004">
      <c r="D750">
        <v>743</v>
      </c>
      <c r="E750">
        <v>6.8813216490088713</v>
      </c>
      <c r="F750">
        <v>3.1186783509911296</v>
      </c>
      <c r="G750">
        <v>6.4033639955209898</v>
      </c>
      <c r="H750">
        <v>3.5966360044790124</v>
      </c>
      <c r="I750">
        <v>360.37663861319254</v>
      </c>
      <c r="J750">
        <v>4.87386754810161</v>
      </c>
      <c r="K750">
        <v>337.42267702449601</v>
      </c>
      <c r="L750">
        <v>4.51513421160349</v>
      </c>
      <c r="M750">
        <v>385.34586962011389</v>
      </c>
      <c r="N750">
        <v>4.8826283608949952</v>
      </c>
      <c r="O750">
        <v>364.61007755116094</v>
      </c>
      <c r="P750">
        <v>4.5231186611971728</v>
      </c>
    </row>
    <row r="751" spans="4:16" x14ac:dyDescent="0.55000000000000004">
      <c r="D751">
        <v>744</v>
      </c>
      <c r="E751">
        <v>6.0359914121142211</v>
      </c>
      <c r="F751">
        <v>3.9640085878857803</v>
      </c>
      <c r="G751">
        <v>6.4527917640443277</v>
      </c>
      <c r="H751">
        <v>3.5472082359556718</v>
      </c>
      <c r="I751">
        <v>305.59632931723064</v>
      </c>
      <c r="J751">
        <v>4.7399889732429568</v>
      </c>
      <c r="K751">
        <v>287.82477939718382</v>
      </c>
      <c r="L751">
        <v>4.3883423071691627</v>
      </c>
      <c r="M751">
        <v>376.69852262922478</v>
      </c>
      <c r="N751">
        <v>4.7220345594509583</v>
      </c>
      <c r="O751">
        <v>357.0086342611674</v>
      </c>
      <c r="P751">
        <v>4.3720200764293926</v>
      </c>
    </row>
    <row r="752" spans="4:16" x14ac:dyDescent="0.55000000000000004">
      <c r="D752">
        <v>745</v>
      </c>
      <c r="E752">
        <v>7.3621071681494428</v>
      </c>
      <c r="F752">
        <v>2.6378928318505568</v>
      </c>
      <c r="G752">
        <v>6.5145916676074842</v>
      </c>
      <c r="H752">
        <v>3.4854083323925167</v>
      </c>
      <c r="I752">
        <v>395.49580573817065</v>
      </c>
      <c r="J752">
        <v>4.8443419055432972</v>
      </c>
      <c r="K752">
        <v>369.73810481935124</v>
      </c>
      <c r="L752">
        <v>4.4877122838363874</v>
      </c>
      <c r="M752">
        <v>399.96688064827885</v>
      </c>
      <c r="N752">
        <v>4.8622610480963449</v>
      </c>
      <c r="O752">
        <v>378.34853130734513</v>
      </c>
      <c r="P752">
        <v>4.5040022723767956</v>
      </c>
    </row>
    <row r="753" spans="4:16" x14ac:dyDescent="0.55000000000000004">
      <c r="D753">
        <v>746</v>
      </c>
      <c r="E753">
        <v>7.3043534257879985</v>
      </c>
      <c r="F753">
        <v>2.6956465742120024</v>
      </c>
      <c r="G753">
        <v>6.9701959438386183</v>
      </c>
      <c r="H753">
        <v>3.029804056161379</v>
      </c>
      <c r="I753">
        <v>358.86602130500563</v>
      </c>
      <c r="J753">
        <v>4.7893275634960455</v>
      </c>
      <c r="K753">
        <v>335.60297192658891</v>
      </c>
      <c r="L753">
        <v>4.4362168825458275</v>
      </c>
      <c r="M753">
        <v>392.44872068355647</v>
      </c>
      <c r="N753">
        <v>4.7989653461709301</v>
      </c>
      <c r="O753">
        <v>370.69571397229788</v>
      </c>
      <c r="P753">
        <v>4.4449681940893466</v>
      </c>
    </row>
    <row r="754" spans="4:16" x14ac:dyDescent="0.55000000000000004">
      <c r="D754">
        <v>747</v>
      </c>
      <c r="E754">
        <v>7.2410726932252567</v>
      </c>
      <c r="F754">
        <v>2.7589273067747437</v>
      </c>
      <c r="G754">
        <v>6.5838329728963743</v>
      </c>
      <c r="H754">
        <v>3.4161670271036244</v>
      </c>
      <c r="I754">
        <v>374.89078661024274</v>
      </c>
      <c r="J754">
        <v>4.753246432589215</v>
      </c>
      <c r="K754">
        <v>350.77246169362758</v>
      </c>
      <c r="L754">
        <v>4.4023538800281283</v>
      </c>
      <c r="M754">
        <v>390.86362983606534</v>
      </c>
      <c r="N754">
        <v>4.7756431481734882</v>
      </c>
      <c r="O754">
        <v>369.8731719904988</v>
      </c>
      <c r="P754">
        <v>4.422691829737821</v>
      </c>
    </row>
    <row r="755" spans="4:16" x14ac:dyDescent="0.55000000000000004">
      <c r="D755">
        <v>748</v>
      </c>
      <c r="E755">
        <v>7.3867524434949399</v>
      </c>
      <c r="F755">
        <v>2.613247556505061</v>
      </c>
      <c r="G755">
        <v>5.4427738534922332</v>
      </c>
      <c r="H755">
        <v>4.5572261465077668</v>
      </c>
      <c r="I755">
        <v>371.70804908259834</v>
      </c>
      <c r="J755">
        <v>4.9291284972751344</v>
      </c>
      <c r="K755">
        <v>347.47284481379586</v>
      </c>
      <c r="L755">
        <v>4.5669820255665012</v>
      </c>
      <c r="M755">
        <v>323.88529210302886</v>
      </c>
      <c r="N755">
        <v>4.9477798173230649</v>
      </c>
      <c r="O755">
        <v>308.32213972354731</v>
      </c>
      <c r="P755">
        <v>4.5839798937975518</v>
      </c>
    </row>
    <row r="756" spans="4:16" x14ac:dyDescent="0.55000000000000004">
      <c r="D756">
        <v>749</v>
      </c>
      <c r="E756">
        <v>6.4510289397724092</v>
      </c>
      <c r="F756">
        <v>3.5489710602275908</v>
      </c>
      <c r="G756">
        <v>7.1576175816920955</v>
      </c>
      <c r="H756">
        <v>2.8423824183079063</v>
      </c>
      <c r="I756">
        <v>304.20604721476656</v>
      </c>
      <c r="J756">
        <v>4.828385926266856</v>
      </c>
      <c r="K756">
        <v>285.34563801402936</v>
      </c>
      <c r="L756">
        <v>4.4722585294395216</v>
      </c>
      <c r="M756">
        <v>387.52608650958661</v>
      </c>
      <c r="N756">
        <v>4.8095888387905008</v>
      </c>
      <c r="O756">
        <v>365.68867328406111</v>
      </c>
      <c r="P756">
        <v>4.4551408819114897</v>
      </c>
    </row>
    <row r="757" spans="4:16" x14ac:dyDescent="0.55000000000000004">
      <c r="D757">
        <v>750</v>
      </c>
      <c r="E757">
        <v>6.8137728098898478</v>
      </c>
      <c r="F757">
        <v>3.1862271901101518</v>
      </c>
      <c r="G757">
        <v>7.1705266220835986</v>
      </c>
      <c r="H757">
        <v>2.8294733779164014</v>
      </c>
      <c r="I757">
        <v>331.90945377160341</v>
      </c>
      <c r="J757">
        <v>4.8518921484195525</v>
      </c>
      <c r="K757">
        <v>310.34140229304688</v>
      </c>
      <c r="L757">
        <v>4.4947491901956127</v>
      </c>
      <c r="M757">
        <v>399.2874859191237</v>
      </c>
      <c r="N757">
        <v>4.8441375545783156</v>
      </c>
      <c r="O757">
        <v>376.21823154458036</v>
      </c>
      <c r="P757">
        <v>4.4876644776523777</v>
      </c>
    </row>
    <row r="758" spans="4:16" x14ac:dyDescent="0.55000000000000004">
      <c r="D758">
        <v>751</v>
      </c>
      <c r="E758">
        <v>6.1210201948480325</v>
      </c>
      <c r="F758">
        <v>3.8789798051519671</v>
      </c>
      <c r="G758">
        <v>6.5051105329471337</v>
      </c>
      <c r="H758">
        <v>3.4948894670528681</v>
      </c>
      <c r="I758">
        <v>314.93455066588643</v>
      </c>
      <c r="J758">
        <v>4.9149162911115081</v>
      </c>
      <c r="K758">
        <v>295.78950736518641</v>
      </c>
      <c r="L758">
        <v>4.553321313154969</v>
      </c>
      <c r="M758">
        <v>384.69650442420954</v>
      </c>
      <c r="N758">
        <v>4.909577339519549</v>
      </c>
      <c r="O758">
        <v>363.83364428106398</v>
      </c>
      <c r="P758">
        <v>4.5484464523648516</v>
      </c>
    </row>
    <row r="759" spans="4:16" x14ac:dyDescent="0.55000000000000004">
      <c r="D759">
        <v>752</v>
      </c>
      <c r="E759">
        <v>7.260578649617444</v>
      </c>
      <c r="F759">
        <v>2.7394213503825546</v>
      </c>
      <c r="G759">
        <v>6.8733980233276952</v>
      </c>
      <c r="H759">
        <v>3.1266019766723026</v>
      </c>
      <c r="I759">
        <v>347.34177929009161</v>
      </c>
      <c r="J759">
        <v>4.782171467390695</v>
      </c>
      <c r="K759">
        <v>324.88748202710536</v>
      </c>
      <c r="L759">
        <v>4.4294859730919445</v>
      </c>
      <c r="M759">
        <v>378.81928760835501</v>
      </c>
      <c r="N759">
        <v>4.7937874820018571</v>
      </c>
      <c r="O759">
        <v>358.0644818464387</v>
      </c>
      <c r="P759">
        <v>4.4400361851940735</v>
      </c>
    </row>
    <row r="760" spans="4:16" x14ac:dyDescent="0.55000000000000004">
      <c r="D760">
        <v>753</v>
      </c>
      <c r="E760">
        <v>7.65669583981758</v>
      </c>
      <c r="F760">
        <v>2.34330416018242</v>
      </c>
      <c r="G760">
        <v>7.5681287593831694</v>
      </c>
      <c r="H760">
        <v>2.431871240616831</v>
      </c>
      <c r="I760">
        <v>381.40563504730574</v>
      </c>
      <c r="J760">
        <v>4.7908545520620107</v>
      </c>
      <c r="K760">
        <v>355.92176494799162</v>
      </c>
      <c r="L760">
        <v>4.4380614805981375</v>
      </c>
      <c r="M760">
        <v>426.99381247212858</v>
      </c>
      <c r="N760">
        <v>4.7932737942648522</v>
      </c>
      <c r="O760">
        <v>401.91173205148806</v>
      </c>
      <c r="P760">
        <v>4.4402603996735763</v>
      </c>
    </row>
    <row r="761" spans="4:16" x14ac:dyDescent="0.55000000000000004">
      <c r="D761">
        <v>754</v>
      </c>
      <c r="E761">
        <v>6.2032011021598796</v>
      </c>
      <c r="F761">
        <v>3.7967988978401213</v>
      </c>
      <c r="G761">
        <v>6.6781048897738424</v>
      </c>
      <c r="H761">
        <v>3.3218951102261567</v>
      </c>
      <c r="I761">
        <v>312.12179694529982</v>
      </c>
      <c r="J761">
        <v>4.8350047022697398</v>
      </c>
      <c r="K761">
        <v>293.17814800158504</v>
      </c>
      <c r="L761">
        <v>4.4782515203227167</v>
      </c>
      <c r="M761">
        <v>386.0171730785334</v>
      </c>
      <c r="N761">
        <v>4.8223730157356188</v>
      </c>
      <c r="O761">
        <v>364.96217289582398</v>
      </c>
      <c r="P761">
        <v>4.4667359462475797</v>
      </c>
    </row>
    <row r="762" spans="4:16" x14ac:dyDescent="0.55000000000000004">
      <c r="D762">
        <v>755</v>
      </c>
      <c r="E762">
        <v>5.1081263429348924</v>
      </c>
      <c r="F762">
        <v>4.8918736570651085</v>
      </c>
      <c r="G762">
        <v>6.8033835887793854</v>
      </c>
      <c r="H762">
        <v>3.1966164112206181</v>
      </c>
      <c r="I762">
        <v>243.32351400008631</v>
      </c>
      <c r="J762">
        <v>4.9443738886148898</v>
      </c>
      <c r="K762">
        <v>230.53535342782649</v>
      </c>
      <c r="L762">
        <v>4.5805301228699093</v>
      </c>
      <c r="M762">
        <v>374.07640116457816</v>
      </c>
      <c r="N762">
        <v>4.925912996684489</v>
      </c>
      <c r="O762">
        <v>354.03911403277431</v>
      </c>
      <c r="P762">
        <v>4.5637264514638085</v>
      </c>
    </row>
    <row r="763" spans="4:16" x14ac:dyDescent="0.55000000000000004">
      <c r="D763">
        <v>756</v>
      </c>
      <c r="E763">
        <v>6.8558041239709242</v>
      </c>
      <c r="F763">
        <v>3.144195876029078</v>
      </c>
      <c r="G763">
        <v>6.2603428557405421</v>
      </c>
      <c r="H763">
        <v>3.7396571442594588</v>
      </c>
      <c r="I763">
        <v>342.25842967906038</v>
      </c>
      <c r="J763">
        <v>4.8179757044227518</v>
      </c>
      <c r="K763">
        <v>320.55966207113005</v>
      </c>
      <c r="L763">
        <v>4.4627485599977881</v>
      </c>
      <c r="M763">
        <v>362.5315537482486</v>
      </c>
      <c r="N763">
        <v>4.8337854352629606</v>
      </c>
      <c r="O763">
        <v>343.47177907588053</v>
      </c>
      <c r="P763">
        <v>4.4771547875537117</v>
      </c>
    </row>
    <row r="764" spans="4:16" x14ac:dyDescent="0.55000000000000004">
      <c r="D764">
        <v>757</v>
      </c>
      <c r="E764">
        <v>6.7195661765552899</v>
      </c>
      <c r="F764">
        <v>3.2804338234447101</v>
      </c>
      <c r="G764">
        <v>5.6761712749170758</v>
      </c>
      <c r="H764">
        <v>4.3238287250829224</v>
      </c>
      <c r="I764">
        <v>330.53314617916863</v>
      </c>
      <c r="J764">
        <v>4.9234600034777101</v>
      </c>
      <c r="K764">
        <v>309.60328621190052</v>
      </c>
      <c r="L764">
        <v>4.5615393690280435</v>
      </c>
      <c r="M764">
        <v>329.2089102859253</v>
      </c>
      <c r="N764">
        <v>4.9353449139085948</v>
      </c>
      <c r="O764">
        <v>312.68880974133515</v>
      </c>
      <c r="P764">
        <v>4.5724031323371426</v>
      </c>
    </row>
    <row r="765" spans="4:16" x14ac:dyDescent="0.55000000000000004">
      <c r="D765">
        <v>758</v>
      </c>
      <c r="E765">
        <v>6.6273790622685826</v>
      </c>
      <c r="F765">
        <v>3.3726209377314169</v>
      </c>
      <c r="G765">
        <v>7.0324165943194465</v>
      </c>
      <c r="H765">
        <v>2.9675834056805543</v>
      </c>
      <c r="I765">
        <v>361.31876652697173</v>
      </c>
      <c r="J765">
        <v>4.8236849987964252</v>
      </c>
      <c r="K765">
        <v>339.13900130292006</v>
      </c>
      <c r="L765">
        <v>4.4677409358791049</v>
      </c>
      <c r="M765">
        <v>433.40104974975321</v>
      </c>
      <c r="N765">
        <v>4.8129093675430958</v>
      </c>
      <c r="O765">
        <v>409.17789412669708</v>
      </c>
      <c r="P765">
        <v>4.4579624307482923</v>
      </c>
    </row>
    <row r="766" spans="4:16" x14ac:dyDescent="0.55000000000000004">
      <c r="D766">
        <v>759</v>
      </c>
      <c r="E766">
        <v>7.9293259622529559</v>
      </c>
      <c r="F766">
        <v>2.0706740377470449</v>
      </c>
      <c r="G766">
        <v>5.3827799587390555</v>
      </c>
      <c r="H766">
        <v>4.6172200412609454</v>
      </c>
      <c r="I766">
        <v>396.94055119465975</v>
      </c>
      <c r="J766">
        <v>4.8450198792144672</v>
      </c>
      <c r="K766">
        <v>370.34603453038403</v>
      </c>
      <c r="L766">
        <v>4.4886360889063592</v>
      </c>
      <c r="M766">
        <v>319.46094207159638</v>
      </c>
      <c r="N766">
        <v>4.8947925848756126</v>
      </c>
      <c r="O766">
        <v>304.37717904654124</v>
      </c>
      <c r="P766">
        <v>4.5339145750075005</v>
      </c>
    </row>
    <row r="767" spans="4:16" x14ac:dyDescent="0.55000000000000004">
      <c r="D767">
        <v>760</v>
      </c>
      <c r="E767">
        <v>6.0485141509496145</v>
      </c>
      <c r="F767">
        <v>3.9514858490503846</v>
      </c>
      <c r="G767">
        <v>5.2938251267390006</v>
      </c>
      <c r="H767">
        <v>4.7061748732610011</v>
      </c>
      <c r="I767">
        <v>307.94117222587653</v>
      </c>
      <c r="J767">
        <v>4.9475536254118087</v>
      </c>
      <c r="K767">
        <v>289.56876809452535</v>
      </c>
      <c r="L767">
        <v>4.5839154209848072</v>
      </c>
      <c r="M767">
        <v>319.51854197627495</v>
      </c>
      <c r="N767">
        <v>4.9540974975552059</v>
      </c>
      <c r="O767">
        <v>304.41987773958061</v>
      </c>
      <c r="P767">
        <v>4.5899017327747833</v>
      </c>
    </row>
    <row r="768" spans="4:16" x14ac:dyDescent="0.55000000000000004">
      <c r="D768">
        <v>761</v>
      </c>
      <c r="E768">
        <v>6.2177684918908573</v>
      </c>
      <c r="F768">
        <v>3.7822315081091453</v>
      </c>
      <c r="G768">
        <v>6.3045139798182745</v>
      </c>
      <c r="H768">
        <v>3.6954860201817237</v>
      </c>
      <c r="I768">
        <v>312.18310520099834</v>
      </c>
      <c r="J768">
        <v>4.8744507892224656</v>
      </c>
      <c r="K768">
        <v>292.87325546739373</v>
      </c>
      <c r="L768">
        <v>4.5154492775694735</v>
      </c>
      <c r="M768">
        <v>366.5384419779586</v>
      </c>
      <c r="N768">
        <v>4.8726992239202183</v>
      </c>
      <c r="O768">
        <v>346.85666842755603</v>
      </c>
      <c r="P768">
        <v>4.5138472871189395</v>
      </c>
    </row>
    <row r="769" spans="4:16" x14ac:dyDescent="0.55000000000000004">
      <c r="D769">
        <v>762</v>
      </c>
      <c r="E769">
        <v>7.9953743613046422</v>
      </c>
      <c r="F769">
        <v>2.0046256386953591</v>
      </c>
      <c r="G769">
        <v>6.6078911315182207</v>
      </c>
      <c r="H769">
        <v>3.3921088684817784</v>
      </c>
      <c r="I769">
        <v>402.09594547674709</v>
      </c>
      <c r="J769">
        <v>4.7831264231267641</v>
      </c>
      <c r="K769">
        <v>375.09236685610409</v>
      </c>
      <c r="L769">
        <v>4.4309237502900896</v>
      </c>
      <c r="M769">
        <v>382.3179268496034</v>
      </c>
      <c r="N769">
        <v>4.8207617404111822</v>
      </c>
      <c r="O769">
        <v>361.8251434844737</v>
      </c>
      <c r="P769">
        <v>4.4650474194934047</v>
      </c>
    </row>
    <row r="770" spans="4:16" x14ac:dyDescent="0.55000000000000004">
      <c r="D770">
        <v>763</v>
      </c>
      <c r="E770">
        <v>6.8703760368820141</v>
      </c>
      <c r="F770">
        <v>3.1296239631179894</v>
      </c>
      <c r="G770">
        <v>4.5294293787675866</v>
      </c>
      <c r="H770">
        <v>5.4705706212324143</v>
      </c>
      <c r="I770">
        <v>327.4989285347317</v>
      </c>
      <c r="J770">
        <v>4.8994129528559522</v>
      </c>
      <c r="K770">
        <v>307.05795031332661</v>
      </c>
      <c r="L770">
        <v>4.5389238710501987</v>
      </c>
      <c r="M770">
        <v>265.91005506204061</v>
      </c>
      <c r="N770">
        <v>4.9336860276625414</v>
      </c>
      <c r="O770">
        <v>255.22576584973731</v>
      </c>
      <c r="P770">
        <v>4.5702003054044988</v>
      </c>
    </row>
    <row r="771" spans="4:16" x14ac:dyDescent="0.55000000000000004">
      <c r="D771">
        <v>764</v>
      </c>
      <c r="E771">
        <v>6.8302621285961465</v>
      </c>
      <c r="F771">
        <v>3.1697378714038531</v>
      </c>
      <c r="G771">
        <v>6.2499813321709405</v>
      </c>
      <c r="H771">
        <v>3.7500186678290595</v>
      </c>
      <c r="I771">
        <v>339.09408844793046</v>
      </c>
      <c r="J771">
        <v>4.6715240928106372</v>
      </c>
      <c r="K771">
        <v>317.76513274840318</v>
      </c>
      <c r="L771">
        <v>4.3254179037862839</v>
      </c>
      <c r="M771">
        <v>360.28556192245048</v>
      </c>
      <c r="N771">
        <v>4.6994305270647958</v>
      </c>
      <c r="O771">
        <v>341.54266535737827</v>
      </c>
      <c r="P771">
        <v>4.3508192571523514</v>
      </c>
    </row>
    <row r="772" spans="4:16" x14ac:dyDescent="0.55000000000000004">
      <c r="D772">
        <v>765</v>
      </c>
      <c r="E772">
        <v>6.4813386700996318</v>
      </c>
      <c r="F772">
        <v>3.5186613299003677</v>
      </c>
      <c r="G772">
        <v>5.5798594004802728</v>
      </c>
      <c r="H772">
        <v>4.4201405995197272</v>
      </c>
      <c r="I772">
        <v>331.19839006477457</v>
      </c>
      <c r="J772">
        <v>4.878849556991451</v>
      </c>
      <c r="K772">
        <v>311.03540229097422</v>
      </c>
      <c r="L772">
        <v>4.5194577974612553</v>
      </c>
      <c r="M772">
        <v>335.13252343260996</v>
      </c>
      <c r="N772">
        <v>4.8957001828322575</v>
      </c>
      <c r="O772">
        <v>319.05809415206051</v>
      </c>
      <c r="P772">
        <v>4.5348128524068443</v>
      </c>
    </row>
    <row r="773" spans="4:16" x14ac:dyDescent="0.55000000000000004">
      <c r="D773">
        <v>766</v>
      </c>
      <c r="E773">
        <v>6.1091981318014259</v>
      </c>
      <c r="F773">
        <v>3.890801868198575</v>
      </c>
      <c r="G773">
        <v>5.4011880090705784</v>
      </c>
      <c r="H773">
        <v>4.5988119909294207</v>
      </c>
      <c r="I773">
        <v>291.85554121730087</v>
      </c>
      <c r="J773">
        <v>4.8466071067975287</v>
      </c>
      <c r="K773">
        <v>274.78403981685949</v>
      </c>
      <c r="L773">
        <v>4.4888122517129014</v>
      </c>
      <c r="M773">
        <v>308.03167872358148</v>
      </c>
      <c r="N773">
        <v>4.8643841896158104</v>
      </c>
      <c r="O773">
        <v>293.96196999218756</v>
      </c>
      <c r="P773">
        <v>4.5050116579163104</v>
      </c>
    </row>
    <row r="774" spans="4:16" x14ac:dyDescent="0.55000000000000004">
      <c r="D774">
        <v>767</v>
      </c>
      <c r="E774">
        <v>5.8282617464493187</v>
      </c>
      <c r="F774">
        <v>4.1717382535506822</v>
      </c>
      <c r="G774">
        <v>4.9267033801475995</v>
      </c>
      <c r="H774">
        <v>5.0732966198524014</v>
      </c>
      <c r="I774">
        <v>290.64538549505903</v>
      </c>
      <c r="J774">
        <v>4.8204910670510515</v>
      </c>
      <c r="K774">
        <v>273.88184413002881</v>
      </c>
      <c r="L774">
        <v>4.4640773329567018</v>
      </c>
      <c r="M774">
        <v>295.68622094146042</v>
      </c>
      <c r="N774">
        <v>4.8482588282406747</v>
      </c>
      <c r="O774">
        <v>282.75999603990465</v>
      </c>
      <c r="P774">
        <v>4.4894750837552344</v>
      </c>
    </row>
    <row r="775" spans="4:16" x14ac:dyDescent="0.55000000000000004">
      <c r="D775">
        <v>768</v>
      </c>
      <c r="E775">
        <v>6.8681794614856333</v>
      </c>
      <c r="F775">
        <v>3.1318205385143671</v>
      </c>
      <c r="G775">
        <v>6.3512472456938465</v>
      </c>
      <c r="H775">
        <v>3.6487527543061522</v>
      </c>
      <c r="I775">
        <v>347.64077766674933</v>
      </c>
      <c r="J775">
        <v>4.7817679571940941</v>
      </c>
      <c r="K775">
        <v>325.4600731217634</v>
      </c>
      <c r="L775">
        <v>4.4289246661425681</v>
      </c>
      <c r="M775">
        <v>371.47566091250826</v>
      </c>
      <c r="N775">
        <v>4.7981931502277106</v>
      </c>
      <c r="O775">
        <v>351.59894372445524</v>
      </c>
      <c r="P775">
        <v>4.4439035275033669</v>
      </c>
    </row>
    <row r="776" spans="4:16" x14ac:dyDescent="0.55000000000000004">
      <c r="D776">
        <v>769</v>
      </c>
      <c r="E776">
        <v>5.6119044777893112</v>
      </c>
      <c r="F776">
        <v>4.3880955222106888</v>
      </c>
      <c r="G776">
        <v>5.6308336787363764</v>
      </c>
      <c r="H776">
        <v>4.3691663212636236</v>
      </c>
      <c r="I776">
        <v>294.40991583138515</v>
      </c>
      <c r="J776">
        <v>4.8857555338633309</v>
      </c>
      <c r="K776">
        <v>277.63874536597717</v>
      </c>
      <c r="L776">
        <v>4.52549624933184</v>
      </c>
      <c r="M776">
        <v>345.40297344304577</v>
      </c>
      <c r="N776">
        <v>4.8853701822478239</v>
      </c>
      <c r="O776">
        <v>328.54636243256152</v>
      </c>
      <c r="P776">
        <v>4.5251440525420836</v>
      </c>
    </row>
    <row r="777" spans="4:16" x14ac:dyDescent="0.55000000000000004">
      <c r="D777">
        <v>770</v>
      </c>
      <c r="E777">
        <v>6.1154864339418822</v>
      </c>
      <c r="F777">
        <v>3.8845135660581187</v>
      </c>
      <c r="G777">
        <v>6.7367329020573283</v>
      </c>
      <c r="H777">
        <v>3.2632670979426703</v>
      </c>
      <c r="I777">
        <v>305.70740721184518</v>
      </c>
      <c r="J777">
        <v>4.8239905676887673</v>
      </c>
      <c r="K777">
        <v>287.40448953856981</v>
      </c>
      <c r="L777">
        <v>4.4677611132248547</v>
      </c>
      <c r="M777">
        <v>386.76293305734572</v>
      </c>
      <c r="N777">
        <v>4.8061105119712888</v>
      </c>
      <c r="O777">
        <v>365.69214315554228</v>
      </c>
      <c r="P777">
        <v>4.4514746453896485</v>
      </c>
    </row>
    <row r="778" spans="4:16" x14ac:dyDescent="0.55000000000000004">
      <c r="D778">
        <v>771</v>
      </c>
      <c r="E778">
        <v>5.9539416904464231</v>
      </c>
      <c r="F778">
        <v>4.0460583095535769</v>
      </c>
      <c r="G778">
        <v>5.6541416320438156</v>
      </c>
      <c r="H778">
        <v>4.3458583679561835</v>
      </c>
      <c r="I778">
        <v>311.34491386099785</v>
      </c>
      <c r="J778">
        <v>4.749618342762445</v>
      </c>
      <c r="K778">
        <v>292.89247915967644</v>
      </c>
      <c r="L778">
        <v>4.3976904137306692</v>
      </c>
      <c r="M778">
        <v>345.6676989650818</v>
      </c>
      <c r="N778">
        <v>4.7622258621782318</v>
      </c>
      <c r="O778">
        <v>328.56162639831086</v>
      </c>
      <c r="P778">
        <v>4.4092151970313527</v>
      </c>
    </row>
    <row r="779" spans="4:16" x14ac:dyDescent="0.55000000000000004">
      <c r="D779">
        <v>772</v>
      </c>
      <c r="E779">
        <v>7.0274384457417973</v>
      </c>
      <c r="F779">
        <v>2.972561554258204</v>
      </c>
      <c r="G779">
        <v>6.408615238003688</v>
      </c>
      <c r="H779">
        <v>3.5913847619963137</v>
      </c>
      <c r="I779">
        <v>332.55845854286719</v>
      </c>
      <c r="J779">
        <v>4.9280296012608646</v>
      </c>
      <c r="K779">
        <v>311.22184604030753</v>
      </c>
      <c r="L779">
        <v>4.5658798857745184</v>
      </c>
      <c r="M779">
        <v>353.27397691206215</v>
      </c>
      <c r="N779">
        <v>4.9343671812131911</v>
      </c>
      <c r="O779">
        <v>334.54851461993297</v>
      </c>
      <c r="P779">
        <v>4.5716523755389851</v>
      </c>
    </row>
    <row r="780" spans="4:16" x14ac:dyDescent="0.55000000000000004">
      <c r="D780">
        <v>773</v>
      </c>
      <c r="E780">
        <v>6.4313217389646269</v>
      </c>
      <c r="F780">
        <v>3.5686782610353718</v>
      </c>
      <c r="G780">
        <v>5.8843848917984882</v>
      </c>
      <c r="H780">
        <v>4.1156151082015118</v>
      </c>
      <c r="I780">
        <v>305.92842422689705</v>
      </c>
      <c r="J780">
        <v>4.7939984539763056</v>
      </c>
      <c r="K780">
        <v>287.32371780584577</v>
      </c>
      <c r="L780">
        <v>4.4397589522383427</v>
      </c>
      <c r="M780">
        <v>329.91145064098191</v>
      </c>
      <c r="N780">
        <v>4.8115173778719855</v>
      </c>
      <c r="O780">
        <v>313.62171354351028</v>
      </c>
      <c r="P780">
        <v>4.4557190564170908</v>
      </c>
    </row>
    <row r="781" spans="4:16" x14ac:dyDescent="0.55000000000000004">
      <c r="D781">
        <v>774</v>
      </c>
      <c r="E781">
        <v>7.3567902791581092</v>
      </c>
      <c r="F781">
        <v>2.6432097208418912</v>
      </c>
      <c r="G781">
        <v>7.0020194574743249</v>
      </c>
      <c r="H781">
        <v>2.9979805425256751</v>
      </c>
      <c r="I781">
        <v>348.07098563310967</v>
      </c>
      <c r="J781">
        <v>4.8202238902885473</v>
      </c>
      <c r="K781">
        <v>325.33199941362562</v>
      </c>
      <c r="L781">
        <v>4.4652011467189796</v>
      </c>
      <c r="M781">
        <v>381.2857539095441</v>
      </c>
      <c r="N781">
        <v>4.828893339292974</v>
      </c>
      <c r="O781">
        <v>360.07625879469833</v>
      </c>
      <c r="P781">
        <v>4.4730806247922485</v>
      </c>
    </row>
    <row r="782" spans="4:16" x14ac:dyDescent="0.55000000000000004">
      <c r="D782">
        <v>775</v>
      </c>
      <c r="E782">
        <v>6.0523169713370502</v>
      </c>
      <c r="F782">
        <v>3.947683028662949</v>
      </c>
      <c r="G782">
        <v>6.1637955135584317</v>
      </c>
      <c r="H782">
        <v>3.8362044864415714</v>
      </c>
      <c r="I782">
        <v>303.1097038923109</v>
      </c>
      <c r="J782">
        <v>4.8750281678542304</v>
      </c>
      <c r="K782">
        <v>285.14756499541073</v>
      </c>
      <c r="L782">
        <v>4.5156666769378395</v>
      </c>
      <c r="M782">
        <v>358.69272739935707</v>
      </c>
      <c r="N782">
        <v>4.872726292765349</v>
      </c>
      <c r="O782">
        <v>340.2375671938006</v>
      </c>
      <c r="P782">
        <v>4.5135680740485551</v>
      </c>
    </row>
    <row r="783" spans="4:16" x14ac:dyDescent="0.55000000000000004">
      <c r="D783">
        <v>776</v>
      </c>
      <c r="E783">
        <v>7.8435751376220129</v>
      </c>
      <c r="F783">
        <v>2.156424862377988</v>
      </c>
      <c r="G783">
        <v>5.6600617264354405</v>
      </c>
      <c r="H783">
        <v>4.3399382735645577</v>
      </c>
      <c r="I783">
        <v>374.26459689399019</v>
      </c>
      <c r="J783">
        <v>4.7897235547064048</v>
      </c>
      <c r="K783">
        <v>349.31136539117875</v>
      </c>
      <c r="L783">
        <v>4.4369759901579835</v>
      </c>
      <c r="M783">
        <v>320.07591350513917</v>
      </c>
      <c r="N783">
        <v>4.8482608199584325</v>
      </c>
      <c r="O783">
        <v>304.59028143083515</v>
      </c>
      <c r="P783">
        <v>4.4901939888541804</v>
      </c>
    </row>
    <row r="784" spans="4:16" x14ac:dyDescent="0.55000000000000004">
      <c r="D784">
        <v>777</v>
      </c>
      <c r="E784">
        <v>6.1456097636888067</v>
      </c>
      <c r="F784">
        <v>3.8543902363111942</v>
      </c>
      <c r="G784">
        <v>6.7946504767829285</v>
      </c>
      <c r="H784">
        <v>3.2053495232170715</v>
      </c>
      <c r="I784">
        <v>294.17691258097375</v>
      </c>
      <c r="J784">
        <v>4.868413524381074</v>
      </c>
      <c r="K784">
        <v>276.39031400131341</v>
      </c>
      <c r="L784">
        <v>4.5096022759325516</v>
      </c>
      <c r="M784">
        <v>375.24507350546071</v>
      </c>
      <c r="N784">
        <v>4.854516615326764</v>
      </c>
      <c r="O784">
        <v>354.71055837088966</v>
      </c>
      <c r="P784">
        <v>4.496934520626521</v>
      </c>
    </row>
    <row r="785" spans="4:16" x14ac:dyDescent="0.55000000000000004">
      <c r="D785">
        <v>778</v>
      </c>
      <c r="E785">
        <v>6.8030560568269562</v>
      </c>
      <c r="F785">
        <v>3.1969439431730438</v>
      </c>
      <c r="G785">
        <v>7.1175006989138581</v>
      </c>
      <c r="H785">
        <v>2.8824993010861455</v>
      </c>
      <c r="I785">
        <v>359.79072267165054</v>
      </c>
      <c r="J785">
        <v>4.8460866544450285</v>
      </c>
      <c r="K785">
        <v>336.96420014555315</v>
      </c>
      <c r="L785">
        <v>4.4890842525147754</v>
      </c>
      <c r="M785">
        <v>426.42064076605499</v>
      </c>
      <c r="N785">
        <v>4.838972612395227</v>
      </c>
      <c r="O785">
        <v>402.10029474788894</v>
      </c>
      <c r="P785">
        <v>4.4826092468737668</v>
      </c>
    </row>
    <row r="786" spans="4:16" x14ac:dyDescent="0.55000000000000004">
      <c r="D786">
        <v>779</v>
      </c>
      <c r="E786">
        <v>7.1224710383092544</v>
      </c>
      <c r="F786">
        <v>2.8775289616907429</v>
      </c>
      <c r="G786">
        <v>5.4673241328863185</v>
      </c>
      <c r="H786">
        <v>4.5326758671136815</v>
      </c>
      <c r="I786">
        <v>317.27851977995954</v>
      </c>
      <c r="J786">
        <v>4.7983537052987293</v>
      </c>
      <c r="K786">
        <v>296.99440416344402</v>
      </c>
      <c r="L786">
        <v>4.4444780075179526</v>
      </c>
      <c r="M786">
        <v>293.54813079748232</v>
      </c>
      <c r="N786">
        <v>4.8452130380878238</v>
      </c>
      <c r="O786">
        <v>279.82818933518348</v>
      </c>
      <c r="P786">
        <v>4.4871654808414601</v>
      </c>
    </row>
    <row r="787" spans="4:16" x14ac:dyDescent="0.55000000000000004">
      <c r="D787">
        <v>780</v>
      </c>
      <c r="E787">
        <v>5.3241476320775254</v>
      </c>
      <c r="F787">
        <v>4.6758523679224746</v>
      </c>
      <c r="G787">
        <v>5.677384266371206</v>
      </c>
      <c r="H787">
        <v>4.3226157336287958</v>
      </c>
      <c r="I787">
        <v>270.21388637620908</v>
      </c>
      <c r="J787">
        <v>4.9756173494722757</v>
      </c>
      <c r="K787">
        <v>255.09758150989654</v>
      </c>
      <c r="L787">
        <v>4.6102141005964601</v>
      </c>
      <c r="M787">
        <v>338.14153420999054</v>
      </c>
      <c r="N787">
        <v>4.9739996547720615</v>
      </c>
      <c r="O787">
        <v>321.5083063843943</v>
      </c>
      <c r="P787">
        <v>4.6087332848808522</v>
      </c>
    </row>
    <row r="788" spans="4:16" x14ac:dyDescent="0.55000000000000004">
      <c r="D788">
        <v>781</v>
      </c>
      <c r="E788">
        <v>6.5552561029861796</v>
      </c>
      <c r="F788">
        <v>3.4447438970138204</v>
      </c>
      <c r="G788">
        <v>6.0736993611400099</v>
      </c>
      <c r="H788">
        <v>3.9263006388599897</v>
      </c>
      <c r="I788">
        <v>329.2573676287123</v>
      </c>
      <c r="J788">
        <v>4.9147744165272371</v>
      </c>
      <c r="K788">
        <v>308.73408735321232</v>
      </c>
      <c r="L788">
        <v>4.553319437115448</v>
      </c>
      <c r="M788">
        <v>355.06973823740589</v>
      </c>
      <c r="N788">
        <v>4.921035187068358</v>
      </c>
      <c r="O788">
        <v>336.66014730806148</v>
      </c>
      <c r="P788">
        <v>4.559033096413156</v>
      </c>
    </row>
    <row r="789" spans="4:16" x14ac:dyDescent="0.55000000000000004">
      <c r="D789">
        <v>782</v>
      </c>
      <c r="E789">
        <v>5.8225013220062367</v>
      </c>
      <c r="F789">
        <v>4.1774986779937624</v>
      </c>
      <c r="G789">
        <v>6.2445341396769196</v>
      </c>
      <c r="H789">
        <v>3.7554658603230804</v>
      </c>
      <c r="I789">
        <v>295.15849978586033</v>
      </c>
      <c r="J789">
        <v>4.8415912165159929</v>
      </c>
      <c r="K789">
        <v>277.64579132004411</v>
      </c>
      <c r="L789">
        <v>4.4842228589257038</v>
      </c>
      <c r="M789">
        <v>366.55249635796531</v>
      </c>
      <c r="N789">
        <v>4.8301092603015974</v>
      </c>
      <c r="O789">
        <v>347.20220104984378</v>
      </c>
      <c r="P789">
        <v>4.4737271182410892</v>
      </c>
    </row>
    <row r="790" spans="4:16" x14ac:dyDescent="0.55000000000000004">
      <c r="D790">
        <v>783</v>
      </c>
      <c r="E790">
        <v>7.7830875762707485</v>
      </c>
      <c r="F790">
        <v>2.2169124237292497</v>
      </c>
      <c r="G790">
        <v>7.3071532949346762</v>
      </c>
      <c r="H790">
        <v>2.6928467050653255</v>
      </c>
      <c r="I790">
        <v>351.80413790868039</v>
      </c>
      <c r="J790">
        <v>4.8609866742286192</v>
      </c>
      <c r="K790">
        <v>328.04015367773877</v>
      </c>
      <c r="L790">
        <v>4.5036096090627975</v>
      </c>
      <c r="M790">
        <v>380.29138375991482</v>
      </c>
      <c r="N790">
        <v>4.8694873118802962</v>
      </c>
      <c r="O790">
        <v>358.45317428396817</v>
      </c>
      <c r="P790">
        <v>4.5113492882022479</v>
      </c>
    </row>
    <row r="791" spans="4:16" x14ac:dyDescent="0.55000000000000004">
      <c r="D791">
        <v>784</v>
      </c>
      <c r="E791">
        <v>6.4161789140658625</v>
      </c>
      <c r="F791">
        <v>3.5838210859341384</v>
      </c>
      <c r="G791">
        <v>6.461947138845658</v>
      </c>
      <c r="H791">
        <v>3.5380528611543425</v>
      </c>
      <c r="I791">
        <v>347.75173668175569</v>
      </c>
      <c r="J791">
        <v>4.7688387005466177</v>
      </c>
      <c r="K791">
        <v>326.43050948755683</v>
      </c>
      <c r="L791">
        <v>4.4162443144496155</v>
      </c>
      <c r="M791">
        <v>400.23233765395167</v>
      </c>
      <c r="N791">
        <v>4.7671897686113542</v>
      </c>
      <c r="O791">
        <v>378.69039700662921</v>
      </c>
      <c r="P791">
        <v>4.4147420975505351</v>
      </c>
    </row>
    <row r="792" spans="4:16" x14ac:dyDescent="0.55000000000000004">
      <c r="D792">
        <v>785</v>
      </c>
      <c r="E792">
        <v>6.0025439743807993</v>
      </c>
      <c r="F792">
        <v>3.9974560256192007</v>
      </c>
      <c r="G792">
        <v>6.3297848040803437</v>
      </c>
      <c r="H792">
        <v>3.6702151959196563</v>
      </c>
      <c r="I792">
        <v>304.07746821184702</v>
      </c>
      <c r="J792">
        <v>4.8801128204539292</v>
      </c>
      <c r="K792">
        <v>286.17427799454299</v>
      </c>
      <c r="L792">
        <v>4.5204041631728247</v>
      </c>
      <c r="M792">
        <v>370.65486663079741</v>
      </c>
      <c r="N792">
        <v>4.8735769282934651</v>
      </c>
      <c r="O792">
        <v>351.27880466504774</v>
      </c>
      <c r="P792">
        <v>4.5144489731630086</v>
      </c>
    </row>
    <row r="793" spans="4:16" x14ac:dyDescent="0.55000000000000004">
      <c r="D793">
        <v>786</v>
      </c>
      <c r="E793">
        <v>7.6819438754409113</v>
      </c>
      <c r="F793">
        <v>2.3180561245590869</v>
      </c>
      <c r="G793">
        <v>6.3467076851583633</v>
      </c>
      <c r="H793">
        <v>3.6532923148416359</v>
      </c>
      <c r="I793">
        <v>392.16158625247328</v>
      </c>
      <c r="J793">
        <v>4.8757540480725812</v>
      </c>
      <c r="K793">
        <v>366.04365733119539</v>
      </c>
      <c r="L793">
        <v>4.5172615550248221</v>
      </c>
      <c r="M793">
        <v>373.9980652878192</v>
      </c>
      <c r="N793">
        <v>4.8973498439023286</v>
      </c>
      <c r="O793">
        <v>354.00866127127</v>
      </c>
      <c r="P793">
        <v>4.5369156909944719</v>
      </c>
    </row>
    <row r="794" spans="4:16" x14ac:dyDescent="0.55000000000000004">
      <c r="D794">
        <v>787</v>
      </c>
      <c r="E794">
        <v>5.6988198184964354</v>
      </c>
      <c r="F794">
        <v>4.3011801815035637</v>
      </c>
      <c r="G794">
        <v>5.6830972292930664</v>
      </c>
      <c r="H794">
        <v>4.3169027707069354</v>
      </c>
      <c r="I794">
        <v>283.91900216776878</v>
      </c>
      <c r="J794">
        <v>4.9660040713938365</v>
      </c>
      <c r="K794">
        <v>267.7022305115762</v>
      </c>
      <c r="L794">
        <v>4.6011785741259672</v>
      </c>
      <c r="M794">
        <v>333.13569229304244</v>
      </c>
      <c r="N794">
        <v>4.966097863448522</v>
      </c>
      <c r="O794">
        <v>316.98701343149298</v>
      </c>
      <c r="P794">
        <v>4.6012642128771857</v>
      </c>
    </row>
    <row r="795" spans="4:16" x14ac:dyDescent="0.55000000000000004">
      <c r="D795">
        <v>788</v>
      </c>
      <c r="E795">
        <v>7.1553206132967677</v>
      </c>
      <c r="F795">
        <v>2.8446793867032318</v>
      </c>
      <c r="G795">
        <v>7.2821284546553224</v>
      </c>
      <c r="H795">
        <v>2.7178715453446793</v>
      </c>
      <c r="I795">
        <v>371.1518121471658</v>
      </c>
      <c r="J795">
        <v>4.7409141210116958</v>
      </c>
      <c r="K795">
        <v>347.2811953114566</v>
      </c>
      <c r="L795">
        <v>4.3908099578896005</v>
      </c>
      <c r="M795">
        <v>427.72942937192539</v>
      </c>
      <c r="N795">
        <v>4.7363225558231372</v>
      </c>
      <c r="O795">
        <v>403.25308839657521</v>
      </c>
      <c r="P795">
        <v>4.386641223914598</v>
      </c>
    </row>
    <row r="796" spans="4:16" x14ac:dyDescent="0.55000000000000004">
      <c r="D796">
        <v>789</v>
      </c>
      <c r="E796">
        <v>6.672509763018577</v>
      </c>
      <c r="F796">
        <v>3.3274902369814248</v>
      </c>
      <c r="G796">
        <v>6.4176180603136315</v>
      </c>
      <c r="H796">
        <v>3.5823819396863672</v>
      </c>
      <c r="I796">
        <v>306.93631369727404</v>
      </c>
      <c r="J796">
        <v>4.8164598832699186</v>
      </c>
      <c r="K796">
        <v>288.11145705641366</v>
      </c>
      <c r="L796">
        <v>4.4609494061468462</v>
      </c>
      <c r="M796">
        <v>345.21126234494989</v>
      </c>
      <c r="N796">
        <v>4.823471166059984</v>
      </c>
      <c r="O796">
        <v>327.46636232963198</v>
      </c>
      <c r="P796">
        <v>4.4673149023151595</v>
      </c>
    </row>
    <row r="797" spans="4:16" x14ac:dyDescent="0.55000000000000004">
      <c r="D797">
        <v>790</v>
      </c>
      <c r="E797">
        <v>7.5189373939304271</v>
      </c>
      <c r="F797">
        <v>2.4810626060695729</v>
      </c>
      <c r="G797">
        <v>5.3832465289431113</v>
      </c>
      <c r="H797">
        <v>4.6167534710568887</v>
      </c>
      <c r="I797">
        <v>366.06506041967191</v>
      </c>
      <c r="J797">
        <v>4.715290735193185</v>
      </c>
      <c r="K797">
        <v>342.14242081461009</v>
      </c>
      <c r="L797">
        <v>4.3671294464907273</v>
      </c>
      <c r="M797">
        <v>312.08736190067333</v>
      </c>
      <c r="N797">
        <v>4.7961600049008979</v>
      </c>
      <c r="O797">
        <v>297.53671148364811</v>
      </c>
      <c r="P797">
        <v>4.4407095962030922</v>
      </c>
    </row>
    <row r="798" spans="4:16" x14ac:dyDescent="0.55000000000000004">
      <c r="D798">
        <v>791</v>
      </c>
      <c r="E798">
        <v>6.5315081490107358</v>
      </c>
      <c r="F798">
        <v>3.4684918509892624</v>
      </c>
      <c r="G798">
        <v>5.9785768010719176</v>
      </c>
      <c r="H798">
        <v>4.0214231989280815</v>
      </c>
      <c r="I798">
        <v>317.71972701609508</v>
      </c>
      <c r="J798">
        <v>4.8149987797036236</v>
      </c>
      <c r="K798">
        <v>297.88621651362593</v>
      </c>
      <c r="L798">
        <v>4.4597801342703782</v>
      </c>
      <c r="M798">
        <v>340.8228460939805</v>
      </c>
      <c r="N798">
        <v>4.8306602428412448</v>
      </c>
      <c r="O798">
        <v>323.32045915641015</v>
      </c>
      <c r="P798">
        <v>4.4740842353448427</v>
      </c>
    </row>
    <row r="799" spans="4:16" x14ac:dyDescent="0.55000000000000004">
      <c r="D799">
        <v>792</v>
      </c>
      <c r="E799">
        <v>6.4030946590049362</v>
      </c>
      <c r="F799">
        <v>3.5969053409950629</v>
      </c>
      <c r="G799">
        <v>6.313038318297254</v>
      </c>
      <c r="H799">
        <v>3.6869616817027464</v>
      </c>
      <c r="I799">
        <v>309.29223739731185</v>
      </c>
      <c r="J799">
        <v>4.8624757306767386</v>
      </c>
      <c r="K799">
        <v>290.45732413797737</v>
      </c>
      <c r="L799">
        <v>4.5040832580731021</v>
      </c>
      <c r="M799">
        <v>354.94219595756476</v>
      </c>
      <c r="N799">
        <v>4.8644099411036184</v>
      </c>
      <c r="O799">
        <v>336.49622874225645</v>
      </c>
      <c r="P799">
        <v>4.5058445268155705</v>
      </c>
    </row>
    <row r="800" spans="4:16" x14ac:dyDescent="0.55000000000000004">
      <c r="D800">
        <v>793</v>
      </c>
      <c r="E800">
        <v>7.3682030228164432</v>
      </c>
      <c r="F800">
        <v>2.6317969771835559</v>
      </c>
      <c r="G800">
        <v>5.8189752397070285</v>
      </c>
      <c r="H800">
        <v>4.1810247602929707</v>
      </c>
      <c r="I800">
        <v>373.05028681926899</v>
      </c>
      <c r="J800">
        <v>4.7630985058223265</v>
      </c>
      <c r="K800">
        <v>348.83285556682517</v>
      </c>
      <c r="L800">
        <v>4.4117102569183011</v>
      </c>
      <c r="M800">
        <v>344.61326940163087</v>
      </c>
      <c r="N800">
        <v>4.8129090736777025</v>
      </c>
      <c r="O800">
        <v>327.47690162264763</v>
      </c>
      <c r="P800">
        <v>4.4570240730581574</v>
      </c>
    </row>
    <row r="801" spans="4:16" x14ac:dyDescent="0.55000000000000004">
      <c r="D801">
        <v>794</v>
      </c>
      <c r="E801">
        <v>6.9923085248585304</v>
      </c>
      <c r="F801">
        <v>3.0076914751414709</v>
      </c>
      <c r="G801">
        <v>7.0646732170114914</v>
      </c>
      <c r="H801">
        <v>2.9353267829885086</v>
      </c>
      <c r="I801">
        <v>349.2692933743682</v>
      </c>
      <c r="J801">
        <v>4.7801124641724133</v>
      </c>
      <c r="K801">
        <v>327.21934481503899</v>
      </c>
      <c r="L801">
        <v>4.4272270651619916</v>
      </c>
      <c r="M801">
        <v>402.88394578904121</v>
      </c>
      <c r="N801">
        <v>4.7778368074587734</v>
      </c>
      <c r="O801">
        <v>380.49815782256007</v>
      </c>
      <c r="P801">
        <v>4.4251628410050428</v>
      </c>
    </row>
    <row r="802" spans="4:16" x14ac:dyDescent="0.55000000000000004">
      <c r="D802">
        <v>795</v>
      </c>
      <c r="E802">
        <v>6.4017663386274233</v>
      </c>
      <c r="F802">
        <v>3.5982336613725785</v>
      </c>
      <c r="G802">
        <v>5.1015089437075414</v>
      </c>
      <c r="H802">
        <v>4.8984910562924604</v>
      </c>
      <c r="I802">
        <v>345.37668088256936</v>
      </c>
      <c r="J802">
        <v>4.8532932764771193</v>
      </c>
      <c r="K802">
        <v>324.46662003710355</v>
      </c>
      <c r="L802">
        <v>4.4954080447720299</v>
      </c>
      <c r="M802">
        <v>325.22751273177892</v>
      </c>
      <c r="N802">
        <v>4.8830907561186505</v>
      </c>
      <c r="O802">
        <v>310.43687383223937</v>
      </c>
      <c r="P802">
        <v>4.5226061585813149</v>
      </c>
    </row>
    <row r="803" spans="4:16" x14ac:dyDescent="0.55000000000000004">
      <c r="D803">
        <v>796</v>
      </c>
      <c r="E803">
        <v>5.7701047508585788</v>
      </c>
      <c r="F803">
        <v>4.2298952491414195</v>
      </c>
      <c r="G803">
        <v>6.0812215335399493</v>
      </c>
      <c r="H803">
        <v>3.9187784664600489</v>
      </c>
      <c r="I803">
        <v>302.41711391507397</v>
      </c>
      <c r="J803">
        <v>4.8068589191177402</v>
      </c>
      <c r="K803">
        <v>284.10514992695522</v>
      </c>
      <c r="L803">
        <v>4.451786736624805</v>
      </c>
      <c r="M803">
        <v>368.72306390585061</v>
      </c>
      <c r="N803">
        <v>4.7964449952320862</v>
      </c>
      <c r="O803">
        <v>349.05705519644334</v>
      </c>
      <c r="P803">
        <v>4.4422375841062438</v>
      </c>
    </row>
    <row r="804" spans="4:16" x14ac:dyDescent="0.55000000000000004">
      <c r="D804">
        <v>797</v>
      </c>
      <c r="E804">
        <v>6.5145431974961081</v>
      </c>
      <c r="F804">
        <v>3.4854568025038906</v>
      </c>
      <c r="G804">
        <v>5.0573842767527255</v>
      </c>
      <c r="H804">
        <v>4.9426157232472727</v>
      </c>
      <c r="I804">
        <v>333.0495007078303</v>
      </c>
      <c r="J804">
        <v>4.8030922510286205</v>
      </c>
      <c r="K804">
        <v>312.50712984590001</v>
      </c>
      <c r="L804">
        <v>4.4484701855748119</v>
      </c>
      <c r="M804">
        <v>308.5537093233977</v>
      </c>
      <c r="N804">
        <v>4.8471361500831884</v>
      </c>
      <c r="O804">
        <v>294.4031100688847</v>
      </c>
      <c r="P804">
        <v>4.4887350987534633</v>
      </c>
    </row>
    <row r="805" spans="4:16" x14ac:dyDescent="0.55000000000000004">
      <c r="D805">
        <v>798</v>
      </c>
      <c r="E805">
        <v>7.4362682958660145</v>
      </c>
      <c r="F805">
        <v>2.5637317041339895</v>
      </c>
      <c r="G805">
        <v>7.0833176197564995</v>
      </c>
      <c r="H805">
        <v>2.9166823802435018</v>
      </c>
      <c r="I805">
        <v>359.75073317377769</v>
      </c>
      <c r="J805">
        <v>4.8091786557894229</v>
      </c>
      <c r="K805">
        <v>335.83849488666732</v>
      </c>
      <c r="L805">
        <v>4.4550950790309294</v>
      </c>
      <c r="M805">
        <v>392.67573541244548</v>
      </c>
      <c r="N805">
        <v>4.8182356881308577</v>
      </c>
      <c r="O805">
        <v>370.27600929193892</v>
      </c>
      <c r="P805">
        <v>4.4633498347453795</v>
      </c>
    </row>
    <row r="806" spans="4:16" x14ac:dyDescent="0.55000000000000004">
      <c r="D806">
        <v>799</v>
      </c>
      <c r="E806">
        <v>7.8697144381000435</v>
      </c>
      <c r="F806">
        <v>2.1302855618999565</v>
      </c>
      <c r="G806">
        <v>6.6876125788448073</v>
      </c>
      <c r="H806">
        <v>3.3123874211551931</v>
      </c>
      <c r="I806">
        <v>378.9093078521023</v>
      </c>
      <c r="J806">
        <v>4.8227823065302031</v>
      </c>
      <c r="K806">
        <v>353.54159120732822</v>
      </c>
      <c r="L806">
        <v>4.4678796457170877</v>
      </c>
      <c r="M806">
        <v>371.99372332560432</v>
      </c>
      <c r="N806">
        <v>4.8494019973196627</v>
      </c>
      <c r="O806">
        <v>351.87099457524323</v>
      </c>
      <c r="P806">
        <v>4.4920462306111189</v>
      </c>
    </row>
    <row r="807" spans="4:16" x14ac:dyDescent="0.55000000000000004">
      <c r="D807">
        <v>800</v>
      </c>
      <c r="E807">
        <v>5.3135246146107882</v>
      </c>
      <c r="F807">
        <v>4.6864753853892136</v>
      </c>
      <c r="G807">
        <v>6.282677103345109</v>
      </c>
      <c r="H807">
        <v>3.7173228966548901</v>
      </c>
      <c r="I807">
        <v>261.94460445526437</v>
      </c>
      <c r="J807">
        <v>4.9677250191893112</v>
      </c>
      <c r="K807">
        <v>247.15614840387997</v>
      </c>
      <c r="L807">
        <v>4.6027798861608886</v>
      </c>
      <c r="M807">
        <v>359.72160441877014</v>
      </c>
      <c r="N807">
        <v>4.9618382716450293</v>
      </c>
      <c r="O807">
        <v>340.85306838161239</v>
      </c>
      <c r="P807">
        <v>4.5973958575159735</v>
      </c>
    </row>
    <row r="808" spans="4:16" x14ac:dyDescent="0.55000000000000004">
      <c r="D808">
        <v>801</v>
      </c>
      <c r="E808">
        <v>6.6291183856982654</v>
      </c>
      <c r="F808">
        <v>3.3708816143017315</v>
      </c>
      <c r="G808">
        <v>5.4556361624508911</v>
      </c>
      <c r="H808">
        <v>4.5443638375491089</v>
      </c>
      <c r="I808">
        <v>330.39140270632095</v>
      </c>
      <c r="J808">
        <v>4.7983503061381709</v>
      </c>
      <c r="K808">
        <v>310.13371667413242</v>
      </c>
      <c r="L808">
        <v>4.4439470336272899</v>
      </c>
      <c r="M808">
        <v>321.90573157604229</v>
      </c>
      <c r="N808">
        <v>4.8340462037375636</v>
      </c>
      <c r="O808">
        <v>306.87773477985473</v>
      </c>
      <c r="P808">
        <v>4.4764510647773932</v>
      </c>
    </row>
    <row r="809" spans="4:16" x14ac:dyDescent="0.55000000000000004">
      <c r="D809">
        <v>802</v>
      </c>
      <c r="E809">
        <v>6.4013629046640865</v>
      </c>
      <c r="F809">
        <v>3.5986370953359139</v>
      </c>
      <c r="G809">
        <v>6.4947662696352735</v>
      </c>
      <c r="H809">
        <v>3.5052337303647239</v>
      </c>
      <c r="I809">
        <v>303.7416912603075</v>
      </c>
      <c r="J809">
        <v>4.8298013919333682</v>
      </c>
      <c r="K809">
        <v>285.04070208960644</v>
      </c>
      <c r="L809">
        <v>4.4735130404361669</v>
      </c>
      <c r="M809">
        <v>358.17363746743183</v>
      </c>
      <c r="N809">
        <v>4.8273179953592944</v>
      </c>
      <c r="O809">
        <v>339.08122166635235</v>
      </c>
      <c r="P809">
        <v>4.4712489758457075</v>
      </c>
    </row>
    <row r="810" spans="4:16" x14ac:dyDescent="0.55000000000000004">
      <c r="D810">
        <v>803</v>
      </c>
      <c r="E810">
        <v>6.9102381810867506</v>
      </c>
      <c r="F810">
        <v>3.0897618189132485</v>
      </c>
      <c r="G810">
        <v>6.3244189076295489</v>
      </c>
      <c r="H810">
        <v>3.6755810923704502</v>
      </c>
      <c r="I810">
        <v>357.15476429928867</v>
      </c>
      <c r="J810">
        <v>4.8639018041246151</v>
      </c>
      <c r="K810">
        <v>334.45426794611086</v>
      </c>
      <c r="L810">
        <v>4.5057848431221466</v>
      </c>
      <c r="M810">
        <v>376.87677111719523</v>
      </c>
      <c r="N810">
        <v>4.8754396041449937</v>
      </c>
      <c r="O810">
        <v>356.87614028015906</v>
      </c>
      <c r="P810">
        <v>4.5162938263309274</v>
      </c>
    </row>
    <row r="811" spans="4:16" x14ac:dyDescent="0.55000000000000004">
      <c r="D811">
        <v>804</v>
      </c>
      <c r="E811">
        <v>7.8446942609360022</v>
      </c>
      <c r="F811">
        <v>2.1553057390639987</v>
      </c>
      <c r="G811">
        <v>6.2446461327711802</v>
      </c>
      <c r="H811">
        <v>3.7553538672288216</v>
      </c>
      <c r="I811">
        <v>377.06004618150786</v>
      </c>
      <c r="J811">
        <v>4.9031747192286508</v>
      </c>
      <c r="K811">
        <v>351.68439675975822</v>
      </c>
      <c r="L811">
        <v>4.5429236712857346</v>
      </c>
      <c r="M811">
        <v>350.15275049469318</v>
      </c>
      <c r="N811">
        <v>4.9229237501155145</v>
      </c>
      <c r="O811">
        <v>331.64536912845421</v>
      </c>
      <c r="P811">
        <v>4.5609089990446163</v>
      </c>
    </row>
    <row r="812" spans="4:16" x14ac:dyDescent="0.55000000000000004">
      <c r="D812">
        <v>805</v>
      </c>
      <c r="E812">
        <v>6.713793523090116</v>
      </c>
      <c r="F812">
        <v>3.2862064769098853</v>
      </c>
      <c r="G812">
        <v>6.3087194141508549</v>
      </c>
      <c r="H812">
        <v>3.6912805858491438</v>
      </c>
      <c r="I812">
        <v>327.42260962986603</v>
      </c>
      <c r="J812">
        <v>4.7288645194088632</v>
      </c>
      <c r="K812">
        <v>306.79118408831454</v>
      </c>
      <c r="L812">
        <v>4.379181939290274</v>
      </c>
      <c r="M812">
        <v>357.66769441148142</v>
      </c>
      <c r="N812">
        <v>4.7452233726897317</v>
      </c>
      <c r="O812">
        <v>338.77775746909464</v>
      </c>
      <c r="P812">
        <v>4.3940986827888882</v>
      </c>
    </row>
    <row r="813" spans="4:16" x14ac:dyDescent="0.55000000000000004">
      <c r="D813">
        <v>806</v>
      </c>
      <c r="E813">
        <v>7.8440556475716292</v>
      </c>
      <c r="F813">
        <v>2.1559443524283703</v>
      </c>
      <c r="G813">
        <v>7.7121928564663271</v>
      </c>
      <c r="H813">
        <v>2.2878071435336724</v>
      </c>
      <c r="I813">
        <v>404.54959729219064</v>
      </c>
      <c r="J813">
        <v>4.7867763173993989</v>
      </c>
      <c r="K813">
        <v>377.52241666259567</v>
      </c>
      <c r="L813">
        <v>4.4342541185173729</v>
      </c>
      <c r="M813">
        <v>447.74890114261797</v>
      </c>
      <c r="N813">
        <v>4.7903607220977742</v>
      </c>
      <c r="O813">
        <v>421.36163118419927</v>
      </c>
      <c r="P813">
        <v>4.4375012490947086</v>
      </c>
    </row>
    <row r="814" spans="4:16" x14ac:dyDescent="0.55000000000000004">
      <c r="D814">
        <v>807</v>
      </c>
      <c r="E814">
        <v>6.9140732135532801</v>
      </c>
      <c r="F814">
        <v>3.0859267864467226</v>
      </c>
      <c r="G814">
        <v>6.1166489883610708</v>
      </c>
      <c r="H814">
        <v>3.8833510116389287</v>
      </c>
      <c r="I814">
        <v>323.87200512652629</v>
      </c>
      <c r="J814">
        <v>4.9257695909674757</v>
      </c>
      <c r="K814">
        <v>303.25410923106085</v>
      </c>
      <c r="L814">
        <v>4.5637278824952068</v>
      </c>
      <c r="M814">
        <v>336.51871499312017</v>
      </c>
      <c r="N814">
        <v>4.934330843441983</v>
      </c>
      <c r="O814">
        <v>319.20556684750704</v>
      </c>
      <c r="P814">
        <v>4.5715316975458622</v>
      </c>
    </row>
    <row r="815" spans="4:16" x14ac:dyDescent="0.55000000000000004">
      <c r="D815">
        <v>808</v>
      </c>
      <c r="E815">
        <v>6.3069720694140878</v>
      </c>
      <c r="F815">
        <v>3.6930279305859122</v>
      </c>
      <c r="G815">
        <v>6.5721451455336846</v>
      </c>
      <c r="H815">
        <v>3.4278548544663163</v>
      </c>
      <c r="I815">
        <v>309.44669137551216</v>
      </c>
      <c r="J815">
        <v>4.8921122066181812</v>
      </c>
      <c r="K815">
        <v>290.59654038995177</v>
      </c>
      <c r="L815">
        <v>4.5319170002181792</v>
      </c>
      <c r="M815">
        <v>372.45720262305895</v>
      </c>
      <c r="N815">
        <v>4.8875761253208569</v>
      </c>
      <c r="O815">
        <v>352.45153460213538</v>
      </c>
      <c r="P815">
        <v>4.5277837869644797</v>
      </c>
    </row>
    <row r="816" spans="4:16" x14ac:dyDescent="0.55000000000000004">
      <c r="D816">
        <v>809</v>
      </c>
      <c r="E816">
        <v>5.6895558995876545</v>
      </c>
      <c r="F816">
        <v>4.3104441004123455</v>
      </c>
      <c r="G816">
        <v>5.9210309181994036</v>
      </c>
      <c r="H816">
        <v>4.0789690818005981</v>
      </c>
      <c r="I816">
        <v>291.45665391207126</v>
      </c>
      <c r="J816">
        <v>4.8411808159396381</v>
      </c>
      <c r="K816">
        <v>274.94738333919622</v>
      </c>
      <c r="L816">
        <v>4.4834097066513232</v>
      </c>
      <c r="M816">
        <v>353.31433412111971</v>
      </c>
      <c r="N816">
        <v>4.8347193848130114</v>
      </c>
      <c r="O816">
        <v>335.75855767981415</v>
      </c>
      <c r="P816">
        <v>4.4775185325626063</v>
      </c>
    </row>
    <row r="817" spans="4:16" x14ac:dyDescent="0.55000000000000004">
      <c r="D817">
        <v>810</v>
      </c>
      <c r="E817">
        <v>6.5282138569736308</v>
      </c>
      <c r="F817">
        <v>3.4717861430263692</v>
      </c>
      <c r="G817">
        <v>6.4553287026079955</v>
      </c>
      <c r="H817">
        <v>3.5446712973920036</v>
      </c>
      <c r="I817">
        <v>319.14371465505923</v>
      </c>
      <c r="J817">
        <v>4.8948844952956811</v>
      </c>
      <c r="K817">
        <v>299.55427740644404</v>
      </c>
      <c r="L817">
        <v>4.5345693523394068</v>
      </c>
      <c r="M817">
        <v>365.58059012864567</v>
      </c>
      <c r="N817">
        <v>4.8960580720127513</v>
      </c>
      <c r="O817">
        <v>346.31239275114302</v>
      </c>
      <c r="P817">
        <v>4.5356371231463717</v>
      </c>
    </row>
    <row r="818" spans="4:16" x14ac:dyDescent="0.55000000000000004">
      <c r="D818">
        <v>811</v>
      </c>
      <c r="E818">
        <v>7.1999033960982066</v>
      </c>
      <c r="F818">
        <v>2.8000966039017929</v>
      </c>
      <c r="G818">
        <v>6.7489376648843216</v>
      </c>
      <c r="H818">
        <v>3.2510623351156784</v>
      </c>
      <c r="I818">
        <v>342.67281366455325</v>
      </c>
      <c r="J818">
        <v>4.8355021699328171</v>
      </c>
      <c r="K818">
        <v>320.76430197144344</v>
      </c>
      <c r="L818">
        <v>4.4792519437762701</v>
      </c>
      <c r="M818">
        <v>371.20951235621902</v>
      </c>
      <c r="N818">
        <v>4.8458054865383646</v>
      </c>
      <c r="O818">
        <v>351.29511046347648</v>
      </c>
      <c r="P818">
        <v>4.4885980010895832</v>
      </c>
    </row>
    <row r="819" spans="4:16" x14ac:dyDescent="0.55000000000000004">
      <c r="D819">
        <v>812</v>
      </c>
      <c r="E819">
        <v>6.5299255431971046</v>
      </c>
      <c r="F819">
        <v>3.4700744568028981</v>
      </c>
      <c r="G819">
        <v>5.9009819240978905</v>
      </c>
      <c r="H819">
        <v>4.0990180759021086</v>
      </c>
      <c r="I819">
        <v>333.50360561549678</v>
      </c>
      <c r="J819">
        <v>4.9738197213709414</v>
      </c>
      <c r="K819">
        <v>312.77733504722374</v>
      </c>
      <c r="L819">
        <v>4.6086794857944691</v>
      </c>
      <c r="M819">
        <v>351.38149896805271</v>
      </c>
      <c r="N819">
        <v>4.9763413303971173</v>
      </c>
      <c r="O819">
        <v>333.45319353288573</v>
      </c>
      <c r="P819">
        <v>4.6109814524973061</v>
      </c>
    </row>
    <row r="820" spans="4:16" x14ac:dyDescent="0.55000000000000004">
      <c r="D820">
        <v>813</v>
      </c>
      <c r="E820">
        <v>7.2587875513602365</v>
      </c>
      <c r="F820">
        <v>2.7412124486397653</v>
      </c>
      <c r="G820">
        <v>5.9274436905048367</v>
      </c>
      <c r="H820">
        <v>4.0725563094951633</v>
      </c>
      <c r="I820">
        <v>377.68766726683862</v>
      </c>
      <c r="J820">
        <v>4.879620073922398</v>
      </c>
      <c r="K820">
        <v>353.21835550441989</v>
      </c>
      <c r="L820">
        <v>4.5206518845133701</v>
      </c>
      <c r="M820">
        <v>358.41547083201164</v>
      </c>
      <c r="N820">
        <v>4.901699115968972</v>
      </c>
      <c r="O820">
        <v>340.13261606190662</v>
      </c>
      <c r="P820">
        <v>4.5407591247248309</v>
      </c>
    </row>
    <row r="821" spans="4:16" x14ac:dyDescent="0.55000000000000004">
      <c r="D821">
        <v>814</v>
      </c>
      <c r="E821">
        <v>6.6876775600678267</v>
      </c>
      <c r="F821">
        <v>3.3123224399321733</v>
      </c>
      <c r="G821">
        <v>6.4756748807045472</v>
      </c>
      <c r="H821">
        <v>3.5243251192954546</v>
      </c>
      <c r="I821">
        <v>325.83073545705099</v>
      </c>
      <c r="J821">
        <v>4.6948615835125933</v>
      </c>
      <c r="K821">
        <v>305.41106533878781</v>
      </c>
      <c r="L821">
        <v>4.3472172119448853</v>
      </c>
      <c r="M821">
        <v>365.50174032901697</v>
      </c>
      <c r="N821">
        <v>4.7045346219165785</v>
      </c>
      <c r="O821">
        <v>346.0019629446623</v>
      </c>
      <c r="P821">
        <v>4.3560287766399233</v>
      </c>
    </row>
    <row r="822" spans="4:16" x14ac:dyDescent="0.55000000000000004">
      <c r="D822">
        <v>815</v>
      </c>
      <c r="E822">
        <v>6.6528180138405455</v>
      </c>
      <c r="F822">
        <v>3.3471819861594541</v>
      </c>
      <c r="G822">
        <v>5.3180491650209909</v>
      </c>
      <c r="H822">
        <v>4.68195083497901</v>
      </c>
      <c r="I822">
        <v>333.68438992439917</v>
      </c>
      <c r="J822">
        <v>4.8255585551134565</v>
      </c>
      <c r="K822">
        <v>312.89614569773198</v>
      </c>
      <c r="L822">
        <v>4.4696588407396431</v>
      </c>
      <c r="M822">
        <v>316.73659004743695</v>
      </c>
      <c r="N822">
        <v>4.8605571085224391</v>
      </c>
      <c r="O822">
        <v>301.75695697556057</v>
      </c>
      <c r="P822">
        <v>4.5016208046250483</v>
      </c>
    </row>
    <row r="823" spans="4:16" x14ac:dyDescent="0.55000000000000004">
      <c r="D823">
        <v>816</v>
      </c>
      <c r="E823">
        <v>7.4452814282690225</v>
      </c>
      <c r="F823">
        <v>2.5547185717309762</v>
      </c>
      <c r="G823">
        <v>7.085456495569268</v>
      </c>
      <c r="H823">
        <v>2.9145435044307297</v>
      </c>
      <c r="I823">
        <v>385.39438156028376</v>
      </c>
      <c r="J823">
        <v>4.7542842665461862</v>
      </c>
      <c r="K823">
        <v>360.20759042768714</v>
      </c>
      <c r="L823">
        <v>4.4035753352767104</v>
      </c>
      <c r="M823">
        <v>416.76855676858975</v>
      </c>
      <c r="N823">
        <v>4.7661595258100729</v>
      </c>
      <c r="O823">
        <v>393.30353130629965</v>
      </c>
      <c r="P823">
        <v>4.4143528491276962</v>
      </c>
    </row>
    <row r="824" spans="4:16" x14ac:dyDescent="0.55000000000000004">
      <c r="D824">
        <v>817</v>
      </c>
      <c r="E824">
        <v>7.4685996882978722</v>
      </c>
      <c r="F824">
        <v>2.5314003117021269</v>
      </c>
      <c r="G824">
        <v>5.6401018494463129</v>
      </c>
      <c r="H824">
        <v>4.359898150553688</v>
      </c>
      <c r="I824">
        <v>359.20063441479601</v>
      </c>
      <c r="J824">
        <v>4.8544749547176442</v>
      </c>
      <c r="K824">
        <v>335.67288958012182</v>
      </c>
      <c r="L824">
        <v>4.4972396239476007</v>
      </c>
      <c r="M824">
        <v>321.25943912344002</v>
      </c>
      <c r="N824">
        <v>4.8901030834034653</v>
      </c>
      <c r="O824">
        <v>305.58462446570479</v>
      </c>
      <c r="P824">
        <v>4.5296862492893091</v>
      </c>
    </row>
    <row r="825" spans="4:16" x14ac:dyDescent="0.55000000000000004">
      <c r="D825">
        <v>818</v>
      </c>
      <c r="E825">
        <v>6.4710465841934965</v>
      </c>
      <c r="F825">
        <v>3.5289534158065048</v>
      </c>
      <c r="G825">
        <v>5.8807133569236285</v>
      </c>
      <c r="H825">
        <v>4.1192866430763715</v>
      </c>
      <c r="I825">
        <v>325.88990723095355</v>
      </c>
      <c r="J825">
        <v>4.8410791603326402</v>
      </c>
      <c r="K825">
        <v>306.30230322251356</v>
      </c>
      <c r="L825">
        <v>4.4838638299988123</v>
      </c>
      <c r="M825">
        <v>346.15999597668258</v>
      </c>
      <c r="N825">
        <v>4.8555770087008518</v>
      </c>
      <c r="O825">
        <v>329.28456992707277</v>
      </c>
      <c r="P825">
        <v>4.4970390795722128</v>
      </c>
    </row>
    <row r="826" spans="4:16" x14ac:dyDescent="0.55000000000000004">
      <c r="D826">
        <v>819</v>
      </c>
      <c r="E826">
        <v>7.2799662364424425</v>
      </c>
      <c r="F826">
        <v>2.7200337635575549</v>
      </c>
      <c r="G826">
        <v>5.3325215205935361</v>
      </c>
      <c r="H826">
        <v>4.6674784794064639</v>
      </c>
      <c r="I826">
        <v>353.27449639642077</v>
      </c>
      <c r="J826">
        <v>4.7668596989312135</v>
      </c>
      <c r="K826">
        <v>330.33282744248697</v>
      </c>
      <c r="L826">
        <v>4.415232582286829</v>
      </c>
      <c r="M826">
        <v>308.77096040370509</v>
      </c>
      <c r="N826">
        <v>4.829226450729462</v>
      </c>
      <c r="O826">
        <v>294.11335639641453</v>
      </c>
      <c r="P826">
        <v>4.4721323405278461</v>
      </c>
    </row>
    <row r="827" spans="4:16" x14ac:dyDescent="0.55000000000000004">
      <c r="D827">
        <v>820</v>
      </c>
      <c r="E827">
        <v>6.4769935992047598</v>
      </c>
      <c r="F827">
        <v>3.5230064007952397</v>
      </c>
      <c r="G827">
        <v>6.7562268494027533</v>
      </c>
      <c r="H827">
        <v>3.2437731505972449</v>
      </c>
      <c r="I827">
        <v>325.18946481132662</v>
      </c>
      <c r="J827">
        <v>4.786119427285068</v>
      </c>
      <c r="K827">
        <v>305.2775495475961</v>
      </c>
      <c r="L827">
        <v>4.432448442841773</v>
      </c>
      <c r="M827">
        <v>389.20888752629759</v>
      </c>
      <c r="N827">
        <v>4.7768987037258022</v>
      </c>
      <c r="O827">
        <v>368.02828177032234</v>
      </c>
      <c r="P827">
        <v>4.4240621505247271</v>
      </c>
    </row>
    <row r="828" spans="4:16" x14ac:dyDescent="0.55000000000000004">
      <c r="D828">
        <v>821</v>
      </c>
      <c r="E828">
        <v>7.3524748761275402</v>
      </c>
      <c r="F828">
        <v>2.6475251238724602</v>
      </c>
      <c r="G828">
        <v>7.1132841565442568</v>
      </c>
      <c r="H828">
        <v>2.8867158434557436</v>
      </c>
      <c r="I828">
        <v>353.94586869895363</v>
      </c>
      <c r="J828">
        <v>4.7284825836407194</v>
      </c>
      <c r="K828">
        <v>330.82840260458727</v>
      </c>
      <c r="L828">
        <v>4.3794490906715513</v>
      </c>
      <c r="M828">
        <v>392.43130136564457</v>
      </c>
      <c r="N828">
        <v>4.7373155884850116</v>
      </c>
      <c r="O828">
        <v>370.36535139717893</v>
      </c>
      <c r="P828">
        <v>4.387475461035792</v>
      </c>
    </row>
    <row r="829" spans="4:16" x14ac:dyDescent="0.55000000000000004">
      <c r="D829">
        <v>822</v>
      </c>
      <c r="E829">
        <v>8.40166706477671</v>
      </c>
      <c r="F829">
        <v>1.5983329352232878</v>
      </c>
      <c r="G829">
        <v>5.8214265325619916</v>
      </c>
      <c r="H829">
        <v>4.1785734674380084</v>
      </c>
      <c r="I829">
        <v>417.38697205239311</v>
      </c>
      <c r="J829">
        <v>4.8354033630202711</v>
      </c>
      <c r="K829">
        <v>388.81735018505776</v>
      </c>
      <c r="L829">
        <v>4.4799025361123856</v>
      </c>
      <c r="M829">
        <v>339.20303253126917</v>
      </c>
      <c r="N829">
        <v>4.8859527255368889</v>
      </c>
      <c r="O829">
        <v>322.58126379903098</v>
      </c>
      <c r="P829">
        <v>4.5257402603248797</v>
      </c>
    </row>
    <row r="830" spans="4:16" x14ac:dyDescent="0.55000000000000004">
      <c r="D830">
        <v>823</v>
      </c>
      <c r="E830">
        <v>6.3876177740716553</v>
      </c>
      <c r="F830">
        <v>3.6123822259283469</v>
      </c>
      <c r="G830">
        <v>6.4428467550740782</v>
      </c>
      <c r="H830">
        <v>3.5571532449259218</v>
      </c>
      <c r="I830">
        <v>301.04634644438977</v>
      </c>
      <c r="J830">
        <v>4.7211780204737046</v>
      </c>
      <c r="K830">
        <v>282.74012138562671</v>
      </c>
      <c r="L830">
        <v>4.3713655484722986</v>
      </c>
      <c r="M830">
        <v>353.64927034132603</v>
      </c>
      <c r="N830">
        <v>4.7187672541512704</v>
      </c>
      <c r="O830">
        <v>335.10955458041997</v>
      </c>
      <c r="P830">
        <v>4.3691710356953433</v>
      </c>
    </row>
    <row r="831" spans="4:16" x14ac:dyDescent="0.55000000000000004">
      <c r="D831">
        <v>824</v>
      </c>
      <c r="E831">
        <v>5.6572769129622174</v>
      </c>
      <c r="F831">
        <v>4.3427230870377826</v>
      </c>
      <c r="G831">
        <v>5.756968617779485</v>
      </c>
      <c r="H831">
        <v>4.243031382220515</v>
      </c>
      <c r="I831">
        <v>287.25028674049497</v>
      </c>
      <c r="J831">
        <v>4.9636193945712748</v>
      </c>
      <c r="K831">
        <v>270.66839748903834</v>
      </c>
      <c r="L831">
        <v>4.5989522483522434</v>
      </c>
      <c r="M831">
        <v>342.31216920355695</v>
      </c>
      <c r="N831">
        <v>4.9629783008731438</v>
      </c>
      <c r="O831">
        <v>325.29695138983237</v>
      </c>
      <c r="P831">
        <v>4.5983660362544896</v>
      </c>
    </row>
    <row r="832" spans="4:16" x14ac:dyDescent="0.55000000000000004">
      <c r="D832">
        <v>825</v>
      </c>
      <c r="E832">
        <v>6.2016774965415351</v>
      </c>
      <c r="F832">
        <v>3.7983225034584631</v>
      </c>
      <c r="G832">
        <v>6.4481864658828423</v>
      </c>
      <c r="H832">
        <v>3.5518135341171582</v>
      </c>
      <c r="I832">
        <v>301.57758223419319</v>
      </c>
      <c r="J832">
        <v>4.8915551351105266</v>
      </c>
      <c r="K832">
        <v>283.37583312088128</v>
      </c>
      <c r="L832">
        <v>4.5313330741278541</v>
      </c>
      <c r="M832">
        <v>363.56491614738877</v>
      </c>
      <c r="N832">
        <v>4.8872445865711729</v>
      </c>
      <c r="O832">
        <v>344.30226995923573</v>
      </c>
      <c r="P832">
        <v>4.527404015615347</v>
      </c>
    </row>
    <row r="833" spans="4:16" x14ac:dyDescent="0.55000000000000004">
      <c r="D833">
        <v>826</v>
      </c>
      <c r="E833">
        <v>7.1353254976072344</v>
      </c>
      <c r="F833">
        <v>2.8646745023927669</v>
      </c>
      <c r="G833">
        <v>6.3991126659588193</v>
      </c>
      <c r="H833">
        <v>3.6008873340411789</v>
      </c>
      <c r="I833">
        <v>360.46064663263661</v>
      </c>
      <c r="J833">
        <v>4.7000069569953542</v>
      </c>
      <c r="K833">
        <v>337.4177315345579</v>
      </c>
      <c r="L833">
        <v>4.3524171389014503</v>
      </c>
      <c r="M833">
        <v>373.26882497793798</v>
      </c>
      <c r="N833">
        <v>4.7309598165025122</v>
      </c>
      <c r="O833">
        <v>353.62193960529288</v>
      </c>
      <c r="P833">
        <v>4.3805436557801265</v>
      </c>
    </row>
    <row r="834" spans="4:16" x14ac:dyDescent="0.55000000000000004">
      <c r="D834">
        <v>827</v>
      </c>
      <c r="E834">
        <v>6.6970377664252707</v>
      </c>
      <c r="F834">
        <v>3.3029622335747288</v>
      </c>
      <c r="G834">
        <v>6.8397764211984073</v>
      </c>
      <c r="H834">
        <v>3.1602235788015922</v>
      </c>
      <c r="I834">
        <v>313.87965118246166</v>
      </c>
      <c r="J834">
        <v>4.8135735997713409</v>
      </c>
      <c r="K834">
        <v>294.2274385683084</v>
      </c>
      <c r="L834">
        <v>4.4584786169452535</v>
      </c>
      <c r="M834">
        <v>370.56958794749823</v>
      </c>
      <c r="N834">
        <v>4.8096001633788745</v>
      </c>
      <c r="O834">
        <v>350.31475510728541</v>
      </c>
      <c r="P834">
        <v>4.454863102192582</v>
      </c>
    </row>
    <row r="835" spans="4:16" x14ac:dyDescent="0.55000000000000004">
      <c r="D835">
        <v>828</v>
      </c>
      <c r="E835">
        <v>7.0831160870898868</v>
      </c>
      <c r="F835">
        <v>2.916883912910115</v>
      </c>
      <c r="G835">
        <v>6.5311025540209364</v>
      </c>
      <c r="H835">
        <v>3.468897445979064</v>
      </c>
      <c r="I835">
        <v>352.03973946536013</v>
      </c>
      <c r="J835">
        <v>4.8188166360323512</v>
      </c>
      <c r="K835">
        <v>329.41168456282622</v>
      </c>
      <c r="L835">
        <v>4.4636952942735633</v>
      </c>
      <c r="M835">
        <v>374.60397560471341</v>
      </c>
      <c r="N835">
        <v>4.8329369282381203</v>
      </c>
      <c r="O835">
        <v>354.43969142640702</v>
      </c>
      <c r="P835">
        <v>4.4765475641005565</v>
      </c>
    </row>
    <row r="836" spans="4:16" x14ac:dyDescent="0.55000000000000004">
      <c r="D836">
        <v>829</v>
      </c>
      <c r="E836">
        <v>7.1251815561383873</v>
      </c>
      <c r="F836">
        <v>2.8748184438616153</v>
      </c>
      <c r="G836">
        <v>6.2420649814144342</v>
      </c>
      <c r="H836">
        <v>3.7579350185855671</v>
      </c>
      <c r="I836">
        <v>339.60512642555022</v>
      </c>
      <c r="J836">
        <v>4.7689609072781654</v>
      </c>
      <c r="K836">
        <v>317.77580821461657</v>
      </c>
      <c r="L836">
        <v>4.4170444973867644</v>
      </c>
      <c r="M836">
        <v>347.51343884612965</v>
      </c>
      <c r="N836">
        <v>4.7975965919388672</v>
      </c>
      <c r="O836">
        <v>329.46165752716234</v>
      </c>
      <c r="P836">
        <v>4.4431102600164625</v>
      </c>
    </row>
    <row r="837" spans="4:16" x14ac:dyDescent="0.55000000000000004">
      <c r="D837">
        <v>830</v>
      </c>
      <c r="E837">
        <v>6.7731340484688252</v>
      </c>
      <c r="F837">
        <v>3.2268659515311731</v>
      </c>
      <c r="G837">
        <v>6.4823930091599866</v>
      </c>
      <c r="H837">
        <v>3.5176069908400134</v>
      </c>
      <c r="I837">
        <v>348.91375305147517</v>
      </c>
      <c r="J837">
        <v>4.8058617398664056</v>
      </c>
      <c r="K837">
        <v>327.26300524811126</v>
      </c>
      <c r="L837">
        <v>4.4511411171748687</v>
      </c>
      <c r="M837">
        <v>383.93641073617476</v>
      </c>
      <c r="N837">
        <v>4.8141952467949469</v>
      </c>
      <c r="O837">
        <v>363.65986845596296</v>
      </c>
      <c r="P837">
        <v>4.4587100057213673</v>
      </c>
    </row>
    <row r="838" spans="4:16" x14ac:dyDescent="0.55000000000000004">
      <c r="D838">
        <v>831</v>
      </c>
      <c r="E838">
        <v>6.2840600128761075</v>
      </c>
      <c r="F838">
        <v>3.7159399871238903</v>
      </c>
      <c r="G838">
        <v>6.3549709830352876</v>
      </c>
      <c r="H838">
        <v>3.6450290169647106</v>
      </c>
      <c r="I838">
        <v>313.26308420192157</v>
      </c>
      <c r="J838">
        <v>4.9362756678060045</v>
      </c>
      <c r="K838">
        <v>294.36591757572506</v>
      </c>
      <c r="L838">
        <v>4.5733524878138585</v>
      </c>
      <c r="M838">
        <v>366.79802644790573</v>
      </c>
      <c r="N838">
        <v>4.9355565858415797</v>
      </c>
      <c r="O838">
        <v>347.58513929569352</v>
      </c>
      <c r="P838">
        <v>4.5726976300772302</v>
      </c>
    </row>
    <row r="839" spans="4:16" x14ac:dyDescent="0.55000000000000004">
      <c r="D839">
        <v>832</v>
      </c>
      <c r="E839">
        <v>6.1328987987901851</v>
      </c>
      <c r="F839">
        <v>3.8671012012098149</v>
      </c>
      <c r="G839">
        <v>6.9125898931124388</v>
      </c>
      <c r="H839">
        <v>3.0874101068875621</v>
      </c>
      <c r="I839">
        <v>294.72389105043362</v>
      </c>
      <c r="J839">
        <v>4.9224872693308264</v>
      </c>
      <c r="K839">
        <v>276.5278682800826</v>
      </c>
      <c r="L839">
        <v>4.5605055816842039</v>
      </c>
      <c r="M839">
        <v>382.19289236207362</v>
      </c>
      <c r="N839">
        <v>4.9126328778298154</v>
      </c>
      <c r="O839">
        <v>360.76570347436024</v>
      </c>
      <c r="P839">
        <v>4.5515009906798882</v>
      </c>
    </row>
    <row r="840" spans="4:16" x14ac:dyDescent="0.55000000000000004">
      <c r="D840">
        <v>833</v>
      </c>
      <c r="E840">
        <v>7.2355412702015185</v>
      </c>
      <c r="F840">
        <v>2.764458729798482</v>
      </c>
      <c r="G840">
        <v>6.0474765957898375</v>
      </c>
      <c r="H840">
        <v>3.9525234042101616</v>
      </c>
      <c r="I840">
        <v>354.36437023888368</v>
      </c>
      <c r="J840">
        <v>4.9036742629138308</v>
      </c>
      <c r="K840">
        <v>331.23601642931669</v>
      </c>
      <c r="L840">
        <v>4.5431939065204867</v>
      </c>
      <c r="M840">
        <v>346.17828927700515</v>
      </c>
      <c r="N840">
        <v>4.9194907998106707</v>
      </c>
      <c r="O840">
        <v>328.1530196372936</v>
      </c>
      <c r="P840">
        <v>4.557623288315523</v>
      </c>
    </row>
    <row r="841" spans="4:16" x14ac:dyDescent="0.55000000000000004">
      <c r="D841">
        <v>834</v>
      </c>
      <c r="E841">
        <v>7.1272899569489008</v>
      </c>
      <c r="F841">
        <v>2.8727100430510975</v>
      </c>
      <c r="G841">
        <v>6.8897978436169565</v>
      </c>
      <c r="H841">
        <v>3.1102021563830444</v>
      </c>
      <c r="I841">
        <v>358.65966357583699</v>
      </c>
      <c r="J841">
        <v>4.9296965963323887</v>
      </c>
      <c r="K841">
        <v>335.59489643318773</v>
      </c>
      <c r="L841">
        <v>4.5674504205116575</v>
      </c>
      <c r="M841">
        <v>396.70857950544598</v>
      </c>
      <c r="N841">
        <v>4.9320392123915529</v>
      </c>
      <c r="O841">
        <v>374.73148079007194</v>
      </c>
      <c r="P841">
        <v>4.5695798350311287</v>
      </c>
    </row>
    <row r="842" spans="4:16" x14ac:dyDescent="0.55000000000000004">
      <c r="D842">
        <v>835</v>
      </c>
      <c r="E842">
        <v>7.936789296493278</v>
      </c>
      <c r="F842">
        <v>2.0632107035067246</v>
      </c>
      <c r="G842">
        <v>6.9649052098148658</v>
      </c>
      <c r="H842">
        <v>3.0350947901851324</v>
      </c>
      <c r="I842">
        <v>380.35204921793422</v>
      </c>
      <c r="J842">
        <v>4.945951608402364</v>
      </c>
      <c r="K842">
        <v>354.63598636179512</v>
      </c>
      <c r="L842">
        <v>4.582838622560943</v>
      </c>
      <c r="M842">
        <v>383.77677927423531</v>
      </c>
      <c r="N842">
        <v>4.9525699990061689</v>
      </c>
      <c r="O842">
        <v>362.29093138448297</v>
      </c>
      <c r="P842">
        <v>4.5888558955540608</v>
      </c>
    </row>
    <row r="843" spans="4:16" x14ac:dyDescent="0.55000000000000004">
      <c r="D843">
        <v>836</v>
      </c>
      <c r="E843">
        <v>5.665156976049559</v>
      </c>
      <c r="F843">
        <v>4.334843023950441</v>
      </c>
      <c r="G843">
        <v>6.0480180842162516</v>
      </c>
      <c r="H843">
        <v>3.9519819157837475</v>
      </c>
      <c r="I843">
        <v>289.7373730617216</v>
      </c>
      <c r="J843">
        <v>4.8434889307723852</v>
      </c>
      <c r="K843">
        <v>273.29662950134804</v>
      </c>
      <c r="L843">
        <v>4.4856026702593832</v>
      </c>
      <c r="M843">
        <v>359.3183259279333</v>
      </c>
      <c r="N843">
        <v>4.8329116419773577</v>
      </c>
      <c r="O843">
        <v>341.15242926713677</v>
      </c>
      <c r="P843">
        <v>4.4759572790427562</v>
      </c>
    </row>
    <row r="844" spans="4:16" x14ac:dyDescent="0.55000000000000004">
      <c r="D844">
        <v>837</v>
      </c>
      <c r="E844">
        <v>6.7282552118871664</v>
      </c>
      <c r="F844">
        <v>3.2717447881128363</v>
      </c>
      <c r="G844">
        <v>7.6701543751012284</v>
      </c>
      <c r="H844">
        <v>2.329845624898772</v>
      </c>
      <c r="I844">
        <v>326.90245928413208</v>
      </c>
      <c r="J844">
        <v>4.9134335418612327</v>
      </c>
      <c r="K844">
        <v>306.59022230652073</v>
      </c>
      <c r="L844">
        <v>4.5520451260872834</v>
      </c>
      <c r="M844">
        <v>422.66605521734567</v>
      </c>
      <c r="N844">
        <v>4.90131496551186</v>
      </c>
      <c r="O844">
        <v>398.09216265335994</v>
      </c>
      <c r="P844">
        <v>4.5410550711651512</v>
      </c>
    </row>
    <row r="845" spans="4:16" x14ac:dyDescent="0.55000000000000004">
      <c r="D845">
        <v>838</v>
      </c>
      <c r="E845">
        <v>8.5358891219527795</v>
      </c>
      <c r="F845">
        <v>1.4641108780472194</v>
      </c>
      <c r="G845">
        <v>6.6407142911748913</v>
      </c>
      <c r="H845">
        <v>3.3592857088251118</v>
      </c>
      <c r="I845">
        <v>414.17736496858424</v>
      </c>
      <c r="J845">
        <v>4.6347741501010766</v>
      </c>
      <c r="K845">
        <v>385.61246741645539</v>
      </c>
      <c r="L845">
        <v>4.2931957067604021</v>
      </c>
      <c r="M845">
        <v>372.21992429053614</v>
      </c>
      <c r="N845">
        <v>4.7158631647765104</v>
      </c>
      <c r="O845">
        <v>352.34021557836417</v>
      </c>
      <c r="P845">
        <v>4.3666260328065185</v>
      </c>
    </row>
    <row r="846" spans="4:16" x14ac:dyDescent="0.55000000000000004">
      <c r="D846">
        <v>839</v>
      </c>
      <c r="E846">
        <v>6.0901220453543408</v>
      </c>
      <c r="F846">
        <v>3.9098779546456588</v>
      </c>
      <c r="G846">
        <v>6.2265544346707848</v>
      </c>
      <c r="H846">
        <v>3.7734455653292143</v>
      </c>
      <c r="I846">
        <v>302.04262007374535</v>
      </c>
      <c r="J846">
        <v>4.8292313174759354</v>
      </c>
      <c r="K846">
        <v>283.60843323567605</v>
      </c>
      <c r="L846">
        <v>4.4728863643314414</v>
      </c>
      <c r="M846">
        <v>358.80905201471018</v>
      </c>
      <c r="N846">
        <v>4.8254057160834387</v>
      </c>
      <c r="O846">
        <v>339.79631452809116</v>
      </c>
      <c r="P846">
        <v>4.4693878635713071</v>
      </c>
    </row>
    <row r="847" spans="4:16" x14ac:dyDescent="0.55000000000000004">
      <c r="D847">
        <v>840</v>
      </c>
      <c r="E847">
        <v>7.2453200786795264</v>
      </c>
      <c r="F847">
        <v>2.7546799213204731</v>
      </c>
      <c r="G847">
        <v>5.7796171463762356</v>
      </c>
      <c r="H847">
        <v>4.2203828536237662</v>
      </c>
      <c r="I847">
        <v>365.36289978966914</v>
      </c>
      <c r="J847">
        <v>4.8511999072539966</v>
      </c>
      <c r="K847">
        <v>341.61113652743785</v>
      </c>
      <c r="L847">
        <v>4.4941059431838886</v>
      </c>
      <c r="M847">
        <v>341.45126196536063</v>
      </c>
      <c r="N847">
        <v>4.8813016460172847</v>
      </c>
      <c r="O847">
        <v>324.20620669872659</v>
      </c>
      <c r="P847">
        <v>4.5215577173400066</v>
      </c>
    </row>
    <row r="848" spans="4:16" x14ac:dyDescent="0.55000000000000004">
      <c r="D848">
        <v>841</v>
      </c>
      <c r="E848">
        <v>6.3564248770616514</v>
      </c>
      <c r="F848">
        <v>3.6435751229383486</v>
      </c>
      <c r="G848">
        <v>6.9855106479776161</v>
      </c>
      <c r="H848">
        <v>3.014489352022383</v>
      </c>
      <c r="I848">
        <v>301.46137710945953</v>
      </c>
      <c r="J848">
        <v>4.8257987762546861</v>
      </c>
      <c r="K848">
        <v>283.14626059622049</v>
      </c>
      <c r="L848">
        <v>4.469615010605227</v>
      </c>
      <c r="M848">
        <v>381.29655434952457</v>
      </c>
      <c r="N848">
        <v>4.8085583442109145</v>
      </c>
      <c r="O848">
        <v>360.27918498590964</v>
      </c>
      <c r="P848">
        <v>4.453936091210001</v>
      </c>
    </row>
    <row r="849" spans="4:16" x14ac:dyDescent="0.55000000000000004">
      <c r="D849">
        <v>842</v>
      </c>
      <c r="E849">
        <v>5.8835195275427843</v>
      </c>
      <c r="F849">
        <v>4.1164804724572166</v>
      </c>
      <c r="G849">
        <v>6.3822952696381385</v>
      </c>
      <c r="H849">
        <v>3.6177047303618641</v>
      </c>
      <c r="I849">
        <v>300.92814908899413</v>
      </c>
      <c r="J849">
        <v>4.8775686712094055</v>
      </c>
      <c r="K849">
        <v>283.6089514422784</v>
      </c>
      <c r="L849">
        <v>4.517847649527206</v>
      </c>
      <c r="M849">
        <v>376.43935206479711</v>
      </c>
      <c r="N849">
        <v>4.8671895475254656</v>
      </c>
      <c r="O849">
        <v>356.82344106210695</v>
      </c>
      <c r="P849">
        <v>4.5084029338369165</v>
      </c>
    </row>
    <row r="850" spans="4:16" x14ac:dyDescent="0.55000000000000004">
      <c r="D850">
        <v>843</v>
      </c>
      <c r="E850">
        <v>6.2215958152959718</v>
      </c>
      <c r="F850">
        <v>3.7784041847040282</v>
      </c>
      <c r="G850">
        <v>6.3416423338509436</v>
      </c>
      <c r="H850">
        <v>3.6583576661490556</v>
      </c>
      <c r="I850">
        <v>304.2296203166747</v>
      </c>
      <c r="J850">
        <v>4.8365453028710395</v>
      </c>
      <c r="K850">
        <v>285.82036672475977</v>
      </c>
      <c r="L850">
        <v>4.4796688550492938</v>
      </c>
      <c r="M850">
        <v>360.0997712947451</v>
      </c>
      <c r="N850">
        <v>4.8333914227550174</v>
      </c>
      <c r="O850">
        <v>341.17295638348264</v>
      </c>
      <c r="P850">
        <v>4.4767930472281776</v>
      </c>
    </row>
    <row r="851" spans="4:16" x14ac:dyDescent="0.55000000000000004">
      <c r="D851">
        <v>844</v>
      </c>
      <c r="E851">
        <v>5.4993599294918729</v>
      </c>
      <c r="F851">
        <v>4.5006400705081262</v>
      </c>
      <c r="G851">
        <v>6.416897360819128</v>
      </c>
      <c r="H851">
        <v>3.5831026391808707</v>
      </c>
      <c r="I851">
        <v>293.40651396805544</v>
      </c>
      <c r="J851">
        <v>4.9307354291974992</v>
      </c>
      <c r="K851">
        <v>276.5472834545202</v>
      </c>
      <c r="L851">
        <v>4.5679481301277649</v>
      </c>
      <c r="M851">
        <v>392.35974900132015</v>
      </c>
      <c r="N851">
        <v>4.9191790231446255</v>
      </c>
      <c r="O851">
        <v>371.28579630113791</v>
      </c>
      <c r="P851">
        <v>4.5573866949068673</v>
      </c>
    </row>
    <row r="852" spans="4:16" x14ac:dyDescent="0.55000000000000004">
      <c r="D852">
        <v>845</v>
      </c>
      <c r="E852">
        <v>7.3474821369049756</v>
      </c>
      <c r="F852">
        <v>2.6525178630950226</v>
      </c>
      <c r="G852">
        <v>6.357605294861612</v>
      </c>
      <c r="H852">
        <v>3.6423947051383867</v>
      </c>
      <c r="I852">
        <v>361.19839964088698</v>
      </c>
      <c r="J852">
        <v>4.7661313492061845</v>
      </c>
      <c r="K852">
        <v>337.65808930128213</v>
      </c>
      <c r="L852">
        <v>4.414605960465452</v>
      </c>
      <c r="M852">
        <v>362.53656902659066</v>
      </c>
      <c r="N852">
        <v>4.7976388993011954</v>
      </c>
      <c r="O852">
        <v>343.38693110409002</v>
      </c>
      <c r="P852">
        <v>4.4432706390657764</v>
      </c>
    </row>
    <row r="853" spans="4:16" x14ac:dyDescent="0.55000000000000004">
      <c r="D853">
        <v>846</v>
      </c>
      <c r="E853">
        <v>6.5995017617008624</v>
      </c>
      <c r="F853">
        <v>3.4004982382991349</v>
      </c>
      <c r="G853">
        <v>5.8837269653555451</v>
      </c>
      <c r="H853">
        <v>4.1162730346444558</v>
      </c>
      <c r="I853">
        <v>316.62016816801474</v>
      </c>
      <c r="J853">
        <v>4.8684306922081895</v>
      </c>
      <c r="K853">
        <v>297.24288863463687</v>
      </c>
      <c r="L853">
        <v>4.5097155228096106</v>
      </c>
      <c r="M853">
        <v>332.27988846622208</v>
      </c>
      <c r="N853">
        <v>4.8827005564934778</v>
      </c>
      <c r="O853">
        <v>316.00347378222153</v>
      </c>
      <c r="P853">
        <v>4.5226968442830193</v>
      </c>
    </row>
    <row r="854" spans="4:16" x14ac:dyDescent="0.55000000000000004">
      <c r="D854">
        <v>847</v>
      </c>
      <c r="E854">
        <v>6.9909992755425279</v>
      </c>
      <c r="F854">
        <v>3.0090007244574735</v>
      </c>
      <c r="G854">
        <v>6.9443976558052478</v>
      </c>
      <c r="H854">
        <v>3.0556023441947526</v>
      </c>
      <c r="I854">
        <v>348.5635067135093</v>
      </c>
      <c r="J854">
        <v>4.7881093230765677</v>
      </c>
      <c r="K854">
        <v>326.32507193743334</v>
      </c>
      <c r="L854">
        <v>4.4348607356700844</v>
      </c>
      <c r="M854">
        <v>396.24000139560962</v>
      </c>
      <c r="N854">
        <v>4.789521774768045</v>
      </c>
      <c r="O854">
        <v>374.21256375430852</v>
      </c>
      <c r="P854">
        <v>4.4361449228563705</v>
      </c>
    </row>
    <row r="855" spans="4:16" x14ac:dyDescent="0.55000000000000004">
      <c r="D855">
        <v>848</v>
      </c>
      <c r="E855">
        <v>4.5950876437040709</v>
      </c>
      <c r="F855">
        <v>5.40491235629593</v>
      </c>
      <c r="G855">
        <v>6.6849977093344952</v>
      </c>
      <c r="H855">
        <v>3.3150022906655026</v>
      </c>
      <c r="I855">
        <v>229.1245830438736</v>
      </c>
      <c r="J855">
        <v>4.8997491721243343</v>
      </c>
      <c r="K855">
        <v>217.35975364018549</v>
      </c>
      <c r="L855">
        <v>4.5381294749326031</v>
      </c>
      <c r="M855">
        <v>383.333644875993</v>
      </c>
      <c r="N855">
        <v>4.8541536948428057</v>
      </c>
      <c r="O855">
        <v>362.63738278843476</v>
      </c>
      <c r="P855">
        <v>4.4964418433688005</v>
      </c>
    </row>
    <row r="856" spans="4:16" x14ac:dyDescent="0.55000000000000004">
      <c r="D856">
        <v>849</v>
      </c>
      <c r="E856">
        <v>6.7453173393781025</v>
      </c>
      <c r="F856">
        <v>3.2546826606218979</v>
      </c>
      <c r="G856">
        <v>5.2586729130398071</v>
      </c>
      <c r="H856">
        <v>4.7413270869601929</v>
      </c>
      <c r="I856">
        <v>345.47474404538036</v>
      </c>
      <c r="J856">
        <v>4.7017704687942521</v>
      </c>
      <c r="K856">
        <v>323.64775123630352</v>
      </c>
      <c r="L856">
        <v>4.3538452598607247</v>
      </c>
      <c r="M856">
        <v>319.33331483827573</v>
      </c>
      <c r="N856">
        <v>4.7674992177959092</v>
      </c>
      <c r="O856">
        <v>304.01485516020068</v>
      </c>
      <c r="P856">
        <v>4.4139555466796843</v>
      </c>
    </row>
    <row r="857" spans="4:16" x14ac:dyDescent="0.55000000000000004">
      <c r="D857">
        <v>850</v>
      </c>
      <c r="E857">
        <v>7.461162763404519</v>
      </c>
      <c r="F857">
        <v>2.5388372365954823</v>
      </c>
      <c r="G857">
        <v>6.4560318608364291</v>
      </c>
      <c r="H857">
        <v>3.5439681391635696</v>
      </c>
      <c r="I857">
        <v>364.75493484316058</v>
      </c>
      <c r="J857">
        <v>4.8146698067197757</v>
      </c>
      <c r="K857">
        <v>340.89072817926871</v>
      </c>
      <c r="L857">
        <v>4.4600278299937077</v>
      </c>
      <c r="M857">
        <v>365.61695615258714</v>
      </c>
      <c r="N857">
        <v>4.8396365726719317</v>
      </c>
      <c r="O857">
        <v>346.23559050046919</v>
      </c>
      <c r="P857">
        <v>4.4827168864160019</v>
      </c>
    </row>
    <row r="858" spans="4:16" x14ac:dyDescent="0.55000000000000004">
      <c r="D858">
        <v>851</v>
      </c>
      <c r="E858">
        <v>7.1403581478503506</v>
      </c>
      <c r="F858">
        <v>2.8596418521496516</v>
      </c>
      <c r="G858">
        <v>6.5932023987978532</v>
      </c>
      <c r="H858">
        <v>3.406797601202149</v>
      </c>
      <c r="I858">
        <v>350.46961604162084</v>
      </c>
      <c r="J858">
        <v>4.9302071579460556</v>
      </c>
      <c r="K858">
        <v>328.02137916832913</v>
      </c>
      <c r="L858">
        <v>4.5679102574288608</v>
      </c>
      <c r="M858">
        <v>373.6136150799428</v>
      </c>
      <c r="N858">
        <v>4.9355552867067987</v>
      </c>
      <c r="O858">
        <v>353.6195272170288</v>
      </c>
      <c r="P858">
        <v>4.5727696646958762</v>
      </c>
    </row>
    <row r="859" spans="4:16" x14ac:dyDescent="0.55000000000000004">
      <c r="D859">
        <v>852</v>
      </c>
      <c r="E859">
        <v>6.3139192894026195</v>
      </c>
      <c r="F859">
        <v>3.6860807105973823</v>
      </c>
      <c r="G859">
        <v>5.1998792459778329</v>
      </c>
      <c r="H859">
        <v>4.8001207540221689</v>
      </c>
      <c r="I859">
        <v>315.59216423672478</v>
      </c>
      <c r="J859">
        <v>4.7856539001573957</v>
      </c>
      <c r="K859">
        <v>296.54262285544183</v>
      </c>
      <c r="L859">
        <v>4.4318248382179819</v>
      </c>
      <c r="M859">
        <v>309.90847677798496</v>
      </c>
      <c r="N859">
        <v>4.8234735376015063</v>
      </c>
      <c r="O859">
        <v>295.68929433514444</v>
      </c>
      <c r="P859">
        <v>4.4663637585954987</v>
      </c>
    </row>
    <row r="860" spans="4:16" x14ac:dyDescent="0.55000000000000004">
      <c r="D860">
        <v>853</v>
      </c>
      <c r="E860">
        <v>6.7654154150947932</v>
      </c>
      <c r="F860">
        <v>3.2345845849052073</v>
      </c>
      <c r="G860">
        <v>5.9851015034941168</v>
      </c>
      <c r="H860">
        <v>4.0148984965058823</v>
      </c>
      <c r="I860">
        <v>331.75729786838963</v>
      </c>
      <c r="J860">
        <v>4.8280669288516282</v>
      </c>
      <c r="K860">
        <v>310.64458085948769</v>
      </c>
      <c r="L860">
        <v>4.4722413219142112</v>
      </c>
      <c r="M860">
        <v>343.49285748766152</v>
      </c>
      <c r="N860">
        <v>4.8478974579543888</v>
      </c>
      <c r="O860">
        <v>325.68726631898369</v>
      </c>
      <c r="P860">
        <v>4.4903579345303184</v>
      </c>
    </row>
    <row r="861" spans="4:16" x14ac:dyDescent="0.55000000000000004">
      <c r="D861">
        <v>854</v>
      </c>
      <c r="E861">
        <v>7.4008759086437523</v>
      </c>
      <c r="F861">
        <v>2.5991240913562486</v>
      </c>
      <c r="G861">
        <v>7.0235022147551547</v>
      </c>
      <c r="H861">
        <v>2.9764977852448466</v>
      </c>
      <c r="I861">
        <v>376.98576184754126</v>
      </c>
      <c r="J861">
        <v>4.6992859548749877</v>
      </c>
      <c r="K861">
        <v>352.28549955866595</v>
      </c>
      <c r="L861">
        <v>4.352221599811025</v>
      </c>
      <c r="M861">
        <v>407.76310344224919</v>
      </c>
      <c r="N861">
        <v>4.7146194872046499</v>
      </c>
      <c r="O861">
        <v>384.81459058499291</v>
      </c>
      <c r="P861">
        <v>4.3661577964560552</v>
      </c>
    </row>
    <row r="862" spans="4:16" x14ac:dyDescent="0.55000000000000004">
      <c r="D862">
        <v>855</v>
      </c>
      <c r="E862">
        <v>7.2548777193697092</v>
      </c>
      <c r="F862">
        <v>2.7451222806302895</v>
      </c>
      <c r="G862">
        <v>5.2037497923184119</v>
      </c>
      <c r="H862">
        <v>4.7962502076815872</v>
      </c>
      <c r="I862">
        <v>379.6821168439925</v>
      </c>
      <c r="J862">
        <v>4.8279330035543193</v>
      </c>
      <c r="K862">
        <v>354.98367768855724</v>
      </c>
      <c r="L862">
        <v>4.4723587518233971</v>
      </c>
      <c r="M862">
        <v>322.33687638853723</v>
      </c>
      <c r="N862">
        <v>4.8765804701809845</v>
      </c>
      <c r="O862">
        <v>306.93175038689225</v>
      </c>
      <c r="P862">
        <v>4.5167946098162561</v>
      </c>
    </row>
    <row r="863" spans="4:16" x14ac:dyDescent="0.55000000000000004">
      <c r="D863">
        <v>856</v>
      </c>
      <c r="E863">
        <v>6.8482473196015849</v>
      </c>
      <c r="F863">
        <v>3.1517526803984128</v>
      </c>
      <c r="G863">
        <v>6.2774967300064013</v>
      </c>
      <c r="H863">
        <v>3.7225032699935987</v>
      </c>
      <c r="I863">
        <v>312.57270975187356</v>
      </c>
      <c r="J863">
        <v>4.8793839483861259</v>
      </c>
      <c r="K863">
        <v>293.01762296791736</v>
      </c>
      <c r="L863">
        <v>4.5201626331245883</v>
      </c>
      <c r="M863">
        <v>336.52209416274133</v>
      </c>
      <c r="N863">
        <v>4.8894364011321336</v>
      </c>
      <c r="O863">
        <v>319.33748830878255</v>
      </c>
      <c r="P863">
        <v>4.5293003609401019</v>
      </c>
    </row>
    <row r="864" spans="4:16" x14ac:dyDescent="0.55000000000000004">
      <c r="D864">
        <v>857</v>
      </c>
      <c r="E864">
        <v>6.8467456772638746</v>
      </c>
      <c r="F864">
        <v>3.1532543227361245</v>
      </c>
      <c r="G864">
        <v>5.3271581358273314</v>
      </c>
      <c r="H864">
        <v>4.6728418641726677</v>
      </c>
      <c r="I864">
        <v>345.23893471698545</v>
      </c>
      <c r="J864">
        <v>4.7890974183306732</v>
      </c>
      <c r="K864">
        <v>323.66499235850642</v>
      </c>
      <c r="L864">
        <v>4.4355094339562386</v>
      </c>
      <c r="M864">
        <v>318.61555643715911</v>
      </c>
      <c r="N864">
        <v>4.8359057781950918</v>
      </c>
      <c r="O864">
        <v>303.86148649032725</v>
      </c>
      <c r="P864">
        <v>4.4781516104802668</v>
      </c>
    </row>
    <row r="865" spans="4:16" x14ac:dyDescent="0.55000000000000004">
      <c r="D865">
        <v>858</v>
      </c>
      <c r="E865">
        <v>6.0022988268395263</v>
      </c>
      <c r="F865">
        <v>3.9977011731604719</v>
      </c>
      <c r="G865">
        <v>7.3687803507529264</v>
      </c>
      <c r="H865">
        <v>2.6312196492470745</v>
      </c>
      <c r="I865">
        <v>313.91272161891413</v>
      </c>
      <c r="J865">
        <v>4.8867134414796372</v>
      </c>
      <c r="K865">
        <v>294.94508072049069</v>
      </c>
      <c r="L865">
        <v>4.526791325515588</v>
      </c>
      <c r="M865">
        <v>435.37799627260557</v>
      </c>
      <c r="N865">
        <v>4.8609226580495299</v>
      </c>
      <c r="O865">
        <v>410.09930223131278</v>
      </c>
      <c r="P865">
        <v>4.5032781098358647</v>
      </c>
    </row>
    <row r="866" spans="4:16" x14ac:dyDescent="0.55000000000000004">
      <c r="D866">
        <v>859</v>
      </c>
      <c r="E866">
        <v>6.4310225773962681</v>
      </c>
      <c r="F866">
        <v>3.5689774226037319</v>
      </c>
      <c r="G866">
        <v>6.1080909293255781</v>
      </c>
      <c r="H866">
        <v>3.891909070674421</v>
      </c>
      <c r="I866">
        <v>310.29780938867191</v>
      </c>
      <c r="J866">
        <v>4.8764632861319646</v>
      </c>
      <c r="K866">
        <v>291.43819922961598</v>
      </c>
      <c r="L866">
        <v>4.5172044687895756</v>
      </c>
      <c r="M866">
        <v>344.71630865956411</v>
      </c>
      <c r="N866">
        <v>4.8826666409058781</v>
      </c>
      <c r="O866">
        <v>327.25237880831253</v>
      </c>
      <c r="P866">
        <v>4.5228521710463934</v>
      </c>
    </row>
    <row r="867" spans="4:16" x14ac:dyDescent="0.55000000000000004">
      <c r="D867">
        <v>860</v>
      </c>
      <c r="E867">
        <v>7.4069154133448398</v>
      </c>
      <c r="F867">
        <v>2.5930845866551602</v>
      </c>
      <c r="G867">
        <v>6.800103216375355</v>
      </c>
      <c r="H867">
        <v>3.1998967836246446</v>
      </c>
      <c r="I867">
        <v>377.12224168526791</v>
      </c>
      <c r="J867">
        <v>4.8195306187446807</v>
      </c>
      <c r="K867">
        <v>352.0088656016963</v>
      </c>
      <c r="L867">
        <v>4.4647811974744931</v>
      </c>
      <c r="M867">
        <v>396.22646885238328</v>
      </c>
      <c r="N867">
        <v>4.8343155886834435</v>
      </c>
      <c r="O867">
        <v>373.80956506747447</v>
      </c>
      <c r="P867">
        <v>4.4782757882376947</v>
      </c>
    </row>
    <row r="868" spans="4:16" x14ac:dyDescent="0.55000000000000004">
      <c r="D868">
        <v>861</v>
      </c>
      <c r="E868">
        <v>6.8717706836371502</v>
      </c>
      <c r="F868">
        <v>3.1282293163628494</v>
      </c>
      <c r="G868">
        <v>6.5058708419161864</v>
      </c>
      <c r="H868">
        <v>3.4941291580838145</v>
      </c>
      <c r="I868">
        <v>340.44879459566988</v>
      </c>
      <c r="J868">
        <v>4.80892911721942</v>
      </c>
      <c r="K868">
        <v>319.03581810248198</v>
      </c>
      <c r="L868">
        <v>4.4541795096192249</v>
      </c>
      <c r="M868">
        <v>372.32098361483025</v>
      </c>
      <c r="N868">
        <v>4.8191030314819221</v>
      </c>
      <c r="O868">
        <v>352.55523865348243</v>
      </c>
      <c r="P868">
        <v>4.4634289442303707</v>
      </c>
    </row>
    <row r="869" spans="4:16" x14ac:dyDescent="0.55000000000000004">
      <c r="D869">
        <v>862</v>
      </c>
      <c r="E869">
        <v>7.3053376042350546</v>
      </c>
      <c r="F869">
        <v>2.694662395764948</v>
      </c>
      <c r="G869">
        <v>5.656550024004094</v>
      </c>
      <c r="H869">
        <v>4.3434499759959069</v>
      </c>
      <c r="I869">
        <v>367.57486764544205</v>
      </c>
      <c r="J869">
        <v>4.8678917362978291</v>
      </c>
      <c r="K869">
        <v>343.79010791007181</v>
      </c>
      <c r="L869">
        <v>4.5096728359822071</v>
      </c>
      <c r="M869">
        <v>334.61458443724337</v>
      </c>
      <c r="N869">
        <v>4.8977080810361944</v>
      </c>
      <c r="O869">
        <v>318.26847849892312</v>
      </c>
      <c r="P869">
        <v>4.5368156909803607</v>
      </c>
    </row>
    <row r="870" spans="4:16" x14ac:dyDescent="0.55000000000000004">
      <c r="D870">
        <v>863</v>
      </c>
      <c r="E870">
        <v>7.2704688271739446</v>
      </c>
      <c r="F870">
        <v>2.7295311728260572</v>
      </c>
      <c r="G870">
        <v>5.0346226740043578</v>
      </c>
      <c r="H870">
        <v>4.9653773259956404</v>
      </c>
      <c r="I870">
        <v>366.09982233903486</v>
      </c>
      <c r="J870">
        <v>4.7514543718486655</v>
      </c>
      <c r="K870">
        <v>342.50541535313948</v>
      </c>
      <c r="L870">
        <v>4.4007053812392378</v>
      </c>
      <c r="M870">
        <v>303.51521481091623</v>
      </c>
      <c r="N870">
        <v>4.8278882029810211</v>
      </c>
      <c r="O870">
        <v>289.88431686756832</v>
      </c>
      <c r="P870">
        <v>4.4703749735971803</v>
      </c>
    </row>
    <row r="871" spans="4:16" x14ac:dyDescent="0.55000000000000004">
      <c r="D871">
        <v>864</v>
      </c>
      <c r="E871">
        <v>5.1352288309357998</v>
      </c>
      <c r="F871">
        <v>4.864771169064201</v>
      </c>
      <c r="G871">
        <v>5.8590431380569319</v>
      </c>
      <c r="H871">
        <v>4.1409568619430681</v>
      </c>
      <c r="I871">
        <v>256.04480492251037</v>
      </c>
      <c r="J871">
        <v>4.8937104610332742</v>
      </c>
      <c r="K871">
        <v>241.97357646159347</v>
      </c>
      <c r="L871">
        <v>4.5327844583787655</v>
      </c>
      <c r="M871">
        <v>342.13450981559868</v>
      </c>
      <c r="N871">
        <v>4.8787288717926991</v>
      </c>
      <c r="O871">
        <v>325.01188967453834</v>
      </c>
      <c r="P871">
        <v>4.5190695654688886</v>
      </c>
    </row>
    <row r="872" spans="4:16" x14ac:dyDescent="0.55000000000000004">
      <c r="D872">
        <v>865</v>
      </c>
      <c r="E872">
        <v>7.2044243548040736</v>
      </c>
      <c r="F872">
        <v>2.7955756451959255</v>
      </c>
      <c r="G872">
        <v>6.5517652725976667</v>
      </c>
      <c r="H872">
        <v>3.4482347274023333</v>
      </c>
      <c r="I872">
        <v>350.94576454247067</v>
      </c>
      <c r="J872">
        <v>4.7639848233791993</v>
      </c>
      <c r="K872">
        <v>328.56723077001095</v>
      </c>
      <c r="L872">
        <v>4.4122673888907311</v>
      </c>
      <c r="M872">
        <v>369.15308697236333</v>
      </c>
      <c r="N872">
        <v>4.7853657749964373</v>
      </c>
      <c r="O872">
        <v>349.73609385205447</v>
      </c>
      <c r="P872">
        <v>4.4316566693989063</v>
      </c>
    </row>
    <row r="873" spans="4:16" x14ac:dyDescent="0.55000000000000004">
      <c r="D873">
        <v>866</v>
      </c>
      <c r="E873">
        <v>5.6146272524475016</v>
      </c>
      <c r="F873">
        <v>4.3853727475524984</v>
      </c>
      <c r="G873">
        <v>5.7532478467446975</v>
      </c>
      <c r="H873">
        <v>4.2467521532553034</v>
      </c>
      <c r="I873">
        <v>274.60932697388176</v>
      </c>
      <c r="J873">
        <v>4.8629248053211986</v>
      </c>
      <c r="K873">
        <v>258.79907760144806</v>
      </c>
      <c r="L873">
        <v>4.5040494555818471</v>
      </c>
      <c r="M873">
        <v>331.38920859257314</v>
      </c>
      <c r="N873">
        <v>4.8595405299106638</v>
      </c>
      <c r="O873">
        <v>315.00004401019561</v>
      </c>
      <c r="P873">
        <v>4.5009541540236579</v>
      </c>
    </row>
    <row r="874" spans="4:16" x14ac:dyDescent="0.55000000000000004">
      <c r="D874">
        <v>867</v>
      </c>
      <c r="E874">
        <v>5.5188362620535436</v>
      </c>
      <c r="F874">
        <v>4.4811637379464564</v>
      </c>
      <c r="G874">
        <v>6.0342907060893758</v>
      </c>
      <c r="H874">
        <v>3.9657092939106273</v>
      </c>
      <c r="I874">
        <v>264.0900039586117</v>
      </c>
      <c r="J874">
        <v>4.9332504254389233</v>
      </c>
      <c r="K874">
        <v>249.36174822975917</v>
      </c>
      <c r="L874">
        <v>4.5702057750649789</v>
      </c>
      <c r="M874">
        <v>338.75577762939184</v>
      </c>
      <c r="N874">
        <v>4.9270160739903082</v>
      </c>
      <c r="O874">
        <v>321.85736831345383</v>
      </c>
      <c r="P874">
        <v>4.5645199367236335</v>
      </c>
    </row>
    <row r="875" spans="4:16" x14ac:dyDescent="0.55000000000000004">
      <c r="D875">
        <v>868</v>
      </c>
      <c r="E875">
        <v>6.2960152160660927</v>
      </c>
      <c r="F875">
        <v>3.7039847839339086</v>
      </c>
      <c r="G875">
        <v>6.4540525053039648</v>
      </c>
      <c r="H875">
        <v>3.5459474946960365</v>
      </c>
      <c r="I875">
        <v>316.72057081566749</v>
      </c>
      <c r="J875">
        <v>4.8302120508095561</v>
      </c>
      <c r="K875">
        <v>296.97106647320868</v>
      </c>
      <c r="L875">
        <v>4.4740321260625828</v>
      </c>
      <c r="M875">
        <v>374.67062473705141</v>
      </c>
      <c r="N875">
        <v>4.8259501762246844</v>
      </c>
      <c r="O875">
        <v>354.24111399248346</v>
      </c>
      <c r="P875">
        <v>4.4701347901376192</v>
      </c>
    </row>
    <row r="876" spans="4:16" x14ac:dyDescent="0.55000000000000004">
      <c r="D876">
        <v>869</v>
      </c>
      <c r="E876">
        <v>6.5889370623483536</v>
      </c>
      <c r="F876">
        <v>3.411062937651645</v>
      </c>
      <c r="G876">
        <v>5.1967473847349526</v>
      </c>
      <c r="H876">
        <v>4.8032526152650465</v>
      </c>
      <c r="I876">
        <v>327.91873854061413</v>
      </c>
      <c r="J876">
        <v>4.819356846066233</v>
      </c>
      <c r="K876">
        <v>307.74866505277686</v>
      </c>
      <c r="L876">
        <v>4.4637008287374531</v>
      </c>
      <c r="M876">
        <v>308.63213304228486</v>
      </c>
      <c r="N876">
        <v>4.8575252990137079</v>
      </c>
      <c r="O876">
        <v>294.53489303859851</v>
      </c>
      <c r="P876">
        <v>4.4985238925230471</v>
      </c>
    </row>
    <row r="877" spans="4:16" x14ac:dyDescent="0.55000000000000004">
      <c r="D877">
        <v>870</v>
      </c>
      <c r="E877">
        <v>6.9925220893610405</v>
      </c>
      <c r="F877">
        <v>3.0074779106389591</v>
      </c>
      <c r="G877">
        <v>6.1635325367984635</v>
      </c>
      <c r="H877">
        <v>3.8364674632015365</v>
      </c>
      <c r="I877">
        <v>356.44592880894987</v>
      </c>
      <c r="J877">
        <v>4.7917031097762735</v>
      </c>
      <c r="K877">
        <v>333.78427708095359</v>
      </c>
      <c r="L877">
        <v>4.4381786731707447</v>
      </c>
      <c r="M877">
        <v>364.18793558992741</v>
      </c>
      <c r="N877">
        <v>4.8163974823674538</v>
      </c>
      <c r="O877">
        <v>345.32346280339544</v>
      </c>
      <c r="P877">
        <v>4.4606540820953375</v>
      </c>
    </row>
    <row r="878" spans="4:16" x14ac:dyDescent="0.55000000000000004">
      <c r="D878">
        <v>871</v>
      </c>
      <c r="E878">
        <v>5.6760299962947682</v>
      </c>
      <c r="F878">
        <v>4.3239700037052327</v>
      </c>
      <c r="G878">
        <v>5.1984306876456419</v>
      </c>
      <c r="H878">
        <v>4.8015693123543572</v>
      </c>
      <c r="I878">
        <v>277.84161926567873</v>
      </c>
      <c r="J878">
        <v>4.8792963761470443</v>
      </c>
      <c r="K878">
        <v>262.09355707844247</v>
      </c>
      <c r="L878">
        <v>4.5193705941239655</v>
      </c>
      <c r="M878">
        <v>304.46313723477607</v>
      </c>
      <c r="N878">
        <v>4.88945276491547</v>
      </c>
      <c r="O878">
        <v>290.72805877596585</v>
      </c>
      <c r="P878">
        <v>4.528652475928963</v>
      </c>
    </row>
    <row r="879" spans="4:16" x14ac:dyDescent="0.55000000000000004">
      <c r="D879">
        <v>872</v>
      </c>
      <c r="E879">
        <v>6.0817351966215494</v>
      </c>
      <c r="F879">
        <v>3.9182648033784493</v>
      </c>
      <c r="G879">
        <v>6.2138557653460111</v>
      </c>
      <c r="H879">
        <v>3.786144234653988</v>
      </c>
      <c r="I879">
        <v>321.03334289836107</v>
      </c>
      <c r="J879">
        <v>4.7827220978769134</v>
      </c>
      <c r="K879">
        <v>301.85161675912155</v>
      </c>
      <c r="L879">
        <v>4.4289371785542091</v>
      </c>
      <c r="M879">
        <v>378.00752156151771</v>
      </c>
      <c r="N879">
        <v>4.7780019186728415</v>
      </c>
      <c r="O879">
        <v>358.21340848683656</v>
      </c>
      <c r="P879">
        <v>4.4246314676649217</v>
      </c>
    </row>
    <row r="880" spans="4:16" x14ac:dyDescent="0.55000000000000004">
      <c r="D880">
        <v>873</v>
      </c>
      <c r="E880">
        <v>5.6139025847695212</v>
      </c>
      <c r="F880">
        <v>4.3860974152304797</v>
      </c>
      <c r="G880">
        <v>6.383252746530288</v>
      </c>
      <c r="H880">
        <v>3.6167472534697107</v>
      </c>
      <c r="I880">
        <v>288.79485982912274</v>
      </c>
      <c r="J880">
        <v>4.877283368476883</v>
      </c>
      <c r="K880">
        <v>272.20198670791268</v>
      </c>
      <c r="L880">
        <v>4.5175668593414438</v>
      </c>
      <c r="M880">
        <v>378.37238522616082</v>
      </c>
      <c r="N880">
        <v>4.8604658233044402</v>
      </c>
      <c r="O880">
        <v>358.32930428000452</v>
      </c>
      <c r="P880">
        <v>4.5022153994122878</v>
      </c>
    </row>
    <row r="881" spans="4:16" x14ac:dyDescent="0.55000000000000004">
      <c r="D881">
        <v>874</v>
      </c>
      <c r="E881">
        <v>7.9574166369190049</v>
      </c>
      <c r="F881">
        <v>2.0425833630809938</v>
      </c>
      <c r="G881">
        <v>5.8247766629227558</v>
      </c>
      <c r="H881">
        <v>4.1752233370772434</v>
      </c>
      <c r="I881">
        <v>399.55848313190864</v>
      </c>
      <c r="J881">
        <v>4.8665538105190702</v>
      </c>
      <c r="K881">
        <v>372.63079765568921</v>
      </c>
      <c r="L881">
        <v>4.5087799668521855</v>
      </c>
      <c r="M881">
        <v>342.47418279215145</v>
      </c>
      <c r="N881">
        <v>4.902318266629627</v>
      </c>
      <c r="O881">
        <v>325.16874793156308</v>
      </c>
      <c r="P881">
        <v>4.5413307440318853</v>
      </c>
    </row>
    <row r="882" spans="4:16" x14ac:dyDescent="0.55000000000000004">
      <c r="D882">
        <v>875</v>
      </c>
      <c r="E882">
        <v>7.3480303286520661</v>
      </c>
      <c r="F882">
        <v>2.6519696713479326</v>
      </c>
      <c r="G882">
        <v>6.7896101121340546</v>
      </c>
      <c r="H882">
        <v>3.2103898878659476</v>
      </c>
      <c r="I882">
        <v>366.70910081046742</v>
      </c>
      <c r="J882">
        <v>4.862271369905347</v>
      </c>
      <c r="K882">
        <v>342.75755695491159</v>
      </c>
      <c r="L882">
        <v>4.5044998293669316</v>
      </c>
      <c r="M882">
        <v>388.8407107365698</v>
      </c>
      <c r="N882">
        <v>4.8727381818261275</v>
      </c>
      <c r="O882">
        <v>367.41506966365876</v>
      </c>
      <c r="P882">
        <v>4.5140179625414332</v>
      </c>
    </row>
    <row r="883" spans="4:16" x14ac:dyDescent="0.55000000000000004">
      <c r="D883">
        <v>876</v>
      </c>
      <c r="E883">
        <v>6.3492581000166659</v>
      </c>
      <c r="F883">
        <v>3.6507418999833332</v>
      </c>
      <c r="G883">
        <v>7.3081615640638544</v>
      </c>
      <c r="H883">
        <v>2.6918384359361425</v>
      </c>
      <c r="I883">
        <v>294.39960334548465</v>
      </c>
      <c r="J883">
        <v>4.7825044753819892</v>
      </c>
      <c r="K883">
        <v>275.94891507559316</v>
      </c>
      <c r="L883">
        <v>4.429368148212272</v>
      </c>
      <c r="M883">
        <v>388.86161686189263</v>
      </c>
      <c r="N883">
        <v>4.7496569822283528</v>
      </c>
      <c r="O883">
        <v>366.52926396355844</v>
      </c>
      <c r="P883">
        <v>4.3993883378787215</v>
      </c>
    </row>
    <row r="884" spans="4:16" x14ac:dyDescent="0.55000000000000004">
      <c r="D884">
        <v>877</v>
      </c>
      <c r="E884">
        <v>7.1069835878827545</v>
      </c>
      <c r="F884">
        <v>2.8930164121172446</v>
      </c>
      <c r="G884">
        <v>6.3243973381473584</v>
      </c>
      <c r="H884">
        <v>3.6756026618526443</v>
      </c>
      <c r="I884">
        <v>376.99884659476641</v>
      </c>
      <c r="J884">
        <v>4.8013851424969696</v>
      </c>
      <c r="K884">
        <v>352.68328652300613</v>
      </c>
      <c r="L884">
        <v>4.447428081736903</v>
      </c>
      <c r="M884">
        <v>385.48557871355229</v>
      </c>
      <c r="N884">
        <v>4.8232556385453975</v>
      </c>
      <c r="O884">
        <v>364.86538027708298</v>
      </c>
      <c r="P884">
        <v>4.4673517449733868</v>
      </c>
    </row>
    <row r="885" spans="4:16" x14ac:dyDescent="0.55000000000000004">
      <c r="D885">
        <v>878</v>
      </c>
      <c r="E885">
        <v>7.2434427419006617</v>
      </c>
      <c r="F885">
        <v>2.7565572580993383</v>
      </c>
      <c r="G885">
        <v>6.4566996270977546</v>
      </c>
      <c r="H885">
        <v>3.5433003729022428</v>
      </c>
      <c r="I885">
        <v>358.83607687030428</v>
      </c>
      <c r="J885">
        <v>4.5680441682900028</v>
      </c>
      <c r="K885">
        <v>335.6564250412153</v>
      </c>
      <c r="L885">
        <v>4.2291798570881625</v>
      </c>
      <c r="M885">
        <v>369.86126573698391</v>
      </c>
      <c r="N885">
        <v>4.614960847085702</v>
      </c>
      <c r="O885">
        <v>350.22255864035117</v>
      </c>
      <c r="P885">
        <v>4.2718340555327012</v>
      </c>
    </row>
    <row r="886" spans="4:16" x14ac:dyDescent="0.55000000000000004">
      <c r="D886">
        <v>879</v>
      </c>
      <c r="E886">
        <v>6.9866643007534002</v>
      </c>
      <c r="F886">
        <v>3.0133356992466007</v>
      </c>
      <c r="G886">
        <v>5.7859178849019557</v>
      </c>
      <c r="H886">
        <v>4.2140821150980434</v>
      </c>
      <c r="I886">
        <v>360.16153039518804</v>
      </c>
      <c r="J886">
        <v>4.9479867440411462</v>
      </c>
      <c r="K886">
        <v>337.12580743689216</v>
      </c>
      <c r="L886">
        <v>4.5845462186990469</v>
      </c>
      <c r="M886">
        <v>348.26322697978571</v>
      </c>
      <c r="N886">
        <v>4.9569258783663228</v>
      </c>
      <c r="O886">
        <v>330.66132008636754</v>
      </c>
      <c r="P886">
        <v>4.5927006205029421</v>
      </c>
    </row>
    <row r="887" spans="4:16" x14ac:dyDescent="0.55000000000000004">
      <c r="D887">
        <v>880</v>
      </c>
      <c r="E887">
        <v>7.8366428442735865</v>
      </c>
      <c r="F887">
        <v>2.16335715572641</v>
      </c>
      <c r="G887">
        <v>6.7717653032839591</v>
      </c>
      <c r="H887">
        <v>3.2282346967160427</v>
      </c>
      <c r="I887">
        <v>358.61076084963378</v>
      </c>
      <c r="J887">
        <v>4.8575203776201352</v>
      </c>
      <c r="K887">
        <v>334.3974319553771</v>
      </c>
      <c r="L887">
        <v>4.5003733109606667</v>
      </c>
      <c r="M887">
        <v>359.8811514014983</v>
      </c>
      <c r="N887">
        <v>4.8768811361663644</v>
      </c>
      <c r="O887">
        <v>340.0211378493243</v>
      </c>
      <c r="P887">
        <v>4.5180044540191426</v>
      </c>
    </row>
    <row r="888" spans="4:16" x14ac:dyDescent="0.55000000000000004">
      <c r="D888">
        <v>881</v>
      </c>
      <c r="E888">
        <v>6.2767559953479326</v>
      </c>
      <c r="F888">
        <v>3.7232440046520661</v>
      </c>
      <c r="G888">
        <v>6.3059404680682496</v>
      </c>
      <c r="H888">
        <v>3.6940595319317531</v>
      </c>
      <c r="I888">
        <v>309.30338730010317</v>
      </c>
      <c r="J888">
        <v>4.8138691237586393</v>
      </c>
      <c r="K888">
        <v>290.38300525517508</v>
      </c>
      <c r="L888">
        <v>4.4584876632073334</v>
      </c>
      <c r="M888">
        <v>360.74152768275485</v>
      </c>
      <c r="N888">
        <v>4.813003687618683</v>
      </c>
      <c r="O888">
        <v>341.69552602652982</v>
      </c>
      <c r="P888">
        <v>4.4576978217400622</v>
      </c>
    </row>
    <row r="889" spans="4:16" x14ac:dyDescent="0.55000000000000004">
      <c r="D889">
        <v>882</v>
      </c>
      <c r="E889">
        <v>7.2039104886671907</v>
      </c>
      <c r="F889">
        <v>2.7960895113328061</v>
      </c>
      <c r="G889">
        <v>6.5554508173644299</v>
      </c>
      <c r="H889">
        <v>3.4445491826355705</v>
      </c>
      <c r="I889">
        <v>376.68957805730929</v>
      </c>
      <c r="J889">
        <v>4.8073078575279773</v>
      </c>
      <c r="K889">
        <v>352.34574824536037</v>
      </c>
      <c r="L889">
        <v>4.4529934601394894</v>
      </c>
      <c r="M889">
        <v>392.7818830138342</v>
      </c>
      <c r="N889">
        <v>4.8246530318699712</v>
      </c>
      <c r="O889">
        <v>371.50356367145838</v>
      </c>
      <c r="P889">
        <v>4.4687705003610763</v>
      </c>
    </row>
    <row r="890" spans="4:16" x14ac:dyDescent="0.55000000000000004">
      <c r="D890">
        <v>883</v>
      </c>
      <c r="E890">
        <v>8.0102750150804773</v>
      </c>
      <c r="F890">
        <v>1.9897249849195211</v>
      </c>
      <c r="G890">
        <v>5.7990099158820767</v>
      </c>
      <c r="H890">
        <v>4.2009900841179242</v>
      </c>
      <c r="I890">
        <v>413.60276088138079</v>
      </c>
      <c r="J890">
        <v>4.7051810156309033</v>
      </c>
      <c r="K890">
        <v>385.60795681462753</v>
      </c>
      <c r="L890">
        <v>4.3583686476428358</v>
      </c>
      <c r="M890">
        <v>349.42623780979312</v>
      </c>
      <c r="N890">
        <v>4.7865668518836122</v>
      </c>
      <c r="O890">
        <v>331.62838205490277</v>
      </c>
      <c r="P890">
        <v>4.4324860267446287</v>
      </c>
    </row>
    <row r="891" spans="4:16" x14ac:dyDescent="0.55000000000000004">
      <c r="D891">
        <v>884</v>
      </c>
      <c r="E891">
        <v>6.4285925381142128</v>
      </c>
      <c r="F891">
        <v>3.5714074618857889</v>
      </c>
      <c r="G891">
        <v>5.2329465907171606</v>
      </c>
      <c r="H891">
        <v>4.7670534092828367</v>
      </c>
      <c r="I891">
        <v>327.79395261373816</v>
      </c>
      <c r="J891">
        <v>4.8311217186324926</v>
      </c>
      <c r="K891">
        <v>307.6219950769605</v>
      </c>
      <c r="L891">
        <v>4.4747469765062862</v>
      </c>
      <c r="M891">
        <v>316.82796220445243</v>
      </c>
      <c r="N891">
        <v>4.862531180582879</v>
      </c>
      <c r="O891">
        <v>301.87137173878426</v>
      </c>
      <c r="P891">
        <v>4.5034694998458571</v>
      </c>
    </row>
    <row r="892" spans="4:16" x14ac:dyDescent="0.55000000000000004">
      <c r="D892">
        <v>885</v>
      </c>
      <c r="E892">
        <v>7.2110227878355522</v>
      </c>
      <c r="F892">
        <v>2.7889772121644478</v>
      </c>
      <c r="G892">
        <v>6.8640071572471406</v>
      </c>
      <c r="H892">
        <v>3.1359928427528581</v>
      </c>
      <c r="I892">
        <v>373.87264327618936</v>
      </c>
      <c r="J892">
        <v>4.8665367099945831</v>
      </c>
      <c r="K892">
        <v>349.81433234289972</v>
      </c>
      <c r="L892">
        <v>4.5083576691003264</v>
      </c>
      <c r="M892">
        <v>405.88079178944821</v>
      </c>
      <c r="N892">
        <v>4.8729593561439968</v>
      </c>
      <c r="O892">
        <v>383.47731210138153</v>
      </c>
      <c r="P892">
        <v>4.5141895814093189</v>
      </c>
    </row>
    <row r="893" spans="4:16" x14ac:dyDescent="0.55000000000000004">
      <c r="D893">
        <v>886</v>
      </c>
      <c r="E893">
        <v>7.2375000595066146</v>
      </c>
      <c r="F893">
        <v>2.762499940493385</v>
      </c>
      <c r="G893">
        <v>5.759100492673598</v>
      </c>
      <c r="H893">
        <v>4.2408995073264002</v>
      </c>
      <c r="I893">
        <v>371.65086631884333</v>
      </c>
      <c r="J893">
        <v>4.8105680796657024</v>
      </c>
      <c r="K893">
        <v>347.80973323689744</v>
      </c>
      <c r="L893">
        <v>4.4559527366602758</v>
      </c>
      <c r="M893">
        <v>345.73397854525621</v>
      </c>
      <c r="N893">
        <v>4.8492632184102904</v>
      </c>
      <c r="O893">
        <v>328.78467286277674</v>
      </c>
      <c r="P893">
        <v>4.491135083649997</v>
      </c>
    </row>
    <row r="894" spans="4:16" x14ac:dyDescent="0.55000000000000004">
      <c r="D894">
        <v>887</v>
      </c>
      <c r="E894">
        <v>7.8481145683581222</v>
      </c>
      <c r="F894">
        <v>2.1518854316418792</v>
      </c>
      <c r="G894">
        <v>6.0790841561536011</v>
      </c>
      <c r="H894">
        <v>3.9209158438463989</v>
      </c>
      <c r="I894">
        <v>372.71843638026724</v>
      </c>
      <c r="J894">
        <v>4.7680450979274136</v>
      </c>
      <c r="K894">
        <v>347.7561394554881</v>
      </c>
      <c r="L894">
        <v>4.416812690583078</v>
      </c>
      <c r="M894">
        <v>338.70459542484036</v>
      </c>
      <c r="N894">
        <v>4.8203296654438859</v>
      </c>
      <c r="O894">
        <v>321.341904653173</v>
      </c>
      <c r="P894">
        <v>4.4643677740467753</v>
      </c>
    </row>
    <row r="895" spans="4:16" x14ac:dyDescent="0.55000000000000004">
      <c r="D895">
        <v>888</v>
      </c>
      <c r="E895">
        <v>8.5748294537926082</v>
      </c>
      <c r="F895">
        <v>1.4251705462073918</v>
      </c>
      <c r="G895">
        <v>6.8122680596596261</v>
      </c>
      <c r="H895">
        <v>3.1877319403403739</v>
      </c>
      <c r="I895">
        <v>438.42686772523871</v>
      </c>
      <c r="J895">
        <v>4.7950923838282016</v>
      </c>
      <c r="K895">
        <v>408.00957331129712</v>
      </c>
      <c r="L895">
        <v>4.4425412551782788</v>
      </c>
      <c r="M895">
        <v>398.30795919565065</v>
      </c>
      <c r="N895">
        <v>4.8372112685913837</v>
      </c>
      <c r="O895">
        <v>376.24924235189081</v>
      </c>
      <c r="P895">
        <v>4.4807535905701155</v>
      </c>
    </row>
    <row r="896" spans="4:16" x14ac:dyDescent="0.55000000000000004">
      <c r="D896">
        <v>889</v>
      </c>
      <c r="E896">
        <v>6.0816279203706944</v>
      </c>
      <c r="F896">
        <v>3.9183720796293047</v>
      </c>
      <c r="G896">
        <v>4.7804720927241728</v>
      </c>
      <c r="H896">
        <v>5.2195279072758289</v>
      </c>
      <c r="I896">
        <v>267.67774442289362</v>
      </c>
      <c r="J896">
        <v>4.842330452786924</v>
      </c>
      <c r="K896">
        <v>251.81491475139029</v>
      </c>
      <c r="L896">
        <v>4.48490683229317</v>
      </c>
      <c r="M896">
        <v>260.40846362383172</v>
      </c>
      <c r="N896">
        <v>4.8760636329296139</v>
      </c>
      <c r="O896">
        <v>249.40919154961819</v>
      </c>
      <c r="P896">
        <v>4.5157752433611558</v>
      </c>
    </row>
    <row r="897" spans="4:16" x14ac:dyDescent="0.55000000000000004">
      <c r="D897">
        <v>890</v>
      </c>
      <c r="E897">
        <v>7.6307304352922216</v>
      </c>
      <c r="F897">
        <v>2.3692695647077779</v>
      </c>
      <c r="G897">
        <v>5.9266151577542159</v>
      </c>
      <c r="H897">
        <v>4.0733848422457859</v>
      </c>
      <c r="I897">
        <v>390.09680516721983</v>
      </c>
      <c r="J897">
        <v>4.8484484993037995</v>
      </c>
      <c r="K897">
        <v>364.29493478737191</v>
      </c>
      <c r="L897">
        <v>4.4917051895747564</v>
      </c>
      <c r="M897">
        <v>352.97933573996062</v>
      </c>
      <c r="N897">
        <v>4.8822933887098987</v>
      </c>
      <c r="O897">
        <v>335.02189324890543</v>
      </c>
      <c r="P897">
        <v>4.5225025410289872</v>
      </c>
    </row>
    <row r="898" spans="4:16" x14ac:dyDescent="0.55000000000000004">
      <c r="D898">
        <v>891</v>
      </c>
      <c r="E898">
        <v>7.4368256205356476</v>
      </c>
      <c r="F898">
        <v>2.5631743794643538</v>
      </c>
      <c r="G898">
        <v>6.2850418889977382</v>
      </c>
      <c r="H898">
        <v>3.7149581110022623</v>
      </c>
      <c r="I898">
        <v>368.12608407942889</v>
      </c>
      <c r="J898">
        <v>4.9073689739358333</v>
      </c>
      <c r="K898">
        <v>343.7365951218145</v>
      </c>
      <c r="L898">
        <v>4.5467388021555806</v>
      </c>
      <c r="M898">
        <v>361.11229130921413</v>
      </c>
      <c r="N898">
        <v>4.921715270904496</v>
      </c>
      <c r="O898">
        <v>341.718539131797</v>
      </c>
      <c r="P898">
        <v>4.5598280292128477</v>
      </c>
    </row>
    <row r="899" spans="4:16" x14ac:dyDescent="0.55000000000000004">
      <c r="D899">
        <v>892</v>
      </c>
      <c r="E899">
        <v>6.9088187054126964</v>
      </c>
      <c r="F899">
        <v>3.0911812945873014</v>
      </c>
      <c r="G899">
        <v>7.3550507355846797</v>
      </c>
      <c r="H899">
        <v>2.6449492644153216</v>
      </c>
      <c r="I899">
        <v>352.69674016708603</v>
      </c>
      <c r="J899">
        <v>4.8559021216285734</v>
      </c>
      <c r="K899">
        <v>330.19956207756945</v>
      </c>
      <c r="L899">
        <v>4.4983263118945169</v>
      </c>
      <c r="M899">
        <v>425.47698511351905</v>
      </c>
      <c r="N899">
        <v>4.8465950184100777</v>
      </c>
      <c r="O899">
        <v>400.91510429401592</v>
      </c>
      <c r="P899">
        <v>4.4898627641983033</v>
      </c>
    </row>
    <row r="900" spans="4:16" x14ac:dyDescent="0.55000000000000004">
      <c r="D900">
        <v>893</v>
      </c>
      <c r="E900">
        <v>6.1213754386746766</v>
      </c>
      <c r="F900">
        <v>3.8786245613253225</v>
      </c>
      <c r="G900">
        <v>5.1695407093948136</v>
      </c>
      <c r="H900">
        <v>4.8304592906051882</v>
      </c>
      <c r="I900">
        <v>310.15591640213933</v>
      </c>
      <c r="J900">
        <v>4.7850803848010868</v>
      </c>
      <c r="K900">
        <v>291.53565659459667</v>
      </c>
      <c r="L900">
        <v>4.4312158550288219</v>
      </c>
      <c r="M900">
        <v>311.92865511409548</v>
      </c>
      <c r="N900">
        <v>4.8184990103696705</v>
      </c>
      <c r="O900">
        <v>297.40516391286144</v>
      </c>
      <c r="P900">
        <v>4.4617956634545948</v>
      </c>
    </row>
    <row r="901" spans="4:16" x14ac:dyDescent="0.55000000000000004">
      <c r="D901">
        <v>894</v>
      </c>
      <c r="E901">
        <v>7.0951636194069163</v>
      </c>
      <c r="F901">
        <v>2.9048363805930828</v>
      </c>
      <c r="G901">
        <v>5.2796311321234208</v>
      </c>
      <c r="H901">
        <v>4.7203688678765801</v>
      </c>
      <c r="I901">
        <v>344.63411470981146</v>
      </c>
      <c r="J901">
        <v>4.8020395285290762</v>
      </c>
      <c r="K901">
        <v>322.724300423236</v>
      </c>
      <c r="L901">
        <v>4.4478574303568541</v>
      </c>
      <c r="M901">
        <v>306.44806784114866</v>
      </c>
      <c r="N901">
        <v>4.8526942683535914</v>
      </c>
      <c r="O901">
        <v>292.41585120163455</v>
      </c>
      <c r="P901">
        <v>4.4939872178400044</v>
      </c>
    </row>
    <row r="902" spans="4:16" x14ac:dyDescent="0.55000000000000004">
      <c r="D902">
        <v>895</v>
      </c>
      <c r="E902">
        <v>6.0701325437310683</v>
      </c>
      <c r="F902">
        <v>3.9298674562689313</v>
      </c>
      <c r="G902">
        <v>5.7752646919871324</v>
      </c>
      <c r="H902">
        <v>4.2247353080128693</v>
      </c>
      <c r="I902">
        <v>307.62895437747005</v>
      </c>
      <c r="J902">
        <v>4.8106404143284189</v>
      </c>
      <c r="K902">
        <v>289.14497699687985</v>
      </c>
      <c r="L902">
        <v>4.4552508783737581</v>
      </c>
      <c r="M902">
        <v>342.68531216570341</v>
      </c>
      <c r="N902">
        <v>4.8198389044489964</v>
      </c>
      <c r="O902">
        <v>325.4854686260436</v>
      </c>
      <c r="P902">
        <v>4.4636589258243422</v>
      </c>
    </row>
    <row r="903" spans="4:16" x14ac:dyDescent="0.55000000000000004">
      <c r="D903">
        <v>896</v>
      </c>
      <c r="E903">
        <v>6.626345550678284</v>
      </c>
      <c r="F903">
        <v>3.3736544493217151</v>
      </c>
      <c r="G903">
        <v>5.562156238578452</v>
      </c>
      <c r="H903">
        <v>4.4378437614215471</v>
      </c>
      <c r="I903">
        <v>321.28647233560997</v>
      </c>
      <c r="J903">
        <v>4.7758150783873994</v>
      </c>
      <c r="K903">
        <v>301.33570107791473</v>
      </c>
      <c r="L903">
        <v>4.4229689183604783</v>
      </c>
      <c r="M903">
        <v>319.68795134588953</v>
      </c>
      <c r="N903">
        <v>4.8118191164638091</v>
      </c>
      <c r="O903">
        <v>304.25617514133006</v>
      </c>
      <c r="P903">
        <v>4.455819725165151</v>
      </c>
    </row>
    <row r="904" spans="4:16" x14ac:dyDescent="0.55000000000000004">
      <c r="D904">
        <v>897</v>
      </c>
      <c r="E904">
        <v>5.9441417513215855</v>
      </c>
      <c r="F904">
        <v>4.0558582486784145</v>
      </c>
      <c r="G904">
        <v>6.5459307682394066</v>
      </c>
      <c r="H904">
        <v>3.454069231760593</v>
      </c>
      <c r="I904">
        <v>298.23764335077158</v>
      </c>
      <c r="J904">
        <v>4.9600924941513247</v>
      </c>
      <c r="K904">
        <v>280.8974557806547</v>
      </c>
      <c r="L904">
        <v>4.5956455405718062</v>
      </c>
      <c r="M904">
        <v>378.43142837617819</v>
      </c>
      <c r="N904">
        <v>4.9560522306924364</v>
      </c>
      <c r="O904">
        <v>358.37328519876246</v>
      </c>
      <c r="P904">
        <v>4.5919689697309121</v>
      </c>
    </row>
    <row r="905" spans="4:16" x14ac:dyDescent="0.55000000000000004">
      <c r="D905">
        <v>898</v>
      </c>
      <c r="E905">
        <v>7.3086641582935217</v>
      </c>
      <c r="F905">
        <v>2.6913358417064792</v>
      </c>
      <c r="G905">
        <v>5.7475716581895897</v>
      </c>
      <c r="H905">
        <v>4.2524283418104112</v>
      </c>
      <c r="I905">
        <v>350.3398863755794</v>
      </c>
      <c r="J905">
        <v>4.8892710690354653</v>
      </c>
      <c r="K905">
        <v>327.38587475580931</v>
      </c>
      <c r="L905">
        <v>4.5297586840533173</v>
      </c>
      <c r="M905">
        <v>325.50911603739524</v>
      </c>
      <c r="N905">
        <v>4.912922190489323</v>
      </c>
      <c r="O905">
        <v>309.07595104662681</v>
      </c>
      <c r="P905">
        <v>4.5513488172946062</v>
      </c>
    </row>
    <row r="906" spans="4:16" x14ac:dyDescent="0.55000000000000004">
      <c r="D906">
        <v>899</v>
      </c>
      <c r="E906">
        <v>6.4714384826488169</v>
      </c>
      <c r="F906">
        <v>3.528561517351184</v>
      </c>
      <c r="G906">
        <v>6.3454916117873319</v>
      </c>
      <c r="H906">
        <v>3.6545083882126677</v>
      </c>
      <c r="I906">
        <v>333.60739026732676</v>
      </c>
      <c r="J906">
        <v>4.7588768372232542</v>
      </c>
      <c r="K906">
        <v>313.07724661398333</v>
      </c>
      <c r="L906">
        <v>4.406948253725357</v>
      </c>
      <c r="M906">
        <v>377.11473689310543</v>
      </c>
      <c r="N906">
        <v>4.7635695663476021</v>
      </c>
      <c r="O906">
        <v>357.16151891671205</v>
      </c>
      <c r="P906">
        <v>4.4112239952529926</v>
      </c>
    </row>
    <row r="907" spans="4:16" x14ac:dyDescent="0.55000000000000004">
      <c r="D907">
        <v>900</v>
      </c>
      <c r="E907">
        <v>6.8672612330943075</v>
      </c>
      <c r="F907">
        <v>3.1327387669056908</v>
      </c>
      <c r="G907">
        <v>5.0102817726470938</v>
      </c>
      <c r="H907">
        <v>4.9897182273529053</v>
      </c>
      <c r="I907">
        <v>334.35357270621489</v>
      </c>
      <c r="J907">
        <v>4.8590829439105194</v>
      </c>
      <c r="K907">
        <v>313.31061885832378</v>
      </c>
      <c r="L907">
        <v>4.5011844692933289</v>
      </c>
      <c r="M907">
        <v>293.9408599859766</v>
      </c>
      <c r="N907">
        <v>4.8971883937984275</v>
      </c>
      <c r="O907">
        <v>280.77587713435946</v>
      </c>
      <c r="P907">
        <v>4.5359696601160584</v>
      </c>
    </row>
    <row r="908" spans="4:16" x14ac:dyDescent="0.55000000000000004">
      <c r="D908">
        <v>901</v>
      </c>
      <c r="E908">
        <v>6.6775275112977743</v>
      </c>
      <c r="F908">
        <v>3.3224724887022261</v>
      </c>
      <c r="G908">
        <v>6.0297843380103773</v>
      </c>
      <c r="H908">
        <v>3.9702156619896227</v>
      </c>
      <c r="I908">
        <v>320.0746684419471</v>
      </c>
      <c r="J908">
        <v>4.8173435565702762</v>
      </c>
      <c r="K908">
        <v>300.10965149672745</v>
      </c>
      <c r="L908">
        <v>4.4619696943064202</v>
      </c>
      <c r="M908">
        <v>339.02632291664293</v>
      </c>
      <c r="N908">
        <v>4.8350618608510727</v>
      </c>
      <c r="O908">
        <v>321.81422490356408</v>
      </c>
      <c r="P908">
        <v>4.4781169952221482</v>
      </c>
    </row>
    <row r="909" spans="4:16" x14ac:dyDescent="0.55000000000000004">
      <c r="D909">
        <v>902</v>
      </c>
      <c r="E909">
        <v>5.0424693203227893</v>
      </c>
      <c r="F909">
        <v>4.9575306796772072</v>
      </c>
      <c r="G909">
        <v>6.2681501059131826</v>
      </c>
      <c r="H909">
        <v>3.7318498940868174</v>
      </c>
      <c r="I909">
        <v>260.66448819966826</v>
      </c>
      <c r="J909">
        <v>4.9201998551493675</v>
      </c>
      <c r="K909">
        <v>246.73578178650132</v>
      </c>
      <c r="L909">
        <v>4.5576967432676225</v>
      </c>
      <c r="M909">
        <v>374.02460689874141</v>
      </c>
      <c r="N909">
        <v>4.9008027110087902</v>
      </c>
      <c r="O909">
        <v>354.60363588406449</v>
      </c>
      <c r="P909">
        <v>4.5399810077216172</v>
      </c>
    </row>
    <row r="910" spans="4:16" x14ac:dyDescent="0.55000000000000004">
      <c r="D910">
        <v>903</v>
      </c>
      <c r="E910">
        <v>7.1325118598452555</v>
      </c>
      <c r="F910">
        <v>2.8674881401547445</v>
      </c>
      <c r="G910">
        <v>7.1116858974864758</v>
      </c>
      <c r="H910">
        <v>2.8883141025135264</v>
      </c>
      <c r="I910">
        <v>332.21603483625569</v>
      </c>
      <c r="J910">
        <v>4.7741996670804863</v>
      </c>
      <c r="K910">
        <v>310.55234242871882</v>
      </c>
      <c r="L910">
        <v>4.4221567653960481</v>
      </c>
      <c r="M910">
        <v>381.24600930073092</v>
      </c>
      <c r="N910">
        <v>4.7748589732725257</v>
      </c>
      <c r="O910">
        <v>359.66856160945474</v>
      </c>
      <c r="P910">
        <v>4.4227574528472617</v>
      </c>
    </row>
    <row r="911" spans="4:16" x14ac:dyDescent="0.55000000000000004">
      <c r="D911">
        <v>904</v>
      </c>
      <c r="E911">
        <v>6.7834511706793661</v>
      </c>
      <c r="F911">
        <v>3.2165488293206339</v>
      </c>
      <c r="G911">
        <v>5.0100717147280101</v>
      </c>
      <c r="H911">
        <v>4.9899282852719908</v>
      </c>
      <c r="I911">
        <v>321.66325680550352</v>
      </c>
      <c r="J911">
        <v>4.7246743931136521</v>
      </c>
      <c r="K911">
        <v>301.37223269842406</v>
      </c>
      <c r="L911">
        <v>4.3752751023116687</v>
      </c>
      <c r="M911">
        <v>287.57169382368346</v>
      </c>
      <c r="N911">
        <v>4.7966520284889933</v>
      </c>
      <c r="O911">
        <v>274.47343389823436</v>
      </c>
      <c r="P911">
        <v>4.4410961372000139</v>
      </c>
    </row>
    <row r="912" spans="4:16" x14ac:dyDescent="0.55000000000000004">
      <c r="D912">
        <v>905</v>
      </c>
      <c r="E912">
        <v>7.8596693023177586</v>
      </c>
      <c r="F912">
        <v>2.1403306976822423</v>
      </c>
      <c r="G912">
        <v>6.3154031571134919</v>
      </c>
      <c r="H912">
        <v>3.6845968428865068</v>
      </c>
      <c r="I912">
        <v>381.68671383294497</v>
      </c>
      <c r="J912">
        <v>4.7044515286527995</v>
      </c>
      <c r="K912">
        <v>355.89736764485502</v>
      </c>
      <c r="L912">
        <v>4.3576535271876455</v>
      </c>
      <c r="M912">
        <v>356.69298985111425</v>
      </c>
      <c r="N912">
        <v>4.7625208291555268</v>
      </c>
      <c r="O912">
        <v>337.54296303217751</v>
      </c>
      <c r="P912">
        <v>4.4105818557381822</v>
      </c>
    </row>
    <row r="913" spans="4:16" x14ac:dyDescent="0.55000000000000004">
      <c r="D913">
        <v>906</v>
      </c>
      <c r="E913">
        <v>6.4932372883133533</v>
      </c>
      <c r="F913">
        <v>3.5067627116866467</v>
      </c>
      <c r="G913">
        <v>7.5436221667367196</v>
      </c>
      <c r="H913">
        <v>2.4563778332632782</v>
      </c>
      <c r="I913">
        <v>335.04258780280009</v>
      </c>
      <c r="J913">
        <v>4.8163452019818376</v>
      </c>
      <c r="K913">
        <v>314.59807778503182</v>
      </c>
      <c r="L913">
        <v>4.4607846705085938</v>
      </c>
      <c r="M913">
        <v>439.24107959198716</v>
      </c>
      <c r="N913">
        <v>4.7866361040199665</v>
      </c>
      <c r="O913">
        <v>413.77636619430314</v>
      </c>
      <c r="P913">
        <v>4.43382741506261</v>
      </c>
    </row>
    <row r="914" spans="4:16" x14ac:dyDescent="0.55000000000000004">
      <c r="D914">
        <v>907</v>
      </c>
      <c r="E914">
        <v>5.4792374336311207</v>
      </c>
      <c r="F914">
        <v>4.5207625663688766</v>
      </c>
      <c r="G914">
        <v>5.6914107958062479</v>
      </c>
      <c r="H914">
        <v>4.3085892041937512</v>
      </c>
      <c r="I914">
        <v>274.34651090752476</v>
      </c>
      <c r="J914">
        <v>4.7693037019202578</v>
      </c>
      <c r="K914">
        <v>259.01628547138063</v>
      </c>
      <c r="L914">
        <v>4.4154275313696001</v>
      </c>
      <c r="M914">
        <v>334.97007346077032</v>
      </c>
      <c r="N914">
        <v>4.7603704133380731</v>
      </c>
      <c r="O914">
        <v>318.72124906859369</v>
      </c>
      <c r="P914">
        <v>4.4072666870145198</v>
      </c>
    </row>
    <row r="915" spans="4:16" x14ac:dyDescent="0.55000000000000004">
      <c r="D915">
        <v>908</v>
      </c>
      <c r="E915">
        <v>6.9573558752147342</v>
      </c>
      <c r="F915">
        <v>3.0426441247852631</v>
      </c>
      <c r="G915">
        <v>6.3978961741496958</v>
      </c>
      <c r="H915">
        <v>3.6021038258503029</v>
      </c>
      <c r="I915">
        <v>345.89661272038063</v>
      </c>
      <c r="J915">
        <v>4.8352204692963365</v>
      </c>
      <c r="K915">
        <v>323.81103231817457</v>
      </c>
      <c r="L915">
        <v>4.4789744181641264</v>
      </c>
      <c r="M915">
        <v>368.08213563701867</v>
      </c>
      <c r="N915">
        <v>4.8484708346136447</v>
      </c>
      <c r="O915">
        <v>348.47547572175387</v>
      </c>
      <c r="P915">
        <v>4.4910438660064766</v>
      </c>
    </row>
    <row r="916" spans="4:16" x14ac:dyDescent="0.55000000000000004">
      <c r="D916">
        <v>909</v>
      </c>
      <c r="E916">
        <v>5.472678735784954</v>
      </c>
      <c r="F916">
        <v>4.5273212642150451</v>
      </c>
      <c r="G916">
        <v>5.2103455514242007</v>
      </c>
      <c r="H916">
        <v>4.7896544485757993</v>
      </c>
      <c r="I916">
        <v>269.81625421723862</v>
      </c>
      <c r="J916">
        <v>4.9069691617797773</v>
      </c>
      <c r="K916">
        <v>254.55343472005109</v>
      </c>
      <c r="L916">
        <v>4.5454644166896774</v>
      </c>
      <c r="M916">
        <v>306.88259584290938</v>
      </c>
      <c r="N916">
        <v>4.9114286006053156</v>
      </c>
      <c r="O916">
        <v>292.70488189901295</v>
      </c>
      <c r="P916">
        <v>4.5495497183844762</v>
      </c>
    </row>
    <row r="917" spans="4:16" x14ac:dyDescent="0.55000000000000004">
      <c r="D917">
        <v>910</v>
      </c>
      <c r="E917">
        <v>5.6351531667914623</v>
      </c>
      <c r="F917">
        <v>4.3648468332085386</v>
      </c>
      <c r="G917">
        <v>6.2285156478107053</v>
      </c>
      <c r="H917">
        <v>3.7714843521892933</v>
      </c>
      <c r="I917">
        <v>270.11383094832291</v>
      </c>
      <c r="J917">
        <v>4.7920104915070123</v>
      </c>
      <c r="K917">
        <v>254.24481843286179</v>
      </c>
      <c r="L917">
        <v>4.4374624772604809</v>
      </c>
      <c r="M917">
        <v>348.5558995390453</v>
      </c>
      <c r="N917">
        <v>4.7701099029812806</v>
      </c>
      <c r="O917">
        <v>330.26991991436483</v>
      </c>
      <c r="P917">
        <v>4.417422970040084</v>
      </c>
    </row>
    <row r="918" spans="4:16" x14ac:dyDescent="0.55000000000000004">
      <c r="D918">
        <v>911</v>
      </c>
      <c r="E918">
        <v>6.2901706227594749</v>
      </c>
      <c r="F918">
        <v>3.7098293772405233</v>
      </c>
      <c r="G918">
        <v>7.1427553499710452</v>
      </c>
      <c r="H918">
        <v>2.8572446500289548</v>
      </c>
      <c r="I918">
        <v>307.49041724660026</v>
      </c>
      <c r="J918">
        <v>4.8403056234989865</v>
      </c>
      <c r="K918">
        <v>288.3941134330563</v>
      </c>
      <c r="L918">
        <v>4.4834559778806753</v>
      </c>
      <c r="M918">
        <v>399.16840171331654</v>
      </c>
      <c r="N918">
        <v>4.8186602668637155</v>
      </c>
      <c r="O918">
        <v>376.42518538457597</v>
      </c>
      <c r="P918">
        <v>4.4637046361076651</v>
      </c>
    </row>
    <row r="919" spans="4:16" x14ac:dyDescent="0.55000000000000004">
      <c r="D919">
        <v>912</v>
      </c>
      <c r="E919">
        <v>6.2431865799466397</v>
      </c>
      <c r="F919">
        <v>3.7568134200533607</v>
      </c>
      <c r="G919">
        <v>5.736567710130994</v>
      </c>
      <c r="H919">
        <v>4.263432289869006</v>
      </c>
      <c r="I919">
        <v>301.08211918542298</v>
      </c>
      <c r="J919">
        <v>4.8275052099623474</v>
      </c>
      <c r="K919">
        <v>282.76568361786462</v>
      </c>
      <c r="L919">
        <v>4.4712317275041009</v>
      </c>
      <c r="M919">
        <v>326.65006337703767</v>
      </c>
      <c r="N919">
        <v>4.8415027278098286</v>
      </c>
      <c r="O919">
        <v>310.44122177005835</v>
      </c>
      <c r="P919">
        <v>4.4840217708635652</v>
      </c>
    </row>
    <row r="920" spans="4:16" x14ac:dyDescent="0.55000000000000004">
      <c r="D920">
        <v>913</v>
      </c>
      <c r="E920">
        <v>6.46251235113162</v>
      </c>
      <c r="F920">
        <v>3.5374876488683795</v>
      </c>
      <c r="G920">
        <v>6.4035612421102073</v>
      </c>
      <c r="H920">
        <v>3.5964387578897923</v>
      </c>
      <c r="I920">
        <v>333.86531062693007</v>
      </c>
      <c r="J920">
        <v>4.8718855120595723</v>
      </c>
      <c r="K920">
        <v>313.38229075297977</v>
      </c>
      <c r="L920">
        <v>4.512978219810746</v>
      </c>
      <c r="M920">
        <v>380.8197875770918</v>
      </c>
      <c r="N920">
        <v>4.8730541738331112</v>
      </c>
      <c r="O920">
        <v>360.60875845857379</v>
      </c>
      <c r="P920">
        <v>4.5140425102847006</v>
      </c>
    </row>
    <row r="921" spans="4:16" x14ac:dyDescent="0.55000000000000004">
      <c r="D921">
        <v>914</v>
      </c>
      <c r="E921">
        <v>6.999121429043945</v>
      </c>
      <c r="F921">
        <v>3.0008785709560559</v>
      </c>
      <c r="G921">
        <v>5.5826676472812027</v>
      </c>
      <c r="H921">
        <v>4.4173323527187964</v>
      </c>
      <c r="I921">
        <v>362.06540475972213</v>
      </c>
      <c r="J921">
        <v>4.7409523002458034</v>
      </c>
      <c r="K921">
        <v>339.22665170714151</v>
      </c>
      <c r="L921">
        <v>4.3905255280446074</v>
      </c>
      <c r="M921">
        <v>338.79207795484348</v>
      </c>
      <c r="N921">
        <v>4.7933773221137104</v>
      </c>
      <c r="O921">
        <v>322.55921216495176</v>
      </c>
      <c r="P921">
        <v>4.4382242218023471</v>
      </c>
    </row>
    <row r="922" spans="4:16" x14ac:dyDescent="0.55000000000000004">
      <c r="D922">
        <v>915</v>
      </c>
      <c r="E922">
        <v>6.2684289651320011</v>
      </c>
      <c r="F922">
        <v>3.7315710348679971</v>
      </c>
      <c r="G922">
        <v>7.6632167600367653</v>
      </c>
      <c r="H922">
        <v>2.3367832399632364</v>
      </c>
      <c r="I922">
        <v>306.60619187348175</v>
      </c>
      <c r="J922">
        <v>4.8068755124665561</v>
      </c>
      <c r="K922">
        <v>287.80428644928264</v>
      </c>
      <c r="L922">
        <v>4.4519511555194073</v>
      </c>
      <c r="M922">
        <v>424.82911928418656</v>
      </c>
      <c r="N922">
        <v>4.7639033930396266</v>
      </c>
      <c r="O922">
        <v>399.89950864930876</v>
      </c>
      <c r="P922">
        <v>4.4128387426474465</v>
      </c>
    </row>
    <row r="923" spans="4:16" x14ac:dyDescent="0.55000000000000004">
      <c r="D923">
        <v>916</v>
      </c>
      <c r="E923">
        <v>7.0824734126116775</v>
      </c>
      <c r="F923">
        <v>2.9175265873883238</v>
      </c>
      <c r="G923">
        <v>6.3447982893408668</v>
      </c>
      <c r="H923">
        <v>3.6552017106591332</v>
      </c>
      <c r="I923">
        <v>342.78050298163566</v>
      </c>
      <c r="J923">
        <v>4.8267677864331437</v>
      </c>
      <c r="K923">
        <v>320.86002001746073</v>
      </c>
      <c r="L923">
        <v>4.4710785565369555</v>
      </c>
      <c r="M923">
        <v>357.07819461270594</v>
      </c>
      <c r="N923">
        <v>4.8448107902049404</v>
      </c>
      <c r="O923">
        <v>338.38447944591724</v>
      </c>
      <c r="P923">
        <v>4.4874908370810749</v>
      </c>
    </row>
    <row r="924" spans="4:16" x14ac:dyDescent="0.55000000000000004">
      <c r="D924">
        <v>917</v>
      </c>
      <c r="E924">
        <v>8.2877914382535298</v>
      </c>
      <c r="F924">
        <v>1.7122085617464711</v>
      </c>
      <c r="G924">
        <v>6.28675950820005</v>
      </c>
      <c r="H924">
        <v>3.71324049179995</v>
      </c>
      <c r="I924">
        <v>397.9768336124763</v>
      </c>
      <c r="J924">
        <v>4.7094406921429988</v>
      </c>
      <c r="K924">
        <v>370.79968611373204</v>
      </c>
      <c r="L924">
        <v>4.362515220092928</v>
      </c>
      <c r="M924">
        <v>351.88798323378455</v>
      </c>
      <c r="N924">
        <v>4.7795942978325048</v>
      </c>
      <c r="O924">
        <v>333.59756087435198</v>
      </c>
      <c r="P924">
        <v>4.4261807076622013</v>
      </c>
    </row>
    <row r="925" spans="4:16" x14ac:dyDescent="0.55000000000000004">
      <c r="D925">
        <v>918</v>
      </c>
      <c r="E925">
        <v>6.3065488491605475</v>
      </c>
      <c r="F925">
        <v>3.6934511508394547</v>
      </c>
      <c r="G925">
        <v>6.2289249788407925</v>
      </c>
      <c r="H925">
        <v>3.7710750211592083</v>
      </c>
      <c r="I925">
        <v>305.20804754932863</v>
      </c>
      <c r="J925">
        <v>4.8354039542796015</v>
      </c>
      <c r="K925">
        <v>286.94466702876991</v>
      </c>
      <c r="L925">
        <v>4.4784859734833224</v>
      </c>
      <c r="M925">
        <v>351.45140814635823</v>
      </c>
      <c r="N925">
        <v>4.8374298772390105</v>
      </c>
      <c r="O925">
        <v>333.52749828503755</v>
      </c>
      <c r="P925">
        <v>4.4803288228684996</v>
      </c>
    </row>
    <row r="926" spans="4:16" x14ac:dyDescent="0.55000000000000004">
      <c r="D926">
        <v>919</v>
      </c>
      <c r="E926">
        <v>7.3109464430392901</v>
      </c>
      <c r="F926">
        <v>2.6890535569607104</v>
      </c>
      <c r="G926">
        <v>5.2559373605685265</v>
      </c>
      <c r="H926">
        <v>4.7440626394314727</v>
      </c>
      <c r="I926">
        <v>370.76814229035182</v>
      </c>
      <c r="J926">
        <v>4.809747231775658</v>
      </c>
      <c r="K926">
        <v>346.9264961871167</v>
      </c>
      <c r="L926">
        <v>4.4552138654448195</v>
      </c>
      <c r="M926">
        <v>316.55018558203585</v>
      </c>
      <c r="N926">
        <v>4.8632247356409026</v>
      </c>
      <c r="O926">
        <v>302.11869725157516</v>
      </c>
      <c r="P926">
        <v>4.5038627220734408</v>
      </c>
    </row>
    <row r="927" spans="4:16" x14ac:dyDescent="0.55000000000000004">
      <c r="D927">
        <v>920</v>
      </c>
      <c r="E927">
        <v>7.110825691665001</v>
      </c>
      <c r="F927">
        <v>2.8891743083349959</v>
      </c>
      <c r="G927">
        <v>6.6008139645382773</v>
      </c>
      <c r="H927">
        <v>3.3991860354617214</v>
      </c>
      <c r="I927">
        <v>354.88265875586768</v>
      </c>
      <c r="J927">
        <v>4.8007946192071707</v>
      </c>
      <c r="K927">
        <v>331.93006238649133</v>
      </c>
      <c r="L927">
        <v>4.4469112787072334</v>
      </c>
      <c r="M927">
        <v>379.42931120277586</v>
      </c>
      <c r="N927">
        <v>4.8150822820914092</v>
      </c>
      <c r="O927">
        <v>358.74539450244009</v>
      </c>
      <c r="P927">
        <v>4.4599254693994173</v>
      </c>
    </row>
    <row r="928" spans="4:16" x14ac:dyDescent="0.55000000000000004">
      <c r="D928">
        <v>921</v>
      </c>
      <c r="E928">
        <v>7.5139232781911858</v>
      </c>
      <c r="F928">
        <v>2.4860767218088125</v>
      </c>
      <c r="G928">
        <v>4.878566737204852</v>
      </c>
      <c r="H928">
        <v>5.1214332627951489</v>
      </c>
      <c r="I928">
        <v>369.42927085711653</v>
      </c>
      <c r="J928">
        <v>4.9143930854011169</v>
      </c>
      <c r="K928">
        <v>345.39135530912978</v>
      </c>
      <c r="L928">
        <v>4.5531960679574963</v>
      </c>
      <c r="M928">
        <v>289.85942973152515</v>
      </c>
      <c r="N928">
        <v>4.9444179783883317</v>
      </c>
      <c r="O928">
        <v>277.48266731662835</v>
      </c>
      <c r="P928">
        <v>4.5805187512955596</v>
      </c>
    </row>
    <row r="929" spans="4:16" x14ac:dyDescent="0.55000000000000004">
      <c r="D929">
        <v>922</v>
      </c>
      <c r="E929">
        <v>7.4957093942260054</v>
      </c>
      <c r="F929">
        <v>2.5042906057739933</v>
      </c>
      <c r="G929">
        <v>7.0406961368377354</v>
      </c>
      <c r="H929">
        <v>2.9593038631622655</v>
      </c>
      <c r="I929">
        <v>351.25944162472609</v>
      </c>
      <c r="J929">
        <v>4.8967387254468484</v>
      </c>
      <c r="K929">
        <v>327.94264275854283</v>
      </c>
      <c r="L929">
        <v>4.5368260037245172</v>
      </c>
      <c r="M929">
        <v>379.93688303605296</v>
      </c>
      <c r="N929">
        <v>4.9030070112654904</v>
      </c>
      <c r="O929">
        <v>358.52884391624735</v>
      </c>
      <c r="P929">
        <v>4.5425331630911128</v>
      </c>
    </row>
    <row r="930" spans="4:16" x14ac:dyDescent="0.55000000000000004">
      <c r="D930">
        <v>923</v>
      </c>
      <c r="E930">
        <v>6.1890823045962104</v>
      </c>
      <c r="F930">
        <v>3.8109176954037904</v>
      </c>
      <c r="G930">
        <v>5.9887645494965067</v>
      </c>
      <c r="H930">
        <v>4.0112354505034951</v>
      </c>
      <c r="I930">
        <v>314.0057379731162</v>
      </c>
      <c r="J930">
        <v>4.8742221104166656</v>
      </c>
      <c r="K930">
        <v>295.1762010641919</v>
      </c>
      <c r="L930">
        <v>4.5149971917216458</v>
      </c>
      <c r="M930">
        <v>353.84253098643779</v>
      </c>
      <c r="N930">
        <v>4.8782930765538906</v>
      </c>
      <c r="O930">
        <v>335.9082065007791</v>
      </c>
      <c r="P930">
        <v>4.5187095722799784</v>
      </c>
    </row>
    <row r="931" spans="4:16" x14ac:dyDescent="0.55000000000000004">
      <c r="D931">
        <v>924</v>
      </c>
      <c r="E931">
        <v>6.6831927022109943</v>
      </c>
      <c r="F931">
        <v>3.3168072977890084</v>
      </c>
      <c r="G931">
        <v>4.9500513739322836</v>
      </c>
      <c r="H931">
        <v>5.0499486260677164</v>
      </c>
      <c r="I931">
        <v>314.86515028660926</v>
      </c>
      <c r="J931">
        <v>4.8061581582893078</v>
      </c>
      <c r="K931">
        <v>295.30488765648039</v>
      </c>
      <c r="L931">
        <v>4.4514328672393537</v>
      </c>
      <c r="M931">
        <v>283.21169076330779</v>
      </c>
      <c r="N931">
        <v>4.8564268430314534</v>
      </c>
      <c r="O931">
        <v>270.72581899428377</v>
      </c>
      <c r="P931">
        <v>4.4973463130728772</v>
      </c>
    </row>
    <row r="932" spans="4:16" x14ac:dyDescent="0.55000000000000004">
      <c r="D932">
        <v>925</v>
      </c>
      <c r="E932">
        <v>7.2922326355073128</v>
      </c>
      <c r="F932">
        <v>2.7077673644926881</v>
      </c>
      <c r="G932">
        <v>6.1981960062632089</v>
      </c>
      <c r="H932">
        <v>3.8018039937367916</v>
      </c>
      <c r="I932">
        <v>348.90990818556526</v>
      </c>
      <c r="J932">
        <v>4.7623663555243629</v>
      </c>
      <c r="K932">
        <v>326.19496252732949</v>
      </c>
      <c r="L932">
        <v>4.4110696629115846</v>
      </c>
      <c r="M932">
        <v>346.56376963774454</v>
      </c>
      <c r="N932">
        <v>4.7980179761448056</v>
      </c>
      <c r="O932">
        <v>328.52529520375873</v>
      </c>
      <c r="P932">
        <v>4.4435362581881401</v>
      </c>
    </row>
    <row r="933" spans="4:16" x14ac:dyDescent="0.55000000000000004">
      <c r="D933">
        <v>926</v>
      </c>
      <c r="E933">
        <v>8.2584378607694298</v>
      </c>
      <c r="F933">
        <v>1.7415621392305698</v>
      </c>
      <c r="G933">
        <v>6.1988531029645513</v>
      </c>
      <c r="H933">
        <v>3.8011468970354505</v>
      </c>
      <c r="I933">
        <v>414.44505251750957</v>
      </c>
      <c r="J933">
        <v>4.716015059266808</v>
      </c>
      <c r="K933">
        <v>386.24408293017586</v>
      </c>
      <c r="L933">
        <v>4.3685715898448105</v>
      </c>
      <c r="M933">
        <v>361.08595149823066</v>
      </c>
      <c r="N933">
        <v>4.7868385085971781</v>
      </c>
      <c r="O933">
        <v>342.51183338268504</v>
      </c>
      <c r="P933">
        <v>4.4327985535178991</v>
      </c>
    </row>
    <row r="934" spans="4:16" x14ac:dyDescent="0.55000000000000004">
      <c r="D934">
        <v>927</v>
      </c>
      <c r="E934">
        <v>6.0864195222752882</v>
      </c>
      <c r="F934">
        <v>3.9135804777247127</v>
      </c>
      <c r="G934">
        <v>7.3858737925816147</v>
      </c>
      <c r="H934">
        <v>2.6141262074183835</v>
      </c>
      <c r="I934">
        <v>284.58008988376065</v>
      </c>
      <c r="J934">
        <v>4.8295751586429603</v>
      </c>
      <c r="K934">
        <v>267.41410284263162</v>
      </c>
      <c r="L934">
        <v>4.4730879914747819</v>
      </c>
      <c r="M934">
        <v>395.33811218081212</v>
      </c>
      <c r="N934">
        <v>4.7931893513457178</v>
      </c>
      <c r="O934">
        <v>372.74457391103726</v>
      </c>
      <c r="P934">
        <v>4.4399525505593793</v>
      </c>
    </row>
    <row r="935" spans="4:16" x14ac:dyDescent="0.55000000000000004">
      <c r="D935">
        <v>928</v>
      </c>
      <c r="E935">
        <v>7.1271465681696</v>
      </c>
      <c r="F935">
        <v>2.8728534318304018</v>
      </c>
      <c r="G935">
        <v>6.4982094080980639</v>
      </c>
      <c r="H935">
        <v>3.5017905919019361</v>
      </c>
      <c r="I935">
        <v>343.80750557827537</v>
      </c>
      <c r="J935">
        <v>4.8687669857093727</v>
      </c>
      <c r="K935">
        <v>321.48262723865577</v>
      </c>
      <c r="L935">
        <v>4.5105212383935775</v>
      </c>
      <c r="M935">
        <v>363.46811040778823</v>
      </c>
      <c r="N935">
        <v>4.8803476819285567</v>
      </c>
      <c r="O935">
        <v>343.8240551317034</v>
      </c>
      <c r="P935">
        <v>4.5210786512763033</v>
      </c>
    </row>
    <row r="936" spans="4:16" x14ac:dyDescent="0.55000000000000004">
      <c r="D936">
        <v>929</v>
      </c>
      <c r="E936">
        <v>7.218939955951817</v>
      </c>
      <c r="F936">
        <v>2.781060044048187</v>
      </c>
      <c r="G936">
        <v>6.6021246036128254</v>
      </c>
      <c r="H936">
        <v>3.397875396387176</v>
      </c>
      <c r="I936">
        <v>370.06561873986544</v>
      </c>
      <c r="J936">
        <v>4.9101628302099485</v>
      </c>
      <c r="K936">
        <v>346.34457826949819</v>
      </c>
      <c r="L936">
        <v>4.5491540894916902</v>
      </c>
      <c r="M936">
        <v>388.44571936345062</v>
      </c>
      <c r="N936">
        <v>4.9178388804161157</v>
      </c>
      <c r="O936">
        <v>367.64601504748788</v>
      </c>
      <c r="P936">
        <v>4.55612095581579</v>
      </c>
    </row>
    <row r="937" spans="4:16" x14ac:dyDescent="0.55000000000000004">
      <c r="D937">
        <v>930</v>
      </c>
      <c r="E937">
        <v>6.6199065459890711</v>
      </c>
      <c r="F937">
        <v>3.380093454010928</v>
      </c>
      <c r="G937">
        <v>6.4656100319732603</v>
      </c>
      <c r="H937">
        <v>3.5343899680267401</v>
      </c>
      <c r="I937">
        <v>306.16181954877749</v>
      </c>
      <c r="J937">
        <v>4.8241953409193155</v>
      </c>
      <c r="K937">
        <v>287.05240625181978</v>
      </c>
      <c r="L937">
        <v>4.468401111300059</v>
      </c>
      <c r="M937">
        <v>349.02581224218847</v>
      </c>
      <c r="N937">
        <v>4.8282929888023256</v>
      </c>
      <c r="O937">
        <v>330.55039416429935</v>
      </c>
      <c r="P937">
        <v>4.4721347055805927</v>
      </c>
    </row>
    <row r="938" spans="4:16" x14ac:dyDescent="0.55000000000000004">
      <c r="D938">
        <v>931</v>
      </c>
      <c r="E938">
        <v>5.8248239897066094</v>
      </c>
      <c r="F938">
        <v>4.1751760102933906</v>
      </c>
      <c r="G938">
        <v>5.3385177640084009</v>
      </c>
      <c r="H938">
        <v>4.6614822359915999</v>
      </c>
      <c r="I938">
        <v>313.59956376217212</v>
      </c>
      <c r="J938">
        <v>4.8394867623691002</v>
      </c>
      <c r="K938">
        <v>295.281853728275</v>
      </c>
      <c r="L938">
        <v>4.4820952615148784</v>
      </c>
      <c r="M938">
        <v>337.41758461511324</v>
      </c>
      <c r="N938">
        <v>4.8528877830531281</v>
      </c>
      <c r="O938">
        <v>321.32854533722184</v>
      </c>
      <c r="P938">
        <v>4.4943555562541118</v>
      </c>
    </row>
    <row r="939" spans="4:16" x14ac:dyDescent="0.55000000000000004">
      <c r="D939">
        <v>932</v>
      </c>
      <c r="E939">
        <v>6.9592041074927637</v>
      </c>
      <c r="F939">
        <v>3.0407958925072336</v>
      </c>
      <c r="G939">
        <v>6.5446362942747562</v>
      </c>
      <c r="H939">
        <v>3.4553637057252424</v>
      </c>
      <c r="I939">
        <v>337.24181235926727</v>
      </c>
      <c r="J939">
        <v>4.7491695572063213</v>
      </c>
      <c r="K939">
        <v>315.86438828116462</v>
      </c>
      <c r="L939">
        <v>4.3983021871740871</v>
      </c>
      <c r="M939">
        <v>367.15192872948109</v>
      </c>
      <c r="N939">
        <v>4.7641118159116695</v>
      </c>
      <c r="O939">
        <v>347.59764491814701</v>
      </c>
      <c r="P939">
        <v>4.4118884483025358</v>
      </c>
    </row>
    <row r="940" spans="4:16" x14ac:dyDescent="0.55000000000000004">
      <c r="D940">
        <v>933</v>
      </c>
      <c r="E940">
        <v>6.3894218405468317</v>
      </c>
      <c r="F940">
        <v>3.6105781594531674</v>
      </c>
      <c r="G940">
        <v>6.507721384224558</v>
      </c>
      <c r="H940">
        <v>3.492278615775442</v>
      </c>
      <c r="I940">
        <v>317.91851865792415</v>
      </c>
      <c r="J940">
        <v>4.7824451333299365</v>
      </c>
      <c r="K940">
        <v>297.91555541411645</v>
      </c>
      <c r="L940">
        <v>4.4293661008704932</v>
      </c>
      <c r="M940">
        <v>373.80475009208351</v>
      </c>
      <c r="N940">
        <v>4.77841712546096</v>
      </c>
      <c r="O940">
        <v>353.29891001421998</v>
      </c>
      <c r="P940">
        <v>4.4256822167192738</v>
      </c>
    </row>
    <row r="941" spans="4:16" x14ac:dyDescent="0.55000000000000004">
      <c r="D941">
        <v>934</v>
      </c>
      <c r="E941">
        <v>6.7125120438860577</v>
      </c>
      <c r="F941">
        <v>3.2874879561139418</v>
      </c>
      <c r="G941">
        <v>5.6582767948501198</v>
      </c>
      <c r="H941">
        <v>4.3417232051498793</v>
      </c>
      <c r="I941">
        <v>335.13600548200935</v>
      </c>
      <c r="J941">
        <v>4.886577387581811</v>
      </c>
      <c r="K941">
        <v>314.33563910692442</v>
      </c>
      <c r="L941">
        <v>4.5268497497744526</v>
      </c>
      <c r="M941">
        <v>332.50113676366681</v>
      </c>
      <c r="N941">
        <v>4.9043910041931813</v>
      </c>
      <c r="O941">
        <v>316.38902215245008</v>
      </c>
      <c r="P941">
        <v>4.5430766858918323</v>
      </c>
    </row>
    <row r="942" spans="4:16" x14ac:dyDescent="0.55000000000000004">
      <c r="D942">
        <v>935</v>
      </c>
      <c r="E942">
        <v>5.7458538683569582</v>
      </c>
      <c r="F942">
        <v>4.2541461316430418</v>
      </c>
      <c r="G942">
        <v>5.2868857575056385</v>
      </c>
      <c r="H942">
        <v>4.7131142424943597</v>
      </c>
      <c r="I942">
        <v>300.5387554051951</v>
      </c>
      <c r="J942">
        <v>4.9474869227109286</v>
      </c>
      <c r="K942">
        <v>283.16948472247554</v>
      </c>
      <c r="L942">
        <v>4.5837545888632203</v>
      </c>
      <c r="M942">
        <v>326.53227908919143</v>
      </c>
      <c r="N942">
        <v>4.9516815695694358</v>
      </c>
      <c r="O942">
        <v>311.20784366533314</v>
      </c>
      <c r="P942">
        <v>4.5875919420613913</v>
      </c>
    </row>
    <row r="943" spans="4:16" x14ac:dyDescent="0.55000000000000004">
      <c r="D943">
        <v>936</v>
      </c>
      <c r="E943">
        <v>6.194630736725383</v>
      </c>
      <c r="F943">
        <v>3.8053692632746188</v>
      </c>
      <c r="G943">
        <v>7.0230162916465151</v>
      </c>
      <c r="H943">
        <v>2.9769837083534854</v>
      </c>
      <c r="I943">
        <v>315.54874154647581</v>
      </c>
      <c r="J943">
        <v>4.8541664112973688</v>
      </c>
      <c r="K943">
        <v>296.57121635940462</v>
      </c>
      <c r="L943">
        <v>4.4961697761386885</v>
      </c>
      <c r="M943">
        <v>407.74593303053547</v>
      </c>
      <c r="N943">
        <v>4.834664613137333</v>
      </c>
      <c r="O943">
        <v>384.96782338028345</v>
      </c>
      <c r="P943">
        <v>4.47842445106334</v>
      </c>
    </row>
    <row r="944" spans="4:16" x14ac:dyDescent="0.55000000000000004">
      <c r="D944">
        <v>937</v>
      </c>
      <c r="E944">
        <v>7.9673429536058542</v>
      </c>
      <c r="F944">
        <v>2.0326570463941436</v>
      </c>
      <c r="G944">
        <v>6.762465062488495</v>
      </c>
      <c r="H944">
        <v>3.2375349375115046</v>
      </c>
      <c r="I944">
        <v>403.77688009799544</v>
      </c>
      <c r="J944">
        <v>4.7831627922064239</v>
      </c>
      <c r="K944">
        <v>376.3353200483491</v>
      </c>
      <c r="L944">
        <v>4.4311322601095284</v>
      </c>
      <c r="M944">
        <v>392.71488758589459</v>
      </c>
      <c r="N944">
        <v>4.8159544467345947</v>
      </c>
      <c r="O944">
        <v>370.72853168339265</v>
      </c>
      <c r="P944">
        <v>4.4609943481035206</v>
      </c>
    </row>
    <row r="945" spans="4:16" x14ac:dyDescent="0.55000000000000004">
      <c r="D945">
        <v>938</v>
      </c>
      <c r="E945">
        <v>7.2804280939136898</v>
      </c>
      <c r="F945">
        <v>2.7195719060863088</v>
      </c>
      <c r="G945">
        <v>6.0664274618881855</v>
      </c>
      <c r="H945">
        <v>3.9335725381118141</v>
      </c>
      <c r="I945">
        <v>370.68749568531319</v>
      </c>
      <c r="J945">
        <v>4.685195326977583</v>
      </c>
      <c r="K945">
        <v>346.57731047175201</v>
      </c>
      <c r="L945">
        <v>4.3389035292464353</v>
      </c>
      <c r="M945">
        <v>358.87590325682316</v>
      </c>
      <c r="N945">
        <v>4.7376885412616829</v>
      </c>
      <c r="O945">
        <v>340.27195991559222</v>
      </c>
      <c r="P945">
        <v>4.3867205926153385</v>
      </c>
    </row>
    <row r="946" spans="4:16" x14ac:dyDescent="0.55000000000000004">
      <c r="D946">
        <v>939</v>
      </c>
      <c r="E946">
        <v>6.5090407162263135</v>
      </c>
      <c r="F946">
        <v>3.4909592837736856</v>
      </c>
      <c r="G946">
        <v>5.853866111912339</v>
      </c>
      <c r="H946">
        <v>4.1461338880876601</v>
      </c>
      <c r="I946">
        <v>308.87773001552665</v>
      </c>
      <c r="J946">
        <v>4.8276811883402466</v>
      </c>
      <c r="K946">
        <v>289.96552993725072</v>
      </c>
      <c r="L946">
        <v>4.4714647922444319</v>
      </c>
      <c r="M946">
        <v>327.78730465686544</v>
      </c>
      <c r="N946">
        <v>4.845026126583388</v>
      </c>
      <c r="O946">
        <v>311.63994244478937</v>
      </c>
      <c r="P946">
        <v>4.487267263908608</v>
      </c>
    </row>
    <row r="947" spans="4:16" x14ac:dyDescent="0.55000000000000004">
      <c r="D947">
        <v>940</v>
      </c>
      <c r="E947">
        <v>6.2868784530064135</v>
      </c>
      <c r="F947">
        <v>3.7131215469935848</v>
      </c>
      <c r="G947">
        <v>6.1201609828910861</v>
      </c>
      <c r="H947">
        <v>3.8798390171089157</v>
      </c>
      <c r="I947">
        <v>304.86519362951998</v>
      </c>
      <c r="J947">
        <v>4.8924117708141797</v>
      </c>
      <c r="K947">
        <v>286.42148394001606</v>
      </c>
      <c r="L947">
        <v>4.5321533716746396</v>
      </c>
      <c r="M947">
        <v>346.78068011648577</v>
      </c>
      <c r="N947">
        <v>4.8952648301691726</v>
      </c>
      <c r="O947">
        <v>329.05197492680611</v>
      </c>
      <c r="P947">
        <v>4.5347541028872147</v>
      </c>
    </row>
    <row r="948" spans="4:16" x14ac:dyDescent="0.55000000000000004">
      <c r="D948">
        <v>941</v>
      </c>
      <c r="E948">
        <v>6.4150389271111559</v>
      </c>
      <c r="F948">
        <v>3.584961072888845</v>
      </c>
      <c r="G948">
        <v>7.3972886013984969</v>
      </c>
      <c r="H948">
        <v>2.6027113986015014</v>
      </c>
      <c r="I948">
        <v>304.08073169063903</v>
      </c>
      <c r="J948">
        <v>4.846371222606348</v>
      </c>
      <c r="K948">
        <v>284.89256830045088</v>
      </c>
      <c r="L948">
        <v>4.4892982734872442</v>
      </c>
      <c r="M948">
        <v>400.64057381379365</v>
      </c>
      <c r="N948">
        <v>4.8228480891895957</v>
      </c>
      <c r="O948">
        <v>377.39040409975939</v>
      </c>
      <c r="P948">
        <v>4.46782736173488</v>
      </c>
    </row>
    <row r="949" spans="4:16" x14ac:dyDescent="0.55000000000000004">
      <c r="D949">
        <v>942</v>
      </c>
      <c r="E949">
        <v>6.251093392122069</v>
      </c>
      <c r="F949">
        <v>3.748906607877931</v>
      </c>
      <c r="G949">
        <v>5.504524524085423</v>
      </c>
      <c r="H949">
        <v>4.495475475914577</v>
      </c>
      <c r="I949">
        <v>303.56112861886203</v>
      </c>
      <c r="J949">
        <v>4.9625669430453474</v>
      </c>
      <c r="K949">
        <v>285.23883142356215</v>
      </c>
      <c r="L949">
        <v>4.5980590588192074</v>
      </c>
      <c r="M949">
        <v>317.30678494539859</v>
      </c>
      <c r="N949">
        <v>4.967037577733513</v>
      </c>
      <c r="O949">
        <v>302.13043509302395</v>
      </c>
      <c r="P949">
        <v>4.6021417570591208</v>
      </c>
    </row>
    <row r="950" spans="4:16" x14ac:dyDescent="0.55000000000000004">
      <c r="D950">
        <v>943</v>
      </c>
      <c r="E950">
        <v>7.6604154220021456</v>
      </c>
      <c r="F950">
        <v>2.3395845779978566</v>
      </c>
      <c r="G950">
        <v>6.822108134980339</v>
      </c>
      <c r="H950">
        <v>3.1778918650196606</v>
      </c>
      <c r="I950">
        <v>383.9745966005932</v>
      </c>
      <c r="J950">
        <v>4.858283286536091</v>
      </c>
      <c r="K950">
        <v>358.68663229824017</v>
      </c>
      <c r="L950">
        <v>4.5008492637885507</v>
      </c>
      <c r="M950">
        <v>391.95485163519459</v>
      </c>
      <c r="N950">
        <v>4.8737918649936427</v>
      </c>
      <c r="O950">
        <v>370.5939785734767</v>
      </c>
      <c r="P950">
        <v>4.5149084378609627</v>
      </c>
    </row>
    <row r="951" spans="4:16" x14ac:dyDescent="0.55000000000000004">
      <c r="D951">
        <v>944</v>
      </c>
      <c r="E951">
        <v>6.2055433479426982</v>
      </c>
      <c r="F951">
        <v>3.7944566520573022</v>
      </c>
      <c r="G951">
        <v>5.697997265997027</v>
      </c>
      <c r="H951">
        <v>4.3020027340029747</v>
      </c>
      <c r="I951">
        <v>329.69142525567838</v>
      </c>
      <c r="J951">
        <v>4.8208577906778922</v>
      </c>
      <c r="K951">
        <v>309.81457847831484</v>
      </c>
      <c r="L951">
        <v>4.4648908759652501</v>
      </c>
      <c r="M951">
        <v>352.72624561591653</v>
      </c>
      <c r="N951">
        <v>4.8355096787325742</v>
      </c>
      <c r="O951">
        <v>335.19198978490465</v>
      </c>
      <c r="P951">
        <v>4.4782698861543881</v>
      </c>
    </row>
    <row r="952" spans="4:16" x14ac:dyDescent="0.55000000000000004">
      <c r="D952">
        <v>945</v>
      </c>
      <c r="E952">
        <v>6.9508090561977722</v>
      </c>
      <c r="F952">
        <v>3.0491909438022282</v>
      </c>
      <c r="G952">
        <v>5.8764673781140067</v>
      </c>
      <c r="H952">
        <v>4.1235326218859925</v>
      </c>
      <c r="I952">
        <v>351.46286925022275</v>
      </c>
      <c r="J952">
        <v>4.8545914775750436</v>
      </c>
      <c r="K952">
        <v>329.09630514696886</v>
      </c>
      <c r="L952">
        <v>4.497077792391857</v>
      </c>
      <c r="M952">
        <v>347.13952276184011</v>
      </c>
      <c r="N952">
        <v>4.8770663340596148</v>
      </c>
      <c r="O952">
        <v>329.57823679538149</v>
      </c>
      <c r="P952">
        <v>4.5175645913749269</v>
      </c>
    </row>
    <row r="953" spans="4:16" x14ac:dyDescent="0.55000000000000004">
      <c r="D953">
        <v>946</v>
      </c>
      <c r="E953">
        <v>7.2796282797410354</v>
      </c>
      <c r="F953">
        <v>2.7203717202589655</v>
      </c>
      <c r="G953">
        <v>6.433535911203708</v>
      </c>
      <c r="H953">
        <v>3.5664640887962915</v>
      </c>
      <c r="I953">
        <v>375.62513458833178</v>
      </c>
      <c r="J953">
        <v>4.7443902287918496</v>
      </c>
      <c r="K953">
        <v>351.16807704047443</v>
      </c>
      <c r="L953">
        <v>4.3942657893918549</v>
      </c>
      <c r="M953">
        <v>381.96719662871658</v>
      </c>
      <c r="N953">
        <v>4.7740990914469172</v>
      </c>
      <c r="O953">
        <v>361.42384093620046</v>
      </c>
      <c r="P953">
        <v>4.4213114105763616</v>
      </c>
    </row>
    <row r="954" spans="4:16" x14ac:dyDescent="0.55000000000000004">
      <c r="D954">
        <v>947</v>
      </c>
      <c r="E954">
        <v>5.7777947549244297</v>
      </c>
      <c r="F954">
        <v>4.2222052450755703</v>
      </c>
      <c r="G954">
        <v>5.7246287470993895</v>
      </c>
      <c r="H954">
        <v>4.2753712529006105</v>
      </c>
      <c r="I954">
        <v>293.30423103147268</v>
      </c>
      <c r="J954">
        <v>4.9499713342534575</v>
      </c>
      <c r="K954">
        <v>276.57274423120253</v>
      </c>
      <c r="L954">
        <v>4.5860579473620815</v>
      </c>
      <c r="M954">
        <v>340.60530943533155</v>
      </c>
      <c r="N954">
        <v>4.9504316871298366</v>
      </c>
      <c r="O954">
        <v>324.11167792055733</v>
      </c>
      <c r="P954">
        <v>4.5864777294545611</v>
      </c>
    </row>
    <row r="955" spans="4:16" x14ac:dyDescent="0.55000000000000004">
      <c r="D955">
        <v>948</v>
      </c>
      <c r="E955">
        <v>4.9943709203868139</v>
      </c>
      <c r="F955">
        <v>5.0056290796131853</v>
      </c>
      <c r="G955">
        <v>6.2482830693502187</v>
      </c>
      <c r="H955">
        <v>3.7517169306497795</v>
      </c>
      <c r="I955">
        <v>251.57625730600569</v>
      </c>
      <c r="J955">
        <v>4.8361361560325511</v>
      </c>
      <c r="K955">
        <v>238.15811115991602</v>
      </c>
      <c r="L955">
        <v>4.4781087837128917</v>
      </c>
      <c r="M955">
        <v>364.73827119229355</v>
      </c>
      <c r="N955">
        <v>4.7949956664690099</v>
      </c>
      <c r="O955">
        <v>345.87184978151913</v>
      </c>
      <c r="P955">
        <v>4.4405170206365963</v>
      </c>
    </row>
    <row r="956" spans="4:16" x14ac:dyDescent="0.55000000000000004">
      <c r="D956">
        <v>949</v>
      </c>
      <c r="E956">
        <v>6.0705988788505589</v>
      </c>
      <c r="F956">
        <v>3.9294011211494411</v>
      </c>
      <c r="G956">
        <v>6.3006496776022418</v>
      </c>
      <c r="H956">
        <v>3.6993503223977573</v>
      </c>
      <c r="I956">
        <v>288.75204105736969</v>
      </c>
      <c r="J956">
        <v>4.8375468498854044</v>
      </c>
      <c r="K956">
        <v>271.37445099919847</v>
      </c>
      <c r="L956">
        <v>4.4805562943098654</v>
      </c>
      <c r="M956">
        <v>349.69455908765087</v>
      </c>
      <c r="N956">
        <v>4.8313905418028886</v>
      </c>
      <c r="O956">
        <v>331.36424954040558</v>
      </c>
      <c r="P956">
        <v>4.4749359903421899</v>
      </c>
    </row>
    <row r="957" spans="4:16" x14ac:dyDescent="0.55000000000000004">
      <c r="D957">
        <v>950</v>
      </c>
      <c r="E957">
        <v>7.5566025302881421</v>
      </c>
      <c r="F957">
        <v>2.443397469711861</v>
      </c>
      <c r="G957">
        <v>6.1746460821905567</v>
      </c>
      <c r="H957">
        <v>3.8253539178094442</v>
      </c>
      <c r="I957">
        <v>369.96022117609897</v>
      </c>
      <c r="J957">
        <v>4.7574406338846318</v>
      </c>
      <c r="K957">
        <v>345.34138246455882</v>
      </c>
      <c r="L957">
        <v>4.4068143761642782</v>
      </c>
      <c r="M957">
        <v>352.30165224321325</v>
      </c>
      <c r="N957">
        <v>4.8018000505280281</v>
      </c>
      <c r="O957">
        <v>333.63242771250384</v>
      </c>
      <c r="P957">
        <v>4.4472730095295541</v>
      </c>
    </row>
    <row r="958" spans="4:16" x14ac:dyDescent="0.55000000000000004">
      <c r="D958">
        <v>951</v>
      </c>
      <c r="E958">
        <v>6.0904558969336433</v>
      </c>
      <c r="F958">
        <v>3.9095441030663567</v>
      </c>
      <c r="G958">
        <v>6.0631357331117197</v>
      </c>
      <c r="H958">
        <v>3.9368642668882803</v>
      </c>
      <c r="I958">
        <v>294.19614581861333</v>
      </c>
      <c r="J958">
        <v>4.8746645285315786</v>
      </c>
      <c r="K958">
        <v>276.73252588424856</v>
      </c>
      <c r="L958">
        <v>4.5153372372850633</v>
      </c>
      <c r="M958">
        <v>342.87646022601439</v>
      </c>
      <c r="N958">
        <v>4.8752267500912074</v>
      </c>
      <c r="O958">
        <v>325.52939369633214</v>
      </c>
      <c r="P958">
        <v>4.5158498039592185</v>
      </c>
    </row>
    <row r="959" spans="4:16" x14ac:dyDescent="0.55000000000000004">
      <c r="D959">
        <v>952</v>
      </c>
      <c r="E959">
        <v>5.9410875464684265</v>
      </c>
      <c r="F959">
        <v>4.0589124535315735</v>
      </c>
      <c r="G959">
        <v>5.4610568664720684</v>
      </c>
      <c r="H959">
        <v>4.5389431335279316</v>
      </c>
      <c r="I959">
        <v>302.4427298260988</v>
      </c>
      <c r="J959">
        <v>4.7651944988308648</v>
      </c>
      <c r="K959">
        <v>284.55704819130426</v>
      </c>
      <c r="L959">
        <v>4.4123130264353581</v>
      </c>
      <c r="M959">
        <v>328.00582528247224</v>
      </c>
      <c r="N959">
        <v>4.7841664199667697</v>
      </c>
      <c r="O959">
        <v>312.20830070304214</v>
      </c>
      <c r="P959">
        <v>4.429663778617436</v>
      </c>
    </row>
    <row r="960" spans="4:16" x14ac:dyDescent="0.55000000000000004">
      <c r="D960">
        <v>953</v>
      </c>
      <c r="E960">
        <v>6.924570179559792</v>
      </c>
      <c r="F960">
        <v>3.0754298204402093</v>
      </c>
      <c r="G960">
        <v>5.8496794261320986</v>
      </c>
      <c r="H960">
        <v>4.1503205738679023</v>
      </c>
      <c r="I960">
        <v>350.34904375132874</v>
      </c>
      <c r="J960">
        <v>4.6960755217211734</v>
      </c>
      <c r="K960">
        <v>328.29173338957145</v>
      </c>
      <c r="L960">
        <v>4.3484427665382608</v>
      </c>
      <c r="M960">
        <v>345.96488158164476</v>
      </c>
      <c r="N960">
        <v>4.7432532674831513</v>
      </c>
      <c r="O960">
        <v>328.80308697856191</v>
      </c>
      <c r="P960">
        <v>4.3913736987313197</v>
      </c>
    </row>
    <row r="961" spans="4:16" x14ac:dyDescent="0.55000000000000004">
      <c r="D961">
        <v>954</v>
      </c>
      <c r="E961">
        <v>6.5436031654602225</v>
      </c>
      <c r="F961">
        <v>3.4563968345397775</v>
      </c>
      <c r="G961">
        <v>6.9046610442422525</v>
      </c>
      <c r="H961">
        <v>3.0953389557577489</v>
      </c>
      <c r="I961">
        <v>310.63821773348764</v>
      </c>
      <c r="J961">
        <v>4.9568734451780854</v>
      </c>
      <c r="K961">
        <v>291.42130870496015</v>
      </c>
      <c r="L961">
        <v>4.5927741058557814</v>
      </c>
      <c r="M961">
        <v>377.77837326056795</v>
      </c>
      <c r="N961">
        <v>4.9544938414629076</v>
      </c>
      <c r="O961">
        <v>357.01611245820584</v>
      </c>
      <c r="P961">
        <v>4.5906090465662057</v>
      </c>
    </row>
    <row r="962" spans="4:16" x14ac:dyDescent="0.55000000000000004">
      <c r="D962">
        <v>955</v>
      </c>
      <c r="E962">
        <v>5.250540646299819</v>
      </c>
      <c r="F962">
        <v>4.7494593537001837</v>
      </c>
      <c r="G962">
        <v>7.9989328048300647</v>
      </c>
      <c r="H962">
        <v>2.001067195169937</v>
      </c>
      <c r="I962">
        <v>255.83919039874749</v>
      </c>
      <c r="J962">
        <v>4.8753023839488687</v>
      </c>
      <c r="K962">
        <v>241.67057565177012</v>
      </c>
      <c r="L962">
        <v>4.5154409920111336</v>
      </c>
      <c r="M962">
        <v>439.7580517320406</v>
      </c>
      <c r="N962">
        <v>4.8100294962160834</v>
      </c>
      <c r="O962">
        <v>413.53970755492759</v>
      </c>
      <c r="P962">
        <v>4.4560412175088011</v>
      </c>
    </row>
    <row r="963" spans="4:16" x14ac:dyDescent="0.55000000000000004">
      <c r="D963">
        <v>956</v>
      </c>
      <c r="E963">
        <v>6.8876966834796995</v>
      </c>
      <c r="F963">
        <v>3.1123033165202996</v>
      </c>
      <c r="G963">
        <v>5.1063767038351262</v>
      </c>
      <c r="H963">
        <v>4.893623296164872</v>
      </c>
      <c r="I963">
        <v>347.14057761607984</v>
      </c>
      <c r="J963">
        <v>4.8452970353842471</v>
      </c>
      <c r="K963">
        <v>325.1367940181886</v>
      </c>
      <c r="L963">
        <v>4.4883357436464495</v>
      </c>
      <c r="M963">
        <v>307.3618787172083</v>
      </c>
      <c r="N963">
        <v>4.8853068520826604</v>
      </c>
      <c r="O963">
        <v>293.11124703512291</v>
      </c>
      <c r="P963">
        <v>4.5248903734153236</v>
      </c>
    </row>
    <row r="964" spans="4:16" x14ac:dyDescent="0.55000000000000004">
      <c r="D964">
        <v>957</v>
      </c>
      <c r="E964">
        <v>7.8297468379550343</v>
      </c>
      <c r="F964">
        <v>2.170253162044967</v>
      </c>
      <c r="G964">
        <v>5.8763600323588792</v>
      </c>
      <c r="H964">
        <v>4.1236399676411208</v>
      </c>
      <c r="I964">
        <v>399.94786184327995</v>
      </c>
      <c r="J964">
        <v>4.8994567055933178</v>
      </c>
      <c r="K964">
        <v>373.16107014440166</v>
      </c>
      <c r="L964">
        <v>4.5394234009650765</v>
      </c>
      <c r="M964">
        <v>350.16776774574174</v>
      </c>
      <c r="N964">
        <v>4.9245405235953417</v>
      </c>
      <c r="O964">
        <v>332.33019936375126</v>
      </c>
      <c r="P964">
        <v>4.5622574647353513</v>
      </c>
    </row>
    <row r="965" spans="4:16" x14ac:dyDescent="0.55000000000000004">
      <c r="D965">
        <v>958</v>
      </c>
      <c r="E965">
        <v>6.8542798910678391</v>
      </c>
      <c r="F965">
        <v>3.1457201089321587</v>
      </c>
      <c r="G965">
        <v>6.1869046311202007</v>
      </c>
      <c r="H965">
        <v>3.8130953688797975</v>
      </c>
      <c r="I965">
        <v>335.74786219449561</v>
      </c>
      <c r="J965">
        <v>4.8785002089111158</v>
      </c>
      <c r="K965">
        <v>314.64582051573092</v>
      </c>
      <c r="L965">
        <v>4.5193693121186245</v>
      </c>
      <c r="M965">
        <v>353.05736510800926</v>
      </c>
      <c r="N965">
        <v>4.8903301831681043</v>
      </c>
      <c r="O965">
        <v>334.90025024818033</v>
      </c>
      <c r="P965">
        <v>4.5301335819183031</v>
      </c>
    </row>
    <row r="966" spans="4:16" x14ac:dyDescent="0.55000000000000004">
      <c r="D966">
        <v>959</v>
      </c>
      <c r="E966">
        <v>7.0999279598274736</v>
      </c>
      <c r="F966">
        <v>2.9000720401725264</v>
      </c>
      <c r="G966">
        <v>6.7785510649898733</v>
      </c>
      <c r="H966">
        <v>3.2214489350101254</v>
      </c>
      <c r="I966">
        <v>343.59809778950262</v>
      </c>
      <c r="J966">
        <v>4.8190632293897888</v>
      </c>
      <c r="K966">
        <v>321.56342531932518</v>
      </c>
      <c r="L966">
        <v>4.4638992973652094</v>
      </c>
      <c r="M966">
        <v>378.04519494816458</v>
      </c>
      <c r="N966">
        <v>4.8272532980538188</v>
      </c>
      <c r="O966">
        <v>357.42521329675088</v>
      </c>
      <c r="P966">
        <v>4.471344398027945</v>
      </c>
    </row>
    <row r="967" spans="4:16" x14ac:dyDescent="0.55000000000000004">
      <c r="D967">
        <v>960</v>
      </c>
      <c r="E967">
        <v>5.957664770312852</v>
      </c>
      <c r="F967">
        <v>4.0423352296871471</v>
      </c>
      <c r="G967">
        <v>6.3366681869588017</v>
      </c>
      <c r="H967">
        <v>3.6633318130411969</v>
      </c>
      <c r="I967">
        <v>271.77405043810211</v>
      </c>
      <c r="J967">
        <v>4.9399670427699087</v>
      </c>
      <c r="K967">
        <v>255.51563187937137</v>
      </c>
      <c r="L967">
        <v>4.5767911488612967</v>
      </c>
      <c r="M967">
        <v>339.06325646812525</v>
      </c>
      <c r="N967">
        <v>4.9361479799695065</v>
      </c>
      <c r="O967">
        <v>321.30702974620942</v>
      </c>
      <c r="P967">
        <v>4.5733029412446555</v>
      </c>
    </row>
    <row r="968" spans="4:16" x14ac:dyDescent="0.55000000000000004">
      <c r="D968">
        <v>961</v>
      </c>
      <c r="E968">
        <v>7.5638697727911088</v>
      </c>
      <c r="F968">
        <v>2.4361302272088912</v>
      </c>
      <c r="G968">
        <v>6.9448926275697023</v>
      </c>
      <c r="H968">
        <v>3.0551073724302977</v>
      </c>
      <c r="I968">
        <v>388.2955426724576</v>
      </c>
      <c r="J968">
        <v>4.7528552367715591</v>
      </c>
      <c r="K968">
        <v>362.7518813944053</v>
      </c>
      <c r="L968">
        <v>4.4023461621724733</v>
      </c>
      <c r="M968">
        <v>406.52000003022806</v>
      </c>
      <c r="N968">
        <v>4.7730799318806483</v>
      </c>
      <c r="O968">
        <v>383.9129360413005</v>
      </c>
      <c r="P968">
        <v>4.4207017535655559</v>
      </c>
    </row>
    <row r="969" spans="4:16" x14ac:dyDescent="0.55000000000000004">
      <c r="D969">
        <v>962</v>
      </c>
      <c r="E969">
        <v>7.6344270658417441</v>
      </c>
      <c r="F969">
        <v>2.3655729341582545</v>
      </c>
      <c r="G969">
        <v>5.323422381966183</v>
      </c>
      <c r="H969">
        <v>4.676577618033817</v>
      </c>
      <c r="I969">
        <v>364.49931880292667</v>
      </c>
      <c r="J969">
        <v>4.7327239356459474</v>
      </c>
      <c r="K969">
        <v>340.38097739674424</v>
      </c>
      <c r="L969">
        <v>4.3836419055355096</v>
      </c>
      <c r="M969">
        <v>304.16233794526238</v>
      </c>
      <c r="N969">
        <v>4.8136306273050602</v>
      </c>
      <c r="O969">
        <v>289.81812510063844</v>
      </c>
      <c r="P969">
        <v>4.4573815313603058</v>
      </c>
    </row>
    <row r="970" spans="4:16" x14ac:dyDescent="0.55000000000000004">
      <c r="D970">
        <v>963</v>
      </c>
      <c r="E970">
        <v>7.1258835041232569</v>
      </c>
      <c r="F970">
        <v>2.8741164958767458</v>
      </c>
      <c r="G970">
        <v>7.0520912672066514</v>
      </c>
      <c r="H970">
        <v>2.9479087327933526</v>
      </c>
      <c r="I970">
        <v>376.05333565479924</v>
      </c>
      <c r="J970">
        <v>4.6535076166477065</v>
      </c>
      <c r="K970">
        <v>352.03976780003285</v>
      </c>
      <c r="L970">
        <v>4.3088662531952195</v>
      </c>
      <c r="M970">
        <v>422.1591074062091</v>
      </c>
      <c r="N970">
        <v>4.6570957258312671</v>
      </c>
      <c r="O970">
        <v>398.5062754544781</v>
      </c>
      <c r="P970">
        <v>4.3121219833491269</v>
      </c>
    </row>
    <row r="971" spans="4:16" x14ac:dyDescent="0.55000000000000004">
      <c r="D971">
        <v>964</v>
      </c>
      <c r="E971">
        <v>6.0357984521152126</v>
      </c>
      <c r="F971">
        <v>3.9642015478847874</v>
      </c>
      <c r="G971">
        <v>7.0425646891038385</v>
      </c>
      <c r="H971">
        <v>2.9574353108961624</v>
      </c>
      <c r="I971">
        <v>301.27476642768505</v>
      </c>
      <c r="J971">
        <v>4.8039354995381895</v>
      </c>
      <c r="K971">
        <v>283.20574407473248</v>
      </c>
      <c r="L971">
        <v>4.448927249281839</v>
      </c>
      <c r="M971">
        <v>401.52715064865481</v>
      </c>
      <c r="N971">
        <v>4.7712321014868806</v>
      </c>
      <c r="O971">
        <v>378.99864756458413</v>
      </c>
      <c r="P971">
        <v>4.4191260055404769</v>
      </c>
    </row>
    <row r="972" spans="4:16" x14ac:dyDescent="0.55000000000000004">
      <c r="D972">
        <v>965</v>
      </c>
      <c r="E972">
        <v>7.6423383288372699</v>
      </c>
      <c r="F972">
        <v>2.3576616711627296</v>
      </c>
      <c r="G972">
        <v>4.8863528707052435</v>
      </c>
      <c r="H972">
        <v>5.1136471292947565</v>
      </c>
      <c r="I972">
        <v>337.13846238684624</v>
      </c>
      <c r="J972">
        <v>4.8877822673366635</v>
      </c>
      <c r="K972">
        <v>314.88398466753756</v>
      </c>
      <c r="L972">
        <v>4.5284224860789255</v>
      </c>
      <c r="M972">
        <v>265.55935142166817</v>
      </c>
      <c r="N972">
        <v>4.9282503055282891</v>
      </c>
      <c r="O972">
        <v>254.03854220903921</v>
      </c>
      <c r="P972">
        <v>4.5653177846476316</v>
      </c>
    </row>
    <row r="973" spans="4:16" x14ac:dyDescent="0.55000000000000004">
      <c r="D973">
        <v>966</v>
      </c>
      <c r="E973">
        <v>6.6495908729564599</v>
      </c>
      <c r="F973">
        <v>3.3504091270435405</v>
      </c>
      <c r="G973">
        <v>7.0626618209995353</v>
      </c>
      <c r="H973">
        <v>2.9373381790004678</v>
      </c>
      <c r="I973">
        <v>330.4859589622049</v>
      </c>
      <c r="J973">
        <v>4.8594445763051599</v>
      </c>
      <c r="K973">
        <v>309.56166838276994</v>
      </c>
      <c r="L973">
        <v>4.5015763978869749</v>
      </c>
      <c r="M973">
        <v>401.01566537446524</v>
      </c>
      <c r="N973">
        <v>4.8507133079869318</v>
      </c>
      <c r="O973">
        <v>378.27736217745189</v>
      </c>
      <c r="P973">
        <v>4.4936166277372385</v>
      </c>
    </row>
    <row r="974" spans="4:16" x14ac:dyDescent="0.55000000000000004">
      <c r="D974">
        <v>967</v>
      </c>
      <c r="E974">
        <v>7.525967138064706</v>
      </c>
      <c r="F974">
        <v>2.4740328619352949</v>
      </c>
      <c r="G974">
        <v>5.1638405824542382</v>
      </c>
      <c r="H974">
        <v>4.8361594175457618</v>
      </c>
      <c r="I974">
        <v>391.93958650076405</v>
      </c>
      <c r="J974">
        <v>4.7554341258837294</v>
      </c>
      <c r="K974">
        <v>366.14018679473395</v>
      </c>
      <c r="L974">
        <v>4.4047653967579903</v>
      </c>
      <c r="M974">
        <v>318.92404730369651</v>
      </c>
      <c r="N974">
        <v>4.8321944325988984</v>
      </c>
      <c r="O974">
        <v>303.92283123338262</v>
      </c>
      <c r="P974">
        <v>4.4747877588748226</v>
      </c>
    </row>
    <row r="975" spans="4:16" x14ac:dyDescent="0.55000000000000004">
      <c r="D975">
        <v>968</v>
      </c>
      <c r="E975">
        <v>6.3530325364826901</v>
      </c>
      <c r="F975">
        <v>3.6469674635173086</v>
      </c>
      <c r="G975">
        <v>6.1679539738451767</v>
      </c>
      <c r="H975">
        <v>3.8320460261548233</v>
      </c>
      <c r="I975">
        <v>304.37620807021688</v>
      </c>
      <c r="J975">
        <v>4.7827970158207975</v>
      </c>
      <c r="K975">
        <v>285.72695403023238</v>
      </c>
      <c r="L975">
        <v>4.4293378679061952</v>
      </c>
      <c r="M975">
        <v>345.50902365597153</v>
      </c>
      <c r="N975">
        <v>4.7891246421758682</v>
      </c>
      <c r="O975">
        <v>327.63711070773257</v>
      </c>
      <c r="P975">
        <v>4.4351107833463654</v>
      </c>
    </row>
    <row r="976" spans="4:16" x14ac:dyDescent="0.55000000000000004">
      <c r="D976">
        <v>969</v>
      </c>
      <c r="E976">
        <v>6.4761807004452665</v>
      </c>
      <c r="F976">
        <v>3.5238192995547317</v>
      </c>
      <c r="G976">
        <v>6.3965780293743748</v>
      </c>
      <c r="H976">
        <v>3.6034219706256243</v>
      </c>
      <c r="I976">
        <v>338.09819801421207</v>
      </c>
      <c r="J976">
        <v>4.8310669461486775</v>
      </c>
      <c r="K976">
        <v>317.69214951487163</v>
      </c>
      <c r="L976">
        <v>4.474495703369076</v>
      </c>
      <c r="M976">
        <v>383.94242767810402</v>
      </c>
      <c r="N976">
        <v>4.8331434049352291</v>
      </c>
      <c r="O976">
        <v>363.91776586700564</v>
      </c>
      <c r="P976">
        <v>4.476381599714534</v>
      </c>
    </row>
    <row r="977" spans="4:16" x14ac:dyDescent="0.55000000000000004">
      <c r="D977">
        <v>970</v>
      </c>
      <c r="E977">
        <v>6.5058919050185633</v>
      </c>
      <c r="F977">
        <v>3.4941080949814385</v>
      </c>
      <c r="G977">
        <v>5.8275069765528125</v>
      </c>
      <c r="H977">
        <v>4.1724930234471866</v>
      </c>
      <c r="I977">
        <v>319.69079797919608</v>
      </c>
      <c r="J977">
        <v>4.7849388259316212</v>
      </c>
      <c r="K977">
        <v>299.82325945872014</v>
      </c>
      <c r="L977">
        <v>4.4315367775762731</v>
      </c>
      <c r="M977">
        <v>336.35587291673357</v>
      </c>
      <c r="N977">
        <v>4.8073637695544313</v>
      </c>
      <c r="O977">
        <v>319.37650229527128</v>
      </c>
      <c r="P977">
        <v>4.4520188039077659</v>
      </c>
    </row>
    <row r="978" spans="4:16" x14ac:dyDescent="0.55000000000000004">
      <c r="D978">
        <v>971</v>
      </c>
      <c r="E978">
        <v>7.1770275672692083</v>
      </c>
      <c r="F978">
        <v>2.8229724327307917</v>
      </c>
      <c r="G978">
        <v>6.7552357344553196</v>
      </c>
      <c r="H978">
        <v>3.2447642655446813</v>
      </c>
      <c r="I978">
        <v>344.29402243875188</v>
      </c>
      <c r="J978">
        <v>4.7237140662661634</v>
      </c>
      <c r="K978">
        <v>321.99186800498444</v>
      </c>
      <c r="L978">
        <v>4.374843633107349</v>
      </c>
      <c r="M978">
        <v>374.05996239228028</v>
      </c>
      <c r="N978">
        <v>4.7399513106236668</v>
      </c>
      <c r="O978">
        <v>353.57872890123792</v>
      </c>
      <c r="P978">
        <v>4.3896196413987933</v>
      </c>
    </row>
    <row r="979" spans="4:16" x14ac:dyDescent="0.55000000000000004">
      <c r="D979">
        <v>972</v>
      </c>
      <c r="E979">
        <v>6.6567358248299131</v>
      </c>
      <c r="F979">
        <v>3.3432641751700878</v>
      </c>
      <c r="G979">
        <v>5.3525177800096211</v>
      </c>
      <c r="H979">
        <v>4.647482219990378</v>
      </c>
      <c r="I979">
        <v>342.7319143338205</v>
      </c>
      <c r="J979">
        <v>4.9424218343471438</v>
      </c>
      <c r="K979">
        <v>321.53838546174813</v>
      </c>
      <c r="L979">
        <v>4.5792150348994616</v>
      </c>
      <c r="M979">
        <v>325.58231444393874</v>
      </c>
      <c r="N979">
        <v>4.9537028111814649</v>
      </c>
      <c r="O979">
        <v>310.30741941099632</v>
      </c>
      <c r="P979">
        <v>4.5895016949941523</v>
      </c>
    </row>
    <row r="980" spans="4:16" x14ac:dyDescent="0.55000000000000004">
      <c r="D980">
        <v>973</v>
      </c>
      <c r="E980">
        <v>6.1428908976805694</v>
      </c>
      <c r="F980">
        <v>3.8571091023194306</v>
      </c>
      <c r="G980">
        <v>5.6280878440414224</v>
      </c>
      <c r="H980">
        <v>4.3719121559585759</v>
      </c>
      <c r="I980">
        <v>296.89747560233212</v>
      </c>
      <c r="J980">
        <v>4.9412744814915222</v>
      </c>
      <c r="K980">
        <v>279.16296281083498</v>
      </c>
      <c r="L980">
        <v>4.5780150571274216</v>
      </c>
      <c r="M980">
        <v>322.01607536200805</v>
      </c>
      <c r="N980">
        <v>4.9461959552338151</v>
      </c>
      <c r="O980">
        <v>306.44892680725462</v>
      </c>
      <c r="P980">
        <v>4.5825078320795294</v>
      </c>
    </row>
    <row r="981" spans="4:16" x14ac:dyDescent="0.55000000000000004">
      <c r="D981">
        <v>974</v>
      </c>
      <c r="E981">
        <v>5.7711391852064615</v>
      </c>
      <c r="F981">
        <v>4.2288608147935376</v>
      </c>
      <c r="G981">
        <v>5.6062516988888484</v>
      </c>
      <c r="H981">
        <v>4.3937483011111507</v>
      </c>
      <c r="I981">
        <v>294.68305471930307</v>
      </c>
      <c r="J981">
        <v>4.7497860871773963</v>
      </c>
      <c r="K981">
        <v>277.542134111032</v>
      </c>
      <c r="L981">
        <v>4.3975730943429463</v>
      </c>
      <c r="M981">
        <v>336.26365144488301</v>
      </c>
      <c r="N981">
        <v>4.7569349605285653</v>
      </c>
      <c r="O981">
        <v>319.84427159873678</v>
      </c>
      <c r="P981">
        <v>4.4041093110297398</v>
      </c>
    </row>
    <row r="982" spans="4:16" x14ac:dyDescent="0.55000000000000004">
      <c r="D982">
        <v>975</v>
      </c>
      <c r="E982">
        <v>7.2308318276486814</v>
      </c>
      <c r="F982">
        <v>2.7691681723513186</v>
      </c>
      <c r="G982">
        <v>6.3863910230493559</v>
      </c>
      <c r="H982">
        <v>3.6136089769506463</v>
      </c>
      <c r="I982">
        <v>354.75859318700964</v>
      </c>
      <c r="J982">
        <v>4.8457270620336637</v>
      </c>
      <c r="K982">
        <v>331.89434689165762</v>
      </c>
      <c r="L982">
        <v>4.4889027137091686</v>
      </c>
      <c r="M982">
        <v>363.32869424732189</v>
      </c>
      <c r="N982">
        <v>4.8637435734073726</v>
      </c>
      <c r="O982">
        <v>344.23469205756675</v>
      </c>
      <c r="P982">
        <v>4.5052796689278152</v>
      </c>
    </row>
    <row r="983" spans="4:16" x14ac:dyDescent="0.55000000000000004">
      <c r="D983">
        <v>976</v>
      </c>
      <c r="E983">
        <v>6.6143531846740746</v>
      </c>
      <c r="F983">
        <v>3.3856468153259254</v>
      </c>
      <c r="G983">
        <v>6.1408541640252743</v>
      </c>
      <c r="H983">
        <v>3.8591458359747253</v>
      </c>
      <c r="I983">
        <v>344.94569187541407</v>
      </c>
      <c r="J983">
        <v>4.8140254821524033</v>
      </c>
      <c r="K983">
        <v>323.45679076471657</v>
      </c>
      <c r="L983">
        <v>4.4588437762129134</v>
      </c>
      <c r="M983">
        <v>370.25220443684145</v>
      </c>
      <c r="N983">
        <v>4.8273387645865053</v>
      </c>
      <c r="O983">
        <v>350.94457983966288</v>
      </c>
      <c r="P983">
        <v>4.4709810420813678</v>
      </c>
    </row>
    <row r="984" spans="4:16" x14ac:dyDescent="0.55000000000000004">
      <c r="D984">
        <v>977</v>
      </c>
      <c r="E984">
        <v>7.0508511737062403</v>
      </c>
      <c r="F984">
        <v>2.9491488262937589</v>
      </c>
      <c r="G984">
        <v>6.3163536579368449</v>
      </c>
      <c r="H984">
        <v>3.6836463420631538</v>
      </c>
      <c r="I984">
        <v>368.02840677606849</v>
      </c>
      <c r="J984">
        <v>4.9233539075833193</v>
      </c>
      <c r="K984">
        <v>344.63887551683479</v>
      </c>
      <c r="L984">
        <v>4.561457779834071</v>
      </c>
      <c r="M984">
        <v>379.69034746237276</v>
      </c>
      <c r="N984">
        <v>4.9313382435289457</v>
      </c>
      <c r="O984">
        <v>359.79225201045335</v>
      </c>
      <c r="P984">
        <v>4.5687149846489827</v>
      </c>
    </row>
    <row r="985" spans="4:16" x14ac:dyDescent="0.55000000000000004">
      <c r="D985">
        <v>978</v>
      </c>
      <c r="E985">
        <v>7.0257254902036994</v>
      </c>
      <c r="F985">
        <v>2.9742745097962984</v>
      </c>
      <c r="G985">
        <v>6.4151800529345619</v>
      </c>
      <c r="H985">
        <v>3.5848199470654381</v>
      </c>
      <c r="I985">
        <v>357.9408322618936</v>
      </c>
      <c r="J985">
        <v>4.7565717113314978</v>
      </c>
      <c r="K985">
        <v>335.24115665569371</v>
      </c>
      <c r="L985">
        <v>4.4052420365023401</v>
      </c>
      <c r="M985">
        <v>376.8352699602442</v>
      </c>
      <c r="N985">
        <v>4.7777259723620533</v>
      </c>
      <c r="O985">
        <v>356.97618565395089</v>
      </c>
      <c r="P985">
        <v>4.4244644690947332</v>
      </c>
    </row>
    <row r="986" spans="4:16" x14ac:dyDescent="0.55000000000000004">
      <c r="D986">
        <v>979</v>
      </c>
      <c r="E986">
        <v>6.4844099302641354</v>
      </c>
      <c r="F986">
        <v>3.5155900697358651</v>
      </c>
      <c r="G986">
        <v>5.1939787438018499</v>
      </c>
      <c r="H986">
        <v>4.8060212561981501</v>
      </c>
      <c r="I986">
        <v>329.22599698712503</v>
      </c>
      <c r="J986">
        <v>4.9466441314530609</v>
      </c>
      <c r="K986">
        <v>309.10478100683775</v>
      </c>
      <c r="L986">
        <v>4.5831378045236422</v>
      </c>
      <c r="M986">
        <v>313.70831712492372</v>
      </c>
      <c r="N986">
        <v>4.9572622258508865</v>
      </c>
      <c r="O986">
        <v>299.30006531419627</v>
      </c>
      <c r="P986">
        <v>4.5928300298587761</v>
      </c>
    </row>
    <row r="987" spans="4:16" x14ac:dyDescent="0.55000000000000004">
      <c r="D987">
        <v>980</v>
      </c>
      <c r="E987">
        <v>6.8703614426253949</v>
      </c>
      <c r="F987">
        <v>3.1296385573746055</v>
      </c>
      <c r="G987">
        <v>5.0589223584828851</v>
      </c>
      <c r="H987">
        <v>4.941077641517114</v>
      </c>
      <c r="I987">
        <v>346.29118100764606</v>
      </c>
      <c r="J987">
        <v>4.9041651888383786</v>
      </c>
      <c r="K987">
        <v>324.5068797650091</v>
      </c>
      <c r="L987">
        <v>4.5434266510359382</v>
      </c>
      <c r="M987">
        <v>304.98806908120685</v>
      </c>
      <c r="N987">
        <v>4.9294329893768678</v>
      </c>
      <c r="O987">
        <v>291.18368319325685</v>
      </c>
      <c r="P987">
        <v>4.5664860393391589</v>
      </c>
    </row>
    <row r="988" spans="4:16" x14ac:dyDescent="0.55000000000000004">
      <c r="D988">
        <v>981</v>
      </c>
      <c r="E988">
        <v>6.7945368373649018</v>
      </c>
      <c r="F988">
        <v>3.2054631626350982</v>
      </c>
      <c r="G988">
        <v>5.8843977281215896</v>
      </c>
      <c r="H988">
        <v>4.1156022718784104</v>
      </c>
      <c r="I988">
        <v>352.8448545224586</v>
      </c>
      <c r="J988">
        <v>4.738889439474721</v>
      </c>
      <c r="K988">
        <v>330.69072134635582</v>
      </c>
      <c r="L988">
        <v>4.3885165719991628</v>
      </c>
      <c r="M988">
        <v>355.58072022118643</v>
      </c>
      <c r="N988">
        <v>4.7738656179338061</v>
      </c>
      <c r="O988">
        <v>337.622247974689</v>
      </c>
      <c r="P988">
        <v>4.4203878975375899</v>
      </c>
    </row>
    <row r="989" spans="4:16" x14ac:dyDescent="0.55000000000000004">
      <c r="D989">
        <v>982</v>
      </c>
      <c r="E989">
        <v>6.7438224216425251</v>
      </c>
      <c r="F989">
        <v>3.256177578357474</v>
      </c>
      <c r="G989">
        <v>7.4018357410408804</v>
      </c>
      <c r="H989">
        <v>2.5981642589591201</v>
      </c>
      <c r="I989">
        <v>325.80533773903971</v>
      </c>
      <c r="J989">
        <v>4.7855609387759532</v>
      </c>
      <c r="K989">
        <v>305.02551085247501</v>
      </c>
      <c r="L989">
        <v>4.4324705743045181</v>
      </c>
      <c r="M989">
        <v>407.59506148315222</v>
      </c>
      <c r="N989">
        <v>4.7646375292223642</v>
      </c>
      <c r="O989">
        <v>383.98774562699327</v>
      </c>
      <c r="P989">
        <v>4.4134081658151505</v>
      </c>
    </row>
    <row r="990" spans="4:16" x14ac:dyDescent="0.55000000000000004">
      <c r="D990">
        <v>983</v>
      </c>
      <c r="E990">
        <v>5.9156008287765722</v>
      </c>
      <c r="F990">
        <v>4.0843991712234269</v>
      </c>
      <c r="G990">
        <v>5.2944881858845863</v>
      </c>
      <c r="H990">
        <v>4.7055118141154146</v>
      </c>
      <c r="I990">
        <v>316.15328118134403</v>
      </c>
      <c r="J990">
        <v>4.8649188965884775</v>
      </c>
      <c r="K990">
        <v>297.41434691245666</v>
      </c>
      <c r="L990">
        <v>4.5061581166572822</v>
      </c>
      <c r="M990">
        <v>332.95854649297769</v>
      </c>
      <c r="N990">
        <v>4.8791018314370511</v>
      </c>
      <c r="O990">
        <v>317.02224680108981</v>
      </c>
      <c r="P990">
        <v>4.519143584980422</v>
      </c>
    </row>
    <row r="991" spans="4:16" x14ac:dyDescent="0.55000000000000004">
      <c r="D991">
        <v>984</v>
      </c>
      <c r="E991">
        <v>7.3168579257819779</v>
      </c>
      <c r="F991">
        <v>2.6831420742180208</v>
      </c>
      <c r="G991">
        <v>5.329751891623741</v>
      </c>
      <c r="H991">
        <v>4.6702481083762581</v>
      </c>
      <c r="I991">
        <v>363.92560504909676</v>
      </c>
      <c r="J991">
        <v>4.7392606218398097</v>
      </c>
      <c r="K991">
        <v>340.24698729430719</v>
      </c>
      <c r="L991">
        <v>4.3894582218634302</v>
      </c>
      <c r="M991">
        <v>315.09099966068328</v>
      </c>
      <c r="N991">
        <v>4.8100719997482324</v>
      </c>
      <c r="O991">
        <v>300.08727778777541</v>
      </c>
      <c r="P991">
        <v>4.4540543543302995</v>
      </c>
    </row>
    <row r="992" spans="4:16" x14ac:dyDescent="0.55000000000000004">
      <c r="D992">
        <v>985</v>
      </c>
      <c r="E992">
        <v>7.6390846487185664</v>
      </c>
      <c r="F992">
        <v>2.3609153512814363</v>
      </c>
      <c r="G992">
        <v>5.8384481783571136</v>
      </c>
      <c r="H992">
        <v>4.1615518216428873</v>
      </c>
      <c r="I992">
        <v>383.0065870366314</v>
      </c>
      <c r="J992">
        <v>4.8841126974179954</v>
      </c>
      <c r="K992">
        <v>357.74789337663191</v>
      </c>
      <c r="L992">
        <v>4.5249880231983051</v>
      </c>
      <c r="M992">
        <v>342.72670918208848</v>
      </c>
      <c r="N992">
        <v>4.9114289156662068</v>
      </c>
      <c r="O992">
        <v>325.66495070407859</v>
      </c>
      <c r="P992">
        <v>4.5498240733767474</v>
      </c>
    </row>
    <row r="993" spans="4:16" x14ac:dyDescent="0.55000000000000004">
      <c r="D993">
        <v>986</v>
      </c>
      <c r="E993">
        <v>6.458868139028473</v>
      </c>
      <c r="F993">
        <v>3.5411318609715283</v>
      </c>
      <c r="G993">
        <v>6.8196468360767204</v>
      </c>
      <c r="H993">
        <v>3.1803531639232783</v>
      </c>
      <c r="I993">
        <v>281.70228378846258</v>
      </c>
      <c r="J993">
        <v>4.801038401076978</v>
      </c>
      <c r="K993">
        <v>264.57181381784187</v>
      </c>
      <c r="L993">
        <v>4.4463701016624313</v>
      </c>
      <c r="M993">
        <v>347.43757683254768</v>
      </c>
      <c r="N993">
        <v>4.7899248274790978</v>
      </c>
      <c r="O993">
        <v>328.8697842469154</v>
      </c>
      <c r="P993">
        <v>4.4362716849237902</v>
      </c>
    </row>
    <row r="994" spans="4:16" x14ac:dyDescent="0.55000000000000004">
      <c r="D994">
        <v>987</v>
      </c>
      <c r="E994">
        <v>5.9750708462423967</v>
      </c>
      <c r="F994">
        <v>4.0249291537576015</v>
      </c>
      <c r="G994">
        <v>6.5396055993418702</v>
      </c>
      <c r="H994">
        <v>3.4603944006581306</v>
      </c>
      <c r="I994">
        <v>283.20443940516208</v>
      </c>
      <c r="J994">
        <v>4.8392207712233946</v>
      </c>
      <c r="K994">
        <v>266.76069187735084</v>
      </c>
      <c r="L994">
        <v>4.4817888598477964</v>
      </c>
      <c r="M994">
        <v>359.96207163923214</v>
      </c>
      <c r="N994">
        <v>4.8240300790028998</v>
      </c>
      <c r="O994">
        <v>341.09630044131893</v>
      </c>
      <c r="P994">
        <v>4.4679731852597069</v>
      </c>
    </row>
    <row r="995" spans="4:16" x14ac:dyDescent="0.55000000000000004">
      <c r="D995">
        <v>988</v>
      </c>
      <c r="E995">
        <v>6.4765281601998597</v>
      </c>
      <c r="F995">
        <v>3.523471839800139</v>
      </c>
      <c r="G995">
        <v>5.6041682079390363</v>
      </c>
      <c r="H995">
        <v>4.3958317920609637</v>
      </c>
      <c r="I995">
        <v>305.40396345469622</v>
      </c>
      <c r="J995">
        <v>4.8158722696281853</v>
      </c>
      <c r="K995">
        <v>286.11166286844343</v>
      </c>
      <c r="L995">
        <v>4.4607363144094876</v>
      </c>
      <c r="M995">
        <v>314.26738836546139</v>
      </c>
      <c r="N995">
        <v>4.8406734677553143</v>
      </c>
      <c r="O995">
        <v>298.40962417584035</v>
      </c>
      <c r="P995">
        <v>4.4834668341327166</v>
      </c>
    </row>
    <row r="996" spans="4:16" x14ac:dyDescent="0.55000000000000004">
      <c r="D996">
        <v>989</v>
      </c>
      <c r="E996">
        <v>6.5868352255455367</v>
      </c>
      <c r="F996">
        <v>3.4131647744544642</v>
      </c>
      <c r="G996">
        <v>5.6037946950121444</v>
      </c>
      <c r="H996">
        <v>4.3962053049878547</v>
      </c>
      <c r="I996">
        <v>342.65122226214493</v>
      </c>
      <c r="J996">
        <v>4.7187545597661753</v>
      </c>
      <c r="K996">
        <v>321.1879488483317</v>
      </c>
      <c r="L996">
        <v>4.3696041834456336</v>
      </c>
      <c r="M996">
        <v>341.51284885724527</v>
      </c>
      <c r="N996">
        <v>4.7607285362375</v>
      </c>
      <c r="O996">
        <v>324.43983053101533</v>
      </c>
      <c r="P996">
        <v>4.4079746729172786</v>
      </c>
    </row>
    <row r="997" spans="4:16" x14ac:dyDescent="0.55000000000000004">
      <c r="D997">
        <v>990</v>
      </c>
      <c r="E997">
        <v>7.6305919836696487</v>
      </c>
      <c r="F997">
        <v>2.369408016330353</v>
      </c>
      <c r="G997">
        <v>5.8766858697108528</v>
      </c>
      <c r="H997">
        <v>4.1233141302891481</v>
      </c>
      <c r="I997">
        <v>391.03641897782052</v>
      </c>
      <c r="J997">
        <v>4.7554009820341125</v>
      </c>
      <c r="K997">
        <v>365.22538107607119</v>
      </c>
      <c r="L997">
        <v>4.4047789019027261</v>
      </c>
      <c r="M997">
        <v>351.15595262690931</v>
      </c>
      <c r="N997">
        <v>4.8116225326027706</v>
      </c>
      <c r="O997">
        <v>333.47814953945698</v>
      </c>
      <c r="P997">
        <v>4.4559129947515572</v>
      </c>
    </row>
    <row r="998" spans="4:16" x14ac:dyDescent="0.55000000000000004">
      <c r="D998">
        <v>991</v>
      </c>
      <c r="E998">
        <v>5.3576062793898558</v>
      </c>
      <c r="F998">
        <v>4.6423937206101442</v>
      </c>
      <c r="G998">
        <v>5.6439700306895793</v>
      </c>
      <c r="H998">
        <v>4.3560299693104199</v>
      </c>
      <c r="I998">
        <v>290.8663673956404</v>
      </c>
      <c r="J998">
        <v>4.9355059716034555</v>
      </c>
      <c r="K998">
        <v>274.48668290626921</v>
      </c>
      <c r="L998">
        <v>4.5723705888485329</v>
      </c>
      <c r="M998">
        <v>356.41315821055355</v>
      </c>
      <c r="N998">
        <v>4.9320587694491822</v>
      </c>
      <c r="O998">
        <v>338.72253930401746</v>
      </c>
      <c r="P998">
        <v>4.5692140612135708</v>
      </c>
    </row>
    <row r="999" spans="4:16" x14ac:dyDescent="0.55000000000000004">
      <c r="D999">
        <v>992</v>
      </c>
      <c r="E999">
        <v>6.2130608187285494</v>
      </c>
      <c r="F999">
        <v>3.7869391812714515</v>
      </c>
      <c r="G999">
        <v>5.6104997035111808</v>
      </c>
      <c r="H999">
        <v>4.3895002964888201</v>
      </c>
      <c r="I999">
        <v>330.42821740812695</v>
      </c>
      <c r="J999">
        <v>4.9103228883271726</v>
      </c>
      <c r="K999">
        <v>310.32830440156812</v>
      </c>
      <c r="L999">
        <v>4.5490106743282759</v>
      </c>
      <c r="M999">
        <v>348.38230622365018</v>
      </c>
      <c r="N999">
        <v>4.9190200413079008</v>
      </c>
      <c r="O999">
        <v>331.02548780941413</v>
      </c>
      <c r="P999">
        <v>4.55696336062267</v>
      </c>
    </row>
    <row r="1000" spans="4:16" x14ac:dyDescent="0.55000000000000004">
      <c r="D1000">
        <v>993</v>
      </c>
      <c r="E1000">
        <v>6.3444123832989234</v>
      </c>
      <c r="F1000">
        <v>3.655587616701077</v>
      </c>
      <c r="G1000">
        <v>6.4492320528031195</v>
      </c>
      <c r="H1000">
        <v>3.5507679471968796</v>
      </c>
      <c r="I1000">
        <v>292.9813090139312</v>
      </c>
      <c r="J1000">
        <v>4.8353095991395794</v>
      </c>
      <c r="K1000">
        <v>274.9981265886276</v>
      </c>
      <c r="L1000">
        <v>4.4786510270635445</v>
      </c>
      <c r="M1000">
        <v>347.82182096781816</v>
      </c>
      <c r="N1000">
        <v>4.8325886547327901</v>
      </c>
      <c r="O1000">
        <v>329.41273957010651</v>
      </c>
      <c r="P1000">
        <v>4.4761694886199814</v>
      </c>
    </row>
    <row r="1001" spans="4:16" x14ac:dyDescent="0.55000000000000004">
      <c r="D1001">
        <v>994</v>
      </c>
      <c r="E1001">
        <v>5.3325658190544907</v>
      </c>
      <c r="F1001">
        <v>4.6674341809455075</v>
      </c>
      <c r="G1001">
        <v>6.9341802359399392</v>
      </c>
      <c r="H1001">
        <v>3.0658197640600626</v>
      </c>
      <c r="I1001">
        <v>260.80010417805676</v>
      </c>
      <c r="J1001">
        <v>4.9115101343863019</v>
      </c>
      <c r="K1001">
        <v>245.96572499744619</v>
      </c>
      <c r="L1001">
        <v>4.5497761983620508</v>
      </c>
      <c r="M1001">
        <v>389.13035287077037</v>
      </c>
      <c r="N1001">
        <v>4.8849325637900378</v>
      </c>
      <c r="O1001">
        <v>367.51442389640494</v>
      </c>
      <c r="P1001">
        <v>4.525499617758844</v>
      </c>
    </row>
    <row r="1002" spans="4:16" x14ac:dyDescent="0.55000000000000004">
      <c r="D1002">
        <v>995</v>
      </c>
      <c r="E1002">
        <v>7.5108112619500176</v>
      </c>
      <c r="F1002">
        <v>2.4891887380499846</v>
      </c>
      <c r="G1002">
        <v>6.2902503894334005</v>
      </c>
      <c r="H1002">
        <v>3.7097496105665986</v>
      </c>
      <c r="I1002">
        <v>366.91097393661266</v>
      </c>
      <c r="J1002">
        <v>4.8416254897026452</v>
      </c>
      <c r="K1002">
        <v>343.05424931224968</v>
      </c>
      <c r="L1002">
        <v>4.4851558120004622</v>
      </c>
      <c r="M1002">
        <v>357.28530064180507</v>
      </c>
      <c r="N1002">
        <v>4.8673624871761696</v>
      </c>
      <c r="O1002">
        <v>338.98770099468794</v>
      </c>
      <c r="P1002">
        <v>4.5084932527463515</v>
      </c>
    </row>
    <row r="1003" spans="4:16" x14ac:dyDescent="0.55000000000000004">
      <c r="D1003">
        <v>996</v>
      </c>
      <c r="E1003">
        <v>6.6004593365535236</v>
      </c>
      <c r="F1003">
        <v>3.3995406634464778</v>
      </c>
      <c r="G1003">
        <v>6.3530641174386053</v>
      </c>
      <c r="H1003">
        <v>3.6469358825613973</v>
      </c>
      <c r="I1003">
        <v>338.04295673699022</v>
      </c>
      <c r="J1003">
        <v>4.818310402584304</v>
      </c>
      <c r="K1003">
        <v>316.87139644076348</v>
      </c>
      <c r="L1003">
        <v>4.4629223213232754</v>
      </c>
      <c r="M1003">
        <v>375.37259440492403</v>
      </c>
      <c r="N1003">
        <v>4.8251204040511171</v>
      </c>
      <c r="O1003">
        <v>355.31428274228227</v>
      </c>
      <c r="P1003">
        <v>4.4691339796149725</v>
      </c>
    </row>
    <row r="1004" spans="4:16" x14ac:dyDescent="0.55000000000000004">
      <c r="D1004">
        <v>997</v>
      </c>
      <c r="E1004">
        <v>7.731308358239712</v>
      </c>
      <c r="F1004">
        <v>2.2686916417602898</v>
      </c>
      <c r="G1004">
        <v>6.9767158131770151</v>
      </c>
      <c r="H1004">
        <v>3.0232841868229832</v>
      </c>
      <c r="I1004">
        <v>386.24500885959839</v>
      </c>
      <c r="J1004">
        <v>4.9445822736299077</v>
      </c>
      <c r="K1004">
        <v>360.48393264115026</v>
      </c>
      <c r="L1004">
        <v>4.5815111625794236</v>
      </c>
      <c r="M1004">
        <v>398.54665422826304</v>
      </c>
      <c r="N1004">
        <v>4.9499911644987629</v>
      </c>
      <c r="O1004">
        <v>376.23582283761607</v>
      </c>
      <c r="P1004">
        <v>4.5864250186403428</v>
      </c>
    </row>
    <row r="1005" spans="4:16" x14ac:dyDescent="0.55000000000000004">
      <c r="D1005">
        <v>998</v>
      </c>
      <c r="E1005">
        <v>5.9204581677293806</v>
      </c>
      <c r="F1005">
        <v>4.0795418322706176</v>
      </c>
      <c r="G1005">
        <v>6.9346965432838239</v>
      </c>
      <c r="H1005">
        <v>3.0653034567161734</v>
      </c>
      <c r="I1005">
        <v>311.31025160026627</v>
      </c>
      <c r="J1005">
        <v>4.8100208472061281</v>
      </c>
      <c r="K1005">
        <v>292.66144138289559</v>
      </c>
      <c r="L1005">
        <v>4.4546341446695461</v>
      </c>
      <c r="M1005">
        <v>414.64105724593696</v>
      </c>
      <c r="N1005">
        <v>4.7774753681469004</v>
      </c>
      <c r="O1005">
        <v>391.32592955291113</v>
      </c>
      <c r="P1005">
        <v>4.4249363169039571</v>
      </c>
    </row>
    <row r="1006" spans="4:16" x14ac:dyDescent="0.55000000000000004">
      <c r="D1006">
        <v>999</v>
      </c>
      <c r="E1006">
        <v>6.6751314507628594</v>
      </c>
      <c r="F1006">
        <v>3.3248685492371415</v>
      </c>
      <c r="G1006">
        <v>6.6998602016948734</v>
      </c>
      <c r="H1006">
        <v>3.3001397983051279</v>
      </c>
      <c r="I1006">
        <v>329.20372698092103</v>
      </c>
      <c r="J1006">
        <v>4.8007750643682554</v>
      </c>
      <c r="K1006">
        <v>308.57987561736144</v>
      </c>
      <c r="L1006">
        <v>4.4464887822859573</v>
      </c>
      <c r="M1006">
        <v>380.42329801565648</v>
      </c>
      <c r="N1006">
        <v>4.8000370139120179</v>
      </c>
      <c r="O1006">
        <v>359.69036581680058</v>
      </c>
      <c r="P1006">
        <v>4.4458167445161179</v>
      </c>
    </row>
    <row r="1007" spans="4:16" x14ac:dyDescent="0.55000000000000004">
      <c r="D1007">
        <v>1000</v>
      </c>
      <c r="E1007">
        <v>7.05109633434523</v>
      </c>
      <c r="F1007">
        <v>2.94890366565477</v>
      </c>
      <c r="G1007">
        <v>6.4978850169420959</v>
      </c>
      <c r="H1007">
        <v>3.5021149830579015</v>
      </c>
      <c r="I1007">
        <v>314.14256738734008</v>
      </c>
      <c r="J1007">
        <v>4.8439160499060261</v>
      </c>
      <c r="K1007">
        <v>294.22552253352711</v>
      </c>
      <c r="L1007">
        <v>4.4870447110277487</v>
      </c>
      <c r="M1007">
        <v>339.49573016994862</v>
      </c>
      <c r="N1007">
        <v>4.8561620047990806</v>
      </c>
      <c r="O1007">
        <v>321.84364531073589</v>
      </c>
      <c r="P1007">
        <v>4.4981653045738765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" r:id="rId3" name="Button 1025">
              <controlPr defaultSize="0" print="0" autoFill="0" autoPict="0" macro="[0]!RunPSA">
                <anchor moveWithCells="1" sizeWithCells="1">
                  <from>
                    <xdr:col>1</xdr:col>
                    <xdr:colOff>640080</xdr:colOff>
                    <xdr:row>3</xdr:row>
                    <xdr:rowOff>3810</xdr:rowOff>
                  </from>
                  <to>
                    <xdr:col>3</xdr:col>
                    <xdr:colOff>1306830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3"/>
  <dimension ref="E8:BZ15"/>
  <sheetViews>
    <sheetView tabSelected="1" topLeftCell="E1" workbookViewId="0">
      <selection activeCell="F9" sqref="F9:G15"/>
    </sheetView>
  </sheetViews>
  <sheetFormatPr defaultRowHeight="14.4" x14ac:dyDescent="0.55000000000000004"/>
  <cols>
    <col min="5" max="5" width="24.7890625" customWidth="1"/>
  </cols>
  <sheetData>
    <row r="8" spans="5:78" x14ac:dyDescent="0.55000000000000004">
      <c r="E8" s="7" t="s">
        <v>98</v>
      </c>
      <c r="F8" s="7" t="str">
        <f>IF(Results!F8="","",Results!F8)</f>
        <v>SoC</v>
      </c>
      <c r="G8" s="7" t="str">
        <f>IF(Results!G8="","",Results!G8)</f>
        <v>SoC with website</v>
      </c>
      <c r="H8" s="7" t="str">
        <f>IF(Results!H8="","",Results!H8)</f>
        <v/>
      </c>
      <c r="I8" s="7" t="str">
        <f>IF(Results!I8="","",Results!I8)</f>
        <v/>
      </c>
      <c r="J8" s="7" t="str">
        <f>IF(Results!J8="","",Results!J8)</f>
        <v/>
      </c>
      <c r="K8" s="7" t="str">
        <f>IF(Results!K8="","",Results!K8)</f>
        <v/>
      </c>
      <c r="L8" s="7" t="str">
        <f>IF(Results!L8="","",Results!L8)</f>
        <v/>
      </c>
      <c r="M8" s="7" t="str">
        <f>IF(Results!M8="","",Results!M8)</f>
        <v/>
      </c>
      <c r="N8" s="7" t="str">
        <f>IF(Results!N8="","",Results!N8)</f>
        <v/>
      </c>
      <c r="O8" s="7" t="str">
        <f>IF(Results!O8="","",Results!O8)</f>
        <v/>
      </c>
      <c r="P8" s="7" t="str">
        <f>IF(Results!P8="","",Results!P8)</f>
        <v/>
      </c>
      <c r="Q8" s="7" t="str">
        <f>IF(Results!Q8="","",Results!Q8)</f>
        <v/>
      </c>
      <c r="R8" s="7" t="str">
        <f>IF(Results!R8="","",Results!R8)</f>
        <v/>
      </c>
      <c r="S8" s="7" t="str">
        <f>IF(Results!S8="","",Results!S8)</f>
        <v/>
      </c>
      <c r="T8" s="7" t="str">
        <f>IF(Results!T8="","",Results!T8)</f>
        <v/>
      </c>
      <c r="U8" s="7" t="str">
        <f>IF(Results!U8="","",Results!U8)</f>
        <v/>
      </c>
      <c r="V8" s="7" t="str">
        <f>IF(Results!V8="","",Results!V8)</f>
        <v/>
      </c>
      <c r="W8" s="7" t="str">
        <f>IF(Results!W8="","",Results!W8)</f>
        <v/>
      </c>
      <c r="X8" s="7" t="str">
        <f>IF(Results!X8="","",Results!X8)</f>
        <v/>
      </c>
      <c r="Y8" s="7" t="str">
        <f>IF(Results!Y8="","",Results!Y8)</f>
        <v/>
      </c>
      <c r="Z8" s="7" t="str">
        <f>IF(Results!Z8="","",Results!Z8)</f>
        <v/>
      </c>
      <c r="AA8" s="7" t="str">
        <f>IF(Results!AA8="","",Results!AA8)</f>
        <v/>
      </c>
      <c r="AB8" s="7" t="str">
        <f>IF(Results!AB8="","",Results!AB8)</f>
        <v/>
      </c>
      <c r="AC8" s="7" t="str">
        <f>IF(Results!AC8="","",Results!AC8)</f>
        <v/>
      </c>
      <c r="AD8" s="7" t="str">
        <f>IF(Results!AD8="","",Results!AD8)</f>
        <v/>
      </c>
      <c r="AE8" s="7" t="str">
        <f>IF(Results!AE8="","",Results!AE8)</f>
        <v/>
      </c>
      <c r="AF8" s="7" t="str">
        <f>IF(Results!AF8="","",Results!AF8)</f>
        <v/>
      </c>
      <c r="AG8" s="7" t="str">
        <f>IF(Results!AG8="","",Results!AG8)</f>
        <v/>
      </c>
      <c r="AH8" s="7" t="str">
        <f>IF(Results!AH8="","",Results!AH8)</f>
        <v/>
      </c>
      <c r="AI8" s="7" t="str">
        <f>IF(Results!AI8="","",Results!AI8)</f>
        <v/>
      </c>
      <c r="AJ8" s="7" t="str">
        <f>IF(Results!AJ8="","",Results!AJ8)</f>
        <v/>
      </c>
      <c r="AK8" s="7" t="str">
        <f>IF(Results!AK8="","",Results!AK8)</f>
        <v/>
      </c>
      <c r="AL8" s="7" t="str">
        <f>IF(Results!AL8="","",Results!AL8)</f>
        <v/>
      </c>
      <c r="AM8" s="7" t="str">
        <f>IF(Results!AM8="","",Results!AM8)</f>
        <v/>
      </c>
      <c r="AN8" s="7" t="str">
        <f>IF(Results!AN8="","",Results!AN8)</f>
        <v/>
      </c>
      <c r="AO8" s="7" t="str">
        <f>IF(Results!AO8="","",Results!AO8)</f>
        <v/>
      </c>
      <c r="AP8" s="7" t="str">
        <f>IF(Results!AP8="","",Results!AP8)</f>
        <v/>
      </c>
      <c r="AQ8" s="7" t="str">
        <f>IF(Results!AQ8="","",Results!AQ8)</f>
        <v/>
      </c>
      <c r="AR8" s="7" t="str">
        <f>IF(Results!AR8="","",Results!AR8)</f>
        <v/>
      </c>
      <c r="AS8" s="7" t="str">
        <f>IF(Results!AS8="","",Results!AS8)</f>
        <v/>
      </c>
      <c r="AT8" s="7" t="str">
        <f>IF(Results!AT8="","",Results!AT8)</f>
        <v/>
      </c>
      <c r="AU8" s="7" t="str">
        <f>IF(Results!AU8="","",Results!AU8)</f>
        <v/>
      </c>
      <c r="AV8" s="7" t="str">
        <f>IF(Results!AV8="","",Results!AV8)</f>
        <v/>
      </c>
      <c r="AW8" s="7" t="str">
        <f>IF(Results!AW8="","",Results!AW8)</f>
        <v/>
      </c>
      <c r="AX8" s="7" t="str">
        <f>IF(Results!AX8="","",Results!AX8)</f>
        <v/>
      </c>
      <c r="AY8" s="7" t="str">
        <f>IF(Results!AY8="","",Results!AY8)</f>
        <v/>
      </c>
      <c r="AZ8" s="7" t="str">
        <f>IF(Results!AZ8="","",Results!AZ8)</f>
        <v/>
      </c>
      <c r="BA8" s="7" t="str">
        <f>IF(Results!BA8="","",Results!BA8)</f>
        <v/>
      </c>
      <c r="BB8" s="7" t="str">
        <f>IF(Results!BB8="","",Results!BB8)</f>
        <v/>
      </c>
      <c r="BC8" s="7" t="str">
        <f>IF(Results!BC8="","",Results!BC8)</f>
        <v/>
      </c>
      <c r="BD8" s="7" t="str">
        <f>IF(Results!BD8="","",Results!BD8)</f>
        <v/>
      </c>
      <c r="BE8" s="7" t="str">
        <f>IF(Results!BE8="","",Results!BE8)</f>
        <v/>
      </c>
      <c r="BF8" s="7" t="str">
        <f>IF(Results!BF8="","",Results!BF8)</f>
        <v/>
      </c>
      <c r="BG8" s="7" t="str">
        <f>IF(Results!BG8="","",Results!BG8)</f>
        <v/>
      </c>
      <c r="BH8" s="7" t="str">
        <f>IF(Results!BH8="","",Results!BH8)</f>
        <v/>
      </c>
      <c r="BI8" s="7" t="str">
        <f>IF(Results!BI8="","",Results!BI8)</f>
        <v/>
      </c>
      <c r="BJ8" s="7" t="str">
        <f>IF(Results!BJ8="","",Results!BJ8)</f>
        <v/>
      </c>
      <c r="BK8" s="7" t="str">
        <f>IF(Results!BK8="","",Results!BK8)</f>
        <v/>
      </c>
      <c r="BL8" s="7" t="str">
        <f>IF(Results!BL8="","",Results!BL8)</f>
        <v/>
      </c>
      <c r="BM8" s="7" t="str">
        <f>IF(Results!BM8="","",Results!BM8)</f>
        <v/>
      </c>
      <c r="BN8" s="7" t="str">
        <f>IF(Results!BN8="","",Results!BN8)</f>
        <v/>
      </c>
      <c r="BO8" s="7" t="str">
        <f>IF(Results!BO8="","",Results!BO8)</f>
        <v/>
      </c>
      <c r="BP8" s="7" t="str">
        <f>IF(Results!BP8="","",Results!BP8)</f>
        <v/>
      </c>
      <c r="BQ8" s="7" t="str">
        <f>IF(Results!BQ8="","",Results!BQ8)</f>
        <v/>
      </c>
      <c r="BR8" s="7" t="str">
        <f>IF(Results!BR8="","",Results!BR8)</f>
        <v/>
      </c>
      <c r="BS8" s="7" t="str">
        <f>IF(Results!BS8="","",Results!BS8)</f>
        <v/>
      </c>
      <c r="BT8" s="7" t="str">
        <f>IF(Results!BT8="","",Results!BT8)</f>
        <v/>
      </c>
      <c r="BU8" s="7" t="str">
        <f>IF(Results!BU8="","",Results!BU8)</f>
        <v/>
      </c>
      <c r="BV8" s="7" t="str">
        <f>IF(Results!BV8="","",Results!BV8)</f>
        <v/>
      </c>
      <c r="BW8" s="7" t="str">
        <f>IF(Results!BW8="","",Results!BW8)</f>
        <v/>
      </c>
      <c r="BX8" s="7" t="str">
        <f>IF(Results!BX8="","",Results!BX8)</f>
        <v/>
      </c>
      <c r="BY8" s="7" t="str">
        <f>IF(Results!BY8="","",Results!BY8)</f>
        <v/>
      </c>
      <c r="BZ8" s="7" t="str">
        <f>IF(Results!BZ8="","",Results!BZ8)</f>
        <v/>
      </c>
    </row>
    <row r="9" spans="5:78" x14ac:dyDescent="0.55000000000000004">
      <c r="E9" t="s">
        <v>100</v>
      </c>
      <c r="F9" t="s">
        <v>108</v>
      </c>
      <c r="G9" t="s">
        <v>112</v>
      </c>
    </row>
    <row r="10" spans="5:78" x14ac:dyDescent="0.55000000000000004">
      <c r="E10" t="s">
        <v>101</v>
      </c>
      <c r="F10" t="s">
        <v>109</v>
      </c>
      <c r="G10" t="s">
        <v>113</v>
      </c>
    </row>
    <row r="11" spans="5:78" x14ac:dyDescent="0.55000000000000004">
      <c r="E11" t="s">
        <v>102</v>
      </c>
      <c r="F11" t="s">
        <v>110</v>
      </c>
      <c r="G11" t="s">
        <v>114</v>
      </c>
    </row>
    <row r="12" spans="5:78" x14ac:dyDescent="0.55000000000000004">
      <c r="E12" t="s">
        <v>103</v>
      </c>
      <c r="F12" t="s">
        <v>111</v>
      </c>
      <c r="G12" t="s">
        <v>115</v>
      </c>
    </row>
    <row r="13" spans="5:78" x14ac:dyDescent="0.55000000000000004">
      <c r="E13" t="s">
        <v>104</v>
      </c>
      <c r="G13" t="s">
        <v>116</v>
      </c>
      <c r="H13" t="str">
        <f t="shared" ref="H13:BS13" si="0">IF(H9&lt;&gt;"",H9-$F$9,"")</f>
        <v/>
      </c>
      <c r="I13" t="str">
        <f t="shared" si="0"/>
        <v/>
      </c>
      <c r="J13" t="str">
        <f t="shared" si="0"/>
        <v/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0"/>
        <v/>
      </c>
      <c r="V13" t="str">
        <f t="shared" si="0"/>
        <v/>
      </c>
      <c r="W13" t="str">
        <f t="shared" si="0"/>
        <v/>
      </c>
      <c r="X13" t="str">
        <f t="shared" si="0"/>
        <v/>
      </c>
      <c r="Y13" t="str">
        <f t="shared" si="0"/>
        <v/>
      </c>
      <c r="Z13" t="str">
        <f t="shared" si="0"/>
        <v/>
      </c>
      <c r="AA13" t="str">
        <f t="shared" si="0"/>
        <v/>
      </c>
      <c r="AB13" t="str">
        <f t="shared" si="0"/>
        <v/>
      </c>
      <c r="AC13" t="str">
        <f t="shared" si="0"/>
        <v/>
      </c>
      <c r="AD13" t="str">
        <f t="shared" si="0"/>
        <v/>
      </c>
      <c r="AE13" t="str">
        <f t="shared" si="0"/>
        <v/>
      </c>
      <c r="AF13" t="str">
        <f t="shared" si="0"/>
        <v/>
      </c>
      <c r="AG13" t="str">
        <f t="shared" si="0"/>
        <v/>
      </c>
      <c r="AH13" t="str">
        <f t="shared" si="0"/>
        <v/>
      </c>
      <c r="AI13" t="str">
        <f t="shared" si="0"/>
        <v/>
      </c>
      <c r="AJ13" t="str">
        <f t="shared" si="0"/>
        <v/>
      </c>
      <c r="AK13" t="str">
        <f t="shared" si="0"/>
        <v/>
      </c>
      <c r="AL13" t="str">
        <f t="shared" si="0"/>
        <v/>
      </c>
      <c r="AM13" t="str">
        <f t="shared" si="0"/>
        <v/>
      </c>
      <c r="AN13" t="str">
        <f t="shared" si="0"/>
        <v/>
      </c>
      <c r="AO13" t="str">
        <f t="shared" si="0"/>
        <v/>
      </c>
      <c r="AP13" t="str">
        <f t="shared" si="0"/>
        <v/>
      </c>
      <c r="AQ13" t="str">
        <f t="shared" si="0"/>
        <v/>
      </c>
      <c r="AR13" t="str">
        <f t="shared" si="0"/>
        <v/>
      </c>
      <c r="AS13" t="str">
        <f t="shared" si="0"/>
        <v/>
      </c>
      <c r="AT13" t="str">
        <f t="shared" si="0"/>
        <v/>
      </c>
      <c r="AU13" t="str">
        <f t="shared" si="0"/>
        <v/>
      </c>
      <c r="AV13" t="str">
        <f t="shared" si="0"/>
        <v/>
      </c>
      <c r="AW13" t="str">
        <f t="shared" si="0"/>
        <v/>
      </c>
      <c r="AX13" t="str">
        <f t="shared" si="0"/>
        <v/>
      </c>
      <c r="AY13" t="str">
        <f t="shared" si="0"/>
        <v/>
      </c>
      <c r="AZ13" t="str">
        <f t="shared" si="0"/>
        <v/>
      </c>
      <c r="BA13" t="str">
        <f t="shared" si="0"/>
        <v/>
      </c>
      <c r="BB13" t="str">
        <f t="shared" si="0"/>
        <v/>
      </c>
      <c r="BC13" t="str">
        <f t="shared" si="0"/>
        <v/>
      </c>
      <c r="BD13" t="str">
        <f t="shared" si="0"/>
        <v/>
      </c>
      <c r="BE13" t="str">
        <f t="shared" si="0"/>
        <v/>
      </c>
      <c r="BF13" t="str">
        <f t="shared" si="0"/>
        <v/>
      </c>
      <c r="BG13" t="str">
        <f t="shared" si="0"/>
        <v/>
      </c>
      <c r="BH13" t="str">
        <f t="shared" si="0"/>
        <v/>
      </c>
      <c r="BI13" t="str">
        <f t="shared" si="0"/>
        <v/>
      </c>
      <c r="BJ13" t="str">
        <f t="shared" si="0"/>
        <v/>
      </c>
      <c r="BK13" t="str">
        <f t="shared" si="0"/>
        <v/>
      </c>
      <c r="BL13" t="str">
        <f t="shared" si="0"/>
        <v/>
      </c>
      <c r="BM13" t="str">
        <f t="shared" si="0"/>
        <v/>
      </c>
      <c r="BN13" t="str">
        <f t="shared" si="0"/>
        <v/>
      </c>
      <c r="BO13" t="str">
        <f t="shared" si="0"/>
        <v/>
      </c>
      <c r="BP13" t="str">
        <f t="shared" si="0"/>
        <v/>
      </c>
      <c r="BQ13" t="str">
        <f t="shared" si="0"/>
        <v/>
      </c>
      <c r="BR13" t="str">
        <f t="shared" si="0"/>
        <v/>
      </c>
      <c r="BS13" t="str">
        <f t="shared" si="0"/>
        <v/>
      </c>
      <c r="BT13" t="str">
        <f t="shared" ref="BT13:BZ13" si="1">IF(BT9&lt;&gt;"",BT9-$F$9,"")</f>
        <v/>
      </c>
      <c r="BU13" t="str">
        <f t="shared" si="1"/>
        <v/>
      </c>
      <c r="BV13" t="str">
        <f t="shared" si="1"/>
        <v/>
      </c>
      <c r="BW13" t="str">
        <f t="shared" si="1"/>
        <v/>
      </c>
      <c r="BX13" t="str">
        <f t="shared" si="1"/>
        <v/>
      </c>
      <c r="BY13" t="str">
        <f t="shared" si="1"/>
        <v/>
      </c>
      <c r="BZ13" t="str">
        <f t="shared" si="1"/>
        <v/>
      </c>
    </row>
    <row r="14" spans="5:78" x14ac:dyDescent="0.55000000000000004">
      <c r="E14" t="s">
        <v>105</v>
      </c>
      <c r="G14" t="s">
        <v>117</v>
      </c>
      <c r="H14" t="str">
        <f t="shared" ref="H14:BS14" si="2">IF(H10&lt;&gt;"", H10-$F$10, "")</f>
        <v/>
      </c>
      <c r="I14" t="str">
        <f t="shared" si="2"/>
        <v/>
      </c>
      <c r="J14" t="str">
        <f t="shared" si="2"/>
        <v/>
      </c>
      <c r="K14" t="str">
        <f t="shared" si="2"/>
        <v/>
      </c>
      <c r="L14" t="str">
        <f t="shared" si="2"/>
        <v/>
      </c>
      <c r="M14" t="str">
        <f t="shared" si="2"/>
        <v/>
      </c>
      <c r="N14" t="str">
        <f t="shared" si="2"/>
        <v/>
      </c>
      <c r="O14" t="str">
        <f t="shared" si="2"/>
        <v/>
      </c>
      <c r="P14" t="str">
        <f t="shared" si="2"/>
        <v/>
      </c>
      <c r="Q14" t="str">
        <f t="shared" si="2"/>
        <v/>
      </c>
      <c r="R14" t="str">
        <f t="shared" si="2"/>
        <v/>
      </c>
      <c r="S14" t="str">
        <f t="shared" si="2"/>
        <v/>
      </c>
      <c r="T14" t="str">
        <f t="shared" si="2"/>
        <v/>
      </c>
      <c r="U14" t="str">
        <f t="shared" si="2"/>
        <v/>
      </c>
      <c r="V14" t="str">
        <f t="shared" si="2"/>
        <v/>
      </c>
      <c r="W14" t="str">
        <f t="shared" si="2"/>
        <v/>
      </c>
      <c r="X14" t="str">
        <f t="shared" si="2"/>
        <v/>
      </c>
      <c r="Y14" t="str">
        <f t="shared" si="2"/>
        <v/>
      </c>
      <c r="Z14" t="str">
        <f t="shared" si="2"/>
        <v/>
      </c>
      <c r="AA14" t="str">
        <f t="shared" si="2"/>
        <v/>
      </c>
      <c r="AB14" t="str">
        <f t="shared" si="2"/>
        <v/>
      </c>
      <c r="AC14" t="str">
        <f t="shared" si="2"/>
        <v/>
      </c>
      <c r="AD14" t="str">
        <f t="shared" si="2"/>
        <v/>
      </c>
      <c r="AE14" t="str">
        <f t="shared" si="2"/>
        <v/>
      </c>
      <c r="AF14" t="str">
        <f t="shared" si="2"/>
        <v/>
      </c>
      <c r="AG14" t="str">
        <f t="shared" si="2"/>
        <v/>
      </c>
      <c r="AH14" t="str">
        <f t="shared" si="2"/>
        <v/>
      </c>
      <c r="AI14" t="str">
        <f t="shared" si="2"/>
        <v/>
      </c>
      <c r="AJ14" t="str">
        <f t="shared" si="2"/>
        <v/>
      </c>
      <c r="AK14" t="str">
        <f t="shared" si="2"/>
        <v/>
      </c>
      <c r="AL14" t="str">
        <f t="shared" si="2"/>
        <v/>
      </c>
      <c r="AM14" t="str">
        <f t="shared" si="2"/>
        <v/>
      </c>
      <c r="AN14" t="str">
        <f t="shared" si="2"/>
        <v/>
      </c>
      <c r="AO14" t="str">
        <f t="shared" si="2"/>
        <v/>
      </c>
      <c r="AP14" t="str">
        <f t="shared" si="2"/>
        <v/>
      </c>
      <c r="AQ14" t="str">
        <f t="shared" si="2"/>
        <v/>
      </c>
      <c r="AR14" t="str">
        <f t="shared" si="2"/>
        <v/>
      </c>
      <c r="AS14" t="str">
        <f t="shared" si="2"/>
        <v/>
      </c>
      <c r="AT14" t="str">
        <f t="shared" si="2"/>
        <v/>
      </c>
      <c r="AU14" t="str">
        <f t="shared" si="2"/>
        <v/>
      </c>
      <c r="AV14" t="str">
        <f t="shared" si="2"/>
        <v/>
      </c>
      <c r="AW14" t="str">
        <f t="shared" si="2"/>
        <v/>
      </c>
      <c r="AX14" t="str">
        <f t="shared" si="2"/>
        <v/>
      </c>
      <c r="AY14" t="str">
        <f t="shared" si="2"/>
        <v/>
      </c>
      <c r="AZ14" t="str">
        <f t="shared" si="2"/>
        <v/>
      </c>
      <c r="BA14" t="str">
        <f t="shared" si="2"/>
        <v/>
      </c>
      <c r="BB14" t="str">
        <f t="shared" si="2"/>
        <v/>
      </c>
      <c r="BC14" t="str">
        <f t="shared" si="2"/>
        <v/>
      </c>
      <c r="BD14" t="str">
        <f t="shared" si="2"/>
        <v/>
      </c>
      <c r="BE14" t="str">
        <f t="shared" si="2"/>
        <v/>
      </c>
      <c r="BF14" t="str">
        <f t="shared" si="2"/>
        <v/>
      </c>
      <c r="BG14" t="str">
        <f t="shared" si="2"/>
        <v/>
      </c>
      <c r="BH14" t="str">
        <f t="shared" si="2"/>
        <v/>
      </c>
      <c r="BI14" t="str">
        <f t="shared" si="2"/>
        <v/>
      </c>
      <c r="BJ14" t="str">
        <f t="shared" si="2"/>
        <v/>
      </c>
      <c r="BK14" t="str">
        <f t="shared" si="2"/>
        <v/>
      </c>
      <c r="BL14" t="str">
        <f t="shared" si="2"/>
        <v/>
      </c>
      <c r="BM14" t="str">
        <f t="shared" si="2"/>
        <v/>
      </c>
      <c r="BN14" t="str">
        <f t="shared" si="2"/>
        <v/>
      </c>
      <c r="BO14" t="str">
        <f t="shared" si="2"/>
        <v/>
      </c>
      <c r="BP14" t="str">
        <f t="shared" si="2"/>
        <v/>
      </c>
      <c r="BQ14" t="str">
        <f t="shared" si="2"/>
        <v/>
      </c>
      <c r="BR14" t="str">
        <f t="shared" si="2"/>
        <v/>
      </c>
      <c r="BS14" t="str">
        <f t="shared" si="2"/>
        <v/>
      </c>
      <c r="BT14" t="str">
        <f t="shared" ref="BT14:BZ14" si="3">IF(BT10&lt;&gt;"", BT10-$F$10, "")</f>
        <v/>
      </c>
      <c r="BU14" t="str">
        <f t="shared" si="3"/>
        <v/>
      </c>
      <c r="BV14" t="str">
        <f t="shared" si="3"/>
        <v/>
      </c>
      <c r="BW14" t="str">
        <f t="shared" si="3"/>
        <v/>
      </c>
      <c r="BX14" t="str">
        <f t="shared" si="3"/>
        <v/>
      </c>
      <c r="BY14" t="str">
        <f t="shared" si="3"/>
        <v/>
      </c>
      <c r="BZ14" t="str">
        <f t="shared" si="3"/>
        <v/>
      </c>
    </row>
    <row r="15" spans="5:78" x14ac:dyDescent="0.55000000000000004">
      <c r="E15" t="s">
        <v>106</v>
      </c>
      <c r="G15" s="8">
        <v>2049.31</v>
      </c>
      <c r="H15" t="str">
        <f t="shared" ref="H15:BS15" si="4">IF(H13&lt;&gt;"", H13/H14, "")</f>
        <v/>
      </c>
      <c r="I15" t="str">
        <f t="shared" si="4"/>
        <v/>
      </c>
      <c r="J15" t="str">
        <f t="shared" si="4"/>
        <v/>
      </c>
      <c r="K15" t="str">
        <f t="shared" si="4"/>
        <v/>
      </c>
      <c r="L15" t="str">
        <f t="shared" si="4"/>
        <v/>
      </c>
      <c r="M15" t="str">
        <f t="shared" si="4"/>
        <v/>
      </c>
      <c r="N15" t="str">
        <f t="shared" si="4"/>
        <v/>
      </c>
      <c r="O15" t="str">
        <f t="shared" si="4"/>
        <v/>
      </c>
      <c r="P15" t="str">
        <f t="shared" si="4"/>
        <v/>
      </c>
      <c r="Q15" t="str">
        <f t="shared" si="4"/>
        <v/>
      </c>
      <c r="R15" t="str">
        <f t="shared" si="4"/>
        <v/>
      </c>
      <c r="S15" t="str">
        <f t="shared" si="4"/>
        <v/>
      </c>
      <c r="T15" t="str">
        <f t="shared" si="4"/>
        <v/>
      </c>
      <c r="U15" t="str">
        <f t="shared" si="4"/>
        <v/>
      </c>
      <c r="V15" t="str">
        <f t="shared" si="4"/>
        <v/>
      </c>
      <c r="W15" t="str">
        <f t="shared" si="4"/>
        <v/>
      </c>
      <c r="X15" t="str">
        <f t="shared" si="4"/>
        <v/>
      </c>
      <c r="Y15" t="str">
        <f t="shared" si="4"/>
        <v/>
      </c>
      <c r="Z15" t="str">
        <f t="shared" si="4"/>
        <v/>
      </c>
      <c r="AA15" t="str">
        <f t="shared" si="4"/>
        <v/>
      </c>
      <c r="AB15" t="str">
        <f t="shared" si="4"/>
        <v/>
      </c>
      <c r="AC15" t="str">
        <f t="shared" si="4"/>
        <v/>
      </c>
      <c r="AD15" t="str">
        <f t="shared" si="4"/>
        <v/>
      </c>
      <c r="AE15" t="str">
        <f t="shared" si="4"/>
        <v/>
      </c>
      <c r="AF15" t="str">
        <f t="shared" si="4"/>
        <v/>
      </c>
      <c r="AG15" t="str">
        <f t="shared" si="4"/>
        <v/>
      </c>
      <c r="AH15" t="str">
        <f t="shared" si="4"/>
        <v/>
      </c>
      <c r="AI15" t="str">
        <f t="shared" si="4"/>
        <v/>
      </c>
      <c r="AJ15" t="str">
        <f t="shared" si="4"/>
        <v/>
      </c>
      <c r="AK15" t="str">
        <f t="shared" si="4"/>
        <v/>
      </c>
      <c r="AL15" t="str">
        <f t="shared" si="4"/>
        <v/>
      </c>
      <c r="AM15" t="str">
        <f t="shared" si="4"/>
        <v/>
      </c>
      <c r="AN15" t="str">
        <f t="shared" si="4"/>
        <v/>
      </c>
      <c r="AO15" t="str">
        <f t="shared" si="4"/>
        <v/>
      </c>
      <c r="AP15" t="str">
        <f t="shared" si="4"/>
        <v/>
      </c>
      <c r="AQ15" t="str">
        <f t="shared" si="4"/>
        <v/>
      </c>
      <c r="AR15" t="str">
        <f t="shared" si="4"/>
        <v/>
      </c>
      <c r="AS15" t="str">
        <f t="shared" si="4"/>
        <v/>
      </c>
      <c r="AT15" t="str">
        <f t="shared" si="4"/>
        <v/>
      </c>
      <c r="AU15" t="str">
        <f t="shared" si="4"/>
        <v/>
      </c>
      <c r="AV15" t="str">
        <f t="shared" si="4"/>
        <v/>
      </c>
      <c r="AW15" t="str">
        <f t="shared" si="4"/>
        <v/>
      </c>
      <c r="AX15" t="str">
        <f t="shared" si="4"/>
        <v/>
      </c>
      <c r="AY15" t="str">
        <f t="shared" si="4"/>
        <v/>
      </c>
      <c r="AZ15" t="str">
        <f t="shared" si="4"/>
        <v/>
      </c>
      <c r="BA15" t="str">
        <f t="shared" si="4"/>
        <v/>
      </c>
      <c r="BB15" t="str">
        <f t="shared" si="4"/>
        <v/>
      </c>
      <c r="BC15" t="str">
        <f t="shared" si="4"/>
        <v/>
      </c>
      <c r="BD15" t="str">
        <f t="shared" si="4"/>
        <v/>
      </c>
      <c r="BE15" t="str">
        <f t="shared" si="4"/>
        <v/>
      </c>
      <c r="BF15" t="str">
        <f t="shared" si="4"/>
        <v/>
      </c>
      <c r="BG15" t="str">
        <f t="shared" si="4"/>
        <v/>
      </c>
      <c r="BH15" t="str">
        <f t="shared" si="4"/>
        <v/>
      </c>
      <c r="BI15" t="str">
        <f t="shared" si="4"/>
        <v/>
      </c>
      <c r="BJ15" t="str">
        <f t="shared" si="4"/>
        <v/>
      </c>
      <c r="BK15" t="str">
        <f t="shared" si="4"/>
        <v/>
      </c>
      <c r="BL15" t="str">
        <f t="shared" si="4"/>
        <v/>
      </c>
      <c r="BM15" t="str">
        <f t="shared" si="4"/>
        <v/>
      </c>
      <c r="BN15" t="str">
        <f t="shared" si="4"/>
        <v/>
      </c>
      <c r="BO15" t="str">
        <f t="shared" si="4"/>
        <v/>
      </c>
      <c r="BP15" t="str">
        <f t="shared" si="4"/>
        <v/>
      </c>
      <c r="BQ15" t="str">
        <f t="shared" si="4"/>
        <v/>
      </c>
      <c r="BR15" t="str">
        <f t="shared" si="4"/>
        <v/>
      </c>
      <c r="BS15" t="str">
        <f t="shared" si="4"/>
        <v/>
      </c>
      <c r="BT15" t="str">
        <f t="shared" ref="BT15:BZ15" si="5">IF(BT13&lt;&gt;"", BT13/BT14, "")</f>
        <v/>
      </c>
      <c r="BU15" t="str">
        <f t="shared" si="5"/>
        <v/>
      </c>
      <c r="BV15" t="str">
        <f t="shared" si="5"/>
        <v/>
      </c>
      <c r="BW15" t="str">
        <f t="shared" si="5"/>
        <v/>
      </c>
      <c r="BX15" t="str">
        <f t="shared" si="5"/>
        <v/>
      </c>
      <c r="BY15" t="str">
        <f t="shared" si="5"/>
        <v/>
      </c>
      <c r="BZ15" t="str">
        <f t="shared" si="5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input_parameters</vt:lpstr>
      <vt:lpstr>markov_trace</vt:lpstr>
      <vt:lpstr>state_costs</vt:lpstr>
      <vt:lpstr>state_qalys</vt:lpstr>
      <vt:lpstr>model_settings</vt:lpstr>
      <vt:lpstr>Results</vt:lpstr>
      <vt:lpstr>PSA</vt:lpstr>
      <vt:lpstr>Results PSA</vt:lpstr>
      <vt:lpstr>last_psa_run_samples</vt:lpstr>
      <vt:lpstr>n_cycles</vt:lpstr>
      <vt:lpstr>n_samples</vt:lpstr>
      <vt:lpstr>n_states</vt:lpstr>
      <vt:lpstr>n_treatments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Howard Thom</dc:creator>
  <cp:lastModifiedBy>Howard Thom</cp:lastModifiedBy>
  <dcterms:created xsi:type="dcterms:W3CDTF">2023-01-03T09:33:38Z</dcterms:created>
  <dcterms:modified xsi:type="dcterms:W3CDTF">2026-02-01T15:23:12Z</dcterms:modified>
</cp:coreProperties>
</file>