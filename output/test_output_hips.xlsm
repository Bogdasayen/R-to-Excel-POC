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80134" documentId="11_0333441543BEAC6F8EC5A923BA38B861DAE7DD18" xr6:coauthVersionLast="47" xr6:coauthVersionMax="47" xr10:uidLastSave="{1EF778F3-2A9B-4C4E-AF77-BF0198113E28}"/>
  <bookViews>
    <workbookView xWindow="-96" yWindow="-96" windowWidth="23232" windowHeight="12432" firstSheet="1" activeTab="7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  <sheet name="Results PSA" sheetId="14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14" i="14" l="1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BZ13" i="14"/>
  <c r="BZ15" i="14" s="1"/>
  <c r="BY13" i="14"/>
  <c r="BY15" i="14" s="1"/>
  <c r="BX13" i="14"/>
  <c r="BX15" i="14" s="1"/>
  <c r="BW13" i="14"/>
  <c r="BW15" i="14" s="1"/>
  <c r="BV13" i="14"/>
  <c r="BV15" i="14" s="1"/>
  <c r="BU13" i="14"/>
  <c r="BU15" i="14" s="1"/>
  <c r="BT13" i="14"/>
  <c r="BT15" i="14" s="1"/>
  <c r="BS13" i="14"/>
  <c r="BS15" i="14" s="1"/>
  <c r="BR13" i="14"/>
  <c r="BR15" i="14" s="1"/>
  <c r="BQ13" i="14"/>
  <c r="BQ15" i="14" s="1"/>
  <c r="BP13" i="14"/>
  <c r="BP15" i="14" s="1"/>
  <c r="BO13" i="14"/>
  <c r="BO15" i="14" s="1"/>
  <c r="BN13" i="14"/>
  <c r="BN15" i="14" s="1"/>
  <c r="BM13" i="14"/>
  <c r="BM15" i="14" s="1"/>
  <c r="BL13" i="14"/>
  <c r="BL15" i="14" s="1"/>
  <c r="BK13" i="14"/>
  <c r="BK15" i="14" s="1"/>
  <c r="BJ13" i="14"/>
  <c r="BJ15" i="14" s="1"/>
  <c r="BI13" i="14"/>
  <c r="BI15" i="14" s="1"/>
  <c r="BH13" i="14"/>
  <c r="BH15" i="14" s="1"/>
  <c r="BG13" i="14"/>
  <c r="BG15" i="14" s="1"/>
  <c r="BF13" i="14"/>
  <c r="BF15" i="14" s="1"/>
  <c r="BE13" i="14"/>
  <c r="BE15" i="14" s="1"/>
  <c r="BD13" i="14"/>
  <c r="BD15" i="14" s="1"/>
  <c r="BC13" i="14"/>
  <c r="BC15" i="14" s="1"/>
  <c r="BB13" i="14"/>
  <c r="BB15" i="14" s="1"/>
  <c r="BA13" i="14"/>
  <c r="BA15" i="14" s="1"/>
  <c r="AZ13" i="14"/>
  <c r="AZ15" i="14" s="1"/>
  <c r="AY13" i="14"/>
  <c r="AY15" i="14" s="1"/>
  <c r="AX13" i="14"/>
  <c r="AX15" i="14" s="1"/>
  <c r="AW13" i="14"/>
  <c r="AW15" i="14" s="1"/>
  <c r="AV13" i="14"/>
  <c r="AV15" i="14" s="1"/>
  <c r="AU13" i="14"/>
  <c r="AU15" i="14" s="1"/>
  <c r="AT13" i="14"/>
  <c r="AT15" i="14" s="1"/>
  <c r="AS13" i="14"/>
  <c r="AS15" i="14" s="1"/>
  <c r="AR13" i="14"/>
  <c r="AR15" i="14" s="1"/>
  <c r="AQ13" i="14"/>
  <c r="AQ15" i="14" s="1"/>
  <c r="AP13" i="14"/>
  <c r="AP15" i="14" s="1"/>
  <c r="AO13" i="14"/>
  <c r="AO15" i="14" s="1"/>
  <c r="AN13" i="14"/>
  <c r="AN15" i="14" s="1"/>
  <c r="AM13" i="14"/>
  <c r="AM15" i="14" s="1"/>
  <c r="AL13" i="14"/>
  <c r="AL15" i="14" s="1"/>
  <c r="AK13" i="14"/>
  <c r="AK15" i="14" s="1"/>
  <c r="AJ13" i="14"/>
  <c r="AJ15" i="14" s="1"/>
  <c r="AI13" i="14"/>
  <c r="AI15" i="14" s="1"/>
  <c r="AH13" i="14"/>
  <c r="AH15" i="14" s="1"/>
  <c r="AG13" i="14"/>
  <c r="AG15" i="14" s="1"/>
  <c r="AF13" i="14"/>
  <c r="AF15" i="14" s="1"/>
  <c r="AE13" i="14"/>
  <c r="AE15" i="14" s="1"/>
  <c r="AD13" i="14"/>
  <c r="AD15" i="14" s="1"/>
  <c r="AC13" i="14"/>
  <c r="AC15" i="14" s="1"/>
  <c r="AB13" i="14"/>
  <c r="AB15" i="14" s="1"/>
  <c r="AA13" i="14"/>
  <c r="AA15" i="14" s="1"/>
  <c r="Z13" i="14"/>
  <c r="Z15" i="14" s="1"/>
  <c r="Y13" i="14"/>
  <c r="Y15" i="14" s="1"/>
  <c r="X13" i="14"/>
  <c r="X15" i="14" s="1"/>
  <c r="W13" i="14"/>
  <c r="W15" i="14" s="1"/>
  <c r="V13" i="14"/>
  <c r="V15" i="14" s="1"/>
  <c r="U13" i="14"/>
  <c r="U15" i="14" s="1"/>
  <c r="T13" i="14"/>
  <c r="T15" i="14" s="1"/>
  <c r="S13" i="14"/>
  <c r="S15" i="14" s="1"/>
  <c r="R13" i="14"/>
  <c r="R15" i="14" s="1"/>
  <c r="Q13" i="14"/>
  <c r="Q15" i="14" s="1"/>
  <c r="P13" i="14"/>
  <c r="P15" i="14" s="1"/>
  <c r="O13" i="14"/>
  <c r="O15" i="14" s="1"/>
  <c r="N13" i="14"/>
  <c r="N15" i="14" s="1"/>
  <c r="M13" i="14"/>
  <c r="M15" i="14" s="1"/>
  <c r="L13" i="14"/>
  <c r="L15" i="14" s="1"/>
  <c r="K13" i="14"/>
  <c r="K15" i="14" s="1"/>
  <c r="J13" i="14"/>
  <c r="J15" i="14" s="1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BZ7" i="7"/>
  <c r="BY7" i="7"/>
  <c r="BX7" i="7"/>
  <c r="BW7" i="7"/>
  <c r="BV7" i="7"/>
  <c r="BU7" i="7"/>
  <c r="BT7" i="7"/>
  <c r="BS7" i="7"/>
  <c r="BR7" i="7"/>
  <c r="BQ7" i="7"/>
  <c r="BP7" i="7"/>
  <c r="BO7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BZ2" i="7"/>
  <c r="BY2" i="7"/>
  <c r="BX2" i="7"/>
  <c r="BW2" i="7"/>
  <c r="BV2" i="7"/>
  <c r="BU2" i="7"/>
  <c r="BT2" i="7"/>
  <c r="BS2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G2" i="7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O30" i="9"/>
  <c r="O29" i="9"/>
  <c r="O28" i="9"/>
  <c r="O27" i="9"/>
  <c r="O26" i="9"/>
  <c r="T9" i="11" s="1"/>
  <c r="O25" i="9"/>
  <c r="K9" i="11" s="1"/>
  <c r="O24" i="9"/>
  <c r="N9" i="11" s="1"/>
  <c r="O23" i="9"/>
  <c r="I9" i="11" s="1"/>
  <c r="O22" i="9"/>
  <c r="S9" i="10" s="1"/>
  <c r="O21" i="9"/>
  <c r="O20" i="9"/>
  <c r="Q9" i="10" s="1"/>
  <c r="O19" i="9"/>
  <c r="M9" i="10" s="1"/>
  <c r="O18" i="9"/>
  <c r="I9" i="10" s="1"/>
  <c r="O17" i="9"/>
  <c r="E9" i="10" s="1"/>
  <c r="O16" i="9"/>
  <c r="O15" i="9"/>
  <c r="O14" i="9"/>
  <c r="O13" i="9"/>
  <c r="O12" i="9"/>
  <c r="O11" i="9"/>
  <c r="O10" i="9"/>
  <c r="O9" i="9"/>
  <c r="T10" i="8" l="1"/>
  <c r="P10" i="8"/>
  <c r="F10" i="8"/>
  <c r="F11" i="8" s="1"/>
  <c r="R10" i="8"/>
  <c r="Q10" i="8"/>
  <c r="O10" i="8"/>
  <c r="I10" i="8"/>
  <c r="U10" i="8"/>
  <c r="N10" i="8"/>
  <c r="N11" i="8" s="1"/>
  <c r="K10" i="8"/>
  <c r="S10" i="8"/>
  <c r="R11" i="8"/>
  <c r="J10" i="8"/>
  <c r="G9" i="10"/>
  <c r="Q9" i="11"/>
  <c r="R9" i="11"/>
  <c r="N9" i="10"/>
  <c r="J9" i="10"/>
  <c r="L10" i="8"/>
  <c r="K9" i="10"/>
  <c r="S9" i="11"/>
  <c r="M10" i="8"/>
  <c r="O9" i="10"/>
  <c r="R9" i="10"/>
  <c r="AJ9" i="8" s="1"/>
  <c r="E9" i="11"/>
  <c r="F9" i="11"/>
  <c r="L9" i="11"/>
  <c r="P9" i="11"/>
  <c r="G9" i="11"/>
  <c r="H9" i="11"/>
  <c r="G10" i="8"/>
  <c r="J9" i="11"/>
  <c r="AC9" i="8" s="1"/>
  <c r="H10" i="8"/>
  <c r="M9" i="11"/>
  <c r="F9" i="10"/>
  <c r="O9" i="11"/>
  <c r="T11" i="8" l="1"/>
  <c r="X9" i="8"/>
  <c r="Q11" i="8"/>
  <c r="AE10" i="8"/>
  <c r="AB9" i="8"/>
  <c r="H11" i="8"/>
  <c r="U11" i="8"/>
  <c r="AD10" i="8"/>
  <c r="Y9" i="8"/>
  <c r="AJ10" i="8"/>
  <c r="S11" i="8"/>
  <c r="AK10" i="8"/>
  <c r="O11" i="8"/>
  <c r="G11" i="8"/>
  <c r="G12" i="8" s="1"/>
  <c r="L11" i="8"/>
  <c r="P11" i="8"/>
  <c r="V10" i="8"/>
  <c r="Y10" i="8"/>
  <c r="F12" i="8"/>
  <c r="N12" i="8"/>
  <c r="J11" i="8"/>
  <c r="AC10" i="8"/>
  <c r="AB10" i="8"/>
  <c r="AA10" i="8"/>
  <c r="Z10" i="8"/>
  <c r="AH9" i="8"/>
  <c r="AD9" i="8"/>
  <c r="AI9" i="8"/>
  <c r="W9" i="8"/>
  <c r="AF9" i="8"/>
  <c r="AA9" i="8"/>
  <c r="M11" i="8"/>
  <c r="K11" i="8"/>
  <c r="AH10" i="8"/>
  <c r="W10" i="8"/>
  <c r="Z9" i="8"/>
  <c r="V9" i="8"/>
  <c r="AI10" i="8"/>
  <c r="AG9" i="8"/>
  <c r="AE9" i="8"/>
  <c r="AF10" i="8"/>
  <c r="R12" i="8"/>
  <c r="AG10" i="8"/>
  <c r="X10" i="8"/>
  <c r="I11" i="8"/>
  <c r="AK9" i="8"/>
  <c r="AI11" i="8" l="1"/>
  <c r="K12" i="8"/>
  <c r="S12" i="8"/>
  <c r="S13" i="8" s="1"/>
  <c r="Q12" i="8"/>
  <c r="AJ11" i="8"/>
  <c r="AH11" i="8"/>
  <c r="U12" i="8"/>
  <c r="T12" i="8"/>
  <c r="T13" i="8" s="1"/>
  <c r="T14" i="8" s="1"/>
  <c r="AK11" i="8"/>
  <c r="P12" i="8"/>
  <c r="O12" i="8"/>
  <c r="O13" i="8" s="1"/>
  <c r="AD11" i="8"/>
  <c r="I12" i="8"/>
  <c r="AF11" i="8"/>
  <c r="V11" i="8"/>
  <c r="H12" i="8"/>
  <c r="H13" i="8" s="1"/>
  <c r="AE11" i="8"/>
  <c r="G13" i="8"/>
  <c r="AG11" i="8"/>
  <c r="W11" i="8"/>
  <c r="X11" i="8"/>
  <c r="Y11" i="8"/>
  <c r="F13" i="8"/>
  <c r="L12" i="8"/>
  <c r="N13" i="8"/>
  <c r="M12" i="8"/>
  <c r="J12" i="8"/>
  <c r="AB11" i="8"/>
  <c r="AA11" i="8"/>
  <c r="Z11" i="8"/>
  <c r="AC11" i="8"/>
  <c r="R13" i="8"/>
  <c r="K13" i="8" l="1"/>
  <c r="L13" i="8"/>
  <c r="AJ12" i="8"/>
  <c r="AI12" i="8"/>
  <c r="U13" i="8"/>
  <c r="U14" i="8" s="1"/>
  <c r="AH12" i="8"/>
  <c r="I13" i="8"/>
  <c r="I14" i="8" s="1"/>
  <c r="Q13" i="8"/>
  <c r="P13" i="8"/>
  <c r="P14" i="8" s="1"/>
  <c r="W12" i="8"/>
  <c r="AE12" i="8"/>
  <c r="AF12" i="8"/>
  <c r="AD12" i="8"/>
  <c r="AG12" i="8"/>
  <c r="X12" i="8"/>
  <c r="AK12" i="8"/>
  <c r="O14" i="8"/>
  <c r="H14" i="8"/>
  <c r="V12" i="8"/>
  <c r="Y12" i="8"/>
  <c r="R14" i="8"/>
  <c r="AK13" i="8"/>
  <c r="AI13" i="8"/>
  <c r="F14" i="8"/>
  <c r="S14" i="8"/>
  <c r="AA12" i="8"/>
  <c r="AC12" i="8"/>
  <c r="J13" i="8"/>
  <c r="AB12" i="8"/>
  <c r="Z12" i="8"/>
  <c r="N14" i="8"/>
  <c r="M13" i="8"/>
  <c r="G14" i="8"/>
  <c r="L14" i="8" l="1"/>
  <c r="K14" i="8"/>
  <c r="AJ13" i="8"/>
  <c r="AH13" i="8"/>
  <c r="AG13" i="8"/>
  <c r="AE13" i="8"/>
  <c r="Y13" i="8"/>
  <c r="P15" i="8"/>
  <c r="V13" i="8"/>
  <c r="W13" i="8"/>
  <c r="AF13" i="8"/>
  <c r="X13" i="8"/>
  <c r="Q14" i="8"/>
  <c r="AF14" i="8" s="1"/>
  <c r="AD13" i="8"/>
  <c r="G15" i="8"/>
  <c r="U15" i="8"/>
  <c r="N15" i="8"/>
  <c r="AB13" i="8"/>
  <c r="Z13" i="8"/>
  <c r="AA13" i="8"/>
  <c r="J14" i="8"/>
  <c r="K15" i="8" s="1"/>
  <c r="AC13" i="8"/>
  <c r="O15" i="8"/>
  <c r="M14" i="8"/>
  <c r="W14" i="8"/>
  <c r="Y14" i="8"/>
  <c r="X14" i="8"/>
  <c r="V14" i="8"/>
  <c r="F15" i="8"/>
  <c r="I15" i="8"/>
  <c r="S15" i="8"/>
  <c r="T15" i="8"/>
  <c r="H15" i="8"/>
  <c r="AI14" i="8"/>
  <c r="AK14" i="8"/>
  <c r="R15" i="8"/>
  <c r="AJ14" i="8"/>
  <c r="AH14" i="8"/>
  <c r="L15" i="8" l="1"/>
  <c r="AD14" i="8"/>
  <c r="AE14" i="8"/>
  <c r="G16" i="8"/>
  <c r="AG14" i="8"/>
  <c r="Q15" i="8"/>
  <c r="AE15" i="8" s="1"/>
  <c r="H16" i="8"/>
  <c r="T16" i="8"/>
  <c r="U16" i="8"/>
  <c r="M15" i="8"/>
  <c r="M16" i="8" s="1"/>
  <c r="S16" i="8"/>
  <c r="N16" i="8"/>
  <c r="L16" i="8"/>
  <c r="I16" i="8"/>
  <c r="J15" i="8"/>
  <c r="K16" i="8" s="1"/>
  <c r="AC14" i="8"/>
  <c r="AB14" i="8"/>
  <c r="AA14" i="8"/>
  <c r="Z14" i="8"/>
  <c r="X15" i="8"/>
  <c r="V15" i="8"/>
  <c r="Y15" i="8"/>
  <c r="W15" i="8"/>
  <c r="F16" i="8"/>
  <c r="O16" i="8"/>
  <c r="P16" i="8"/>
  <c r="AJ15" i="8"/>
  <c r="AH15" i="8"/>
  <c r="AI15" i="8"/>
  <c r="R16" i="8"/>
  <c r="AK15" i="8"/>
  <c r="Q16" i="8" l="1"/>
  <c r="Q17" i="8" s="1"/>
  <c r="AG15" i="8"/>
  <c r="T17" i="8"/>
  <c r="AF15" i="8"/>
  <c r="H17" i="8"/>
  <c r="G17" i="8"/>
  <c r="AD15" i="8"/>
  <c r="O17" i="8"/>
  <c r="R17" i="8"/>
  <c r="AK16" i="8"/>
  <c r="AJ16" i="8"/>
  <c r="AI16" i="8"/>
  <c r="AH16" i="8"/>
  <c r="P17" i="8"/>
  <c r="U17" i="8"/>
  <c r="AE16" i="8"/>
  <c r="AG16" i="8"/>
  <c r="AF16" i="8"/>
  <c r="AD16" i="8"/>
  <c r="N17" i="8"/>
  <c r="L17" i="8"/>
  <c r="F17" i="8"/>
  <c r="V16" i="8"/>
  <c r="Y16" i="8"/>
  <c r="X16" i="8"/>
  <c r="W16" i="8"/>
  <c r="AA15" i="8"/>
  <c r="AC15" i="8"/>
  <c r="AB15" i="8"/>
  <c r="Z15" i="8"/>
  <c r="J16" i="8"/>
  <c r="M17" i="8" s="1"/>
  <c r="S17" i="8"/>
  <c r="I17" i="8"/>
  <c r="H18" i="8" l="1"/>
  <c r="U18" i="8"/>
  <c r="I18" i="8"/>
  <c r="O18" i="8"/>
  <c r="P18" i="8"/>
  <c r="S18" i="8"/>
  <c r="T18" i="8"/>
  <c r="W17" i="8"/>
  <c r="Y17" i="8"/>
  <c r="X17" i="8"/>
  <c r="V17" i="8"/>
  <c r="F18" i="8"/>
  <c r="K17" i="8"/>
  <c r="L18" i="8" s="1"/>
  <c r="Q18" i="8"/>
  <c r="G18" i="8"/>
  <c r="AF17" i="8"/>
  <c r="AD17" i="8"/>
  <c r="AG17" i="8"/>
  <c r="AE17" i="8"/>
  <c r="N18" i="8"/>
  <c r="AI17" i="8"/>
  <c r="AK17" i="8"/>
  <c r="AJ17" i="8"/>
  <c r="AH17" i="8"/>
  <c r="R18" i="8"/>
  <c r="AB16" i="8"/>
  <c r="Z16" i="8"/>
  <c r="AC16" i="8"/>
  <c r="AA16" i="8"/>
  <c r="J17" i="8"/>
  <c r="P19" i="8" l="1"/>
  <c r="T19" i="8"/>
  <c r="S19" i="8"/>
  <c r="N19" i="8"/>
  <c r="AD18" i="8"/>
  <c r="AG18" i="8"/>
  <c r="AF18" i="8"/>
  <c r="AE18" i="8"/>
  <c r="X18" i="8"/>
  <c r="V18" i="8"/>
  <c r="Y18" i="8"/>
  <c r="W18" i="8"/>
  <c r="F19" i="8"/>
  <c r="G19" i="8"/>
  <c r="H19" i="8"/>
  <c r="I19" i="8"/>
  <c r="J18" i="8"/>
  <c r="Z17" i="8"/>
  <c r="AC17" i="8"/>
  <c r="AB17" i="8"/>
  <c r="AA17" i="8"/>
  <c r="Q19" i="8"/>
  <c r="O19" i="8"/>
  <c r="AJ18" i="8"/>
  <c r="AH18" i="8"/>
  <c r="AK18" i="8"/>
  <c r="AI18" i="8"/>
  <c r="R19" i="8"/>
  <c r="U19" i="8"/>
  <c r="K18" i="8"/>
  <c r="M18" i="8"/>
  <c r="T20" i="8" l="1"/>
  <c r="K19" i="8"/>
  <c r="M19" i="8"/>
  <c r="O20" i="8"/>
  <c r="U20" i="8"/>
  <c r="H20" i="8"/>
  <c r="F20" i="8"/>
  <c r="Y19" i="8"/>
  <c r="X19" i="8"/>
  <c r="W19" i="8"/>
  <c r="V19" i="8"/>
  <c r="R20" i="8"/>
  <c r="AH19" i="8"/>
  <c r="AK19" i="8"/>
  <c r="AJ19" i="8"/>
  <c r="AI19" i="8"/>
  <c r="P20" i="8"/>
  <c r="I20" i="8"/>
  <c r="L19" i="8"/>
  <c r="L20" i="8" s="1"/>
  <c r="Q20" i="8"/>
  <c r="AA18" i="8"/>
  <c r="AC18" i="8"/>
  <c r="AB18" i="8"/>
  <c r="Z18" i="8"/>
  <c r="J19" i="8"/>
  <c r="S20" i="8"/>
  <c r="G20" i="8"/>
  <c r="AE19" i="8"/>
  <c r="AG19" i="8"/>
  <c r="AF19" i="8"/>
  <c r="AD19" i="8"/>
  <c r="N20" i="8"/>
  <c r="P21" i="8" l="1"/>
  <c r="H21" i="8"/>
  <c r="I21" i="8"/>
  <c r="U21" i="8"/>
  <c r="AB19" i="8"/>
  <c r="Z19" i="8"/>
  <c r="AC19" i="8"/>
  <c r="AA19" i="8"/>
  <c r="J20" i="8"/>
  <c r="AG20" i="8"/>
  <c r="AF20" i="8"/>
  <c r="AD20" i="8"/>
  <c r="AE20" i="8"/>
  <c r="N21" i="8"/>
  <c r="K20" i="8"/>
  <c r="W20" i="8"/>
  <c r="Y20" i="8"/>
  <c r="F21" i="8"/>
  <c r="X20" i="8"/>
  <c r="V20" i="8"/>
  <c r="G21" i="8"/>
  <c r="G22" i="8" s="1"/>
  <c r="M20" i="8"/>
  <c r="AI20" i="8"/>
  <c r="AK20" i="8"/>
  <c r="AJ20" i="8"/>
  <c r="AH20" i="8"/>
  <c r="R21" i="8"/>
  <c r="Q21" i="8"/>
  <c r="S21" i="8"/>
  <c r="T21" i="8"/>
  <c r="O21" i="8"/>
  <c r="T22" i="8" l="1"/>
  <c r="K21" i="8"/>
  <c r="S22" i="8"/>
  <c r="I22" i="8"/>
  <c r="J21" i="8"/>
  <c r="AC20" i="8"/>
  <c r="AB20" i="8"/>
  <c r="AA20" i="8"/>
  <c r="Z20" i="8"/>
  <c r="O22" i="8"/>
  <c r="P22" i="8"/>
  <c r="M21" i="8"/>
  <c r="N22" i="8"/>
  <c r="AG21" i="8"/>
  <c r="AF21" i="8"/>
  <c r="AE21" i="8"/>
  <c r="AD21" i="8"/>
  <c r="H22" i="8"/>
  <c r="H23" i="8" s="1"/>
  <c r="Y21" i="8"/>
  <c r="X21" i="8"/>
  <c r="V21" i="8"/>
  <c r="W21" i="8"/>
  <c r="F22" i="8"/>
  <c r="L21" i="8"/>
  <c r="L22" i="8" s="1"/>
  <c r="Q22" i="8"/>
  <c r="AK21" i="8"/>
  <c r="AJ21" i="8"/>
  <c r="AH21" i="8"/>
  <c r="AI21" i="8"/>
  <c r="R22" i="8"/>
  <c r="U22" i="8"/>
  <c r="M22" i="8" l="1"/>
  <c r="S23" i="8"/>
  <c r="T23" i="8"/>
  <c r="U23" i="8"/>
  <c r="P23" i="8"/>
  <c r="AE22" i="8"/>
  <c r="AG22" i="8"/>
  <c r="AF22" i="8"/>
  <c r="AD22" i="8"/>
  <c r="N23" i="8"/>
  <c r="F23" i="8"/>
  <c r="Y22" i="8"/>
  <c r="X22" i="8"/>
  <c r="W22" i="8"/>
  <c r="V22" i="8"/>
  <c r="AA21" i="8"/>
  <c r="AC21" i="8"/>
  <c r="AB21" i="8"/>
  <c r="Z21" i="8"/>
  <c r="J22" i="8"/>
  <c r="I23" i="8"/>
  <c r="O23" i="8"/>
  <c r="R23" i="8"/>
  <c r="AJ22" i="8"/>
  <c r="AI22" i="8"/>
  <c r="AH22" i="8"/>
  <c r="AK22" i="8"/>
  <c r="Q23" i="8"/>
  <c r="G23" i="8"/>
  <c r="H24" i="8" s="1"/>
  <c r="K22" i="8"/>
  <c r="M23" i="8" l="1"/>
  <c r="T24" i="8"/>
  <c r="U24" i="8"/>
  <c r="O24" i="8"/>
  <c r="K23" i="8"/>
  <c r="W23" i="8"/>
  <c r="Y23" i="8"/>
  <c r="X23" i="8"/>
  <c r="V23" i="8"/>
  <c r="F24" i="8"/>
  <c r="L23" i="8"/>
  <c r="L24" i="8" s="1"/>
  <c r="P24" i="8"/>
  <c r="AG23" i="8"/>
  <c r="AF23" i="8"/>
  <c r="AD23" i="8"/>
  <c r="N24" i="8"/>
  <c r="AE23" i="8"/>
  <c r="I24" i="8"/>
  <c r="G24" i="8"/>
  <c r="H25" i="8" s="1"/>
  <c r="AC22" i="8"/>
  <c r="AB22" i="8"/>
  <c r="Z22" i="8"/>
  <c r="AA22" i="8"/>
  <c r="J23" i="8"/>
  <c r="Q24" i="8"/>
  <c r="AI23" i="8"/>
  <c r="AK23" i="8"/>
  <c r="AJ23" i="8"/>
  <c r="AH23" i="8"/>
  <c r="R24" i="8"/>
  <c r="S24" i="8"/>
  <c r="P25" i="8" l="1"/>
  <c r="S25" i="8"/>
  <c r="O25" i="8"/>
  <c r="Y24" i="8"/>
  <c r="X24" i="8"/>
  <c r="V24" i="8"/>
  <c r="W24" i="8"/>
  <c r="F25" i="8"/>
  <c r="J24" i="8"/>
  <c r="Z23" i="8"/>
  <c r="AC23" i="8"/>
  <c r="AB23" i="8"/>
  <c r="AA23" i="8"/>
  <c r="K24" i="8"/>
  <c r="L25" i="8" s="1"/>
  <c r="I25" i="8"/>
  <c r="N25" i="8"/>
  <c r="AG24" i="8"/>
  <c r="AF24" i="8"/>
  <c r="AE24" i="8"/>
  <c r="AD24" i="8"/>
  <c r="AK24" i="8"/>
  <c r="AJ24" i="8"/>
  <c r="AH24" i="8"/>
  <c r="R25" i="8"/>
  <c r="S26" i="8" s="1"/>
  <c r="AI24" i="8"/>
  <c r="T25" i="8"/>
  <c r="U25" i="8"/>
  <c r="G25" i="8"/>
  <c r="Q25" i="8"/>
  <c r="M24" i="8"/>
  <c r="P26" i="8" l="1"/>
  <c r="T26" i="8"/>
  <c r="T27" i="8" s="1"/>
  <c r="G26" i="8"/>
  <c r="O26" i="8"/>
  <c r="Q26" i="8"/>
  <c r="U26" i="8"/>
  <c r="AA24" i="8"/>
  <c r="AC24" i="8"/>
  <c r="AB24" i="8"/>
  <c r="Z24" i="8"/>
  <c r="J25" i="8"/>
  <c r="AE25" i="8"/>
  <c r="AG25" i="8"/>
  <c r="AF25" i="8"/>
  <c r="AD25" i="8"/>
  <c r="N26" i="8"/>
  <c r="F26" i="8"/>
  <c r="W25" i="8"/>
  <c r="V25" i="8"/>
  <c r="Y25" i="8"/>
  <c r="X25" i="8"/>
  <c r="M25" i="8"/>
  <c r="I26" i="8"/>
  <c r="R26" i="8"/>
  <c r="AK25" i="8"/>
  <c r="AJ25" i="8"/>
  <c r="AI25" i="8"/>
  <c r="AH25" i="8"/>
  <c r="K25" i="8"/>
  <c r="H26" i="8"/>
  <c r="P27" i="8" l="1"/>
  <c r="O27" i="8"/>
  <c r="I27" i="8"/>
  <c r="H27" i="8"/>
  <c r="M26" i="8"/>
  <c r="U27" i="8"/>
  <c r="Q27" i="8"/>
  <c r="K26" i="8"/>
  <c r="L26" i="8"/>
  <c r="AC25" i="8"/>
  <c r="AB25" i="8"/>
  <c r="Z25" i="8"/>
  <c r="J26" i="8"/>
  <c r="AA25" i="8"/>
  <c r="W26" i="8"/>
  <c r="Y26" i="8"/>
  <c r="X26" i="8"/>
  <c r="V26" i="8"/>
  <c r="F27" i="8"/>
  <c r="AI26" i="8"/>
  <c r="AK26" i="8"/>
  <c r="R27" i="8"/>
  <c r="AJ26" i="8"/>
  <c r="AH26" i="8"/>
  <c r="G27" i="8"/>
  <c r="S27" i="8"/>
  <c r="AG26" i="8"/>
  <c r="AF26" i="8"/>
  <c r="AD26" i="8"/>
  <c r="AE26" i="8"/>
  <c r="N27" i="8"/>
  <c r="P28" i="8" l="1"/>
  <c r="K27" i="8"/>
  <c r="L27" i="8"/>
  <c r="J27" i="8"/>
  <c r="AC26" i="8"/>
  <c r="AB26" i="8"/>
  <c r="AA26" i="8"/>
  <c r="Z26" i="8"/>
  <c r="AK27" i="8"/>
  <c r="AJ27" i="8"/>
  <c r="AH27" i="8"/>
  <c r="AI27" i="8"/>
  <c r="R28" i="8"/>
  <c r="N28" i="8"/>
  <c r="AG27" i="8"/>
  <c r="AF27" i="8"/>
  <c r="AE27" i="8"/>
  <c r="AD27" i="8"/>
  <c r="Y27" i="8"/>
  <c r="X27" i="8"/>
  <c r="V27" i="8"/>
  <c r="F28" i="8"/>
  <c r="W27" i="8"/>
  <c r="I28" i="8"/>
  <c r="U28" i="8"/>
  <c r="Q28" i="8"/>
  <c r="S28" i="8"/>
  <c r="T28" i="8"/>
  <c r="M27" i="8"/>
  <c r="M28" i="8" s="1"/>
  <c r="O28" i="8"/>
  <c r="G28" i="8"/>
  <c r="H28" i="8"/>
  <c r="L28" i="8" l="1"/>
  <c r="I29" i="8"/>
  <c r="H29" i="8"/>
  <c r="U29" i="8"/>
  <c r="T29" i="8"/>
  <c r="O29" i="8"/>
  <c r="P29" i="8"/>
  <c r="AA27" i="8"/>
  <c r="AC27" i="8"/>
  <c r="J28" i="8"/>
  <c r="AB27" i="8"/>
  <c r="Z27" i="8"/>
  <c r="R29" i="8"/>
  <c r="AK28" i="8"/>
  <c r="AJ28" i="8"/>
  <c r="AI28" i="8"/>
  <c r="AH28" i="8"/>
  <c r="F29" i="8"/>
  <c r="Y28" i="8"/>
  <c r="X28" i="8"/>
  <c r="W28" i="8"/>
  <c r="V28" i="8"/>
  <c r="G29" i="8"/>
  <c r="G30" i="8" s="1"/>
  <c r="S29" i="8"/>
  <c r="T30" i="8" s="1"/>
  <c r="Q29" i="8"/>
  <c r="AE28" i="8"/>
  <c r="AG28" i="8"/>
  <c r="AD28" i="8"/>
  <c r="N29" i="8"/>
  <c r="AF28" i="8"/>
  <c r="K28" i="8"/>
  <c r="M29" i="8" l="1"/>
  <c r="P30" i="8"/>
  <c r="H30" i="8"/>
  <c r="H31" i="8" s="1"/>
  <c r="K29" i="8"/>
  <c r="AC28" i="8"/>
  <c r="AB28" i="8"/>
  <c r="Z28" i="8"/>
  <c r="AA28" i="8"/>
  <c r="J29" i="8"/>
  <c r="AI29" i="8"/>
  <c r="AK29" i="8"/>
  <c r="AJ29" i="8"/>
  <c r="AH29" i="8"/>
  <c r="R30" i="8"/>
  <c r="L29" i="8"/>
  <c r="O30" i="8"/>
  <c r="AG29" i="8"/>
  <c r="AF29" i="8"/>
  <c r="AD29" i="8"/>
  <c r="AE29" i="8"/>
  <c r="N30" i="8"/>
  <c r="U30" i="8"/>
  <c r="W29" i="8"/>
  <c r="Y29" i="8"/>
  <c r="F30" i="8"/>
  <c r="G31" i="8" s="1"/>
  <c r="X29" i="8"/>
  <c r="V29" i="8"/>
  <c r="Q30" i="8"/>
  <c r="S30" i="8"/>
  <c r="I30" i="8"/>
  <c r="P31" i="8" l="1"/>
  <c r="K30" i="8"/>
  <c r="L30" i="8"/>
  <c r="U31" i="8"/>
  <c r="S31" i="8"/>
  <c r="I31" i="8"/>
  <c r="J30" i="8"/>
  <c r="AC29" i="8"/>
  <c r="AB29" i="8"/>
  <c r="AA29" i="8"/>
  <c r="Z29" i="8"/>
  <c r="H32" i="8"/>
  <c r="N31" i="8"/>
  <c r="AG30" i="8"/>
  <c r="AF30" i="8"/>
  <c r="AE30" i="8"/>
  <c r="AD30" i="8"/>
  <c r="Q31" i="8"/>
  <c r="O31" i="8"/>
  <c r="Y30" i="8"/>
  <c r="X30" i="8"/>
  <c r="V30" i="8"/>
  <c r="W30" i="8"/>
  <c r="F31" i="8"/>
  <c r="G32" i="8" s="1"/>
  <c r="AK30" i="8"/>
  <c r="AJ30" i="8"/>
  <c r="AH30" i="8"/>
  <c r="AI30" i="8"/>
  <c r="R31" i="8"/>
  <c r="M30" i="8"/>
  <c r="T31" i="8"/>
  <c r="S32" i="8" l="1"/>
  <c r="T32" i="8"/>
  <c r="L31" i="8"/>
  <c r="M31" i="8"/>
  <c r="I32" i="8"/>
  <c r="H33" i="8"/>
  <c r="O32" i="8"/>
  <c r="U32" i="8"/>
  <c r="AA30" i="8"/>
  <c r="AC30" i="8"/>
  <c r="AB30" i="8"/>
  <c r="Z30" i="8"/>
  <c r="J31" i="8"/>
  <c r="K31" i="8"/>
  <c r="Q32" i="8"/>
  <c r="R32" i="8"/>
  <c r="AJ31" i="8"/>
  <c r="AI31" i="8"/>
  <c r="AH31" i="8"/>
  <c r="AK31" i="8"/>
  <c r="F32" i="8"/>
  <c r="Y31" i="8"/>
  <c r="X31" i="8"/>
  <c r="W31" i="8"/>
  <c r="V31" i="8"/>
  <c r="AE31" i="8"/>
  <c r="AG31" i="8"/>
  <c r="AF31" i="8"/>
  <c r="AD31" i="8"/>
  <c r="N32" i="8"/>
  <c r="P32" i="8"/>
  <c r="T33" i="8" l="1"/>
  <c r="P33" i="8"/>
  <c r="K32" i="8"/>
  <c r="W32" i="8"/>
  <c r="Y32" i="8"/>
  <c r="X32" i="8"/>
  <c r="V32" i="8"/>
  <c r="F33" i="8"/>
  <c r="AI32" i="8"/>
  <c r="AK32" i="8"/>
  <c r="AH32" i="8"/>
  <c r="AJ32" i="8"/>
  <c r="R33" i="8"/>
  <c r="L32" i="8"/>
  <c r="S33" i="8"/>
  <c r="AC31" i="8"/>
  <c r="AB31" i="8"/>
  <c r="Z31" i="8"/>
  <c r="AA31" i="8"/>
  <c r="J32" i="8"/>
  <c r="AG32" i="8"/>
  <c r="AF32" i="8"/>
  <c r="AD32" i="8"/>
  <c r="N33" i="8"/>
  <c r="AE32" i="8"/>
  <c r="O33" i="8"/>
  <c r="M32" i="8"/>
  <c r="G33" i="8"/>
  <c r="Q33" i="8"/>
  <c r="I33" i="8"/>
  <c r="U33" i="8"/>
  <c r="T34" i="8" l="1"/>
  <c r="P34" i="8"/>
  <c r="I34" i="8"/>
  <c r="L33" i="8"/>
  <c r="U34" i="8"/>
  <c r="Y33" i="8"/>
  <c r="X33" i="8"/>
  <c r="V33" i="8"/>
  <c r="W33" i="8"/>
  <c r="F34" i="8"/>
  <c r="J33" i="8"/>
  <c r="Z32" i="8"/>
  <c r="AC32" i="8"/>
  <c r="AB32" i="8"/>
  <c r="AA32" i="8"/>
  <c r="Q34" i="8"/>
  <c r="N34" i="8"/>
  <c r="AG33" i="8"/>
  <c r="AF33" i="8"/>
  <c r="AE33" i="8"/>
  <c r="AD33" i="8"/>
  <c r="AK33" i="8"/>
  <c r="AJ33" i="8"/>
  <c r="AH33" i="8"/>
  <c r="R34" i="8"/>
  <c r="AI33" i="8"/>
  <c r="G34" i="8"/>
  <c r="H34" i="8"/>
  <c r="M33" i="8"/>
  <c r="O34" i="8"/>
  <c r="S34" i="8"/>
  <c r="K33" i="8"/>
  <c r="T35" i="8" l="1"/>
  <c r="O35" i="8"/>
  <c r="Q35" i="8"/>
  <c r="H35" i="8"/>
  <c r="K34" i="8"/>
  <c r="AA33" i="8"/>
  <c r="AC33" i="8"/>
  <c r="AB33" i="8"/>
  <c r="Z33" i="8"/>
  <c r="J34" i="8"/>
  <c r="K35" i="8" s="1"/>
  <c r="R35" i="8"/>
  <c r="AK34" i="8"/>
  <c r="AJ34" i="8"/>
  <c r="AI34" i="8"/>
  <c r="AH34" i="8"/>
  <c r="F35" i="8"/>
  <c r="W34" i="8"/>
  <c r="V34" i="8"/>
  <c r="Y34" i="8"/>
  <c r="X34" i="8"/>
  <c r="M34" i="8"/>
  <c r="S35" i="8"/>
  <c r="AE34" i="8"/>
  <c r="AG34" i="8"/>
  <c r="AF34" i="8"/>
  <c r="AD34" i="8"/>
  <c r="N35" i="8"/>
  <c r="G35" i="8"/>
  <c r="P35" i="8"/>
  <c r="I35" i="8"/>
  <c r="L34" i="8"/>
  <c r="L35" i="8" s="1"/>
  <c r="U35" i="8"/>
  <c r="O36" i="8" l="1"/>
  <c r="P36" i="8"/>
  <c r="Q36" i="8"/>
  <c r="S36" i="8"/>
  <c r="H36" i="8"/>
  <c r="L36" i="8"/>
  <c r="U36" i="8"/>
  <c r="AI35" i="8"/>
  <c r="AK35" i="8"/>
  <c r="R36" i="8"/>
  <c r="AJ35" i="8"/>
  <c r="AH35" i="8"/>
  <c r="M35" i="8"/>
  <c r="AC34" i="8"/>
  <c r="AB34" i="8"/>
  <c r="Z34" i="8"/>
  <c r="J35" i="8"/>
  <c r="AA34" i="8"/>
  <c r="I36" i="8"/>
  <c r="W35" i="8"/>
  <c r="Y35" i="8"/>
  <c r="X35" i="8"/>
  <c r="V35" i="8"/>
  <c r="F36" i="8"/>
  <c r="AG35" i="8"/>
  <c r="AF35" i="8"/>
  <c r="AD35" i="8"/>
  <c r="AE35" i="8"/>
  <c r="N36" i="8"/>
  <c r="G36" i="8"/>
  <c r="T36" i="8"/>
  <c r="P37" i="8" l="1"/>
  <c r="Q37" i="8"/>
  <c r="T37" i="8"/>
  <c r="O37" i="8"/>
  <c r="J36" i="8"/>
  <c r="AC35" i="8"/>
  <c r="AB35" i="8"/>
  <c r="AA35" i="8"/>
  <c r="Z35" i="8"/>
  <c r="M36" i="8"/>
  <c r="M37" i="8" s="1"/>
  <c r="P38" i="8"/>
  <c r="AK36" i="8"/>
  <c r="AJ36" i="8"/>
  <c r="AH36" i="8"/>
  <c r="AI36" i="8"/>
  <c r="R37" i="8"/>
  <c r="K36" i="8"/>
  <c r="Y36" i="8"/>
  <c r="X36" i="8"/>
  <c r="V36" i="8"/>
  <c r="F37" i="8"/>
  <c r="W36" i="8"/>
  <c r="G37" i="8"/>
  <c r="N37" i="8"/>
  <c r="AG36" i="8"/>
  <c r="AF36" i="8"/>
  <c r="AE36" i="8"/>
  <c r="AD36" i="8"/>
  <c r="S37" i="8"/>
  <c r="I37" i="8"/>
  <c r="H37" i="8"/>
  <c r="U37" i="8"/>
  <c r="S38" i="8" l="1"/>
  <c r="G38" i="8"/>
  <c r="T38" i="8"/>
  <c r="U38" i="8"/>
  <c r="F38" i="8"/>
  <c r="Y37" i="8"/>
  <c r="X37" i="8"/>
  <c r="W37" i="8"/>
  <c r="V37" i="8"/>
  <c r="AE37" i="8"/>
  <c r="AG37" i="8"/>
  <c r="AD37" i="8"/>
  <c r="N38" i="8"/>
  <c r="AF37" i="8"/>
  <c r="R38" i="8"/>
  <c r="AK37" i="8"/>
  <c r="AJ37" i="8"/>
  <c r="AI37" i="8"/>
  <c r="AH37" i="8"/>
  <c r="AA36" i="8"/>
  <c r="AC36" i="8"/>
  <c r="J37" i="8"/>
  <c r="AB36" i="8"/>
  <c r="Z36" i="8"/>
  <c r="H38" i="8"/>
  <c r="I38" i="8"/>
  <c r="K37" i="8"/>
  <c r="L37" i="8"/>
  <c r="O38" i="8"/>
  <c r="Q38" i="8"/>
  <c r="K38" i="8" l="1"/>
  <c r="AG38" i="8"/>
  <c r="H10" i="13" s="1"/>
  <c r="AF38" i="8"/>
  <c r="H9" i="13" s="1"/>
  <c r="AD38" i="8"/>
  <c r="H11" i="13" s="1"/>
  <c r="AE38" i="8"/>
  <c r="H12" i="13" s="1"/>
  <c r="AC37" i="8"/>
  <c r="AB37" i="8"/>
  <c r="Z37" i="8"/>
  <c r="AA37" i="8"/>
  <c r="J38" i="8"/>
  <c r="W38" i="8"/>
  <c r="F12" i="13" s="1"/>
  <c r="Y38" i="8"/>
  <c r="F10" i="13" s="1"/>
  <c r="F14" i="13" s="1"/>
  <c r="X38" i="8"/>
  <c r="F9" i="13" s="1"/>
  <c r="F13" i="13" s="1"/>
  <c r="V38" i="8"/>
  <c r="F11" i="13" s="1"/>
  <c r="AI38" i="8"/>
  <c r="I12" i="13" s="1"/>
  <c r="AK38" i="8"/>
  <c r="I10" i="13" s="1"/>
  <c r="AJ38" i="8"/>
  <c r="I9" i="13" s="1"/>
  <c r="AH38" i="8"/>
  <c r="I11" i="13" s="1"/>
  <c r="L38" i="8"/>
  <c r="M38" i="8"/>
  <c r="I14" i="13" l="1"/>
  <c r="AC38" i="8"/>
  <c r="G10" i="13" s="1"/>
  <c r="G14" i="13" s="1"/>
  <c r="AB38" i="8"/>
  <c r="G9" i="13" s="1"/>
  <c r="G13" i="13" s="1"/>
  <c r="AA38" i="8"/>
  <c r="G12" i="13" s="1"/>
  <c r="Z38" i="8"/>
  <c r="G11" i="13" s="1"/>
  <c r="I13" i="13"/>
  <c r="H13" i="13"/>
  <c r="H14" i="13"/>
  <c r="I15" i="13" l="1"/>
  <c r="G15" i="13"/>
  <c r="H15" i="13"/>
</calcChain>
</file>

<file path=xl/sharedStrings.xml><?xml version="1.0" encoding="utf-8"?>
<sst xmlns="http://schemas.openxmlformats.org/spreadsheetml/2006/main" count="283" uniqueCount="189">
  <si>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</si>
  <si>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</si>
  <si>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</si>
  <si>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</si>
  <si>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</si>
  <si>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</si>
  <si>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</si>
  <si>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</si>
  <si>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</si>
  <si>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</si>
  <si>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</si>
  <si>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</si>
  <si>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</si>
  <si>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</si>
  <si>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</si>
  <si>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</si>
  <si>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</si>
  <si>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</si>
  <si>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</si>
  <si>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</si>
  <si>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</si>
  <si>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</si>
  <si>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</si>
  <si>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N</t>
  </si>
  <si>
    <t>model_settings!F14</t>
  </si>
  <si>
    <t>n_cycles</t>
  </si>
  <si>
    <t>model_settings!F15</t>
  </si>
  <si>
    <t>n_states</t>
  </si>
  <si>
    <t>model_settings!F16</t>
  </si>
  <si>
    <t>n_parameters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</si>
  <si>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</si>
  <si>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</si>
  <si>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</si>
  <si>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</si>
  <si>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</si>
  <si>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</si>
  <si>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</si>
  <si>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</si>
  <si>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</si>
  <si>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</si>
  <si>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</si>
  <si>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</si>
  <si>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</si>
  <si>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</si>
  <si>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transition_probability</t>
  </si>
  <si>
    <t>input_parameters!O9</t>
  </si>
  <si>
    <t>input_parameters!O10</t>
  </si>
  <si>
    <t>input_parameters!O11</t>
  </si>
  <si>
    <t>utility</t>
  </si>
  <si>
    <t>normal</t>
  </si>
  <si>
    <t>input_parameters!O12</t>
  </si>
  <si>
    <t>fixed</t>
  </si>
  <si>
    <t>input_parameters!O13</t>
  </si>
  <si>
    <t>one_off_cost</t>
  </si>
  <si>
    <t>input_parameters!O14</t>
  </si>
  <si>
    <t>cost</t>
  </si>
  <si>
    <t>input_parameters!O15</t>
  </si>
  <si>
    <t>input_parameters!O16</t>
  </si>
  <si>
    <t>cycle</t>
  </si>
  <si>
    <t>setting_names</t>
  </si>
  <si>
    <t>settings</t>
  </si>
  <si>
    <t>n cycles</t>
  </si>
  <si>
    <t>n states</t>
  </si>
  <si>
    <t>n treatments</t>
  </si>
  <si>
    <t>Result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</si>
  <si>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</si>
  <si>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</si>
  <si>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</si>
  <si>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</si>
  <si>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</si>
  <si>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</si>
  <si>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</si>
  <si>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</si>
  <si>
    <t>Probability_1st_revision_cemented</t>
  </si>
  <si>
    <t>Probability of 1st revision if using cemented, follows a normal distribution</t>
  </si>
  <si>
    <t>Probability_1st_revision_uncemented</t>
  </si>
  <si>
    <t>Probability of 1st revision if using uncemented, follows a normal distribution</t>
  </si>
  <si>
    <t>Probability_1st_revision_hybrid</t>
  </si>
  <si>
    <t>Probability of 1st revision if using hybrid, follows a normal distribution</t>
  </si>
  <si>
    <t>Probability_1st_revision_reverse_hybrid</t>
  </si>
  <si>
    <t>Probability of 1st revision if using reverse_hybrid, follows a normal distribution</t>
  </si>
  <si>
    <t>Probability_2nd_revision</t>
  </si>
  <si>
    <t>Probability of 2nd revision, follows a normal distribution</t>
  </si>
  <si>
    <t>Probability_death</t>
  </si>
  <si>
    <t>Probability of death, follows a normal distribution</t>
  </si>
  <si>
    <t>cost_1st_revision_cemented</t>
  </si>
  <si>
    <t>Cost of revision of post THR state if using cemented, follows a normal distribution, with fixed revision cost and normally distributed probability</t>
  </si>
  <si>
    <t>input_parameters!O17</t>
  </si>
  <si>
    <t>cost_1st_revision_uncemented</t>
  </si>
  <si>
    <t>Cost of revision of post THR state if using uncemented, follows a normal distribution, with fixed revision cost and normally distributed probability</t>
  </si>
  <si>
    <t>input_parameters!O18</t>
  </si>
  <si>
    <t>cost_1st_revision_hybrid</t>
  </si>
  <si>
    <t>Cost of revision of post THR state if using hybrid, follows a normal distribution, with fixed revision cost and normally distributed probability</t>
  </si>
  <si>
    <t>input_parameters!O19</t>
  </si>
  <si>
    <t>cost_1st_revision_reverse_hybrid</t>
  </si>
  <si>
    <t>Cost of revision of post THR state if using reverse_hybrid, follows a normal distribution, with fixed revision cost and normally distributed probability</t>
  </si>
  <si>
    <t>input_parameters!O20</t>
  </si>
  <si>
    <t>cost_2nd_revision</t>
  </si>
  <si>
    <t>Cost of revision of post 1st revision state, follows a normal distribution, with fixed revision cost and normally distributed probability</t>
  </si>
  <si>
    <t>input_parameters!O21</t>
  </si>
  <si>
    <t>cost_higher_revision</t>
  </si>
  <si>
    <t>Cost of revision of post 2nd revision state, follows a normal distribution, with fixed revision cost and normally distributed probability</t>
  </si>
  <si>
    <t>input_parameters!O22</t>
  </si>
  <si>
    <t>state_utility_post_thr</t>
  </si>
  <si>
    <t xml:space="preserve">Utility of post THR state, follows a normal distribution </t>
  </si>
  <si>
    <t>input_parameters!O23</t>
  </si>
  <si>
    <t>state_utility_post_1st_rev</t>
  </si>
  <si>
    <t xml:space="preserve">Utility of post 1st revision state, follows a normal distribution </t>
  </si>
  <si>
    <t>input_parameters!O24</t>
  </si>
  <si>
    <t>state_utility_post_2nd_rev</t>
  </si>
  <si>
    <t xml:space="preserve">Utility of post 2nd revision state, follows a normal distribution </t>
  </si>
  <si>
    <t>input_parameters!O25</t>
  </si>
  <si>
    <t>state_utility_dead</t>
  </si>
  <si>
    <t>Utility of death, fixed value and model assumes no cost</t>
  </si>
  <si>
    <t>input_parameters!O26</t>
  </si>
  <si>
    <t>implant_cost_cemented</t>
  </si>
  <si>
    <t>Cost ofcemented, fixed value</t>
  </si>
  <si>
    <t>input_parameters!O27</t>
  </si>
  <si>
    <t>implant_cost_uncemented</t>
  </si>
  <si>
    <t>Cost ofuncemented, fixed value</t>
  </si>
  <si>
    <t>input_parameters!O28</t>
  </si>
  <si>
    <t>implant_cost_hybrid</t>
  </si>
  <si>
    <t>Cost ofhybrid, fixed value</t>
  </si>
  <si>
    <t>input_parameters!O29</t>
  </si>
  <si>
    <t>implant_cost_reverse_hybrid</t>
  </si>
  <si>
    <t>Cost ofreverse_hybrid, fixed value</t>
  </si>
  <si>
    <t>input_parameters!O30</t>
  </si>
  <si>
    <t>cemented_post_thr</t>
  </si>
  <si>
    <t>cemented_post_1st_rev</t>
  </si>
  <si>
    <t>cemented_post_2nd_rev</t>
  </si>
  <si>
    <t>cemented_dead</t>
  </si>
  <si>
    <t>uncemented_post_thr</t>
  </si>
  <si>
    <t>uncemented_post_1st_rev</t>
  </si>
  <si>
    <t>uncemented_post_2nd_rev</t>
  </si>
  <si>
    <t>uncemented_dead</t>
  </si>
  <si>
    <t>hybrid_post_thr</t>
  </si>
  <si>
    <t>hybrid_post_1st_rev</t>
  </si>
  <si>
    <t>hybrid_post_2nd_rev</t>
  </si>
  <si>
    <t>hybrid_dead</t>
  </si>
  <si>
    <t>reverse_hybrid_post_thr</t>
  </si>
  <si>
    <t>reverse_hybrid_post_1st_rev</t>
  </si>
  <si>
    <t>reverse_hybrid_post_2nd_rev</t>
  </si>
  <si>
    <t>reverse_hybrid_dead</t>
  </si>
  <si>
    <t>cemented Undiscounted Costs</t>
  </si>
  <si>
    <t>cemented Undiscounted QALYs</t>
  </si>
  <si>
    <t>cemented Discounted Costs</t>
  </si>
  <si>
    <t>cemented Discounted QALYs</t>
  </si>
  <si>
    <t>uncemented Undiscounted Costs</t>
  </si>
  <si>
    <t>uncemented Undiscounted QALYs</t>
  </si>
  <si>
    <t>uncemented Discounted Costs</t>
  </si>
  <si>
    <t>uncemented Discounted QALYs</t>
  </si>
  <si>
    <t>hybrid Undiscounted Costs</t>
  </si>
  <si>
    <t>hybrid Undiscounted QALYs</t>
  </si>
  <si>
    <t>hybrid Discounted Costs</t>
  </si>
  <si>
    <t>hybrid Discounted QALYs</t>
  </si>
  <si>
    <t>reverse_hybrid Undiscounted Costs</t>
  </si>
  <si>
    <t>reverse_hybrid Undiscounted QALYs</t>
  </si>
  <si>
    <t>reverse_hybrid Discounted Costs</t>
  </si>
  <si>
    <t>reverse_hybrid Discounted QALYs</t>
  </si>
  <si>
    <t>1</t>
  </si>
  <si>
    <t>cemented</t>
  </si>
  <si>
    <t>30</t>
  </si>
  <si>
    <t>4</t>
  </si>
  <si>
    <t>22</t>
  </si>
  <si>
    <t>uncemented</t>
  </si>
  <si>
    <t>hybrid</t>
  </si>
  <si>
    <t>reverse_hybrid</t>
  </si>
  <si>
    <t>1306.20 (1244.36, 1373.35)</t>
  </si>
  <si>
    <t>7.389 (6.690, 8.198)</t>
  </si>
  <si>
    <t>1545.49 (1442.34, 1659.21)</t>
  </si>
  <si>
    <t>9.960 (8.802, 11.332)</t>
  </si>
  <si>
    <t>2742.29 (2705.11, 2785.46)</t>
  </si>
  <si>
    <t>7.414 (6.699, 8.245)</t>
  </si>
  <si>
    <t>2898.53 (2836.92, 2970.84)</t>
  </si>
  <si>
    <t>10.001 (8.824, 11.401)</t>
  </si>
  <si>
    <t>1436.09 (1396.93, 1472.59)</t>
  </si>
  <si>
    <t>0.025 (0.013, 0.041)</t>
  </si>
  <si>
    <t>2033.58 (1986.17, 2086.31)</t>
  </si>
  <si>
    <t>7.404 (6.696, 8.223)</t>
  </si>
  <si>
    <t>2224.41 (2143.26, 2314.86)</t>
  </si>
  <si>
    <t>9.984 (8.819, 11.363)</t>
  </si>
  <si>
    <t>727.39 (692.91, 762.68)</t>
  </si>
  <si>
    <t>0.015 (0.007, 0.025)</t>
  </si>
  <si>
    <t>1916.56 (1863.04, 1973.11)</t>
  </si>
  <si>
    <t>7.399 (6.694, 8.217)</t>
  </si>
  <si>
    <t>2121.99 (2034.94, 2215.74)</t>
  </si>
  <si>
    <t>9.977 (8.816, 11.352)</t>
  </si>
  <si>
    <t>610.36 (575.57, 644.25)</t>
  </si>
  <si>
    <t>0.010 (0.004, 0.019)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</si>
</sst>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640080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640080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54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8F09AA0E-8601-3C95-9BF0-0E7976856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P30"/>
  <sheetViews>
    <sheetView topLeftCell="D1" workbookViewId="0">
      <selection activeCell="O16" sqref="O16"/>
    </sheetView>
  </sheetViews>
  <sheetFormatPr defaultColWidth="10.9453125" defaultRowHeight="14.4" x14ac:dyDescent="0.55000000000000004"/>
  <cols>
    <col min="5" max="5" width="31.578125" customWidth="1"/>
    <col min="6" max="6" width="13.3125" customWidth="1"/>
  </cols>
  <sheetData>
    <row r="8" spans="5:16" x14ac:dyDescent="0.55000000000000004">
      <c r="E8" t="s">
        <v>33</v>
      </c>
      <c r="F8" t="s">
        <v>34</v>
      </c>
      <c r="G8" t="s">
        <v>35</v>
      </c>
      <c r="H8" t="s">
        <v>36</v>
      </c>
      <c r="I8" t="s">
        <v>37</v>
      </c>
      <c r="J8" t="s">
        <v>38</v>
      </c>
      <c r="K8" t="s">
        <v>39</v>
      </c>
      <c r="L8" t="s">
        <v>40</v>
      </c>
      <c r="M8" t="s">
        <v>41</v>
      </c>
      <c r="N8" t="s">
        <v>42</v>
      </c>
      <c r="O8" t="s">
        <v>43</v>
      </c>
      <c r="P8" t="s">
        <v>7</v>
      </c>
    </row>
    <row r="9" spans="5:16" x14ac:dyDescent="0.55000000000000004">
      <c r="E9" t="s">
        <v>73</v>
      </c>
      <c r="F9" t="s">
        <v>74</v>
      </c>
      <c r="G9" t="s">
        <v>44</v>
      </c>
      <c r="H9" t="s">
        <v>49</v>
      </c>
      <c r="I9">
        <v>4.7000000000000002E-3</v>
      </c>
      <c r="J9">
        <v>1.4535706731701799E-4</v>
      </c>
      <c r="K9">
        <v>1</v>
      </c>
      <c r="L9">
        <v>2</v>
      </c>
      <c r="M9">
        <v>1</v>
      </c>
      <c r="N9">
        <v>1</v>
      </c>
      <c r="O9">
        <f t="shared" ref="O9:O25" ca="1" si="0">_xlfn.NORM.INV(RAND(), I9, J9)</f>
        <v>4.783222057955957E-3</v>
      </c>
      <c r="P9" t="s">
        <v>45</v>
      </c>
    </row>
    <row r="10" spans="5:16" x14ac:dyDescent="0.55000000000000004">
      <c r="E10" t="s">
        <v>75</v>
      </c>
      <c r="F10" t="s">
        <v>76</v>
      </c>
      <c r="G10" t="s">
        <v>44</v>
      </c>
      <c r="H10" t="s">
        <v>49</v>
      </c>
      <c r="I10">
        <v>3.0000000000000001E-3</v>
      </c>
      <c r="J10">
        <v>9.2860360290372706E-5</v>
      </c>
      <c r="K10">
        <v>1</v>
      </c>
      <c r="L10">
        <v>2</v>
      </c>
      <c r="M10">
        <v>2</v>
      </c>
      <c r="N10">
        <v>1</v>
      </c>
      <c r="O10">
        <f t="shared" ca="1" si="0"/>
        <v>3.035545228381242E-3</v>
      </c>
      <c r="P10" t="s">
        <v>46</v>
      </c>
    </row>
    <row r="11" spans="5:16" x14ac:dyDescent="0.55000000000000004">
      <c r="E11" t="s">
        <v>77</v>
      </c>
      <c r="F11" t="s">
        <v>78</v>
      </c>
      <c r="G11" t="s">
        <v>44</v>
      </c>
      <c r="H11" t="s">
        <v>49</v>
      </c>
      <c r="I11">
        <v>3.7000000000000002E-3</v>
      </c>
      <c r="J11">
        <v>1.14487542807599E-4</v>
      </c>
      <c r="K11">
        <v>1</v>
      </c>
      <c r="L11">
        <v>2</v>
      </c>
      <c r="M11">
        <v>3</v>
      </c>
      <c r="N11">
        <v>1</v>
      </c>
      <c r="O11">
        <f t="shared" ca="1" si="0"/>
        <v>3.8409913976885125E-3</v>
      </c>
      <c r="P11" t="s">
        <v>47</v>
      </c>
    </row>
    <row r="12" spans="5:16" x14ac:dyDescent="0.55000000000000004">
      <c r="E12" t="s">
        <v>79</v>
      </c>
      <c r="F12" t="s">
        <v>80</v>
      </c>
      <c r="G12" t="s">
        <v>44</v>
      </c>
      <c r="H12" t="s">
        <v>49</v>
      </c>
      <c r="I12">
        <v>4.0000000000000001E-3</v>
      </c>
      <c r="J12">
        <v>1.2375166867040899E-4</v>
      </c>
      <c r="K12">
        <v>1</v>
      </c>
      <c r="L12">
        <v>2</v>
      </c>
      <c r="M12">
        <v>4</v>
      </c>
      <c r="N12">
        <v>1</v>
      </c>
      <c r="O12">
        <f t="shared" ca="1" si="0"/>
        <v>3.7829926465586068E-3</v>
      </c>
      <c r="P12" t="s">
        <v>50</v>
      </c>
    </row>
    <row r="13" spans="5:16" x14ac:dyDescent="0.55000000000000004">
      <c r="E13" t="s">
        <v>81</v>
      </c>
      <c r="F13" t="s">
        <v>82</v>
      </c>
      <c r="G13" t="s">
        <v>44</v>
      </c>
      <c r="H13" t="s">
        <v>49</v>
      </c>
      <c r="I13">
        <v>4.2000000000000003E-2</v>
      </c>
      <c r="J13">
        <v>3.0006931757226101E-3</v>
      </c>
      <c r="K13">
        <v>2</v>
      </c>
      <c r="L13">
        <v>3</v>
      </c>
      <c r="N13">
        <v>2</v>
      </c>
      <c r="O13">
        <f t="shared" ca="1" si="0"/>
        <v>3.9820970383945435E-2</v>
      </c>
      <c r="P13" t="s">
        <v>52</v>
      </c>
    </row>
    <row r="14" spans="5:16" x14ac:dyDescent="0.55000000000000004">
      <c r="E14" t="s">
        <v>83</v>
      </c>
      <c r="F14" t="s">
        <v>84</v>
      </c>
      <c r="G14" t="s">
        <v>44</v>
      </c>
      <c r="H14" t="s">
        <v>49</v>
      </c>
      <c r="I14">
        <v>6.6000000000000003E-2</v>
      </c>
      <c r="J14">
        <v>6.6E-3</v>
      </c>
      <c r="K14">
        <v>1</v>
      </c>
      <c r="L14">
        <v>4</v>
      </c>
      <c r="N14">
        <v>1</v>
      </c>
      <c r="O14">
        <f t="shared" ca="1" si="0"/>
        <v>6.5442147540845416E-2</v>
      </c>
      <c r="P14" t="s">
        <v>54</v>
      </c>
    </row>
    <row r="15" spans="5:16" x14ac:dyDescent="0.55000000000000004">
      <c r="E15" t="s">
        <v>83</v>
      </c>
      <c r="F15" t="s">
        <v>84</v>
      </c>
      <c r="G15" t="s">
        <v>44</v>
      </c>
      <c r="H15" t="s">
        <v>49</v>
      </c>
      <c r="I15">
        <v>6.6000000000000003E-2</v>
      </c>
      <c r="J15">
        <v>6.6E-3</v>
      </c>
      <c r="K15">
        <v>2</v>
      </c>
      <c r="L15">
        <v>4</v>
      </c>
      <c r="N15">
        <v>2</v>
      </c>
      <c r="O15">
        <f t="shared" ca="1" si="0"/>
        <v>6.0038116187215419E-2</v>
      </c>
      <c r="P15" t="s">
        <v>56</v>
      </c>
    </row>
    <row r="16" spans="5:16" x14ac:dyDescent="0.55000000000000004">
      <c r="E16" t="s">
        <v>83</v>
      </c>
      <c r="F16" t="s">
        <v>84</v>
      </c>
      <c r="G16" t="s">
        <v>44</v>
      </c>
      <c r="H16" t="s">
        <v>49</v>
      </c>
      <c r="I16">
        <v>6.6000000000000003E-2</v>
      </c>
      <c r="J16">
        <v>6.6E-3</v>
      </c>
      <c r="K16">
        <v>3</v>
      </c>
      <c r="L16">
        <v>4</v>
      </c>
      <c r="N16">
        <v>3</v>
      </c>
      <c r="O16">
        <f t="shared" ca="1" si="0"/>
        <v>6.9320143831120215E-2</v>
      </c>
      <c r="P16" t="s">
        <v>57</v>
      </c>
    </row>
    <row r="17" spans="5:16" x14ac:dyDescent="0.55000000000000004">
      <c r="E17" t="s">
        <v>85</v>
      </c>
      <c r="F17" t="s">
        <v>86</v>
      </c>
      <c r="G17" t="s">
        <v>55</v>
      </c>
      <c r="H17" t="s">
        <v>49</v>
      </c>
      <c r="I17">
        <v>42.323264999999999</v>
      </c>
      <c r="J17">
        <v>1.3089331233363799</v>
      </c>
      <c r="M17">
        <v>1</v>
      </c>
      <c r="N17">
        <v>1</v>
      </c>
      <c r="O17">
        <f t="shared" ca="1" si="0"/>
        <v>45.08189659273539</v>
      </c>
      <c r="P17" t="s">
        <v>87</v>
      </c>
    </row>
    <row r="18" spans="5:16" x14ac:dyDescent="0.55000000000000004">
      <c r="E18" t="s">
        <v>88</v>
      </c>
      <c r="F18" t="s">
        <v>89</v>
      </c>
      <c r="G18" t="s">
        <v>55</v>
      </c>
      <c r="H18" t="s">
        <v>49</v>
      </c>
      <c r="I18">
        <v>27.014849999999999</v>
      </c>
      <c r="J18">
        <v>0.83620290139679199</v>
      </c>
      <c r="M18">
        <v>2</v>
      </c>
      <c r="N18">
        <v>1</v>
      </c>
      <c r="O18">
        <f t="shared" ca="1" si="0"/>
        <v>27.381067111099679</v>
      </c>
      <c r="P18" t="s">
        <v>90</v>
      </c>
    </row>
    <row r="19" spans="5:16" x14ac:dyDescent="0.55000000000000004">
      <c r="E19" t="s">
        <v>91</v>
      </c>
      <c r="F19" t="s">
        <v>92</v>
      </c>
      <c r="G19" t="s">
        <v>55</v>
      </c>
      <c r="H19" t="s">
        <v>49</v>
      </c>
      <c r="I19">
        <v>33.318314999999998</v>
      </c>
      <c r="J19">
        <v>1.0309545986052899</v>
      </c>
      <c r="M19">
        <v>3</v>
      </c>
      <c r="N19">
        <v>1</v>
      </c>
      <c r="O19">
        <f t="shared" ca="1" si="0"/>
        <v>32.94699728774485</v>
      </c>
      <c r="P19" t="s">
        <v>93</v>
      </c>
    </row>
    <row r="20" spans="5:16" x14ac:dyDescent="0.55000000000000004">
      <c r="E20" t="s">
        <v>94</v>
      </c>
      <c r="F20" t="s">
        <v>95</v>
      </c>
      <c r="G20" t="s">
        <v>55</v>
      </c>
      <c r="H20" t="s">
        <v>49</v>
      </c>
      <c r="I20">
        <v>36.019799999999996</v>
      </c>
      <c r="J20">
        <v>1.1143775887936</v>
      </c>
      <c r="M20">
        <v>4</v>
      </c>
      <c r="N20">
        <v>1</v>
      </c>
      <c r="O20">
        <f t="shared" ca="1" si="0"/>
        <v>37.588049700970153</v>
      </c>
      <c r="P20" t="s">
        <v>96</v>
      </c>
    </row>
    <row r="21" spans="5:16" x14ac:dyDescent="0.55000000000000004">
      <c r="E21" t="s">
        <v>97</v>
      </c>
      <c r="F21" t="s">
        <v>98</v>
      </c>
      <c r="G21" t="s">
        <v>55</v>
      </c>
      <c r="H21" t="s">
        <v>49</v>
      </c>
      <c r="I21">
        <v>378.2079</v>
      </c>
      <c r="J21">
        <v>27.0210920127234</v>
      </c>
      <c r="N21">
        <v>2</v>
      </c>
      <c r="O21">
        <f t="shared" ca="1" si="0"/>
        <v>415.56367083620455</v>
      </c>
      <c r="P21" t="s">
        <v>99</v>
      </c>
    </row>
    <row r="22" spans="5:16" x14ac:dyDescent="0.55000000000000004">
      <c r="E22" t="s">
        <v>100</v>
      </c>
      <c r="F22" t="s">
        <v>101</v>
      </c>
      <c r="G22" t="s">
        <v>55</v>
      </c>
      <c r="H22" t="s">
        <v>49</v>
      </c>
      <c r="I22">
        <v>504.27719999999999</v>
      </c>
      <c r="J22">
        <v>25.963970294861898</v>
      </c>
      <c r="N22">
        <v>3</v>
      </c>
      <c r="O22">
        <f t="shared" ca="1" si="0"/>
        <v>494.99500609230421</v>
      </c>
      <c r="P22" t="s">
        <v>102</v>
      </c>
    </row>
    <row r="23" spans="5:16" x14ac:dyDescent="0.55000000000000004">
      <c r="E23" t="s">
        <v>103</v>
      </c>
      <c r="F23" t="s">
        <v>104</v>
      </c>
      <c r="G23" t="s">
        <v>48</v>
      </c>
      <c r="H23" t="s">
        <v>49</v>
      </c>
      <c r="I23">
        <v>0.76200000000000001</v>
      </c>
      <c r="J23">
        <v>4.0000000000000001E-3</v>
      </c>
      <c r="N23">
        <v>1</v>
      </c>
      <c r="O23">
        <f t="shared" ca="1" si="0"/>
        <v>0.76134122383600178</v>
      </c>
      <c r="P23" t="s">
        <v>105</v>
      </c>
    </row>
    <row r="24" spans="5:16" x14ac:dyDescent="0.55000000000000004">
      <c r="E24" t="s">
        <v>106</v>
      </c>
      <c r="F24" t="s">
        <v>107</v>
      </c>
      <c r="G24" t="s">
        <v>48</v>
      </c>
      <c r="H24" t="s">
        <v>49</v>
      </c>
      <c r="I24">
        <v>0.57499999999999996</v>
      </c>
      <c r="J24">
        <v>8.9999999999999993E-3</v>
      </c>
      <c r="N24">
        <v>2</v>
      </c>
      <c r="O24">
        <f t="shared" ca="1" si="0"/>
        <v>0.57439500157561241</v>
      </c>
      <c r="P24" t="s">
        <v>108</v>
      </c>
    </row>
    <row r="25" spans="5:16" x14ac:dyDescent="0.55000000000000004">
      <c r="E25" t="s">
        <v>109</v>
      </c>
      <c r="F25" t="s">
        <v>110</v>
      </c>
      <c r="G25" t="s">
        <v>48</v>
      </c>
      <c r="H25" t="s">
        <v>49</v>
      </c>
      <c r="I25">
        <v>0.57499999999999996</v>
      </c>
      <c r="J25">
        <v>8.9999999999999993E-3</v>
      </c>
      <c r="N25">
        <v>3</v>
      </c>
      <c r="O25">
        <f t="shared" ca="1" si="0"/>
        <v>0.57497748933541437</v>
      </c>
      <c r="P25" t="s">
        <v>111</v>
      </c>
    </row>
    <row r="26" spans="5:16" x14ac:dyDescent="0.55000000000000004">
      <c r="E26" t="s">
        <v>112</v>
      </c>
      <c r="F26" t="s">
        <v>113</v>
      </c>
      <c r="G26" t="s">
        <v>48</v>
      </c>
      <c r="H26" t="s">
        <v>51</v>
      </c>
      <c r="I26">
        <v>0</v>
      </c>
      <c r="N26">
        <v>4</v>
      </c>
      <c r="O26">
        <f>I26</f>
        <v>0</v>
      </c>
      <c r="P26" t="s">
        <v>114</v>
      </c>
    </row>
    <row r="27" spans="5:16" x14ac:dyDescent="0.55000000000000004">
      <c r="E27" t="s">
        <v>115</v>
      </c>
      <c r="F27" t="s">
        <v>116</v>
      </c>
      <c r="G27" t="s">
        <v>53</v>
      </c>
      <c r="H27" t="s">
        <v>51</v>
      </c>
      <c r="I27">
        <v>756</v>
      </c>
      <c r="M27">
        <v>1</v>
      </c>
      <c r="O27">
        <f>I27</f>
        <v>756</v>
      </c>
      <c r="P27" t="s">
        <v>117</v>
      </c>
    </row>
    <row r="28" spans="5:16" x14ac:dyDescent="0.55000000000000004">
      <c r="E28" t="s">
        <v>118</v>
      </c>
      <c r="F28" t="s">
        <v>119</v>
      </c>
      <c r="G28" t="s">
        <v>53</v>
      </c>
      <c r="H28" t="s">
        <v>51</v>
      </c>
      <c r="I28">
        <v>2386</v>
      </c>
      <c r="M28">
        <v>2</v>
      </c>
      <c r="O28">
        <f>I28</f>
        <v>2386</v>
      </c>
      <c r="P28" t="s">
        <v>120</v>
      </c>
    </row>
    <row r="29" spans="5:16" x14ac:dyDescent="0.55000000000000004">
      <c r="E29" t="s">
        <v>121</v>
      </c>
      <c r="F29" t="s">
        <v>122</v>
      </c>
      <c r="G29" t="s">
        <v>53</v>
      </c>
      <c r="H29" t="s">
        <v>51</v>
      </c>
      <c r="I29">
        <v>1597</v>
      </c>
      <c r="M29">
        <v>3</v>
      </c>
      <c r="O29">
        <f>I29</f>
        <v>1597</v>
      </c>
      <c r="P29" t="s">
        <v>123</v>
      </c>
    </row>
    <row r="30" spans="5:16" x14ac:dyDescent="0.55000000000000004">
      <c r="E30" t="s">
        <v>124</v>
      </c>
      <c r="F30" t="s">
        <v>125</v>
      </c>
      <c r="G30" t="s">
        <v>53</v>
      </c>
      <c r="H30" t="s">
        <v>51</v>
      </c>
      <c r="I30">
        <v>1446</v>
      </c>
      <c r="M30">
        <v>4</v>
      </c>
      <c r="O30">
        <f>I30</f>
        <v>1446</v>
      </c>
      <c r="P30" t="s">
        <v>126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AK38"/>
  <sheetViews>
    <sheetView workbookViewId="0">
      <selection activeCell="F9" sqref="F9"/>
    </sheetView>
  </sheetViews>
  <sheetFormatPr defaultColWidth="10.9453125" defaultRowHeight="14.4" x14ac:dyDescent="0.55000000000000004"/>
  <sheetData>
    <row r="8" spans="5:37" x14ac:dyDescent="0.55000000000000004">
      <c r="E8" t="s">
        <v>58</v>
      </c>
      <c r="F8" t="s">
        <v>127</v>
      </c>
      <c r="G8" t="s">
        <v>128</v>
      </c>
      <c r="H8" t="s">
        <v>129</v>
      </c>
      <c r="I8" t="s">
        <v>130</v>
      </c>
      <c r="J8" t="s">
        <v>131</v>
      </c>
      <c r="K8" t="s">
        <v>132</v>
      </c>
      <c r="L8" t="s">
        <v>133</v>
      </c>
      <c r="M8" t="s">
        <v>134</v>
      </c>
      <c r="N8" t="s">
        <v>135</v>
      </c>
      <c r="O8" t="s">
        <v>136</v>
      </c>
      <c r="P8" t="s">
        <v>137</v>
      </c>
      <c r="Q8" t="s">
        <v>138</v>
      </c>
      <c r="R8" t="s">
        <v>139</v>
      </c>
      <c r="S8" t="s">
        <v>140</v>
      </c>
      <c r="T8" t="s">
        <v>141</v>
      </c>
      <c r="U8" t="s">
        <v>142</v>
      </c>
      <c r="V8" t="s">
        <v>143</v>
      </c>
      <c r="W8" t="s">
        <v>144</v>
      </c>
      <c r="X8" t="s">
        <v>145</v>
      </c>
      <c r="Y8" t="s">
        <v>146</v>
      </c>
      <c r="Z8" t="s">
        <v>147</v>
      </c>
      <c r="AA8" t="s">
        <v>148</v>
      </c>
      <c r="AB8" t="s">
        <v>149</v>
      </c>
      <c r="AC8" t="s">
        <v>150</v>
      </c>
      <c r="AD8" t="s">
        <v>151</v>
      </c>
      <c r="AE8" t="s">
        <v>152</v>
      </c>
      <c r="AF8" t="s">
        <v>153</v>
      </c>
      <c r="AG8" t="s">
        <v>154</v>
      </c>
      <c r="AH8" t="s">
        <v>155</v>
      </c>
      <c r="AI8" t="s">
        <v>156</v>
      </c>
      <c r="AJ8" t="s">
        <v>157</v>
      </c>
      <c r="AK8" t="s">
        <v>158</v>
      </c>
    </row>
    <row r="9" spans="5:37" x14ac:dyDescent="0.55000000000000004">
      <c r="E9">
        <v>1</v>
      </c>
      <c r="F9">
        <f>1</f>
        <v>1</v>
      </c>
      <c r="G9">
        <f>0</f>
        <v>0</v>
      </c>
      <c r="H9">
        <f>0</f>
        <v>0</v>
      </c>
      <c r="I9">
        <f>0</f>
        <v>0</v>
      </c>
      <c r="J9">
        <f>1</f>
        <v>1</v>
      </c>
      <c r="K9">
        <f>0</f>
        <v>0</v>
      </c>
      <c r="L9">
        <f>0</f>
        <v>0</v>
      </c>
      <c r="M9">
        <f>0</f>
        <v>0</v>
      </c>
      <c r="N9">
        <f>1</f>
        <v>1</v>
      </c>
      <c r="O9">
        <f>0</f>
        <v>0</v>
      </c>
      <c r="P9">
        <f>0</f>
        <v>0</v>
      </c>
      <c r="Q9">
        <f>0</f>
        <v>0</v>
      </c>
      <c r="R9">
        <f>1</f>
        <v>1</v>
      </c>
      <c r="S9">
        <f>0</f>
        <v>0</v>
      </c>
      <c r="T9">
        <f>0</f>
        <v>0</v>
      </c>
      <c r="U9">
        <f>0</f>
        <v>0</v>
      </c>
      <c r="V9">
        <f ca="1">input_parameters!O27+F9 * state_costs!E9 + G9 * state_costs!F9 + H9 * state_costs!G9 + I9 * state_costs!H9</f>
        <v>801.08189659273535</v>
      </c>
      <c r="W9">
        <f ca="1">F9 * state_qalys!E9 + G9 * state_qalys!F9 + H9 * state_qalys!G9 + I9 * state_qalys!H9</f>
        <v>0.76134122383600178</v>
      </c>
      <c r="X9">
        <f ca="1">input_parameters!O27+(F9 * state_costs!E9 + G9 * state_costs!F9 + H9 * state_costs!G9 + I9 * state_costs!H9) * (1 / (1 + model_settings!F10)^(0 * model_settings!F9))</f>
        <v>801.08189659273535</v>
      </c>
      <c r="Y9">
        <f ca="1">(F9 * state_qalys!E9 + G9 * state_qalys!F9 + H9 * state_qalys!G9 + I9 * state_qalys!H9) * (1 / (1 + model_settings!F11)^(0 * model_settings!F9))</f>
        <v>0.76134122383600178</v>
      </c>
      <c r="Z9">
        <f ca="1">input_parameters!O28+J9 * state_costs!I9 + K9 * state_costs!J9 + L9 * state_costs!K9 + M9 * state_costs!L9</f>
        <v>2413.3810671110996</v>
      </c>
      <c r="AA9">
        <f ca="1">J9 * state_qalys!I9 + K9 * state_qalys!J9 + L9 * state_qalys!K9 + M9 * state_qalys!L9</f>
        <v>0.76134122383600178</v>
      </c>
      <c r="AB9">
        <f ca="1">input_parameters!O28+(J9 * state_costs!I9 + K9 * state_costs!J9 + L9 * state_costs!K9 + M9 * state_costs!L9) * (1 / (1 + model_settings!F10)^(0 * model_settings!F9))</f>
        <v>2413.3810671110996</v>
      </c>
      <c r="AC9">
        <f ca="1">(J9 * state_qalys!I9 + K9 * state_qalys!J9 + L9 * state_qalys!K9 + M9 * state_qalys!L9) * (1 / (1 + model_settings!F11)^(0 * model_settings!F9))</f>
        <v>0.76134122383600178</v>
      </c>
      <c r="AD9">
        <f ca="1">input_parameters!O29+N9 * state_costs!M9 + O9 * state_costs!N9 + P9 * state_costs!O9 + Q9 * state_costs!P9</f>
        <v>1629.9469972877448</v>
      </c>
      <c r="AE9">
        <f ca="1">N9 * state_qalys!M9 + O9 * state_qalys!N9 + P9 * state_qalys!O9 + Q9 * state_qalys!P9</f>
        <v>0.76134122383600178</v>
      </c>
      <c r="AF9">
        <f ca="1">input_parameters!O29+(N9 * state_costs!M9 + O9 * state_costs!N9 + P9 * state_costs!O9 + Q9 * state_costs!P9) * (1 / (1 + model_settings!F10)^(0 * model_settings!F9))</f>
        <v>1629.9469972877448</v>
      </c>
      <c r="AG9">
        <f ca="1">(N9 * state_qalys!M9 + O9 * state_qalys!N9 + P9 * state_qalys!O9 + Q9 * state_qalys!P9) * (1 / (1 + model_settings!F11)^(0 * model_settings!F9))</f>
        <v>0.76134122383600178</v>
      </c>
      <c r="AH9">
        <f ca="1">input_parameters!O30+R9 * state_costs!Q9 + S9 * state_costs!R9 + T9 * state_costs!S9 + U9 * state_costs!T9</f>
        <v>1483.5880497009703</v>
      </c>
      <c r="AI9">
        <f ca="1">R9 * state_qalys!Q9 + S9 * state_qalys!R9 + T9 * state_qalys!S9 + U9 * state_qalys!T9</f>
        <v>0.76134122383600178</v>
      </c>
      <c r="AJ9">
        <f ca="1">input_parameters!O30+(R9 * state_costs!Q9 + S9 * state_costs!R9 + T9 * state_costs!S9 + U9 * state_costs!T9) * (1 / (1 + model_settings!F10)^(0 * model_settings!F9))</f>
        <v>1483.5880497009703</v>
      </c>
      <c r="AK9">
        <f ca="1">(R9 * state_qalys!Q9 + S9 * state_qalys!R9 + T9 * state_qalys!S9 + U9 * state_qalys!T9) * (1 / (1 + model_settings!F11)^(0 * model_settings!F9))</f>
        <v>0.76134122383600178</v>
      </c>
    </row>
    <row r="10" spans="5:37" x14ac:dyDescent="0.55000000000000004">
      <c r="E10">
        <v>2</v>
      </c>
      <c r="F10">
        <f ca="1">F9 * (1 - (input_parameters!O9+input_parameters!O14))</f>
        <v>0.92977463040119868</v>
      </c>
      <c r="G10">
        <f ca="1">G9 * (1 - (input_parameters!O13+input_parameters!O15)) + F9 * input_parameters!O9</f>
        <v>4.783222057955957E-3</v>
      </c>
      <c r="H10">
        <f ca="1">H9 * (1 - (input_parameters!O16)) + G9 * input_parameters!O13</f>
        <v>0</v>
      </c>
      <c r="I10">
        <f ca="1">I9 * (1 - (0)) + F9 * input_parameters!O14+G9 * input_parameters!O15+H9 * input_parameters!O16</f>
        <v>6.5442147540845416E-2</v>
      </c>
      <c r="J10">
        <f ca="1">J9 * (1 - (input_parameters!O10+input_parameters!O14))</f>
        <v>0.93152230723077334</v>
      </c>
      <c r="K10">
        <f ca="1">K9 * (1 - (input_parameters!O13+input_parameters!O15)) + J9 * input_parameters!O10</f>
        <v>3.035545228381242E-3</v>
      </c>
      <c r="L10">
        <f ca="1">L9 * (1 - (input_parameters!O16)) + K9 * input_parameters!O13</f>
        <v>0</v>
      </c>
      <c r="M10">
        <f ca="1">M9 * (1 - (0)) + J9 * input_parameters!O14+K9 * input_parameters!O15+L9 * input_parameters!O16</f>
        <v>6.5442147540845416E-2</v>
      </c>
      <c r="N10">
        <f ca="1">N9 * (1 - (input_parameters!O11+input_parameters!O14))</f>
        <v>0.93071686106146612</v>
      </c>
      <c r="O10">
        <f ca="1">O9 * (1 - (input_parameters!O13+input_parameters!O15)) + N9 * input_parameters!O11</f>
        <v>3.8409913976885125E-3</v>
      </c>
      <c r="P10">
        <f ca="1">P9 * (1 - (input_parameters!O16)) + O9 * input_parameters!O13</f>
        <v>0</v>
      </c>
      <c r="Q10">
        <f ca="1">Q9 * (1 - (0)) + N9 * input_parameters!O14+O9 * input_parameters!O15+P9 * input_parameters!O16</f>
        <v>6.5442147540845416E-2</v>
      </c>
      <c r="R10">
        <f ca="1">R9 * (1 - (input_parameters!O12+input_parameters!O14))</f>
        <v>0.930774859812596</v>
      </c>
      <c r="S10">
        <f ca="1">S9 * (1 - (input_parameters!O13+input_parameters!O15)) + R9 * input_parameters!O12</f>
        <v>3.7829926465586068E-3</v>
      </c>
      <c r="T10">
        <f ca="1">T9 * (1 - (input_parameters!O16)) + S9 * input_parameters!O13</f>
        <v>0</v>
      </c>
      <c r="U10">
        <f ca="1">U9 * (1 - (0)) + R9 * input_parameters!O14+S9 * input_parameters!O15+T9 * input_parameters!O16</f>
        <v>6.5442147540845416E-2</v>
      </c>
      <c r="V10">
        <f ca="1">F10 * state_costs!E9 + G10 * state_costs!F9 + H10 * state_costs!G9 + I10 * state_costs!H9</f>
        <v>43.903737059124488</v>
      </c>
      <c r="W10">
        <f ca="1">F10 * state_qalys!E9 + G10 * state_qalys!F9 + H10 * state_qalys!G9 + I10 * state_qalys!H9</f>
        <v>0.710623213842831</v>
      </c>
      <c r="X10">
        <f ca="1">(F10 * state_costs!E9 + G10 * state_costs!F9 + H10 * state_costs!G9 + I10 * state_costs!H9) * (1 / (1 + model_settings!F10)^(1 * model_settings!F9))</f>
        <v>42.419069622342505</v>
      </c>
      <c r="Y10">
        <f ca="1">(F10 * state_qalys!E9 + G10 * state_qalys!F9 + H10 * state_qalys!G9 + I10 * state_qalys!H9) * (1 / (1 + model_settings!F11)^(1 * model_settings!F9))</f>
        <v>0.68659247714283189</v>
      </c>
      <c r="Z10">
        <f ca="1">J10 * state_costs!I9 + K10 * state_costs!J9 + L10 * state_costs!K9 + M10 * state_costs!L9</f>
        <v>26.767537127867651</v>
      </c>
      <c r="AA10">
        <f ca="1">J10 * state_qalys!I9 + K10 * state_qalys!J9 + L10 * state_qalys!K9 + M10 * state_qalys!L9</f>
        <v>0.71094993542385199</v>
      </c>
      <c r="AB10">
        <f ca="1">(J10 * state_costs!I9 + K10 * state_costs!J9 + L10 * state_costs!K9 + M10 * state_costs!L9) * (1 / (1 + model_settings!F10)^(1 * model_settings!F9))</f>
        <v>25.862354712915607</v>
      </c>
      <c r="AC10">
        <f ca="1">(J10 * state_qalys!I9 + K10 * state_qalys!J9 + L10 * state_qalys!K9 + M10 * state_qalys!L9) * (1 / (1 + model_settings!F11)^(1 * model_settings!F9))</f>
        <v>0.68690815016797302</v>
      </c>
      <c r="AD10">
        <f ca="1">N10 * state_costs!M9 + O10 * state_costs!N9 + P10 * state_costs!O9 + Q10 * state_costs!P9</f>
        <v>32.260502381924248</v>
      </c>
      <c r="AE10">
        <f ca="1">N10 * state_qalys!M9 + O10 * state_qalys!N9 + P10 * state_qalys!O9 + Q10 * state_qalys!P9</f>
        <v>0.7107993603052658</v>
      </c>
      <c r="AF10">
        <f ca="1">(N10 * state_costs!M9 + O10 * state_costs!N9 + P10 * state_costs!O9 + Q10 * state_costs!P9) * (1 / (1 + model_settings!F10)^(1 * model_settings!F9))</f>
        <v>31.169567518767391</v>
      </c>
      <c r="AG10">
        <f ca="1">(N10 * state_qalys!M9 + O10 * state_qalys!N9 + P10 * state_qalys!O9 + Q10 * state_qalys!P9) * (1 / (1 + model_settings!F11)^(1 * model_settings!F9))</f>
        <v>0.68676266696160948</v>
      </c>
      <c r="AH10">
        <f ca="1">R10 * state_costs!Q9 + S10 * state_costs!R9 + T10 * state_costs!S9 + U10 * state_costs!T9</f>
        <v>36.558086001999648</v>
      </c>
      <c r="AI10">
        <f ca="1">R10 * state_qalys!Q9 + S10 * state_qalys!R9 + T10 * state_qalys!S9 + U10 * state_qalys!T9</f>
        <v>0.71081020295268549</v>
      </c>
      <c r="AJ10">
        <f ca="1">(R10 * state_costs!Q9 + S10 * state_costs!R9 + T10 * state_costs!S9 + U10 * state_costs!T9) * (1 / (1 + model_settings!F10)^(1 * model_settings!F9))</f>
        <v>35.321822224154253</v>
      </c>
      <c r="AK10">
        <f ca="1">(R10 * state_qalys!Q9 + S10 * state_qalys!R9 + T10 * state_qalys!S9 + U10 * state_qalys!T9) * (1 / (1 + model_settings!F11)^(1 * model_settings!F9))</f>
        <v>0.68677314294945457</v>
      </c>
    </row>
    <row r="11" spans="5:37" x14ac:dyDescent="0.55000000000000004">
      <c r="E11">
        <v>3</v>
      </c>
      <c r="F11">
        <f ca="1">F10 * (1 - (input_parameters!O9+input_parameters!O14))</f>
        <v>0.86448086333768559</v>
      </c>
      <c r="G11">
        <f ca="1">G10 * (1 - (input_parameters!O13+input_parameters!O15)) + F10 * input_parameters!O9</f>
        <v>8.7528923934443083E-3</v>
      </c>
      <c r="H11">
        <f ca="1">H10 * (1 - (input_parameters!O16)) + G10 * input_parameters!O13</f>
        <v>1.9047254390969871E-4</v>
      </c>
      <c r="I11">
        <f ca="1">I10 * (1 - (0)) + F10 * input_parameters!O14+G10 * input_parameters!O15+H10 * input_parameters!O16</f>
        <v>0.12657577172496048</v>
      </c>
      <c r="J11">
        <f ca="1">J10 * (1 - (input_parameters!O10+input_parameters!O14))</f>
        <v>0.86773380886854323</v>
      </c>
      <c r="K11">
        <f ca="1">K10 * (1 - (input_parameters!O13+input_parameters!O15)) + J10 * input_parameters!O10</f>
        <v>5.5600965494747049E-3</v>
      </c>
      <c r="L11">
        <f ca="1">L10 * (1 - (input_parameters!O16)) + K10 * input_parameters!O13</f>
        <v>1.2087835663849633E-4</v>
      </c>
      <c r="M11">
        <f ca="1">M10 * (1 - (0)) + J10 * input_parameters!O14+K10 * input_parameters!O15+L10 * input_parameters!O16</f>
        <v>0.12658521622534349</v>
      </c>
      <c r="N11">
        <f ca="1">N10 * (1 - (input_parameters!O11+input_parameters!O14))</f>
        <v>0.86623387546410846</v>
      </c>
      <c r="O11">
        <f ca="1">O10 * (1 - (input_parameters!O13+input_parameters!O15)) + N10 * input_parameters!O11</f>
        <v>7.0323089622083973E-3</v>
      </c>
      <c r="P11">
        <f ca="1">P10 * (1 - (input_parameters!O16)) + O10 * input_parameters!O13</f>
        <v>1.5295200469234345E-4</v>
      </c>
      <c r="Q11">
        <f ca="1">Q10 * (1 - (0)) + N10 * input_parameters!O14+O10 * input_parameters!O15+P10 * input_parameters!O16</f>
        <v>0.12658086356899093</v>
      </c>
      <c r="R11">
        <f ca="1">R10 * (1 - (input_parameters!O12+input_parameters!O14))</f>
        <v>0.86634183965915779</v>
      </c>
      <c r="S11">
        <f ca="1">S10 * (1 - (input_parameters!O13+input_parameters!O15)) + R10 * input_parameters!O12</f>
        <v>6.9263409066405148E-3</v>
      </c>
      <c r="T11">
        <f ca="1">T10 * (1 - (input_parameters!O16)) + S10 * input_parameters!O13</f>
        <v>1.5064243814129363E-4</v>
      </c>
      <c r="U11">
        <f ca="1">U10 * (1 - (0)) + R10 * input_parameters!O14+S10 * input_parameters!O15+T10 * input_parameters!O16</f>
        <v>0.1265811769960605</v>
      </c>
      <c r="V11">
        <f ca="1">F11 * state_costs!E9 + G11 * state_costs!F9 + H11 * state_costs!G9 + I11 * state_costs!H9</f>
        <v>42.704103938875164</v>
      </c>
      <c r="W11">
        <f ca="1">F11 * state_qalys!E9 + G11 * state_qalys!F9 + H11 * state_qalys!G9 + I11 * state_qalys!H9</f>
        <v>0.66330205354152516</v>
      </c>
      <c r="X11">
        <f ca="1">(F11 * state_costs!E9 + G11 * state_costs!F9 + H11 * state_costs!G9 + I11 * state_costs!H9) * (1 / (1 + model_settings!F10)^(2 * model_settings!F9))</f>
        <v>39.864737976499022</v>
      </c>
      <c r="Y11">
        <f ca="1">(F11 * state_qalys!E9 + G11 * state_qalys!F9 + H11 * state_qalys!G9 + I11 * state_qalys!H9) * (1 / (1 + model_settings!F11)^(2 * model_settings!F9))</f>
        <v>0.61919956455602254</v>
      </c>
      <c r="Z11">
        <f ca="1">J11 * state_costs!I9 + K11 * state_costs!J9 + L11 * state_costs!K9 + M11 * state_costs!L9</f>
        <v>26.129885970383846</v>
      </c>
      <c r="AA11">
        <f ca="1">J11 * state_qalys!I9 + K11 * state_qalys!J9 + L11 * state_qalys!K9 + M11 * state_qalys!L9</f>
        <v>0.66390471400816309</v>
      </c>
      <c r="AB11">
        <f ca="1">(J11 * state_costs!I9 + K11 * state_costs!J9 + L11 * state_costs!K9 + M11 * state_costs!L9) * (1 / (1 + model_settings!F10)^(2 * model_settings!F9))</f>
        <v>24.392528152707275</v>
      </c>
      <c r="AC11">
        <f ca="1">(J11 * state_qalys!I9 + K11 * state_qalys!J9 + L11 * state_qalys!K9 + M11 * state_qalys!L9) * (1 / (1 + model_settings!F11)^(2 * model_settings!F9))</f>
        <v>0.6197621545503168</v>
      </c>
      <c r="AD11">
        <f ca="1">N11 * state_costs!M9 + O11 * state_costs!N9 + P11 * state_costs!O9 + Q11 * state_costs!P9</f>
        <v>31.537887750752869</v>
      </c>
      <c r="AE11">
        <f ca="1">N11 * state_qalys!M9 + O11 * state_qalys!N9 + P11 * state_qalys!O9 + Q11 * state_qalys!P9</f>
        <v>0.66362682595112188</v>
      </c>
      <c r="AF11">
        <f ca="1">(N11 * state_costs!M9 + O11 * state_costs!N9 + P11 * state_costs!O9 + Q11 * state_costs!P9) * (1 / (1 + model_settings!F10)^(2 * model_settings!F9))</f>
        <v>29.440955682282315</v>
      </c>
      <c r="AG11">
        <f ca="1">(N11 * state_qalys!M9 + O11 * state_qalys!N9 + P11 * state_qalys!O9 + Q11 * state_qalys!P9) * (1 / (1 + model_settings!F11)^(2 * model_settings!F9))</f>
        <v>0.61950274307556485</v>
      </c>
      <c r="AH11">
        <f ca="1">R11 * state_costs!Q9 + S11 * state_costs!R9 + T11 * state_costs!S9 + U11 * state_costs!T9</f>
        <v>35.517003034350346</v>
      </c>
      <c r="AI11">
        <f ca="1">R11 * state_qalys!Q9 + S11 * state_qalys!R9 + T11 * state_qalys!S9 + U11 * state_qalys!T9</f>
        <v>0.66364682807328934</v>
      </c>
      <c r="AJ11">
        <f ca="1">(R11 * state_costs!Q9 + S11 * state_costs!R9 + T11 * state_costs!S9 + U11 * state_costs!T9) * (1 / (1 + model_settings!F10)^(2 * model_settings!F9))</f>
        <v>33.15550237751205</v>
      </c>
      <c r="AK11">
        <f ca="1">(R11 * state_qalys!Q9 + S11 * state_qalys!R9 + T11 * state_qalys!S9 + U11 * state_qalys!T9) * (1 / (1 + model_settings!F11)^(2 * model_settings!F9))</f>
        <v>0.6195214152706382</v>
      </c>
    </row>
    <row r="12" spans="5:37" x14ac:dyDescent="0.55000000000000004">
      <c r="E12">
        <v>4</v>
      </c>
      <c r="F12">
        <f ca="1">F11 * (1 - (input_parameters!O9+input_parameters!O14))</f>
        <v>0.80377237519870581</v>
      </c>
      <c r="G12">
        <f ca="1">G11 * (1 - (input_parameters!O13+input_parameters!O15)) + F11 * input_parameters!O9</f>
        <v>1.2013840488376925E-2</v>
      </c>
      <c r="H12">
        <f ca="1">H11 * (1 - (input_parameters!O16)) + G11 * input_parameters!O13</f>
        <v>5.2581762854320613E-4</v>
      </c>
      <c r="I12">
        <f ca="1">I11 * (1 - (0)) + F11 * input_parameters!O14+G11 * input_parameters!O15+H11 * input_parameters!O16</f>
        <v>0.18368796668437423</v>
      </c>
      <c r="J12">
        <f ca="1">J11 * (1 - (input_parameters!O10+input_parameters!O14))</f>
        <v>0.80831339969937233</v>
      </c>
      <c r="K12">
        <f ca="1">K11 * (1 - (input_parameters!O13+input_parameters!O15)) + J11 * input_parameters!O10</f>
        <v>7.6389156098126843E-3</v>
      </c>
      <c r="L12">
        <f ca="1">L11 * (1 - (input_parameters!O16)) + K11 * input_parameters!O13</f>
        <v>3.3390749159875578E-4</v>
      </c>
      <c r="M12">
        <f ca="1">M11 * (1 - (0)) + J11 * input_parameters!O14+K11 * input_parameters!O15+L11 * input_parameters!O16</f>
        <v>0.18371377719921622</v>
      </c>
      <c r="N12">
        <f ca="1">N11 * (1 - (input_parameters!O11+input_parameters!O14))</f>
        <v>0.80621847351706399</v>
      </c>
      <c r="O12">
        <f ca="1">O11 * (1 - (input_parameters!O13+input_parameters!O15)) + N11 * input_parameters!O11</f>
        <v>9.6572658768001012E-3</v>
      </c>
      <c r="P12">
        <f ca="1">P11 * (1 - (input_parameters!O16)) + O11 * input_parameters!O13</f>
        <v>4.2238271664266666E-4</v>
      </c>
      <c r="Q12">
        <f ca="1">Q11 * (1 - (0)) + N11 * input_parameters!O14+O11 * input_parameters!O15+P11 * input_parameters!O16</f>
        <v>0.18370187788949344</v>
      </c>
      <c r="R12">
        <f ca="1">R11 * (1 - (input_parameters!O12+input_parameters!O14))</f>
        <v>0.80636920435853909</v>
      </c>
      <c r="S12">
        <f ca="1">S11 * (1 - (input_parameters!O13+input_parameters!O15)) + R11 * input_parameters!O12</f>
        <v>9.5120476392595767E-3</v>
      </c>
      <c r="T12">
        <f ca="1">T11 * (1 - (input_parameters!O16)) + S11 * input_parameters!O13</f>
        <v>4.1601349877471024E-4</v>
      </c>
      <c r="U12">
        <f ca="1">U11 * (1 - (0)) + R11 * input_parameters!O14+S11 * input_parameters!O15+T11 * input_parameters!O16</f>
        <v>0.18370273450342672</v>
      </c>
      <c r="V12">
        <f ca="1">F12 * state_costs!E9 + G12 * state_costs!F9 + H12 * state_costs!G9 + I12 * state_costs!H9</f>
        <v>41.488375857240086</v>
      </c>
      <c r="W12">
        <f ca="1">F12 * state_qalys!E9 + G12 * state_qalys!F9 + H12 * state_qalys!G9 + I12 * state_qalys!H9</f>
        <v>0.61914806704551106</v>
      </c>
      <c r="X12">
        <f ca="1">(F12 * state_costs!E9 + G12 * state_costs!F9 + H12 * state_costs!G9 + I12 * state_costs!H9) * (1 / (1 + model_settings!F10)^(3 * model_settings!F9))</f>
        <v>37.420137974450981</v>
      </c>
      <c r="Y12">
        <f ca="1">(F12 * state_qalys!E9 + G12 * state_qalys!F9 + H12 * state_qalys!G9 + I12 * state_qalys!H9) * (1 / (1 + model_settings!F11)^(3 * model_settings!F9))</f>
        <v>0.55843608280015433</v>
      </c>
      <c r="Z12">
        <f ca="1">J12 * state_costs!I9 + K12 * state_costs!J9 + L12 * state_costs!K9 + M12 * state_costs!L9</f>
        <v>25.472221796829587</v>
      </c>
      <c r="AA12">
        <f ca="1">J12 * state_qalys!I9 + K12 * state_qalys!J9 + L12 * state_qalys!K9 + M12 * state_qalys!L9</f>
        <v>0.61998205720508337</v>
      </c>
      <c r="AB12">
        <f ca="1">(J12 * state_costs!I9 + K12 * state_costs!J9 + L12 * state_costs!K9 + M12 * state_costs!L9) * (1 / (1 + model_settings!F10)^(3 * model_settings!F9))</f>
        <v>22.974484646808452</v>
      </c>
      <c r="AC12">
        <f ca="1">(J12 * state_qalys!I9 + K12 * state_qalys!J9 + L12 * state_qalys!K9 + M12 * state_qalys!L9) * (1 / (1 + model_settings!F11)^(3 * model_settings!F9))</f>
        <v>0.55918829414117954</v>
      </c>
      <c r="AD12">
        <f ca="1">N12 * state_costs!M9 + O12 * state_costs!N9 + P12 * state_costs!O9 + Q12 * state_costs!P9</f>
        <v>30.784764053698588</v>
      </c>
      <c r="AE12">
        <f ca="1">N12 * state_qalys!M9 + O12 * state_qalys!N9 + P12 * state_qalys!O9 + Q12 * state_qalys!P9</f>
        <v>0.61959730510914923</v>
      </c>
      <c r="AF12">
        <f ca="1">(N12 * state_costs!M9 + O12 * state_costs!N9 + P12 * state_costs!O9 + Q12 * state_costs!P9) * (1 / (1 + model_settings!F10)^(3 * model_settings!F9))</f>
        <v>27.766093383944579</v>
      </c>
      <c r="AG12">
        <f ca="1">(N12 * state_qalys!M9 + O12 * state_qalys!N9 + P12 * state_qalys!O9 + Q12 * state_qalys!P9) * (1 / (1 + model_settings!F11)^(3 * model_settings!F9))</f>
        <v>0.55884126979476123</v>
      </c>
      <c r="AH12">
        <f ca="1">R12 * state_costs!Q9 + S12 * state_costs!R9 + T12 * state_costs!S9 + U12 * state_costs!T9</f>
        <v>34.468631769260554</v>
      </c>
      <c r="AI12">
        <f ca="1">R12 * state_qalys!Q9 + S12 * state_qalys!R9 + T12 * state_qalys!S9 + U12 * state_qalys!T9</f>
        <v>0.61962498792578813</v>
      </c>
      <c r="AJ12">
        <f ca="1">(R12 * state_costs!Q9 + S12 * state_costs!R9 + T12 * state_costs!S9 + U12 * state_costs!T9) * (1 / (1 + model_settings!F10)^(3 * model_settings!F9))</f>
        <v>31.088730998641616</v>
      </c>
      <c r="AK12">
        <f ca="1">(R12 * state_qalys!Q9 + S12 * state_qalys!R9 + T12 * state_qalys!S9 + U12 * state_qalys!T9) * (1 / (1 + model_settings!F11)^(3 * model_settings!F9))</f>
        <v>0.55886623810930103</v>
      </c>
    </row>
    <row r="13" spans="5:37" x14ac:dyDescent="0.55000000000000004">
      <c r="E13">
        <v>5</v>
      </c>
      <c r="F13">
        <f ca="1">F12 * (1 - (input_parameters!O9+input_parameters!O14))</f>
        <v>0.74732716307707026</v>
      </c>
      <c r="G13">
        <f ca="1">G12 * (1 - (input_parameters!O13+input_parameters!O15)) + F12 * input_parameters!O9</f>
        <v>1.4658771105622078E-2</v>
      </c>
      <c r="H13">
        <f ca="1">H12 * (1 - (input_parameters!O16)) + G12 * input_parameters!O13</f>
        <v>9.6777066118875464E-4</v>
      </c>
      <c r="I13">
        <f ca="1">I12 * (1 - (0)) + F12 * input_parameters!O14+G12 * input_parameters!O15+H12 * input_parameters!O16</f>
        <v>0.23704629515611908</v>
      </c>
      <c r="J13">
        <f ca="1">J12 * (1 - (input_parameters!O10+input_parameters!O14))</f>
        <v>0.7529619630535096</v>
      </c>
      <c r="K13">
        <f ca="1">K12 * (1 - (input_parameters!O13+input_parameters!O15)) + J12 * input_parameters!O10</f>
        <v>9.3297723581166562E-3</v>
      </c>
      <c r="L13">
        <f ca="1">L12 * (1 - (input_parameters!O16)) + K12 * input_parameters!O13</f>
        <v>6.149500085186508E-4</v>
      </c>
      <c r="M13">
        <f ca="1">M12 * (1 - (0)) + J12 * input_parameters!O14+K12 * input_parameters!O15+L12 * input_parameters!O16</f>
        <v>0.23709331457985508</v>
      </c>
      <c r="N13">
        <f ca="1">N12 * (1 - (input_parameters!O11+input_parameters!O14))</f>
        <v>0.75036112700156854</v>
      </c>
      <c r="O13">
        <f ca="1">O12 * (1 - (input_parameters!O13+input_parameters!O15)) + N12 * input_parameters!O11</f>
        <v>1.178957834900461E-2</v>
      </c>
      <c r="P13">
        <f ca="1">P12 * (1 - (input_parameters!O16)) + O12 * input_parameters!O13</f>
        <v>7.7766478444316143E-4</v>
      </c>
      <c r="Q13">
        <f ca="1">Q12 * (1 - (0)) + N12 * input_parameters!O14+O12 * input_parameters!O15+P12 * input_parameters!O16</f>
        <v>0.23707162986498392</v>
      </c>
      <c r="R13">
        <f ca="1">R12 * (1 - (input_parameters!O12+input_parameters!O14))</f>
        <v>0.75054818314401384</v>
      </c>
      <c r="S13">
        <f ca="1">S12 * (1 - (input_parameters!O13+input_parameters!O15)) + R12 * input_parameters!O12</f>
        <v>1.1612672021081417E-2</v>
      </c>
      <c r="T13">
        <f ca="1">T12 * (1 - (input_parameters!O16)) + S12 * input_parameters!O13</f>
        <v>7.6595435053759342E-4</v>
      </c>
      <c r="U13">
        <f ca="1">U12 * (1 - (0)) + R12 * input_parameters!O14+S12 * input_parameters!O15+T12 * input_parameters!O16</f>
        <v>0.23707319048436731</v>
      </c>
      <c r="V13">
        <f ca="1">F13 * state_costs!E9 + G13 * state_costs!F9 + H13 * state_costs!G9 + I13 * state_costs!H9</f>
        <v>40.261620261713865</v>
      </c>
      <c r="W13">
        <f ca="1">F13 * state_qalys!E9 + G13 * state_qalys!F9 + H13 * state_qalys!G9 + I13 * state_qalys!H9</f>
        <v>0.57794734814031712</v>
      </c>
      <c r="X13">
        <f ca="1">(F13 * state_costs!E9 + G13 * state_costs!F9 + H13 * state_costs!G9 + I13 * state_costs!H9) * (1 / (1 + model_settings!F10)^(4 * model_settings!F9))</f>
        <v>35.08567605162191</v>
      </c>
      <c r="Y13">
        <f ca="1">(F13 * state_qalys!E9 + G13 * state_qalys!F9 + H13 * state_qalys!G9 + I13 * state_qalys!H9) * (1 / (1 + model_settings!F11)^(4 * model_settings!F9))</f>
        <v>0.50364772455588036</v>
      </c>
      <c r="Z13">
        <f ca="1">J13 * state_costs!I9 + K13 * state_costs!J9 + L13 * state_costs!K9 + M13 * state_costs!L9</f>
        <v>24.798413674891762</v>
      </c>
      <c r="AA13">
        <f ca="1">J13 * state_qalys!I9 + K13 * state_qalys!J9 + L13 * state_qalys!K9 + M13 * state_qalys!L9</f>
        <v>0.57897353947342278</v>
      </c>
      <c r="AB13">
        <f ca="1">(J13 * state_costs!I9 + K13 * state_costs!J9 + L13 * state_costs!K9 + M13 * state_costs!L9) * (1 / (1 + model_settings!F10)^(4 * model_settings!F9))</f>
        <v>21.610384856238419</v>
      </c>
      <c r="AC13">
        <f ca="1">(J13 * state_qalys!I9 + K13 * state_qalys!J9 + L13 * state_qalys!K9 + M13 * state_qalys!L9) * (1 / (1 + model_settings!F11)^(4 * model_settings!F9))</f>
        <v>0.50454199101724684</v>
      </c>
      <c r="AD13">
        <f ca="1">N13 * state_costs!M9 + O13 * state_costs!N9 + P13 * state_costs!O9 + Q13 * state_costs!P9</f>
        <v>30.006406657186453</v>
      </c>
      <c r="AE13">
        <f ca="1">N13 * state_qalys!M9 + O13 * state_qalys!N9 + P13 * state_qalys!O9 + Q13 * state_qalys!P9</f>
        <v>0.57849987336999176</v>
      </c>
      <c r="AF13">
        <f ca="1">(N13 * state_costs!M9 + O13 * state_costs!N9 + P13 * state_costs!O9 + Q13 * state_costs!P9) * (1 / (1 + model_settings!F10)^(4 * model_settings!F9))</f>
        <v>26.148849862567836</v>
      </c>
      <c r="AG13">
        <f ca="1">(N13 * state_qalys!M9 + O13 * state_qalys!N9 + P13 * state_qalys!O9 + Q13 * state_qalys!P9) * (1 / (1 + model_settings!F11)^(4 * model_settings!F9))</f>
        <v>0.5041292183728876</v>
      </c>
      <c r="AH13">
        <f ca="1">R13 * state_costs!Q9 + S13 * state_costs!R9 + T13 * state_costs!S9 + U13 * state_costs!T9</f>
        <v>33.416590602698307</v>
      </c>
      <c r="AI13">
        <f ca="1">R13 * state_qalys!Q9 + S13 * state_qalys!R9 + T13 * state_qalys!S9 + U13 * state_qalys!T9</f>
        <v>0.57853393957601496</v>
      </c>
      <c r="AJ13">
        <f ca="1">(R13 * state_costs!Q9 + S13 * state_costs!R9 + T13 * state_costs!S9 + U13 * state_costs!T9) * (1 / (1 + model_settings!F10)^(4 * model_settings!F9))</f>
        <v>29.120628156906591</v>
      </c>
      <c r="AK13">
        <f ca="1">(R13 * state_qalys!Q9 + S13 * state_qalys!R9 + T13 * state_qalys!S9 + U13 * state_qalys!T9) * (1 / (1 + model_settings!F11)^(4 * model_settings!F9))</f>
        <v>0.50415890510335371</v>
      </c>
    </row>
    <row r="14" spans="5:37" x14ac:dyDescent="0.55000000000000004">
      <c r="E14">
        <v>6</v>
      </c>
      <c r="F14">
        <f ca="1">F13 * (1 - (input_parameters!O9+input_parameters!O14))</f>
        <v>0.69484583683875933</v>
      </c>
      <c r="G14">
        <f ca="1">G13 * (1 - (input_parameters!O13+input_parameters!O15)) + F13 * input_parameters!O9</f>
        <v>1.6769591383698823E-2</v>
      </c>
      <c r="H14">
        <f ca="1">H13 * (1 - (input_parameters!O16)) + G13 * input_parameters!O13</f>
        <v>1.4844111498216236E-3</v>
      </c>
      <c r="I14">
        <f ca="1">I13 * (1 - (0)) + F13 * input_parameters!O14+G13 * input_parameters!O15+H13 * input_parameters!O16</f>
        <v>0.28690016062772039</v>
      </c>
      <c r="J14">
        <f ca="1">J13 * (1 - (input_parameters!O10+input_parameters!O14))</f>
        <v>0.70140086508061761</v>
      </c>
      <c r="K14">
        <f ca="1">K13 * (1 - (input_parameters!O13+input_parameters!O15)) + J13 * input_parameters!O10</f>
        <v>1.0683759906617915E-2</v>
      </c>
      <c r="L14">
        <f ca="1">L13 * (1 - (input_parameters!O16)) + K13 * input_parameters!O13</f>
        <v>9.4384217424070549E-4</v>
      </c>
      <c r="M14">
        <f ca="1">M13 * (1 - (0)) + J13 * input_parameters!O14+K13 * input_parameters!O15+L13 * input_parameters!O16</f>
        <v>0.28697153283852384</v>
      </c>
      <c r="N14">
        <f ca="1">N13 * (1 - (input_parameters!O11+input_parameters!O14))</f>
        <v>0.698373752785444</v>
      </c>
      <c r="O14">
        <f ca="1">O13 * (1 - (input_parameters!O13+input_parameters!O15)) + N13 * input_parameters!O11</f>
        <v>1.3494412457986757E-2</v>
      </c>
      <c r="P14">
        <f ca="1">P13 * (1 - (input_parameters!O16)) + O13 * input_parameters!O13</f>
        <v>1.1932294000080812E-3</v>
      </c>
      <c r="Q14">
        <f ca="1">Q13 * (1 - (0)) + N13 * input_parameters!O14+O13 * input_parameters!O15+P13 * input_parameters!O16</f>
        <v>0.2869386053565614</v>
      </c>
      <c r="R14">
        <f ca="1">R13 * (1 - (input_parameters!O12+input_parameters!O14))</f>
        <v>0.69859137994846809</v>
      </c>
      <c r="S14">
        <f ca="1">S13 * (1 - (input_parameters!O13+input_parameters!O15)) + R13 * input_parameters!O12</f>
        <v>1.3292359458127477E-2</v>
      </c>
      <c r="T14">
        <f ca="1">T13 * (1 - (input_parameters!O16)) + S13 * input_parameters!O13</f>
        <v>1.1752861534202101E-3</v>
      </c>
      <c r="U14">
        <f ca="1">U13 * (1 - (0)) + R13 * input_parameters!O14+S13 * input_parameters!O15+T13 * input_parameters!O16</f>
        <v>0.2869409744399844</v>
      </c>
      <c r="V14">
        <f ca="1">F14 * state_costs!E9 + G14 * state_costs!F9 + H14 * state_costs!G9 + I14 * state_costs!H9</f>
        <v>39.028577224240145</v>
      </c>
      <c r="W14">
        <f ca="1">F14 * state_qalys!E9 + G14 * state_qalys!F9 + H14 * state_qalys!G9 + I14 * state_qalys!H9</f>
        <v>0.53950065226149979</v>
      </c>
      <c r="X14">
        <f ca="1">(F14 * state_costs!E9 + G14 * state_costs!F9 + H14 * state_costs!G9 + I14 * state_costs!H9) * (1 / (1 + model_settings!F10)^(5 * model_settings!F9))</f>
        <v>32.861014763475943</v>
      </c>
      <c r="Y14">
        <f ca="1">(F14 * state_qalys!E9 + G14 * state_qalys!F9 + H14 * state_qalys!G9 + I14 * state_qalys!H9) * (1 / (1 + model_settings!F11)^(5 * model_settings!F9))</f>
        <v>0.45424507270685438</v>
      </c>
      <c r="Z14">
        <f ca="1">J14 * state_costs!I9 + K14 * state_costs!J9 + L14 * state_costs!K9 + M14 * state_costs!L9</f>
        <v>24.11208380647102</v>
      </c>
      <c r="AA14">
        <f ca="1">J14 * state_qalys!I9 + K14 * state_qalys!J9 + L14 * state_qalys!K9 + M14 * state_qalys!L9</f>
        <v>0.54068477931217684</v>
      </c>
      <c r="AB14">
        <f ca="1">(J14 * state_costs!I9 + K14 * state_costs!J9 + L14 * state_costs!K9 + M14 * state_costs!L9) * (1 / (1 + model_settings!F10)^(5 * model_settings!F9))</f>
        <v>20.301727562092545</v>
      </c>
      <c r="AC14">
        <f ca="1">(J14 * state_qalys!I9 + K14 * state_qalys!J9 + L14 * state_qalys!K9 + M14 * state_qalys!L9) * (1 / (1 + model_settings!F11)^(5 * model_settings!F9))</f>
        <v>0.4552420759096758</v>
      </c>
      <c r="AD14">
        <f ca="1">N14 * state_costs!M9 + O14 * state_costs!N9 + P14 * state_costs!O9 + Q14 * state_costs!P9</f>
        <v>29.20774830979952</v>
      </c>
      <c r="AE14">
        <f ca="1">N14 * state_qalys!M9 + O14 * state_qalys!N9 + P14 * state_qalys!O9 + Q14 * state_qalys!P9</f>
        <v>0.54013793075029648</v>
      </c>
      <c r="AF14">
        <f ca="1">(N14 * state_costs!M9 + O14 * state_costs!N9 + P14 * state_costs!O9 + Q14 * state_costs!P9) * (1 / (1 + model_settings!F10)^(5 * model_settings!F9))</f>
        <v>24.592140341208609</v>
      </c>
      <c r="AG14">
        <f ca="1">(N14 * state_qalys!M9 + O14 * state_qalys!N9 + P14 * state_qalys!O9 + Q14 * state_qalys!P9) * (1 / (1 + model_settings!F11)^(5 * model_settings!F9))</f>
        <v>0.45478164409423738</v>
      </c>
      <c r="AH14">
        <f ca="1">R14 * state_costs!Q9 + S14 * state_costs!R9 + T14 * state_costs!S9 + U14 * state_costs!T9</f>
        <v>32.36426997733858</v>
      </c>
      <c r="AI14">
        <f ca="1">R14 * state_qalys!Q9 + S14 * state_qalys!R9 + T14 * state_qalys!S9 + U14 * state_qalys!T9</f>
        <v>0.54017724408488688</v>
      </c>
      <c r="AJ14">
        <f ca="1">(R14 * state_costs!Q9 + S14 * state_costs!R9 + T14 * state_costs!S9 + U14 * state_costs!T9) * (1 / (1 + model_settings!F10)^(5 * model_settings!F9))</f>
        <v>27.249846885884022</v>
      </c>
      <c r="AK14">
        <f ca="1">(R14 * state_qalys!Q9 + S14 * state_qalys!R9 + T14 * state_qalys!S9 + U14 * state_qalys!T9) * (1 / (1 + model_settings!F11)^(5 * model_settings!F9))</f>
        <v>0.45481474486706219</v>
      </c>
    </row>
    <row r="15" spans="5:37" x14ac:dyDescent="0.55000000000000004">
      <c r="E15">
        <v>7</v>
      </c>
      <c r="F15">
        <f ca="1">F14 * (1 - (input_parameters!O9+input_parameters!O14))</f>
        <v>0.64605003113256909</v>
      </c>
      <c r="G15">
        <f ca="1">G14 * (1 - (input_parameters!O13+input_parameters!O15)) + F14 * input_parameters!O9</f>
        <v>1.841859723959707E-2</v>
      </c>
      <c r="H15">
        <f ca="1">H14 * (1 - (input_parameters!O16)) + G14 * input_parameters!O13</f>
        <v>2.0492929572526073E-3</v>
      </c>
      <c r="I15">
        <f ca="1">I14 * (1 - (0)) + F14 * input_parameters!O14+G14 * input_parameters!O15+H14 * input_parameters!O16</f>
        <v>0.33348207867058149</v>
      </c>
      <c r="J15">
        <f ca="1">J14 * (1 - (input_parameters!O10+input_parameters!O14))</f>
        <v>0.65337055213355733</v>
      </c>
      <c r="K15">
        <f ca="1">K14 * (1 - (input_parameters!O13+input_parameters!O15)) + J14 * input_parameters!O10</f>
        <v>1.1746023450375405E-2</v>
      </c>
      <c r="L15">
        <f ca="1">L14 * (1 - (input_parameters!O16)) + K14 * input_parameters!O13</f>
        <v>1.3038525857990784E-3</v>
      </c>
      <c r="M15">
        <f ca="1">M14 * (1 - (0)) + J14 * input_parameters!O14+K14 * input_parameters!O15+L14 * input_parameters!O16</f>
        <v>0.33357957183026832</v>
      </c>
      <c r="N15">
        <f ca="1">N14 * (1 - (input_parameters!O11+input_parameters!O14))</f>
        <v>0.64998822704018477</v>
      </c>
      <c r="O15">
        <f ca="1">O14 * (1 - (input_parameters!O13+input_parameters!O15)) + N14 * input_parameters!O11</f>
        <v>1.482932033293804E-2</v>
      </c>
      <c r="P15">
        <f ca="1">P14 * (1 - (input_parameters!O16)) + O14 * input_parameters!O13</f>
        <v>1.6478751652142347E-3</v>
      </c>
      <c r="Q15">
        <f ca="1">Q14 * (1 - (0)) + N14 * input_parameters!O14+O14 * input_parameters!O15+P14 * input_parameters!O16</f>
        <v>0.33353457746166326</v>
      </c>
      <c r="R15">
        <f ca="1">R14 * (1 - (input_parameters!O12+input_parameters!O14))</f>
        <v>0.6502312937378234</v>
      </c>
      <c r="S15">
        <f ca="1">S14 * (1 - (input_parameters!O13+input_parameters!O15)) + R14 * input_parameters!O12</f>
        <v>1.4607762637557623E-2</v>
      </c>
      <c r="T15">
        <f ca="1">T14 * (1 - (input_parameters!O16)) + S14 * input_parameters!O13</f>
        <v>1.6231298005372485E-3</v>
      </c>
      <c r="U15">
        <f ca="1">U14 * (1 - (0)) + R14 * input_parameters!O14+S14 * input_parameters!O15+T14 * input_parameters!O16</f>
        <v>0.33353781382408193</v>
      </c>
      <c r="V15">
        <f ca="1">F15 * state_costs!E9 + G15 * state_costs!F9 + H15 * state_costs!G9 + I15 * state_costs!H9</f>
        <v>37.793650357652666</v>
      </c>
      <c r="W15">
        <f ca="1">F15 * state_qalys!E9 + G15 * state_qalys!F9 + H15 * state_qalys!G9 + I15 * state_qalys!H9</f>
        <v>0.50362236887168998</v>
      </c>
      <c r="X15">
        <f ca="1">(F15 * state_costs!E9 + G15 * state_costs!F9 + H15 * state_costs!G9 + I15 * state_costs!H9) * (1 / (1 + model_settings!F10)^(6 * model_settings!F9))</f>
        <v>30.745158916692375</v>
      </c>
      <c r="Y15">
        <f ca="1">(F15 * state_qalys!E9 + G15 * state_qalys!F9 + H15 * state_qalys!G9 + I15 * state_qalys!H9) * (1 / (1 + model_settings!F11)^(6 * model_settings!F9))</f>
        <v>0.40969712156491656</v>
      </c>
      <c r="Z15">
        <f ca="1">J15 * state_costs!I9 + K15 * state_costs!J9 + L15 * state_costs!K9 + M15 * state_costs!L9</f>
        <v>23.416604077802408</v>
      </c>
      <c r="AA15">
        <f ca="1">J15 * state_qalys!I9 + K15 * state_qalys!J9 + L15 * state_qalys!K9 + M15 * state_qalys!L9</f>
        <v>0.50493447882429854</v>
      </c>
      <c r="AB15">
        <f ca="1">(J15 * state_costs!I9 + K15 * state_costs!J9 + L15 * state_costs!K9 + M15 * state_costs!L9) * (1 / (1 + model_settings!F10)^(6 * model_settings!F9))</f>
        <v>19.04942250479181</v>
      </c>
      <c r="AC15">
        <f ca="1">(J15 * state_qalys!I9 + K15 * state_qalys!J9 + L15 * state_qalys!K9 + M15 * state_qalys!L9) * (1 / (1 + model_settings!F11)^(6 * model_settings!F9))</f>
        <v>0.41076452385676621</v>
      </c>
      <c r="AD15">
        <f ca="1">N15 * state_costs!M9 + O15 * state_costs!N9 + P15 * state_costs!O9 + Q15 * state_costs!P9</f>
        <v>28.39337712436533</v>
      </c>
      <c r="AE15">
        <f ca="1">N15 * state_qalys!M9 + O15 * state_qalys!N9 + P15 * state_qalys!O9 + Q15 * state_qalys!P9</f>
        <v>0.50432821085500357</v>
      </c>
      <c r="AF15">
        <f ca="1">(N15 * state_costs!M9 + O15 * state_costs!N9 + P15 * state_costs!O9 + Q15 * state_costs!P9) * (1 / (1 + model_settings!F10)^(6 * model_settings!F9))</f>
        <v>23.098030584744205</v>
      </c>
      <c r="AG15">
        <f ca="1">(N15 * state_qalys!M9 + O15 * state_qalys!N9 + P15 * state_qalys!O9 + Q15 * state_qalys!P9) * (1 / (1 + model_settings!F11)^(6 * model_settings!F9))</f>
        <v>0.41027132447312165</v>
      </c>
      <c r="AH15">
        <f ca="1">R15 * state_costs!Q9 + S15 * state_costs!R9 + T15 * state_costs!S9 + U15 * state_costs!T9</f>
        <v>31.314822796016365</v>
      </c>
      <c r="AI15">
        <f ca="1">R15 * state_qalys!Q9 + S15 * state_qalys!R9 + T15 * state_qalys!S9 + U15 * state_qalys!T9</f>
        <v>0.50437177789161569</v>
      </c>
      <c r="AJ15">
        <f ca="1">(R15 * state_costs!Q9 + S15 * state_costs!R9 + T15 * state_costs!S9 + U15 * state_costs!T9) * (1 / (1 + model_settings!F10)^(6 * model_settings!F9))</f>
        <v>25.474628520942417</v>
      </c>
      <c r="AK15">
        <f ca="1">(R15 * state_qalys!Q9 + S15 * state_qalys!R9 + T15 * state_qalys!S9 + U15 * state_qalys!T9) * (1 / (1 + model_settings!F11)^(6 * model_settings!F9))</f>
        <v>0.41030676628547619</v>
      </c>
    </row>
    <row r="16" spans="5:37" x14ac:dyDescent="0.55000000000000004">
      <c r="E16">
        <v>8</v>
      </c>
      <c r="F16">
        <f ca="1">F15 * (1 - (input_parameters!O9+input_parameters!O14))</f>
        <v>0.60068092891696734</v>
      </c>
      <c r="G16">
        <f ca="1">G15 * (1 - (input_parameters!O13+input_parameters!O15)) + F15 * input_parameters!O9</f>
        <v>1.9669533702785239E-2</v>
      </c>
      <c r="H16">
        <f ca="1">H15 * (1 - (input_parameters!O16)) + G15 * input_parameters!O13</f>
        <v>2.6406820898955694E-3</v>
      </c>
      <c r="I16">
        <f ca="1">I15 * (1 - (0)) + F15 * input_parameters!O14+G15 * input_parameters!O15+H15 * input_parameters!O16</f>
        <v>0.37700885529035216</v>
      </c>
      <c r="J16">
        <f ca="1">J15 * (1 - (input_parameters!O10+input_parameters!O14))</f>
        <v>0.60862924420009556</v>
      </c>
      <c r="K16">
        <f ca="1">K15 * (1 - (input_parameters!O13+input_parameters!O15)) + J15 * input_parameters!O10</f>
        <v>1.2556412139671319E-2</v>
      </c>
      <c r="L16">
        <f ca="1">L15 * (1 - (input_parameters!O16)) + K15 * input_parameters!O13</f>
        <v>1.6812073889634358E-3</v>
      </c>
      <c r="M16">
        <f ca="1">M15 * (1 - (0)) + J15 * input_parameters!O14+K15 * input_parameters!O15+L15 * input_parameters!O16</f>
        <v>0.37713313627126982</v>
      </c>
      <c r="N16">
        <f ca="1">N15 * (1 - (input_parameters!O11+input_parameters!O14))</f>
        <v>0.60495500239774835</v>
      </c>
      <c r="O16">
        <f ca="1">O15 * (1 - (input_parameters!O13+input_parameters!O15)) + N15 * input_parameters!O11</f>
        <v>1.5845077138679862E-2</v>
      </c>
      <c r="P16">
        <f ca="1">P15 * (1 - (input_parameters!O16)) + O15 * input_parameters!O13</f>
        <v>2.1241621475378185E-3</v>
      </c>
      <c r="Q16">
        <f ca="1">Q15 * (1 - (0)) + N15 * input_parameters!O14+O15 * input_parameters!O15+P15 * input_parameters!O16</f>
        <v>0.37707575831603435</v>
      </c>
      <c r="R16">
        <f ca="1">R15 * (1 - (input_parameters!O12+input_parameters!O14))</f>
        <v>0.60521894127458553</v>
      </c>
      <c r="S16">
        <f ca="1">S15 * (1 - (input_parameters!O13+input_parameters!O15)) + R15 * input_parameters!O12</f>
        <v>1.5608865006495264E-2</v>
      </c>
      <c r="T16">
        <f ca="1">T15 * (1 - (input_parameters!O16)) + S15 * input_parameters!O13</f>
        <v>2.0923094926733159E-3</v>
      </c>
      <c r="U16">
        <f ca="1">U15 * (1 - (0)) + R15 * input_parameters!O14+S15 * input_parameters!O15+T15 * input_parameters!O16</f>
        <v>0.37707988422624616</v>
      </c>
      <c r="V16">
        <f ca="1">F16 * state_costs!E9 + G16 * state_costs!F9 + H16 * state_costs!G9 + I16 * state_costs!H9</f>
        <v>36.560903599004533</v>
      </c>
      <c r="W16">
        <f ca="1">F16 * state_qalys!E9 + G16 * state_qalys!F9 + H16 * state_qalys!G9 + I16 * state_qalys!H9</f>
        <v>0.47013956815697433</v>
      </c>
      <c r="X16">
        <f ca="1">(F16 * state_costs!E9 + G16 * state_costs!F9 + H16 * state_costs!G9 + I16 * state_costs!H9) * (1 / (1 + model_settings!F10)^(7 * model_settings!F9))</f>
        <v>28.736539743250074</v>
      </c>
      <c r="Y16">
        <f ca="1">(F16 * state_qalys!E9 + G16 * state_qalys!F9 + H16 * state_qalys!G9 + I16 * state_qalys!H9) * (1 / (1 + model_settings!F11)^(7 * model_settings!F9))</f>
        <v>0.36952545083117611</v>
      </c>
      <c r="Z16">
        <f ca="1">J16 * state_costs!I9 + K16 * state_costs!J9 + L16 * state_costs!K9 + M16 * state_costs!L9</f>
        <v>22.715096164257169</v>
      </c>
      <c r="AA16">
        <f ca="1">J16 * state_qalys!I9 + K16 * state_qalys!J9 + L16 * state_qalys!K9 + M16 * state_qalys!L9</f>
        <v>0.47155353041599041</v>
      </c>
      <c r="AB16">
        <f ca="1">(J16 * state_costs!I9 + K16 * state_costs!J9 + L16 * state_costs!K9 + M16 * state_costs!L9) * (1 / (1 + model_settings!F10)^(7 * model_settings!F9))</f>
        <v>17.853860256169828</v>
      </c>
      <c r="AC16">
        <f ca="1">(J16 * state_qalys!I9 + K16 * state_qalys!J9 + L16 * state_qalys!K9 + M16 * state_qalys!L9) * (1 / (1 + model_settings!F11)^(7 * model_settings!F9))</f>
        <v>0.37063681238551083</v>
      </c>
      <c r="AD16">
        <f ca="1">N16 * state_costs!M9 + O16 * state_costs!N9 + P16 * state_costs!O9 + Q16 * state_costs!P9</f>
        <v>27.567538898800446</v>
      </c>
      <c r="AE16">
        <f ca="1">N16 * state_qalys!M9 + O16 * state_qalys!N9 + P16 * state_qalys!O9 + Q16 * state_qalys!P9</f>
        <v>0.47089986041778348</v>
      </c>
      <c r="AF16">
        <f ca="1">(N16 * state_costs!M9 + O16 * state_costs!N9 + P16 * state_costs!O9 + Q16 * state_costs!P9) * (1 / (1 + model_settings!F10)^(7 * model_settings!F9))</f>
        <v>21.667836382756715</v>
      </c>
      <c r="AG16">
        <f ca="1">(N16 * state_qalys!M9 + O16 * state_qalys!N9 + P16 * state_qalys!O9 + Q16 * state_qalys!P9) * (1 / (1 + model_settings!F11)^(7 * model_settings!F9))</f>
        <v>0.37012303367564997</v>
      </c>
      <c r="AH16">
        <f ca="1">R16 * state_costs!Q9 + S16 * state_costs!R9 + T16 * state_costs!S9 + U16 * state_costs!T9</f>
        <v>30.271159634356419</v>
      </c>
      <c r="AI16">
        <f ca="1">R16 * state_qalys!Q9 + S16 * state_qalys!R9 + T16 * state_qalys!S9 + U16 * state_qalys!T9</f>
        <v>0.47094681433773161</v>
      </c>
      <c r="AJ16">
        <f ca="1">(R16 * state_costs!Q9 + S16 * state_costs!R9 + T16 * state_costs!S9 + U16 * state_costs!T9) * (1 / (1 + model_settings!F10)^(7 * model_settings!F9))</f>
        <v>23.79285784202105</v>
      </c>
      <c r="AK16">
        <f ca="1">(R16 * state_qalys!Q9 + S16 * state_qalys!R9 + T16 * state_qalys!S9 + U16 * state_qalys!T9) * (1 / (1 + model_settings!F11)^(7 * model_settings!F9))</f>
        <v>0.37015993903229788</v>
      </c>
    </row>
    <row r="17" spans="5:37" x14ac:dyDescent="0.55000000000000004">
      <c r="E17">
        <v>9</v>
      </c>
      <c r="F17">
        <f ca="1">F16 * (1 - (input_parameters!O9+input_parameters!O14))</f>
        <v>0.55849788867282202</v>
      </c>
      <c r="G17">
        <f ca="1">G16 * (1 - (input_parameters!O13+input_parameters!O15)) + F16 * input_parameters!O9</f>
        <v>2.0578542302933555E-2</v>
      </c>
      <c r="H17">
        <f ca="1">H16 * (1 - (input_parameters!O16)) + G16 * input_parameters!O13</f>
        <v>3.2408895466563732E-3</v>
      </c>
      <c r="I17">
        <f ca="1">I16 * (1 - (0)) + F16 * input_parameters!O14+G16 * input_parameters!O15+H16 * input_parameters!O16</f>
        <v>0.41768267947758841</v>
      </c>
      <c r="J17">
        <f ca="1">J16 * (1 - (input_parameters!O10+input_parameters!O14))</f>
        <v>0.56695171780539477</v>
      </c>
      <c r="K17">
        <f ca="1">K16 * (1 - (input_parameters!O13+input_parameters!O15)) + J16 * input_parameters!O10</f>
        <v>1.3150061890877588E-2</v>
      </c>
      <c r="L17">
        <f ca="1">L16 * (1 - (input_parameters!O16)) + K16 * input_parameters!O13</f>
        <v>2.0646743668930128E-3</v>
      </c>
      <c r="M17">
        <f ca="1">M16 * (1 - (0)) + J16 * input_parameters!O14+K16 * input_parameters!O15+L16 * input_parameters!O16</f>
        <v>0.41783354593683469</v>
      </c>
      <c r="N17">
        <f ca="1">N16 * (1 - (input_parameters!O11+input_parameters!O14))</f>
        <v>0.56304182091506405</v>
      </c>
      <c r="O17">
        <f ca="1">O16 * (1 - (input_parameters!O13+input_parameters!O15)) + N16 * input_parameters!O11</f>
        <v>1.6586429169160095E-2</v>
      </c>
      <c r="P17">
        <f ca="1">P16 * (1 - (input_parameters!O16)) + O16 * input_parameters!O13</f>
        <v>2.6078812694205777E-3</v>
      </c>
      <c r="Q17">
        <f ca="1">Q16 * (1 - (0)) + N16 * input_parameters!O14+O16 * input_parameters!O15+P16 * input_parameters!O16</f>
        <v>0.41776386864635567</v>
      </c>
      <c r="R17">
        <f ca="1">R16 * (1 - (input_parameters!O12+input_parameters!O14))</f>
        <v>0.56332257522078011</v>
      </c>
      <c r="S17">
        <f ca="1">S16 * (1 - (input_parameters!O13+input_parameters!O15)) + R16 * input_parameters!O12</f>
        <v>1.6339716808933834E-2</v>
      </c>
      <c r="T17">
        <f ca="1">T16 * (1 - (input_parameters!O16)) + S16 * input_parameters!O13</f>
        <v>2.5688304488526337E-3</v>
      </c>
      <c r="U17">
        <f ca="1">U16 * (1 - (0)) + R16 * input_parameters!O14+S16 * input_parameters!O15+T16 * input_parameters!O16</f>
        <v>0.41776887752143371</v>
      </c>
      <c r="V17">
        <f ca="1">F17 * state_costs!E9 + G17 * state_costs!F9 + H17 * state_costs!G9 + I17 * state_costs!H9</f>
        <v>35.334062785166054</v>
      </c>
      <c r="W17">
        <f ca="1">F17 * state_qalys!E9 + G17 * state_qalys!F9 + H17 * state_qalys!G9 + I17 * state_qalys!H9</f>
        <v>0.43889111644525658</v>
      </c>
      <c r="X17">
        <f ca="1">(F17 * state_costs!E9 + G17 * state_costs!F9 + H17 * state_costs!G9 + I17 * state_costs!H9) * (1 / (1 + model_settings!F10)^(8 * model_settings!F9))</f>
        <v>26.833095607125657</v>
      </c>
      <c r="Y17">
        <f ca="1">(F17 * state_qalys!E9 + G17 * state_qalys!F9 + H17 * state_qalys!G9 + I17 * state_qalys!H9) * (1 / (1 + model_settings!F11)^(8 * model_settings!F9))</f>
        <v>0.33329898574917993</v>
      </c>
      <c r="Z17">
        <f ca="1">J17 * state_costs!I9 + K17 * state_costs!J9 + L17 * state_costs!K9 + M17 * state_costs!L9</f>
        <v>22.010434525897963</v>
      </c>
      <c r="AA17">
        <f ca="1">J17 * state_qalys!I9 + K17 * state_qalys!J9 + L17 * state_qalys!K9 + M17 * state_qalys!L9</f>
        <v>0.44038418579418415</v>
      </c>
      <c r="AB17">
        <f ca="1">(J17 * state_costs!I9 + K17 * state_costs!J9 + L17 * state_costs!K9 + M17 * state_costs!L9) * (1 / (1 + model_settings!F10)^(8 * model_settings!F9))</f>
        <v>16.714978336308064</v>
      </c>
      <c r="AC17">
        <f ca="1">(J17 * state_qalys!I9 + K17 * state_qalys!J9 + L17 * state_qalys!K9 + M17 * state_qalys!L9) * (1 / (1 + model_settings!F11)^(8 * model_settings!F9))</f>
        <v>0.3344328398669878</v>
      </c>
      <c r="AD17">
        <f ca="1">N17 * state_costs!M9 + O17 * state_costs!N9 + P17 * state_costs!O9 + Q17 * state_costs!P9</f>
        <v>26.734142943021251</v>
      </c>
      <c r="AE17">
        <f ca="1">N17 * state_qalys!M9 + O17 * state_qalys!N9 + P17 * state_qalys!O9 + Q17 * state_qalys!P9</f>
        <v>0.43969358403985559</v>
      </c>
      <c r="AF17">
        <f ca="1">(N17 * state_costs!M9 + O17 * state_costs!N9 + P17 * state_costs!O9 + Q17 * state_costs!P9) * (1 / (1 + model_settings!F10)^(8 * model_settings!F9))</f>
        <v>20.302217096467462</v>
      </c>
      <c r="AG17">
        <f ca="1">(N17 * state_qalys!M9 + O17 * state_qalys!N9 + P17 * state_qalys!O9 + Q17 * state_qalys!P9) * (1 / (1 + model_settings!F11)^(8 * model_settings!F9))</f>
        <v>0.33390838891400748</v>
      </c>
      <c r="AH17">
        <f ca="1">R17 * state_costs!Q9 + S17 * state_costs!R9 + T17 * state_costs!S9 + U17 * state_costs!T9</f>
        <v>29.23594789630166</v>
      </c>
      <c r="AI17">
        <f ca="1">R17 * state_qalys!Q9 + S17 * state_qalys!R9 + T17 * state_qalys!S9 + U17 * state_qalys!T9</f>
        <v>0.43974317017725917</v>
      </c>
      <c r="AJ17">
        <f ca="1">(R17 * state_costs!Q9 + S17 * state_costs!R9 + T17 * state_costs!S9 + U17 * state_costs!T9) * (1 / (1 + model_settings!F10)^(8 * model_settings!F9))</f>
        <v>22.202116689387662</v>
      </c>
      <c r="AK17">
        <f ca="1">(R17 * state_qalys!Q9 + S17 * state_qalys!R9 + T17 * state_qalys!S9 + U17 * state_qalys!T9) * (1 / (1 + model_settings!F11)^(8 * model_settings!F9))</f>
        <v>0.33394604519977988</v>
      </c>
    </row>
    <row r="18" spans="5:37" x14ac:dyDescent="0.55000000000000004">
      <c r="E18">
        <v>10</v>
      </c>
      <c r="F18">
        <f ca="1">F17 * (1 - (input_parameters!O9+input_parameters!O14))</f>
        <v>0.51927716802062285</v>
      </c>
      <c r="G18">
        <f ca="1">G17 * (1 - (input_parameters!O13+input_parameters!O15)) + F17 * input_parameters!O9</f>
        <v>2.1195007286018287E-2</v>
      </c>
      <c r="H18">
        <f ca="1">H17 * (1 - (input_parameters!O16)) + G17 * input_parameters!O13</f>
        <v>3.835688140731265E-3</v>
      </c>
      <c r="I18">
        <f ca="1">I17 * (1 - (0)) + F17 * input_parameters!O14+G17 * input_parameters!O15+H17 * input_parameters!O16</f>
        <v>0.45569213655262791</v>
      </c>
      <c r="J18">
        <f ca="1">J17 * (1 - (input_parameters!O10+input_parameters!O14))</f>
        <v>0.5281281722585317</v>
      </c>
      <c r="K18">
        <f ca="1">K17 * (1 - (input_parameters!O13+input_parameters!O15)) + J17 * input_parameters!O10</f>
        <v>1.3557916303807035E-2</v>
      </c>
      <c r="L18">
        <f ca="1">L17 * (1 - (input_parameters!O16)) + K17 * input_parameters!O13</f>
        <v>2.4451990679192478E-3</v>
      </c>
      <c r="M18">
        <f ca="1">M17 * (1 - (0)) + J17 * input_parameters!O14+K17 * input_parameters!O15+L17 * input_parameters!O16</f>
        <v>0.45586871236974214</v>
      </c>
      <c r="N18">
        <f ca="1">N17 * (1 - (input_parameters!O11+input_parameters!O14))</f>
        <v>0.52403251620840052</v>
      </c>
      <c r="O18">
        <f ca="1">O17 * (1 - (input_parameters!O13+input_parameters!O15)) + N17 * input_parameters!O11</f>
        <v>1.7092762293524147E-2</v>
      </c>
      <c r="P18">
        <f ca="1">P17 * (1 - (input_parameters!O16)) + O17 * input_parameters!O13</f>
        <v>3.0875902694503916E-3</v>
      </c>
      <c r="Q18">
        <f ca="1">Q17 * (1 - (0)) + N17 * input_parameters!O14+O17 * input_parameters!O15+P17 * input_parameters!O16</f>
        <v>0.45578713122862535</v>
      </c>
      <c r="R18">
        <f ca="1">R17 * (1 - (input_parameters!O12+input_parameters!O14))</f>
        <v>0.52432649098039219</v>
      </c>
      <c r="S18">
        <f ca="1">S17 * (1 - (input_parameters!O13+input_parameters!O15)) + R17 * input_parameters!O12</f>
        <v>1.6839092773262926E-2</v>
      </c>
      <c r="T18">
        <f ca="1">T17 * (1 - (input_parameters!O16)) + S17 * input_parameters!O13</f>
        <v>3.0414221317910176E-3</v>
      </c>
      <c r="U18">
        <f ca="1">U17 * (1 - (0)) + R17 * input_parameters!O14+S17 * input_parameters!O15+T17 * input_parameters!O16</f>
        <v>0.45579299411455415</v>
      </c>
      <c r="V18">
        <f ca="1">F18 * state_costs!E9 + G18 * state_costs!F9 + H18 * state_costs!G9 + I18 * state_costs!H9</f>
        <v>34.11652109744152</v>
      </c>
      <c r="W18">
        <f ca="1">F18 * state_qalys!E9 + G18 * state_qalys!F9 + H18 * state_qalys!G9 + I18 * state_qalys!H9</f>
        <v>0.40972685519139301</v>
      </c>
      <c r="X18">
        <f ca="1">(F18 * state_costs!E9 + G18 * state_costs!F9 + H18 * state_costs!G9 + I18 * state_costs!H9) * (1 / (1 + model_settings!F10)^(9 * model_settings!F9))</f>
        <v>25.032348192553247</v>
      </c>
      <c r="Y18">
        <f ca="1">(F18 * state_qalys!E9 + G18 * state_qalys!F9 + H18 * state_qalys!G9 + I18 * state_qalys!H9) * (1 / (1 + model_settings!F11)^(9 * model_settings!F9))</f>
        <v>0.30062928379177406</v>
      </c>
      <c r="Z18">
        <f ca="1">J18 * state_costs!I9 + K18 * state_costs!J9 + L18 * state_costs!K9 + M18 * state_costs!L9</f>
        <v>21.305251723494933</v>
      </c>
      <c r="AA18">
        <f ca="1">J18 * state_qalys!I9 + K18 * state_qalys!J9 + L18 * state_qalys!K9 + M18 * state_qalys!L9</f>
        <v>0.41127928278726605</v>
      </c>
      <c r="AB18">
        <f ca="1">(J18 * state_costs!I9 + K18 * state_costs!J9 + L18 * state_costs!K9 + M18 * state_costs!L9) * (1 / (1 + model_settings!F10)^(9 * model_settings!F9))</f>
        <v>15.63232305982439</v>
      </c>
      <c r="AC18">
        <f ca="1">(J18 * state_qalys!I9 + K18 * state_qalys!J9 + L18 * state_qalys!K9 + M18 * state_qalys!L9) * (1 / (1 + model_settings!F11)^(9 * model_settings!F9))</f>
        <v>0.30176834800094798</v>
      </c>
      <c r="AD18">
        <f ca="1">N18 * state_costs!M9 + O18 * state_costs!N9 + P18 * state_costs!O9 + Q18 * state_costs!P9</f>
        <v>25.896770697872974</v>
      </c>
      <c r="AE18">
        <f ca="1">N18 * state_qalys!M9 + O18 * state_qalys!N9 + P18 * state_qalys!O9 + Q18 * state_qalys!P9</f>
        <v>0.41056084934570847</v>
      </c>
      <c r="AF18">
        <f ca="1">(N18 * state_costs!M9 + O18 * state_costs!N9 + P18 * state_costs!O9 + Q18 * state_costs!P9) * (1 / (1 + model_settings!F10)^(9 * model_settings!F9))</f>
        <v>19.001262740721849</v>
      </c>
      <c r="AG18">
        <f ca="1">(N18 * state_qalys!M9 + O18 * state_qalys!N9 + P18 * state_qalys!O9 + Q18 * state_qalys!P9) * (1 / (1 + model_settings!F11)^(9 * model_settings!F9))</f>
        <v>0.30124121113342039</v>
      </c>
      <c r="AH18">
        <f ca="1">R18 * state_costs!Q9 + S18 * state_costs!R9 + T18 * state_costs!S9 + U18 * state_costs!T9</f>
        <v>28.21161417556997</v>
      </c>
      <c r="AI18">
        <f ca="1">R18 * state_qalys!Q9 + S18 * state_qalys!R9 + T18 * state_qalys!S9 + U18 * state_qalys!T9</f>
        <v>0.41061241231402473</v>
      </c>
      <c r="AJ18">
        <f ca="1">(R18 * state_costs!Q9 + S18 * state_costs!R9 + T18 * state_costs!S9 + U18 * state_costs!T9) * (1 / (1 + model_settings!F10)^(9 * model_settings!F9))</f>
        <v>20.699735096079255</v>
      </c>
      <c r="AK18">
        <f ca="1">(R18 * state_qalys!Q9 + S18 * state_qalys!R9 + T18 * state_qalys!S9 + U18 * state_qalys!T9) * (1 / (1 + model_settings!F11)^(9 * model_settings!F9))</f>
        <v>0.30127904448029208</v>
      </c>
    </row>
    <row r="19" spans="5:37" x14ac:dyDescent="0.55000000000000004">
      <c r="E19">
        <v>11</v>
      </c>
      <c r="F19">
        <f ca="1">F18 * (1 - (input_parameters!O9+input_parameters!O14))</f>
        <v>0.48281073697215576</v>
      </c>
      <c r="G19">
        <f ca="1">G18 * (1 - (input_parameters!O13+input_parameters!O15)) + F18 * input_parameters!O9</f>
        <v>2.1562311222836548E-2</v>
      </c>
      <c r="H19">
        <f ca="1">H18 * (1 - (input_parameters!O16)) + G18 * input_parameters!O13</f>
        <v>4.4138034445484935E-3</v>
      </c>
      <c r="I19">
        <f ca="1">I18 * (1 - (0)) + F18 * input_parameters!O14+G18 * input_parameters!O15+H18 * input_parameters!O16</f>
        <v>0.49121314836045954</v>
      </c>
      <c r="J19">
        <f ca="1">J18 * (1 - (input_parameters!O10+input_parameters!O14))</f>
        <v>0.49196317353583874</v>
      </c>
      <c r="K19">
        <f ca="1">K18 * (1 - (input_parameters!O13+input_parameters!O15)) + J18 * input_parameters!O10</f>
        <v>1.3807192119173707E-2</v>
      </c>
      <c r="L19">
        <f ca="1">L18 * (1 - (input_parameters!O16)) + K18 * input_parameters!O13</f>
        <v>2.8155869004372752E-3</v>
      </c>
      <c r="M19">
        <f ca="1">M18 * (1 - (0)) + J18 * input_parameters!O14+K18 * input_parameters!O15+L18 * input_parameters!O16</f>
        <v>0.49141404744455036</v>
      </c>
      <c r="N19">
        <f ca="1">N18 * (1 - (input_parameters!O11+input_parameters!O14))</f>
        <v>0.4877258985796244</v>
      </c>
      <c r="O19">
        <f ca="1">O18 * (1 - (input_parameters!O13+input_parameters!O15)) + N18 * input_parameters!O11</f>
        <v>1.7398699050780377E-2</v>
      </c>
      <c r="P19">
        <f ca="1">P18 * (1 - (input_parameters!O16)) + O18 * input_parameters!O13</f>
        <v>3.5542084489507677E-3</v>
      </c>
      <c r="Q19">
        <f ca="1">Q18 * (1 - (0)) + N18 * input_parameters!O14+O18 * input_parameters!O15+P18 * input_parameters!O16</f>
        <v>0.49132119392064488</v>
      </c>
      <c r="R19">
        <f ca="1">R18 * (1 - (input_parameters!O12+input_parameters!O14))</f>
        <v>0.48802991613830493</v>
      </c>
      <c r="S19">
        <f ca="1">S18 * (1 - (input_parameters!O13+input_parameters!O15)) + R18 * input_parameters!O12</f>
        <v>1.7141079610012558E-2</v>
      </c>
      <c r="T19">
        <f ca="1">T18 * (1 - (input_parameters!O16)) + S18 * input_parameters!O13</f>
        <v>3.5011393267807248E-3</v>
      </c>
      <c r="U19">
        <f ca="1">U18 * (1 - (0)) + R18 * input_parameters!O14+S18 * input_parameters!O15+T18 * input_parameters!O16</f>
        <v>0.49132786492490205</v>
      </c>
      <c r="V19">
        <f ca="1">F19 * state_costs!E9 + G19 * state_costs!F9 + H19 * state_costs!G9 + I19 * state_costs!H9</f>
        <v>32.91134758444025</v>
      </c>
      <c r="W19">
        <f ca="1">F19 * state_qalys!E9 + G19 * state_qalys!F9 + H19 * state_qalys!G9 + I19 * state_qalys!H9</f>
        <v>0.38250683877932457</v>
      </c>
      <c r="X19">
        <f ca="1">(F19 * state_costs!E9 + G19 * state_costs!F9 + H19 * state_costs!G9 + I19 * state_costs!H9) * (1 / (1 + model_settings!F10)^(10 * model_settings!F9))</f>
        <v>23.331473487151356</v>
      </c>
      <c r="Y19">
        <f ca="1">(F19 * state_qalys!E9 + G19 * state_qalys!F9 + H19 * state_qalys!G9 + I19 * state_qalys!H9) * (1 / (1 + model_settings!F11)^(10 * model_settings!F9))</f>
        <v>0.27116629438331386</v>
      </c>
      <c r="Z19">
        <f ca="1">J19 * state_costs!I9 + K19 * state_costs!J9 + L19 * state_costs!K9 + M19 * state_costs!L9</f>
        <v>20.601945566694276</v>
      </c>
      <c r="AA19">
        <f ca="1">J19 * state_qalys!I9 + K19 * state_qalys!J9 + L19 * state_qalys!K9 + M19 * state_qalys!L9</f>
        <v>0.38410152584808549</v>
      </c>
      <c r="AB19">
        <f ca="1">(J19 * state_costs!I9 + K19 * state_costs!J9 + L19 * state_costs!K9 + M19 * state_costs!L9) * (1 / (1 + model_settings!F10)^(10 * model_settings!F9))</f>
        <v>14.605106811254206</v>
      </c>
      <c r="AC19">
        <f ca="1">(J19 * state_qalys!I9 + K19 * state_qalys!J9 + L19 * state_qalys!K9 + M19 * state_qalys!L9) * (1 / (1 + model_settings!F11)^(10 * model_settings!F9))</f>
        <v>0.27229679804833817</v>
      </c>
      <c r="AD19">
        <f ca="1">N19 * state_costs!M9 + O19 * state_costs!N9 + P19 * state_costs!O9 + Q19 * state_costs!P9</f>
        <v>25.05868653582419</v>
      </c>
      <c r="AE19">
        <f ca="1">N19 * state_qalys!M9 + O19 * state_qalys!N9 + P19 * state_qalys!O9 + Q19 * state_qalys!P9</f>
        <v>0.38336314814036399</v>
      </c>
      <c r="AF19">
        <f ca="1">(N19 * state_costs!M9 + O19 * state_costs!N9 + P19 * state_costs!O9 + Q19 * state_costs!P9) * (1 / (1 + model_settings!F10)^(10 * model_settings!F9))</f>
        <v>17.764574332101525</v>
      </c>
      <c r="AG19">
        <f ca="1">(N19 * state_qalys!M9 + O19 * state_qalys!N9 + P19 * state_qalys!O9 + Q19 * state_qalys!P9) * (1 / (1 + model_settings!F11)^(10 * model_settings!F9))</f>
        <v>0.2717733481997105</v>
      </c>
      <c r="AH19">
        <f ca="1">R19 * state_costs!Q9 + S19 * state_costs!R9 + T19 * state_costs!S9 + U19 * state_costs!T9</f>
        <v>27.200349190589169</v>
      </c>
      <c r="AI19">
        <f ca="1">R19 * state_qalys!Q9 + S19 * state_qalys!R9 + T19 * state_qalys!S9 + U19 * state_qalys!T9</f>
        <v>0.3834161203708451</v>
      </c>
      <c r="AJ19">
        <f ca="1">(R19 * state_costs!Q9 + S19 * state_costs!R9 + T19 * state_costs!S9 + U19 * state_costs!T9) * (1 / (1 + model_settings!F10)^(10 * model_settings!F9))</f>
        <v>19.282839280684033</v>
      </c>
      <c r="AK19">
        <f ca="1">(R19 * state_qalys!Q9 + S19 * state_qalys!R9 + T19 * state_qalys!S9 + U19 * state_qalys!T9) * (1 / (1 + model_settings!F11)^(10 * model_settings!F9))</f>
        <v>0.27181090121050272</v>
      </c>
    </row>
    <row r="20" spans="5:37" x14ac:dyDescent="0.55000000000000004">
      <c r="E20">
        <v>12</v>
      </c>
      <c r="F20">
        <f ca="1">F19 * (1 - (input_parameters!O9+input_parameters!O14))</f>
        <v>0.44890517452201645</v>
      </c>
      <c r="G20">
        <f ca="1">G19 * (1 - (input_parameters!O13+input_parameters!O15)) + F19 * input_parameters!O9</f>
        <v>2.1718509486664189E-2</v>
      </c>
      <c r="H20">
        <f ca="1">H19 * (1 - (input_parameters!O16)) + G19 * input_parameters!O13</f>
        <v>4.9664701115440871E-3</v>
      </c>
      <c r="I20">
        <f ca="1">I19 * (1 - (0)) + F19 * input_parameters!O14+G19 * input_parameters!O15+H19 * input_parameters!O16</f>
        <v>0.52440984587977557</v>
      </c>
      <c r="J20">
        <f ca="1">J19 * (1 - (input_parameters!O10+input_parameters!O14))</f>
        <v>0.45827467048467785</v>
      </c>
      <c r="K20">
        <f ca="1">K19 * (1 - (input_parameters!O13+input_parameters!O15)) + J19 * input_parameters!O10</f>
        <v>1.3921794990006498E-2</v>
      </c>
      <c r="L20">
        <f ca="1">L19 * (1 - (input_parameters!O16)) + K19 * input_parameters!O13</f>
        <v>3.1702257999930063E-3</v>
      </c>
      <c r="M20">
        <f ca="1">M19 * (1 - (0)) + J19 * input_parameters!O14+K19 * input_parameters!O15+L19 * input_parameters!O16</f>
        <v>0.52463330872532277</v>
      </c>
      <c r="N20">
        <f ca="1">N19 * (1 - (input_parameters!O11+input_parameters!O14))</f>
        <v>0.45393471738441099</v>
      </c>
      <c r="O20">
        <f ca="1">O19 * (1 - (input_parameters!O13+input_parameters!O15)) + N19 * input_parameters!O11</f>
        <v>1.7534631836917162E-2</v>
      </c>
      <c r="P20">
        <f ca="1">P19 * (1 - (input_parameters!O16)) + O19 * input_parameters!O13</f>
        <v>4.0006632876840231E-3</v>
      </c>
      <c r="Q20">
        <f ca="1">Q19 * (1 - (0)) + N19 * input_parameters!O14+O19 * input_parameters!O15+P19 * input_parameters!O16</f>
        <v>0.52452998749098823</v>
      </c>
      <c r="R20">
        <f ca="1">R19 * (1 - (input_parameters!O12+input_parameters!O14))</f>
        <v>0.45424597677798373</v>
      </c>
      <c r="S20">
        <f ca="1">S19 * (1 - (input_parameters!O13+input_parameters!O15)) + R19 * input_parameters!O12</f>
        <v>1.7275600641364974E-2</v>
      </c>
      <c r="T20">
        <f ca="1">T19 * (1 - (input_parameters!O16)) + S19 * input_parameters!O13</f>
        <v>3.9410142685746543E-3</v>
      </c>
      <c r="U20">
        <f ca="1">U19 * (1 - (0)) + R19 * input_parameters!O14+S19 * input_parameters!O15+T19 * input_parameters!O16</f>
        <v>0.52453740831207685</v>
      </c>
      <c r="V20">
        <f ca="1">F20 * state_costs!E9 + G20 * state_costs!F9 + H20 * state_costs!G9 + I20 * state_costs!H9</f>
        <v>31.721298088235493</v>
      </c>
      <c r="W20">
        <f ca="1">F20 * state_qalys!E9 + G20 * state_qalys!F9 + H20 * state_qalys!G9 + I20 * state_qalys!H9</f>
        <v>0.35710062676331339</v>
      </c>
      <c r="X20">
        <f ca="1">(F20 * state_costs!E9 + G20 * state_costs!F9 + H20 * state_costs!G9 + I20 * state_costs!H9) * (1 / (1 + model_settings!F10)^(11 * model_settings!F9))</f>
        <v>21.727367159464706</v>
      </c>
      <c r="Y20">
        <f ca="1">(F20 * state_qalys!E9 + G20 * state_qalys!F9 + H20 * state_qalys!G9 + I20 * state_qalys!H9) * (1 / (1 + model_settings!F11)^(11 * model_settings!F9))</f>
        <v>0.24459454367155967</v>
      </c>
      <c r="Z20">
        <f ca="1">J20 * state_costs!I9 + K20 * state_costs!J9 + L20 * state_costs!K9 + M20 * state_costs!L9</f>
        <v>19.902687677715754</v>
      </c>
      <c r="AA20">
        <f ca="1">J20 * state_qalys!I9 + K20 * state_qalys!J9 + L20 * state_qalys!K9 + M20 * state_qalys!L9</f>
        <v>0.35872281640617154</v>
      </c>
      <c r="AB20">
        <f ca="1">(J20 * state_costs!I9 + K20 * state_costs!J9 + L20 * state_costs!K9 + M20 * state_costs!L9) * (1 / (1 + model_settings!F10)^(11 * model_settings!F9))</f>
        <v>13.632260616543336</v>
      </c>
      <c r="AC20">
        <f ca="1">(J20 * state_qalys!I9 + K20 * state_qalys!J9 + L20 * state_qalys!K9 + M20 * state_qalys!L9) * (1 / (1 + model_settings!F11)^(11 * model_settings!F9))</f>
        <v>0.24570565551429135</v>
      </c>
      <c r="AD20">
        <f ca="1">N20 * state_costs!M9 + O20 * state_costs!N9 + P20 * state_costs!O9 + Q20 * state_costs!P9</f>
        <v>24.222850223848504</v>
      </c>
      <c r="AE20">
        <f ca="1">N20 * state_qalys!M9 + O20 * state_qalys!N9 + P20 * state_qalys!O9 + Q20 * state_qalys!P9</f>
        <v>0.35797130948951983</v>
      </c>
      <c r="AF20">
        <f ca="1">(N20 * state_costs!M9 + O20 * state_costs!N9 + P20 * state_costs!O9 + Q20 * state_costs!P9) * (1 / (1 + model_settings!F10)^(11 * model_settings!F9))</f>
        <v>16.591337435130601</v>
      </c>
      <c r="AG20">
        <f ca="1">(N20 * state_qalys!M9 + O20 * state_qalys!N9 + P20 * state_qalys!O9 + Q20 * state_qalys!P9) * (1 / (1 + model_settings!F11)^(11 * model_settings!F9))</f>
        <v>0.24519091407289287</v>
      </c>
      <c r="AH20">
        <f ca="1">R20 * state_costs!Q9 + S20 * state_costs!R9 + T20 * state_costs!S9 + U20 * state_costs!T9</f>
        <v>26.204114751905475</v>
      </c>
      <c r="AI20">
        <f ca="1">R20 * state_qalys!Q9 + S20 * state_qalys!R9 + T20 * state_qalys!S9 + U20 * state_qalys!T9</f>
        <v>0.35802520102992674</v>
      </c>
      <c r="AJ20">
        <f ca="1">(R20 * state_costs!Q9 + S20 * state_costs!R9 + T20 * state_costs!S9 + U20 * state_costs!T9) * (1 / (1 + model_settings!F10)^(11 * model_settings!F9))</f>
        <v>17.948396081387024</v>
      </c>
      <c r="AK20">
        <f ca="1">(R20 * state_qalys!Q9 + S20 * state_qalys!R9 + T20 * state_qalys!S9 + U20 * state_qalys!T9) * (1 / (1 + model_settings!F11)^(11 * model_settings!F9))</f>
        <v>0.24522782685250086</v>
      </c>
    </row>
    <row r="21" spans="5:37" x14ac:dyDescent="0.55000000000000004">
      <c r="E21">
        <v>13</v>
      </c>
      <c r="F21">
        <f ca="1">F20 * (1 - (input_parameters!O9+input_parameters!O14))</f>
        <v>0.41738064272639341</v>
      </c>
      <c r="G21">
        <f ca="1">G20 * (1 - (input_parameters!O13+input_parameters!O15)) + F20 * input_parameters!O9</f>
        <v>2.1696932100343087E-2</v>
      </c>
      <c r="H21">
        <f ca="1">H20 * (1 - (input_parameters!O16)) + G20 * input_parameters!O13</f>
        <v>5.4870458121307839E-3</v>
      </c>
      <c r="I21">
        <f ca="1">I20 * (1 - (0)) + F20 * input_parameters!O14+G20 * input_parameters!O15+H20 * input_parameters!O16</f>
        <v>0.55543537936113307</v>
      </c>
      <c r="J21">
        <f ca="1">J20 * (1 - (input_parameters!O10+input_parameters!O14))</f>
        <v>0.42689307839530949</v>
      </c>
      <c r="K21">
        <f ca="1">K20 * (1 - (input_parameters!O13+input_parameters!O15)) + J20 * input_parameters!O10</f>
        <v>1.3922690748151235E-2</v>
      </c>
      <c r="L21">
        <f ca="1">L20 * (1 - (input_parameters!O16)) + K20 * input_parameters!O13</f>
        <v>3.5048446775487719E-3</v>
      </c>
      <c r="M21">
        <f ca="1">M20 * (1 - (0)) + J20 * input_parameters!O14+K20 * input_parameters!O15+L20 * input_parameters!O16</f>
        <v>0.5556793861789906</v>
      </c>
      <c r="N21">
        <f ca="1">N20 * (1 - (input_parameters!O11+input_parameters!O14))</f>
        <v>0.4224846952908427</v>
      </c>
      <c r="O21">
        <f ca="1">O20 * (1 - (input_parameters!O13+input_parameters!O15)) + N20 * input_parameters!O11</f>
        <v>1.7527198862906709E-2</v>
      </c>
      <c r="P21">
        <f ca="1">P20 * (1 - (input_parameters!O16)) + O20 * input_parameters!O13</f>
        <v>4.4215827882331492E-3</v>
      </c>
      <c r="Q21">
        <f ca="1">Q20 * (1 - (0)) + N20 * input_parameters!O14+O20 * input_parameters!O15+P20 * input_parameters!O16</f>
        <v>0.5555665230580179</v>
      </c>
      <c r="R21">
        <f ca="1">R20 * (1 - (input_parameters!O12+input_parameters!O14))</f>
        <v>0.42280073535596352</v>
      </c>
      <c r="S21">
        <f ca="1">S20 * (1 - (input_parameters!O13+input_parameters!O15)) + R20 * input_parameters!O12</f>
        <v>1.7268884131230053E-2</v>
      </c>
      <c r="T21">
        <f ca="1">T20 * (1 - (input_parameters!O16)) + S20 * input_parameters!O13</f>
        <v>4.3557537741412255E-3</v>
      </c>
      <c r="U21">
        <f ca="1">U20 * (1 - (0)) + R20 * input_parameters!O14+S20 * input_parameters!O15+T20 * input_parameters!O16</f>
        <v>0.55557462673866542</v>
      </c>
      <c r="V21">
        <f ca="1">F21 * state_costs!E9 + G21 * state_costs!F9 + H21 * state_costs!G9 + I21 * state_costs!H9</f>
        <v>30.548827999907591</v>
      </c>
      <c r="W21">
        <f ca="1">F21 * state_qalys!E9 + G21 * state_qalys!F9 + H21 * state_qalys!G9 + I21 * state_qalys!H9</f>
        <v>0.33338662651165923</v>
      </c>
      <c r="X21">
        <f ca="1">(F21 * state_costs!E9 + G21 * state_costs!F9 + H21 * state_costs!G9 + I21 * state_costs!H9) * (1 / (1 + model_settings!F10)^(12 * model_settings!F9))</f>
        <v>20.216704152646141</v>
      </c>
      <c r="Y21">
        <f ca="1">(F21 * state_qalys!E9 + G21 * state_qalys!F9 + H21 * state_qalys!G9 + I21 * state_qalys!H9) * (1 / (1 + model_settings!F11)^(12 * model_settings!F9))</f>
        <v>0.22062970129837181</v>
      </c>
      <c r="Z21">
        <f ca="1">J21 * state_costs!I9 + K21 * state_costs!J9 + L21 * state_costs!K9 + M21 * state_costs!L9</f>
        <v>19.20943311654073</v>
      </c>
      <c r="AA21">
        <f ca="1">J21 * state_qalys!I9 + K21 * state_qalys!J9 + L21 * state_qalys!K9 + M21 * state_qalys!L9</f>
        <v>0.33502362952003184</v>
      </c>
      <c r="AB21">
        <f ca="1">(J21 * state_costs!I9 + K21 * state_costs!J9 + L21 * state_costs!K9 + M21 * state_costs!L9) * (1 / (1 + model_settings!F10)^(12 * model_settings!F9))</f>
        <v>12.712482006128745</v>
      </c>
      <c r="AC21">
        <f ca="1">(J21 * state_qalys!I9 + K21 * state_qalys!J9 + L21 * state_qalys!K9 + M21 * state_qalys!L9) * (1 / (1 + model_settings!F11)^(12 * model_settings!F9))</f>
        <v>0.22171304254856186</v>
      </c>
      <c r="AD21">
        <f ca="1">N21 * state_costs!M9 + O21 * state_costs!N9 + P21 * state_costs!O9 + Q21 * state_costs!P9</f>
        <v>23.391930608005861</v>
      </c>
      <c r="AE21">
        <f ca="1">N21 * state_qalys!M9 + O21 * state_qalys!N9 + P21 * state_qalys!O9 + Q21 * state_qalys!P9</f>
        <v>0.33426486095365288</v>
      </c>
      <c r="AF21">
        <f ca="1">(N21 * state_costs!M9 + O21 * state_costs!N9 + P21 * state_costs!O9 + Q21 * state_costs!P9) * (1 / (1 + model_settings!F10)^(12 * model_settings!F9))</f>
        <v>15.480388991116548</v>
      </c>
      <c r="AG21">
        <f ca="1">(N21 * state_qalys!M9 + O21 * state_qalys!N9 + P21 * state_qalys!O9 + Q21 * state_qalys!P9) * (1 / (1 + model_settings!F11)^(12 * model_settings!F9))</f>
        <v>0.22121090218406547</v>
      </c>
      <c r="AH21">
        <f ca="1">R21 * state_costs!Q9 + S21 * state_costs!R9 + T21 * state_costs!S9 + U21 * state_costs!T9</f>
        <v>25.224652300953341</v>
      </c>
      <c r="AI21">
        <f ca="1">R21 * state_qalys!Q9 + S21 * state_qalys!R9 + T21 * state_qalys!S9 + U21 * state_qalys!T9</f>
        <v>0.33431925039165666</v>
      </c>
      <c r="AJ21">
        <f ca="1">(R21 * state_costs!Q9 + S21 * state_costs!R9 + T21 * state_costs!S9 + U21 * state_costs!T9) * (1 / (1 + model_settings!F10)^(12 * model_settings!F9))</f>
        <v>16.69325359792137</v>
      </c>
      <c r="AK21">
        <f ca="1">(R21 * state_qalys!Q9 + S21 * state_qalys!R9 + T21 * state_qalys!S9 + U21 * state_qalys!T9) * (1 / (1 + model_settings!F11)^(12 * model_settings!F9))</f>
        <v>0.22124689620573973</v>
      </c>
    </row>
    <row r="22" spans="5:37" x14ac:dyDescent="0.55000000000000004">
      <c r="E22">
        <v>14</v>
      </c>
      <c r="F22">
        <f ca="1">F21 * (1 - (input_parameters!O9+input_parameters!O14))</f>
        <v>0.3880699328275472</v>
      </c>
      <c r="G22">
        <f ca="1">G21 * (1 - (input_parameters!O13+input_parameters!O15)) + F21 * input_parameters!O9</f>
        <v>2.1526720576259047E-2</v>
      </c>
      <c r="H22">
        <f ca="1">H21 * (1 - (input_parameters!O16)) + G21 * input_parameters!O13</f>
        <v>5.9706758978161694E-3</v>
      </c>
      <c r="I22">
        <f ca="1">I21 * (1 - (0)) + F21 * input_parameters!O14+G21 * input_parameters!O15+H21 * input_parameters!O16</f>
        <v>0.58443267069837801</v>
      </c>
      <c r="J22">
        <f ca="1">J21 * (1 - (input_parameters!O10+input_parameters!O14))</f>
        <v>0.39766042532764612</v>
      </c>
      <c r="K22">
        <f ca="1">K21 * (1 - (input_parameters!O13+input_parameters!O15)) + J21 * input_parameters!O10</f>
        <v>1.3828236814579961E-2</v>
      </c>
      <c r="L22">
        <f ca="1">L21 * (1 - (input_parameters!O16)) + K21 * input_parameters!O13</f>
        <v>3.8163033963423162E-3</v>
      </c>
      <c r="M22">
        <f ca="1">M21 * (1 - (0)) + J21 * input_parameters!O14+K21 * input_parameters!O15+L21 * input_parameters!O16</f>
        <v>0.58469503446143178</v>
      </c>
      <c r="N22">
        <f ca="1">N21 * (1 - (input_parameters!O11+input_parameters!O14))</f>
        <v>0.39321362944760307</v>
      </c>
      <c r="O22">
        <f ca="1">O21 * (1 - (input_parameters!O13+input_parameters!O15)) + N21 * input_parameters!O11</f>
        <v>1.7399708874572935E-2</v>
      </c>
      <c r="P22">
        <f ca="1">P21 * (1 - (input_parameters!O16)) + O21 * input_parameters!O13</f>
        <v>4.813028100224952E-3</v>
      </c>
      <c r="Q22">
        <f ca="1">Q21 * (1 - (0)) + N21 * input_parameters!O14+O21 * input_parameters!O15+P21 * input_parameters!O16</f>
        <v>0.58457363357759951</v>
      </c>
      <c r="R22">
        <f ca="1">R21 * (1 - (input_parameters!O12+input_parameters!O14))</f>
        <v>0.39353229517960947</v>
      </c>
      <c r="S22">
        <f ca="1">S21 * (1 - (input_parameters!O13+input_parameters!O15)) + R21 * input_parameters!O12</f>
        <v>1.7143881208593385E-2</v>
      </c>
      <c r="T22">
        <f ca="1">T21 * (1 - (input_parameters!O16)) + S21 * input_parameters!O13</f>
        <v>4.7414760195783083E-3</v>
      </c>
      <c r="U22">
        <f ca="1">U21 * (1 - (0)) + R21 * input_parameters!O14+S21 * input_parameters!O15+T21 * input_parameters!O16</f>
        <v>0.58458234759221916</v>
      </c>
      <c r="V22">
        <f ca="1">F22 * state_costs!E9 + G22 * state_costs!F9 + H22 * state_costs!G9 + I22 * state_costs!H9</f>
        <v>29.396106358631407</v>
      </c>
      <c r="W22">
        <f ca="1">F22 * state_qalys!E9 + G22 * state_qalys!F9 + H22 * state_qalys!G9 + I22 * state_qalys!H9</f>
        <v>0.3112514825295597</v>
      </c>
      <c r="X22">
        <f ca="1">(F22 * state_costs!E9 + G22 * state_costs!F9 + H22 * state_costs!G9 + I22 * state_costs!H9) * (1 / (1 + model_settings!F10)^(13 * model_settings!F9))</f>
        <v>18.795992485867764</v>
      </c>
      <c r="Y22">
        <f ca="1">(F22 * state_qalys!E9 + G22 * state_qalys!F9 + H22 * state_qalys!G9 + I22 * state_qalys!H9) * (1 / (1 + model_settings!F11)^(13 * model_settings!F9))</f>
        <v>0.19901549053699832</v>
      </c>
      <c r="Z22">
        <f ca="1">J22 * state_costs!I9 + K22 * state_costs!J9 + L22 * state_costs!K9 + M22 * state_costs!L9</f>
        <v>18.52393076810646</v>
      </c>
      <c r="AA22">
        <f ca="1">J22 * state_qalys!I9 + K22 * state_qalys!J9 + L22 * state_qalys!K9 + M22 * state_qalys!L9</f>
        <v>0.31289243354236479</v>
      </c>
      <c r="AB22">
        <f ca="1">(J22 * state_costs!I9 + K22 * state_costs!J9 + L22 * state_costs!K9 + M22 * state_costs!L9) * (1 / (1 + model_settings!F10)^(13 * model_settings!F9))</f>
        <v>11.844278261832827</v>
      </c>
      <c r="AC22">
        <f ca="1">(J22 * state_qalys!I9 + K22 * state_qalys!J9 + L22 * state_qalys!K9 + M22 * state_qalys!L9) * (1 / (1 + model_settings!F11)^(13 * model_settings!F9))</f>
        <v>0.20006472142935103</v>
      </c>
      <c r="AD22">
        <f ca="1">N22 * state_costs!M9 + O22 * state_costs!N9 + P22 * state_costs!O9 + Q22 * state_costs!P9</f>
        <v>22.568320148106579</v>
      </c>
      <c r="AE22">
        <f ca="1">N22 * state_qalys!M9 + O22 * state_qalys!N9 + P22 * state_qalys!O9 + Q22 * state_qalys!P9</f>
        <v>0.31213143449222785</v>
      </c>
      <c r="AF22">
        <f ca="1">(N22 * state_costs!M9 + O22 * state_costs!N9 + P22 * state_costs!O9 + Q22 * state_costs!P9) * (1 / (1 + model_settings!F10)^(13 * model_settings!F9))</f>
        <v>14.430277627496599</v>
      </c>
      <c r="AG22">
        <f ca="1">(N22 * state_qalys!M9 + O22 * state_qalys!N9 + P22 * state_qalys!O9 + Q22 * state_qalys!P9) * (1 / (1 + model_settings!F11)^(13 * model_settings!F9))</f>
        <v>0.19957813547631284</v>
      </c>
      <c r="AH22">
        <f ca="1">R22 * state_costs!Q9 + S22 * state_costs!R9 + T22 * state_costs!S9 + U22 * state_costs!T9</f>
        <v>24.263492628768589</v>
      </c>
      <c r="AI22">
        <f ca="1">R22 * state_qalys!Q9 + S22 * state_qalys!R9 + T22 * state_qalys!S9 + U22 * state_qalys!T9</f>
        <v>0.31218596088233791</v>
      </c>
      <c r="AJ22">
        <f ca="1">(R22 * state_costs!Q9 + S22 * state_costs!R9 + T22 * state_costs!S9 + U22 * state_costs!T9) * (1 / (1 + model_settings!F10)^(13 * model_settings!F9))</f>
        <v>15.514177951575313</v>
      </c>
      <c r="AK22">
        <f ca="1">(R22 * state_qalys!Q9 + S22 * state_qalys!R9 + T22 * state_qalys!S9 + U22 * state_qalys!T9) * (1 / (1 + model_settings!F11)^(13 * model_settings!F9))</f>
        <v>0.19961299987659384</v>
      </c>
    </row>
    <row r="23" spans="5:37" x14ac:dyDescent="0.55000000000000004">
      <c r="E23">
        <v>15</v>
      </c>
      <c r="F23">
        <f ca="1">F22 * (1 - (input_parameters!O9+input_parameters!O14))</f>
        <v>0.3608175783645507</v>
      </c>
      <c r="G23">
        <f ca="1">G22 * (1 - (input_parameters!O13+input_parameters!O15)) + F22 * input_parameters!O9</f>
        <v>2.1233306585371415E-2</v>
      </c>
      <c r="H23">
        <f ca="1">H22 * (1 - (input_parameters!O16)) + G22 * input_parameters!O13</f>
        <v>6.4140026883412306E-3</v>
      </c>
      <c r="I23">
        <f ca="1">I22 * (1 - (0)) + F22 * input_parameters!O14+G22 * input_parameters!O15+H22 * input_parameters!O16</f>
        <v>0.61153511236173708</v>
      </c>
      <c r="J23">
        <f ca="1">J22 * (1 - (input_parameters!O10+input_parameters!O14))</f>
        <v>0.37042955689557955</v>
      </c>
      <c r="K23">
        <f ca="1">K22 * (1 - (input_parameters!O13+input_parameters!O15)) + J22 * input_parameters!O10</f>
        <v>1.3654477924005698E-2</v>
      </c>
      <c r="L23">
        <f ca="1">L22 * (1 - (input_parameters!O16)) + K22 * input_parameters!O13</f>
        <v>4.1024105046602475E-3</v>
      </c>
      <c r="M23">
        <f ca="1">M22 * (1 - (0)) + J22 * input_parameters!O14+K22 * input_parameters!O15+L22 * input_parameters!O16</f>
        <v>0.6118135546757546</v>
      </c>
      <c r="N23">
        <f ca="1">N22 * (1 - (input_parameters!O11+input_parameters!O14))</f>
        <v>0.36597055492605962</v>
      </c>
      <c r="O23">
        <f ca="1">O22 * (1 - (input_parameters!O13+input_parameters!O15)) + N22 * input_parameters!O11</f>
        <v>1.7172520007916081E-2</v>
      </c>
      <c r="P23">
        <f ca="1">P22 * (1 - (input_parameters!O16)) + O22 * input_parameters!O13</f>
        <v>5.1722615918377767E-3</v>
      </c>
      <c r="Q23">
        <f ca="1">Q22 * (1 - (0)) + N22 * input_parameters!O14+O22 * input_parameters!O15+P22 * input_parameters!O16</f>
        <v>0.61168466347418704</v>
      </c>
      <c r="R23">
        <f ca="1">R22 * (1 - (input_parameters!O12+input_parameters!O14))</f>
        <v>0.36628996687753013</v>
      </c>
      <c r="S23">
        <f ca="1">S22 * (1 - (input_parameters!O13+input_parameters!O15)) + R22 * input_parameters!O12</f>
        <v>1.6920638669666557E-2</v>
      </c>
      <c r="T23">
        <f ca="1">T22 * (1 - (input_parameters!O16)) + S22 * input_parameters!O13</f>
        <v>5.0954822058026086E-3</v>
      </c>
      <c r="U23">
        <f ca="1">U22 * (1 - (0)) + R22 * input_parameters!O14+S22 * input_parameters!O15+T22 * input_parameters!O16</f>
        <v>0.61169391224700109</v>
      </c>
      <c r="V23">
        <f ca="1">F23 * state_costs!E9 + G23 * state_costs!F9 + H23 * state_costs!G9 + I23 * state_costs!H9</f>
        <v>28.265030885070896</v>
      </c>
      <c r="W23">
        <f ca="1">F23 * state_qalys!E9 + G23 * state_qalys!F9 + H23 * state_qalys!G9 + I23 * state_qalys!H9</f>
        <v>0.2905895090255024</v>
      </c>
      <c r="X23">
        <f ca="1">(F23 * state_costs!E9 + G23 * state_costs!F9 + H23 * state_costs!G9 + I23 * state_costs!H9) * (1 / (1 + model_settings!F10)^(14 * model_settings!F9))</f>
        <v>17.461621382404555</v>
      </c>
      <c r="Y23">
        <f ca="1">(F23 * state_qalys!E9 + G23 * state_qalys!F9 + H23 * state_qalys!G9 + I23 * state_qalys!H9) * (1 / (1 + model_settings!F11)^(14 * model_settings!F9))</f>
        <v>0.17952090712139432</v>
      </c>
      <c r="Z23">
        <f ca="1">J23 * state_costs!I9 + K23 * state_costs!J9 + L23 * state_costs!K9 + M23 * state_costs!L9</f>
        <v>17.847734239491938</v>
      </c>
      <c r="AA23">
        <f ca="1">J23 * state_qalys!I9 + K23 * state_qalys!J9 + L23 * state_qalys!K9 + M23 * state_qalys!L9</f>
        <v>0.29222514975277453</v>
      </c>
      <c r="AB23">
        <f ca="1">(J23 * state_costs!I9 + K23 * state_costs!J9 + L23 * state_costs!K9 + M23 * state_costs!L9) * (1 / (1 + model_settings!F10)^(14 * model_settings!F9))</f>
        <v>11.026005210855605</v>
      </c>
      <c r="AC23">
        <f ca="1">(J23 * state_qalys!I9 + K23 * state_qalys!J9 + L23 * state_qalys!K9 + M23 * state_qalys!L9) * (1 / (1 + model_settings!F11)^(14 * model_settings!F9))</f>
        <v>0.18053137617813791</v>
      </c>
      <c r="AD23">
        <f ca="1">N23 * state_costs!M9 + O23 * state_costs!N9 + P23 * state_costs!O9 + Q23 * state_costs!P9</f>
        <v>21.754149990703873</v>
      </c>
      <c r="AE23">
        <f ca="1">N23 * state_qalys!M9 + O23 * state_qalys!N9 + P23 * state_qalys!O9 + Q23 * state_qalys!P9</f>
        <v>0.29146621381661197</v>
      </c>
      <c r="AF23">
        <f ca="1">(N23 * state_costs!M9 + O23 * state_costs!N9 + P23 * state_costs!O9 + Q23 * state_costs!P9) * (1 / (1 + model_settings!F10)^(14 * model_settings!F9))</f>
        <v>13.439317727204308</v>
      </c>
      <c r="AG23">
        <f ca="1">(N23 * state_qalys!M9 + O23 * state_qalys!N9 + P23 * state_qalys!O9 + Q23 * state_qalys!P9) * (1 / (1 + model_settings!F11)^(14 * model_settings!F9))</f>
        <v>0.1800625193767901</v>
      </c>
      <c r="AH23">
        <f ca="1">R23 * state_costs!Q9 + S23 * state_costs!R9 + T23 * state_costs!S9 + U23 * state_costs!T9</f>
        <v>23.321966443923468</v>
      </c>
      <c r="AI23">
        <f ca="1">R23 * state_qalys!Q9 + S23 * state_qalys!R9 + T23 * state_qalys!S9 + U23 * state_qalys!T9</f>
        <v>0.2915205695023565</v>
      </c>
      <c r="AJ23">
        <f ca="1">(R23 * state_costs!Q9 + S23 * state_costs!R9 + T23 * state_costs!S9 + U23 * state_costs!T9) * (1 / (1 + model_settings!F10)^(14 * model_settings!F9))</f>
        <v>14.407886182499533</v>
      </c>
      <c r="AK23">
        <f ca="1">(R23 * state_qalys!Q9 + S23 * state_qalys!R9 + T23 * state_qalys!S9 + U23 * state_qalys!T9) * (1 / (1 + model_settings!F11)^(14 * model_settings!F9))</f>
        <v>0.18009609932964107</v>
      </c>
    </row>
    <row r="24" spans="5:37" x14ac:dyDescent="0.55000000000000004">
      <c r="E24">
        <v>16</v>
      </c>
      <c r="F24">
        <f ca="1">F23 * (1 - (input_parameters!O9+input_parameters!O14))</f>
        <v>0.33547903056615569</v>
      </c>
      <c r="G24">
        <f ca="1">G23 * (1 - (input_parameters!O13+input_parameters!O15)) + F23 * input_parameters!O9</f>
        <v>2.0838838584602382E-2</v>
      </c>
      <c r="H24">
        <f ca="1">H23 * (1 - (input_parameters!O16)) + G23 * input_parameters!O13</f>
        <v>6.8149139721415336E-3</v>
      </c>
      <c r="I24">
        <f ca="1">I23 * (1 - (0)) + F23 * input_parameters!O14+G23 * input_parameters!O15+H23 * input_parameters!O16</f>
        <v>0.63686721687710079</v>
      </c>
      <c r="J24">
        <f ca="1">J23 * (1 - (input_parameters!O10+input_parameters!O14))</f>
        <v>0.34506339550584331</v>
      </c>
      <c r="K24">
        <f ca="1">K23 * (1 - (input_parameters!O13+input_parameters!O15)) + J23 * input_parameters!O10</f>
        <v>1.3415409904794163E-2</v>
      </c>
      <c r="L24">
        <f ca="1">L23 * (1 - (input_parameters!O16)) + K23 * input_parameters!O13</f>
        <v>4.3617653794429685E-3</v>
      </c>
      <c r="M24">
        <f ca="1">M23 * (1 - (0)) + J23 * input_parameters!O14+K23 * input_parameters!O15+L23 * input_parameters!O16</f>
        <v>0.63715942920991975</v>
      </c>
      <c r="N24">
        <f ca="1">N23 * (1 - (input_parameters!O11+input_parameters!O14))</f>
        <v>0.34061496612170511</v>
      </c>
      <c r="O24">
        <f ca="1">O23 * (1 - (input_parameters!O13+input_parameters!O15)) + N23 * input_parameters!O11</f>
        <v>1.6863377599078883E-2</v>
      </c>
      <c r="P24">
        <f ca="1">P23 * (1 - (input_parameters!O16)) + O23 * input_parameters!O13</f>
        <v>5.4975460850123399E-3</v>
      </c>
      <c r="Q24">
        <f ca="1">Q23 * (1 - (0)) + N23 * input_parameters!O14+O23 * input_parameters!O15+P23 * input_parameters!O16</f>
        <v>0.63702411019420424</v>
      </c>
      <c r="R24">
        <f ca="1">R23 * (1 - (input_parameters!O12+input_parameters!O14))</f>
        <v>0.34093349257119354</v>
      </c>
      <c r="S24">
        <f ca="1">S23 * (1 - (input_parameters!O13+input_parameters!O15)) + R23 * input_parameters!O12</f>
        <v>1.6616631399118884E-2</v>
      </c>
      <c r="T24">
        <f ca="1">T23 * (1 - (input_parameters!O16)) + S23 * input_parameters!O13</f>
        <v>5.4160588977496919E-3</v>
      </c>
      <c r="U24">
        <f ca="1">U23 * (1 - (0)) + R23 * input_parameters!O14+S23 * input_parameters!O15+T23 * input_parameters!O16</f>
        <v>0.6370338171319383</v>
      </c>
      <c r="V24">
        <f ca="1">F24 * state_costs!E9 + G24 * state_costs!F9 + H24 * state_costs!G9 + I24 * state_costs!H9</f>
        <v>27.157243606353777</v>
      </c>
      <c r="W24">
        <f ca="1">F24 * state_qalys!E9 + G24 * state_qalys!F9 + H24 * state_qalys!G9 + I24 * state_qalys!H9</f>
        <v>0.27130216254992778</v>
      </c>
      <c r="X24">
        <f ca="1">(F24 * state_costs!E9 + G24 * state_costs!F9 + H24 * state_costs!G9 + I24 * state_costs!H9) * (1 / (1 + model_settings!F10)^(15 * model_settings!F9))</f>
        <v>16.209903936341036</v>
      </c>
      <c r="Y24">
        <f ca="1">(F24 * state_qalys!E9 + G24 * state_qalys!F9 + H24 * state_qalys!G9 + I24 * state_qalys!H9) * (1 / (1 + model_settings!F11)^(15 * model_settings!F9))</f>
        <v>0.16193771563867379</v>
      </c>
      <c r="Z24">
        <f ca="1">J24 * state_costs!I9 + K24 * state_costs!J9 + L24 * state_costs!K9 + M24 * state_costs!L9</f>
        <v>17.18221305630864</v>
      </c>
      <c r="AA24">
        <f ca="1">J24 * state_qalys!I9 + K24 * state_qalys!J9 + L24 * state_qalys!K9 + M24 * state_qalys!L9</f>
        <v>0.27292464913576903</v>
      </c>
      <c r="AB24">
        <f ca="1">(J24 * state_costs!I9 + K24 * state_costs!J9 + L24 * state_costs!K9 + M24 * state_costs!L9) * (1 / (1 + model_settings!F10)^(15 * model_settings!F9))</f>
        <v>10.255901780523265</v>
      </c>
      <c r="AC24">
        <f ca="1">(J24 * state_qalys!I9 + K24 * state_qalys!J9 + L24 * state_qalys!K9 + M24 * state_qalys!L9) * (1 / (1 + model_settings!F11)^(15 * model_settings!F9))</f>
        <v>0.16290616266060701</v>
      </c>
      <c r="AD24">
        <f ca="1">N24 * state_costs!M9 + O24 * state_costs!N9 + P24 * state_costs!O9 + Q24 * state_costs!P9</f>
        <v>20.95130532059077</v>
      </c>
      <c r="AE24">
        <f ca="1">N24 * state_qalys!M9 + O24 * state_qalys!N9 + P24 * state_qalys!O9 + Q24 * state_qalys!P9</f>
        <v>0.27217142021201646</v>
      </c>
      <c r="AF24">
        <f ca="1">(N24 * state_costs!M9 + O24 * state_costs!N9 + P24 * state_costs!O9 + Q24 * state_costs!P9) * (1 / (1 + model_settings!F10)^(15 * model_settings!F9))</f>
        <v>12.505637593804591</v>
      </c>
      <c r="AG24">
        <f ca="1">(N24 * state_qalys!M9 + O24 * state_qalys!N9 + P24 * state_qalys!O9 + Q24 * state_qalys!P9) * (1 / (1 + model_settings!F11)^(15 * model_settings!F9))</f>
        <v>0.16245656738234224</v>
      </c>
      <c r="AH24">
        <f ca="1">R24 * state_costs!Q9 + S24 * state_costs!R9 + T24 * state_costs!S9 + U24 * state_costs!T9</f>
        <v>22.40121551172923</v>
      </c>
      <c r="AI24">
        <f ca="1">R24 * state_qalys!Q9 + S24 * state_qalys!R9 + T24 * state_qalys!S9 + U24 * state_qalys!T9</f>
        <v>0.27222534444663404</v>
      </c>
      <c r="AJ24">
        <f ca="1">(R24 * state_costs!Q9 + S24 * state_costs!R9 + T24 * state_costs!S9 + U24 * state_costs!T9) * (1 / (1 + model_settings!F10)^(15 * model_settings!F9))</f>
        <v>13.371075384743637</v>
      </c>
      <c r="AK24">
        <f ca="1">(R24 * state_qalys!Q9 + S24 * state_qalys!R9 + T24 * state_qalys!S9 + U24 * state_qalys!T9) * (1 / (1 + model_settings!F11)^(15 * model_settings!F9))</f>
        <v>0.16248875425210202</v>
      </c>
    </row>
    <row r="25" spans="5:37" x14ac:dyDescent="0.55000000000000004">
      <c r="E25">
        <v>17</v>
      </c>
      <c r="F25">
        <f ca="1">F24 * (1 - (input_parameters!O9+input_parameters!O14))</f>
        <v>0.31191989165199985</v>
      </c>
      <c r="G25">
        <f ca="1">G24 * (1 - (input_parameters!O13+input_parameters!O15)) + F24 * input_parameters!O9</f>
        <v>2.0362561897325843E-2</v>
      </c>
      <c r="H25">
        <f ca="1">H24 * (1 - (input_parameters!O16)) + G24 * input_parameters!O13</f>
        <v>7.1723259295092432E-3</v>
      </c>
      <c r="I25">
        <f ca="1">I24 * (1 - (0)) + F24 * input_parameters!O14+G24 * input_parameters!O15+H24 * input_parameters!O16</f>
        <v>0.66054522052116538</v>
      </c>
      <c r="J25">
        <f ca="1">J24 * (1 - (input_parameters!O10+input_parameters!O14))</f>
        <v>0.32143425032248801</v>
      </c>
      <c r="K25">
        <f ca="1">K24 * (1 - (input_parameters!O13+input_parameters!O15)) + J24 * input_parameters!O10</f>
        <v>1.3123214869440505E-2</v>
      </c>
      <c r="L25">
        <f ca="1">L24 * (1 - (input_parameters!O16)) + K24 * input_parameters!O13</f>
        <v>4.5936218164896779E-3</v>
      </c>
      <c r="M25">
        <f ca="1">M24 * (1 - (0)) + J24 * input_parameters!O14+K24 * input_parameters!O15+L24 * input_parameters!O16</f>
        <v>0.66084891299158199</v>
      </c>
      <c r="N25">
        <f ca="1">N24 * (1 - (input_parameters!O11+input_parameters!O14))</f>
        <v>0.317016092099351</v>
      </c>
      <c r="O25">
        <f ca="1">O24 * (1 - (input_parameters!O13+input_parameters!O15)) + N24 * input_parameters!O11</f>
        <v>1.6487715270327722E-2</v>
      </c>
      <c r="P25">
        <f ca="1">P24 * (1 - (input_parameters!O16)) + O24 * input_parameters!O13</f>
        <v>5.7879714596272818E-3</v>
      </c>
      <c r="Q25">
        <f ca="1">Q24 * (1 - (0)) + N24 * input_parameters!O14+O24 * input_parameters!O15+P24 * input_parameters!O16</f>
        <v>0.66070822117069461</v>
      </c>
      <c r="R25">
        <f ca="1">R24 * (1 - (input_parameters!O12+input_parameters!O14))</f>
        <v>0.31733232375337139</v>
      </c>
      <c r="S25">
        <f ca="1">S24 * (1 - (input_parameters!O13+input_parameters!O15)) + R24 * input_parameters!O12</f>
        <v>1.6247058661075571E-2</v>
      </c>
      <c r="T25">
        <f ca="1">T24 * (1 - (input_parameters!O16)) + S24 * input_parameters!O13</f>
        <v>5.7023073027851158E-3</v>
      </c>
      <c r="U25">
        <f ca="1">U24 * (1 - (0)) + R24 * input_parameters!O14+S24 * input_parameters!O15+T24 * input_parameters!O16</f>
        <v>0.6607183102827684</v>
      </c>
      <c r="V25">
        <f ca="1">F25 * state_costs!E9 + G25 * state_costs!F9 + H25 * state_costs!G9 + I25 * state_costs!H9</f>
        <v>26.07414678752826</v>
      </c>
      <c r="W25">
        <f ca="1">F25 * state_qalys!E9 + G25 * state_qalys!F9 + H25 * state_qalys!G9 + I25 * state_qalys!H9</f>
        <v>0.25329755177786917</v>
      </c>
      <c r="X25">
        <f ca="1">(F25 * state_costs!E9 + G25 * state_costs!F9 + H25 * state_costs!G9 + I25 * state_costs!H9) * (1 / (1 + model_settings!F10)^(16 * model_settings!F9))</f>
        <v>15.037114595286683</v>
      </c>
      <c r="Y25">
        <f ca="1">(F25 * state_qalys!E9 + G25 * state_qalys!F9 + H25 * state_qalys!G9 + I25 * state_qalys!H9) * (1 / (1 + model_settings!F11)^(16 * model_settings!F9))</f>
        <v>0.14607819553317963</v>
      </c>
      <c r="Z25">
        <f ca="1">J25 * state_costs!I9 + K25 * state_costs!J9 + L25 * state_costs!K9 + M25 * state_costs!L9</f>
        <v>16.528563983242066</v>
      </c>
      <c r="AA25">
        <f ca="1">J25 * state_qalys!I9 + K25 * state_qalys!J9 + L25 * state_qalys!K9 + M25 * state_qalys!L9</f>
        <v>0.25490028368794176</v>
      </c>
      <c r="AB25">
        <f ca="1">(J25 * state_costs!I9 + K25 * state_costs!J9 + L25 * state_costs!K9 + M25 * state_costs!L9) * (1 / (1 + model_settings!F10)^(16 * model_settings!F9))</f>
        <v>9.5321205612918138</v>
      </c>
      <c r="AC25">
        <f ca="1">(J25 * state_qalys!I9 + K25 * state_qalys!J9 + L25 * state_qalys!K9 + M25 * state_qalys!L9) * (1 / (1 + model_settings!F11)^(16 * model_settings!F9))</f>
        <v>0.14700250050061242</v>
      </c>
      <c r="AD25">
        <f ca="1">N25 * state_costs!M9 + O25 * state_costs!N9 + P25 * state_costs!O9 + Q25 * state_costs!P9</f>
        <v>20.161440775928611</v>
      </c>
      <c r="AE25">
        <f ca="1">N25 * state_qalys!M9 + O25 * state_qalys!N9 + P25 * state_qalys!O9 + Q25 * state_qalys!P9</f>
        <v>0.25415583407150621</v>
      </c>
      <c r="AF25">
        <f ca="1">(N25 * state_costs!M9 + O25 * state_costs!N9 + P25 * state_costs!O9 + Q25 * state_costs!P9) * (1 / (1 + model_settings!F10)^(16 * model_settings!F9))</f>
        <v>11.627222084165602</v>
      </c>
      <c r="AG25">
        <f ca="1">(N25 * state_qalys!M9 + O25 * state_qalys!N9 + P25 * state_qalys!O9 + Q25 * state_qalys!P9) * (1 / (1 + model_settings!F11)^(16 * model_settings!F9))</f>
        <v>0.14657317200584025</v>
      </c>
      <c r="AH25">
        <f ca="1">R25 * state_costs!Q9 + S25 * state_costs!R9 + T25 * state_costs!S9 + U25 * state_costs!T9</f>
        <v>21.5022041325361</v>
      </c>
      <c r="AI25">
        <f ca="1">R25 * state_qalys!Q9 + S25 * state_qalys!R9 + T25 * state_qalys!S9 + U25 * state_qalys!T9</f>
        <v>0.25420910735071611</v>
      </c>
      <c r="AJ25">
        <f ca="1">(R25 * state_costs!Q9 + S25 * state_costs!R9 + T25 * state_costs!S9 + U25 * state_costs!T9) * (1 / (1 + model_settings!F10)^(16 * model_settings!F9))</f>
        <v>12.400448238131702</v>
      </c>
      <c r="AK25">
        <f ca="1">(R25 * state_qalys!Q9 + S25 * state_qalys!R9 + T25 * state_qalys!S9 + U25 * state_qalys!T9) * (1 / (1 + model_settings!F11)^(16 * model_settings!F9))</f>
        <v>0.14660389502089702</v>
      </c>
    </row>
    <row r="26" spans="5:37" x14ac:dyDescent="0.55000000000000004">
      <c r="E26">
        <v>18</v>
      </c>
      <c r="F26">
        <f ca="1">F25 * (1 - (input_parameters!O9+input_parameters!O14))</f>
        <v>0.29001520197552011</v>
      </c>
      <c r="G26">
        <f ca="1">G25 * (1 - (input_parameters!O13+input_parameters!O15)) + F25 * input_parameters!O9</f>
        <v>1.9821157172075242E-2</v>
      </c>
      <c r="H26">
        <f ca="1">H25 * (1 - (input_parameters!O16)) + G25 * input_parameters!O13</f>
        <v>7.4859962387266573E-3</v>
      </c>
      <c r="I26">
        <f ca="1">I25 * (1 - (0)) + F25 * input_parameters!O14+G25 * input_parameters!O15+H25 * input_parameters!O16</f>
        <v>0.68267764461367841</v>
      </c>
      <c r="J26">
        <f ca="1">J25 * (1 - (input_parameters!O10+input_parameters!O14))</f>
        <v>0.299423174483398</v>
      </c>
      <c r="K26">
        <f ca="1">K25 * (1 - (input_parameters!O13+input_parameters!O15)) + J25 * input_parameters!O10</f>
        <v>1.2788470824505831E-2</v>
      </c>
      <c r="L26">
        <f ca="1">L25 * (1 - (input_parameters!O16)) + K25 * input_parameters!O13</f>
        <v>4.7977704421229847E-3</v>
      </c>
      <c r="M26">
        <f ca="1">M25 * (1 - (0)) + J25 * input_parameters!O14+K25 * input_parameters!O15+L25 * input_parameters!O16</f>
        <v>0.68299058424997328</v>
      </c>
      <c r="N26">
        <f ca="1">N25 * (1 - (input_parameters!O11+input_parameters!O14))</f>
        <v>0.29505222214468063</v>
      </c>
      <c r="O26">
        <f ca="1">O25 * (1 - (input_parameters!O13+input_parameters!O15)) + N25 * input_parameters!O11</f>
        <v>1.6058923166469851E-2</v>
      </c>
      <c r="P26">
        <f ca="1">P25 * (1 - (input_parameters!O16)) + O25 * input_parameters!O13</f>
        <v>6.0433052670341453E-3</v>
      </c>
      <c r="Q26">
        <f ca="1">Q25 * (1 - (0)) + N25 * input_parameters!O14+O25 * input_parameters!O15+P25 * input_parameters!O16</f>
        <v>0.68284554942181597</v>
      </c>
      <c r="R26">
        <f ca="1">R25 * (1 - (input_parameters!O12+input_parameters!O14))</f>
        <v>0.29536494915554956</v>
      </c>
      <c r="S26">
        <f ca="1">S25 * (1 - (input_parameters!O13+input_parameters!O15)) + R25 * input_parameters!O12</f>
        <v>1.5825108070986856E-2</v>
      </c>
      <c r="T26">
        <f ca="1">T25 * (1 - (input_parameters!O16)) + S25 * input_parameters!O13</f>
        <v>5.9539961821557189E-3</v>
      </c>
      <c r="U26">
        <f ca="1">U25 * (1 - (0)) + R25 * input_parameters!O14+S25 * input_parameters!O15+T25 * input_parameters!O16</f>
        <v>0.68285594659130833</v>
      </c>
      <c r="V26">
        <f ca="1">F26 * state_costs!E9 + G26 * state_costs!F9 + H26 * state_costs!G9 + I26 * state_costs!H9</f>
        <v>25.016918934226087</v>
      </c>
      <c r="W26">
        <f ca="1">F26 * state_qalys!E9 + G26 * state_qalys!F9 + H26 * state_qalys!G9 + I26 * state_qalys!H9</f>
        <v>0.23648998173068975</v>
      </c>
      <c r="X26">
        <f ca="1">(F26 * state_costs!E9 + G26 * state_costs!F9 + H26 * state_costs!G9 + I26 * state_costs!H9) * (1 / (1 + model_settings!F10)^(17 * model_settings!F9))</f>
        <v>13.939521779959215</v>
      </c>
      <c r="Y26">
        <f ca="1">(F26 * state_qalys!E9 + G26 * state_qalys!F9 + H26 * state_qalys!G9 + I26 * state_qalys!H9) * (1 / (1 + model_settings!F11)^(17 * model_settings!F9))</f>
        <v>0.13177311161875446</v>
      </c>
      <c r="Z26">
        <f ca="1">J26 * state_costs!I9 + K26 * state_costs!J9 + L26 * state_costs!K9 + M26 * state_costs!L9</f>
        <v>15.887822324589919</v>
      </c>
      <c r="AA26">
        <f ca="1">J26 * state_qalys!I9 + K26 * state_qalys!J9 + L26 * state_qalys!K9 + M26 * state_qalys!L9</f>
        <v>0.23806744982866218</v>
      </c>
      <c r="AB26">
        <f ca="1">(J26 * state_costs!I9 + K26 * state_costs!J9 + L26 * state_costs!K9 + M26 * state_costs!L9) * (1 / (1 + model_settings!F10)^(17 * model_settings!F9))</f>
        <v>8.8527546462465558</v>
      </c>
      <c r="AC26">
        <f ca="1">(J26 * state_qalys!I9 + K26 * state_qalys!J9 + L26 * state_qalys!K9 + M26 * state_qalys!L9) * (1 / (1 + model_settings!F11)^(17 * model_settings!F9))</f>
        <v>0.13265208280488219</v>
      </c>
      <c r="AD26">
        <f ca="1">N26 * state_costs!M9 + O26 * state_costs!N9 + P26 * state_costs!O9 + Q26 * state_costs!P9</f>
        <v>19.385995750951881</v>
      </c>
      <c r="AE26">
        <f ca="1">N26 * state_qalys!M9 + O26 * state_qalys!N9 + P26 * state_qalys!O9 + Q26 * state_qalys!P9</f>
        <v>0.2373343495903969</v>
      </c>
      <c r="AF26">
        <f ca="1">(N26 * state_costs!M9 + O26 * state_costs!N9 + P26 * state_costs!O9 + Q26 * state_costs!P9) * (1 / (1 + model_settings!F10)^(17 * model_settings!F9))</f>
        <v>10.801950100533045</v>
      </c>
      <c r="AG26">
        <f ca="1">(N26 * state_qalys!M9 + O26 * state_qalys!N9 + P26 * state_qalys!O9 + Q26 * state_qalys!P9) * (1 / (1 + model_settings!F11)^(17 * model_settings!F9))</f>
        <v>0.13224359658141638</v>
      </c>
      <c r="AH26">
        <f ca="1">R26 * state_costs!Q9 + S26 * state_costs!R9 + T26 * state_costs!S9 + U26 * state_costs!T9</f>
        <v>20.625730766601993</v>
      </c>
      <c r="AI26">
        <f ca="1">R26 * state_qalys!Q9 + S26 * state_qalys!R9 + T26 * state_qalys!S9 + U26 * state_qalys!T9</f>
        <v>0.23738678862004181</v>
      </c>
      <c r="AJ26">
        <f ca="1">(R26 * state_costs!Q9 + S26 * state_costs!R9 + T26 * state_costs!S9 + U26 * state_costs!T9) * (1 / (1 + model_settings!F10)^(17 * model_settings!F9))</f>
        <v>11.492735136750673</v>
      </c>
      <c r="AK26">
        <f ca="1">(R26 * state_qalys!Q9 + S26 * state_qalys!R9 + T26 * state_qalys!S9 + U26 * state_qalys!T9) * (1 / (1 + model_settings!F11)^(17 * model_settings!F9))</f>
        <v>0.1322728158069244</v>
      </c>
    </row>
    <row r="27" spans="5:37" x14ac:dyDescent="0.55000000000000004">
      <c r="E27">
        <v>19</v>
      </c>
      <c r="F27">
        <f ca="1">F26 * (1 - (input_parameters!O9+input_parameters!O14))</f>
        <v>0.26964877722751818</v>
      </c>
      <c r="G27">
        <f ca="1">G26 * (1 - (input_parameters!O13+input_parameters!O15)) + F26 * input_parameters!O9</f>
        <v>1.9229041633320253E-2</v>
      </c>
      <c r="H27">
        <f ca="1">H26 * (1 - (input_parameters!O16)) + G26 * input_parameters!O13</f>
        <v>7.7563636154636363E-3</v>
      </c>
      <c r="I27">
        <f ca="1">I26 * (1 - (0)) + F26 * input_parameters!O14+G26 * input_parameters!O15+H26 * input_parameters!O16</f>
        <v>0.7033658175236982</v>
      </c>
      <c r="J27">
        <f ca="1">J26 * (1 - (input_parameters!O10+input_parameters!O14))</f>
        <v>0.27891936633313735</v>
      </c>
      <c r="K27">
        <f ca="1">K26 * (1 - (input_parameters!O13+input_parameters!O15)) + J26 * input_parameters!O10</f>
        <v>1.2420338397898583E-2</v>
      </c>
      <c r="L27">
        <f ca="1">L26 * (1 - (input_parameters!O16)) + K26 * input_parameters!O13</f>
        <v>4.9744376229649192E-3</v>
      </c>
      <c r="M27">
        <f ca="1">M26 * (1 - (0)) + J26 * input_parameters!O14+K26 * input_parameters!O15+L26 * input_parameters!O16</f>
        <v>0.70368585764599922</v>
      </c>
      <c r="N27">
        <f ca="1">N26 * (1 - (input_parameters!O11+input_parameters!O14))</f>
        <v>0.27461007804370757</v>
      </c>
      <c r="O27">
        <f ca="1">O26 * (1 - (input_parameters!O13+input_parameters!O15)) + N26 * input_parameters!O11</f>
        <v>1.5588586814876315E-2</v>
      </c>
      <c r="P27">
        <f ca="1">P26 * (1 - (input_parameters!O16)) + O26 * input_parameters!O13</f>
        <v>6.2638643805180234E-3</v>
      </c>
      <c r="Q27">
        <f ca="1">Q26 * (1 - (0)) + N26 * input_parameters!O14+O26 * input_parameters!O15+P26 * input_parameters!O16</f>
        <v>0.70353747076089868</v>
      </c>
      <c r="R27">
        <f ca="1">R26 * (1 - (input_parameters!O12+input_parameters!O14))</f>
        <v>0.27491826914381118</v>
      </c>
      <c r="S27">
        <f ca="1">S26 * (1 - (input_parameters!O13+input_parameters!O15)) + R26 * input_parameters!O12</f>
        <v>1.5362190664834805E-2</v>
      </c>
      <c r="T27">
        <f ca="1">T26 * (1 - (input_parameters!O16)) + S26 * input_parameters!O13</f>
        <v>6.1714354702562474E-3</v>
      </c>
      <c r="U27">
        <f ca="1">U26 * (1 - (0)) + R26 * input_parameters!O14+S26 * input_parameters!O15+T26 * input_parameters!O16</f>
        <v>0.70354810472109819</v>
      </c>
      <c r="V27">
        <f ca="1">F27 * state_costs!E9 + G27 * state_costs!F9 + H27 * state_costs!G9 + I27 * state_costs!H9</f>
        <v>23.986530674223832</v>
      </c>
      <c r="W27">
        <f ca="1">F27 * state_qalys!E9 + G27 * state_qalys!F9 + H27 * state_qalys!G9 + I27 * state_qalys!H9</f>
        <v>0.22079952993754043</v>
      </c>
      <c r="X27">
        <f ca="1">(F27 * state_costs!E9 + G27 * state_costs!F9 + H27 * state_costs!G9 + I27 * state_costs!H9) * (1 / (1 + model_settings!F10)^(18 * model_settings!F9))</f>
        <v>12.913415987633758</v>
      </c>
      <c r="Y27">
        <f ca="1">(F27 * state_qalys!E9 + G27 * state_qalys!F9 + H27 * state_qalys!G9 + I27 * state_qalys!H9) * (1 / (1 + model_settings!F11)^(18 * model_settings!F9))</f>
        <v>0.11886988654934844</v>
      </c>
      <c r="Z27">
        <f ca="1">J27 * state_costs!I9 + K27 * state_costs!J9 + L27 * state_costs!K9 + M27 * state_costs!L9</f>
        <v>15.260873087296936</v>
      </c>
      <c r="AA27">
        <f ca="1">J27 * state_qalys!I9 + K27 * state_qalys!J9 + L27 * state_qalys!K9 + M27 * state_qalys!L9</f>
        <v>0.22234718166457151</v>
      </c>
      <c r="AB27">
        <f ca="1">(J27 * state_costs!I9 + K27 * state_costs!J9 + L27 * state_costs!K9 + M27 * state_costs!L9) * (1 / (1 + model_settings!F10)^(18 * model_settings!F9))</f>
        <v>8.2158610258099323</v>
      </c>
      <c r="AC27">
        <f ca="1">(J27 * state_qalys!I9 + K27 * state_qalys!J9 + L27 * state_qalys!K9 + M27 * state_qalys!L9) * (1 / (1 + model_settings!F11)^(18 * model_settings!F9))</f>
        <v>0.11970308209673991</v>
      </c>
      <c r="AD27">
        <f ca="1">N27 * state_costs!M9 + O27 * state_costs!N9 + P27 * state_costs!O9 + Q27 * state_costs!P9</f>
        <v>18.626209443628181</v>
      </c>
      <c r="AE27">
        <f ca="1">N27 * state_qalys!M9 + O27 * state_qalys!N9 + P27 * state_qalys!O9 + Q27 * state_qalys!P9</f>
        <v>0.22162756025863653</v>
      </c>
      <c r="AF27">
        <f ca="1">(N27 * state_costs!M9 + O27 * state_costs!N9 + P27 * state_costs!O9 + Q27 * state_costs!P9) * (1 / (1 + model_settings!F10)^(18 * model_settings!F9))</f>
        <v>10.027627341574529</v>
      </c>
      <c r="AG27">
        <f ca="1">(N27 * state_qalys!M9 + O27 * state_qalys!N9 + P27 * state_qalys!O9 + Q27 * state_qalys!P9) * (1 / (1 + model_settings!F11)^(18 * model_settings!F9))</f>
        <v>0.11931566589659595</v>
      </c>
      <c r="AH27">
        <f ca="1">R27 * state_costs!Q9 + S27 * state_costs!R9 + T27 * state_costs!S9 + U27 * state_costs!T9</f>
        <v>19.772439647244443</v>
      </c>
      <c r="AI27">
        <f ca="1">R27 * state_qalys!Q9 + S27 * state_qalys!R9 + T27 * state_qalys!S9 + U27 * state_qalys!T9</f>
        <v>0.22167901348824062</v>
      </c>
      <c r="AJ27">
        <f ca="1">(R27 * state_costs!Q9 + S27 * state_costs!R9 + T27 * state_costs!S9 + U27 * state_costs!T9) * (1 / (1 + model_settings!F10)^(18 * model_settings!F9))</f>
        <v>10.644713140180372</v>
      </c>
      <c r="AK27">
        <f ca="1">(R27 * state_qalys!Q9 + S27 * state_qalys!R9 + T27 * state_qalys!S9 + U27 * state_qalys!T9) * (1 / (1 + model_settings!F11)^(18 * model_settings!F9))</f>
        <v>0.11934336631591916</v>
      </c>
    </row>
    <row r="28" spans="5:37" x14ac:dyDescent="0.55000000000000004">
      <c r="E28">
        <v>20</v>
      </c>
      <c r="F28">
        <f ca="1">F27 * (1 - (input_parameters!O9+input_parameters!O14))</f>
        <v>0.25071259218485087</v>
      </c>
      <c r="G28">
        <f ca="1">G27 * (1 - (input_parameters!O13+input_parameters!O15)) + F27 * input_parameters!O9</f>
        <v>1.8598637079313585E-2</v>
      </c>
      <c r="H28">
        <f ca="1">H27 * (1 - (input_parameters!O16)) + G27 * input_parameters!O13</f>
        <v>7.9844104714253301E-3</v>
      </c>
      <c r="I28">
        <f ca="1">I27 * (1 - (0)) + F27 * input_parameters!O14+G27 * input_parameters!O15+H27 * input_parameters!O16</f>
        <v>0.72270436026441054</v>
      </c>
      <c r="J28">
        <f ca="1">J27 * (1 - (input_parameters!O10+input_parameters!O14))</f>
        <v>0.25981961165798939</v>
      </c>
      <c r="K28">
        <f ca="1">K27 * (1 - (input_parameters!O13+input_parameters!O15)) + J27 * input_parameters!O10</f>
        <v>1.2026727102155391E-2</v>
      </c>
      <c r="L28">
        <f ca="1">L27 * (1 - (input_parameters!O16)) + K27 * input_parameters!O13</f>
        <v>5.1241988189633554E-3</v>
      </c>
      <c r="M28">
        <f ca="1">M27 * (1 - (0)) + J27 * input_parameters!O14+K27 * input_parameters!O15+L27 * input_parameters!O16</f>
        <v>0.72302946242089194</v>
      </c>
      <c r="N28">
        <f ca="1">N27 * (1 - (input_parameters!O11+input_parameters!O14))</f>
        <v>0.25558422985268375</v>
      </c>
      <c r="O28">
        <f ca="1">O27 * (1 - (input_parameters!O13+input_parameters!O15)) + N27 * input_parameters!O11</f>
        <v>1.5086699722091977E-2</v>
      </c>
      <c r="P28">
        <f ca="1">P27 * (1 - (input_parameters!O16)) + O27 * input_parameters!O13</f>
        <v>6.4504050546046361E-3</v>
      </c>
      <c r="Q28">
        <f ca="1">Q27 * (1 - (0)) + N27 * input_parameters!O14+O27 * input_parameters!O15+P27 * input_parameters!O16</f>
        <v>0.72287866537062018</v>
      </c>
      <c r="R28">
        <f ca="1">R27 * (1 - (input_parameters!O12+input_parameters!O14))</f>
        <v>0.2558870134222524</v>
      </c>
      <c r="S28">
        <f ca="1">S27 * (1 - (input_parameters!O13+input_parameters!O15)) + R27 * input_parameters!O12</f>
        <v>1.4868150127888046E-2</v>
      </c>
      <c r="T28">
        <f ca="1">T27 * (1 - (input_parameters!O16)) + S27 * input_parameters!O13</f>
        <v>6.3553680153105177E-3</v>
      </c>
      <c r="U28">
        <f ca="1">U27 * (1 - (0)) + R27 * input_parameters!O14+S27 * input_parameters!O15+T27 * input_parameters!O16</f>
        <v>0.72288946843454938</v>
      </c>
      <c r="V28">
        <f ca="1">F28 * state_costs!E9 + G28 * state_costs!F9 + H28 * state_costs!G9 + I28 * state_costs!H9</f>
        <v>22.983760362550623</v>
      </c>
      <c r="W28">
        <f ca="1">F28 * state_qalys!E9 + G28 * state_qalys!F9 + H28 * state_qalys!G9 + I28 * state_qalys!H9</f>
        <v>0.20615165222627085</v>
      </c>
      <c r="X28">
        <f ca="1">(F28 * state_costs!E9 + G28 * state_costs!F9 + H28 * state_costs!G9 + I28 * state_costs!H9) * (1 / (1 + model_settings!F10)^(19 * model_settings!F9))</f>
        <v>11.955133739066808</v>
      </c>
      <c r="Y28">
        <f ca="1">(F28 * state_qalys!E9 + G28 * state_qalys!F9 + H28 * state_qalys!G9 + I28 * state_qalys!H9) * (1 / (1 + model_settings!F11)^(19 * model_settings!F9))</f>
        <v>0.10723095498813111</v>
      </c>
      <c r="Z28">
        <f ca="1">J28 * state_costs!I9 + K28 * state_costs!J9 + L28 * state_costs!K9 + M28 * state_costs!L9</f>
        <v>14.64846191191517</v>
      </c>
      <c r="AA28">
        <f ca="1">J28 * state_qalys!I9 + K28 * state_qalys!J9 + L28 * state_qalys!K9 + M28 * state_qalys!L9</f>
        <v>0.20766577202086342</v>
      </c>
      <c r="AB28">
        <f ca="1">(J28 * state_costs!I9 + K28 * state_costs!J9 + L28 * state_costs!K9 + M28 * state_costs!L9) * (1 / (1 + model_settings!F10)^(19 * model_settings!F9))</f>
        <v>7.6194808188966734</v>
      </c>
      <c r="AC28">
        <f ca="1">(J28 * state_qalys!I9 + K28 * state_qalys!J9 + L28 * state_qalys!K9 + M28 * state_qalys!L9) * (1 / (1 + model_settings!F11)^(19 * model_settings!F9))</f>
        <v>0.10801853301521569</v>
      </c>
      <c r="AD28">
        <f ca="1">N28 * state_costs!M9 + O28 * state_costs!N9 + P28 * state_costs!O9 + Q28 * state_costs!P9</f>
        <v>17.883135534364669</v>
      </c>
      <c r="AE28">
        <f ca="1">N28 * state_qalys!M9 + O28 * state_qalys!N9 + P28 * state_qalys!O9 + Q28 * state_qalys!P9</f>
        <v>0.20696137296335906</v>
      </c>
      <c r="AF28">
        <f ca="1">(N28 * state_costs!M9 + O28 * state_costs!N9 + P28 * state_costs!O9 + Q28 * state_costs!P9) * (1 / (1 + model_settings!F10)^(19 * model_settings!F9))</f>
        <v>9.3020147101577972</v>
      </c>
      <c r="AG28">
        <f ca="1">(N28 * state_qalys!M9 + O28 * state_qalys!N9 + P28 * state_qalys!O9 + Q28 * state_qalys!P9) * (1 / (1 + model_settings!F11)^(19 * model_settings!F9))</f>
        <v>0.10765213583715172</v>
      </c>
      <c r="AH28">
        <f ca="1">R28 * state_costs!Q9 + S28 * state_costs!R9 + T28 * state_costs!S9 + U28 * state_costs!T9</f>
        <v>18.942832253494846</v>
      </c>
      <c r="AI28">
        <f ca="1">R28 * state_qalys!Q9 + S28 * state_qalys!R9 + T28 * state_qalys!S9 + U28 * state_qalys!T9</f>
        <v>0.2070117166240176</v>
      </c>
      <c r="AJ28">
        <f ca="1">(R28 * state_costs!Q9 + S28 * state_costs!R9 + T28 * state_costs!S9 + U28 * state_costs!T9) * (1 / (1 + model_settings!F10)^(19 * model_settings!F9))</f>
        <v>9.8532219886975589</v>
      </c>
      <c r="AK28">
        <f ca="1">(R28 * state_qalys!Q9 + S28 * state_qalys!R9 + T28 * state_qalys!S9 + U28 * state_qalys!T9) * (1 / (1 + model_settings!F11)^(19 * model_settings!F9))</f>
        <v>0.10767832237871815</v>
      </c>
    </row>
    <row r="29" spans="5:37" x14ac:dyDescent="0.55000000000000004">
      <c r="E29">
        <v>21</v>
      </c>
      <c r="F29">
        <f ca="1">F28 * (1 - (input_parameters!O9+input_parameters!O14))</f>
        <v>0.23310620773559618</v>
      </c>
      <c r="G29">
        <f ca="1">G28 * (1 - (input_parameters!O13+input_parameters!O15)) + F28 * input_parameters!O9</f>
        <v>1.7940608170250703E-2</v>
      </c>
      <c r="H29">
        <f ca="1">H28 * (1 - (input_parameters!O16)) + G28 * input_parameters!O13</f>
        <v>8.1715457654565199E-3</v>
      </c>
      <c r="I29">
        <f ca="1">I28 * (1 - (0)) + F28 * input_parameters!O14+G28 * input_parameters!O15+H28 * input_parameters!O16</f>
        <v>0.74078163832869692</v>
      </c>
      <c r="J29">
        <f ca="1">J28 * (1 - (input_parameters!O10+input_parameters!O14))</f>
        <v>0.24202776411545382</v>
      </c>
      <c r="K29">
        <f ca="1">K28 * (1 - (input_parameters!O13+input_parameters!O15)) + J28 * input_parameters!O10</f>
        <v>1.1614443301701806E-2</v>
      </c>
      <c r="L29">
        <f ca="1">L28 * (1 - (input_parameters!O16)) + K28 * input_parameters!O13</f>
        <v>5.2479045635642832E-3</v>
      </c>
      <c r="M29">
        <f ca="1">M28 * (1 - (0)) + J28 * input_parameters!O14+K28 * input_parameters!O15+L28 * input_parameters!O16</f>
        <v>0.74110988801928013</v>
      </c>
      <c r="N29">
        <f ca="1">N28 * (1 - (input_parameters!O11+input_parameters!O14))</f>
        <v>0.23787655214530209</v>
      </c>
      <c r="O29">
        <f ca="1">O28 * (1 - (input_parameters!O13+input_parameters!O15)) + N28 * input_parameters!O11</f>
        <v>1.4561852496719487E-2</v>
      </c>
      <c r="P29">
        <f ca="1">P28 * (1 - (input_parameters!O16)) + O28 * input_parameters!O13</f>
        <v>6.6040290712753615E-3</v>
      </c>
      <c r="Q29">
        <f ca="1">Q28 * (1 - (0)) + N28 * input_parameters!O14+O28 * input_parameters!O15+P28 * input_parameters!O16</f>
        <v>0.74095756628670373</v>
      </c>
      <c r="R29">
        <f ca="1">R28 * (1 - (input_parameters!O12+input_parameters!O14))</f>
        <v>0.23817319904596085</v>
      </c>
      <c r="S29">
        <f ca="1">S28 * (1 - (input_parameters!O13+input_parameters!O15)) + R28 * input_parameters!O12</f>
        <v>1.4351448927240482E-2</v>
      </c>
      <c r="T29">
        <f ca="1">T28 * (1 - (input_parameters!O16)) + S28 * input_parameters!O13</f>
        <v>6.5068771562961768E-3</v>
      </c>
      <c r="U29">
        <f ca="1">U28 * (1 - (0)) + R28 * input_parameters!O14+S28 * input_parameters!O15+T28 * input_parameters!O16</f>
        <v>0.74096847487050277</v>
      </c>
      <c r="V29">
        <f ca="1">F29 * state_costs!E9 + G29 * state_costs!F9 + H29 * state_costs!G9 + I29 * state_costs!H9</f>
        <v>22.009209286479916</v>
      </c>
      <c r="W29">
        <f ca="1">F29 * state_qalys!E9 + G29 * state_qalys!F9 + H29 * state_qalys!G9 + I29 * state_qalys!H9</f>
        <v>0.19247681600761829</v>
      </c>
      <c r="X29">
        <f ca="1">(F29 * state_costs!E9 + G29 * state_costs!F9 + H29 * state_costs!G9 + I29 * state_costs!H9) * (1 / (1 + model_settings!F10)^(20 * model_settings!F9))</f>
        <v>11.061077730701516</v>
      </c>
      <c r="Y29">
        <f ca="1">(F29 * state_qalys!E9 + G29 * state_qalys!F9 + H29 * state_qalys!G9 + I29 * state_qalys!H9) * (1 / (1 + model_settings!F11)^(20 * model_settings!F9))</f>
        <v>9.6732281269460624E-2</v>
      </c>
      <c r="Z29">
        <f ca="1">J29 * state_costs!I9 + K29 * state_costs!J9 + L29 * state_costs!K9 + M29 * state_costs!L9</f>
        <v>14.051205696582148</v>
      </c>
      <c r="AA29">
        <f ca="1">J29 * state_qalys!I9 + K29 * state_qalys!J9 + L29 * state_qalys!K9 + M29 * state_qalys!L9</f>
        <v>0.19395441930276169</v>
      </c>
      <c r="AB29">
        <f ca="1">(J29 * state_costs!I9 + K29 * state_costs!J9 + L29 * state_costs!K9 + M29 * state_costs!L9) * (1 / (1 + model_settings!F10)^(20 * model_settings!F9))</f>
        <v>7.0616566182341352</v>
      </c>
      <c r="AC29">
        <f ca="1">(J29 * state_qalys!I9 + K29 * state_qalys!J9 + L29 * state_qalys!K9 + M29 * state_qalys!L9) * (1 / (1 + model_settings!F11)^(20 * model_settings!F9))</f>
        <v>9.7474874276323523E-2</v>
      </c>
      <c r="AD29">
        <f ca="1">N29 * state_costs!M9 + O29 * state_costs!N9 + P29 * state_costs!O9 + Q29 * state_costs!P9</f>
        <v>17.157656406431165</v>
      </c>
      <c r="AE29">
        <f ca="1">N29 * state_qalys!M9 + O29 * state_qalys!N9 + P29 * state_qalys!O9 + Q29 * state_qalys!P9</f>
        <v>0.1932666486748898</v>
      </c>
      <c r="AF29">
        <f ca="1">(N29 * state_costs!M9 + O29 * state_costs!N9 + P29 * state_costs!O9 + Q29 * state_costs!P9) * (1 / (1 + model_settings!F10)^(20 * model_settings!F9))</f>
        <v>8.6228527666727981</v>
      </c>
      <c r="AG29">
        <f ca="1">(N29 * state_qalys!M9 + O29 * state_qalys!N9 + P29 * state_qalys!O9 + Q29 * state_qalys!P9) * (1 / (1 + model_settings!F11)^(20 * model_settings!F9))</f>
        <v>9.7129224222440955E-2</v>
      </c>
      <c r="AH29">
        <f ca="1">R29 * state_costs!Q9 + S29 * state_costs!R9 + T29 * state_costs!S9 + U29 * state_costs!T9</f>
        <v>18.137278538823701</v>
      </c>
      <c r="AI29">
        <f ca="1">R29 * state_qalys!Q9 + S29 * state_qalys!R9 + T29 * state_qalys!S9 + U29 * state_qalys!T9</f>
        <v>0.19331578326650323</v>
      </c>
      <c r="AJ29">
        <f ca="1">(R29 * state_costs!Q9 + S29 * state_costs!R9 + T29 * state_costs!S9 + U29 * state_costs!T9) * (1 / (1 + model_settings!F10)^(20 * model_settings!F9))</f>
        <v>9.1151774300474919</v>
      </c>
      <c r="AK29">
        <f ca="1">(R29 * state_qalys!Q9 + S29 * state_qalys!R9 + T29 * state_qalys!S9 + U29 * state_qalys!T9) * (1 / (1 + model_settings!F11)^(20 * model_settings!F9))</f>
        <v>9.7153917591931344E-2</v>
      </c>
    </row>
    <row r="30" spans="5:37" x14ac:dyDescent="0.55000000000000004">
      <c r="E30">
        <v>22</v>
      </c>
      <c r="F30">
        <f ca="1">F29 * (1 - (input_parameters!O9+input_parameters!O14))</f>
        <v>0.21673623814158899</v>
      </c>
      <c r="G30">
        <f ca="1">G29 * (1 - (input_parameters!O13+input_parameters!O15)) + F29 * input_parameters!O9</f>
        <v>1.7264074180525731E-2</v>
      </c>
      <c r="H30">
        <f ca="1">H29 * (1 - (input_parameters!O16)) + G29 * input_parameters!O13</f>
        <v>8.3195054642900158E-3</v>
      </c>
      <c r="I30">
        <f ca="1">I29 * (1 - (0)) + F29 * input_parameters!O14+G29 * input_parameters!O15+H29 * input_parameters!O16</f>
        <v>0.75768018221359557</v>
      </c>
      <c r="J30">
        <f ca="1">J29 * (1 - (input_parameters!O10+input_parameters!O14))</f>
        <v>0.22545426124273291</v>
      </c>
      <c r="K30">
        <f ca="1">K29 * (1 - (input_parameters!O13+input_parameters!O15)) + J29 * input_parameters!O10</f>
        <v>1.1189321827057772E-2</v>
      </c>
      <c r="L30">
        <f ca="1">L29 * (1 - (input_parameters!O16)) + K29 * input_parameters!O13</f>
        <v>5.3466174671490969E-3</v>
      </c>
      <c r="M30">
        <f ca="1">M29 * (1 - (0)) + J29 * input_parameters!O14+K29 * input_parameters!O15+L29 * input_parameters!O16</f>
        <v>0.75800979946306035</v>
      </c>
      <c r="N30">
        <f ca="1">N29 * (1 - (input_parameters!O11+input_parameters!O14))</f>
        <v>0.22139571793279972</v>
      </c>
      <c r="O30">
        <f ca="1">O29 * (1 - (input_parameters!O13+input_parameters!O15)) + N29 * input_parameters!O11</f>
        <v>1.4021400998115009E-2</v>
      </c>
      <c r="P30">
        <f ca="1">P29 * (1 - (input_parameters!O16)) + O29 * input_parameters!O13</f>
        <v>6.7261039231969032E-3</v>
      </c>
      <c r="Q30">
        <f ca="1">Q29 * (1 - (0)) + N29 * input_parameters!O14+O29 * input_parameters!O15+P29 * input_parameters!O16</f>
        <v>0.75785677714588906</v>
      </c>
      <c r="R30">
        <f ca="1">R29 * (1 - (input_parameters!O12+input_parameters!O14))</f>
        <v>0.22168562595312175</v>
      </c>
      <c r="S30">
        <f ca="1">S29 * (1 - (input_parameters!O13+input_parameters!O15)) + R29 * input_parameters!O12</f>
        <v>1.3819333806991791E-2</v>
      </c>
      <c r="T30">
        <f ca="1">T29 * (1 - (input_parameters!O16)) + S29 * input_parameters!O13</f>
        <v>6.6273081186286444E-3</v>
      </c>
      <c r="U30">
        <f ca="1">U29 * (1 - (0)) + R29 * input_parameters!O14+S29 * input_parameters!O15+T29 * input_parameters!O16</f>
        <v>0.75786773212125813</v>
      </c>
      <c r="V30">
        <f ca="1">F30 * state_costs!E9 + G30 * state_costs!F9 + H30 * state_costs!G9 + I30 * state_costs!H9</f>
        <v>21.063316373826591</v>
      </c>
      <c r="W30">
        <f ca="1">F30 * state_qalys!E9 + G30 * state_qalys!F9 + H30 * state_qalys!G9 + I30 * state_qalys!H9</f>
        <v>0.17971015907682278</v>
      </c>
      <c r="X30">
        <f ca="1">(F30 * state_costs!E9 + G30 * state_costs!F9 + H30 * state_costs!G9 + I30 * state_costs!H9) * (1 / (1 + model_settings!F10)^(21 * model_settings!F9))</f>
        <v>10.227733548286235</v>
      </c>
      <c r="Y30">
        <f ca="1">(F30 * state_qalys!E9 + G30 * state_qalys!F9 + H30 * state_qalys!G9 + I30 * state_qalys!H9) * (1 / (1 + model_settings!F11)^(21 * model_settings!F9))</f>
        <v>8.7262024191110801E-2</v>
      </c>
      <c r="Z30">
        <f ca="1">J30 * state_costs!I9 + K30 * state_costs!J9 + L30 * state_costs!K9 + M30 * state_costs!L9</f>
        <v>13.46960285591515</v>
      </c>
      <c r="AA30">
        <f ca="1">J30 * state_qalys!I9 + K30 * state_qalys!J9 + L30 * state_qalys!K9 + M30 * state_qalys!L9</f>
        <v>0.18114889838976508</v>
      </c>
      <c r="AB30">
        <f ca="1">(J30 * state_costs!I9 + K30 * state_costs!J9 + L30 * state_costs!K9 + M30 * state_costs!L9) * (1 / (1 + model_settings!F10)^(21 * model_settings!F9))</f>
        <v>6.5404472195423731</v>
      </c>
      <c r="AC30">
        <f ca="1">(J30 * state_qalys!I9 + K30 * state_qalys!J9 + L30 * state_qalys!K9 + M30 * state_qalys!L9) * (1 / (1 + model_settings!F11)^(21 * model_settings!F9))</f>
        <v>8.7960634138236862E-2</v>
      </c>
      <c r="AD30">
        <f ca="1">N30 * state_costs!M9 + O30 * state_costs!N9 + P30 * state_costs!O9 + Q30 * state_costs!P9</f>
        <v>16.450496839733695</v>
      </c>
      <c r="AE30">
        <f ca="1">N30 * state_qalys!M9 + O30 * state_qalys!N9 + P30 * state_qalys!O9 + Q30 * state_qalys!P9</f>
        <v>0.18047886783818137</v>
      </c>
      <c r="AF30">
        <f ca="1">(N30 * state_costs!M9 + O30 * state_costs!N9 + P30 * state_costs!O9 + Q30 * state_costs!P9) * (1 / (1 + model_settings!F10)^(21 * model_settings!F9))</f>
        <v>7.9878826025132073</v>
      </c>
      <c r="AG30">
        <f ca="1">(N30 * state_qalys!M9 + O30 * state_qalys!N9 + P30 * state_qalys!O9 + Q30 * state_qalys!P9) * (1 / (1 + model_settings!F11)^(21 * model_settings!F9))</f>
        <v>8.7635286798378981E-2</v>
      </c>
      <c r="AH30">
        <f ca="1">R30 * state_costs!Q9 + S30 * state_costs!R9 + T30 * state_costs!S9 + U30 * state_costs!T9</f>
        <v>17.356027834217151</v>
      </c>
      <c r="AI30">
        <f ca="1">R30 * state_qalys!Q9 + S30 * state_qalys!R9 + T30 * state_qalys!S9 + U30 * state_qalys!T9</f>
        <v>0.18052671501694212</v>
      </c>
      <c r="AJ30">
        <f ca="1">(R30 * state_costs!Q9 + S30 * state_costs!R9 + T30 * state_costs!S9 + U30 * state_costs!T9) * (1 / (1 + model_settings!F10)^(21 * model_settings!F9))</f>
        <v>8.4275821050473798</v>
      </c>
      <c r="AK30">
        <f ca="1">(R30 * state_qalys!Q9 + S30 * state_qalys!R9 + T30 * state_qalys!S9 + U30 * state_qalys!T9) * (1 / (1 + model_settings!F11)^(21 * model_settings!F9))</f>
        <v>8.7658519996167819E-2</v>
      </c>
    </row>
    <row r="31" spans="5:37" x14ac:dyDescent="0.55000000000000004">
      <c r="E31">
        <v>23</v>
      </c>
      <c r="F31">
        <f ca="1">F30 * (1 - (input_parameters!O9+input_parameters!O14))</f>
        <v>0.20151585571264208</v>
      </c>
      <c r="G31">
        <f ca="1">G30 * (1 - (input_parameters!O13+input_parameters!O15)) + F30 * input_parameters!O9</f>
        <v>1.6576797057398913E-2</v>
      </c>
      <c r="H31">
        <f ca="1">H30 * (1 - (input_parameters!O16)) + G30 * input_parameters!O13</f>
        <v>8.4302683355505937E-3</v>
      </c>
      <c r="I31">
        <f ca="1">I30 * (1 - (0)) + F30 * input_parameters!O14+G30 * input_parameters!O15+H30 * input_parameters!O16</f>
        <v>0.77347707889440864</v>
      </c>
      <c r="J31">
        <f ca="1">J30 * (1 - (input_parameters!O10+input_parameters!O14))</f>
        <v>0.21001567360784007</v>
      </c>
      <c r="K31">
        <f ca="1">K30 * (1 - (input_parameters!O13+input_parameters!O15)) + J30 * input_parameters!O10</f>
        <v>1.0756342976990626E-2</v>
      </c>
      <c r="L31">
        <f ca="1">L30 * (1 - (input_parameters!O16)) + K30 * input_parameters!O13</f>
        <v>5.4215588284080444E-3</v>
      </c>
      <c r="M31">
        <f ca="1">M30 * (1 - (0)) + J30 * input_parameters!O14+K30 * input_parameters!O15+L30 * input_parameters!O16</f>
        <v>0.77380642458676141</v>
      </c>
      <c r="N31">
        <f ca="1">N30 * (1 - (input_parameters!O11+input_parameters!O14))</f>
        <v>0.20605672764686508</v>
      </c>
      <c r="O31">
        <f ca="1">O30 * (1 - (input_parameters!O13+input_parameters!O15)) + N30 * input_parameters!O11</f>
        <v>1.3471615750060237E-2</v>
      </c>
      <c r="P31">
        <f ca="1">P30 * (1 - (input_parameters!O16)) + O30 * input_parameters!O13</f>
        <v>6.8181952257051924E-3</v>
      </c>
      <c r="Q31">
        <f ca="1">Q30 * (1 - (0)) + N30 * input_parameters!O14+O30 * input_parameters!O15+P30 * input_parameters!O16</f>
        <v>0.77365346137737023</v>
      </c>
      <c r="R31">
        <f ca="1">R30 * (1 - (input_parameters!O12+input_parameters!O14))</f>
        <v>0.20633940741898449</v>
      </c>
      <c r="S31">
        <f ca="1">S30 * (1 - (input_parameters!O13+input_parameters!O15)) + R30 * input_parameters!O12</f>
        <v>1.327798284883203E-2</v>
      </c>
      <c r="T31">
        <f ca="1">T30 * (1 - (input_parameters!O16)) + S30 * input_parameters!O13</f>
        <v>6.718201448886232E-3</v>
      </c>
      <c r="U31">
        <f ca="1">U30 * (1 - (0)) + R30 * input_parameters!O14+S30 * input_parameters!O15+T30 * input_parameters!O16</f>
        <v>0.77366440828329752</v>
      </c>
      <c r="V31">
        <f ca="1">F31 * state_costs!E9 + G31 * state_costs!F9 + H31 * state_costs!G9 + I31 * state_costs!H9</f>
        <v>20.146372331029028</v>
      </c>
      <c r="W31">
        <f ca="1">F31 * state_qalys!E9 + G31 * state_qalys!F9 + H31 * state_qalys!G9 + I31 * state_qalys!H9</f>
        <v>0.16779117210452404</v>
      </c>
      <c r="X31">
        <f ca="1">(F31 * state_costs!E9 + G31 * state_costs!F9 + H31 * state_costs!G9 + I31 * state_costs!H9) * (1 / (1 + model_settings!F10)^(22 * model_settings!F9))</f>
        <v>9.4516832865488976</v>
      </c>
      <c r="Y31">
        <f ca="1">(F31 * state_qalys!E9 + G31 * state_qalys!F9 + H31 * state_qalys!G9 + I31 * state_qalys!H9) * (1 / (1 + model_settings!F11)^(22 * model_settings!F9))</f>
        <v>7.8719334228137691E-2</v>
      </c>
      <c r="Z31">
        <f ca="1">J31 * state_costs!I9 + K31 * state_costs!J9 + L31 * state_costs!K9 + M31 * state_costs!L9</f>
        <v>12.904043171028153</v>
      </c>
      <c r="AA31">
        <f ca="1">J31 * state_qalys!I9 + K31 * state_qalys!J9 + L31 * state_qalys!K9 + M31 * state_qalys!L9</f>
        <v>0.16918925389399392</v>
      </c>
      <c r="AB31">
        <f ca="1">(J31 * state_costs!I9 + K31 * state_costs!J9 + L31 * state_costs!K9 + M31 * state_costs!L9) * (1 / (1 + model_settings!F10)^(22 * model_settings!F9))</f>
        <v>6.0539399929914115</v>
      </c>
      <c r="AC31">
        <f ca="1">(J31 * state_qalys!I9 + K31 * state_qalys!J9 + L31 * state_qalys!K9 + M31 * state_qalys!L9) * (1 / (1 + model_settings!F11)^(22 * model_settings!F9))</f>
        <v>7.9375245181516063E-2</v>
      </c>
      <c r="AD31">
        <f ca="1">N31 * state_costs!M9 + O31 * state_costs!N9 + P31 * state_costs!O9 + Q31 * state_costs!P9</f>
        <v>15.762237127379166</v>
      </c>
      <c r="AE31">
        <f ca="1">N31 * state_qalys!M9 + O31 * state_qalys!N9 + P31 * state_qalys!O9 + Q31 * state_qalys!P9</f>
        <v>0.16853781872896254</v>
      </c>
      <c r="AF31">
        <f ca="1">(N31 * state_costs!M9 + O31 * state_costs!N9 + P31 * state_costs!O9 + Q31 * state_costs!P9) * (1 / (1 + model_settings!F10)^(22 * model_settings!F9))</f>
        <v>7.3948634904366752</v>
      </c>
      <c r="AG31">
        <f ca="1">(N31 * state_qalys!M9 + O31 * state_qalys!N9 + P31 * state_qalys!O9 + Q31 * state_qalys!P9) * (1 / (1 + model_settings!F11)^(22 * model_settings!F9))</f>
        <v>7.906962396294491E-2</v>
      </c>
      <c r="AH31">
        <f ca="1">R31 * state_costs!Q9 + S31 * state_costs!R9 + T31 * state_costs!S9 + U31 * state_costs!T9</f>
        <v>16.599219362415091</v>
      </c>
      <c r="AI31">
        <f ca="1">R31 * state_qalys!Q9 + S31 * state_qalys!R9 + T31 * state_qalys!S9 + U31 * state_qalys!T9</f>
        <v>0.16858431855127098</v>
      </c>
      <c r="AJ31">
        <f ca="1">(R31 * state_costs!Q9 + S31 * state_costs!R9 + T31 * state_costs!S9 + U31 * state_costs!T9) * (1 / (1 + model_settings!F10)^(22 * model_settings!F9))</f>
        <v>7.7875342339354043</v>
      </c>
      <c r="AK31">
        <f ca="1">(R31 * state_qalys!Q9 + S31 * state_qalys!R9 + T31 * state_qalys!S9 + U31 * state_qalys!T9) * (1 / (1 + model_settings!F11)^(22 * model_settings!F9))</f>
        <v>7.9091439383910958E-2</v>
      </c>
    </row>
    <row r="32" spans="5:37" x14ac:dyDescent="0.55000000000000004">
      <c r="E32">
        <v>24</v>
      </c>
      <c r="F32">
        <f ca="1">F31 * (1 - (input_parameters!O9+input_parameters!O14))</f>
        <v>0.18736433026520308</v>
      </c>
      <c r="G32">
        <f ca="1">G31 * (1 - (input_parameters!O13+input_parameters!O15)) + F31 * input_parameters!O9</f>
        <v>1.588534833104413E-2</v>
      </c>
      <c r="H32">
        <f ca="1">H31 * (1 - (input_parameters!O16)) + G31 * input_parameters!O13</f>
        <v>8.5059850666786441E-3</v>
      </c>
      <c r="I32">
        <f ca="1">I31 * (1 - (0)) + F31 * input_parameters!O14+G31 * input_parameters!O15+H31 * input_parameters!O16</f>
        <v>0.78824433633707425</v>
      </c>
      <c r="J32">
        <f ca="1">J31 * (1 - (input_parameters!O10+input_parameters!O14))</f>
        <v>0.19563428483380021</v>
      </c>
      <c r="K32">
        <f ca="1">K31 * (1 - (input_parameters!O13+input_parameters!O15)) + J31 * input_parameters!O10</f>
        <v>1.0319736468367771E-2</v>
      </c>
      <c r="L32">
        <f ca="1">L31 * (1 - (input_parameters!O16)) + K31 * input_parameters!O13</f>
        <v>5.4740636057602227E-3</v>
      </c>
      <c r="M32">
        <f ca="1">M31 * (1 - (0)) + J31 * input_parameters!O14+K31 * input_parameters!O15+L31 * input_parameters!O16</f>
        <v>0.78857191509207181</v>
      </c>
      <c r="N32">
        <f ca="1">N31 * (1 - (input_parameters!O11+input_parameters!O14))</f>
        <v>0.1917804707560877</v>
      </c>
      <c r="O32">
        <f ca="1">O31 * (1 - (input_parameters!O13+input_parameters!O15)) + N31 * input_parameters!O11</f>
        <v>1.2917814624949012E-2</v>
      </c>
      <c r="P32">
        <f ca="1">P31 * (1 - (input_parameters!O16)) + O31 * input_parameters!O13</f>
        <v>6.8820097637976932E-3</v>
      </c>
      <c r="Q32">
        <f ca="1">Q31 * (1 - (0)) + N31 * input_parameters!O14+O31 * input_parameters!O15+P31 * input_parameters!O16</f>
        <v>0.78841970485516633</v>
      </c>
      <c r="R32">
        <f ca="1">R31 * (1 - (input_parameters!O12+input_parameters!O14))</f>
        <v>0.19205553301421943</v>
      </c>
      <c r="S32">
        <f ca="1">S31 * (1 - (input_parameters!O13+input_parameters!O15)) + R31 * input_parameters!O12</f>
        <v>1.2732636071001403E-2</v>
      </c>
      <c r="T32">
        <f ca="1">T31 * (1 - (input_parameters!O16)) + S31 * input_parameters!O13</f>
        <v>6.7812369199448741E-3</v>
      </c>
      <c r="U32">
        <f ca="1">U31 * (1 - (0)) + R31 * input_parameters!O14+S31 * input_parameters!O15+T31 * input_parameters!O16</f>
        <v>0.78843059399483451</v>
      </c>
      <c r="V32">
        <f ca="1">F32 * state_costs!E9 + G32 * state_costs!F9 + H32 * state_costs!G9 + I32 * state_costs!H9</f>
        <v>19.258533157045122</v>
      </c>
      <c r="W32">
        <f ca="1">F32 * state_qalys!E9 + G32 * state_qalys!F9 + H32 * state_qalys!G9 + I32 * state_qalys!H9</f>
        <v>0.15666340312492516</v>
      </c>
      <c r="X32">
        <f ca="1">(F32 * state_costs!E9 + G32 * state_costs!F9 + H32 * state_costs!G9 + I32 * state_costs!H9) * (1 / (1 + model_settings!F10)^(23 * model_settings!F9))</f>
        <v>8.7296164039269577</v>
      </c>
      <c r="Y32">
        <f ca="1">(F32 * state_qalys!E9 + G32 * state_qalys!F9 + H32 * state_qalys!G9 + I32 * state_qalys!H9) * (1 / (1 + model_settings!F11)^(23 * model_settings!F9))</f>
        <v>7.1013269944397148E-2</v>
      </c>
      <c r="Z32">
        <f ca="1">J32 * state_costs!I9 + K32 * state_costs!J9 + L32 * state_costs!K9 + M32 * state_costs!L9</f>
        <v>12.354817199006378</v>
      </c>
      <c r="AA32">
        <f ca="1">J32 * state_qalys!I9 + K32 * state_qalys!J9 + L32 * state_qalys!K9 + M32 * state_qalys!L9</f>
        <v>0.1580195142331568</v>
      </c>
      <c r="AB32">
        <f ca="1">(J32 * state_costs!I9 + K32 * state_costs!J9 + L32 * state_costs!K9 + M32 * state_costs!L9) * (1 / (1 + model_settings!F10)^(23 * model_settings!F9))</f>
        <v>5.6002611418258743</v>
      </c>
      <c r="AC32">
        <f ca="1">(J32 * state_qalys!I9 + K32 * state_qalys!J9 + L32 * state_qalys!K9 + M32 * state_qalys!L9) * (1 / (1 + model_settings!F11)^(23 * model_settings!F9))</f>
        <v>7.1627975627297821E-2</v>
      </c>
      <c r="AD32">
        <f ca="1">N32 * state_costs!M9 + O32 * state_costs!N9 + P32 * state_costs!O9 + Q32 * state_costs!P9</f>
        <v>15.093325579527008</v>
      </c>
      <c r="AE32">
        <f ca="1">N32 * state_qalys!M9 + O32 * state_qalys!N9 + P32 * state_qalys!O9 + Q32 * state_qalys!P9</f>
        <v>0.15738730716070562</v>
      </c>
      <c r="AF32">
        <f ca="1">(N32 * state_costs!M9 + O32 * state_costs!N9 + P32 * state_costs!O9 + Q32 * state_costs!P9) * (1 / (1 + model_settings!F10)^(23 * model_settings!F9))</f>
        <v>6.8415876481563442</v>
      </c>
      <c r="AG32">
        <f ca="1">(N32 * state_qalys!M9 + O32 * state_qalys!N9 + P32 * state_qalys!O9 + Q32 * state_qalys!P9) * (1 / (1 + model_settings!F11)^(23 * model_settings!F9))</f>
        <v>7.1341405243907557E-2</v>
      </c>
      <c r="AH32">
        <f ca="1">R32 * state_costs!Q9 + S32 * state_costs!R9 + T32 * state_costs!S9 + U32 * state_costs!T9</f>
        <v>15.866892315873079</v>
      </c>
      <c r="AI32">
        <f ca="1">R32 * state_qalys!Q9 + S32 * state_qalys!R9 + T32 * state_qalys!S9 + U32 * state_qalys!T9</f>
        <v>0.15743241564440455</v>
      </c>
      <c r="AJ32">
        <f ca="1">(R32 * state_costs!Q9 + S32 * state_costs!R9 + T32 * state_costs!S9 + U32 * state_costs!T9) * (1 / (1 + model_settings!F10)^(23 * model_settings!F9))</f>
        <v>7.1922343363579611</v>
      </c>
      <c r="AK32">
        <f ca="1">(R32 * state_qalys!Q9 + S32 * state_qalys!R9 + T32 * state_qalys!S9 + U32 * state_qalys!T9) * (1 / (1 + model_settings!F11)^(23 * model_settings!F9))</f>
        <v>7.1361852271520892E-2</v>
      </c>
    </row>
    <row r="33" spans="5:37" x14ac:dyDescent="0.55000000000000004">
      <c r="E33">
        <v>25</v>
      </c>
      <c r="F33">
        <f ca="1">F32 * (1 - (input_parameters!O9+input_parameters!O14))</f>
        <v>0.17420660092269732</v>
      </c>
      <c r="G33">
        <f ca="1">G32 * (1 - (input_parameters!O13+input_parameters!O15)) + F32 * input_parameters!O9</f>
        <v>1.5195257154240013E-2</v>
      </c>
      <c r="H33">
        <f ca="1">H32 * (1 - (input_parameters!O16)) + G32 * input_parameters!O13</f>
        <v>8.5489189438602859E-3</v>
      </c>
      <c r="I33">
        <f ca="1">I32 * (1 - (0)) + F32 * input_parameters!O14+G32 * input_parameters!O15+H32 * input_parameters!O16</f>
        <v>0.80204922297920245</v>
      </c>
      <c r="J33">
        <f ca="1">J32 * (1 - (input_parameters!O10+input_parameters!O14))</f>
        <v>0.18223770038182385</v>
      </c>
      <c r="K33">
        <f ca="1">K32 * (1 - (input_parameters!O13+input_parameters!O15)) + J32 * input_parameters!O10</f>
        <v>9.8830737308164864E-3</v>
      </c>
      <c r="L33">
        <f ca="1">L32 * (1 - (input_parameters!O16)) + K32 * input_parameters!O13</f>
        <v>5.5055426495452184E-3</v>
      </c>
      <c r="M33">
        <f ca="1">M32 * (1 - (0)) + J32 * input_parameters!O14+K32 * input_parameters!O15+L32 * input_parameters!O16</f>
        <v>0.80237368323781444</v>
      </c>
      <c r="N33">
        <f ca="1">N32 * (1 - (input_parameters!O11+input_parameters!O14))</f>
        <v>0.17849331775499624</v>
      </c>
      <c r="O33">
        <f ca="1">O32 * (1 - (input_parameters!O13+input_parameters!O15)) + N32 * input_parameters!O11</f>
        <v>1.2364480594424809E-2</v>
      </c>
      <c r="P33">
        <f ca="1">P32 * (1 - (input_parameters!O16)) + O32 * input_parameters!O13</f>
        <v>6.9193477707294553E-3</v>
      </c>
      <c r="Q33">
        <f ca="1">Q32 * (1 - (0)) + N32 * input_parameters!O14+O32 * input_parameters!O15+P32 * input_parameters!O16</f>
        <v>0.80222285387985026</v>
      </c>
      <c r="R33">
        <f ca="1">R32 * (1 - (input_parameters!O12+input_parameters!O14))</f>
        <v>0.17876046181754349</v>
      </c>
      <c r="S33">
        <f ca="1">S32 * (1 - (input_parameters!O13+input_parameters!O15)) + R32 * input_parameters!O12</f>
        <v>1.2187711332431876E-2</v>
      </c>
      <c r="T33">
        <f ca="1">T32 * (1 - (input_parameters!O16)) + S32 * input_parameters!O13</f>
        <v>6.8181865251942947E-3</v>
      </c>
      <c r="U33">
        <f ca="1">U32 * (1 - (0)) + R32 * input_parameters!O14+S32 * input_parameters!O15+T32 * input_parameters!O16</f>
        <v>0.80223364032483058</v>
      </c>
      <c r="V33">
        <f ca="1">F33 * state_costs!E9 + G33 * state_costs!F9 + H33 * state_costs!G9 + I33 * state_costs!H9</f>
        <v>18.399832995583779</v>
      </c>
      <c r="W33">
        <f ca="1">F33 * state_qalys!E9 + G33 * state_qalys!F9 + H33 * state_qalys!G9 + I33 * state_qalys!H9</f>
        <v>0.1462741824547206</v>
      </c>
      <c r="X33">
        <f ca="1">(F33 * state_costs!E9 + G33 * state_costs!F9 + H33 * state_costs!G9 + I33 * state_costs!H9) * (1 / (1 + model_settings!F10)^(24 * model_settings!F9))</f>
        <v>8.0583381228821906</v>
      </c>
      <c r="Y33">
        <f ca="1">(F33 * state_qalys!E9 + G33 * state_qalys!F9 + H33 * state_qalys!G9 + I33 * state_qalys!H9) * (1 / (1 + model_settings!F11)^(24 * model_settings!F9))</f>
        <v>6.406182171062158E-2</v>
      </c>
      <c r="Z33">
        <f ca="1">J33 * state_costs!I9 + K33 * state_costs!J9 + L33 * state_costs!K9 + M33 * state_costs!L9</f>
        <v>11.822125220403233</v>
      </c>
      <c r="AA33">
        <f ca="1">J33 * state_qalys!I9 + K33 * state_qalys!J9 + L33 * state_qalys!K9 + M33 * state_qalys!L9</f>
        <v>0.14758742507900516</v>
      </c>
      <c r="AB33">
        <f ca="1">(J33 * state_costs!I9 + K33 * state_costs!J9 + L33 * state_costs!K9 + M33 * state_costs!L9) * (1 / (1 + model_settings!F10)^(24 * model_settings!F9))</f>
        <v>5.1775840780689562</v>
      </c>
      <c r="AC33">
        <f ca="1">(J33 * state_qalys!I9 + K33 * state_qalys!J9 + L33 * state_qalys!K9 + M33 * state_qalys!L9) * (1 / (1 + model_settings!F11)^(24 * model_settings!F9))</f>
        <v>6.4636965686461254E-2</v>
      </c>
      <c r="AD33">
        <f ca="1">N33 * state_costs!M9 + O33 * state_costs!N9 + P33 * state_costs!O9 + Q33 * state_costs!P9</f>
        <v>14.444090391683631</v>
      </c>
      <c r="AE33">
        <f ca="1">N33 * state_qalys!M9 + O33 * state_qalys!N9 + P33 * state_qalys!O9 + Q33 * state_qalys!P9</f>
        <v>0.14697488604570608</v>
      </c>
      <c r="AF33">
        <f ca="1">(N33 * state_costs!M9 + O33 * state_costs!N9 + P33 * state_costs!O9 + Q33 * state_costs!P9) * (1 / (1 + model_settings!F10)^(24 * model_settings!F9))</f>
        <v>6.3258924296539591</v>
      </c>
      <c r="AG33">
        <f ca="1">(N33 * state_qalys!M9 + O33 * state_qalys!N9 + P33 * state_qalys!O9 + Q33 * state_qalys!P9) * (1 / (1 + model_settings!F11)^(24 * model_settings!F9))</f>
        <v>6.4368699847039121E-2</v>
      </c>
      <c r="AH33">
        <f ca="1">R33 * state_costs!Q9 + S33 * state_costs!R9 + T33 * state_costs!S9 + U33 * state_costs!T9</f>
        <v>15.158995464340618</v>
      </c>
      <c r="AI33">
        <f ca="1">R33 * state_qalys!Q9 + S33 * state_qalys!R9 + T33 * state_qalys!S9 + U33 * state_qalys!T9</f>
        <v>0.1470185730137295</v>
      </c>
      <c r="AJ33">
        <f ca="1">(R33 * state_costs!Q9 + S33 * state_costs!R9 + T33 * state_costs!S9 + U33 * state_costs!T9) * (1 / (1 + model_settings!F10)^(24 * model_settings!F9))</f>
        <v>6.6389902062814086</v>
      </c>
      <c r="AK33">
        <f ca="1">(R33 * state_qalys!Q9 + S33 * state_qalys!R9 + T33 * state_qalys!S9 + U33 * state_qalys!T9) * (1 / (1 + model_settings!F11)^(24 * model_settings!F9))</f>
        <v>6.4387832866343198E-2</v>
      </c>
    </row>
    <row r="34" spans="5:37" x14ac:dyDescent="0.55000000000000004">
      <c r="E34">
        <v>26</v>
      </c>
      <c r="F34">
        <f ca="1">F33 * (1 - (input_parameters!O9+input_parameters!O14))</f>
        <v>0.16197287798635002</v>
      </c>
      <c r="G34">
        <f ca="1">G33 * (1 - (input_parameters!O13+input_parameters!O15)) + F33 * input_parameters!O9</f>
        <v>1.4511141510778685E-2</v>
      </c>
      <c r="H34">
        <f ca="1">H33 * (1 - (input_parameters!O16)) + G33 * input_parameters!O13</f>
        <v>8.5613965381867302E-3</v>
      </c>
      <c r="I34">
        <f ca="1">I33 * (1 - (0)) + F33 * input_parameters!O14+G33 * input_parameters!O15+H33 * input_parameters!O16</f>
        <v>0.81495458396468468</v>
      </c>
      <c r="J34">
        <f ca="1">J33 * (1 - (input_parameters!O10+input_parameters!O14))</f>
        <v>0.16975848312410693</v>
      </c>
      <c r="K34">
        <f ca="1">K33 * (1 - (input_parameters!O13+input_parameters!O15)) + J33 * input_parameters!O10</f>
        <v>9.4493497973669339E-3</v>
      </c>
      <c r="L34">
        <f ca="1">L33 * (1 - (input_parameters!O16)) + K33 * input_parameters!O13</f>
        <v>5.5174512275475698E-3</v>
      </c>
      <c r="M34">
        <f ca="1">M33 * (1 - (0)) + J33 * input_parameters!O14+K33 * input_parameters!O15+L33 * input_parameters!O16</f>
        <v>0.81527471585097855</v>
      </c>
      <c r="N34">
        <f ca="1">N33 * (1 - (input_parameters!O11+input_parameters!O14))</f>
        <v>0.16612674042137696</v>
      </c>
      <c r="O34">
        <f ca="1">O33 * (1 - (input_parameters!O13+input_parameters!O15)) + N33 * input_parameters!O11</f>
        <v>1.1815366154380526E-2</v>
      </c>
      <c r="P34">
        <f ca="1">P33 * (1 - (input_parameters!O16)) + O33 * input_parameters!O13</f>
        <v>6.9320632036084075E-3</v>
      </c>
      <c r="Q34">
        <f ca="1">Q33 * (1 - (0)) + N33 * input_parameters!O14+O33 * input_parameters!O15+P33 * input_parameters!O16</f>
        <v>0.81512583022063478</v>
      </c>
      <c r="R34">
        <f ca="1">R33 * (1 - (input_parameters!O12+input_parameters!O14))</f>
        <v>0.16638574378825896</v>
      </c>
      <c r="S34">
        <f ca="1">S33 * (1 - (input_parameters!O13+input_parameters!O15)) + R33 * input_parameters!O12</f>
        <v>1.1646907123933431E-2</v>
      </c>
      <c r="T34">
        <f ca="1">T33 * (1 - (input_parameters!O16)) + S33 * input_parameters!O13</f>
        <v>6.8308753466172663E-3</v>
      </c>
      <c r="U34">
        <f ca="1">U33 * (1 - (0)) + R33 * input_parameters!O14+S33 * input_parameters!O15+T33 * input_parameters!O16</f>
        <v>0.81513647374119069</v>
      </c>
      <c r="V34">
        <f ca="1">F34 * state_costs!E9 + G34 * state_costs!F9 + H34 * state_costs!G9 + I34 * state_costs!H9</f>
        <v>17.570196302029569</v>
      </c>
      <c r="W34">
        <f ca="1">F34 * state_qalys!E9 + G34 * state_qalys!F9 + H34 * state_qalys!G9 + I34 * state_qalys!H9</f>
        <v>0.1365743665920463</v>
      </c>
      <c r="X34">
        <f ca="1">(F34 * state_costs!E9 + G34 * state_costs!F9 + H34 * state_costs!G9 + I34 * state_costs!H9) * (1 / (1 + model_settings!F10)^(25 * model_settings!F9))</f>
        <v>7.4347756660865034</v>
      </c>
      <c r="Y34">
        <f ca="1">(F34 * state_qalys!E9 + G34 * state_qalys!F9 + H34 * state_qalys!G9 + I34 * state_qalys!H9) * (1 / (1 + model_settings!F11)^(25 * model_settings!F9))</f>
        <v>5.779103203488014E-2</v>
      </c>
      <c r="Z34">
        <f ca="1">J34 * state_costs!I9 + K34 * state_costs!J9 + L34 * state_costs!K9 + M34 * state_costs!L9</f>
        <v>11.306085711902703</v>
      </c>
      <c r="AA34">
        <f ca="1">J34 * state_qalys!I9 + K34 * state_qalys!J9 + L34 * state_qalys!K9 + M34 * state_qalys!L9</f>
        <v>0.13784420084434382</v>
      </c>
      <c r="AB34">
        <f ca="1">(J34 * state_costs!I9 + K34 * state_costs!J9 + L34 * state_costs!K9 + M34 * state_costs!L9) * (1 / (1 + model_settings!F10)^(25 * model_settings!F9))</f>
        <v>4.7841361294200677</v>
      </c>
      <c r="AC34">
        <f ca="1">(J34 * state_qalys!I9 + K34 * state_qalys!J9 + L34 * state_qalys!K9 + M34 * state_qalys!L9) * (1 / (1 + model_settings!F11)^(25 * model_settings!F9))</f>
        <v>5.8328358575611743E-2</v>
      </c>
      <c r="AD34">
        <f ca="1">N34 * state_costs!M9 + O34 * state_costs!N9 + P34 * state_costs!O9 + Q34 * state_costs!P9</f>
        <v>13.814750865175604</v>
      </c>
      <c r="AE34">
        <f ca="1">N34 * state_qalys!M9 + O34 * state_qalys!N9 + P34 * state_qalys!O9 + Q34 * state_qalys!P9</f>
        <v>0.13725160342188392</v>
      </c>
      <c r="AF34">
        <f ca="1">(N34 * state_costs!M9 + O34 * state_costs!N9 + P34 * state_costs!O9 + Q34 * state_costs!P9) * (1 / (1 + model_settings!F10)^(25 * model_settings!F9))</f>
        <v>5.8456702361140307</v>
      </c>
      <c r="AG34">
        <f ca="1">(N34 * state_qalys!M9 + O34 * state_qalys!N9 + P34 * state_qalys!O9 + Q34 * state_qalys!P9) * (1 / (1 + model_settings!F11)^(25 * model_settings!F9))</f>
        <v>5.8077602760448675E-2</v>
      </c>
      <c r="AH34">
        <f ca="1">R34 * state_costs!Q9 + S34 * state_costs!R9 + T34 * state_costs!S9 + U34 * state_costs!T9</f>
        <v>14.475396269170666</v>
      </c>
      <c r="AI34">
        <f ca="1">R34 * state_qalys!Q9 + S34 * state_qalys!R9 + T34 * state_qalys!S9 + U34 * state_qalys!T9</f>
        <v>0.13729385059718044</v>
      </c>
      <c r="AJ34">
        <f ca="1">(R34 * state_costs!Q9 + S34 * state_costs!R9 + T34 * state_costs!S9 + U34 * state_costs!T9) * (1 / (1 + model_settings!F10)^(25 * model_settings!F9))</f>
        <v>6.1252203497895961</v>
      </c>
      <c r="AK34">
        <f ca="1">(R34 * state_qalys!Q9 + S34 * state_qalys!R9 + T34 * state_qalys!S9 + U34 * state_qalys!T9) * (1 / (1 + model_settings!F11)^(25 * model_settings!F9))</f>
        <v>5.809547952548056E-2</v>
      </c>
    </row>
    <row r="35" spans="5:37" x14ac:dyDescent="0.55000000000000004">
      <c r="E35">
        <v>27</v>
      </c>
      <c r="F35">
        <f ca="1">F34 * (1 - (input_parameters!O9+input_parameters!O14))</f>
        <v>0.15059827276477702</v>
      </c>
      <c r="G35">
        <f ca="1">G34 * (1 - (input_parameters!O13+input_parameters!O15)) + F34 * input_parameters!O9</f>
        <v>1.3836824417182389E-2</v>
      </c>
      <c r="H35">
        <f ca="1">H34 * (1 - (input_parameters!O16)) + G34 * input_parameters!O13</f>
        <v>8.54576703510233E-3</v>
      </c>
      <c r="I35">
        <f ca="1">I34 * (1 - (0)) + F34 * input_parameters!O14+G34 * input_parameters!O15+H34 * input_parameters!O16</f>
        <v>0.8270191357829384</v>
      </c>
      <c r="J35">
        <f ca="1">J34 * (1 - (input_parameters!O10+input_parameters!O14))</f>
        <v>0.15813381387176439</v>
      </c>
      <c r="K35">
        <f ca="1">K34 * (1 - (input_parameters!O13+input_parameters!O15)) + J34 * input_parameters!O10</f>
        <v>9.0210559113351081E-3</v>
      </c>
      <c r="L35">
        <f ca="1">L34 * (1 - (input_parameters!O16)) + K34 * input_parameters!O13</f>
        <v>5.5112629933012714E-3</v>
      </c>
      <c r="M35">
        <f ca="1">M34 * (1 - (0)) + J34 * input_parameters!O14+K34 * input_parameters!O15+L34 * input_parameters!O16</f>
        <v>0.82733386722359925</v>
      </c>
      <c r="N35">
        <f ca="1">N34 * (1 - (input_parameters!O11+input_parameters!O14))</f>
        <v>0.15461695838335696</v>
      </c>
      <c r="O35">
        <f ca="1">O34 * (1 - (input_parameters!O13+input_parameters!O15)) + N34 * input_parameters!O11</f>
        <v>1.1273585863584819E-2</v>
      </c>
      <c r="P35">
        <f ca="1">P34 * (1 - (input_parameters!O16)) + O34 * input_parameters!O13</f>
        <v>6.922030930996915E-3</v>
      </c>
      <c r="Q35">
        <f ca="1">Q34 * (1 - (0)) + N34 * input_parameters!O14+O34 * input_parameters!O15+P34 * input_parameters!O16</f>
        <v>0.82718742482206198</v>
      </c>
      <c r="R35">
        <f ca="1">R34 * (1 - (input_parameters!O12+input_parameters!O14))</f>
        <v>0.15486766734933125</v>
      </c>
      <c r="S35">
        <f ca="1">S34 * (1 - (input_parameters!O13+input_parameters!O15)) + R34 * input_parameters!O12</f>
        <v>1.111329366240146E-2</v>
      </c>
      <c r="T35">
        <f ca="1">T34 * (1 - (input_parameters!O16)) + S34 * input_parameters!O13</f>
        <v>6.8211492287440206E-3</v>
      </c>
      <c r="U35">
        <f ca="1">U34 * (1 - (0)) + R34 * input_parameters!O14+S34 * input_parameters!O15+T34 * input_parameters!O16</f>
        <v>0.82719788975952369</v>
      </c>
      <c r="V35">
        <f ca="1">F35 * state_costs!E9 + G35 * state_costs!F9 + H35 * state_costs!G9 + I35 * state_costs!H9</f>
        <v>16.769449312950467</v>
      </c>
      <c r="W35">
        <f ca="1">F35 * state_qalys!E9 + G35 * state_qalys!F9 + H35 * state_qalys!G9 + I35 * state_qalys!H9</f>
        <v>0.12751809975152079</v>
      </c>
      <c r="X35">
        <f ca="1">(F35 * state_costs!E9 + G35 * state_costs!F9 + H35 * state_costs!G9 + I35 * state_costs!H9) * (1 / (1 + model_settings!F10)^(26 * model_settings!F9))</f>
        <v>6.8559825975755295</v>
      </c>
      <c r="Y35">
        <f ca="1">(F35 * state_qalys!E9 + G35 * state_qalys!F9 + H35 * state_qalys!G9 + I35 * state_qalys!H9) * (1 / (1 + model_settings!F11)^(26 * model_settings!F9))</f>
        <v>5.2134202886266794E-2</v>
      </c>
      <c r="Z35">
        <f ca="1">J35 * state_costs!I9 + K35 * state_costs!J9 + L35 * state_costs!K9 + M35 * state_costs!L9</f>
        <v>10.806743338435439</v>
      </c>
      <c r="AA35">
        <f ca="1">J35 * state_qalys!I9 + K35 * state_qalys!J9 + L35 * state_qalys!K9 + M35 * state_qalys!L9</f>
        <v>0.12874429296634418</v>
      </c>
      <c r="AB35">
        <f ca="1">(J35 * state_costs!I9 + K35 * state_costs!J9 + L35 * state_costs!K9 + M35 * state_costs!L9) * (1 / (1 + model_settings!F10)^(26 * model_settings!F9))</f>
        <v>4.418203775335714</v>
      </c>
      <c r="AC35">
        <f ca="1">(J35 * state_qalys!I9 + K35 * state_qalys!J9 + L35 * state_qalys!K9 + M35 * state_qalys!L9) * (1 / (1 + model_settings!F11)^(26 * model_settings!F9))</f>
        <v>5.2635516864156462E-2</v>
      </c>
      <c r="AD35">
        <f ca="1">N35 * state_costs!M9 + O35 * state_costs!N9 + P35 * state_costs!O9 + Q35 * state_costs!P9</f>
        <v>13.205427976314207</v>
      </c>
      <c r="AE35">
        <f ca="1">N35 * state_qalys!M9 + O35 * state_qalys!N9 + P35 * state_qalys!O9 + Q35 * state_qalys!P9</f>
        <v>0.12817176765706842</v>
      </c>
      <c r="AF35">
        <f ca="1">(N35 * state_costs!M9 + O35 * state_costs!N9 + P35 * state_costs!O9 + Q35 * state_costs!P9) * (1 / (1 + model_settings!F10)^(26 * model_settings!F9))</f>
        <v>5.3988764156512445</v>
      </c>
      <c r="AG35">
        <f ca="1">(N35 * state_qalys!M9 + O35 * state_qalys!N9 + P35 * state_qalys!O9 + Q35 * state_qalys!P9) * (1 / (1 + model_settings!F11)^(26 * model_settings!F9))</f>
        <v>5.2401446950242542E-2</v>
      </c>
      <c r="AH35">
        <f ca="1">R35 * state_costs!Q9 + S35 * state_costs!R9 + T35 * state_costs!S9 + U35 * state_costs!T9</f>
        <v>13.815889490866917</v>
      </c>
      <c r="AI35">
        <f ca="1">R35 * state_qalys!Q9 + S35 * state_qalys!R9 + T35 * state_qalys!S9 + U35 * state_qalys!T9</f>
        <v>0.12821256698101743</v>
      </c>
      <c r="AJ35">
        <f ca="1">(R35 * state_costs!Q9 + S35 * state_costs!R9 + T35 * state_costs!S9 + U35 * state_costs!T9) * (1 / (1 + model_settings!F10)^(26 * model_settings!F9))</f>
        <v>5.6484560793692902</v>
      </c>
      <c r="AK35">
        <f ca="1">(R35 * state_qalys!Q9 + S35 * state_qalys!R9 + T35 * state_qalys!S9 + U35 * state_qalys!T9) * (1 / (1 + model_settings!F11)^(26 * model_settings!F9))</f>
        <v>5.2418127250815759E-2</v>
      </c>
    </row>
    <row r="36" spans="5:37" x14ac:dyDescent="0.55000000000000004">
      <c r="E36">
        <v>28</v>
      </c>
      <c r="F36">
        <f ca="1">F35 * (1 - (input_parameters!O9+input_parameters!O14))</f>
        <v>0.14002245339892946</v>
      </c>
      <c r="G36">
        <f ca="1">G35 * (1 - (input_parameters!O13+input_parameters!O15)) + F35 * input_parameters!O9</f>
        <v>1.3175436750015569E-2</v>
      </c>
      <c r="H36">
        <f ca="1">H35 * (1 - (input_parameters!O16)) + G35 * input_parameters!O13</f>
        <v>8.5043690104062639E-3</v>
      </c>
      <c r="I36">
        <f ca="1">I35 * (1 - (0)) + F35 * input_parameters!O14+G35 * input_parameters!O15+H35 * input_parameters!O16</f>
        <v>0.83829774084064879</v>
      </c>
      <c r="J36">
        <f ca="1">J35 * (1 - (input_parameters!O10+input_parameters!O14))</f>
        <v>0.14730517514902763</v>
      </c>
      <c r="K36">
        <f ca="1">K35 * (1 - (input_parameters!O13+input_parameters!O15)) + J35 * input_parameters!O10</f>
        <v>8.6002438522659753E-3</v>
      </c>
      <c r="L36">
        <f ca="1">L35 * (1 - (input_parameters!O16)) + K35 * input_parameters!O13</f>
        <v>5.4884486501916886E-3</v>
      </c>
      <c r="M36">
        <f ca="1">M35 * (1 - (0)) + J35 * input_parameters!O14+K35 * input_parameters!O15+L35 * input_parameters!O16</f>
        <v>0.83860613234851467</v>
      </c>
      <c r="N36">
        <f ca="1">N35 * (1 - (input_parameters!O11+input_parameters!O14))</f>
        <v>0.14390461017342931</v>
      </c>
      <c r="O36">
        <f ca="1">O35 * (1 - (input_parameters!O13+input_parameters!O15)) + N35 * input_parameters!O11</f>
        <v>1.0741698283952925E-2</v>
      </c>
      <c r="P36">
        <f ca="1">P35 * (1 - (input_parameters!O16)) + O35 * input_parameters!O13</f>
        <v>6.8911198800514235E-3</v>
      </c>
      <c r="Q36">
        <f ca="1">Q35 * (1 - (0)) + N35 * input_parameters!O14+O35 * input_parameters!O15+P35 * input_parameters!O16</f>
        <v>0.83846257166256688</v>
      </c>
      <c r="R36">
        <f ca="1">R35 * (1 - (input_parameters!O12+input_parameters!O14))</f>
        <v>0.14414693136657755</v>
      </c>
      <c r="S36">
        <f ca="1">S35 * (1 - (input_parameters!O13+input_parameters!O15)) + R35 * input_parameters!O12</f>
        <v>1.0589393555249184E-2</v>
      </c>
      <c r="T36">
        <f ca="1">T35 * (1 - (input_parameters!O16)) + S35 * input_parameters!O13</f>
        <v>6.7908483209125278E-3</v>
      </c>
      <c r="U36">
        <f ca="1">U35 * (1 - (0)) + R35 * input_parameters!O14+S35 * input_parameters!O15+T35 * input_parameters!O16</f>
        <v>0.8384728267572612</v>
      </c>
      <c r="V36">
        <f ca="1">F36 * state_costs!E9 + G36 * state_costs!F9 + H36 * state_costs!G9 + I36 * state_costs!H9</f>
        <v>15.997330815615602</v>
      </c>
      <c r="W36">
        <f ca="1">F36 * state_qalys!E9 + G36 * state_qalys!F9 + H36 * state_qalys!G9 + I36 * state_qalys!H9</f>
        <v>0.11906259179003036</v>
      </c>
      <c r="X36">
        <f ca="1">(F36 * state_costs!E9 + G36 * state_costs!F9 + H36 * state_costs!G9 + I36 * state_costs!H9) * (1 / (1 + model_settings!F10)^(27 * model_settings!F9))</f>
        <v>6.3191415164729694</v>
      </c>
      <c r="Y36">
        <f ca="1">(F36 * state_qalys!E9 + G36 * state_qalys!F9 + H36 * state_qalys!G9 + I36 * state_qalys!H9) * (1 / (1 + model_settings!F11)^(27 * model_settings!F9))</f>
        <v>4.703118135838226E-2</v>
      </c>
      <c r="Z36">
        <f ca="1">J36 * state_costs!I9 + K36 * state_costs!J9 + L36 * state_costs!K9 + M36 * state_costs!L9</f>
        <v>10.324076464940902</v>
      </c>
      <c r="AA36">
        <f ca="1">J36 * state_qalys!I9 + K36 * state_qalys!J9 + L36 * state_qalys!K9 + M36 * state_qalys!L9</f>
        <v>0.12024517383164382</v>
      </c>
      <c r="AB36">
        <f ca="1">(J36 * state_costs!I9 + K36 * state_costs!J9 + L36 * state_costs!K9 + M36 * state_costs!L9) * (1 / (1 + model_settings!F10)^(27 * model_settings!F9))</f>
        <v>4.0781365942102656</v>
      </c>
      <c r="AC36">
        <f ca="1">(J36 * state_qalys!I9 + K36 * state_qalys!J9 + L36 * state_qalys!K9 + M36 * state_qalys!L9) * (1 / (1 + model_settings!F11)^(27 * model_settings!F9))</f>
        <v>4.749831574235714E-2</v>
      </c>
      <c r="AD36">
        <f ca="1">N36 * state_costs!M9 + O36 * state_costs!N9 + P36 * state_costs!O9 + Q36 * state_costs!P9</f>
        <v>12.616154297981247</v>
      </c>
      <c r="AE36">
        <f ca="1">N36 * state_qalys!M9 + O36 * state_qalys!N9 + P36 * state_qalys!O9 + Q36 * state_qalys!P9</f>
        <v>0.11969272863515865</v>
      </c>
      <c r="AF36">
        <f ca="1">(N36 * state_costs!M9 + O36 * state_costs!N9 + P36 * state_costs!O9 + Q36 * state_costs!P9) * (1 / (1 + model_settings!F10)^(27 * model_settings!F9))</f>
        <v>4.9835353985916999</v>
      </c>
      <c r="AG36">
        <f ca="1">(N36 * state_qalys!M9 + O36 * state_qalys!N9 + P36 * state_qalys!O9 + Q36 * state_qalys!P9) * (1 / (1 + model_settings!F11)^(27 * model_settings!F9))</f>
        <v>4.7280093126539392E-2</v>
      </c>
      <c r="AH36">
        <f ca="1">R36 * state_costs!Q9 + S36 * state_costs!R9 + T36 * state_costs!S9 + U36 * state_costs!T9</f>
        <v>13.180205284179859</v>
      </c>
      <c r="AI36">
        <f ca="1">R36 * state_qalys!Q9 + S36 * state_qalys!R9 + T36 * state_qalys!S9 + U36 * state_qalys!T9</f>
        <v>0.11973208078470234</v>
      </c>
      <c r="AJ36">
        <f ca="1">(R36 * state_costs!Q9 + S36 * state_costs!R9 + T36 * state_costs!S9 + U36 * state_costs!T9) * (1 / (1 + model_settings!F10)^(27 * model_settings!F9))</f>
        <v>5.2063424434279488</v>
      </c>
      <c r="AK36">
        <f ca="1">(R36 * state_qalys!Q9 + S36 * state_qalys!R9 + T36 * state_qalys!S9 + U36 * state_qalys!T9) * (1 / (1 + model_settings!F11)^(27 * model_settings!F9))</f>
        <v>4.7295637707370414E-2</v>
      </c>
    </row>
    <row r="37" spans="5:37" x14ac:dyDescent="0.55000000000000004">
      <c r="E37">
        <v>29</v>
      </c>
      <c r="F37">
        <f ca="1">F36 * (1 - (input_parameters!O9+input_parameters!O14))</f>
        <v>0.13018932485685872</v>
      </c>
      <c r="G37">
        <f ca="1">G36 * (1 - (input_parameters!O13+input_parameters!O15)) + F36 * input_parameters!O9</f>
        <v>1.252950815868978E-2</v>
      </c>
      <c r="H37">
        <f ca="1">H36 * (1 - (input_parameters!O16)) + G36 * input_parameters!O13</f>
        <v>8.4395036040298983E-3</v>
      </c>
      <c r="I37">
        <f ca="1">I36 * (1 - (0)) + F36 * input_parameters!O14+G36 * input_parameters!O15+H36 * input_parameters!O16</f>
        <v>0.84884166338042166</v>
      </c>
      <c r="J37">
        <f ca="1">J36 * (1 - (input_parameters!O10+input_parameters!O14))</f>
        <v>0.13721805662185541</v>
      </c>
      <c r="K37">
        <f ca="1">K36 * (1 - (input_parameters!O13+input_parameters!O15)) + J36 * input_parameters!O10</f>
        <v>8.1885828784289474E-3</v>
      </c>
      <c r="L37">
        <f ca="1">L36 * (1 - (input_parameters!O16)) + K36 * input_parameters!O13</f>
        <v>5.4504586560864751E-3</v>
      </c>
      <c r="M37">
        <f ca="1">M36 * (1 - (0)) + J36 * input_parameters!O14+K36 * input_parameters!O15+L36 * input_parameters!O16</f>
        <v>0.84914290184362917</v>
      </c>
      <c r="N37">
        <f ca="1">N36 * (1 - (input_parameters!O11+input_parameters!O14))</f>
        <v>0.13393444707288807</v>
      </c>
      <c r="O37">
        <f ca="1">O36 * (1 - (input_parameters!O13+input_parameters!O15)) + N36 * input_parameters!O11</f>
        <v>1.022177847485824E-2</v>
      </c>
      <c r="P37">
        <f ca="1">P36 * (1 - (input_parameters!O16)) + O36 * input_parameters!O13</f>
        <v>6.8411713080473342E-3</v>
      </c>
      <c r="Q37">
        <f ca="1">Q36 * (1 - (0)) + N36 * input_parameters!O14+O36 * input_parameters!O15+P36 * input_parameters!O16</f>
        <v>0.84900260314420695</v>
      </c>
      <c r="R37">
        <f ca="1">R36 * (1 - (input_parameters!O12+input_parameters!O14))</f>
        <v>0.13416833983514212</v>
      </c>
      <c r="S37">
        <f ca="1">S36 * (1 - (input_parameters!O13+input_parameters!O15)) + R36 * input_parameters!O12</f>
        <v>1.0077253168863215E-2</v>
      </c>
      <c r="T37">
        <f ca="1">T36 * (1 - (input_parameters!O16)) + S36 * input_parameters!O13</f>
        <v>6.7417856657190712E-3</v>
      </c>
      <c r="U37">
        <f ca="1">U36 * (1 - (0)) + R36 * input_parameters!O14+S36 * input_parameters!O15+T36 * input_parameters!O16</f>
        <v>0.84901262133027611</v>
      </c>
      <c r="V37">
        <f ca="1">F37 * state_costs!E9 + G37 * state_costs!F9 + H37 * state_costs!G9 + I37 * state_costs!H9</f>
        <v>15.253502222765041</v>
      </c>
      <c r="W37">
        <f ca="1">F37 * state_qalys!E9 + G37 * state_qalys!F9 + H37 * state_qalys!G9 + I37 * state_qalys!H9</f>
        <v>0.11116791136893818</v>
      </c>
      <c r="X37">
        <f ca="1">(F37 * state_costs!E9 + G37 * state_costs!F9 + H37 * state_costs!G9 + I37 * state_costs!H9) * (1 / (1 + model_settings!F10)^(28 * model_settings!F9))</f>
        <v>5.8215653295804488</v>
      </c>
      <c r="Y37">
        <f ca="1">(F37 * state_qalys!E9 + G37 * state_qalys!F9 + H37 * state_qalys!G9 + I37 * state_qalys!H9) * (1 / (1 + model_settings!F11)^(28 * model_settings!F9))</f>
        <v>4.2427715886874426E-2</v>
      </c>
      <c r="Z37">
        <f ca="1">J37 * state_costs!I9 + K37 * state_costs!J9 + L37 * state_costs!K9 + M37 * state_costs!L9</f>
        <v>9.8580041927995037</v>
      </c>
      <c r="AA37">
        <f ca="1">J37 * state_qalys!I9 + K37 * state_qalys!J9 + L37 * state_qalys!K9 + M37 * state_qalys!L9</f>
        <v>0.11230713527004149</v>
      </c>
      <c r="AB37">
        <f ca="1">(J37 * state_costs!I9 + K37 * state_costs!J9 + L37 * state_costs!K9 + M37 * state_costs!L9) * (1 / (1 + model_settings!F10)^(28 * model_settings!F9))</f>
        <v>3.7623500878382035</v>
      </c>
      <c r="AC37">
        <f ca="1">(J37 * state_qalys!I9 + K37 * state_qalys!J9 + L37 * state_qalys!K9 + M37 * state_qalys!L9) * (1 / (1 + model_settings!F11)^(28 * model_settings!F9))</f>
        <v>4.2862505633415024E-2</v>
      </c>
      <c r="AD37">
        <f ca="1">N37 * state_costs!M9 + O37 * state_costs!N9 + P37 * state_costs!O9 + Q37 * state_costs!P9</f>
        <v>12.046883283238028</v>
      </c>
      <c r="AE37">
        <f ca="1">N37 * state_qalys!M9 + O37 * state_qalys!N9 + P37 * state_qalys!O9 + Q37 * state_qalys!P9</f>
        <v>0.11177467381425708</v>
      </c>
      <c r="AF37">
        <f ca="1">(N37 * state_costs!M9 + O37 * state_costs!N9 + P37 * state_costs!O9 + Q37 * state_costs!P9) * (1 / (1 + model_settings!F10)^(28 * model_settings!F9))</f>
        <v>4.5977452933092922</v>
      </c>
      <c r="AG37">
        <f ca="1">(N37 * state_qalys!M9 + O37 * state_qalys!N9 + P37 * state_qalys!O9 + Q37 * state_qalys!P9) * (1 / (1 + model_settings!F11)^(28 * model_settings!F9))</f>
        <v>4.2659289407720555E-2</v>
      </c>
      <c r="AH37">
        <f ca="1">R37 * state_costs!Q9 + S37 * state_costs!R9 + T37 * state_costs!S9 + U37 * state_costs!T9</f>
        <v>12.568016781494167</v>
      </c>
      <c r="AI37">
        <f ca="1">R37 * state_qalys!Q9 + S37 * state_qalys!R9 + T37 * state_qalys!S9 + U37 * state_qalys!T9</f>
        <v>0.11181258689565136</v>
      </c>
      <c r="AJ37">
        <f ca="1">(R37 * state_costs!Q9 + S37 * state_costs!R9 + T37 * state_costs!S9 + U37 * state_costs!T9) * (1 / (1 + model_settings!F10)^(28 * model_settings!F9))</f>
        <v>4.7966381548452546</v>
      </c>
      <c r="AK37">
        <f ca="1">(R37 * state_qalys!Q9 + S37 * state_qalys!R9 + T37 * state_qalys!S9 + U37 * state_qalys!T9) * (1 / (1 + model_settings!F11)^(28 * model_settings!F9))</f>
        <v>4.2673759099792527E-2</v>
      </c>
    </row>
    <row r="38" spans="5:37" x14ac:dyDescent="0.55000000000000004">
      <c r="E38">
        <v>30</v>
      </c>
      <c r="F38">
        <f ca="1">F37 * (1 - (input_parameters!O9+input_parameters!O14))</f>
        <v>0.1210467314009674</v>
      </c>
      <c r="G38">
        <f ca="1">G37 * (1 - (input_parameters!O13+input_parameters!O15)) + F37 * input_parameters!O9</f>
        <v>1.1901047369142832E-2</v>
      </c>
      <c r="H38">
        <f ca="1">H37 * (1 - (input_parameters!O16)) + G37 * input_parameters!O13</f>
        <v>8.3534131736478761E-3</v>
      </c>
      <c r="I38">
        <f ca="1">I37 * (1 - (0)) + F37 * input_parameters!O14+G37 * input_parameters!O15+H37 * input_parameters!O16</f>
        <v>0.85869880805624199</v>
      </c>
      <c r="J38">
        <f ca="1">J37 * (1 - (input_parameters!O10+input_parameters!O14))</f>
        <v>0.12782168069811364</v>
      </c>
      <c r="K38">
        <f ca="1">K37 * (1 - (input_parameters!O13+input_parameters!O15)) + J37 * input_parameters!O10</f>
        <v>7.7874100889030063E-3</v>
      </c>
      <c r="L38">
        <f ca="1">L37 * (1 - (input_parameters!O16)) + K37 * input_parameters!O13</f>
        <v>5.3987093943893881E-3</v>
      </c>
      <c r="M38">
        <f ca="1">M37 * (1 - (0)) + J37 * input_parameters!O14+K37 * input_parameters!O15+L37 * input_parameters!O16</f>
        <v>0.85899219981859387</v>
      </c>
      <c r="N38">
        <f ca="1">N37 * (1 - (input_parameters!O11+input_parameters!O14))</f>
        <v>0.12465504816768146</v>
      </c>
      <c r="O38">
        <f ca="1">O37 * (1 - (input_parameters!O13+input_parameters!O15)) + N37 * input_parameters!O11</f>
        <v>9.7154820722872726E-3</v>
      </c>
      <c r="P38">
        <f ca="1">P37 * (1 - (input_parameters!O16)) + O37 * input_parameters!O13</f>
        <v>6.7739814669187408E-3</v>
      </c>
      <c r="Q38">
        <f ca="1">Q37 * (1 - (0)) + N37 * input_parameters!O14+O37 * input_parameters!O15+P37 * input_parameters!O16</f>
        <v>0.8588554882931132</v>
      </c>
      <c r="R38">
        <f ca="1">R37 * (1 - (input_parameters!O12+input_parameters!O14))</f>
        <v>0.12488051770134315</v>
      </c>
      <c r="S38">
        <f ca="1">S37 * (1 - (input_parameters!O13+input_parameters!O15)) + R37 * input_parameters!O12</f>
        <v>9.5785057152715167E-3</v>
      </c>
      <c r="T38">
        <f ca="1">T37 * (1 - (input_parameters!O16)) + S37 * input_parameters!O13</f>
        <v>6.6757301136816634E-3</v>
      </c>
      <c r="U38">
        <f ca="1">U37 * (1 - (0)) + R37 * input_parameters!O14+S37 * input_parameters!O15+T37 * input_parameters!O16</f>
        <v>0.85886524646970419</v>
      </c>
      <c r="V38">
        <f ca="1">F38 * state_costs!E9 + G38 * state_costs!F9 + H38 * state_costs!G9 + I38 * state_costs!H9</f>
        <v>14.537556964204942</v>
      </c>
      <c r="W38">
        <f ca="1">F38 * state_qalys!E9 + G38 * state_qalys!F9 + H38 * state_qalys!G9 + I38 * state_qalys!H9</f>
        <v>0.10379679328247597</v>
      </c>
      <c r="X38">
        <f ca="1">(F38 * state_costs!E9 + G38 * state_costs!F9 + H38 * state_costs!G9 + I38 * state_costs!H9) * (1 / (1 + model_settings!F10)^(29 * model_settings!F9))</f>
        <v>5.3606973083710265</v>
      </c>
      <c r="Y38">
        <f ca="1">(F38 * state_qalys!E9 + G38 * state_qalys!F9 + H38 * state_qalys!G9 + I38 * state_qalys!H9) * (1 / (1 + model_settings!F11)^(29 * model_settings!F9))</f>
        <v>3.8274876015066649E-2</v>
      </c>
      <c r="Z38">
        <f ca="1">J38 * state_costs!I9 + K38 * state_costs!J9 + L38 * state_costs!K9 + M38 * state_costs!L9</f>
        <v>9.4083929298663858</v>
      </c>
      <c r="AA38">
        <f ca="1">J38 * state_qalys!I9 + K38 * state_qalys!J9 + L38 * state_qalys!K9 + M38 * state_qalys!L9</f>
        <v>0.1048931006189994</v>
      </c>
      <c r="AB38">
        <f ca="1">(J38 * state_costs!I9 + K38 * state_costs!J9 + L38 * state_costs!K9 + M38 * state_costs!L9) * (1 / (1 + model_settings!F10)^(29 * model_settings!F9))</f>
        <v>3.4693275341528507</v>
      </c>
      <c r="AC38">
        <f ca="1">(J38 * state_qalys!I9 + K38 * state_qalys!J9 + L38 * state_qalys!K9 + M38 * state_qalys!L9) * (1 / (1 + model_settings!F11)^(29 * model_settings!F9))</f>
        <v>3.8679137322693444E-2</v>
      </c>
      <c r="AD38">
        <f ca="1">N38 * state_costs!M9 + O38 * state_costs!N9 + P38 * state_costs!O9 + Q38 * state_costs!P9</f>
        <v>11.497497925273937</v>
      </c>
      <c r="AE38">
        <f ca="1">N38 * state_qalys!M9 + O38 * state_qalys!N9 + P38 * state_qalys!O9 + Q38 * state_qalys!P9</f>
        <v>0.1043804381261912</v>
      </c>
      <c r="AF38">
        <f ca="1">(N38 * state_costs!M9 + O38 * state_costs!N9 + P38 * state_costs!O9 + Q38 * state_costs!P9) * (1 / (1 + model_settings!F10)^(29 * model_settings!F9))</f>
        <v>4.2396811467550632</v>
      </c>
      <c r="AG38">
        <f ca="1">(N38 * state_qalys!M9 + O38 * state_qalys!N9 + P38 * state_qalys!O9 + Q38 * state_qalys!P9) * (1 / (1 + model_settings!F11)^(29 * model_settings!F9))</f>
        <v>3.8490093974346364E-2</v>
      </c>
      <c r="AH38">
        <f ca="1">R38 * state_costs!Q9 + S38 * state_costs!R9 + T38 * state_costs!S9 + U38 * state_costs!T9</f>
        <v>11.978947170497198</v>
      </c>
      <c r="AI38">
        <f ca="1">R38 * state_qalys!Q9 + S38 * state_qalys!R9 + T38 * state_qalys!S9 + U38 * state_qalys!T9</f>
        <v>0.10441692652567497</v>
      </c>
      <c r="AJ38">
        <f ca="1">(R38 * state_costs!Q9 + S38 * state_costs!R9 + T38 * state_costs!S9 + U38 * state_costs!T9) * (1 / (1 + model_settings!F10)^(29 * model_settings!F9))</f>
        <v>4.4172146676444681</v>
      </c>
      <c r="AK38">
        <f ca="1">(R38 * state_qalys!Q9 + S38 * state_qalys!R9 + T38 * state_qalys!S9 + U38 * state_qalys!T9) * (1 / (1 + model_settings!F11)^(29 * model_settings!F9))</f>
        <v>3.8503549004333941E-2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rgb="FFFFFF00"/>
  </sheetPr>
  <dimension ref="E8:T9"/>
  <sheetViews>
    <sheetView workbookViewId="0">
      <selection activeCell="E9" sqref="E9"/>
    </sheetView>
  </sheetViews>
  <sheetFormatPr defaultColWidth="10.9453125" defaultRowHeight="14.4" x14ac:dyDescent="0.55000000000000004"/>
  <sheetData>
    <row r="8" spans="5:20" x14ac:dyDescent="0.55000000000000004">
      <c r="E8" t="s">
        <v>127</v>
      </c>
      <c r="F8" t="s">
        <v>128</v>
      </c>
      <c r="G8" t="s">
        <v>129</v>
      </c>
      <c r="H8" t="s">
        <v>130</v>
      </c>
      <c r="I8" t="s">
        <v>131</v>
      </c>
      <c r="J8" t="s">
        <v>132</v>
      </c>
      <c r="K8" t="s">
        <v>133</v>
      </c>
      <c r="L8" t="s">
        <v>134</v>
      </c>
      <c r="M8" t="s">
        <v>135</v>
      </c>
      <c r="N8" t="s">
        <v>136</v>
      </c>
      <c r="O8" t="s">
        <v>137</v>
      </c>
      <c r="P8" t="s">
        <v>138</v>
      </c>
      <c r="Q8" t="s">
        <v>139</v>
      </c>
      <c r="R8" t="s">
        <v>140</v>
      </c>
      <c r="S8" t="s">
        <v>141</v>
      </c>
      <c r="T8" t="s">
        <v>142</v>
      </c>
    </row>
    <row r="9" spans="5:20" x14ac:dyDescent="0.55000000000000004">
      <c r="E9">
        <f ca="1">input_parameters!O17</f>
        <v>45.08189659273539</v>
      </c>
      <c r="F9">
        <f ca="1">input_parameters!O21</f>
        <v>415.56367083620455</v>
      </c>
      <c r="G9">
        <f ca="1">input_parameters!O22</f>
        <v>494.99500609230421</v>
      </c>
      <c r="H9">
        <v>0</v>
      </c>
      <c r="I9">
        <f ca="1">input_parameters!O18</f>
        <v>27.381067111099679</v>
      </c>
      <c r="J9">
        <f ca="1">input_parameters!O21</f>
        <v>415.56367083620455</v>
      </c>
      <c r="K9">
        <f ca="1">input_parameters!O22</f>
        <v>494.99500609230421</v>
      </c>
      <c r="L9">
        <v>0</v>
      </c>
      <c r="M9">
        <f ca="1">input_parameters!O19</f>
        <v>32.94699728774485</v>
      </c>
      <c r="N9">
        <f ca="1">input_parameters!O21</f>
        <v>415.56367083620455</v>
      </c>
      <c r="O9">
        <f ca="1">input_parameters!O22</f>
        <v>494.99500609230421</v>
      </c>
      <c r="P9">
        <v>0</v>
      </c>
      <c r="Q9">
        <f ca="1">input_parameters!O20</f>
        <v>37.588049700970153</v>
      </c>
      <c r="R9">
        <f ca="1">input_parameters!O21</f>
        <v>415.56367083620455</v>
      </c>
      <c r="S9">
        <f ca="1">input_parameters!O22</f>
        <v>494.99500609230421</v>
      </c>
      <c r="T9"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FFFF00"/>
  </sheetPr>
  <dimension ref="E8:T9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20" x14ac:dyDescent="0.55000000000000004">
      <c r="E8" t="s">
        <v>127</v>
      </c>
      <c r="F8" t="s">
        <v>128</v>
      </c>
      <c r="G8" t="s">
        <v>129</v>
      </c>
      <c r="H8" t="s">
        <v>130</v>
      </c>
      <c r="I8" t="s">
        <v>131</v>
      </c>
      <c r="J8" t="s">
        <v>132</v>
      </c>
      <c r="K8" t="s">
        <v>133</v>
      </c>
      <c r="L8" t="s">
        <v>134</v>
      </c>
      <c r="M8" t="s">
        <v>135</v>
      </c>
      <c r="N8" t="s">
        <v>136</v>
      </c>
      <c r="O8" t="s">
        <v>137</v>
      </c>
      <c r="P8" t="s">
        <v>138</v>
      </c>
      <c r="Q8" t="s">
        <v>139</v>
      </c>
      <c r="R8" t="s">
        <v>140</v>
      </c>
      <c r="S8" t="s">
        <v>141</v>
      </c>
      <c r="T8" t="s">
        <v>142</v>
      </c>
    </row>
    <row r="9" spans="5:20" x14ac:dyDescent="0.55000000000000004">
      <c r="E9">
        <f ca="1">model_settings!F9 * input_parameters!O23</f>
        <v>0.76134122383600178</v>
      </c>
      <c r="F9">
        <f ca="1">model_settings!F9 * input_parameters!O24</f>
        <v>0.57439500157561241</v>
      </c>
      <c r="G9">
        <f ca="1">model_settings!F9 * input_parameters!O25</f>
        <v>0.57497748933541437</v>
      </c>
      <c r="H9">
        <f>model_settings!F9 * input_parameters!O26</f>
        <v>0</v>
      </c>
      <c r="I9">
        <f ca="1">model_settings!F9 * input_parameters!O23</f>
        <v>0.76134122383600178</v>
      </c>
      <c r="J9">
        <f ca="1">model_settings!F9 * input_parameters!O24</f>
        <v>0.57439500157561241</v>
      </c>
      <c r="K9">
        <f ca="1">model_settings!F9 * input_parameters!O25</f>
        <v>0.57497748933541437</v>
      </c>
      <c r="L9">
        <f>model_settings!F9 * input_parameters!O26</f>
        <v>0</v>
      </c>
      <c r="M9">
        <f ca="1">model_settings!F9 * input_parameters!O23</f>
        <v>0.76134122383600178</v>
      </c>
      <c r="N9">
        <f ca="1">model_settings!F9 * input_parameters!O24</f>
        <v>0.57439500157561241</v>
      </c>
      <c r="O9">
        <f ca="1">model_settings!F9 * input_parameters!O25</f>
        <v>0.57497748933541437</v>
      </c>
      <c r="P9">
        <f>model_settings!F9 * input_parameters!O26</f>
        <v>0</v>
      </c>
      <c r="Q9">
        <f ca="1">model_settings!F9 * input_parameters!O23</f>
        <v>0.76134122383600178</v>
      </c>
      <c r="R9">
        <f ca="1">model_settings!F9 * input_parameters!O24</f>
        <v>0.57439500157561241</v>
      </c>
      <c r="S9">
        <f ca="1">model_settings!F9 * input_parameters!O25</f>
        <v>0.57497748933541437</v>
      </c>
      <c r="T9">
        <f>model_settings!F9 * input_parameters!O26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tabColor rgb="FF00FF00"/>
  </sheetPr>
  <dimension ref="E8:H18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s">
        <v>4</v>
      </c>
      <c r="F8" t="s">
        <v>5</v>
      </c>
      <c r="G8" t="s">
        <v>6</v>
      </c>
      <c r="H8" t="s">
        <v>7</v>
      </c>
    </row>
    <row r="9" spans="5:8" x14ac:dyDescent="0.55000000000000004">
      <c r="E9" t="s">
        <v>8</v>
      </c>
      <c r="F9" t="s">
        <v>159</v>
      </c>
      <c r="G9" t="s">
        <v>9</v>
      </c>
      <c r="H9" t="s">
        <v>10</v>
      </c>
    </row>
    <row r="10" spans="5:8" x14ac:dyDescent="0.55000000000000004">
      <c r="E10" t="s">
        <v>11</v>
      </c>
      <c r="F10" t="s">
        <v>12</v>
      </c>
      <c r="G10" t="s">
        <v>9</v>
      </c>
      <c r="H10" t="s">
        <v>13</v>
      </c>
    </row>
    <row r="11" spans="5:8" x14ac:dyDescent="0.55000000000000004">
      <c r="E11" t="s">
        <v>14</v>
      </c>
      <c r="F11" t="s">
        <v>12</v>
      </c>
      <c r="G11" t="s">
        <v>9</v>
      </c>
      <c r="H11" t="s">
        <v>15</v>
      </c>
    </row>
    <row r="12" spans="5:8" x14ac:dyDescent="0.55000000000000004">
      <c r="E12" t="s">
        <v>16</v>
      </c>
      <c r="F12" t="s">
        <v>17</v>
      </c>
      <c r="G12" t="s">
        <v>9</v>
      </c>
      <c r="H12" t="s">
        <v>18</v>
      </c>
    </row>
    <row r="13" spans="5:8" x14ac:dyDescent="0.55000000000000004">
      <c r="E13" t="s">
        <v>19</v>
      </c>
      <c r="F13" t="s">
        <v>20</v>
      </c>
      <c r="G13" t="s">
        <v>9</v>
      </c>
      <c r="H13" t="s">
        <v>21</v>
      </c>
    </row>
    <row r="14" spans="5:8" x14ac:dyDescent="0.55000000000000004">
      <c r="E14" t="s">
        <v>22</v>
      </c>
      <c r="F14" t="s">
        <v>160</v>
      </c>
      <c r="G14" t="s">
        <v>23</v>
      </c>
      <c r="H14" t="s">
        <v>24</v>
      </c>
    </row>
    <row r="15" spans="5:8" x14ac:dyDescent="0.55000000000000004">
      <c r="E15" t="s">
        <v>25</v>
      </c>
      <c r="F15" t="s">
        <v>161</v>
      </c>
      <c r="G15" t="s">
        <v>23</v>
      </c>
      <c r="H15" t="s">
        <v>26</v>
      </c>
    </row>
    <row r="16" spans="5:8" x14ac:dyDescent="0.55000000000000004">
      <c r="E16" t="s">
        <v>27</v>
      </c>
      <c r="F16" t="s">
        <v>162</v>
      </c>
      <c r="G16" t="s">
        <v>23</v>
      </c>
      <c r="H16" t="s">
        <v>28</v>
      </c>
    </row>
    <row r="17" spans="5:8" x14ac:dyDescent="0.55000000000000004">
      <c r="E17" t="s">
        <v>29</v>
      </c>
      <c r="F17" t="s">
        <v>163</v>
      </c>
      <c r="G17" t="s">
        <v>23</v>
      </c>
      <c r="H17" t="s">
        <v>30</v>
      </c>
    </row>
    <row r="18" spans="5:8" x14ac:dyDescent="0.55000000000000004">
      <c r="E18" t="s">
        <v>31</v>
      </c>
      <c r="F18" t="s">
        <v>162</v>
      </c>
      <c r="G18" t="s">
        <v>23</v>
      </c>
      <c r="H18" t="s">
        <v>32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FFA500"/>
  </sheetPr>
  <dimension ref="E8:I15"/>
  <sheetViews>
    <sheetView workbookViewId="0">
      <selection activeCell="E8" sqref="E8"/>
    </sheetView>
  </sheetViews>
  <sheetFormatPr defaultColWidth="10.9453125" defaultRowHeight="14.4" x14ac:dyDescent="0.55000000000000004"/>
  <cols>
    <col min="5" max="5" width="25.3125" customWidth="1"/>
  </cols>
  <sheetData>
    <row r="8" spans="5:9" x14ac:dyDescent="0.55000000000000004">
      <c r="E8" t="s">
        <v>64</v>
      </c>
      <c r="F8" t="s">
        <v>160</v>
      </c>
      <c r="G8" t="s">
        <v>164</v>
      </c>
      <c r="H8" t="s">
        <v>165</v>
      </c>
      <c r="I8" t="s">
        <v>166</v>
      </c>
    </row>
    <row r="9" spans="5:9" x14ac:dyDescent="0.55000000000000004">
      <c r="E9" t="s">
        <v>65</v>
      </c>
      <c r="F9">
        <f ca="1">SUM(markov_trace!X9:'markov_trace'!X39)</f>
        <v>1350.9885356570012</v>
      </c>
      <c r="G9">
        <f ca="1">SUM(markov_trace!AB9:'markov_trace'!AB39)</f>
        <v>2757.0154261099574</v>
      </c>
      <c r="H9">
        <f ca="1">SUM(markov_trace!AF9:'markov_trace'!AF39)</f>
        <v>2047.3428862523456</v>
      </c>
      <c r="I9">
        <f ca="1">SUM(markov_trace!AJ9:'markov_trace'!AJ39)</f>
        <v>1938.6580554818163</v>
      </c>
    </row>
    <row r="10" spans="5:9" x14ac:dyDescent="0.55000000000000004">
      <c r="E10" t="s">
        <v>66</v>
      </c>
      <c r="F10">
        <f ca="1">SUM(markov_trace!Y9:'markov_trace'!Y39)</f>
        <v>7.4128775283997159</v>
      </c>
      <c r="G10">
        <f ca="1">SUM(markov_trace!AC9:'markov_trace'!AC39)</f>
        <v>7.436259897577413</v>
      </c>
      <c r="H10">
        <f ca="1">SUM(markov_trace!AG9:'markov_trace'!AG39)</f>
        <v>7.4254124476383883</v>
      </c>
      <c r="I10">
        <f ca="1">SUM(markov_trace!AK9:'markov_trace'!AK39)</f>
        <v>7.4261894570808655</v>
      </c>
    </row>
    <row r="11" spans="5:9" x14ac:dyDescent="0.55000000000000004">
      <c r="E11" t="s">
        <v>67</v>
      </c>
      <c r="F11">
        <f ca="1">SUM(markov_trace!V9:'markov_trace'!V39)</f>
        <v>1611.3399598158926</v>
      </c>
      <c r="G11">
        <f ca="1">SUM(markov_trace!Z9:'markov_trace'!Z39)</f>
        <v>2922.0073584917777</v>
      </c>
      <c r="H11">
        <f ca="1">SUM(markov_trace!AD9:'markov_trace'!AD39)</f>
        <v>2248.4286811298571</v>
      </c>
      <c r="I11">
        <f ca="1">SUM(markov_trace!AH9:'markov_trace'!AH39)</f>
        <v>2153.5420417284868</v>
      </c>
    </row>
    <row r="12" spans="5:9" x14ac:dyDescent="0.55000000000000004">
      <c r="E12" t="s">
        <v>68</v>
      </c>
      <c r="F12">
        <f ca="1">SUM(markov_trace!W9:'markov_trace'!W39)</f>
        <v>9.9981539247182791</v>
      </c>
      <c r="G12">
        <f ca="1">SUM(markov_trace!AA9:'markov_trace'!AA39)</f>
        <v>10.036792032917727</v>
      </c>
      <c r="H12">
        <f ca="1">SUM(markov_trace!AE9:'markov_trace'!AE39)</f>
        <v>10.01884926807147</v>
      </c>
      <c r="I12">
        <f ca="1">SUM(markov_trace!AI9:'markov_trace'!AI39)</f>
        <v>10.020133491153146</v>
      </c>
    </row>
    <row r="13" spans="5:9" x14ac:dyDescent="0.55000000000000004">
      <c r="E13" t="s">
        <v>69</v>
      </c>
      <c r="F13">
        <f ca="1">F9 - F9</f>
        <v>0</v>
      </c>
      <c r="G13">
        <f ca="1">G9 - F9</f>
        <v>1406.0268904529562</v>
      </c>
      <c r="H13">
        <f ca="1">H9 - F9</f>
        <v>696.35435059534439</v>
      </c>
      <c r="I13">
        <f ca="1">I9 - F9</f>
        <v>587.6695198248151</v>
      </c>
    </row>
    <row r="14" spans="5:9" x14ac:dyDescent="0.55000000000000004">
      <c r="E14" t="s">
        <v>70</v>
      </c>
      <c r="F14">
        <f ca="1">F10 - F10</f>
        <v>0</v>
      </c>
      <c r="G14">
        <f ca="1">G10 - F10</f>
        <v>2.3382369177697093E-2</v>
      </c>
      <c r="H14">
        <f ca="1">H10 - F10</f>
        <v>1.2534919238672337E-2</v>
      </c>
      <c r="I14">
        <f ca="1">I10 - F10</f>
        <v>1.331192868114961E-2</v>
      </c>
    </row>
    <row r="15" spans="5:9" x14ac:dyDescent="0.55000000000000004">
      <c r="E15" t="s">
        <v>71</v>
      </c>
      <c r="G15">
        <f ca="1">G13 / G14</f>
        <v>60131.925886880315</v>
      </c>
      <c r="H15">
        <f ca="1">H13 / H14</f>
        <v>55553.15812861194</v>
      </c>
      <c r="I15">
        <f ca="1">I13 / I14</f>
        <v>44146.083854624761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BZ1007"/>
  <sheetViews>
    <sheetView workbookViewId="0">
      <selection activeCell="A12" sqref="A12"/>
    </sheetView>
  </sheetViews>
  <sheetFormatPr defaultColWidth="10.9453125"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18.05078125" customWidth="1"/>
    <col min="8" max="8" width="19.83984375" customWidth="1"/>
    <col min="9" max="9" width="22.734375" customWidth="1"/>
    <col min="10" max="10" width="25.20703125" customWidth="1"/>
    <col min="11" max="11" width="17.05078125" customWidth="1"/>
    <col min="12" max="12" width="25.7890625" customWidth="1"/>
    <col min="13" max="13" width="23.47265625" customWidth="1"/>
    <col min="14" max="14" width="28.20703125" customWidth="1"/>
    <col min="16" max="16" width="44.3125" customWidth="1"/>
    <col min="18" max="18" width="28.5234375" customWidth="1"/>
    <col min="21" max="21" width="29.578125" customWidth="1"/>
  </cols>
  <sheetData>
    <row r="1" spans="1:78" x14ac:dyDescent="0.55000000000000004">
      <c r="A1" t="s">
        <v>3</v>
      </c>
      <c r="F1" t="s">
        <v>59</v>
      </c>
      <c r="G1" t="s">
        <v>60</v>
      </c>
    </row>
    <row r="2" spans="1:78" x14ac:dyDescent="0.55000000000000004">
      <c r="F2" s="3" t="s">
        <v>61</v>
      </c>
      <c r="G2" s="4" t="str">
        <f>model_settings!F15</f>
        <v>30</v>
      </c>
      <c r="J2" s="5" t="str">
        <f>IF(markov_trace!F8="","",markov_trace!F8)</f>
        <v>cemented_post_thr</v>
      </c>
      <c r="K2" s="5" t="str">
        <f>IF(markov_trace!G8="","",markov_trace!G8)</f>
        <v>cemented_post_1st_rev</v>
      </c>
      <c r="L2" s="5" t="str">
        <f>IF(markov_trace!H8="","",markov_trace!H8)</f>
        <v>cemented_post_2nd_rev</v>
      </c>
      <c r="M2" s="5" t="str">
        <f>IF(markov_trace!I8="","",markov_trace!I8)</f>
        <v>cemented_dead</v>
      </c>
      <c r="N2" s="5" t="str">
        <f>IF(markov_trace!J8="","",markov_trace!J8)</f>
        <v>uncemented_post_thr</v>
      </c>
      <c r="O2" s="5" t="str">
        <f>IF(markov_trace!K8="","",markov_trace!K8)</f>
        <v>uncemented_post_1st_rev</v>
      </c>
      <c r="P2" s="5" t="str">
        <f>IF(markov_trace!L8="","",markov_trace!L8)</f>
        <v>uncemented_post_2nd_rev</v>
      </c>
      <c r="Q2" s="5" t="str">
        <f>IF(markov_trace!M8="","",markov_trace!M8)</f>
        <v>uncemented_dead</v>
      </c>
      <c r="R2" s="5" t="str">
        <f>IF(markov_trace!N8="","",markov_trace!N8)</f>
        <v>hybrid_post_thr</v>
      </c>
      <c r="S2" s="5" t="str">
        <f>IF(markov_trace!O8="","",markov_trace!O8)</f>
        <v>hybrid_post_1st_rev</v>
      </c>
      <c r="T2" s="5" t="str">
        <f>IF(markov_trace!P8="","",markov_trace!P8)</f>
        <v>hybrid_post_2nd_rev</v>
      </c>
      <c r="U2" s="5" t="str">
        <f>IF(markov_trace!Q8="","",markov_trace!Q8)</f>
        <v>hybrid_dead</v>
      </c>
      <c r="V2" s="5" t="str">
        <f>IF(markov_trace!R8="","",markov_trace!R8)</f>
        <v>reverse_hybrid_post_thr</v>
      </c>
      <c r="W2" s="5" t="str">
        <f>IF(markov_trace!S8="","",markov_trace!S8)</f>
        <v>reverse_hybrid_post_1st_rev</v>
      </c>
      <c r="X2" s="5" t="str">
        <f>IF(markov_trace!T8="","",markov_trace!T8)</f>
        <v>reverse_hybrid_post_2nd_rev</v>
      </c>
      <c r="Y2" s="5" t="str">
        <f>IF(markov_trace!U8="","",markov_trace!U8)</f>
        <v>reverse_hybrid_dead</v>
      </c>
      <c r="Z2" s="5" t="str">
        <f>IF(markov_trace!V8="","",markov_trace!V8)</f>
        <v>cemented Undiscounted Costs</v>
      </c>
      <c r="AA2" s="5" t="str">
        <f>IF(markov_trace!W8="","",markov_trace!W8)</f>
        <v>cemented Undiscounted QALYs</v>
      </c>
      <c r="AB2" s="5" t="str">
        <f>IF(markov_trace!X8="","",markov_trace!X8)</f>
        <v>cemented Discounted Costs</v>
      </c>
      <c r="AC2" s="5" t="str">
        <f>IF(markov_trace!Y8="","",markov_trace!Y8)</f>
        <v>cemented Discounted QALYs</v>
      </c>
      <c r="AD2" s="5" t="str">
        <f>IF(markov_trace!Z8="","",markov_trace!Z8)</f>
        <v>uncemented Undiscounted Costs</v>
      </c>
      <c r="AE2" s="5" t="str">
        <f>IF(markov_trace!AA8="","",markov_trace!AA8)</f>
        <v>uncemented Undiscounted QALYs</v>
      </c>
      <c r="AF2" s="5" t="str">
        <f>IF(markov_trace!AB8="","",markov_trace!AB8)</f>
        <v>uncemented Discounted Costs</v>
      </c>
      <c r="AG2" s="5" t="str">
        <f>IF(markov_trace!AC8="","",markov_trace!AC8)</f>
        <v>uncemented Discounted QALYs</v>
      </c>
      <c r="AH2" s="5" t="str">
        <f>IF(markov_trace!AD8="","",markov_trace!AD8)</f>
        <v>hybrid Undiscounted Costs</v>
      </c>
      <c r="AI2" s="5" t="str">
        <f>IF(markov_trace!AE8="","",markov_trace!AE8)</f>
        <v>hybrid Undiscounted QALYs</v>
      </c>
      <c r="AJ2" s="5" t="str">
        <f>IF(markov_trace!AF8="","",markov_trace!AF8)</f>
        <v>hybrid Discounted Costs</v>
      </c>
      <c r="AK2" s="5" t="str">
        <f>IF(markov_trace!AG8="","",markov_trace!AG8)</f>
        <v>hybrid Discounted QALYs</v>
      </c>
      <c r="AL2" s="5" t="str">
        <f>IF(markov_trace!AH8="","",markov_trace!AH8)</f>
        <v>reverse_hybrid Undiscounted Costs</v>
      </c>
      <c r="AM2" s="5" t="str">
        <f>IF(markov_trace!AI8="","",markov_trace!AI8)</f>
        <v>reverse_hybrid Undiscounted QALYs</v>
      </c>
      <c r="AN2" s="5" t="str">
        <f>IF(markov_trace!AJ8="","",markov_trace!AJ8)</f>
        <v>reverse_hybrid Discounted Costs</v>
      </c>
      <c r="AO2" s="5" t="str">
        <f>IF(markov_trace!AK8="","",markov_trace!AK8)</f>
        <v>reverse_hybrid Discounted QALYs</v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55000000000000004">
      <c r="F3" s="3" t="s">
        <v>62</v>
      </c>
      <c r="G3" s="4" t="str">
        <f>model_settings!F16</f>
        <v>4</v>
      </c>
      <c r="I3" s="5" t="s">
        <v>72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55000000000000004">
      <c r="F4" s="3" t="s">
        <v>63</v>
      </c>
      <c r="G4" s="4" t="str">
        <f>model_settings!F18</f>
        <v>4</v>
      </c>
      <c r="H4" s="2"/>
    </row>
    <row r="5" spans="1:78" x14ac:dyDescent="0.55000000000000004">
      <c r="F5" s="3" t="s">
        <v>0</v>
      </c>
      <c r="G5" s="4">
        <v>1000</v>
      </c>
    </row>
    <row r="6" spans="1:78" x14ac:dyDescent="0.55000000000000004">
      <c r="F6" s="3" t="s">
        <v>1</v>
      </c>
      <c r="G6" s="4">
        <v>1000</v>
      </c>
    </row>
    <row r="7" spans="1:78" x14ac:dyDescent="0.55000000000000004">
      <c r="D7" s="1" t="s">
        <v>2</v>
      </c>
      <c r="E7" s="1" t="str">
        <f>IF(markov_trace!F8="","",markov_trace!F8)</f>
        <v>cemented_post_thr</v>
      </c>
      <c r="F7" s="1" t="str">
        <f>IF(markov_trace!G8="","",markov_trace!G8)</f>
        <v>cemented_post_1st_rev</v>
      </c>
      <c r="G7" s="1" t="str">
        <f>IF(markov_trace!H8="","",markov_trace!H8)</f>
        <v>cemented_post_2nd_rev</v>
      </c>
      <c r="H7" s="1" t="str">
        <f>IF(markov_trace!I8="","",markov_trace!I8)</f>
        <v>cemented_dead</v>
      </c>
      <c r="I7" s="1" t="str">
        <f>IF(markov_trace!J8="","",markov_trace!J8)</f>
        <v>uncemented_post_thr</v>
      </c>
      <c r="J7" s="1" t="str">
        <f>IF(markov_trace!K8="","",markov_trace!K8)</f>
        <v>uncemented_post_1st_rev</v>
      </c>
      <c r="K7" s="1" t="str">
        <f>IF(markov_trace!L8="","",markov_trace!L8)</f>
        <v>uncemented_post_2nd_rev</v>
      </c>
      <c r="L7" s="1" t="str">
        <f>IF(markov_trace!M8="","",markov_trace!M8)</f>
        <v>uncemented_dead</v>
      </c>
      <c r="M7" s="1" t="str">
        <f>IF(markov_trace!N8="","",markov_trace!N8)</f>
        <v>hybrid_post_thr</v>
      </c>
      <c r="N7" s="1" t="str">
        <f>IF(markov_trace!O8="","",markov_trace!O8)</f>
        <v>hybrid_post_1st_rev</v>
      </c>
      <c r="O7" s="1" t="str">
        <f>IF(markov_trace!P8="","",markov_trace!P8)</f>
        <v>hybrid_post_2nd_rev</v>
      </c>
      <c r="P7" s="1" t="str">
        <f>IF(markov_trace!Q8="","",markov_trace!Q8)</f>
        <v>hybrid_dead</v>
      </c>
      <c r="Q7" s="1" t="str">
        <f>IF(markov_trace!R8="","",markov_trace!R8)</f>
        <v>reverse_hybrid_post_thr</v>
      </c>
      <c r="R7" s="1" t="str">
        <f>IF(markov_trace!S8="","",markov_trace!S8)</f>
        <v>reverse_hybrid_post_1st_rev</v>
      </c>
      <c r="S7" s="1" t="str">
        <f>IF(markov_trace!T8="","",markov_trace!T8)</f>
        <v>reverse_hybrid_post_2nd_rev</v>
      </c>
      <c r="T7" s="1" t="str">
        <f>IF(markov_trace!U8="","",markov_trace!U8)</f>
        <v>reverse_hybrid_dead</v>
      </c>
      <c r="U7" s="1" t="str">
        <f>IF(markov_trace!V8="","",markov_trace!V8)</f>
        <v>cemented Undiscounted Costs</v>
      </c>
      <c r="V7" s="1" t="str">
        <f>IF(markov_trace!W8="","",markov_trace!W8)</f>
        <v>cemented Undiscounted QALYs</v>
      </c>
      <c r="W7" s="1" t="str">
        <f>IF(markov_trace!X8="","",markov_trace!X8)</f>
        <v>cemented Discounted Costs</v>
      </c>
      <c r="X7" s="1" t="str">
        <f>IF(markov_trace!Y8="","",markov_trace!Y8)</f>
        <v>cemented Discounted QALYs</v>
      </c>
      <c r="Y7" s="1" t="str">
        <f>IF(markov_trace!Z8="","",markov_trace!Z8)</f>
        <v>uncemented Undiscounted Costs</v>
      </c>
      <c r="Z7" s="1" t="str">
        <f>IF(markov_trace!AA8="","",markov_trace!AA8)</f>
        <v>uncemented Undiscounted QALYs</v>
      </c>
      <c r="AA7" s="1" t="str">
        <f>IF(markov_trace!AB8="","",markov_trace!AB8)</f>
        <v>uncemented Discounted Costs</v>
      </c>
      <c r="AB7" s="1" t="str">
        <f>IF(markov_trace!AC8="","",markov_trace!AC8)</f>
        <v>uncemented Discounted QALYs</v>
      </c>
      <c r="AC7" s="1" t="str">
        <f>IF(markov_trace!AD8="","",markov_trace!AD8)</f>
        <v>hybrid Undiscounted Costs</v>
      </c>
      <c r="AD7" s="1" t="str">
        <f>IF(markov_trace!AE8="","",markov_trace!AE8)</f>
        <v>hybrid Undiscounted QALYs</v>
      </c>
      <c r="AE7" s="1" t="str">
        <f>IF(markov_trace!AF8="","",markov_trace!AF8)</f>
        <v>hybrid Discounted Costs</v>
      </c>
      <c r="AF7" s="1" t="str">
        <f>IF(markov_trace!AG8="","",markov_trace!AG8)</f>
        <v>hybrid Discounted QALYs</v>
      </c>
      <c r="AG7" s="1" t="str">
        <f>IF(markov_trace!AH8="","",markov_trace!AH8)</f>
        <v>reverse_hybrid Undiscounted Costs</v>
      </c>
      <c r="AH7" s="1" t="str">
        <f>IF(markov_trace!AI8="","",markov_trace!AI8)</f>
        <v>reverse_hybrid Undiscounted QALYs</v>
      </c>
      <c r="AI7" s="1" t="str">
        <f>IF(markov_trace!AJ8="","",markov_trace!AJ8)</f>
        <v>reverse_hybrid Discounted Costs</v>
      </c>
      <c r="AJ7" s="1" t="str">
        <f>IF(markov_trace!AK8="","",markov_trace!AK8)</f>
        <v>reverse_hybrid Discounted QALYs</v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55000000000000004">
      <c r="D8">
        <v>1</v>
      </c>
      <c r="E8">
        <v>12.602192358266301</v>
      </c>
      <c r="F8">
        <v>0.42193144411753775</v>
      </c>
      <c r="G8">
        <v>0.13456065333596662</v>
      </c>
      <c r="H8">
        <v>16.841315544280185</v>
      </c>
      <c r="I8">
        <v>12.801626425855339</v>
      </c>
      <c r="J8">
        <v>0.2813638893332005</v>
      </c>
      <c r="K8">
        <v>8.9471373307524568E-2</v>
      </c>
      <c r="L8">
        <v>16.827538311503933</v>
      </c>
      <c r="M8">
        <v>12.703685680902138</v>
      </c>
      <c r="N8">
        <v>0.35042649777277385</v>
      </c>
      <c r="O8">
        <v>0.11159112081770715</v>
      </c>
      <c r="P8">
        <v>16.834296700507387</v>
      </c>
      <c r="Q8">
        <v>12.632374600482569</v>
      </c>
      <c r="R8">
        <v>0.40067390491988431</v>
      </c>
      <c r="S8">
        <v>0.12772486298895366</v>
      </c>
      <c r="T8">
        <v>16.839226631608582</v>
      </c>
      <c r="U8">
        <v>1496.8358558904642</v>
      </c>
      <c r="V8">
        <v>9.8752033770718892</v>
      </c>
      <c r="W8">
        <v>1276.6262671806405</v>
      </c>
      <c r="X8">
        <v>7.3356190713248921</v>
      </c>
      <c r="Y8">
        <v>2876.7693723786924</v>
      </c>
      <c r="Z8">
        <v>9.9187623436008518</v>
      </c>
      <c r="AA8">
        <v>2729.8383250508427</v>
      </c>
      <c r="AB8">
        <v>7.361136221225518</v>
      </c>
      <c r="AC8">
        <v>2207.2826530134807</v>
      </c>
      <c r="AD8">
        <v>9.8973757075062903</v>
      </c>
      <c r="AE8">
        <v>2025.0791766553878</v>
      </c>
      <c r="AF8">
        <v>7.3486168194216726</v>
      </c>
      <c r="AG8">
        <v>2142.4649276887221</v>
      </c>
      <c r="AH8">
        <v>9.8817980829696861</v>
      </c>
      <c r="AI8">
        <v>1934.9327646403683</v>
      </c>
      <c r="AJ8">
        <v>7.3394869585930103</v>
      </c>
    </row>
    <row r="9" spans="1:78" x14ac:dyDescent="0.55000000000000004">
      <c r="D9">
        <v>2</v>
      </c>
      <c r="E9">
        <v>12.032322314619323</v>
      </c>
      <c r="F9">
        <v>0.43939034058228199</v>
      </c>
      <c r="G9">
        <v>0.18648581693122585</v>
      </c>
      <c r="H9">
        <v>17.341801527867172</v>
      </c>
      <c r="I9">
        <v>12.278072999846264</v>
      </c>
      <c r="J9">
        <v>0.2623264517143451</v>
      </c>
      <c r="K9">
        <v>0.11089222269137049</v>
      </c>
      <c r="L9">
        <v>17.348708325748021</v>
      </c>
      <c r="M9">
        <v>12.165392320548102</v>
      </c>
      <c r="N9">
        <v>0.3435589653362634</v>
      </c>
      <c r="O9">
        <v>0.14549658313102332</v>
      </c>
      <c r="P9">
        <v>17.345552130984593</v>
      </c>
      <c r="Q9">
        <v>12.135274221571565</v>
      </c>
      <c r="R9">
        <v>0.36525827319878845</v>
      </c>
      <c r="S9">
        <v>0.15476203409231928</v>
      </c>
      <c r="T9">
        <v>17.344705471137321</v>
      </c>
      <c r="U9">
        <v>1521.4353773583698</v>
      </c>
      <c r="V9">
        <v>9.4944638719229335</v>
      </c>
      <c r="W9">
        <v>1291.898568135279</v>
      </c>
      <c r="X9">
        <v>7.105838118079653</v>
      </c>
      <c r="Y9">
        <v>2890.236648515986</v>
      </c>
      <c r="Z9">
        <v>9.5345904853121368</v>
      </c>
      <c r="AA9">
        <v>2740.4075370257633</v>
      </c>
      <c r="AB9">
        <v>7.1307831519898146</v>
      </c>
      <c r="AC9">
        <v>2188.713250219469</v>
      </c>
      <c r="AD9">
        <v>9.5161844278368672</v>
      </c>
      <c r="AE9">
        <v>2010.1727553758376</v>
      </c>
      <c r="AF9">
        <v>7.119355758911321</v>
      </c>
      <c r="AG9">
        <v>2087.9018264997094</v>
      </c>
      <c r="AH9">
        <v>9.5112668242076097</v>
      </c>
      <c r="AI9">
        <v>1895.0955059784269</v>
      </c>
      <c r="AJ9">
        <v>7.1162984210057267</v>
      </c>
    </row>
    <row r="10" spans="1:78" x14ac:dyDescent="0.55000000000000004">
      <c r="D10">
        <v>3</v>
      </c>
      <c r="E10">
        <v>13.848229367692207</v>
      </c>
      <c r="F10">
        <v>0.47088628151848572</v>
      </c>
      <c r="G10">
        <v>0.19908346515100861</v>
      </c>
      <c r="H10">
        <v>15.481800885638298</v>
      </c>
      <c r="I10">
        <v>14.120053662333374</v>
      </c>
      <c r="J10">
        <v>0.29431696718757511</v>
      </c>
      <c r="K10">
        <v>0.12395121790087411</v>
      </c>
      <c r="L10">
        <v>15.461678152578166</v>
      </c>
      <c r="M10">
        <v>14.001880356697889</v>
      </c>
      <c r="N10">
        <v>0.37113856112053856</v>
      </c>
      <c r="O10">
        <v>0.15656693730665761</v>
      </c>
      <c r="P10">
        <v>15.470414144874914</v>
      </c>
      <c r="Q10">
        <v>13.976776192388812</v>
      </c>
      <c r="R10">
        <v>0.38744641560139548</v>
      </c>
      <c r="S10">
        <v>0.16350500964246392</v>
      </c>
      <c r="T10">
        <v>15.472272382367338</v>
      </c>
      <c r="U10">
        <v>1610.0090472405282</v>
      </c>
      <c r="V10">
        <v>11.058723734889904</v>
      </c>
      <c r="W10">
        <v>1343.0269143196438</v>
      </c>
      <c r="X10">
        <v>8.0596537529673054</v>
      </c>
      <c r="Y10">
        <v>2924.0360325324896</v>
      </c>
      <c r="Z10">
        <v>11.121349649182466</v>
      </c>
      <c r="AA10">
        <v>2754.8542068324623</v>
      </c>
      <c r="AB10">
        <v>8.0957670071621912</v>
      </c>
      <c r="AC10">
        <v>2284.084059537523</v>
      </c>
      <c r="AD10">
        <v>11.094131274844909</v>
      </c>
      <c r="AE10">
        <v>2069.0783876479927</v>
      </c>
      <c r="AF10">
        <v>8.0800864067722156</v>
      </c>
      <c r="AG10">
        <v>2202.6127236716356</v>
      </c>
      <c r="AH10">
        <v>11.088347614342744</v>
      </c>
      <c r="AI10">
        <v>1967.7817351263272</v>
      </c>
      <c r="AJ10">
        <v>8.0767514871255219</v>
      </c>
    </row>
    <row r="11" spans="1:78" x14ac:dyDescent="0.55000000000000004">
      <c r="D11">
        <v>4</v>
      </c>
      <c r="E11">
        <v>13.670842717341731</v>
      </c>
      <c r="F11">
        <v>0.50263879677247469</v>
      </c>
      <c r="G11">
        <v>0.17625828298520357</v>
      </c>
      <c r="H11">
        <v>15.650260202900578</v>
      </c>
      <c r="I11">
        <v>13.938572590397698</v>
      </c>
      <c r="J11">
        <v>0.30889836446441088</v>
      </c>
      <c r="K11">
        <v>0.10793681350012428</v>
      </c>
      <c r="L11">
        <v>15.644592231637777</v>
      </c>
      <c r="M11">
        <v>13.822851728953385</v>
      </c>
      <c r="N11">
        <v>0.39268802135703429</v>
      </c>
      <c r="O11">
        <v>0.13742443577160718</v>
      </c>
      <c r="P11">
        <v>15.647035813917984</v>
      </c>
      <c r="Q11">
        <v>13.782110833934709</v>
      </c>
      <c r="R11">
        <v>0.42216938189109671</v>
      </c>
      <c r="S11">
        <v>0.14782141113666605</v>
      </c>
      <c r="T11">
        <v>15.647898373037531</v>
      </c>
      <c r="U11">
        <v>1624.7832519045035</v>
      </c>
      <c r="V11">
        <v>10.789815975831557</v>
      </c>
      <c r="W11">
        <v>1352.3093366428623</v>
      </c>
      <c r="X11">
        <v>7.8810566299351894</v>
      </c>
      <c r="Y11">
        <v>2929.7657162421515</v>
      </c>
      <c r="Z11">
        <v>10.842094122525079</v>
      </c>
      <c r="AA11">
        <v>2758.525852245858</v>
      </c>
      <c r="AB11">
        <v>7.9115257951758053</v>
      </c>
      <c r="AC11">
        <v>2272.1589750892244</v>
      </c>
      <c r="AD11">
        <v>10.819502164074962</v>
      </c>
      <c r="AE11">
        <v>2059.3997420755877</v>
      </c>
      <c r="AF11">
        <v>7.8983715581866276</v>
      </c>
      <c r="AG11">
        <v>2187.2228001479439</v>
      </c>
      <c r="AH11">
        <v>10.811546875697468</v>
      </c>
      <c r="AI11">
        <v>1954.6477155873679</v>
      </c>
      <c r="AJ11">
        <v>7.8937348825889098</v>
      </c>
    </row>
    <row r="12" spans="1:78" x14ac:dyDescent="0.55000000000000004">
      <c r="D12">
        <v>5</v>
      </c>
      <c r="E12">
        <v>11.940355291675395</v>
      </c>
      <c r="F12">
        <v>0.44099743319636414</v>
      </c>
      <c r="G12">
        <v>0.16503963219248635</v>
      </c>
      <c r="H12">
        <v>17.453607642935747</v>
      </c>
      <c r="I12">
        <v>12.150895639445013</v>
      </c>
      <c r="J12">
        <v>0.28117575678063356</v>
      </c>
      <c r="K12">
        <v>0.10489001110539602</v>
      </c>
      <c r="L12">
        <v>17.463038592668951</v>
      </c>
      <c r="M12">
        <v>12.063845020012756</v>
      </c>
      <c r="N12">
        <v>0.34728556893307538</v>
      </c>
      <c r="O12">
        <v>0.12972322971034994</v>
      </c>
      <c r="P12">
        <v>17.459146181343822</v>
      </c>
      <c r="Q12">
        <v>12.012533500410964</v>
      </c>
      <c r="R12">
        <v>0.38623422471852314</v>
      </c>
      <c r="S12">
        <v>0.14438502178185691</v>
      </c>
      <c r="T12">
        <v>17.456847253088643</v>
      </c>
      <c r="U12">
        <v>1531.07739369003</v>
      </c>
      <c r="V12">
        <v>9.4489350693550289</v>
      </c>
      <c r="W12">
        <v>1300.3626463176379</v>
      </c>
      <c r="X12">
        <v>7.0850212117723395</v>
      </c>
      <c r="Y12">
        <v>2878.6074473602848</v>
      </c>
      <c r="Z12">
        <v>9.4840322869409928</v>
      </c>
      <c r="AA12">
        <v>2730.9063233409875</v>
      </c>
      <c r="AB12">
        <v>7.1068030166549985</v>
      </c>
      <c r="AC12">
        <v>2187.0782351252851</v>
      </c>
      <c r="AD12">
        <v>9.4695165566059547</v>
      </c>
      <c r="AE12">
        <v>2009.664551088144</v>
      </c>
      <c r="AF12">
        <v>7.0978050484601747</v>
      </c>
      <c r="AG12">
        <v>2097.3029003342999</v>
      </c>
      <c r="AH12">
        <v>9.4609631909258365</v>
      </c>
      <c r="AI12">
        <v>1901.5245855325049</v>
      </c>
      <c r="AJ12">
        <v>7.0924959803129903</v>
      </c>
    </row>
    <row r="13" spans="1:78" x14ac:dyDescent="0.55000000000000004">
      <c r="D13">
        <v>6</v>
      </c>
      <c r="E13">
        <v>13.166599612773005</v>
      </c>
      <c r="F13">
        <v>0.4765520118404229</v>
      </c>
      <c r="G13">
        <v>0.16876548572005989</v>
      </c>
      <c r="H13">
        <v>16.188082889666514</v>
      </c>
      <c r="I13">
        <v>13.39445369052768</v>
      </c>
      <c r="J13">
        <v>0.31049107439986534</v>
      </c>
      <c r="K13">
        <v>0.10960700643085135</v>
      </c>
      <c r="L13">
        <v>16.185448228641608</v>
      </c>
      <c r="M13">
        <v>13.324794534032856</v>
      </c>
      <c r="N13">
        <v>0.36129012134759786</v>
      </c>
      <c r="O13">
        <v>0.12766337289557331</v>
      </c>
      <c r="P13">
        <v>16.186251971723973</v>
      </c>
      <c r="Q13">
        <v>13.266316181937965</v>
      </c>
      <c r="R13">
        <v>0.40391441995858873</v>
      </c>
      <c r="S13">
        <v>0.14284152424933355</v>
      </c>
      <c r="T13">
        <v>16.18692787385412</v>
      </c>
      <c r="U13">
        <v>1600.6553071610988</v>
      </c>
      <c r="V13">
        <v>10.42350639659765</v>
      </c>
      <c r="W13">
        <v>1339.6532479589384</v>
      </c>
      <c r="X13">
        <v>7.6713647922452939</v>
      </c>
      <c r="Y13">
        <v>2939.9576561435802</v>
      </c>
      <c r="Z13">
        <v>10.470504464618836</v>
      </c>
      <c r="AA13">
        <v>2767.892170072932</v>
      </c>
      <c r="AB13">
        <v>7.6992267525650151</v>
      </c>
      <c r="AC13">
        <v>2226.9096971972199</v>
      </c>
      <c r="AD13">
        <v>10.456136959210927</v>
      </c>
      <c r="AE13">
        <v>2030.8974102124</v>
      </c>
      <c r="AF13">
        <v>7.6907190262813954</v>
      </c>
      <c r="AG13">
        <v>2140.8823210663763</v>
      </c>
      <c r="AH13">
        <v>10.444075094517741</v>
      </c>
      <c r="AI13">
        <v>1924.5208051236148</v>
      </c>
      <c r="AJ13">
        <v>7.6835699579435053</v>
      </c>
    </row>
    <row r="14" spans="1:78" x14ac:dyDescent="0.55000000000000004">
      <c r="D14">
        <v>7</v>
      </c>
      <c r="E14">
        <v>11.611282840021818</v>
      </c>
      <c r="F14">
        <v>0.42524584159156847</v>
      </c>
      <c r="G14">
        <v>0.15676263130025683</v>
      </c>
      <c r="H14">
        <v>17.806708687086349</v>
      </c>
      <c r="I14">
        <v>11.819554931306557</v>
      </c>
      <c r="J14">
        <v>0.25918963761168784</v>
      </c>
      <c r="K14">
        <v>9.5232043402792441E-2</v>
      </c>
      <c r="L14">
        <v>17.826023387678973</v>
      </c>
      <c r="M14">
        <v>11.701856877463088</v>
      </c>
      <c r="N14">
        <v>0.35305659828658947</v>
      </c>
      <c r="O14">
        <v>0.12996287867251985</v>
      </c>
      <c r="P14">
        <v>17.815123645577803</v>
      </c>
      <c r="Q14">
        <v>11.681811878617738</v>
      </c>
      <c r="R14">
        <v>0.36903628783200709</v>
      </c>
      <c r="S14">
        <v>0.1358884642569676</v>
      </c>
      <c r="T14">
        <v>17.813263369293285</v>
      </c>
      <c r="U14">
        <v>1496.9296422171496</v>
      </c>
      <c r="V14">
        <v>9.163930468470646</v>
      </c>
      <c r="W14">
        <v>1278.4186828496704</v>
      </c>
      <c r="X14">
        <v>6.9082321064440073</v>
      </c>
      <c r="Y14">
        <v>2870.2522342893808</v>
      </c>
      <c r="Z14">
        <v>9.1919293377009481</v>
      </c>
      <c r="AA14">
        <v>2728.2140662565926</v>
      </c>
      <c r="AB14">
        <v>6.9262913941756645</v>
      </c>
      <c r="AC14">
        <v>2194.9527589796803</v>
      </c>
      <c r="AD14">
        <v>9.1760979730956809</v>
      </c>
      <c r="AE14">
        <v>2017.1415215610452</v>
      </c>
      <c r="AF14">
        <v>6.9160909548951892</v>
      </c>
      <c r="AG14">
        <v>2112.3178192847604</v>
      </c>
      <c r="AH14">
        <v>9.1734040096724243</v>
      </c>
      <c r="AI14">
        <v>1916.6158143660082</v>
      </c>
      <c r="AJ14">
        <v>6.9143523983343913</v>
      </c>
    </row>
    <row r="15" spans="1:78" x14ac:dyDescent="0.55000000000000004">
      <c r="D15">
        <v>8</v>
      </c>
      <c r="E15">
        <v>12.156609705689597</v>
      </c>
      <c r="F15">
        <v>0.40831727450586452</v>
      </c>
      <c r="G15">
        <v>0.14339886819637918</v>
      </c>
      <c r="H15">
        <v>17.291674151608156</v>
      </c>
      <c r="I15">
        <v>12.360564407325162</v>
      </c>
      <c r="J15">
        <v>0.26448273778069081</v>
      </c>
      <c r="K15">
        <v>9.2601783188292847E-2</v>
      </c>
      <c r="L15">
        <v>17.282351071705861</v>
      </c>
      <c r="M15">
        <v>12.258909433206526</v>
      </c>
      <c r="N15">
        <v>0.33620553416611432</v>
      </c>
      <c r="O15">
        <v>0.11789232084571076</v>
      </c>
      <c r="P15">
        <v>17.286992711781632</v>
      </c>
      <c r="Q15">
        <v>12.239915660308933</v>
      </c>
      <c r="R15">
        <v>0.34959939197965695</v>
      </c>
      <c r="S15">
        <v>0.12262383207170179</v>
      </c>
      <c r="T15">
        <v>17.287861115639721</v>
      </c>
      <c r="U15">
        <v>1511.5360761733803</v>
      </c>
      <c r="V15">
        <v>9.5022098225209124</v>
      </c>
      <c r="W15">
        <v>1288.4352959576374</v>
      </c>
      <c r="X15">
        <v>7.1069218432116985</v>
      </c>
      <c r="Y15">
        <v>2879.2335590502648</v>
      </c>
      <c r="Z15">
        <v>9.5443013480080587</v>
      </c>
      <c r="AA15">
        <v>2732.8097019261731</v>
      </c>
      <c r="AB15">
        <v>7.1319511632233477</v>
      </c>
      <c r="AC15">
        <v>2208.6068624539912</v>
      </c>
      <c r="AD15">
        <v>9.5233253974672056</v>
      </c>
      <c r="AE15">
        <v>2026.9037640094878</v>
      </c>
      <c r="AF15">
        <v>7.1194879863022189</v>
      </c>
      <c r="AG15">
        <v>2101.321673496218</v>
      </c>
      <c r="AH15">
        <v>9.5194054150000085</v>
      </c>
      <c r="AI15">
        <v>1907.6927841658778</v>
      </c>
      <c r="AJ15">
        <v>7.117156681416998</v>
      </c>
    </row>
    <row r="16" spans="1:78" x14ac:dyDescent="0.55000000000000004">
      <c r="D16">
        <v>9</v>
      </c>
      <c r="E16">
        <v>14.070897166587505</v>
      </c>
      <c r="F16">
        <v>0.48730053907049253</v>
      </c>
      <c r="G16">
        <v>0.17953600449205742</v>
      </c>
      <c r="H16">
        <v>15.262266289849951</v>
      </c>
      <c r="I16">
        <v>14.304714011638744</v>
      </c>
      <c r="J16">
        <v>0.32979380002949799</v>
      </c>
      <c r="K16">
        <v>0.12113163951812238</v>
      </c>
      <c r="L16">
        <v>15.244360548813631</v>
      </c>
      <c r="M16">
        <v>14.202500287487171</v>
      </c>
      <c r="N16">
        <v>0.3986900574731998</v>
      </c>
      <c r="O16">
        <v>0.14663369452690297</v>
      </c>
      <c r="P16">
        <v>15.252175960512732</v>
      </c>
      <c r="Q16">
        <v>14.152371273538357</v>
      </c>
      <c r="R16">
        <v>0.4324554542285951</v>
      </c>
      <c r="S16">
        <v>0.15915750397763442</v>
      </c>
      <c r="T16">
        <v>15.256015768255406</v>
      </c>
      <c r="U16">
        <v>1614.2020072477667</v>
      </c>
      <c r="V16">
        <v>11.110152941707453</v>
      </c>
      <c r="W16">
        <v>1343.4660146386789</v>
      </c>
      <c r="X16">
        <v>8.0732523475016436</v>
      </c>
      <c r="Y16">
        <v>2959.5824368467993</v>
      </c>
      <c r="Z16">
        <v>11.163635042050458</v>
      </c>
      <c r="AA16">
        <v>2777.2413931221404</v>
      </c>
      <c r="AB16">
        <v>8.103891903863337</v>
      </c>
      <c r="AC16">
        <v>2292.4788114251987</v>
      </c>
      <c r="AD16">
        <v>11.14026220363329</v>
      </c>
      <c r="AE16">
        <v>2072.0405753856894</v>
      </c>
      <c r="AF16">
        <v>8.0905120588673149</v>
      </c>
      <c r="AG16">
        <v>2185.7773127031051</v>
      </c>
      <c r="AH16">
        <v>11.128795411848566</v>
      </c>
      <c r="AI16">
        <v>1950.9000835808936</v>
      </c>
      <c r="AJ16">
        <v>8.083942030586444</v>
      </c>
    </row>
    <row r="17" spans="4:36" x14ac:dyDescent="0.55000000000000004">
      <c r="D17">
        <v>10</v>
      </c>
      <c r="E17">
        <v>11.04083974472937</v>
      </c>
      <c r="F17">
        <v>0.36928522544679032</v>
      </c>
      <c r="G17">
        <v>0.14646121984354815</v>
      </c>
      <c r="H17">
        <v>18.443413809980299</v>
      </c>
      <c r="I17">
        <v>11.204329793538708</v>
      </c>
      <c r="J17">
        <v>0.24186912909539471</v>
      </c>
      <c r="K17">
        <v>9.5661021800030888E-2</v>
      </c>
      <c r="L17">
        <v>18.458140055565888</v>
      </c>
      <c r="M17">
        <v>11.13034719118277</v>
      </c>
      <c r="N17">
        <v>0.29954515865676828</v>
      </c>
      <c r="O17">
        <v>0.11862082479950668</v>
      </c>
      <c r="P17">
        <v>18.451486825360966</v>
      </c>
      <c r="Q17">
        <v>11.074075304838814</v>
      </c>
      <c r="R17">
        <v>0.34339461720689229</v>
      </c>
      <c r="S17">
        <v>0.13611558747391508</v>
      </c>
      <c r="T17">
        <v>18.446414490480372</v>
      </c>
      <c r="U17">
        <v>1417.2627646188437</v>
      </c>
      <c r="V17">
        <v>8.7141250217157182</v>
      </c>
      <c r="W17">
        <v>1226.7572609186532</v>
      </c>
      <c r="X17">
        <v>6.6381889863189238</v>
      </c>
      <c r="Y17">
        <v>2838.2688407338733</v>
      </c>
      <c r="Z17">
        <v>8.7383605199542185</v>
      </c>
      <c r="AA17">
        <v>2708.2565204488228</v>
      </c>
      <c r="AB17">
        <v>6.6540059287211264</v>
      </c>
      <c r="AC17">
        <v>2135.5465303627193</v>
      </c>
      <c r="AD17">
        <v>8.7273871610264866</v>
      </c>
      <c r="AE17">
        <v>1980.0128963493864</v>
      </c>
      <c r="AF17">
        <v>6.6468524282253449</v>
      </c>
      <c r="AG17">
        <v>2034.1673203323903</v>
      </c>
      <c r="AH17">
        <v>8.719047678684273</v>
      </c>
      <c r="AI17">
        <v>1863.0426490666466</v>
      </c>
      <c r="AJ17">
        <v>6.6414069972764382</v>
      </c>
    </row>
    <row r="18" spans="4:36" x14ac:dyDescent="0.55000000000000004">
      <c r="D18">
        <v>11</v>
      </c>
      <c r="E18">
        <v>12.583268924146465</v>
      </c>
      <c r="F18">
        <v>0.51321164486495174</v>
      </c>
      <c r="G18">
        <v>0.18106872598604473</v>
      </c>
      <c r="H18">
        <v>16.722450705002537</v>
      </c>
      <c r="I18">
        <v>12.833069718644605</v>
      </c>
      <c r="J18">
        <v>0.30811698545247851</v>
      </c>
      <c r="K18">
        <v>0.10833429559773962</v>
      </c>
      <c r="L18">
        <v>16.750479000305173</v>
      </c>
      <c r="M18">
        <v>12.69795228829582</v>
      </c>
      <c r="N18">
        <v>0.41908501050492653</v>
      </c>
      <c r="O18">
        <v>0.14762467418900563</v>
      </c>
      <c r="P18">
        <v>16.735338027010258</v>
      </c>
      <c r="Q18">
        <v>12.688227555628458</v>
      </c>
      <c r="R18">
        <v>0.42706873798060468</v>
      </c>
      <c r="S18">
        <v>0.15045718274672579</v>
      </c>
      <c r="T18">
        <v>16.734246523644213</v>
      </c>
      <c r="U18">
        <v>1609.2442608695715</v>
      </c>
      <c r="V18">
        <v>9.9612645258213774</v>
      </c>
      <c r="W18">
        <v>1348.9244140922622</v>
      </c>
      <c r="X18">
        <v>7.3862898317295214</v>
      </c>
      <c r="Y18">
        <v>2883.2548313587604</v>
      </c>
      <c r="Z18">
        <v>9.992134370671204</v>
      </c>
      <c r="AA18">
        <v>2729.6582976026702</v>
      </c>
      <c r="AB18">
        <v>7.4059508256627788</v>
      </c>
      <c r="AC18">
        <v>2258.8402927894367</v>
      </c>
      <c r="AD18">
        <v>9.9754253734502107</v>
      </c>
      <c r="AE18">
        <v>2054.4036157820783</v>
      </c>
      <c r="AF18">
        <v>7.3953215968622903</v>
      </c>
      <c r="AG18">
        <v>2135.6064742880394</v>
      </c>
      <c r="AH18">
        <v>9.9742238250851791</v>
      </c>
      <c r="AI18">
        <v>1923.4906923788817</v>
      </c>
      <c r="AJ18">
        <v>7.3945560955079861</v>
      </c>
    </row>
    <row r="19" spans="4:36" x14ac:dyDescent="0.55000000000000004">
      <c r="D19">
        <v>12</v>
      </c>
      <c r="E19">
        <v>11.699750221158093</v>
      </c>
      <c r="F19">
        <v>0.45198640277907959</v>
      </c>
      <c r="G19">
        <v>0.16115625796315272</v>
      </c>
      <c r="H19">
        <v>17.687107118099682</v>
      </c>
      <c r="I19">
        <v>11.912682856132481</v>
      </c>
      <c r="J19">
        <v>0.28452495714838633</v>
      </c>
      <c r="K19">
        <v>0.10113132405250237</v>
      </c>
      <c r="L19">
        <v>17.701660862666643</v>
      </c>
      <c r="M19">
        <v>11.83353726557708</v>
      </c>
      <c r="N19">
        <v>0.34679587336691625</v>
      </c>
      <c r="O19">
        <v>0.12340739133769754</v>
      </c>
      <c r="P19">
        <v>17.696259469718314</v>
      </c>
      <c r="Q19">
        <v>11.810798718532922</v>
      </c>
      <c r="R19">
        <v>0.36468051572232857</v>
      </c>
      <c r="S19">
        <v>0.12981488968198454</v>
      </c>
      <c r="T19">
        <v>17.694705876062766</v>
      </c>
      <c r="U19">
        <v>1503.6621997240968</v>
      </c>
      <c r="V19">
        <v>9.2120850952584572</v>
      </c>
      <c r="W19">
        <v>1279.5632729860738</v>
      </c>
      <c r="X19">
        <v>6.9328743527597858</v>
      </c>
      <c r="Y19">
        <v>2893.867384434961</v>
      </c>
      <c r="Z19">
        <v>9.2434834059491919</v>
      </c>
      <c r="AA19">
        <v>2742.7569541432144</v>
      </c>
      <c r="AB19">
        <v>6.9525580603643524</v>
      </c>
      <c r="AC19">
        <v>2196.2339841148901</v>
      </c>
      <c r="AD19">
        <v>9.2318083508754949</v>
      </c>
      <c r="AE19">
        <v>2017.3370746302287</v>
      </c>
      <c r="AF19">
        <v>6.9452487832341774</v>
      </c>
      <c r="AG19">
        <v>2101.9979544603625</v>
      </c>
      <c r="AH19">
        <v>9.2284550895618924</v>
      </c>
      <c r="AI19">
        <v>1907.731624434673</v>
      </c>
      <c r="AJ19">
        <v>6.9431472989162737</v>
      </c>
    </row>
    <row r="20" spans="4:36" x14ac:dyDescent="0.55000000000000004">
      <c r="D20">
        <v>13</v>
      </c>
      <c r="E20">
        <v>11.90569685362798</v>
      </c>
      <c r="F20">
        <v>0.41093090823474576</v>
      </c>
      <c r="G20">
        <v>0.16417587832370753</v>
      </c>
      <c r="H20">
        <v>17.519196359813563</v>
      </c>
      <c r="I20">
        <v>12.08924602424389</v>
      </c>
      <c r="J20">
        <v>0.27813845113044683</v>
      </c>
      <c r="K20">
        <v>0.11079984758864174</v>
      </c>
      <c r="L20">
        <v>17.521815677037019</v>
      </c>
      <c r="M20">
        <v>12.022009729363774</v>
      </c>
      <c r="N20">
        <v>0.32680582337824254</v>
      </c>
      <c r="O20">
        <v>0.13032523792135389</v>
      </c>
      <c r="P20">
        <v>17.520859209336628</v>
      </c>
      <c r="Q20">
        <v>11.982357036209544</v>
      </c>
      <c r="R20">
        <v>0.35549456490110448</v>
      </c>
      <c r="S20">
        <v>0.1418548983568286</v>
      </c>
      <c r="T20">
        <v>17.520293500532514</v>
      </c>
      <c r="U20">
        <v>1499.9051272537256</v>
      </c>
      <c r="V20">
        <v>9.3462526811332971</v>
      </c>
      <c r="W20">
        <v>1278.9427549860891</v>
      </c>
      <c r="X20">
        <v>7.0147122676347813</v>
      </c>
      <c r="Y20">
        <v>2879.5016903295959</v>
      </c>
      <c r="Z20">
        <v>9.378991835602303</v>
      </c>
      <c r="AA20">
        <v>2731.5284205687753</v>
      </c>
      <c r="AB20">
        <v>7.0348125385019546</v>
      </c>
      <c r="AC20">
        <v>2186.0199972444752</v>
      </c>
      <c r="AD20">
        <v>9.3669972439475746</v>
      </c>
      <c r="AE20">
        <v>2010.271608027813</v>
      </c>
      <c r="AF20">
        <v>7.0274563322350119</v>
      </c>
      <c r="AG20">
        <v>2096.142726691749</v>
      </c>
      <c r="AH20">
        <v>9.3599244118717557</v>
      </c>
      <c r="AI20">
        <v>1902.9008792257896</v>
      </c>
      <c r="AJ20">
        <v>7.0231143459117344</v>
      </c>
    </row>
    <row r="21" spans="4:36" x14ac:dyDescent="0.55000000000000004">
      <c r="D21">
        <v>14</v>
      </c>
      <c r="E21">
        <v>13.403957123390754</v>
      </c>
      <c r="F21">
        <v>0.47708023785232417</v>
      </c>
      <c r="G21">
        <v>0.16414136131829313</v>
      </c>
      <c r="H21">
        <v>15.954821277438619</v>
      </c>
      <c r="I21">
        <v>13.657405710474002</v>
      </c>
      <c r="J21">
        <v>0.29857721803265375</v>
      </c>
      <c r="K21">
        <v>0.10236332363134307</v>
      </c>
      <c r="L21">
        <v>15.941653747862023</v>
      </c>
      <c r="M21">
        <v>13.530438375815388</v>
      </c>
      <c r="N21">
        <v>0.38804784263897063</v>
      </c>
      <c r="O21">
        <v>0.13327259138732236</v>
      </c>
      <c r="P21">
        <v>15.948241190158337</v>
      </c>
      <c r="Q21">
        <v>13.488100106918745</v>
      </c>
      <c r="R21">
        <v>0.41786119793719245</v>
      </c>
      <c r="S21">
        <v>0.1435968871939364</v>
      </c>
      <c r="T21">
        <v>15.950441807950128</v>
      </c>
      <c r="U21">
        <v>1562.5881402662435</v>
      </c>
      <c r="V21">
        <v>10.598069735857127</v>
      </c>
      <c r="W21">
        <v>1312.5184100247411</v>
      </c>
      <c r="X21">
        <v>7.7741171321656832</v>
      </c>
      <c r="Y21">
        <v>2931.7238614479547</v>
      </c>
      <c r="Z21">
        <v>10.654561275764392</v>
      </c>
      <c r="AA21">
        <v>2763.3408916051503</v>
      </c>
      <c r="AB21">
        <v>7.8071416370030846</v>
      </c>
      <c r="AC21">
        <v>2265.373452381245</v>
      </c>
      <c r="AD21">
        <v>10.626265787641355</v>
      </c>
      <c r="AE21">
        <v>2058.0404164464098</v>
      </c>
      <c r="AF21">
        <v>7.7906143944352282</v>
      </c>
      <c r="AG21">
        <v>2130.4880093538764</v>
      </c>
      <c r="AH21">
        <v>10.616828449818833</v>
      </c>
      <c r="AI21">
        <v>1916.7265974094987</v>
      </c>
      <c r="AJ21">
        <v>7.7850958363861196</v>
      </c>
    </row>
    <row r="22" spans="4:36" x14ac:dyDescent="0.55000000000000004">
      <c r="D22">
        <v>15</v>
      </c>
      <c r="E22">
        <v>12.517841598727612</v>
      </c>
      <c r="F22">
        <v>0.4577025813709798</v>
      </c>
      <c r="G22">
        <v>0.15611343372455494</v>
      </c>
      <c r="H22">
        <v>16.868342386176852</v>
      </c>
      <c r="I22">
        <v>12.739278768531429</v>
      </c>
      <c r="J22">
        <v>0.29259187579516333</v>
      </c>
      <c r="K22">
        <v>9.9482973343380562E-2</v>
      </c>
      <c r="L22">
        <v>16.868646382330031</v>
      </c>
      <c r="M22">
        <v>12.648975300062679</v>
      </c>
      <c r="N22">
        <v>0.35995801051294629</v>
      </c>
      <c r="O22">
        <v>0.12254478019572176</v>
      </c>
      <c r="P22">
        <v>16.868521909228654</v>
      </c>
      <c r="Q22">
        <v>12.623213709006338</v>
      </c>
      <c r="R22">
        <v>0.37916779695553082</v>
      </c>
      <c r="S22">
        <v>0.12913196839419369</v>
      </c>
      <c r="T22">
        <v>16.868486525643931</v>
      </c>
      <c r="U22">
        <v>1528.8081241061409</v>
      </c>
      <c r="V22">
        <v>9.8705686303273996</v>
      </c>
      <c r="W22">
        <v>1295.1695401351908</v>
      </c>
      <c r="X22">
        <v>7.3360238679596694</v>
      </c>
      <c r="Y22">
        <v>2898.334987356207</v>
      </c>
      <c r="Z22">
        <v>9.9129519198759812</v>
      </c>
      <c r="AA22">
        <v>2743.3376004353699</v>
      </c>
      <c r="AB22">
        <v>7.3614873986168261</v>
      </c>
      <c r="AC22">
        <v>2206.7794811519775</v>
      </c>
      <c r="AD22">
        <v>9.8956677426025355</v>
      </c>
      <c r="AE22">
        <v>2021.8032788646321</v>
      </c>
      <c r="AF22">
        <v>7.3511140871169705</v>
      </c>
      <c r="AG22">
        <v>2115.6418014518017</v>
      </c>
      <c r="AH22">
        <v>9.8907369490190931</v>
      </c>
      <c r="AI22">
        <v>1914.0396866326021</v>
      </c>
      <c r="AJ22">
        <v>7.3481520771795408</v>
      </c>
    </row>
    <row r="23" spans="4:36" x14ac:dyDescent="0.55000000000000004">
      <c r="D23">
        <v>16</v>
      </c>
      <c r="E23">
        <v>12.898367385635758</v>
      </c>
      <c r="F23">
        <v>0.47128735325530668</v>
      </c>
      <c r="G23">
        <v>0.17668672954563275</v>
      </c>
      <c r="H23">
        <v>16.453658531563295</v>
      </c>
      <c r="I23">
        <v>13.137483633031568</v>
      </c>
      <c r="J23">
        <v>0.29759061301676903</v>
      </c>
      <c r="K23">
        <v>0.1111745219353624</v>
      </c>
      <c r="L23">
        <v>16.453751232016298</v>
      </c>
      <c r="M23">
        <v>13.022609878440782</v>
      </c>
      <c r="N23">
        <v>0.38107744433224444</v>
      </c>
      <c r="O23">
        <v>0.14260421253468214</v>
      </c>
      <c r="P23">
        <v>16.453708464692305</v>
      </c>
      <c r="Q23">
        <v>12.998531580359966</v>
      </c>
      <c r="R23">
        <v>0.39856720281020103</v>
      </c>
      <c r="S23">
        <v>0.14920212849708522</v>
      </c>
      <c r="T23">
        <v>16.453699088332741</v>
      </c>
      <c r="U23">
        <v>1541.6960465908662</v>
      </c>
      <c r="V23">
        <v>10.207172082810505</v>
      </c>
      <c r="W23">
        <v>1301.2728767703688</v>
      </c>
      <c r="X23">
        <v>7.5387611921567084</v>
      </c>
      <c r="Y23">
        <v>2886.4227343347898</v>
      </c>
      <c r="Z23">
        <v>10.249042222402423</v>
      </c>
      <c r="AA23">
        <v>2732.4656214150305</v>
      </c>
      <c r="AB23">
        <v>7.5637832041260076</v>
      </c>
      <c r="AC23">
        <v>2250.9722823176444</v>
      </c>
      <c r="AD23">
        <v>10.228926888663322</v>
      </c>
      <c r="AE23">
        <v>2051.0763751969248</v>
      </c>
      <c r="AF23">
        <v>7.5517736199537175</v>
      </c>
      <c r="AG23">
        <v>2124.5625021698902</v>
      </c>
      <c r="AH23">
        <v>10.224710701530654</v>
      </c>
      <c r="AI23">
        <v>1917.0307684651375</v>
      </c>
      <c r="AJ23">
        <v>7.5492537105983271</v>
      </c>
    </row>
    <row r="24" spans="4:36" x14ac:dyDescent="0.55000000000000004">
      <c r="D24">
        <v>17</v>
      </c>
      <c r="E24">
        <v>12.194710675431354</v>
      </c>
      <c r="F24">
        <v>0.43156617767393135</v>
      </c>
      <c r="G24">
        <v>0.16627622643196058</v>
      </c>
      <c r="H24">
        <v>17.207446920462761</v>
      </c>
      <c r="I24">
        <v>12.409058938122387</v>
      </c>
      <c r="J24">
        <v>0.2778452135372802</v>
      </c>
      <c r="K24">
        <v>0.10670928517291747</v>
      </c>
      <c r="L24">
        <v>17.206386563167413</v>
      </c>
      <c r="M24">
        <v>12.318792806219903</v>
      </c>
      <c r="N24">
        <v>0.3426143413719947</v>
      </c>
      <c r="O24">
        <v>0.13176044209673904</v>
      </c>
      <c r="P24">
        <v>17.206832410311357</v>
      </c>
      <c r="Q24">
        <v>12.297654983590657</v>
      </c>
      <c r="R24">
        <v>0.35777428795285726</v>
      </c>
      <c r="S24">
        <v>0.13763376873580691</v>
      </c>
      <c r="T24">
        <v>17.206936959720693</v>
      </c>
      <c r="U24">
        <v>1548.6197640288274</v>
      </c>
      <c r="V24">
        <v>9.6579766597579706</v>
      </c>
      <c r="W24">
        <v>1311.8223806499402</v>
      </c>
      <c r="X24">
        <v>7.2150019554695204</v>
      </c>
      <c r="Y24">
        <v>2881.2645676909024</v>
      </c>
      <c r="Z24">
        <v>9.6996416334229423</v>
      </c>
      <c r="AA24">
        <v>2731.5522039788007</v>
      </c>
      <c r="AB24">
        <v>7.240114466890315</v>
      </c>
      <c r="AC24">
        <v>2223.8942279366338</v>
      </c>
      <c r="AD24">
        <v>9.6820960876103292</v>
      </c>
      <c r="AE24">
        <v>2035.7591390655705</v>
      </c>
      <c r="AF24">
        <v>7.2295501811517084</v>
      </c>
      <c r="AG24">
        <v>2099.4779415046714</v>
      </c>
      <c r="AH24">
        <v>9.6779873308533837</v>
      </c>
      <c r="AI24">
        <v>1903.4346575381089</v>
      </c>
      <c r="AJ24">
        <v>7.2270740025875853</v>
      </c>
    </row>
    <row r="25" spans="4:36" x14ac:dyDescent="0.55000000000000004">
      <c r="D25">
        <v>18</v>
      </c>
      <c r="E25">
        <v>12.119306953317052</v>
      </c>
      <c r="F25">
        <v>0.45213096928436991</v>
      </c>
      <c r="G25">
        <v>0.1337568961955804</v>
      </c>
      <c r="H25">
        <v>17.294805181202999</v>
      </c>
      <c r="I25">
        <v>12.300787887158778</v>
      </c>
      <c r="J25">
        <v>0.3082346457707274</v>
      </c>
      <c r="K25">
        <v>9.0959941521380525E-2</v>
      </c>
      <c r="L25">
        <v>17.300017525549105</v>
      </c>
      <c r="M25">
        <v>12.220463766890933</v>
      </c>
      <c r="N25">
        <v>0.37194324425303388</v>
      </c>
      <c r="O25">
        <v>0.10988116073100308</v>
      </c>
      <c r="P25">
        <v>17.297711828125024</v>
      </c>
      <c r="Q25">
        <v>12.173835577759331</v>
      </c>
      <c r="R25">
        <v>0.40891189215051876</v>
      </c>
      <c r="S25">
        <v>0.12088011021615652</v>
      </c>
      <c r="T25">
        <v>17.296372419873972</v>
      </c>
      <c r="U25">
        <v>1462.2628326573711</v>
      </c>
      <c r="V25">
        <v>9.578925448194159</v>
      </c>
      <c r="W25">
        <v>1254.0791053630987</v>
      </c>
      <c r="X25">
        <v>7.1637580616338123</v>
      </c>
      <c r="Y25">
        <v>2859.3304884962631</v>
      </c>
      <c r="Z25">
        <v>9.6082891525910661</v>
      </c>
      <c r="AA25">
        <v>2718.5932352929558</v>
      </c>
      <c r="AB25">
        <v>7.1816601670480757</v>
      </c>
      <c r="AC25">
        <v>2187.1138951911221</v>
      </c>
      <c r="AD25">
        <v>9.5952917936094568</v>
      </c>
      <c r="AE25">
        <v>2013.0263548975172</v>
      </c>
      <c r="AF25">
        <v>7.1737430440918466</v>
      </c>
      <c r="AG25">
        <v>2060.7083389179734</v>
      </c>
      <c r="AH25">
        <v>9.5877474587119575</v>
      </c>
      <c r="AI25">
        <v>1878.0354634863277</v>
      </c>
      <c r="AJ25">
        <v>7.1691424904654868</v>
      </c>
    </row>
    <row r="26" spans="4:36" x14ac:dyDescent="0.55000000000000004">
      <c r="D26">
        <v>19</v>
      </c>
      <c r="E26">
        <v>11.616996989712085</v>
      </c>
      <c r="F26">
        <v>0.43122418075675423</v>
      </c>
      <c r="G26">
        <v>0.13467698843462722</v>
      </c>
      <c r="H26">
        <v>17.817101841096537</v>
      </c>
      <c r="I26">
        <v>11.830784657931758</v>
      </c>
      <c r="J26">
        <v>0.26402228238532144</v>
      </c>
      <c r="K26">
        <v>8.2191729509024314E-2</v>
      </c>
      <c r="L26">
        <v>17.823001330173902</v>
      </c>
      <c r="M26">
        <v>11.726374565635773</v>
      </c>
      <c r="N26">
        <v>0.34571005193757182</v>
      </c>
      <c r="O26">
        <v>0.10779089447037575</v>
      </c>
      <c r="P26">
        <v>17.820124487956289</v>
      </c>
      <c r="Q26">
        <v>11.705888403657431</v>
      </c>
      <c r="R26">
        <v>0.36173134709126459</v>
      </c>
      <c r="S26">
        <v>0.11282119659851297</v>
      </c>
      <c r="T26">
        <v>17.819559052652767</v>
      </c>
      <c r="U26">
        <v>1509.4812617390955</v>
      </c>
      <c r="V26">
        <v>9.184045071234376</v>
      </c>
      <c r="W26">
        <v>1290.0234993317265</v>
      </c>
      <c r="X26">
        <v>6.9256461789880435</v>
      </c>
      <c r="Y26">
        <v>2856.4034672425951</v>
      </c>
      <c r="Z26">
        <v>9.2207638743129543</v>
      </c>
      <c r="AA26">
        <v>2718.8450646998549</v>
      </c>
      <c r="AB26">
        <v>6.9483801289250264</v>
      </c>
      <c r="AC26">
        <v>2167.1779929590161</v>
      </c>
      <c r="AD26">
        <v>9.2028279908043622</v>
      </c>
      <c r="AE26">
        <v>1998.7702684985109</v>
      </c>
      <c r="AF26">
        <v>6.9372870675573148</v>
      </c>
      <c r="AG26">
        <v>2091.8240569199047</v>
      </c>
      <c r="AH26">
        <v>9.1993095016804212</v>
      </c>
      <c r="AI26">
        <v>1903.8413599435025</v>
      </c>
      <c r="AJ26">
        <v>6.9351083284678205</v>
      </c>
    </row>
    <row r="27" spans="4:36" x14ac:dyDescent="0.55000000000000004">
      <c r="D27">
        <v>20</v>
      </c>
      <c r="E27">
        <v>13.167344362987068</v>
      </c>
      <c r="F27">
        <v>0.48092742586338494</v>
      </c>
      <c r="G27">
        <v>0.18647158029249009</v>
      </c>
      <c r="H27">
        <v>16.165256630857066</v>
      </c>
      <c r="I27">
        <v>13.400158226445816</v>
      </c>
      <c r="J27">
        <v>0.3115595865813956</v>
      </c>
      <c r="K27">
        <v>0.12040068024470298</v>
      </c>
      <c r="L27">
        <v>16.167881506728065</v>
      </c>
      <c r="M27">
        <v>13.306033767114437</v>
      </c>
      <c r="N27">
        <v>0.38007051930992003</v>
      </c>
      <c r="O27">
        <v>0.147073265276988</v>
      </c>
      <c r="P27">
        <v>16.16682244829865</v>
      </c>
      <c r="Q27">
        <v>13.253766366282276</v>
      </c>
      <c r="R27">
        <v>0.41809302197271347</v>
      </c>
      <c r="S27">
        <v>0.16190751793043251</v>
      </c>
      <c r="T27">
        <v>16.166233093814576</v>
      </c>
      <c r="U27">
        <v>1614.0122148277296</v>
      </c>
      <c r="V27">
        <v>10.466366112976161</v>
      </c>
      <c r="W27">
        <v>1347.3984521727809</v>
      </c>
      <c r="X27">
        <v>7.6990559862679584</v>
      </c>
      <c r="Y27">
        <v>2935.0416424280993</v>
      </c>
      <c r="Z27">
        <v>10.507945747279607</v>
      </c>
      <c r="AA27">
        <v>2763.0154526698107</v>
      </c>
      <c r="AB27">
        <v>7.7238870637999568</v>
      </c>
      <c r="AC27">
        <v>2277.4398517725722</v>
      </c>
      <c r="AD27">
        <v>10.491134418861508</v>
      </c>
      <c r="AE27">
        <v>2065.3314718339593</v>
      </c>
      <c r="AF27">
        <v>7.7138579832202261</v>
      </c>
      <c r="AG27">
        <v>2160.1765991766761</v>
      </c>
      <c r="AH27">
        <v>10.481799698874287</v>
      </c>
      <c r="AI27">
        <v>1936.0983112280774</v>
      </c>
      <c r="AJ27">
        <v>7.708283050253673</v>
      </c>
    </row>
    <row r="28" spans="4:36" x14ac:dyDescent="0.55000000000000004">
      <c r="D28">
        <v>21</v>
      </c>
      <c r="E28">
        <v>11.158686686945746</v>
      </c>
      <c r="F28">
        <v>0.39773439074695061</v>
      </c>
      <c r="G28">
        <v>0.14046387484495523</v>
      </c>
      <c r="H28">
        <v>18.303115047462345</v>
      </c>
      <c r="I28">
        <v>11.308156107432486</v>
      </c>
      <c r="J28">
        <v>0.27669235022873095</v>
      </c>
      <c r="K28">
        <v>9.749249649348847E-2</v>
      </c>
      <c r="L28">
        <v>18.317659045845296</v>
      </c>
      <c r="M28">
        <v>11.249687924659174</v>
      </c>
      <c r="N28">
        <v>0.32405303338440211</v>
      </c>
      <c r="O28">
        <v>0.1142823282970557</v>
      </c>
      <c r="P28">
        <v>18.311976713659362</v>
      </c>
      <c r="Q28">
        <v>11.206782831385242</v>
      </c>
      <c r="R28">
        <v>0.35879704220796393</v>
      </c>
      <c r="S28">
        <v>0.12661882068503982</v>
      </c>
      <c r="T28">
        <v>18.307801305721775</v>
      </c>
      <c r="U28">
        <v>1447.6641273462876</v>
      </c>
      <c r="V28">
        <v>8.8704174918040977</v>
      </c>
      <c r="W28">
        <v>1248.9856119070889</v>
      </c>
      <c r="X28">
        <v>6.7402687318498575</v>
      </c>
      <c r="Y28">
        <v>2839.2672412193829</v>
      </c>
      <c r="Z28">
        <v>8.8882682533306472</v>
      </c>
      <c r="AA28">
        <v>2706.898965692641</v>
      </c>
      <c r="AB28">
        <v>6.7519438112475241</v>
      </c>
      <c r="AC28">
        <v>2149.3439268719476</v>
      </c>
      <c r="AD28">
        <v>8.8812814365956836</v>
      </c>
      <c r="AE28">
        <v>1989.5708225760052</v>
      </c>
      <c r="AF28">
        <v>6.7473793424486592</v>
      </c>
      <c r="AG28">
        <v>2041.2166613316328</v>
      </c>
      <c r="AH28">
        <v>8.876157724854</v>
      </c>
      <c r="AI28">
        <v>1868.4288681514358</v>
      </c>
      <c r="AJ28">
        <v>6.7440278163806235</v>
      </c>
    </row>
    <row r="29" spans="4:36" x14ac:dyDescent="0.55000000000000004">
      <c r="D29">
        <v>22</v>
      </c>
      <c r="E29">
        <v>13.498054256964611</v>
      </c>
      <c r="F29">
        <v>0.45349569914363846</v>
      </c>
      <c r="G29">
        <v>0.1689590146397861</v>
      </c>
      <c r="H29">
        <v>15.879491029251977</v>
      </c>
      <c r="I29">
        <v>13.741051458772425</v>
      </c>
      <c r="J29">
        <v>0.29456679879390479</v>
      </c>
      <c r="K29">
        <v>0.10936820629762517</v>
      </c>
      <c r="L29">
        <v>15.855013536136029</v>
      </c>
      <c r="M29">
        <v>13.657797517280924</v>
      </c>
      <c r="N29">
        <v>0.34906186988253957</v>
      </c>
      <c r="O29">
        <v>0.12975418311095827</v>
      </c>
      <c r="P29">
        <v>15.863386429725576</v>
      </c>
      <c r="Q29">
        <v>13.591239407095468</v>
      </c>
      <c r="R29">
        <v>0.39259555603204999</v>
      </c>
      <c r="S29">
        <v>0.14607480193711903</v>
      </c>
      <c r="T29">
        <v>15.870090234935377</v>
      </c>
      <c r="U29">
        <v>1605.4032056271601</v>
      </c>
      <c r="V29">
        <v>10.618590289375563</v>
      </c>
      <c r="W29">
        <v>1342.3104287404128</v>
      </c>
      <c r="X29">
        <v>7.781243510962085</v>
      </c>
      <c r="Y29">
        <v>2933.3243300226254</v>
      </c>
      <c r="Z29">
        <v>10.678750545073516</v>
      </c>
      <c r="AA29">
        <v>2762.4848509196308</v>
      </c>
      <c r="AB29">
        <v>7.8160279098053378</v>
      </c>
      <c r="AC29">
        <v>2270.3292283976175</v>
      </c>
      <c r="AD29">
        <v>10.658145830056675</v>
      </c>
      <c r="AE29">
        <v>2061.7910918014732</v>
      </c>
      <c r="AF29">
        <v>7.8041264348846306</v>
      </c>
      <c r="AG29">
        <v>2197.1184519538542</v>
      </c>
      <c r="AH29">
        <v>10.641668007243473</v>
      </c>
      <c r="AI29">
        <v>1964.6245681644289</v>
      </c>
      <c r="AJ29">
        <v>7.7945996678212319</v>
      </c>
    </row>
    <row r="30" spans="4:36" x14ac:dyDescent="0.55000000000000004">
      <c r="D30">
        <v>23</v>
      </c>
      <c r="E30">
        <v>12.295837371744948</v>
      </c>
      <c r="F30">
        <v>0.485811656890762</v>
      </c>
      <c r="G30">
        <v>0.14969339247546137</v>
      </c>
      <c r="H30">
        <v>17.068657578888811</v>
      </c>
      <c r="I30">
        <v>12.511890940196114</v>
      </c>
      <c r="J30">
        <v>0.31636614574518401</v>
      </c>
      <c r="K30">
        <v>9.718860945875947E-2</v>
      </c>
      <c r="L30">
        <v>17.07455430459995</v>
      </c>
      <c r="M30">
        <v>12.405035127564899</v>
      </c>
      <c r="N30">
        <v>0.40019935579156934</v>
      </c>
      <c r="O30">
        <v>0.12312521617038848</v>
      </c>
      <c r="P30">
        <v>17.071640300473153</v>
      </c>
      <c r="Q30">
        <v>12.414616398725933</v>
      </c>
      <c r="R30">
        <v>0.39268470764282765</v>
      </c>
      <c r="S30">
        <v>0.12079711674199523</v>
      </c>
      <c r="T30">
        <v>17.071901776889227</v>
      </c>
      <c r="U30">
        <v>1542.5996447155262</v>
      </c>
      <c r="V30">
        <v>9.6790581623884204</v>
      </c>
      <c r="W30">
        <v>1305.7616631050976</v>
      </c>
      <c r="X30">
        <v>7.2149915578721995</v>
      </c>
      <c r="Y30">
        <v>2917.8170706349192</v>
      </c>
      <c r="Z30">
        <v>9.7151952700035586</v>
      </c>
      <c r="AA30">
        <v>2757.6423972828129</v>
      </c>
      <c r="AB30">
        <v>7.2369747115991929</v>
      </c>
      <c r="AC30">
        <v>2219.5318853112644</v>
      </c>
      <c r="AD30">
        <v>9.6973209670015343</v>
      </c>
      <c r="AE30">
        <v>2030.1401736002676</v>
      </c>
      <c r="AF30">
        <v>7.2261114396394701</v>
      </c>
      <c r="AG30">
        <v>2122.8460109066709</v>
      </c>
      <c r="AH30">
        <v>9.698923546045167</v>
      </c>
      <c r="AI30">
        <v>1920.439064118983</v>
      </c>
      <c r="AJ30">
        <v>7.2270862269094032</v>
      </c>
    </row>
    <row r="31" spans="4:36" x14ac:dyDescent="0.55000000000000004">
      <c r="D31">
        <v>24</v>
      </c>
      <c r="E31">
        <v>12.41147613455319</v>
      </c>
      <c r="F31">
        <v>0.44554131197538971</v>
      </c>
      <c r="G31">
        <v>0.1431351102300378</v>
      </c>
      <c r="H31">
        <v>16.999847443241386</v>
      </c>
      <c r="I31">
        <v>12.641784655039707</v>
      </c>
      <c r="J31">
        <v>0.27806870759913965</v>
      </c>
      <c r="K31">
        <v>8.9027003116584846E-2</v>
      </c>
      <c r="L31">
        <v>16.991119634244569</v>
      </c>
      <c r="M31">
        <v>12.543530051779708</v>
      </c>
      <c r="N31">
        <v>0.34955442395059644</v>
      </c>
      <c r="O31">
        <v>0.11207705913637715</v>
      </c>
      <c r="P31">
        <v>16.994838465133334</v>
      </c>
      <c r="Q31">
        <v>12.505623536195165</v>
      </c>
      <c r="R31">
        <v>0.37711835899001522</v>
      </c>
      <c r="S31">
        <v>0.12098307839887235</v>
      </c>
      <c r="T31">
        <v>16.99627502641593</v>
      </c>
      <c r="U31">
        <v>1541.4029663619187</v>
      </c>
      <c r="V31">
        <v>9.7336787894718384</v>
      </c>
      <c r="W31">
        <v>1308.0213021385996</v>
      </c>
      <c r="X31">
        <v>7.247704478131304</v>
      </c>
      <c r="Y31">
        <v>2881.4365618970378</v>
      </c>
      <c r="Z31">
        <v>9.7797713860952928</v>
      </c>
      <c r="AA31">
        <v>2733.3953254800995</v>
      </c>
      <c r="AB31">
        <v>7.2751471361016815</v>
      </c>
      <c r="AC31">
        <v>2201.8744571468601</v>
      </c>
      <c r="AD31">
        <v>9.7601097428231238</v>
      </c>
      <c r="AE31">
        <v>2020.8589795864184</v>
      </c>
      <c r="AF31">
        <v>7.2634529521018214</v>
      </c>
      <c r="AG31">
        <v>2114.6863423747764</v>
      </c>
      <c r="AH31">
        <v>9.7525233287015727</v>
      </c>
      <c r="AI31">
        <v>1915.5769125784068</v>
      </c>
      <c r="AJ31">
        <v>7.2589360227538613</v>
      </c>
    </row>
    <row r="32" spans="4:36" x14ac:dyDescent="0.55000000000000004">
      <c r="D32">
        <v>25</v>
      </c>
      <c r="E32">
        <v>12.297727115050218</v>
      </c>
      <c r="F32">
        <v>0.4597605913503624</v>
      </c>
      <c r="G32">
        <v>0.16350987148354917</v>
      </c>
      <c r="H32">
        <v>17.07900242211586</v>
      </c>
      <c r="I32">
        <v>12.531779487717825</v>
      </c>
      <c r="J32">
        <v>0.28725751160181973</v>
      </c>
      <c r="K32">
        <v>0.10180661880450276</v>
      </c>
      <c r="L32">
        <v>17.079156381875862</v>
      </c>
      <c r="M32">
        <v>12.442512715779392</v>
      </c>
      <c r="N32">
        <v>0.35308688258615079</v>
      </c>
      <c r="O32">
        <v>0.12530212892123277</v>
      </c>
      <c r="P32">
        <v>17.079098272713232</v>
      </c>
      <c r="Q32">
        <v>12.383705167237368</v>
      </c>
      <c r="R32">
        <v>0.39642919542465876</v>
      </c>
      <c r="S32">
        <v>0.14080605556622078</v>
      </c>
      <c r="T32">
        <v>17.079059581771752</v>
      </c>
      <c r="U32">
        <v>1522.6431260075371</v>
      </c>
      <c r="V32">
        <v>9.6417524863556867</v>
      </c>
      <c r="W32">
        <v>1292.8602802532514</v>
      </c>
      <c r="X32">
        <v>7.1880559941291748</v>
      </c>
      <c r="Y32">
        <v>2869.293189685397</v>
      </c>
      <c r="Z32">
        <v>9.6834904669977835</v>
      </c>
      <c r="AA32">
        <v>2723.6075530692024</v>
      </c>
      <c r="AB32">
        <v>7.2132728581656753</v>
      </c>
      <c r="AC32">
        <v>2199.6502408255737</v>
      </c>
      <c r="AD32">
        <v>9.6675710985072829</v>
      </c>
      <c r="AE32">
        <v>2018.9110046798753</v>
      </c>
      <c r="AF32">
        <v>7.2036664359556513</v>
      </c>
      <c r="AG32">
        <v>2126.7988949347914</v>
      </c>
      <c r="AH32">
        <v>9.6570841018327478</v>
      </c>
      <c r="AI32">
        <v>1923.2013307286204</v>
      </c>
      <c r="AJ32">
        <v>7.1973303585316009</v>
      </c>
    </row>
    <row r="33" spans="4:36" x14ac:dyDescent="0.55000000000000004">
      <c r="D33">
        <v>26</v>
      </c>
      <c r="E33">
        <v>12.587985136075174</v>
      </c>
      <c r="F33">
        <v>0.469352076702932</v>
      </c>
      <c r="G33">
        <v>0.13632219172979668</v>
      </c>
      <c r="H33">
        <v>16.806340595492106</v>
      </c>
      <c r="I33">
        <v>12.775893377340886</v>
      </c>
      <c r="J33">
        <v>0.32013710802351936</v>
      </c>
      <c r="K33">
        <v>9.2740244935262728E-2</v>
      </c>
      <c r="L33">
        <v>16.81122926970033</v>
      </c>
      <c r="M33">
        <v>12.691552480096476</v>
      </c>
      <c r="N33">
        <v>0.38713132690046137</v>
      </c>
      <c r="O33">
        <v>0.11227899642040758</v>
      </c>
      <c r="P33">
        <v>16.809037196582647</v>
      </c>
      <c r="Q33">
        <v>12.656170571137483</v>
      </c>
      <c r="R33">
        <v>0.41522622956240152</v>
      </c>
      <c r="S33">
        <v>0.12048664768895068</v>
      </c>
      <c r="T33">
        <v>16.808116551611153</v>
      </c>
      <c r="U33">
        <v>1515.6974722646662</v>
      </c>
      <c r="V33">
        <v>9.9627047575623013</v>
      </c>
      <c r="W33">
        <v>1284.6753004040963</v>
      </c>
      <c r="X33">
        <v>7.3963500900653045</v>
      </c>
      <c r="Y33">
        <v>2903.602434166773</v>
      </c>
      <c r="Z33">
        <v>9.9949552704496885</v>
      </c>
      <c r="AA33">
        <v>2745.2973783951115</v>
      </c>
      <c r="AB33">
        <v>7.4158640764025581</v>
      </c>
      <c r="AC33">
        <v>2195.856255011724</v>
      </c>
      <c r="AD33">
        <v>9.9804787505542496</v>
      </c>
      <c r="AE33">
        <v>2011.7556908680542</v>
      </c>
      <c r="AF33">
        <v>7.4071121709306231</v>
      </c>
      <c r="AG33">
        <v>2120.5971350418736</v>
      </c>
      <c r="AH33">
        <v>9.9744062625263279</v>
      </c>
      <c r="AI33">
        <v>1915.1676952920607</v>
      </c>
      <c r="AJ33">
        <v>7.4034373809016438</v>
      </c>
    </row>
    <row r="34" spans="4:36" x14ac:dyDescent="0.55000000000000004">
      <c r="D34">
        <v>27</v>
      </c>
      <c r="E34">
        <v>12.046768520911701</v>
      </c>
      <c r="F34">
        <v>0.42884560118741333</v>
      </c>
      <c r="G34">
        <v>0.1640807580832023</v>
      </c>
      <c r="H34">
        <v>17.360305119817681</v>
      </c>
      <c r="I34">
        <v>12.221323944260174</v>
      </c>
      <c r="J34">
        <v>0.29683410739072552</v>
      </c>
      <c r="K34">
        <v>0.11327169368728562</v>
      </c>
      <c r="L34">
        <v>17.368570254661808</v>
      </c>
      <c r="M34">
        <v>12.151793081716667</v>
      </c>
      <c r="N34">
        <v>0.34943852470479658</v>
      </c>
      <c r="O34">
        <v>0.13348561994807775</v>
      </c>
      <c r="P34">
        <v>17.365282773630476</v>
      </c>
      <c r="Q34">
        <v>12.140114722460464</v>
      </c>
      <c r="R34">
        <v>0.35827132414098817</v>
      </c>
      <c r="S34">
        <v>0.13688396137697695</v>
      </c>
      <c r="T34">
        <v>17.364729992021577</v>
      </c>
      <c r="U34">
        <v>1507.2006804123941</v>
      </c>
      <c r="V34">
        <v>9.4683859154478451</v>
      </c>
      <c r="W34">
        <v>1283.7774579417155</v>
      </c>
      <c r="X34">
        <v>7.087551743760268</v>
      </c>
      <c r="Y34">
        <v>2906.2375110722701</v>
      </c>
      <c r="Z34">
        <v>9.4948890862771478</v>
      </c>
      <c r="AA34">
        <v>2750.6622754799541</v>
      </c>
      <c r="AB34">
        <v>7.1041005276706519</v>
      </c>
      <c r="AC34">
        <v>2193.6416099105177</v>
      </c>
      <c r="AD34">
        <v>9.4843285259517121</v>
      </c>
      <c r="AE34">
        <v>2014.7990172677839</v>
      </c>
      <c r="AF34">
        <v>7.0975132380914552</v>
      </c>
      <c r="AG34">
        <v>2091.299655198578</v>
      </c>
      <c r="AH34">
        <v>9.4825552366672579</v>
      </c>
      <c r="AI34">
        <v>1899.7112170680305</v>
      </c>
      <c r="AJ34">
        <v>7.0964062456812318</v>
      </c>
    </row>
    <row r="35" spans="4:36" x14ac:dyDescent="0.55000000000000004">
      <c r="D35">
        <v>28</v>
      </c>
      <c r="E35">
        <v>14.653817477540251</v>
      </c>
      <c r="F35">
        <v>0.45426749334325867</v>
      </c>
      <c r="G35">
        <v>0.18637005206612536</v>
      </c>
      <c r="H35">
        <v>14.705544977050362</v>
      </c>
      <c r="I35">
        <v>14.895844381159828</v>
      </c>
      <c r="J35">
        <v>0.30737893429591545</v>
      </c>
      <c r="K35">
        <v>0.12568968056367336</v>
      </c>
      <c r="L35">
        <v>14.671087003980565</v>
      </c>
      <c r="M35">
        <v>14.81444277002265</v>
      </c>
      <c r="N35">
        <v>0.35682667357133752</v>
      </c>
      <c r="O35">
        <v>0.14607116487861854</v>
      </c>
      <c r="P35">
        <v>14.682659391527421</v>
      </c>
      <c r="Q35">
        <v>14.697438086131653</v>
      </c>
      <c r="R35">
        <v>0.42782312800219624</v>
      </c>
      <c r="S35">
        <v>0.17541545370078751</v>
      </c>
      <c r="T35">
        <v>14.699323332165369</v>
      </c>
      <c r="U35">
        <v>1627.1386413715791</v>
      </c>
      <c r="V35">
        <v>11.528276664163144</v>
      </c>
      <c r="W35">
        <v>1349.4482517240415</v>
      </c>
      <c r="X35">
        <v>8.3169446520295125</v>
      </c>
      <c r="Y35">
        <v>2956.718193983766</v>
      </c>
      <c r="Z35">
        <v>11.594614315029693</v>
      </c>
      <c r="AA35">
        <v>2772.9288871149311</v>
      </c>
      <c r="AB35">
        <v>8.3544663092511158</v>
      </c>
      <c r="AC35">
        <v>2317.7476521946651</v>
      </c>
      <c r="AD35">
        <v>11.572312120029231</v>
      </c>
      <c r="AE35">
        <v>2088.7335251973695</v>
      </c>
      <c r="AF35">
        <v>8.3418626940648579</v>
      </c>
      <c r="AG35">
        <v>2234.8627503845973</v>
      </c>
      <c r="AH35">
        <v>11.54023893178962</v>
      </c>
      <c r="AI35">
        <v>1981.736881207024</v>
      </c>
      <c r="AJ35">
        <v>8.3237179362288121</v>
      </c>
    </row>
    <row r="36" spans="4:36" x14ac:dyDescent="0.55000000000000004">
      <c r="D36">
        <v>29</v>
      </c>
      <c r="E36">
        <v>12.253860544310861</v>
      </c>
      <c r="F36">
        <v>0.40484894258925613</v>
      </c>
      <c r="G36">
        <v>0.19838181095810697</v>
      </c>
      <c r="H36">
        <v>17.142908702141781</v>
      </c>
      <c r="I36">
        <v>12.417686333291092</v>
      </c>
      <c r="J36">
        <v>0.28991000492057717</v>
      </c>
      <c r="K36">
        <v>0.14168822137714984</v>
      </c>
      <c r="L36">
        <v>17.150715440411194</v>
      </c>
      <c r="M36">
        <v>12.375448682579306</v>
      </c>
      <c r="N36">
        <v>0.31955992971963426</v>
      </c>
      <c r="O36">
        <v>0.156284222640034</v>
      </c>
      <c r="P36">
        <v>17.148707165061019</v>
      </c>
      <c r="Q36">
        <v>12.309655318047778</v>
      </c>
      <c r="R36">
        <v>0.36572293589074761</v>
      </c>
      <c r="S36">
        <v>0.17904902116083446</v>
      </c>
      <c r="T36">
        <v>17.145572724900653</v>
      </c>
      <c r="U36">
        <v>1542.3725411375967</v>
      </c>
      <c r="V36">
        <v>9.5971000837377201</v>
      </c>
      <c r="W36">
        <v>1306.8792000173214</v>
      </c>
      <c r="X36">
        <v>7.160227036263378</v>
      </c>
      <c r="Y36">
        <v>2901.4152913679291</v>
      </c>
      <c r="Z36">
        <v>9.6222481006245442</v>
      </c>
      <c r="AA36">
        <v>2743.8665007162449</v>
      </c>
      <c r="AB36">
        <v>7.1758302264610094</v>
      </c>
      <c r="AC36">
        <v>2230.5928972553475</v>
      </c>
      <c r="AD36">
        <v>9.6157620235590109</v>
      </c>
      <c r="AE36">
        <v>2040.7930386222865</v>
      </c>
      <c r="AF36">
        <v>7.1718105971201807</v>
      </c>
      <c r="AG36">
        <v>2109.8850705168265</v>
      </c>
      <c r="AH36">
        <v>9.6056620121128429</v>
      </c>
      <c r="AI36">
        <v>1908.3588006755504</v>
      </c>
      <c r="AJ36">
        <v>7.1655448340776795</v>
      </c>
    </row>
    <row r="37" spans="4:36" x14ac:dyDescent="0.55000000000000004">
      <c r="D37">
        <v>30</v>
      </c>
      <c r="E37">
        <v>14.881571790111877</v>
      </c>
      <c r="F37">
        <v>0.47758757066837232</v>
      </c>
      <c r="G37">
        <v>0.17414856210154617</v>
      </c>
      <c r="H37">
        <v>14.4666920771182</v>
      </c>
      <c r="I37">
        <v>15.086234691460083</v>
      </c>
      <c r="J37">
        <v>0.34760731009410784</v>
      </c>
      <c r="K37">
        <v>0.12643485260659706</v>
      </c>
      <c r="L37">
        <v>14.439723145839221</v>
      </c>
      <c r="M37">
        <v>15.006252853602755</v>
      </c>
      <c r="N37">
        <v>0.3984353592468507</v>
      </c>
      <c r="O37">
        <v>0.14506405717759532</v>
      </c>
      <c r="P37">
        <v>14.450247729972784</v>
      </c>
      <c r="Q37">
        <v>14.957806021109718</v>
      </c>
      <c r="R37">
        <v>0.42920313568977991</v>
      </c>
      <c r="S37">
        <v>0.15635891002457195</v>
      </c>
      <c r="T37">
        <v>14.456631933175938</v>
      </c>
      <c r="U37">
        <v>1694.0389342240251</v>
      </c>
      <c r="V37">
        <v>11.595315028512589</v>
      </c>
      <c r="W37">
        <v>1393.9412869182929</v>
      </c>
      <c r="X37">
        <v>8.3395986093927803</v>
      </c>
      <c r="Y37">
        <v>2996.0833074726211</v>
      </c>
      <c r="Z37">
        <v>11.648172553915746</v>
      </c>
      <c r="AA37">
        <v>2796.843838084425</v>
      </c>
      <c r="AB37">
        <v>8.3692749261743025</v>
      </c>
      <c r="AC37">
        <v>2335.5609522246127</v>
      </c>
      <c r="AD37">
        <v>11.627524008545588</v>
      </c>
      <c r="AE37">
        <v>2096.6880050445911</v>
      </c>
      <c r="AF37">
        <v>8.3576892948196981</v>
      </c>
      <c r="AG37">
        <v>2241.6293045994003</v>
      </c>
      <c r="AH37">
        <v>11.615011691948007</v>
      </c>
      <c r="AI37">
        <v>1984.5840318430273</v>
      </c>
      <c r="AJ37">
        <v>8.3506642644579578</v>
      </c>
    </row>
    <row r="38" spans="4:36" x14ac:dyDescent="0.55000000000000004">
      <c r="D38">
        <v>31</v>
      </c>
      <c r="E38">
        <v>12.824473545664571</v>
      </c>
      <c r="F38">
        <v>0.42788161973758737</v>
      </c>
      <c r="G38">
        <v>0.17198913373779862</v>
      </c>
      <c r="H38">
        <v>16.575655700860032</v>
      </c>
      <c r="I38">
        <v>13.029671613684515</v>
      </c>
      <c r="J38">
        <v>0.28524931210585891</v>
      </c>
      <c r="K38">
        <v>0.11429441657715003</v>
      </c>
      <c r="L38">
        <v>16.570784657632473</v>
      </c>
      <c r="M38">
        <v>12.924826019325653</v>
      </c>
      <c r="N38">
        <v>0.35816007755712176</v>
      </c>
      <c r="O38">
        <v>0.14374039248155704</v>
      </c>
      <c r="P38">
        <v>16.573273510635673</v>
      </c>
      <c r="Q38">
        <v>12.880356329749748</v>
      </c>
      <c r="R38">
        <v>0.38906397471401505</v>
      </c>
      <c r="S38">
        <v>0.15625055107635286</v>
      </c>
      <c r="T38">
        <v>16.574329144459881</v>
      </c>
      <c r="U38">
        <v>1544.7047286017589</v>
      </c>
      <c r="V38">
        <v>10.139687394067717</v>
      </c>
      <c r="W38">
        <v>1307.3431255196829</v>
      </c>
      <c r="X38">
        <v>7.5027165868527943</v>
      </c>
      <c r="Y38">
        <v>2887.5987531417668</v>
      </c>
      <c r="Z38">
        <v>10.181306513652563</v>
      </c>
      <c r="AA38">
        <v>2734.6207473494378</v>
      </c>
      <c r="AB38">
        <v>7.5274882067937305</v>
      </c>
      <c r="AC38">
        <v>2202.012548634144</v>
      </c>
      <c r="AD38">
        <v>10.160041807252691</v>
      </c>
      <c r="AE38">
        <v>2016.8661614337448</v>
      </c>
      <c r="AF38">
        <v>7.5148412264755553</v>
      </c>
      <c r="AG38">
        <v>2121.5250492854902</v>
      </c>
      <c r="AH38">
        <v>10.151022175356383</v>
      </c>
      <c r="AI38">
        <v>1915.9784186440884</v>
      </c>
      <c r="AJ38">
        <v>7.5094707609438416</v>
      </c>
    </row>
    <row r="39" spans="4:36" x14ac:dyDescent="0.55000000000000004">
      <c r="D39">
        <v>32</v>
      </c>
      <c r="E39">
        <v>11.535004533810081</v>
      </c>
      <c r="F39">
        <v>0.36192115091356264</v>
      </c>
      <c r="G39">
        <v>0.13976664193115942</v>
      </c>
      <c r="H39">
        <v>17.963307673345199</v>
      </c>
      <c r="I39">
        <v>11.698782589552241</v>
      </c>
      <c r="J39">
        <v>0.24544360474261931</v>
      </c>
      <c r="K39">
        <v>9.4543898074786997E-2</v>
      </c>
      <c r="L39">
        <v>17.961229907630354</v>
      </c>
      <c r="M39">
        <v>11.617244768189822</v>
      </c>
      <c r="N39">
        <v>0.30345407837407901</v>
      </c>
      <c r="O39">
        <v>0.1170374200120507</v>
      </c>
      <c r="P39">
        <v>17.962263733424049</v>
      </c>
      <c r="Q39">
        <v>11.580313128042127</v>
      </c>
      <c r="R39">
        <v>0.32971528205954642</v>
      </c>
      <c r="S39">
        <v>0.12723920469834588</v>
      </c>
      <c r="T39">
        <v>17.96273238519996</v>
      </c>
      <c r="U39">
        <v>1421.6144631822203</v>
      </c>
      <c r="V39">
        <v>9.0221802856658027</v>
      </c>
      <c r="W39">
        <v>1230.72403711026</v>
      </c>
      <c r="X39">
        <v>6.8196611201668489</v>
      </c>
      <c r="Y39">
        <v>2831.6174923074677</v>
      </c>
      <c r="Z39">
        <v>9.0545158904613015</v>
      </c>
      <c r="AA39">
        <v>2702.7998505292867</v>
      </c>
      <c r="AB39">
        <v>6.8392865412817985</v>
      </c>
      <c r="AC39">
        <v>2138.6276970831063</v>
      </c>
      <c r="AD39">
        <v>9.038418247124639</v>
      </c>
      <c r="AE39">
        <v>1982.0601245085786</v>
      </c>
      <c r="AF39">
        <v>6.8295235519181858</v>
      </c>
      <c r="AG39">
        <v>2046.3520286112109</v>
      </c>
      <c r="AH39">
        <v>9.0311264672148699</v>
      </c>
      <c r="AI39">
        <v>1873.6124617888286</v>
      </c>
      <c r="AJ39">
        <v>6.8250965443858922</v>
      </c>
    </row>
    <row r="40" spans="4:36" x14ac:dyDescent="0.55000000000000004">
      <c r="D40">
        <v>33</v>
      </c>
      <c r="E40">
        <v>12.873581071505178</v>
      </c>
      <c r="F40">
        <v>0.50606360496522107</v>
      </c>
      <c r="G40">
        <v>0.17780739709052046</v>
      </c>
      <c r="H40">
        <v>16.442547926439087</v>
      </c>
      <c r="I40">
        <v>13.131840431834805</v>
      </c>
      <c r="J40">
        <v>0.31403364345749502</v>
      </c>
      <c r="K40">
        <v>0.10995680648776456</v>
      </c>
      <c r="L40">
        <v>16.444169118219946</v>
      </c>
      <c r="M40">
        <v>13.029504408670073</v>
      </c>
      <c r="N40">
        <v>0.39016999423971999</v>
      </c>
      <c r="O40">
        <v>0.13680147318274871</v>
      </c>
      <c r="P40">
        <v>16.443524123907441</v>
      </c>
      <c r="Q40">
        <v>13.028973596121567</v>
      </c>
      <c r="R40">
        <v>0.39056476075875624</v>
      </c>
      <c r="S40">
        <v>0.136940855979023</v>
      </c>
      <c r="T40">
        <v>16.443520787140649</v>
      </c>
      <c r="U40">
        <v>1581.0982489167791</v>
      </c>
      <c r="V40">
        <v>10.162691754212018</v>
      </c>
      <c r="W40">
        <v>1326.2320260448714</v>
      </c>
      <c r="X40">
        <v>7.5061460843230137</v>
      </c>
      <c r="Y40">
        <v>2916.3434334622384</v>
      </c>
      <c r="Z40">
        <v>10.20774474784408</v>
      </c>
      <c r="AA40">
        <v>2752.3128718106882</v>
      </c>
      <c r="AB40">
        <v>7.5329866572837831</v>
      </c>
      <c r="AC40">
        <v>2243.7428901935327</v>
      </c>
      <c r="AD40">
        <v>10.189893404076207</v>
      </c>
      <c r="AE40">
        <v>2043.6596253545893</v>
      </c>
      <c r="AF40">
        <v>7.5223639890154033</v>
      </c>
      <c r="AG40">
        <v>2125.0636377191631</v>
      </c>
      <c r="AH40">
        <v>10.18980080641659</v>
      </c>
      <c r="AI40">
        <v>1916.6319369231137</v>
      </c>
      <c r="AJ40">
        <v>7.5223088455706284</v>
      </c>
    </row>
    <row r="41" spans="4:36" x14ac:dyDescent="0.55000000000000004">
      <c r="D41">
        <v>34</v>
      </c>
      <c r="E41">
        <v>14.129602102803279</v>
      </c>
      <c r="F41">
        <v>0.49301596610408077</v>
      </c>
      <c r="G41">
        <v>0.16437068451799342</v>
      </c>
      <c r="H41">
        <v>15.213011246574654</v>
      </c>
      <c r="I41">
        <v>14.393641367853052</v>
      </c>
      <c r="J41">
        <v>0.32062332924206838</v>
      </c>
      <c r="K41">
        <v>0.10652078103256858</v>
      </c>
      <c r="L41">
        <v>15.179214521872325</v>
      </c>
      <c r="M41">
        <v>14.294326223259111</v>
      </c>
      <c r="N41">
        <v>0.38551938720226298</v>
      </c>
      <c r="O41">
        <v>0.12824956377041324</v>
      </c>
      <c r="P41">
        <v>15.19190482576821</v>
      </c>
      <c r="Q41">
        <v>14.230271549133715</v>
      </c>
      <c r="R41">
        <v>0.42734141443615081</v>
      </c>
      <c r="S41">
        <v>0.14228345034217524</v>
      </c>
      <c r="T41">
        <v>15.200103586087954</v>
      </c>
      <c r="U41">
        <v>1613.8505213117458</v>
      </c>
      <c r="V41">
        <v>11.026068901782443</v>
      </c>
      <c r="W41">
        <v>1343.7888590279306</v>
      </c>
      <c r="X41">
        <v>8.0081885064842773</v>
      </c>
      <c r="Y41">
        <v>2962.5125509557784</v>
      </c>
      <c r="Z41">
        <v>11.094536869485003</v>
      </c>
      <c r="AA41">
        <v>2780.6612041683647</v>
      </c>
      <c r="AB41">
        <v>8.0470899774244611</v>
      </c>
      <c r="AC41">
        <v>2292.9302081707719</v>
      </c>
      <c r="AD41">
        <v>11.068795732853946</v>
      </c>
      <c r="AE41">
        <v>2074.0760513809228</v>
      </c>
      <c r="AF41">
        <v>8.0324781297349883</v>
      </c>
      <c r="AG41">
        <v>2215.4500896015561</v>
      </c>
      <c r="AH41">
        <v>11.052185820631456</v>
      </c>
      <c r="AI41">
        <v>1973.7811137685803</v>
      </c>
      <c r="AJ41">
        <v>8.0230409792022037</v>
      </c>
    </row>
    <row r="42" spans="4:36" x14ac:dyDescent="0.55000000000000004">
      <c r="D42">
        <v>35</v>
      </c>
      <c r="E42">
        <v>12.441237927075498</v>
      </c>
      <c r="F42">
        <v>0.41671906649890061</v>
      </c>
      <c r="G42">
        <v>0.1666507540855478</v>
      </c>
      <c r="H42">
        <v>16.97539225234005</v>
      </c>
      <c r="I42">
        <v>12.658095154127373</v>
      </c>
      <c r="J42">
        <v>0.27240665695130195</v>
      </c>
      <c r="K42">
        <v>0.10857811461207895</v>
      </c>
      <c r="L42">
        <v>16.960920074309247</v>
      </c>
      <c r="M42">
        <v>12.571100395848525</v>
      </c>
      <c r="N42">
        <v>0.33033767316838109</v>
      </c>
      <c r="O42">
        <v>0.13184316680578428</v>
      </c>
      <c r="P42">
        <v>16.966718764177322</v>
      </c>
      <c r="Q42">
        <v>12.535085454056361</v>
      </c>
      <c r="R42">
        <v>0.35430549781348436</v>
      </c>
      <c r="S42">
        <v>0.14148695312135531</v>
      </c>
      <c r="T42">
        <v>16.9691220950088</v>
      </c>
      <c r="U42">
        <v>1505.1320263980454</v>
      </c>
      <c r="V42">
        <v>9.8380221499391265</v>
      </c>
      <c r="W42">
        <v>1282.4155354104639</v>
      </c>
      <c r="X42">
        <v>7.3241983913300368</v>
      </c>
      <c r="Y42">
        <v>2893.1360386461888</v>
      </c>
      <c r="Z42">
        <v>9.8880028866679339</v>
      </c>
      <c r="AA42">
        <v>2742.1490187785889</v>
      </c>
      <c r="AB42">
        <v>7.3537602163869638</v>
      </c>
      <c r="AC42">
        <v>2187.6275403128511</v>
      </c>
      <c r="AD42">
        <v>9.867956491338342</v>
      </c>
      <c r="AE42">
        <v>2011.1700013811355</v>
      </c>
      <c r="AF42">
        <v>7.3419150741481527</v>
      </c>
      <c r="AG42">
        <v>2088.0200138199907</v>
      </c>
      <c r="AH42">
        <v>9.8596559445643166</v>
      </c>
      <c r="AI42">
        <v>1896.8218347266481</v>
      </c>
      <c r="AJ42">
        <v>7.3370058702533063</v>
      </c>
    </row>
    <row r="43" spans="4:36" x14ac:dyDescent="0.55000000000000004">
      <c r="D43">
        <v>36</v>
      </c>
      <c r="E43">
        <v>12.651063855104512</v>
      </c>
      <c r="F43">
        <v>0.41364733730953102</v>
      </c>
      <c r="G43">
        <v>0.16477660934111954</v>
      </c>
      <c r="H43">
        <v>16.770512198244848</v>
      </c>
      <c r="I43">
        <v>12.839602970440549</v>
      </c>
      <c r="J43">
        <v>0.28654258493962365</v>
      </c>
      <c r="K43">
        <v>0.11382069239735616</v>
      </c>
      <c r="L43">
        <v>16.760033752222483</v>
      </c>
      <c r="M43">
        <v>12.772710621454202</v>
      </c>
      <c r="N43">
        <v>0.33166541276385886</v>
      </c>
      <c r="O43">
        <v>0.13187669556883122</v>
      </c>
      <c r="P43">
        <v>16.763747270213106</v>
      </c>
      <c r="Q43">
        <v>12.722523733810691</v>
      </c>
      <c r="R43">
        <v>0.36550000637719438</v>
      </c>
      <c r="S43">
        <v>0.14543987530303282</v>
      </c>
      <c r="T43">
        <v>16.766536384509084</v>
      </c>
      <c r="U43">
        <v>1512.4930653135452</v>
      </c>
      <c r="V43">
        <v>10.00856719215145</v>
      </c>
      <c r="W43">
        <v>1285.3550475719246</v>
      </c>
      <c r="X43">
        <v>7.4277240368328776</v>
      </c>
      <c r="Y43">
        <v>2892.5722584718951</v>
      </c>
      <c r="Z43">
        <v>10.050850918126059</v>
      </c>
      <c r="AA43">
        <v>2738.7912874801345</v>
      </c>
      <c r="AB43">
        <v>7.4527069496367515</v>
      </c>
      <c r="AC43">
        <v>2196.6569957793945</v>
      </c>
      <c r="AD43">
        <v>10.035851362736308</v>
      </c>
      <c r="AE43">
        <v>2015.6224130717017</v>
      </c>
      <c r="AF43">
        <v>7.4438525924012664</v>
      </c>
      <c r="AG43">
        <v>2096.9282765167773</v>
      </c>
      <c r="AH43">
        <v>10.024596005975072</v>
      </c>
      <c r="AI43">
        <v>1900.2388113919781</v>
      </c>
      <c r="AJ43">
        <v>7.4372027228049982</v>
      </c>
    </row>
    <row r="44" spans="4:36" x14ac:dyDescent="0.55000000000000004">
      <c r="D44">
        <v>37</v>
      </c>
      <c r="E44">
        <v>12.750897660821352</v>
      </c>
      <c r="F44">
        <v>0.44988272128693713</v>
      </c>
      <c r="G44">
        <v>0.18101788512762415</v>
      </c>
      <c r="H44">
        <v>16.618201732764092</v>
      </c>
      <c r="I44">
        <v>12.981838100523845</v>
      </c>
      <c r="J44">
        <v>0.29022062721858594</v>
      </c>
      <c r="K44">
        <v>0.1163823626963635</v>
      </c>
      <c r="L44">
        <v>16.6115589095612</v>
      </c>
      <c r="M44">
        <v>12.881086333586437</v>
      </c>
      <c r="N44">
        <v>0.3599176588126296</v>
      </c>
      <c r="O44">
        <v>0.1445432261299302</v>
      </c>
      <c r="P44">
        <v>16.614452781471002</v>
      </c>
      <c r="Q44">
        <v>12.84509074380213</v>
      </c>
      <c r="R44">
        <v>0.38480273322891401</v>
      </c>
      <c r="S44">
        <v>0.1546182864351302</v>
      </c>
      <c r="T44">
        <v>16.615488236533839</v>
      </c>
      <c r="U44">
        <v>1538.5216585746778</v>
      </c>
      <c r="V44">
        <v>10.021002555864465</v>
      </c>
      <c r="W44">
        <v>1299.1039877681578</v>
      </c>
      <c r="X44">
        <v>7.4201330008172706</v>
      </c>
      <c r="Y44">
        <v>2909.9759476075815</v>
      </c>
      <c r="Z44">
        <v>10.066881117198449</v>
      </c>
      <c r="AA44">
        <v>2749.5876043073113</v>
      </c>
      <c r="AB44">
        <v>7.4473817167225675</v>
      </c>
      <c r="AC44">
        <v>2241.4974875373673</v>
      </c>
      <c r="AD44">
        <v>10.046867634045412</v>
      </c>
      <c r="AE44">
        <v>2044.5236375536449</v>
      </c>
      <c r="AF44">
        <v>7.4355066932657596</v>
      </c>
      <c r="AG44">
        <v>2138.2232556149934</v>
      </c>
      <c r="AH44">
        <v>10.039716729915996</v>
      </c>
      <c r="AI44">
        <v>1927.0408581364018</v>
      </c>
      <c r="AJ44">
        <v>7.4312593572144001</v>
      </c>
    </row>
    <row r="45" spans="4:36" x14ac:dyDescent="0.55000000000000004">
      <c r="D45">
        <v>38</v>
      </c>
      <c r="E45">
        <v>12.88655228020178</v>
      </c>
      <c r="F45">
        <v>0.46473434662145685</v>
      </c>
      <c r="G45">
        <v>0.17375151122928559</v>
      </c>
      <c r="H45">
        <v>16.474961861947488</v>
      </c>
      <c r="I45">
        <v>13.114556769679842</v>
      </c>
      <c r="J45">
        <v>0.29847612259983314</v>
      </c>
      <c r="K45">
        <v>0.11122720237254521</v>
      </c>
      <c r="L45">
        <v>16.475739905347776</v>
      </c>
      <c r="M45">
        <v>13.004009498777352</v>
      </c>
      <c r="N45">
        <v>0.37912316473825802</v>
      </c>
      <c r="O45">
        <v>0.14150401877435009</v>
      </c>
      <c r="P45">
        <v>16.475363317710041</v>
      </c>
      <c r="Q45">
        <v>12.995640849897626</v>
      </c>
      <c r="R45">
        <v>0.38522546232068433</v>
      </c>
      <c r="S45">
        <v>0.14379892767105951</v>
      </c>
      <c r="T45">
        <v>16.475334760110627</v>
      </c>
      <c r="U45">
        <v>1551.5594352480839</v>
      </c>
      <c r="V45">
        <v>10.115258996408453</v>
      </c>
      <c r="W45">
        <v>1307.6669827426292</v>
      </c>
      <c r="X45">
        <v>7.4736782173753227</v>
      </c>
      <c r="Y45">
        <v>2885.0314521767727</v>
      </c>
      <c r="Z45">
        <v>10.155878701275668</v>
      </c>
      <c r="AA45">
        <v>2730.4565566076189</v>
      </c>
      <c r="AB45">
        <v>7.4979071329522995</v>
      </c>
      <c r="AC45">
        <v>2227.8634482373086</v>
      </c>
      <c r="AD45">
        <v>10.136184547948407</v>
      </c>
      <c r="AE45">
        <v>2032.8971593404576</v>
      </c>
      <c r="AF45">
        <v>7.4861704395772373</v>
      </c>
      <c r="AG45">
        <v>2137.7074243439429</v>
      </c>
      <c r="AH45">
        <v>10.13469364713947</v>
      </c>
      <c r="AI45">
        <v>1926.6238173087959</v>
      </c>
      <c r="AJ45">
        <v>7.4852811384748072</v>
      </c>
    </row>
    <row r="46" spans="4:36" x14ac:dyDescent="0.55000000000000004">
      <c r="D46">
        <v>39</v>
      </c>
      <c r="E46">
        <v>11.379180177440951</v>
      </c>
      <c r="F46">
        <v>0.38842185249572164</v>
      </c>
      <c r="G46">
        <v>0.15737350120349161</v>
      </c>
      <c r="H46">
        <v>18.075024468859841</v>
      </c>
      <c r="I46">
        <v>11.532507656212267</v>
      </c>
      <c r="J46">
        <v>0.27319846388426178</v>
      </c>
      <c r="K46">
        <v>0.11041854059953389</v>
      </c>
      <c r="L46">
        <v>18.08387533930393</v>
      </c>
      <c r="M46">
        <v>11.472331853704475</v>
      </c>
      <c r="N46">
        <v>0.31843588655758354</v>
      </c>
      <c r="O46">
        <v>0.12882556987846702</v>
      </c>
      <c r="P46">
        <v>18.080406689859487</v>
      </c>
      <c r="Q46">
        <v>11.446438730525003</v>
      </c>
      <c r="R46">
        <v>0.33789474075350084</v>
      </c>
      <c r="S46">
        <v>0.13675435658547178</v>
      </c>
      <c r="T46">
        <v>18.078912172136018</v>
      </c>
      <c r="U46">
        <v>1471.3573835106861</v>
      </c>
      <c r="V46">
        <v>8.9301824342192866</v>
      </c>
      <c r="W46">
        <v>1263.3550776143804</v>
      </c>
      <c r="X46">
        <v>6.7620196073828369</v>
      </c>
      <c r="Y46">
        <v>2854.3817839399926</v>
      </c>
      <c r="Z46">
        <v>8.9543106125025105</v>
      </c>
      <c r="AA46">
        <v>2715.6249877366445</v>
      </c>
      <c r="AB46">
        <v>6.7772369871056126</v>
      </c>
      <c r="AC46">
        <v>2165.8825451986809</v>
      </c>
      <c r="AD46">
        <v>8.94483838626563</v>
      </c>
      <c r="AE46">
        <v>1998.9992332315508</v>
      </c>
      <c r="AF46">
        <v>6.7712688754889445</v>
      </c>
      <c r="AG46">
        <v>2083.5395602909794</v>
      </c>
      <c r="AH46">
        <v>8.9407636559763226</v>
      </c>
      <c r="AI46">
        <v>1898.539894064596</v>
      </c>
      <c r="AJ46">
        <v>6.768699188905658</v>
      </c>
    </row>
    <row r="47" spans="4:36" x14ac:dyDescent="0.55000000000000004">
      <c r="D47">
        <v>40</v>
      </c>
      <c r="E47">
        <v>14.637641869232018</v>
      </c>
      <c r="F47">
        <v>0.49105901067920571</v>
      </c>
      <c r="G47">
        <v>0.18742293418208902</v>
      </c>
      <c r="H47">
        <v>14.683876185906684</v>
      </c>
      <c r="I47">
        <v>14.913325544851709</v>
      </c>
      <c r="J47">
        <v>0.31744590869734124</v>
      </c>
      <c r="K47">
        <v>0.12071912727716581</v>
      </c>
      <c r="L47">
        <v>14.648509419173795</v>
      </c>
      <c r="M47">
        <v>14.812218572247263</v>
      </c>
      <c r="N47">
        <v>0.38117625458761595</v>
      </c>
      <c r="O47">
        <v>0.14514753242516498</v>
      </c>
      <c r="P47">
        <v>14.661457640739968</v>
      </c>
      <c r="Q47">
        <v>14.755470201652901</v>
      </c>
      <c r="R47">
        <v>0.41691702449943507</v>
      </c>
      <c r="S47">
        <v>0.15887628365497825</v>
      </c>
      <c r="T47">
        <v>14.668736490192671</v>
      </c>
      <c r="U47">
        <v>1659.1618721266527</v>
      </c>
      <c r="V47">
        <v>11.562440016113479</v>
      </c>
      <c r="W47">
        <v>1373.76028179936</v>
      </c>
      <c r="X47">
        <v>8.340435356969861</v>
      </c>
      <c r="Y47">
        <v>2966.3610156670707</v>
      </c>
      <c r="Z47">
        <v>11.635919283021916</v>
      </c>
      <c r="AA47">
        <v>2781.5924686859876</v>
      </c>
      <c r="AB47">
        <v>8.3819417963848331</v>
      </c>
      <c r="AC47">
        <v>2290.0111279898174</v>
      </c>
      <c r="AD47">
        <v>11.608983758044536</v>
      </c>
      <c r="AE47">
        <v>2069.7503083209895</v>
      </c>
      <c r="AF47">
        <v>8.3667407414022037</v>
      </c>
      <c r="AG47">
        <v>2222.2985899183163</v>
      </c>
      <c r="AH47">
        <v>11.593859072203038</v>
      </c>
      <c r="AI47">
        <v>1976.674892761876</v>
      </c>
      <c r="AJ47">
        <v>8.3581980106624609</v>
      </c>
    </row>
    <row r="48" spans="4:36" x14ac:dyDescent="0.55000000000000004">
      <c r="D48">
        <v>41</v>
      </c>
      <c r="E48">
        <v>12.282324813869515</v>
      </c>
      <c r="F48">
        <v>0.44909607253372941</v>
      </c>
      <c r="G48">
        <v>0.14031000934899537</v>
      </c>
      <c r="H48">
        <v>17.128269104247764</v>
      </c>
      <c r="I48">
        <v>12.472339447583119</v>
      </c>
      <c r="J48">
        <v>0.30439337128191946</v>
      </c>
      <c r="K48">
        <v>9.4832367290210481E-2</v>
      </c>
      <c r="L48">
        <v>17.128434813844773</v>
      </c>
      <c r="M48">
        <v>12.384995454484006</v>
      </c>
      <c r="N48">
        <v>0.37093286274453796</v>
      </c>
      <c r="O48">
        <v>0.11571222808956287</v>
      </c>
      <c r="P48">
        <v>17.128359454681888</v>
      </c>
      <c r="Q48">
        <v>12.358728599751331</v>
      </c>
      <c r="R48">
        <v>0.3909352318185797</v>
      </c>
      <c r="S48">
        <v>0.12199964571774889</v>
      </c>
      <c r="T48">
        <v>17.128336522712345</v>
      </c>
      <c r="U48">
        <v>1534.2110521493789</v>
      </c>
      <c r="V48">
        <v>9.6774368184544901</v>
      </c>
      <c r="W48">
        <v>1302.5149064878296</v>
      </c>
      <c r="X48">
        <v>7.2202330661546767</v>
      </c>
      <c r="Y48">
        <v>2882.8862566924072</v>
      </c>
      <c r="Z48">
        <v>9.7134991796674157</v>
      </c>
      <c r="AA48">
        <v>2732.5776013616278</v>
      </c>
      <c r="AB48">
        <v>7.2420039076219931</v>
      </c>
      <c r="AC48">
        <v>2190.1760383177129</v>
      </c>
      <c r="AD48">
        <v>9.6969221076531866</v>
      </c>
      <c r="AE48">
        <v>2010.5770570620848</v>
      </c>
      <c r="AF48">
        <v>7.2320048969645407</v>
      </c>
      <c r="AG48">
        <v>2087.9954092386974</v>
      </c>
      <c r="AH48">
        <v>9.6919370015617723</v>
      </c>
      <c r="AI48">
        <v>1894.6609822481046</v>
      </c>
      <c r="AJ48">
        <v>7.2289951252044515</v>
      </c>
    </row>
    <row r="49" spans="4:36" x14ac:dyDescent="0.55000000000000004">
      <c r="D49">
        <v>42</v>
      </c>
      <c r="E49">
        <v>13.302920158414024</v>
      </c>
      <c r="F49">
        <v>0.44922073126067685</v>
      </c>
      <c r="G49">
        <v>0.14658392042721052</v>
      </c>
      <c r="H49">
        <v>16.101275189898089</v>
      </c>
      <c r="I49">
        <v>13.567095930156222</v>
      </c>
      <c r="J49">
        <v>0.277680390182246</v>
      </c>
      <c r="K49">
        <v>9.0286210749705706E-2</v>
      </c>
      <c r="L49">
        <v>16.064937468911829</v>
      </c>
      <c r="M49">
        <v>13.4559475965745</v>
      </c>
      <c r="N49">
        <v>0.34991091354633685</v>
      </c>
      <c r="O49">
        <v>0.11394175246769844</v>
      </c>
      <c r="P49">
        <v>16.080199737411455</v>
      </c>
      <c r="Q49">
        <v>13.43731010004297</v>
      </c>
      <c r="R49">
        <v>0.36201451278146668</v>
      </c>
      <c r="S49">
        <v>0.11791272661293774</v>
      </c>
      <c r="T49">
        <v>16.082762660562622</v>
      </c>
      <c r="U49">
        <v>1591.6869665568925</v>
      </c>
      <c r="V49">
        <v>10.541263162391097</v>
      </c>
      <c r="W49">
        <v>1338.3702749802885</v>
      </c>
      <c r="X49">
        <v>7.749704292513127</v>
      </c>
      <c r="Y49">
        <v>2903.271257508562</v>
      </c>
      <c r="Z49">
        <v>10.613028420555397</v>
      </c>
      <c r="AA49">
        <v>2745.3143740273445</v>
      </c>
      <c r="AB49">
        <v>7.7908202350180993</v>
      </c>
      <c r="AC49">
        <v>2221.5291892206033</v>
      </c>
      <c r="AD49">
        <v>10.582849255188558</v>
      </c>
      <c r="AE49">
        <v>2030.2629510322163</v>
      </c>
      <c r="AF49">
        <v>7.7735460609516895</v>
      </c>
      <c r="AG49">
        <v>2097.8235373082789</v>
      </c>
      <c r="AH49">
        <v>10.577786639071974</v>
      </c>
      <c r="AI49">
        <v>1898.5547259356167</v>
      </c>
      <c r="AJ49">
        <v>7.7706459991812125</v>
      </c>
    </row>
    <row r="50" spans="4:36" x14ac:dyDescent="0.55000000000000004">
      <c r="D50">
        <v>43</v>
      </c>
      <c r="E50">
        <v>12.163702937608226</v>
      </c>
      <c r="F50">
        <v>0.46229485912198082</v>
      </c>
      <c r="G50">
        <v>0.1700848027095298</v>
      </c>
      <c r="H50">
        <v>17.203917400560265</v>
      </c>
      <c r="I50">
        <v>12.385197433584249</v>
      </c>
      <c r="J50">
        <v>0.28922884641899438</v>
      </c>
      <c r="K50">
        <v>0.10606685385635402</v>
      </c>
      <c r="L50">
        <v>17.219506866140424</v>
      </c>
      <c r="M50">
        <v>12.284401767597643</v>
      </c>
      <c r="N50">
        <v>0.3680166586894526</v>
      </c>
      <c r="O50">
        <v>0.13515866385104713</v>
      </c>
      <c r="P50">
        <v>17.212422909861843</v>
      </c>
      <c r="Q50">
        <v>12.257259143359144</v>
      </c>
      <c r="R50">
        <v>0.38922424336306322</v>
      </c>
      <c r="S50">
        <v>0.14300424163337266</v>
      </c>
      <c r="T50">
        <v>17.210512371644413</v>
      </c>
      <c r="U50">
        <v>1535.6226715775592</v>
      </c>
      <c r="V50">
        <v>9.6060586979179501</v>
      </c>
      <c r="W50">
        <v>1301.0024719185215</v>
      </c>
      <c r="X50">
        <v>7.1754361281888377</v>
      </c>
      <c r="Y50">
        <v>2873.3449731399487</v>
      </c>
      <c r="Z50">
        <v>9.64094433549357</v>
      </c>
      <c r="AA50">
        <v>2725.6628976206675</v>
      </c>
      <c r="AB50">
        <v>7.1972236592412937</v>
      </c>
      <c r="AC50">
        <v>2209.8519067827724</v>
      </c>
      <c r="AD50">
        <v>9.625062455588159</v>
      </c>
      <c r="AE50">
        <v>2024.3177091505006</v>
      </c>
      <c r="AF50">
        <v>7.1873164274437009</v>
      </c>
      <c r="AG50">
        <v>2104.2524666665054</v>
      </c>
      <c r="AH50">
        <v>9.6207875586291056</v>
      </c>
      <c r="AI50">
        <v>1905.6839761622984</v>
      </c>
      <c r="AJ50">
        <v>7.184646402577318</v>
      </c>
    </row>
    <row r="51" spans="4:36" x14ac:dyDescent="0.55000000000000004">
      <c r="D51">
        <v>44</v>
      </c>
      <c r="E51">
        <v>12.535038533790042</v>
      </c>
      <c r="F51">
        <v>0.49128159854844727</v>
      </c>
      <c r="G51">
        <v>0.1843099180424875</v>
      </c>
      <c r="H51">
        <v>16.789369949619022</v>
      </c>
      <c r="I51">
        <v>12.759413793018156</v>
      </c>
      <c r="J51">
        <v>0.31461667624756834</v>
      </c>
      <c r="K51">
        <v>0.11765312321693208</v>
      </c>
      <c r="L51">
        <v>16.808316407517346</v>
      </c>
      <c r="M51">
        <v>12.676806065525817</v>
      </c>
      <c r="N51">
        <v>0.37968719457657951</v>
      </c>
      <c r="O51">
        <v>0.14215411117160662</v>
      </c>
      <c r="P51">
        <v>16.801352628726001</v>
      </c>
      <c r="Q51">
        <v>12.622405390814151</v>
      </c>
      <c r="R51">
        <v>0.42252098947192002</v>
      </c>
      <c r="S51">
        <v>0.15831435207053077</v>
      </c>
      <c r="T51">
        <v>16.796759267643388</v>
      </c>
      <c r="U51">
        <v>1545.1731660701562</v>
      </c>
      <c r="V51">
        <v>10.029248450676203</v>
      </c>
      <c r="W51">
        <v>1301.4660045628852</v>
      </c>
      <c r="X51">
        <v>7.4437532370299424</v>
      </c>
      <c r="Y51">
        <v>2908.0053882069133</v>
      </c>
      <c r="Z51">
        <v>10.060071248017813</v>
      </c>
      <c r="AA51">
        <v>2746.7231033687667</v>
      </c>
      <c r="AB51">
        <v>7.463138181210903</v>
      </c>
      <c r="AC51">
        <v>2218.9450851929955</v>
      </c>
      <c r="AD51">
        <v>10.048715798072415</v>
      </c>
      <c r="AE51">
        <v>2026.7928742149004</v>
      </c>
      <c r="AF51">
        <v>7.4560065735999297</v>
      </c>
      <c r="AG51">
        <v>2140.6007765400213</v>
      </c>
      <c r="AH51">
        <v>10.041242506895399</v>
      </c>
      <c r="AI51">
        <v>1926.4710354203244</v>
      </c>
      <c r="AJ51">
        <v>7.4513067487729918</v>
      </c>
    </row>
    <row r="52" spans="4:36" x14ac:dyDescent="0.55000000000000004">
      <c r="D52">
        <v>45</v>
      </c>
      <c r="E52">
        <v>11.593853546002281</v>
      </c>
      <c r="F52">
        <v>0.42586578210917952</v>
      </c>
      <c r="G52">
        <v>0.15035864650773467</v>
      </c>
      <c r="H52">
        <v>17.829922025380796</v>
      </c>
      <c r="I52">
        <v>11.787675255739906</v>
      </c>
      <c r="J52">
        <v>0.27695822658645636</v>
      </c>
      <c r="K52">
        <v>9.7495112801120221E-2</v>
      </c>
      <c r="L52">
        <v>17.837871404872502</v>
      </c>
      <c r="M52">
        <v>11.682182907932981</v>
      </c>
      <c r="N52">
        <v>0.35803013292762109</v>
      </c>
      <c r="O52">
        <v>0.12623697362241529</v>
      </c>
      <c r="P52">
        <v>17.833549985516971</v>
      </c>
      <c r="Q52">
        <v>11.682860547900271</v>
      </c>
      <c r="R52">
        <v>0.35750955152706076</v>
      </c>
      <c r="S52">
        <v>0.12605211628837165</v>
      </c>
      <c r="T52">
        <v>17.833577784284309</v>
      </c>
      <c r="U52">
        <v>1486.8694123548851</v>
      </c>
      <c r="V52">
        <v>9.0747671604918523</v>
      </c>
      <c r="W52">
        <v>1274.1090804449389</v>
      </c>
      <c r="X52">
        <v>6.8444817951536825</v>
      </c>
      <c r="Y52">
        <v>2861.5017608247608</v>
      </c>
      <c r="Z52">
        <v>9.1056503405750444</v>
      </c>
      <c r="AA52">
        <v>2722.1686934699433</v>
      </c>
      <c r="AB52">
        <v>6.863715851641782</v>
      </c>
      <c r="AC52">
        <v>2167.5862842856818</v>
      </c>
      <c r="AD52">
        <v>9.0888382335941653</v>
      </c>
      <c r="AE52">
        <v>1998.7542239165236</v>
      </c>
      <c r="AF52">
        <v>6.8532544336370451</v>
      </c>
      <c r="AG52">
        <v>2063.7258257850513</v>
      </c>
      <c r="AH52">
        <v>9.0889462037497832</v>
      </c>
      <c r="AI52">
        <v>1883.5614116089753</v>
      </c>
      <c r="AJ52">
        <v>6.8533216881782639</v>
      </c>
    </row>
    <row r="53" spans="4:36" x14ac:dyDescent="0.55000000000000004">
      <c r="D53">
        <v>46</v>
      </c>
      <c r="E53">
        <v>13.057248927828795</v>
      </c>
      <c r="F53">
        <v>0.48116597696601165</v>
      </c>
      <c r="G53">
        <v>0.17334829987679595</v>
      </c>
      <c r="H53">
        <v>16.288236795328395</v>
      </c>
      <c r="I53">
        <v>13.24032096469162</v>
      </c>
      <c r="J53">
        <v>0.34189542149762236</v>
      </c>
      <c r="K53">
        <v>0.12285867801290311</v>
      </c>
      <c r="L53">
        <v>16.294924935797837</v>
      </c>
      <c r="M53">
        <v>13.178956737564322</v>
      </c>
      <c r="N53">
        <v>0.38859706294323221</v>
      </c>
      <c r="O53">
        <v>0.13976016028140353</v>
      </c>
      <c r="P53">
        <v>16.292686039211048</v>
      </c>
      <c r="Q53">
        <v>13.145614174234778</v>
      </c>
      <c r="R53">
        <v>0.41396449863656432</v>
      </c>
      <c r="S53">
        <v>0.14895303130413298</v>
      </c>
      <c r="T53">
        <v>16.291468295824536</v>
      </c>
      <c r="U53">
        <v>1587.4594002448789</v>
      </c>
      <c r="V53">
        <v>10.32347551794277</v>
      </c>
      <c r="W53">
        <v>1332.7234026507706</v>
      </c>
      <c r="X53">
        <v>7.6073230520528368</v>
      </c>
      <c r="Y53">
        <v>2941.1767863127516</v>
      </c>
      <c r="Z53">
        <v>10.355186621153821</v>
      </c>
      <c r="AA53">
        <v>2768.4854546249053</v>
      </c>
      <c r="AB53">
        <v>7.6265112987167933</v>
      </c>
      <c r="AC53">
        <v>2229.7726905966265</v>
      </c>
      <c r="AD53">
        <v>10.344555386072679</v>
      </c>
      <c r="AE53">
        <v>2033.3641569872623</v>
      </c>
      <c r="AF53">
        <v>7.6200847086753472</v>
      </c>
      <c r="AG53">
        <v>2133.632442359713</v>
      </c>
      <c r="AH53">
        <v>10.338779666893606</v>
      </c>
      <c r="AI53">
        <v>1921.0884935467668</v>
      </c>
      <c r="AJ53">
        <v>7.6165906194250566</v>
      </c>
    </row>
    <row r="54" spans="4:36" x14ac:dyDescent="0.55000000000000004">
      <c r="D54">
        <v>47</v>
      </c>
      <c r="E54">
        <v>13.740915602577759</v>
      </c>
      <c r="F54">
        <v>0.5357501600499146</v>
      </c>
      <c r="G54">
        <v>0.18608456058665587</v>
      </c>
      <c r="H54">
        <v>15.537249676785681</v>
      </c>
      <c r="I54">
        <v>13.979742720740063</v>
      </c>
      <c r="J54">
        <v>0.35226020887675902</v>
      </c>
      <c r="K54">
        <v>0.12198068376348149</v>
      </c>
      <c r="L54">
        <v>15.546016386619707</v>
      </c>
      <c r="M54">
        <v>13.882455179321914</v>
      </c>
      <c r="N54">
        <v>0.4270393321438184</v>
      </c>
      <c r="O54">
        <v>0.1480576879049624</v>
      </c>
      <c r="P54">
        <v>15.542447800629297</v>
      </c>
      <c r="Q54">
        <v>13.844436439467955</v>
      </c>
      <c r="R54">
        <v>0.45624960417832228</v>
      </c>
      <c r="S54">
        <v>0.1582616763945266</v>
      </c>
      <c r="T54">
        <v>15.541052279959189</v>
      </c>
      <c r="U54">
        <v>1664.544930781846</v>
      </c>
      <c r="V54">
        <v>10.785863333750457</v>
      </c>
      <c r="W54">
        <v>1376.8002601796973</v>
      </c>
      <c r="X54">
        <v>7.8660715235670793</v>
      </c>
      <c r="Y54">
        <v>2953.5584986083086</v>
      </c>
      <c r="Z54">
        <v>10.825095288664205</v>
      </c>
      <c r="AA54">
        <v>2771.2090742717196</v>
      </c>
      <c r="AB54">
        <v>7.88933794797979</v>
      </c>
      <c r="AC54">
        <v>2314.8621758263839</v>
      </c>
      <c r="AD54">
        <v>10.80911302309487</v>
      </c>
      <c r="AE54">
        <v>2086.3742196954613</v>
      </c>
      <c r="AF54">
        <v>7.8798691190378394</v>
      </c>
      <c r="AG54">
        <v>2244.9948822174615</v>
      </c>
      <c r="AH54">
        <v>10.802867696586066</v>
      </c>
      <c r="AI54">
        <v>1992.5842540695826</v>
      </c>
      <c r="AJ54">
        <v>7.8761655193170865</v>
      </c>
    </row>
    <row r="55" spans="4:36" x14ac:dyDescent="0.55000000000000004">
      <c r="D55">
        <v>48</v>
      </c>
      <c r="E55">
        <v>11.359037997485618</v>
      </c>
      <c r="F55">
        <v>0.41199646813132068</v>
      </c>
      <c r="G55">
        <v>0.15960819182353805</v>
      </c>
      <c r="H55">
        <v>18.069357342559538</v>
      </c>
      <c r="I55">
        <v>11.535123389638922</v>
      </c>
      <c r="J55">
        <v>0.27271250378310746</v>
      </c>
      <c r="K55">
        <v>0.10535149636788049</v>
      </c>
      <c r="L55">
        <v>18.086812610210092</v>
      </c>
      <c r="M55">
        <v>11.476657462368818</v>
      </c>
      <c r="N55">
        <v>0.31897646792067996</v>
      </c>
      <c r="O55">
        <v>0.12333879818185353</v>
      </c>
      <c r="P55">
        <v>18.081027271528654</v>
      </c>
      <c r="Q55">
        <v>11.415475918163457</v>
      </c>
      <c r="R55">
        <v>0.36737094340526055</v>
      </c>
      <c r="S55">
        <v>0.14219092679182016</v>
      </c>
      <c r="T55">
        <v>18.074962211639473</v>
      </c>
      <c r="U55">
        <v>1464.9617001423749</v>
      </c>
      <c r="V55">
        <v>9.0489447638971203</v>
      </c>
      <c r="W55">
        <v>1254.9889084622644</v>
      </c>
      <c r="X55">
        <v>6.8502278019276268</v>
      </c>
      <c r="Y55">
        <v>2851.18993887123</v>
      </c>
      <c r="Z55">
        <v>9.0712221048248054</v>
      </c>
      <c r="AA55">
        <v>2712.3722172624553</v>
      </c>
      <c r="AB55">
        <v>6.8647720757971147</v>
      </c>
      <c r="AC55">
        <v>2183.2777578994319</v>
      </c>
      <c r="AD55">
        <v>9.063819315972605</v>
      </c>
      <c r="AE55">
        <v>2011.1562683034801</v>
      </c>
      <c r="AF55">
        <v>6.859946035234433</v>
      </c>
      <c r="AG55">
        <v>2041.7262163954254</v>
      </c>
      <c r="AH55">
        <v>9.0560790613836719</v>
      </c>
      <c r="AI55">
        <v>1862.81264610888</v>
      </c>
      <c r="AJ55">
        <v>6.854892525600019</v>
      </c>
    </row>
    <row r="56" spans="4:36" x14ac:dyDescent="0.55000000000000004">
      <c r="D56">
        <v>49</v>
      </c>
      <c r="E56">
        <v>13.320170687827</v>
      </c>
      <c r="F56">
        <v>0.48378072204420119</v>
      </c>
      <c r="G56">
        <v>0.16809938941975364</v>
      </c>
      <c r="H56">
        <v>16.027949200709031</v>
      </c>
      <c r="I56">
        <v>13.59423153712444</v>
      </c>
      <c r="J56">
        <v>0.29522119905313982</v>
      </c>
      <c r="K56">
        <v>0.10219502861655665</v>
      </c>
      <c r="L56">
        <v>16.008352235205873</v>
      </c>
      <c r="M56">
        <v>13.480591984282622</v>
      </c>
      <c r="N56">
        <v>0.37346429494552824</v>
      </c>
      <c r="O56">
        <v>0.1294809914730807</v>
      </c>
      <c r="P56">
        <v>16.016462729298762</v>
      </c>
      <c r="Q56">
        <v>13.449470681807744</v>
      </c>
      <c r="R56">
        <v>0.39487797288190229</v>
      </c>
      <c r="S56">
        <v>0.13696368945366377</v>
      </c>
      <c r="T56">
        <v>16.018687655856674</v>
      </c>
      <c r="U56">
        <v>1579.4224076328699</v>
      </c>
      <c r="V56">
        <v>10.538501876103712</v>
      </c>
      <c r="W56">
        <v>1324.7875176888469</v>
      </c>
      <c r="X56">
        <v>7.7386604459333102</v>
      </c>
      <c r="Y56">
        <v>2910.7370613699336</v>
      </c>
      <c r="Z56">
        <v>10.599432862092135</v>
      </c>
      <c r="AA56">
        <v>2748.3282109368006</v>
      </c>
      <c r="AB56">
        <v>7.773893287990985</v>
      </c>
      <c r="AC56">
        <v>2269.7081950931906</v>
      </c>
      <c r="AD56">
        <v>10.574177473127772</v>
      </c>
      <c r="AE56">
        <v>2062.5585463060629</v>
      </c>
      <c r="AF56">
        <v>7.7593045016369411</v>
      </c>
      <c r="AG56">
        <v>2145.4427408463794</v>
      </c>
      <c r="AH56">
        <v>10.567258653757454</v>
      </c>
      <c r="AI56">
        <v>1929.7051249382841</v>
      </c>
      <c r="AJ56">
        <v>7.7553041722203542</v>
      </c>
    </row>
    <row r="57" spans="4:36" x14ac:dyDescent="0.55000000000000004">
      <c r="D57">
        <v>50</v>
      </c>
      <c r="E57">
        <v>11.239709614079372</v>
      </c>
      <c r="F57">
        <v>0.42044177400731353</v>
      </c>
      <c r="G57">
        <v>0.17352372981038378</v>
      </c>
      <c r="H57">
        <v>18.166324882102938</v>
      </c>
      <c r="I57">
        <v>11.415374852643115</v>
      </c>
      <c r="J57">
        <v>0.27472425864616401</v>
      </c>
      <c r="K57">
        <v>0.11306094107338092</v>
      </c>
      <c r="L57">
        <v>18.196839947637351</v>
      </c>
      <c r="M57">
        <v>11.353256362652424</v>
      </c>
      <c r="N57">
        <v>0.32626767931547096</v>
      </c>
      <c r="O57">
        <v>0.13440810622284216</v>
      </c>
      <c r="P57">
        <v>18.186067851809259</v>
      </c>
      <c r="Q57">
        <v>11.297798606871734</v>
      </c>
      <c r="R57">
        <v>0.37227045437747525</v>
      </c>
      <c r="S57">
        <v>0.15349728105044433</v>
      </c>
      <c r="T57">
        <v>18.176433657700354</v>
      </c>
      <c r="U57">
        <v>1470.2120108612182</v>
      </c>
      <c r="V57">
        <v>8.9505221342464267</v>
      </c>
      <c r="W57">
        <v>1259.8225566131987</v>
      </c>
      <c r="X57">
        <v>6.786435795200231</v>
      </c>
      <c r="Y57">
        <v>2859.2234745941978</v>
      </c>
      <c r="Z57">
        <v>8.9662006241887298</v>
      </c>
      <c r="AA57">
        <v>2719.3829966052263</v>
      </c>
      <c r="AB57">
        <v>6.7974540340738603</v>
      </c>
      <c r="AC57">
        <v>2165.5038262622056</v>
      </c>
      <c r="AD57">
        <v>8.9606467682373143</v>
      </c>
      <c r="AE57">
        <v>1998.2325843820065</v>
      </c>
      <c r="AF57">
        <v>6.7935584829992672</v>
      </c>
      <c r="AG57">
        <v>2064.2831452772416</v>
      </c>
      <c r="AH57">
        <v>8.955697330882666</v>
      </c>
      <c r="AI57">
        <v>1880.9645186974567</v>
      </c>
      <c r="AJ57">
        <v>6.7900799906528428</v>
      </c>
    </row>
    <row r="58" spans="4:36" x14ac:dyDescent="0.55000000000000004">
      <c r="D58">
        <v>51</v>
      </c>
      <c r="E58">
        <v>12.924617981320052</v>
      </c>
      <c r="F58">
        <v>0.48239779384098913</v>
      </c>
      <c r="G58">
        <v>0.15381627100033421</v>
      </c>
      <c r="H58">
        <v>16.439167953838616</v>
      </c>
      <c r="I58">
        <v>13.133789247761108</v>
      </c>
      <c r="J58">
        <v>0.32421936596756101</v>
      </c>
      <c r="K58">
        <v>0.10309738773752467</v>
      </c>
      <c r="L58">
        <v>16.438893998533811</v>
      </c>
      <c r="M58">
        <v>13.046882416989298</v>
      </c>
      <c r="N58">
        <v>0.38996766468140942</v>
      </c>
      <c r="O58">
        <v>0.12414496374265462</v>
      </c>
      <c r="P58">
        <v>16.43900495458664</v>
      </c>
      <c r="Q58">
        <v>13.016762252517321</v>
      </c>
      <c r="R58">
        <v>0.41274542918537699</v>
      </c>
      <c r="S58">
        <v>0.13144796181137106</v>
      </c>
      <c r="T58">
        <v>16.439044356485923</v>
      </c>
      <c r="U58">
        <v>1608.7377505863385</v>
      </c>
      <c r="V58">
        <v>10.163045755348435</v>
      </c>
      <c r="W58">
        <v>1347.0214431150857</v>
      </c>
      <c r="X58">
        <v>7.5061567921373102</v>
      </c>
      <c r="Y58">
        <v>2927.8220004729169</v>
      </c>
      <c r="Z58">
        <v>10.202815632412532</v>
      </c>
      <c r="AA58">
        <v>2758.9702132942484</v>
      </c>
      <c r="AB58">
        <v>7.5297457979872533</v>
      </c>
      <c r="AC58">
        <v>2252.1673352455327</v>
      </c>
      <c r="AD58">
        <v>10.186293490721283</v>
      </c>
      <c r="AE58">
        <v>2048.6632311008088</v>
      </c>
      <c r="AF58">
        <v>7.5199546414938592</v>
      </c>
      <c r="AG58">
        <v>2159.4869685002022</v>
      </c>
      <c r="AH58">
        <v>10.180566747968856</v>
      </c>
      <c r="AI58">
        <v>1939.1181841504767</v>
      </c>
      <c r="AJ58">
        <v>7.5165580375304168</v>
      </c>
    </row>
    <row r="59" spans="4:36" x14ac:dyDescent="0.55000000000000004">
      <c r="D59">
        <v>52</v>
      </c>
      <c r="E59">
        <v>14.201075501802622</v>
      </c>
      <c r="F59">
        <v>0.52895745107383252</v>
      </c>
      <c r="G59">
        <v>0.19923043483061673</v>
      </c>
      <c r="H59">
        <v>15.070736612292929</v>
      </c>
      <c r="I59">
        <v>14.490301804336642</v>
      </c>
      <c r="J59">
        <v>0.33161000903890936</v>
      </c>
      <c r="K59">
        <v>0.12440209208747868</v>
      </c>
      <c r="L59">
        <v>15.05368609453696</v>
      </c>
      <c r="M59">
        <v>14.394979788259127</v>
      </c>
      <c r="N59">
        <v>0.39670677765083268</v>
      </c>
      <c r="O59">
        <v>0.14901777776248132</v>
      </c>
      <c r="P59">
        <v>15.059295656327556</v>
      </c>
      <c r="Q59">
        <v>14.327356398327799</v>
      </c>
      <c r="R59">
        <v>0.44285462585027585</v>
      </c>
      <c r="S59">
        <v>0.16650791689005626</v>
      </c>
      <c r="T59">
        <v>15.06328105893185</v>
      </c>
      <c r="U59">
        <v>1634.8150814352121</v>
      </c>
      <c r="V59">
        <v>11.297051958167367</v>
      </c>
      <c r="W59">
        <v>1355.0721431683339</v>
      </c>
      <c r="X59">
        <v>8.1896332269956051</v>
      </c>
      <c r="Y59">
        <v>2965.2172715013958</v>
      </c>
      <c r="Z59">
        <v>11.362809226092248</v>
      </c>
      <c r="AA59">
        <v>2780.9050343606878</v>
      </c>
      <c r="AB59">
        <v>8.2276044975916722</v>
      </c>
      <c r="AC59">
        <v>2302.8036935326081</v>
      </c>
      <c r="AD59">
        <v>11.341142590340446</v>
      </c>
      <c r="AE59">
        <v>2079.3210843268944</v>
      </c>
      <c r="AF59">
        <v>8.2151079537926464</v>
      </c>
      <c r="AG59">
        <v>2207.9058774462405</v>
      </c>
      <c r="AH59">
        <v>11.325768644445583</v>
      </c>
      <c r="AI59">
        <v>1965.89215408632</v>
      </c>
      <c r="AJ59">
        <v>8.2062320501778547</v>
      </c>
    </row>
    <row r="60" spans="4:36" x14ac:dyDescent="0.55000000000000004">
      <c r="D60">
        <v>53</v>
      </c>
      <c r="E60">
        <v>12.33198476624826</v>
      </c>
      <c r="F60">
        <v>0.45951389293721218</v>
      </c>
      <c r="G60">
        <v>0.14236739757808048</v>
      </c>
      <c r="H60">
        <v>17.066133943236448</v>
      </c>
      <c r="I60">
        <v>12.537182742103024</v>
      </c>
      <c r="J60">
        <v>0.30476264233442046</v>
      </c>
      <c r="K60">
        <v>9.4142082610924868E-2</v>
      </c>
      <c r="L60">
        <v>17.063912532951626</v>
      </c>
      <c r="M60">
        <v>12.468665278811207</v>
      </c>
      <c r="N60">
        <v>0.35646110292297767</v>
      </c>
      <c r="O60">
        <v>0.11022064988146475</v>
      </c>
      <c r="P60">
        <v>17.064652968384344</v>
      </c>
      <c r="Q60">
        <v>12.431755576435158</v>
      </c>
      <c r="R60">
        <v>0.38429996466067973</v>
      </c>
      <c r="S60">
        <v>0.11889208135556575</v>
      </c>
      <c r="T60">
        <v>17.065052377548596</v>
      </c>
      <c r="U60">
        <v>1475.3560705811137</v>
      </c>
      <c r="V60">
        <v>9.7785913671305327</v>
      </c>
      <c r="W60">
        <v>1261.0625388729941</v>
      </c>
      <c r="X60">
        <v>7.2898217893889443</v>
      </c>
      <c r="Y60">
        <v>2868.9280592370401</v>
      </c>
      <c r="Z60">
        <v>9.819633481499622</v>
      </c>
      <c r="AA60">
        <v>2724.4196344465518</v>
      </c>
      <c r="AB60">
        <v>7.3143828737353624</v>
      </c>
      <c r="AC60">
        <v>2179.1564753289272</v>
      </c>
      <c r="AD60">
        <v>9.8059303725910372</v>
      </c>
      <c r="AE60">
        <v>2006.152766080354</v>
      </c>
      <c r="AF60">
        <v>7.3061913347122012</v>
      </c>
      <c r="AG60">
        <v>2099.7245355702471</v>
      </c>
      <c r="AH60">
        <v>9.7985481318049494</v>
      </c>
      <c r="AI60">
        <v>1906.8904108413706</v>
      </c>
      <c r="AJ60">
        <v>7.3017746485863739</v>
      </c>
    </row>
    <row r="61" spans="4:36" x14ac:dyDescent="0.55000000000000004">
      <c r="D61">
        <v>54</v>
      </c>
      <c r="E61">
        <v>11.725654763554866</v>
      </c>
      <c r="F61">
        <v>0.42123875413109046</v>
      </c>
      <c r="G61">
        <v>0.15878511602254616</v>
      </c>
      <c r="H61">
        <v>17.694321366291497</v>
      </c>
      <c r="I61">
        <v>11.928929649427308</v>
      </c>
      <c r="J61">
        <v>0.27035826020540082</v>
      </c>
      <c r="K61">
        <v>0.10159064218513872</v>
      </c>
      <c r="L61">
        <v>17.699121448182154</v>
      </c>
      <c r="M61">
        <v>11.820773702448301</v>
      </c>
      <c r="N61">
        <v>0.35066691981028669</v>
      </c>
      <c r="O61">
        <v>0.13198788261671354</v>
      </c>
      <c r="P61">
        <v>17.696571495124704</v>
      </c>
      <c r="Q61">
        <v>11.841909306636742</v>
      </c>
      <c r="R61">
        <v>0.33497852422307139</v>
      </c>
      <c r="S61">
        <v>0.12604165360071251</v>
      </c>
      <c r="T61">
        <v>17.697070515539473</v>
      </c>
      <c r="U61">
        <v>1498.9848343116903</v>
      </c>
      <c r="V61">
        <v>9.2694741524384909</v>
      </c>
      <c r="W61">
        <v>1279.8565723351383</v>
      </c>
      <c r="X61">
        <v>6.9773624693062501</v>
      </c>
      <c r="Y61">
        <v>2851.5870633388408</v>
      </c>
      <c r="Z61">
        <v>9.3062356113125251</v>
      </c>
      <c r="AA61">
        <v>2712.7605965141261</v>
      </c>
      <c r="AB61">
        <v>6.9999721827470784</v>
      </c>
      <c r="AC61">
        <v>2195.4459475460321</v>
      </c>
      <c r="AD61">
        <v>9.286673950527458</v>
      </c>
      <c r="AE61">
        <v>2017.3309597219497</v>
      </c>
      <c r="AF61">
        <v>6.9879516917875408</v>
      </c>
      <c r="AG61">
        <v>2085.1792359396018</v>
      </c>
      <c r="AH61">
        <v>9.2904962775309823</v>
      </c>
      <c r="AI61">
        <v>1898.493222646887</v>
      </c>
      <c r="AJ61">
        <v>6.9903023814504692</v>
      </c>
    </row>
    <row r="62" spans="4:36" x14ac:dyDescent="0.55000000000000004">
      <c r="D62">
        <v>55</v>
      </c>
      <c r="E62">
        <v>11.83825814749304</v>
      </c>
      <c r="F62">
        <v>0.44394525621228986</v>
      </c>
      <c r="G62">
        <v>0.1436705616462422</v>
      </c>
      <c r="H62">
        <v>17.57412603464843</v>
      </c>
      <c r="I62">
        <v>12.045521544139691</v>
      </c>
      <c r="J62">
        <v>0.28275422050584587</v>
      </c>
      <c r="K62">
        <v>9.1234039145019014E-2</v>
      </c>
      <c r="L62">
        <v>17.580490196209453</v>
      </c>
      <c r="M62">
        <v>11.953452046393648</v>
      </c>
      <c r="N62">
        <v>0.35438510045144866</v>
      </c>
      <c r="O62">
        <v>0.11449706416863886</v>
      </c>
      <c r="P62">
        <v>17.577665788986252</v>
      </c>
      <c r="Q62">
        <v>11.939207248921671</v>
      </c>
      <c r="R62">
        <v>0.36546377885288295</v>
      </c>
      <c r="S62">
        <v>0.11810054656559651</v>
      </c>
      <c r="T62">
        <v>17.57722842565985</v>
      </c>
      <c r="U62">
        <v>1495.7679013651132</v>
      </c>
      <c r="V62">
        <v>9.466387656878851</v>
      </c>
      <c r="W62">
        <v>1278.1549000755988</v>
      </c>
      <c r="X62">
        <v>7.1123626889911451</v>
      </c>
      <c r="Y62">
        <v>2874.8267205318671</v>
      </c>
      <c r="Z62">
        <v>9.5040983668652217</v>
      </c>
      <c r="AA62">
        <v>2730.9328336631552</v>
      </c>
      <c r="AB62">
        <v>7.1354998888497514</v>
      </c>
      <c r="AC62">
        <v>2186.5138164836821</v>
      </c>
      <c r="AD62">
        <v>9.4873449560714338</v>
      </c>
      <c r="AE62">
        <v>2012.3834204193579</v>
      </c>
      <c r="AF62">
        <v>7.1252316726763665</v>
      </c>
      <c r="AG62">
        <v>2071.4830916977653</v>
      </c>
      <c r="AH62">
        <v>9.4847531529719689</v>
      </c>
      <c r="AI62">
        <v>1887.7049637178998</v>
      </c>
      <c r="AJ62">
        <v>7.1236416217416449</v>
      </c>
    </row>
    <row r="63" spans="4:36" x14ac:dyDescent="0.55000000000000004">
      <c r="D63">
        <v>56</v>
      </c>
      <c r="E63">
        <v>12.803015274950814</v>
      </c>
      <c r="F63">
        <v>0.4532341132083782</v>
      </c>
      <c r="G63">
        <v>0.16289273023100212</v>
      </c>
      <c r="H63">
        <v>16.580857881609813</v>
      </c>
      <c r="I63">
        <v>13.040199029534536</v>
      </c>
      <c r="J63">
        <v>0.28567459107163068</v>
      </c>
      <c r="K63">
        <v>0.10231719633377429</v>
      </c>
      <c r="L63">
        <v>16.571809183060054</v>
      </c>
      <c r="M63">
        <v>12.938550004420524</v>
      </c>
      <c r="N63">
        <v>0.35752710268498517</v>
      </c>
      <c r="O63">
        <v>0.12824100496107738</v>
      </c>
      <c r="P63">
        <v>16.575681887933406</v>
      </c>
      <c r="Q63">
        <v>12.90359125683503</v>
      </c>
      <c r="R63">
        <v>0.38222380337326811</v>
      </c>
      <c r="S63">
        <v>0.13716934730448624</v>
      </c>
      <c r="T63">
        <v>16.5770155924872</v>
      </c>
      <c r="U63">
        <v>1547.1048129361207</v>
      </c>
      <c r="V63">
        <v>10.167181659511531</v>
      </c>
      <c r="W63">
        <v>1305.8682123335407</v>
      </c>
      <c r="X63">
        <v>7.5243292250547231</v>
      </c>
      <c r="Y63">
        <v>2898.5228902652202</v>
      </c>
      <c r="Z63">
        <v>10.216975968486581</v>
      </c>
      <c r="AA63">
        <v>2741.856428829713</v>
      </c>
      <c r="AB63">
        <v>7.5538118459180437</v>
      </c>
      <c r="AC63">
        <v>2217.6629466515892</v>
      </c>
      <c r="AD63">
        <v>10.195638372584062</v>
      </c>
      <c r="AE63">
        <v>2027.489185525051</v>
      </c>
      <c r="AF63">
        <v>7.5411907575091108</v>
      </c>
      <c r="AG63">
        <v>2131.107939036172</v>
      </c>
      <c r="AH63">
        <v>10.188299136352885</v>
      </c>
      <c r="AI63">
        <v>1922.4803165706448</v>
      </c>
      <c r="AJ63">
        <v>7.5368452687023586</v>
      </c>
    </row>
    <row r="64" spans="4:36" x14ac:dyDescent="0.55000000000000004">
      <c r="D64">
        <v>57</v>
      </c>
      <c r="E64">
        <v>12.575149821024752</v>
      </c>
      <c r="F64">
        <v>0.4326727792720827</v>
      </c>
      <c r="G64">
        <v>0.17082154569229605</v>
      </c>
      <c r="H64">
        <v>16.821355854010879</v>
      </c>
      <c r="I64">
        <v>12.770714063049082</v>
      </c>
      <c r="J64">
        <v>0.29379743910352313</v>
      </c>
      <c r="K64">
        <v>0.11565962498692026</v>
      </c>
      <c r="L64">
        <v>16.819828872860484</v>
      </c>
      <c r="M64">
        <v>12.699244591851315</v>
      </c>
      <c r="N64">
        <v>0.34457696901316831</v>
      </c>
      <c r="O64">
        <v>0.13579217093444523</v>
      </c>
      <c r="P64">
        <v>16.820386268201069</v>
      </c>
      <c r="Q64">
        <v>12.687874433619157</v>
      </c>
      <c r="R64">
        <v>0.35265266764049735</v>
      </c>
      <c r="S64">
        <v>0.13899788575727554</v>
      </c>
      <c r="T64">
        <v>16.820475012983078</v>
      </c>
      <c r="U64">
        <v>1512.1155223990913</v>
      </c>
      <c r="V64">
        <v>9.8989741312665043</v>
      </c>
      <c r="W64">
        <v>1284.2524867209777</v>
      </c>
      <c r="X64">
        <v>7.3511645116312652</v>
      </c>
      <c r="Y64">
        <v>2903.3777790663139</v>
      </c>
      <c r="Z64">
        <v>9.9364773194931253</v>
      </c>
      <c r="AA64">
        <v>2746.7370197972832</v>
      </c>
      <c r="AB64">
        <v>7.3736997656610024</v>
      </c>
      <c r="AC64">
        <v>2207.4411957819902</v>
      </c>
      <c r="AD64">
        <v>9.9227714551623922</v>
      </c>
      <c r="AE64">
        <v>2023.1950483093226</v>
      </c>
      <c r="AF64">
        <v>7.3654722407558735</v>
      </c>
      <c r="AG64">
        <v>2111.1175446870448</v>
      </c>
      <c r="AH64">
        <v>9.9205909976066806</v>
      </c>
      <c r="AI64">
        <v>1912.3857188702548</v>
      </c>
      <c r="AJ64">
        <v>7.3641624648661965</v>
      </c>
    </row>
    <row r="65" spans="4:36" x14ac:dyDescent="0.55000000000000004">
      <c r="D65">
        <v>58</v>
      </c>
      <c r="E65">
        <v>12.521445765538076</v>
      </c>
      <c r="F65">
        <v>0.48600131151394893</v>
      </c>
      <c r="G65">
        <v>0.17910845830049685</v>
      </c>
      <c r="H65">
        <v>16.813444464647475</v>
      </c>
      <c r="I65">
        <v>12.781578512501648</v>
      </c>
      <c r="J65">
        <v>0.28657232108807651</v>
      </c>
      <c r="K65">
        <v>0.10521838473793536</v>
      </c>
      <c r="L65">
        <v>16.826630781672343</v>
      </c>
      <c r="M65">
        <v>12.655076618026094</v>
      </c>
      <c r="N65">
        <v>0.38359805680344777</v>
      </c>
      <c r="O65">
        <v>0.14109731748123391</v>
      </c>
      <c r="P65">
        <v>16.82022800768922</v>
      </c>
      <c r="Q65">
        <v>12.625222376476575</v>
      </c>
      <c r="R65">
        <v>0.40648389012643493</v>
      </c>
      <c r="S65">
        <v>0.14957943776640717</v>
      </c>
      <c r="T65">
        <v>16.818714295630574</v>
      </c>
      <c r="U65">
        <v>1571.6431313832857</v>
      </c>
      <c r="V65">
        <v>9.926378274856658</v>
      </c>
      <c r="W65">
        <v>1323.2944556282014</v>
      </c>
      <c r="X65">
        <v>7.370441083151511</v>
      </c>
      <c r="Y65">
        <v>2900.4178476989778</v>
      </c>
      <c r="Z65">
        <v>9.9658742283272872</v>
      </c>
      <c r="AA65">
        <v>2744.3438225343925</v>
      </c>
      <c r="AB65">
        <v>7.3947160855843501</v>
      </c>
      <c r="AC65">
        <v>2216.1826326324535</v>
      </c>
      <c r="AD65">
        <v>9.9466615096443807</v>
      </c>
      <c r="AE65">
        <v>2025.6171996583594</v>
      </c>
      <c r="AF65">
        <v>7.3829216036544363</v>
      </c>
      <c r="AG65">
        <v>2113.4858599083987</v>
      </c>
      <c r="AH65">
        <v>9.9421289723036708</v>
      </c>
      <c r="AI65">
        <v>1908.8521363397163</v>
      </c>
      <c r="AJ65">
        <v>7.3801352704255097</v>
      </c>
    </row>
    <row r="66" spans="4:36" x14ac:dyDescent="0.55000000000000004">
      <c r="D66">
        <v>59</v>
      </c>
      <c r="E66">
        <v>11.263551116769738</v>
      </c>
      <c r="F66">
        <v>0.43052757669763014</v>
      </c>
      <c r="G66">
        <v>0.16676672888809158</v>
      </c>
      <c r="H66">
        <v>18.139154577644526</v>
      </c>
      <c r="I66">
        <v>11.471161464570431</v>
      </c>
      <c r="J66">
        <v>0.26560554410318804</v>
      </c>
      <c r="K66">
        <v>0.10254915938927521</v>
      </c>
      <c r="L66">
        <v>18.160683831937114</v>
      </c>
      <c r="M66">
        <v>11.411647346575641</v>
      </c>
      <c r="N66">
        <v>0.3129044441194867</v>
      </c>
      <c r="O66">
        <v>0.12092324924995436</v>
      </c>
      <c r="P66">
        <v>18.154524960054896</v>
      </c>
      <c r="Q66">
        <v>11.351230807279512</v>
      </c>
      <c r="R66">
        <v>0.36090258143248671</v>
      </c>
      <c r="S66">
        <v>0.13960436254292036</v>
      </c>
      <c r="T66">
        <v>18.14826224874508</v>
      </c>
      <c r="U66">
        <v>1491.6973977404052</v>
      </c>
      <c r="V66">
        <v>8.9573392902107614</v>
      </c>
      <c r="W66">
        <v>1276.3493219754946</v>
      </c>
      <c r="X66">
        <v>6.7902340916854138</v>
      </c>
      <c r="Y66">
        <v>2859.5482191140964</v>
      </c>
      <c r="Z66">
        <v>8.9852490523853099</v>
      </c>
      <c r="AA66">
        <v>2721.0512125576588</v>
      </c>
      <c r="AB66">
        <v>6.8083978998331984</v>
      </c>
      <c r="AC66">
        <v>2155.2384388763166</v>
      </c>
      <c r="AD66">
        <v>8.977240954005552</v>
      </c>
      <c r="AE66">
        <v>1992.3281601211941</v>
      </c>
      <c r="AF66">
        <v>6.8031955754043034</v>
      </c>
      <c r="AG66">
        <v>2082.3945805165031</v>
      </c>
      <c r="AH66">
        <v>8.9691175004743169</v>
      </c>
      <c r="AI66">
        <v>1896.66227448532</v>
      </c>
      <c r="AJ66">
        <v>6.7979106372282576</v>
      </c>
    </row>
    <row r="67" spans="4:36" x14ac:dyDescent="0.55000000000000004">
      <c r="D67">
        <v>60</v>
      </c>
      <c r="E67">
        <v>12.044601720030672</v>
      </c>
      <c r="F67">
        <v>0.42216622763283551</v>
      </c>
      <c r="G67">
        <v>0.15687298956402382</v>
      </c>
      <c r="H67">
        <v>17.376359062772472</v>
      </c>
      <c r="I67">
        <v>12.269180403542348</v>
      </c>
      <c r="J67">
        <v>0.26424460915718095</v>
      </c>
      <c r="K67">
        <v>9.7853062786515704E-2</v>
      </c>
      <c r="L67">
        <v>17.368721924513974</v>
      </c>
      <c r="M67">
        <v>12.150327672909333</v>
      </c>
      <c r="N67">
        <v>0.34786087723711578</v>
      </c>
      <c r="O67">
        <v>0.12905148527969665</v>
      </c>
      <c r="P67">
        <v>17.372759964573845</v>
      </c>
      <c r="Q67">
        <v>12.150287379802005</v>
      </c>
      <c r="R67">
        <v>0.34788920933521966</v>
      </c>
      <c r="S67">
        <v>0.12906207590823521</v>
      </c>
      <c r="T67">
        <v>17.372761334954536</v>
      </c>
      <c r="U67">
        <v>1495.4075135558633</v>
      </c>
      <c r="V67">
        <v>9.5801724384419398</v>
      </c>
      <c r="W67">
        <v>1276.1674663664564</v>
      </c>
      <c r="X67">
        <v>7.1765644090623359</v>
      </c>
      <c r="Y67">
        <v>2882.1115884954675</v>
      </c>
      <c r="Z67">
        <v>9.629706558966264</v>
      </c>
      <c r="AA67">
        <v>2735.6217033826665</v>
      </c>
      <c r="AB67">
        <v>7.2062759424756555</v>
      </c>
      <c r="AC67">
        <v>2205.1450550469276</v>
      </c>
      <c r="AD67">
        <v>9.6034941209170999</v>
      </c>
      <c r="AE67">
        <v>2024.1551683799942</v>
      </c>
      <c r="AF67">
        <v>7.1905668349790091</v>
      </c>
      <c r="AG67">
        <v>2080.9534126622357</v>
      </c>
      <c r="AH67">
        <v>9.6034852335886285</v>
      </c>
      <c r="AI67">
        <v>1893.3372045239823</v>
      </c>
      <c r="AJ67">
        <v>7.1905615036375501</v>
      </c>
    </row>
    <row r="68" spans="4:36" x14ac:dyDescent="0.55000000000000004">
      <c r="D68">
        <v>61</v>
      </c>
      <c r="E68">
        <v>13.672000397121257</v>
      </c>
      <c r="F68">
        <v>0.46228959082048759</v>
      </c>
      <c r="G68">
        <v>0.1814038603542289</v>
      </c>
      <c r="H68">
        <v>15.684306151704028</v>
      </c>
      <c r="I68">
        <v>13.916629793300231</v>
      </c>
      <c r="J68">
        <v>0.29986063982243871</v>
      </c>
      <c r="K68">
        <v>0.11727256786809728</v>
      </c>
      <c r="L68">
        <v>15.666236999009222</v>
      </c>
      <c r="M68">
        <v>13.797252723007931</v>
      </c>
      <c r="N68">
        <v>0.3791727762506697</v>
      </c>
      <c r="O68">
        <v>0.14853254346919606</v>
      </c>
      <c r="P68">
        <v>15.675041957272203</v>
      </c>
      <c r="Q68">
        <v>13.723137863719957</v>
      </c>
      <c r="R68">
        <v>0.42836731845792803</v>
      </c>
      <c r="S68">
        <v>0.1679742355928909</v>
      </c>
      <c r="T68">
        <v>15.680520582229216</v>
      </c>
      <c r="U68">
        <v>1609.4622852706602</v>
      </c>
      <c r="V68">
        <v>10.884079665706645</v>
      </c>
      <c r="W68">
        <v>1343.9628737327321</v>
      </c>
      <c r="X68">
        <v>7.9538397927487301</v>
      </c>
      <c r="Y68">
        <v>2951.8258597965582</v>
      </c>
      <c r="Z68">
        <v>10.939229978053413</v>
      </c>
      <c r="AA68">
        <v>2775.2358088519368</v>
      </c>
      <c r="AB68">
        <v>7.9855358809893016</v>
      </c>
      <c r="AC68">
        <v>2267.2201715274105</v>
      </c>
      <c r="AD68">
        <v>10.912325452293004</v>
      </c>
      <c r="AE68">
        <v>2056.6480814631796</v>
      </c>
      <c r="AF68">
        <v>7.9700850494521243</v>
      </c>
      <c r="AG68">
        <v>2190.6899569846128</v>
      </c>
      <c r="AH68">
        <v>10.895613864198847</v>
      </c>
      <c r="AI68">
        <v>1956.5609656777738</v>
      </c>
      <c r="AJ68">
        <v>7.9604765741010297</v>
      </c>
    </row>
    <row r="69" spans="4:36" x14ac:dyDescent="0.55000000000000004">
      <c r="D69">
        <v>62</v>
      </c>
      <c r="E69">
        <v>12.361827939744023</v>
      </c>
      <c r="F69">
        <v>0.52731119258216719</v>
      </c>
      <c r="G69">
        <v>0.19488566093544954</v>
      </c>
      <c r="H69">
        <v>16.915975206738345</v>
      </c>
      <c r="I69">
        <v>12.615410249068148</v>
      </c>
      <c r="J69">
        <v>0.31948505652874781</v>
      </c>
      <c r="K69">
        <v>0.11765266632998325</v>
      </c>
      <c r="L69">
        <v>16.947452028073116</v>
      </c>
      <c r="M69">
        <v>12.534917302527015</v>
      </c>
      <c r="N69">
        <v>0.3854833559593156</v>
      </c>
      <c r="O69">
        <v>0.14211821389712073</v>
      </c>
      <c r="P69">
        <v>16.937481127616561</v>
      </c>
      <c r="Q69">
        <v>12.48382116898701</v>
      </c>
      <c r="R69">
        <v>0.42736429162861511</v>
      </c>
      <c r="S69">
        <v>0.15767272641762306</v>
      </c>
      <c r="T69">
        <v>16.931141812966743</v>
      </c>
      <c r="U69">
        <v>1577.8565193503737</v>
      </c>
      <c r="V69">
        <v>9.7781671467326934</v>
      </c>
      <c r="W69">
        <v>1325.5572042656277</v>
      </c>
      <c r="X69">
        <v>7.272453072091249</v>
      </c>
      <c r="Y69">
        <v>2883.2370890836537</v>
      </c>
      <c r="Z69">
        <v>9.8087012037336976</v>
      </c>
      <c r="AA69">
        <v>2729.4349363683486</v>
      </c>
      <c r="AB69">
        <v>7.2921096597954049</v>
      </c>
      <c r="AC69">
        <v>2231.6715212665831</v>
      </c>
      <c r="AD69">
        <v>9.7989975138469774</v>
      </c>
      <c r="AE69">
        <v>2037.7841184247941</v>
      </c>
      <c r="AF69">
        <v>7.2858747481390171</v>
      </c>
      <c r="AG69">
        <v>2130.6927881514844</v>
      </c>
      <c r="AH69">
        <v>9.7928432150267746</v>
      </c>
      <c r="AI69">
        <v>1920.817462859168</v>
      </c>
      <c r="AJ69">
        <v>7.2819147067268108</v>
      </c>
    </row>
    <row r="70" spans="4:36" x14ac:dyDescent="0.55000000000000004">
      <c r="D70">
        <v>63</v>
      </c>
      <c r="E70">
        <v>12.03410750836205</v>
      </c>
      <c r="F70">
        <v>0.47598093102401295</v>
      </c>
      <c r="G70">
        <v>0.15546593324055893</v>
      </c>
      <c r="H70">
        <v>17.334445627373377</v>
      </c>
      <c r="I70">
        <v>12.250838746010828</v>
      </c>
      <c r="J70">
        <v>0.30277986800495593</v>
      </c>
      <c r="K70">
        <v>9.8571185051205754E-2</v>
      </c>
      <c r="L70">
        <v>17.347810200933001</v>
      </c>
      <c r="M70">
        <v>12.186085338687757</v>
      </c>
      <c r="N70">
        <v>0.35455079663085609</v>
      </c>
      <c r="O70">
        <v>0.11553786304227705</v>
      </c>
      <c r="P70">
        <v>17.343826001639098</v>
      </c>
      <c r="Q70">
        <v>12.131874790233651</v>
      </c>
      <c r="R70">
        <v>0.39787749720534948</v>
      </c>
      <c r="S70">
        <v>0.12976294627288626</v>
      </c>
      <c r="T70">
        <v>17.34048476628811</v>
      </c>
      <c r="U70">
        <v>1533.9026394962727</v>
      </c>
      <c r="V70">
        <v>9.5157701580379221</v>
      </c>
      <c r="W70">
        <v>1301.8701198491226</v>
      </c>
      <c r="X70">
        <v>7.1217293550388741</v>
      </c>
      <c r="Y70">
        <v>2883.2268550451886</v>
      </c>
      <c r="Z70">
        <v>9.5490399275132578</v>
      </c>
      <c r="AA70">
        <v>2734.0217643994629</v>
      </c>
      <c r="AB70">
        <v>7.1425450136899222</v>
      </c>
      <c r="AC70">
        <v>2192.6019474587197</v>
      </c>
      <c r="AD70">
        <v>9.5390946044842533</v>
      </c>
      <c r="AE70">
        <v>2014.9326032266652</v>
      </c>
      <c r="AF70">
        <v>7.1363319902648481</v>
      </c>
      <c r="AG70">
        <v>2077.5043357933455</v>
      </c>
      <c r="AH70">
        <v>9.5307719409755922</v>
      </c>
      <c r="AI70">
        <v>1887.5721705501876</v>
      </c>
      <c r="AJ70">
        <v>7.1311265459007842</v>
      </c>
    </row>
    <row r="71" spans="4:36" x14ac:dyDescent="0.55000000000000004">
      <c r="D71">
        <v>64</v>
      </c>
      <c r="E71">
        <v>11.929454214237177</v>
      </c>
      <c r="F71">
        <v>0.48248371987275052</v>
      </c>
      <c r="G71">
        <v>0.17190428696393753</v>
      </c>
      <c r="H71">
        <v>17.41615777892612</v>
      </c>
      <c r="I71">
        <v>12.153016323003259</v>
      </c>
      <c r="J71">
        <v>0.30239079255897905</v>
      </c>
      <c r="K71">
        <v>0.10738363805699168</v>
      </c>
      <c r="L71">
        <v>17.437209246380775</v>
      </c>
      <c r="M71">
        <v>12.084775642314954</v>
      </c>
      <c r="N71">
        <v>0.35738722149820201</v>
      </c>
      <c r="O71">
        <v>0.12704107206214951</v>
      </c>
      <c r="P71">
        <v>17.430796064124692</v>
      </c>
      <c r="Q71">
        <v>12.048861243010885</v>
      </c>
      <c r="R71">
        <v>0.38632273116286781</v>
      </c>
      <c r="S71">
        <v>0.13739959033900895</v>
      </c>
      <c r="T71">
        <v>17.427416435487245</v>
      </c>
      <c r="U71">
        <v>1518.2618825711177</v>
      </c>
      <c r="V71">
        <v>9.5215431668451167</v>
      </c>
      <c r="W71">
        <v>1289.7991379814828</v>
      </c>
      <c r="X71">
        <v>7.1352956568466626</v>
      </c>
      <c r="Y71">
        <v>2866.7758740655408</v>
      </c>
      <c r="Z71">
        <v>9.5518295958239001</v>
      </c>
      <c r="AA71">
        <v>2721.8354084962129</v>
      </c>
      <c r="AB71">
        <v>7.1545605494018574</v>
      </c>
      <c r="AC71">
        <v>2192.9682180153432</v>
      </c>
      <c r="AD71">
        <v>9.5425778294367181</v>
      </c>
      <c r="AE71">
        <v>2015.1943370414008</v>
      </c>
      <c r="AF71">
        <v>7.1486853548404206</v>
      </c>
      <c r="AG71">
        <v>2088.0788556311682</v>
      </c>
      <c r="AH71">
        <v>9.5377111949379465</v>
      </c>
      <c r="AI71">
        <v>1896.6585145307354</v>
      </c>
      <c r="AJ71">
        <v>7.145591448938422</v>
      </c>
    </row>
    <row r="72" spans="4:36" x14ac:dyDescent="0.55000000000000004">
      <c r="D72">
        <v>65</v>
      </c>
      <c r="E72">
        <v>12.560769434912009</v>
      </c>
      <c r="F72">
        <v>0.46465246866014637</v>
      </c>
      <c r="G72">
        <v>0.17292285457693851</v>
      </c>
      <c r="H72">
        <v>16.801655241850902</v>
      </c>
      <c r="I72">
        <v>12.785981356498301</v>
      </c>
      <c r="J72">
        <v>0.2987288077152338</v>
      </c>
      <c r="K72">
        <v>0.11080429268430435</v>
      </c>
      <c r="L72">
        <v>16.804485543102164</v>
      </c>
      <c r="M72">
        <v>12.703558513063843</v>
      </c>
      <c r="N72">
        <v>0.35948695035330125</v>
      </c>
      <c r="O72">
        <v>0.13350233174087153</v>
      </c>
      <c r="P72">
        <v>16.803452204841971</v>
      </c>
      <c r="Q72">
        <v>12.666655753956984</v>
      </c>
      <c r="R72">
        <v>0.38667737506019989</v>
      </c>
      <c r="S72">
        <v>0.14367824586738204</v>
      </c>
      <c r="T72">
        <v>16.802988625115432</v>
      </c>
      <c r="U72">
        <v>1586.3187711161613</v>
      </c>
      <c r="V72">
        <v>9.9718831961062104</v>
      </c>
      <c r="W72">
        <v>1332.98037158646</v>
      </c>
      <c r="X72">
        <v>7.4032372159963957</v>
      </c>
      <c r="Y72">
        <v>2913.3890223333692</v>
      </c>
      <c r="Z72">
        <v>10.011460063542861</v>
      </c>
      <c r="AA72">
        <v>2751.0866270971446</v>
      </c>
      <c r="AB72">
        <v>7.4271308620212579</v>
      </c>
      <c r="AC72">
        <v>2218.5911481336275</v>
      </c>
      <c r="AD72">
        <v>9.9969744390547053</v>
      </c>
      <c r="AE72">
        <v>2027.0506513642756</v>
      </c>
      <c r="AF72">
        <v>7.4183957381024053</v>
      </c>
      <c r="AG72">
        <v>2145.5707213669757</v>
      </c>
      <c r="AH72">
        <v>9.9904893561182107</v>
      </c>
      <c r="AI72">
        <v>1931.9184381899283</v>
      </c>
      <c r="AJ72">
        <v>7.4144812874692141</v>
      </c>
    </row>
    <row r="73" spans="4:36" x14ac:dyDescent="0.55000000000000004">
      <c r="D73">
        <v>66</v>
      </c>
      <c r="E73">
        <v>11.397654897819313</v>
      </c>
      <c r="F73">
        <v>0.44782708705994084</v>
      </c>
      <c r="G73">
        <v>0.15159367554999023</v>
      </c>
      <c r="H73">
        <v>18.002924339570761</v>
      </c>
      <c r="I73">
        <v>11.603204725919317</v>
      </c>
      <c r="J73">
        <v>0.28138132415615397</v>
      </c>
      <c r="K73">
        <v>9.4939372086795232E-2</v>
      </c>
      <c r="L73">
        <v>18.020474577837739</v>
      </c>
      <c r="M73">
        <v>11.546564680359392</v>
      </c>
      <c r="N73">
        <v>0.3272656407810221</v>
      </c>
      <c r="O73">
        <v>0.11051994351836585</v>
      </c>
      <c r="P73">
        <v>18.015649735341224</v>
      </c>
      <c r="Q73">
        <v>11.47659621674539</v>
      </c>
      <c r="R73">
        <v>0.38392689256740847</v>
      </c>
      <c r="S73">
        <v>0.12979908596012329</v>
      </c>
      <c r="T73">
        <v>18.009677804727058</v>
      </c>
      <c r="U73">
        <v>1491.5654190488608</v>
      </c>
      <c r="V73">
        <v>9.0227528411507567</v>
      </c>
      <c r="W73">
        <v>1275.9461250746585</v>
      </c>
      <c r="X73">
        <v>6.8237289819265037</v>
      </c>
      <c r="Y73">
        <v>2849.2422863436627</v>
      </c>
      <c r="Z73">
        <v>9.0500343685764175</v>
      </c>
      <c r="AA73">
        <v>2712.5612593857886</v>
      </c>
      <c r="AB73">
        <v>6.8413440851652538</v>
      </c>
      <c r="AC73">
        <v>2172.3379846589219</v>
      </c>
      <c r="AD73">
        <v>9.0425103589115814</v>
      </c>
      <c r="AE73">
        <v>2004.9139134624565</v>
      </c>
      <c r="AF73">
        <v>6.8364945145824771</v>
      </c>
      <c r="AG73">
        <v>2083.0721291097534</v>
      </c>
      <c r="AH73">
        <v>9.0332225975661924</v>
      </c>
      <c r="AI73">
        <v>1896.1784898244778</v>
      </c>
      <c r="AJ73">
        <v>6.830499215294318</v>
      </c>
    </row>
    <row r="74" spans="4:36" x14ac:dyDescent="0.55000000000000004">
      <c r="D74">
        <v>67</v>
      </c>
      <c r="E74">
        <v>12.243982070094617</v>
      </c>
      <c r="F74">
        <v>0.43843655755989686</v>
      </c>
      <c r="G74">
        <v>0.16616759245288668</v>
      </c>
      <c r="H74">
        <v>17.151413779892607</v>
      </c>
      <c r="I74">
        <v>12.469358388544233</v>
      </c>
      <c r="J74">
        <v>0.27408166679013207</v>
      </c>
      <c r="K74">
        <v>0.10352179770745436</v>
      </c>
      <c r="L74">
        <v>17.153038146958192</v>
      </c>
      <c r="M74">
        <v>12.380416247749217</v>
      </c>
      <c r="N74">
        <v>0.33897828022846183</v>
      </c>
      <c r="O74">
        <v>0.12820593935444616</v>
      </c>
      <c r="P74">
        <v>17.152399532667879</v>
      </c>
      <c r="Q74">
        <v>12.327306600857069</v>
      </c>
      <c r="R74">
        <v>0.37770749027702505</v>
      </c>
      <c r="S74">
        <v>0.14296920986848377</v>
      </c>
      <c r="T74">
        <v>17.152016698997414</v>
      </c>
      <c r="U74">
        <v>1515.778394134674</v>
      </c>
      <c r="V74">
        <v>9.7173098666642534</v>
      </c>
      <c r="W74">
        <v>1284.676925060342</v>
      </c>
      <c r="X74">
        <v>7.2516872910089587</v>
      </c>
      <c r="Y74">
        <v>2887.2769323633902</v>
      </c>
      <c r="Z74">
        <v>9.7571570768649494</v>
      </c>
      <c r="AA74">
        <v>2735.239858164312</v>
      </c>
      <c r="AB74">
        <v>7.2759059619115707</v>
      </c>
      <c r="AC74">
        <v>2209.3584822789048</v>
      </c>
      <c r="AD74">
        <v>9.7414300508327312</v>
      </c>
      <c r="AE74">
        <v>2023.7262269797347</v>
      </c>
      <c r="AF74">
        <v>7.2663584955048206</v>
      </c>
      <c r="AG74">
        <v>2133.7890293616078</v>
      </c>
      <c r="AH74">
        <v>9.7320401454692149</v>
      </c>
      <c r="AI74">
        <v>1925.9164658338909</v>
      </c>
      <c r="AJ74">
        <v>7.2606511716713236</v>
      </c>
    </row>
    <row r="75" spans="4:36" x14ac:dyDescent="0.55000000000000004">
      <c r="D75">
        <v>68</v>
      </c>
      <c r="E75">
        <v>12.588298616533347</v>
      </c>
      <c r="F75">
        <v>0.46938639493047812</v>
      </c>
      <c r="G75">
        <v>0.18125170874829249</v>
      </c>
      <c r="H75">
        <v>16.761063279787866</v>
      </c>
      <c r="I75">
        <v>12.828988834690389</v>
      </c>
      <c r="J75">
        <v>0.29200888943841813</v>
      </c>
      <c r="K75">
        <v>0.11236409756537609</v>
      </c>
      <c r="L75">
        <v>16.766638178305808</v>
      </c>
      <c r="M75">
        <v>12.767818262470865</v>
      </c>
      <c r="N75">
        <v>0.33711996332360744</v>
      </c>
      <c r="O75">
        <v>0.12983746825961456</v>
      </c>
      <c r="P75">
        <v>16.765224305945903</v>
      </c>
      <c r="Q75">
        <v>12.723541437649518</v>
      </c>
      <c r="R75">
        <v>0.36975931008161916</v>
      </c>
      <c r="S75">
        <v>0.14249959901581249</v>
      </c>
      <c r="T75">
        <v>16.764199653253062</v>
      </c>
      <c r="U75">
        <v>1585.4619296143339</v>
      </c>
      <c r="V75">
        <v>9.9698585065594809</v>
      </c>
      <c r="W75">
        <v>1333.1461457558319</v>
      </c>
      <c r="X75">
        <v>7.3958944512496929</v>
      </c>
      <c r="Y75">
        <v>2910.5020710957197</v>
      </c>
      <c r="Z75">
        <v>10.006219557470839</v>
      </c>
      <c r="AA75">
        <v>2750.266633135469</v>
      </c>
      <c r="AB75">
        <v>7.417870506454161</v>
      </c>
      <c r="AC75">
        <v>2225.9239675695417</v>
      </c>
      <c r="AD75">
        <v>9.9969772699272035</v>
      </c>
      <c r="AE75">
        <v>2035.3114190907588</v>
      </c>
      <c r="AF75">
        <v>7.4122928315422518</v>
      </c>
      <c r="AG75">
        <v>2123.415542301233</v>
      </c>
      <c r="AH75">
        <v>9.9902879963814595</v>
      </c>
      <c r="AI75">
        <v>1917.7707094573932</v>
      </c>
      <c r="AJ75">
        <v>7.4082524152064169</v>
      </c>
    </row>
    <row r="76" spans="4:36" x14ac:dyDescent="0.55000000000000004">
      <c r="D76">
        <v>69</v>
      </c>
      <c r="E76">
        <v>11.410683217297438</v>
      </c>
      <c r="F76">
        <v>0.41052269877362468</v>
      </c>
      <c r="G76">
        <v>0.14732886512136995</v>
      </c>
      <c r="H76">
        <v>18.031465218807579</v>
      </c>
      <c r="I76">
        <v>11.582672758729819</v>
      </c>
      <c r="J76">
        <v>0.27596933179196148</v>
      </c>
      <c r="K76">
        <v>9.8763322419467767E-2</v>
      </c>
      <c r="L76">
        <v>18.042594587058737</v>
      </c>
      <c r="M76">
        <v>11.519453286338431</v>
      </c>
      <c r="N76">
        <v>0.3254459373587385</v>
      </c>
      <c r="O76">
        <v>0.11658936145443483</v>
      </c>
      <c r="P76">
        <v>18.038511414848397</v>
      </c>
      <c r="Q76">
        <v>11.482771007721015</v>
      </c>
      <c r="R76">
        <v>0.35414462229094873</v>
      </c>
      <c r="S76">
        <v>0.1269462702676892</v>
      </c>
      <c r="T76">
        <v>18.036138099720347</v>
      </c>
      <c r="U76">
        <v>1429.6150034635812</v>
      </c>
      <c r="V76">
        <v>9.0651924733720914</v>
      </c>
      <c r="W76">
        <v>1234.0027410891748</v>
      </c>
      <c r="X76">
        <v>6.8587804014818987</v>
      </c>
      <c r="Y76">
        <v>2857.1535474043862</v>
      </c>
      <c r="Z76">
        <v>9.0905734704900905</v>
      </c>
      <c r="AA76">
        <v>2720.4732617499562</v>
      </c>
      <c r="AB76">
        <v>6.8748986155790099</v>
      </c>
      <c r="AC76">
        <v>2148.2298445213555</v>
      </c>
      <c r="AD76">
        <v>9.0812398730410706</v>
      </c>
      <c r="AE76">
        <v>1988.4518608441106</v>
      </c>
      <c r="AF76">
        <v>6.8689784148105764</v>
      </c>
      <c r="AG76">
        <v>2057.9238010029376</v>
      </c>
      <c r="AH76">
        <v>9.0758263605564107</v>
      </c>
      <c r="AI76">
        <v>1881.3948095922365</v>
      </c>
      <c r="AJ76">
        <v>6.8655409108067875</v>
      </c>
    </row>
    <row r="77" spans="4:36" x14ac:dyDescent="0.55000000000000004">
      <c r="D77">
        <v>70</v>
      </c>
      <c r="E77">
        <v>13.324313845127573</v>
      </c>
      <c r="F77">
        <v>0.45290885115410856</v>
      </c>
      <c r="G77">
        <v>0.16944044791400587</v>
      </c>
      <c r="H77">
        <v>16.053336855804304</v>
      </c>
      <c r="I77">
        <v>13.55669354428114</v>
      </c>
      <c r="J77">
        <v>0.29213338939131617</v>
      </c>
      <c r="K77">
        <v>0.10894284816841279</v>
      </c>
      <c r="L77">
        <v>16.042230218159144</v>
      </c>
      <c r="M77">
        <v>13.422065723728299</v>
      </c>
      <c r="N77">
        <v>0.38531836411181375</v>
      </c>
      <c r="O77">
        <v>0.14395917126918895</v>
      </c>
      <c r="P77">
        <v>16.048656740890703</v>
      </c>
      <c r="Q77">
        <v>13.374318345938264</v>
      </c>
      <c r="R77">
        <v>0.41834068592311668</v>
      </c>
      <c r="S77">
        <v>0.15639967177048042</v>
      </c>
      <c r="T77">
        <v>16.050941296368144</v>
      </c>
      <c r="U77">
        <v>1602.7735055984267</v>
      </c>
      <c r="V77">
        <v>10.577899085905466</v>
      </c>
      <c r="W77">
        <v>1342.3503454391814</v>
      </c>
      <c r="X77">
        <v>7.7685712822883941</v>
      </c>
      <c r="Y77">
        <v>2932.849932174614</v>
      </c>
      <c r="Z77">
        <v>10.625812151294795</v>
      </c>
      <c r="AA77">
        <v>2763.6175578402731</v>
      </c>
      <c r="AB77">
        <v>7.7964548068300061</v>
      </c>
      <c r="AC77">
        <v>2266.0029813220362</v>
      </c>
      <c r="AD77">
        <v>10.598058994502461</v>
      </c>
      <c r="AE77">
        <v>2057.2915617377698</v>
      </c>
      <c r="AF77">
        <v>7.7803139558578502</v>
      </c>
      <c r="AG77">
        <v>2175.7612375150184</v>
      </c>
      <c r="AH77">
        <v>10.58821270259905</v>
      </c>
      <c r="AI77">
        <v>1948.5588532519407</v>
      </c>
      <c r="AJ77">
        <v>7.7745806234479868</v>
      </c>
    </row>
    <row r="78" spans="4:36" x14ac:dyDescent="0.55000000000000004">
      <c r="D78">
        <v>71</v>
      </c>
      <c r="E78">
        <v>13.959900128671617</v>
      </c>
      <c r="F78">
        <v>0.51313582372445132</v>
      </c>
      <c r="G78">
        <v>0.19692087545730563</v>
      </c>
      <c r="H78">
        <v>15.330043172146606</v>
      </c>
      <c r="I78">
        <v>14.210294174073018</v>
      </c>
      <c r="J78">
        <v>0.33512455157569149</v>
      </c>
      <c r="K78">
        <v>0.1281553069784194</v>
      </c>
      <c r="L78">
        <v>15.326425967372849</v>
      </c>
      <c r="M78">
        <v>14.101004625039755</v>
      </c>
      <c r="N78">
        <v>0.41286525065125412</v>
      </c>
      <c r="O78">
        <v>0.15812595587348735</v>
      </c>
      <c r="P78">
        <v>15.328004168435504</v>
      </c>
      <c r="Q78">
        <v>14.027857622248222</v>
      </c>
      <c r="R78">
        <v>0.46485869672274671</v>
      </c>
      <c r="S78">
        <v>0.17822270929909015</v>
      </c>
      <c r="T78">
        <v>15.329060971729939</v>
      </c>
      <c r="U78">
        <v>1599.571938067337</v>
      </c>
      <c r="V78">
        <v>11.027351793103991</v>
      </c>
      <c r="W78">
        <v>1329.7897285448475</v>
      </c>
      <c r="X78">
        <v>8.0190900372200105</v>
      </c>
      <c r="Y78">
        <v>2963.2828218998088</v>
      </c>
      <c r="Z78">
        <v>11.074924043707396</v>
      </c>
      <c r="AA78">
        <v>2778.9172671314354</v>
      </c>
      <c r="AB78">
        <v>8.0470431150374733</v>
      </c>
      <c r="AC78">
        <v>2284.8354790538251</v>
      </c>
      <c r="AD78">
        <v>11.054160077408069</v>
      </c>
      <c r="AE78">
        <v>2064.5840483934103</v>
      </c>
      <c r="AF78">
        <v>8.0348540098153158</v>
      </c>
      <c r="AG78">
        <v>2210.2295872770783</v>
      </c>
      <c r="AH78">
        <v>11.04026292922045</v>
      </c>
      <c r="AI78">
        <v>1965.4206299001214</v>
      </c>
      <c r="AJ78">
        <v>8.0266859031955313</v>
      </c>
    </row>
    <row r="79" spans="4:36" x14ac:dyDescent="0.55000000000000004">
      <c r="D79">
        <v>72</v>
      </c>
      <c r="E79">
        <v>12.16465731127467</v>
      </c>
      <c r="F79">
        <v>0.45281476566484452</v>
      </c>
      <c r="G79">
        <v>0.17740512033276518</v>
      </c>
      <c r="H79">
        <v>17.205122802727725</v>
      </c>
      <c r="I79">
        <v>12.39039859662153</v>
      </c>
      <c r="J79">
        <v>0.28317819962563567</v>
      </c>
      <c r="K79">
        <v>0.11056925386594303</v>
      </c>
      <c r="L79">
        <v>17.215853949886888</v>
      </c>
      <c r="M79">
        <v>12.293671434410353</v>
      </c>
      <c r="N79">
        <v>0.35589992474108639</v>
      </c>
      <c r="O79">
        <v>0.13916500897497636</v>
      </c>
      <c r="P79">
        <v>17.211263631873585</v>
      </c>
      <c r="Q79">
        <v>12.258746077148423</v>
      </c>
      <c r="R79">
        <v>0.38214487978918205</v>
      </c>
      <c r="S79">
        <v>0.1495057179070669</v>
      </c>
      <c r="T79">
        <v>17.209603325155332</v>
      </c>
      <c r="U79">
        <v>1536.0475741843134</v>
      </c>
      <c r="V79">
        <v>9.6644856143844056</v>
      </c>
      <c r="W79">
        <v>1299.3886884316687</v>
      </c>
      <c r="X79">
        <v>7.2192575505615535</v>
      </c>
      <c r="Y79">
        <v>2893.4544924721804</v>
      </c>
      <c r="Z79">
        <v>9.7023898621881202</v>
      </c>
      <c r="AA79">
        <v>2739.5439422950171</v>
      </c>
      <c r="AB79">
        <v>7.2427088478984194</v>
      </c>
      <c r="AC79">
        <v>2219.8021768503008</v>
      </c>
      <c r="AD79">
        <v>9.6861432567335921</v>
      </c>
      <c r="AE79">
        <v>2030.656400101142</v>
      </c>
      <c r="AF79">
        <v>7.2326692323562032</v>
      </c>
      <c r="AG79">
        <v>2121.3404264898672</v>
      </c>
      <c r="AH79">
        <v>9.6802789664692508</v>
      </c>
      <c r="AI79">
        <v>1916.8180329724516</v>
      </c>
      <c r="AJ79">
        <v>7.2290409354587739</v>
      </c>
    </row>
    <row r="80" spans="4:36" x14ac:dyDescent="0.55000000000000004">
      <c r="D80">
        <v>73</v>
      </c>
      <c r="E80">
        <v>12.840269832748699</v>
      </c>
      <c r="F80">
        <v>0.46946987789996142</v>
      </c>
      <c r="G80">
        <v>0.16168885959013057</v>
      </c>
      <c r="H80">
        <v>16.528571429761218</v>
      </c>
      <c r="I80">
        <v>13.120813034222486</v>
      </c>
      <c r="J80">
        <v>0.27873532146105701</v>
      </c>
      <c r="K80">
        <v>9.5604751857525663E-2</v>
      </c>
      <c r="L80">
        <v>16.504846892458925</v>
      </c>
      <c r="M80">
        <v>13.044916458221415</v>
      </c>
      <c r="N80">
        <v>0.330385845588407</v>
      </c>
      <c r="O80">
        <v>0.11344584754589068</v>
      </c>
      <c r="P80">
        <v>16.511251848644299</v>
      </c>
      <c r="Q80">
        <v>12.954487490189322</v>
      </c>
      <c r="R80">
        <v>0.39187773098516587</v>
      </c>
      <c r="S80">
        <v>0.13473870461563475</v>
      </c>
      <c r="T80">
        <v>16.518896074209881</v>
      </c>
      <c r="U80">
        <v>1588.0065049900372</v>
      </c>
      <c r="V80">
        <v>10.292813946887399</v>
      </c>
      <c r="W80">
        <v>1336.8479649009421</v>
      </c>
      <c r="X80">
        <v>7.613884492025373</v>
      </c>
      <c r="Y80">
        <v>2911.0277036963898</v>
      </c>
      <c r="Z80">
        <v>10.362573854383353</v>
      </c>
      <c r="AA80">
        <v>2752.650513923244</v>
      </c>
      <c r="AB80">
        <v>7.6547548787114907</v>
      </c>
      <c r="AC80">
        <v>2217.0160676038577</v>
      </c>
      <c r="AD80">
        <v>10.343708320127421</v>
      </c>
      <c r="AE80">
        <v>2030.3078926335218</v>
      </c>
      <c r="AF80">
        <v>7.6437179120935639</v>
      </c>
      <c r="AG80">
        <v>2160.5975232399114</v>
      </c>
      <c r="AH80">
        <v>10.321223811945941</v>
      </c>
      <c r="AI80">
        <v>1945.0798040345926</v>
      </c>
      <c r="AJ80">
        <v>7.6305484779594188</v>
      </c>
    </row>
    <row r="81" spans="4:36" x14ac:dyDescent="0.55000000000000004">
      <c r="D81">
        <v>74</v>
      </c>
      <c r="E81">
        <v>14.442499999562374</v>
      </c>
      <c r="F81">
        <v>0.54959358716939832</v>
      </c>
      <c r="G81">
        <v>0.18865448363261547</v>
      </c>
      <c r="H81">
        <v>14.819251929635612</v>
      </c>
      <c r="I81">
        <v>14.759578390048306</v>
      </c>
      <c r="J81">
        <v>0.32770532749196329</v>
      </c>
      <c r="K81">
        <v>0.11206122944656091</v>
      </c>
      <c r="L81">
        <v>14.800655053013164</v>
      </c>
      <c r="M81">
        <v>14.614928973399563</v>
      </c>
      <c r="N81">
        <v>0.42900101026039383</v>
      </c>
      <c r="O81">
        <v>0.14695377938432222</v>
      </c>
      <c r="P81">
        <v>14.80911623695574</v>
      </c>
      <c r="Q81">
        <v>14.574571725380585</v>
      </c>
      <c r="R81">
        <v>0.45724124359491819</v>
      </c>
      <c r="S81">
        <v>0.15670338606163803</v>
      </c>
      <c r="T81">
        <v>14.811483644962864</v>
      </c>
      <c r="U81">
        <v>1663.8093125802955</v>
      </c>
      <c r="V81">
        <v>11.362356569263046</v>
      </c>
      <c r="W81">
        <v>1373.3418644644514</v>
      </c>
      <c r="X81">
        <v>8.2099647672954301</v>
      </c>
      <c r="Y81">
        <v>2957.3370512302076</v>
      </c>
      <c r="Z81">
        <v>11.430318226767533</v>
      </c>
      <c r="AA81">
        <v>2774.5706699804928</v>
      </c>
      <c r="AB81">
        <v>8.2486052902269087</v>
      </c>
      <c r="AC81">
        <v>2329.4128155606927</v>
      </c>
      <c r="AD81">
        <v>11.399328113488339</v>
      </c>
      <c r="AE81">
        <v>2095.2312946606517</v>
      </c>
      <c r="AF81">
        <v>8.2310019984523759</v>
      </c>
      <c r="AG81">
        <v>2215.7050904563166</v>
      </c>
      <c r="AH81">
        <v>11.390677801689549</v>
      </c>
      <c r="AI81">
        <v>1969.3357981577706</v>
      </c>
      <c r="AJ81">
        <v>8.2260834366325835</v>
      </c>
    </row>
    <row r="82" spans="4:36" x14ac:dyDescent="0.55000000000000004">
      <c r="D82">
        <v>75</v>
      </c>
      <c r="E82">
        <v>12.829321085184562</v>
      </c>
      <c r="F82">
        <v>0.49685197027922479</v>
      </c>
      <c r="G82">
        <v>0.18951631276791922</v>
      </c>
      <c r="H82">
        <v>16.484310631768302</v>
      </c>
      <c r="I82">
        <v>13.065258586436466</v>
      </c>
      <c r="J82">
        <v>0.31701756376220752</v>
      </c>
      <c r="K82">
        <v>0.12051838386398057</v>
      </c>
      <c r="L82">
        <v>16.497205465937341</v>
      </c>
      <c r="M82">
        <v>12.973321509411505</v>
      </c>
      <c r="N82">
        <v>0.38712752031639885</v>
      </c>
      <c r="O82">
        <v>0.14736225506642006</v>
      </c>
      <c r="P82">
        <v>16.492188715205693</v>
      </c>
      <c r="Q82">
        <v>12.909667768617092</v>
      </c>
      <c r="R82">
        <v>0.43564332593962907</v>
      </c>
      <c r="S82">
        <v>0.16597952167631655</v>
      </c>
      <c r="T82">
        <v>16.488709383766949</v>
      </c>
      <c r="U82">
        <v>1583.6881380320069</v>
      </c>
      <c r="V82">
        <v>10.121953956844591</v>
      </c>
      <c r="W82">
        <v>1326.7935700802561</v>
      </c>
      <c r="X82">
        <v>7.4806060163730388</v>
      </c>
      <c r="Y82">
        <v>2916.3061741671504</v>
      </c>
      <c r="Z82">
        <v>10.159542823351071</v>
      </c>
      <c r="AA82">
        <v>2750.7664566779827</v>
      </c>
      <c r="AB82">
        <v>7.5035146908031773</v>
      </c>
      <c r="AC82">
        <v>2250.8185423120244</v>
      </c>
      <c r="AD82">
        <v>10.144891646178758</v>
      </c>
      <c r="AE82">
        <v>2047.5733672952845</v>
      </c>
      <c r="AF82">
        <v>7.4945963185890792</v>
      </c>
      <c r="AG82">
        <v>2171.2653636848504</v>
      </c>
      <c r="AH82">
        <v>10.134750735996272</v>
      </c>
      <c r="AI82">
        <v>1945.635507779753</v>
      </c>
      <c r="AJ82">
        <v>7.4884153280429535</v>
      </c>
    </row>
    <row r="83" spans="4:36" x14ac:dyDescent="0.55000000000000004">
      <c r="D83">
        <v>76</v>
      </c>
      <c r="E83">
        <v>11.859089274462411</v>
      </c>
      <c r="F83">
        <v>0.42641986164726858</v>
      </c>
      <c r="G83">
        <v>0.13761858705904584</v>
      </c>
      <c r="H83">
        <v>17.576872276831274</v>
      </c>
      <c r="I83">
        <v>12.069236033962621</v>
      </c>
      <c r="J83">
        <v>0.2680481553694628</v>
      </c>
      <c r="K83">
        <v>8.6235575191857858E-2</v>
      </c>
      <c r="L83">
        <v>17.576480235476065</v>
      </c>
      <c r="M83">
        <v>11.998093582886227</v>
      </c>
      <c r="N83">
        <v>0.3216905133702424</v>
      </c>
      <c r="O83">
        <v>0.10360296615294459</v>
      </c>
      <c r="P83">
        <v>17.576612937590603</v>
      </c>
      <c r="Q83">
        <v>11.965903480588754</v>
      </c>
      <c r="R83">
        <v>0.34595300792228739</v>
      </c>
      <c r="S83">
        <v>0.11147052336796816</v>
      </c>
      <c r="T83">
        <v>17.576672988120979</v>
      </c>
      <c r="U83">
        <v>1505.4695408345979</v>
      </c>
      <c r="V83">
        <v>9.3574620942914581</v>
      </c>
      <c r="W83">
        <v>1287.6945385809763</v>
      </c>
      <c r="X83">
        <v>7.0306216468784646</v>
      </c>
      <c r="Y83">
        <v>2847.7493623644459</v>
      </c>
      <c r="Z83">
        <v>9.398837453485374</v>
      </c>
      <c r="AA83">
        <v>2712.1781098214069</v>
      </c>
      <c r="AB83">
        <v>7.0557540035333774</v>
      </c>
      <c r="AC83">
        <v>2172.1540601877809</v>
      </c>
      <c r="AD83">
        <v>9.3848302767452267</v>
      </c>
      <c r="AE83">
        <v>2004.6896100392555</v>
      </c>
      <c r="AF83">
        <v>7.047256027722919</v>
      </c>
      <c r="AG83">
        <v>2054.4706781619343</v>
      </c>
      <c r="AH83">
        <v>9.3784924240129683</v>
      </c>
      <c r="AI83">
        <v>1877.0375544715932</v>
      </c>
      <c r="AJ83">
        <v>7.0434074837247831</v>
      </c>
    </row>
    <row r="84" spans="4:36" x14ac:dyDescent="0.55000000000000004">
      <c r="D84">
        <v>77</v>
      </c>
      <c r="E84">
        <v>11.655413994213307</v>
      </c>
      <c r="F84">
        <v>0.4258467758801826</v>
      </c>
      <c r="G84">
        <v>0.16777196369823122</v>
      </c>
      <c r="H84">
        <v>17.750967266208299</v>
      </c>
      <c r="I84">
        <v>11.851083541532471</v>
      </c>
      <c r="J84">
        <v>0.27403126779123338</v>
      </c>
      <c r="K84">
        <v>0.10763324676549341</v>
      </c>
      <c r="L84">
        <v>17.767251943910814</v>
      </c>
      <c r="M84">
        <v>11.758779503834651</v>
      </c>
      <c r="N84">
        <v>0.34567289479719521</v>
      </c>
      <c r="O84">
        <v>0.1359665230255015</v>
      </c>
      <c r="P84">
        <v>17.759581078342663</v>
      </c>
      <c r="Q84">
        <v>11.736669108710807</v>
      </c>
      <c r="R84">
        <v>0.36282722186740513</v>
      </c>
      <c r="S84">
        <v>0.14276301391689983</v>
      </c>
      <c r="T84">
        <v>17.757740655504907</v>
      </c>
      <c r="U84">
        <v>1496.9349175346986</v>
      </c>
      <c r="V84">
        <v>9.1998032127941318</v>
      </c>
      <c r="W84">
        <v>1276.8636233076579</v>
      </c>
      <c r="X84">
        <v>6.9299686201091513</v>
      </c>
      <c r="Y84">
        <v>2887.7511690326219</v>
      </c>
      <c r="Z84">
        <v>9.2278338450910535</v>
      </c>
      <c r="AA84">
        <v>2739.1604099287965</v>
      </c>
      <c r="AB84">
        <v>6.9478141000337139</v>
      </c>
      <c r="AC84">
        <v>2199.2216444340856</v>
      </c>
      <c r="AD84">
        <v>9.2146045289126199</v>
      </c>
      <c r="AE84">
        <v>2019.791365029703</v>
      </c>
      <c r="AF84">
        <v>6.9394012712797899</v>
      </c>
      <c r="AG84">
        <v>2085.0307261407947</v>
      </c>
      <c r="AH84">
        <v>9.2114372610780251</v>
      </c>
      <c r="AI84">
        <v>1895.1557964566218</v>
      </c>
      <c r="AJ84">
        <v>6.937384621594461</v>
      </c>
    </row>
    <row r="85" spans="4:36" x14ac:dyDescent="0.55000000000000004">
      <c r="D85">
        <v>78</v>
      </c>
      <c r="E85">
        <v>12.645490561946996</v>
      </c>
      <c r="F85">
        <v>0.42757665451137428</v>
      </c>
      <c r="G85">
        <v>0.16266460321467097</v>
      </c>
      <c r="H85">
        <v>16.764268180326951</v>
      </c>
      <c r="I85">
        <v>12.832828263834909</v>
      </c>
      <c r="J85">
        <v>0.29568713962173532</v>
      </c>
      <c r="K85">
        <v>0.11217353645393355</v>
      </c>
      <c r="L85">
        <v>16.759311060089406</v>
      </c>
      <c r="M85">
        <v>12.737574809474593</v>
      </c>
      <c r="N85">
        <v>0.36277470661344724</v>
      </c>
      <c r="O85">
        <v>0.13782055005526098</v>
      </c>
      <c r="P85">
        <v>16.761829933856717</v>
      </c>
      <c r="Q85">
        <v>12.70625080112071</v>
      </c>
      <c r="R85">
        <v>0.38482411340946082</v>
      </c>
      <c r="S85">
        <v>0.14626609291302531</v>
      </c>
      <c r="T85">
        <v>16.762658992556794</v>
      </c>
      <c r="U85">
        <v>1521.1816965530768</v>
      </c>
      <c r="V85">
        <v>10.046140872509152</v>
      </c>
      <c r="W85">
        <v>1289.3666562811818</v>
      </c>
      <c r="X85">
        <v>7.4542055009136092</v>
      </c>
      <c r="Y85">
        <v>2900.6723627795977</v>
      </c>
      <c r="Z85">
        <v>10.084264001005494</v>
      </c>
      <c r="AA85">
        <v>2743.1715193014766</v>
      </c>
      <c r="AB85">
        <v>7.4768944943876647</v>
      </c>
      <c r="AC85">
        <v>2217.2330667397141</v>
      </c>
      <c r="AD85">
        <v>10.064881088062139</v>
      </c>
      <c r="AE85">
        <v>2027.3764572296354</v>
      </c>
      <c r="AF85">
        <v>7.4653669002988163</v>
      </c>
      <c r="AG85">
        <v>2114.2216427237249</v>
      </c>
      <c r="AH85">
        <v>10.058506531292757</v>
      </c>
      <c r="AI85">
        <v>1910.3970704777096</v>
      </c>
      <c r="AJ85">
        <v>7.4615720867909641</v>
      </c>
    </row>
    <row r="86" spans="4:36" x14ac:dyDescent="0.55000000000000004">
      <c r="D86">
        <v>79</v>
      </c>
      <c r="E86">
        <v>11.981065171854173</v>
      </c>
      <c r="F86">
        <v>0.4511157767838811</v>
      </c>
      <c r="G86">
        <v>0.15851197521147589</v>
      </c>
      <c r="H86">
        <v>17.409307076150462</v>
      </c>
      <c r="I86">
        <v>12.180601668989052</v>
      </c>
      <c r="J86">
        <v>0.29248096510085358</v>
      </c>
      <c r="K86">
        <v>0.10245795582153623</v>
      </c>
      <c r="L86">
        <v>17.424459410088552</v>
      </c>
      <c r="M86">
        <v>12.09347529197948</v>
      </c>
      <c r="N86">
        <v>0.36177139461273994</v>
      </c>
      <c r="O86">
        <v>0.12689925571904273</v>
      </c>
      <c r="P86">
        <v>17.417854057688729</v>
      </c>
      <c r="Q86">
        <v>12.063688223122259</v>
      </c>
      <c r="R86">
        <v>0.38545231047493034</v>
      </c>
      <c r="S86">
        <v>0.1352675039238207</v>
      </c>
      <c r="T86">
        <v>17.415591962478995</v>
      </c>
      <c r="U86">
        <v>1525.39702545923</v>
      </c>
      <c r="V86">
        <v>9.5482439028416106</v>
      </c>
      <c r="W86">
        <v>1293.681978415995</v>
      </c>
      <c r="X86">
        <v>7.1544038961766079</v>
      </c>
      <c r="Y86">
        <v>2891.3276157423561</v>
      </c>
      <c r="Z86">
        <v>9.5791067454483372</v>
      </c>
      <c r="AA86">
        <v>2738.562078787596</v>
      </c>
      <c r="AB86">
        <v>7.1738051029288616</v>
      </c>
      <c r="AC86">
        <v>2196.4094704759295</v>
      </c>
      <c r="AD86">
        <v>9.5656248069454577</v>
      </c>
      <c r="AE86">
        <v>2014.2755552914541</v>
      </c>
      <c r="AF86">
        <v>7.1653397199325779</v>
      </c>
      <c r="AG86">
        <v>2115.401302127937</v>
      </c>
      <c r="AH86">
        <v>9.5610176347084987</v>
      </c>
      <c r="AI86">
        <v>1913.9539913007852</v>
      </c>
      <c r="AJ86">
        <v>7.1624434087504856</v>
      </c>
    </row>
    <row r="87" spans="4:36" x14ac:dyDescent="0.55000000000000004">
      <c r="D87">
        <v>80</v>
      </c>
      <c r="E87">
        <v>12.02264308514242</v>
      </c>
      <c r="F87">
        <v>0.42751333921539303</v>
      </c>
      <c r="G87">
        <v>0.14375131382912654</v>
      </c>
      <c r="H87">
        <v>17.406092261813065</v>
      </c>
      <c r="I87">
        <v>12.191777160175237</v>
      </c>
      <c r="J87">
        <v>0.29248392011527274</v>
      </c>
      <c r="K87">
        <v>9.8103416122844289E-2</v>
      </c>
      <c r="L87">
        <v>17.417635503586663</v>
      </c>
      <c r="M87">
        <v>12.094176441149353</v>
      </c>
      <c r="N87">
        <v>0.37042068489562024</v>
      </c>
      <c r="O87">
        <v>0.12442255204067233</v>
      </c>
      <c r="P87">
        <v>17.410980321914369</v>
      </c>
      <c r="Q87">
        <v>12.051360530079934</v>
      </c>
      <c r="R87">
        <v>0.40459611552120023</v>
      </c>
      <c r="S87">
        <v>0.13598769677120037</v>
      </c>
      <c r="T87">
        <v>17.408055657627678</v>
      </c>
      <c r="U87">
        <v>1488.1277397448891</v>
      </c>
      <c r="V87">
        <v>9.4565031523492156</v>
      </c>
      <c r="W87">
        <v>1273.7325156365011</v>
      </c>
      <c r="X87">
        <v>7.082574421558502</v>
      </c>
      <c r="Y87">
        <v>2866.3616360086971</v>
      </c>
      <c r="Z87">
        <v>9.4785463115155473</v>
      </c>
      <c r="AA87">
        <v>2723.9386943878558</v>
      </c>
      <c r="AB87">
        <v>7.0964051240704018</v>
      </c>
      <c r="AC87">
        <v>2163.3825911794102</v>
      </c>
      <c r="AD87">
        <v>9.4658227855583998</v>
      </c>
      <c r="AE87">
        <v>1993.9233816340031</v>
      </c>
      <c r="AF87">
        <v>7.0884276450520805</v>
      </c>
      <c r="AG87">
        <v>2075.0389703930609</v>
      </c>
      <c r="AH87">
        <v>9.4602439888800731</v>
      </c>
      <c r="AI87">
        <v>1887.6390051698115</v>
      </c>
      <c r="AJ87">
        <v>7.0849248824899078</v>
      </c>
    </row>
    <row r="88" spans="4:36" x14ac:dyDescent="0.55000000000000004">
      <c r="D88">
        <v>81</v>
      </c>
      <c r="E88">
        <v>12.311280692510344</v>
      </c>
      <c r="F88">
        <v>0.41660133223251011</v>
      </c>
      <c r="G88">
        <v>0.15513545784370172</v>
      </c>
      <c r="H88">
        <v>17.116982517413458</v>
      </c>
      <c r="I88">
        <v>12.527141181355033</v>
      </c>
      <c r="J88">
        <v>0.26993021835808839</v>
      </c>
      <c r="K88">
        <v>0.10018629469724398</v>
      </c>
      <c r="L88">
        <v>17.102742305589622</v>
      </c>
      <c r="M88">
        <v>12.412436647507702</v>
      </c>
      <c r="N88">
        <v>0.34790735082286417</v>
      </c>
      <c r="O88">
        <v>0.12935393947756488</v>
      </c>
      <c r="P88">
        <v>17.110302062191856</v>
      </c>
      <c r="Q88">
        <v>12.38621543353471</v>
      </c>
      <c r="R88">
        <v>0.36572048667198831</v>
      </c>
      <c r="S88">
        <v>0.13603157148422293</v>
      </c>
      <c r="T88">
        <v>17.112032508309074</v>
      </c>
      <c r="U88">
        <v>1503.7921528406312</v>
      </c>
      <c r="V88">
        <v>9.7146691053660597</v>
      </c>
      <c r="W88">
        <v>1281.5857209370574</v>
      </c>
      <c r="X88">
        <v>7.2475087008320758</v>
      </c>
      <c r="Y88">
        <v>2874.0487832138492</v>
      </c>
      <c r="Z88">
        <v>9.7630900798297091</v>
      </c>
      <c r="AA88">
        <v>2728.2072670385328</v>
      </c>
      <c r="AB88">
        <v>7.276114906778</v>
      </c>
      <c r="AC88">
        <v>2196.6664231988088</v>
      </c>
      <c r="AD88">
        <v>9.7373647876659994</v>
      </c>
      <c r="AE88">
        <v>2016.7168873417061</v>
      </c>
      <c r="AF88">
        <v>7.2609284944112202</v>
      </c>
      <c r="AG88">
        <v>2119.7838541440769</v>
      </c>
      <c r="AH88">
        <v>9.7314825228250967</v>
      </c>
      <c r="AI88">
        <v>1919.9237852130143</v>
      </c>
      <c r="AJ88">
        <v>7.257452332681444</v>
      </c>
    </row>
    <row r="89" spans="4:36" x14ac:dyDescent="0.55000000000000004">
      <c r="D89">
        <v>82</v>
      </c>
      <c r="E89">
        <v>13.416977913689554</v>
      </c>
      <c r="F89">
        <v>0.44588563854639068</v>
      </c>
      <c r="G89">
        <v>0.18889758785111005</v>
      </c>
      <c r="H89">
        <v>15.948238859912934</v>
      </c>
      <c r="I89">
        <v>13.648497975456271</v>
      </c>
      <c r="J89">
        <v>0.29372265241229101</v>
      </c>
      <c r="K89">
        <v>0.12401317703028639</v>
      </c>
      <c r="L89">
        <v>15.933766195101153</v>
      </c>
      <c r="M89">
        <v>13.57586595508071</v>
      </c>
      <c r="N89">
        <v>0.3414970217404964</v>
      </c>
      <c r="O89">
        <v>0.14433676156381564</v>
      </c>
      <c r="P89">
        <v>15.938300261614966</v>
      </c>
      <c r="Q89">
        <v>13.542211208742939</v>
      </c>
      <c r="R89">
        <v>0.36362197805569046</v>
      </c>
      <c r="S89">
        <v>0.15376371270046951</v>
      </c>
      <c r="T89">
        <v>15.940403100500902</v>
      </c>
      <c r="U89">
        <v>1559.3529714531635</v>
      </c>
      <c r="V89">
        <v>10.599954854731884</v>
      </c>
      <c r="W89">
        <v>1311.6012442016245</v>
      </c>
      <c r="X89">
        <v>7.7743073830031779</v>
      </c>
      <c r="Y89">
        <v>2917.5433680465762</v>
      </c>
      <c r="Z89">
        <v>10.651245300969434</v>
      </c>
      <c r="AA89">
        <v>2752.6955456865835</v>
      </c>
      <c r="AB89">
        <v>7.8041449842949797</v>
      </c>
      <c r="AC89">
        <v>2236.1040762692855</v>
      </c>
      <c r="AD89">
        <v>10.635158707864715</v>
      </c>
      <c r="AE89">
        <v>2039.2599552443016</v>
      </c>
      <c r="AF89">
        <v>7.7947966116045846</v>
      </c>
      <c r="AG89">
        <v>2134.7161016224081</v>
      </c>
      <c r="AH89">
        <v>10.627703550331628</v>
      </c>
      <c r="AI89">
        <v>1923.1542996081939</v>
      </c>
      <c r="AJ89">
        <v>7.790461185205527</v>
      </c>
    </row>
    <row r="90" spans="4:36" x14ac:dyDescent="0.55000000000000004">
      <c r="D90">
        <v>83</v>
      </c>
      <c r="E90">
        <v>12.023451974333311</v>
      </c>
      <c r="F90">
        <v>0.46401587843528419</v>
      </c>
      <c r="G90">
        <v>0.18869905458351272</v>
      </c>
      <c r="H90">
        <v>17.323833092647895</v>
      </c>
      <c r="I90">
        <v>12.224244152124882</v>
      </c>
      <c r="J90">
        <v>0.30633096964662598</v>
      </c>
      <c r="K90">
        <v>0.1241814153844595</v>
      </c>
      <c r="L90">
        <v>17.345243462844039</v>
      </c>
      <c r="M90">
        <v>12.158018601736712</v>
      </c>
      <c r="N90">
        <v>0.3583610126080638</v>
      </c>
      <c r="O90">
        <v>0.14542417965471452</v>
      </c>
      <c r="P90">
        <v>17.338196206000497</v>
      </c>
      <c r="Q90">
        <v>12.114498849433915</v>
      </c>
      <c r="R90">
        <v>0.39254041408595125</v>
      </c>
      <c r="S90">
        <v>0.15940325237171341</v>
      </c>
      <c r="T90">
        <v>17.333557484108418</v>
      </c>
      <c r="U90">
        <v>1552.5980896252554</v>
      </c>
      <c r="V90">
        <v>9.6062107754424293</v>
      </c>
      <c r="W90">
        <v>1312.4469365114492</v>
      </c>
      <c r="X90">
        <v>7.1865034925321725</v>
      </c>
      <c r="Y90">
        <v>2887.6811863298417</v>
      </c>
      <c r="Z90">
        <v>9.6294324828963607</v>
      </c>
      <c r="AA90">
        <v>2734.1655747451841</v>
      </c>
      <c r="AB90">
        <v>7.20162344059215</v>
      </c>
      <c r="AC90">
        <v>2224.2270790158318</v>
      </c>
      <c r="AD90">
        <v>9.6217653695746765</v>
      </c>
      <c r="AE90">
        <v>2035.0190860377006</v>
      </c>
      <c r="AF90">
        <v>7.1966393409554588</v>
      </c>
      <c r="AG90">
        <v>2092.2403421082063</v>
      </c>
      <c r="AH90">
        <v>9.6167312920192103</v>
      </c>
      <c r="AI90">
        <v>1895.3304971664693</v>
      </c>
      <c r="AJ90">
        <v>7.1933625836126991</v>
      </c>
    </row>
    <row r="91" spans="4:36" x14ac:dyDescent="0.55000000000000004">
      <c r="D91">
        <v>84</v>
      </c>
      <c r="E91">
        <v>12.246788956197387</v>
      </c>
      <c r="F91">
        <v>0.41824198425612674</v>
      </c>
      <c r="G91">
        <v>0.15136013201959678</v>
      </c>
      <c r="H91">
        <v>17.183608927526901</v>
      </c>
      <c r="I91">
        <v>12.440217549484249</v>
      </c>
      <c r="J91">
        <v>0.28530351315776109</v>
      </c>
      <c r="K91">
        <v>0.1029537647274858</v>
      </c>
      <c r="L91">
        <v>17.171525172630503</v>
      </c>
      <c r="M91">
        <v>12.390059594109882</v>
      </c>
      <c r="N91">
        <v>0.31979935836479173</v>
      </c>
      <c r="O91">
        <v>0.11548750360781952</v>
      </c>
      <c r="P91">
        <v>17.174653543917518</v>
      </c>
      <c r="Q91">
        <v>12.350539223450319</v>
      </c>
      <c r="R91">
        <v>0.3469676802261174</v>
      </c>
      <c r="S91">
        <v>0.12537216240629329</v>
      </c>
      <c r="T91">
        <v>17.177120933917276</v>
      </c>
      <c r="U91">
        <v>1502.4070728794893</v>
      </c>
      <c r="V91">
        <v>9.6129605075360995</v>
      </c>
      <c r="W91">
        <v>1283.6029855084944</v>
      </c>
      <c r="X91">
        <v>7.1784950002338279</v>
      </c>
      <c r="Y91">
        <v>2865.4974677114842</v>
      </c>
      <c r="Z91">
        <v>9.6553248045443887</v>
      </c>
      <c r="AA91">
        <v>2722.7250920541142</v>
      </c>
      <c r="AB91">
        <v>7.2036355660610552</v>
      </c>
      <c r="AC91">
        <v>2188.5648040264887</v>
      </c>
      <c r="AD91">
        <v>9.6443418438223993</v>
      </c>
      <c r="AE91">
        <v>2015.2626067492563</v>
      </c>
      <c r="AF91">
        <v>7.1971250318552498</v>
      </c>
      <c r="AG91">
        <v>2067.7002007761303</v>
      </c>
      <c r="AH91">
        <v>9.6356869290259954</v>
      </c>
      <c r="AI91">
        <v>1884.9408927574862</v>
      </c>
      <c r="AJ91">
        <v>7.1919910106019769</v>
      </c>
    </row>
    <row r="92" spans="4:36" x14ac:dyDescent="0.55000000000000004">
      <c r="D92">
        <v>85</v>
      </c>
      <c r="E92">
        <v>13.681148749451079</v>
      </c>
      <c r="F92">
        <v>0.47672728124938601</v>
      </c>
      <c r="G92">
        <v>0.17844426994121046</v>
      </c>
      <c r="H92">
        <v>15.663679699358322</v>
      </c>
      <c r="I92">
        <v>13.937592784197889</v>
      </c>
      <c r="J92">
        <v>0.30217539318002379</v>
      </c>
      <c r="K92">
        <v>0.11270849204808168</v>
      </c>
      <c r="L92">
        <v>15.647523330574002</v>
      </c>
      <c r="M92">
        <v>13.832934355582312</v>
      </c>
      <c r="N92">
        <v>0.37346186686691268</v>
      </c>
      <c r="O92">
        <v>0.13949779584682734</v>
      </c>
      <c r="P92">
        <v>15.654105981703937</v>
      </c>
      <c r="Q92">
        <v>13.775356089856112</v>
      </c>
      <c r="R92">
        <v>0.41265146630455418</v>
      </c>
      <c r="S92">
        <v>0.15425854810983525</v>
      </c>
      <c r="T92">
        <v>15.657733895729505</v>
      </c>
      <c r="U92">
        <v>1591.6230778860318</v>
      </c>
      <c r="V92">
        <v>10.741134738864414</v>
      </c>
      <c r="W92">
        <v>1329.8025338059174</v>
      </c>
      <c r="X92">
        <v>7.8465232825885058</v>
      </c>
      <c r="Y92">
        <v>2932.9002439836986</v>
      </c>
      <c r="Z92">
        <v>10.796133768555212</v>
      </c>
      <c r="AA92">
        <v>2761.2401822264869</v>
      </c>
      <c r="AB92">
        <v>7.8783886038704107</v>
      </c>
      <c r="AC92">
        <v>2280.4673123663761</v>
      </c>
      <c r="AD92">
        <v>10.773693718374348</v>
      </c>
      <c r="AE92">
        <v>2066.8773210186851</v>
      </c>
      <c r="AF92">
        <v>7.8653997869789229</v>
      </c>
      <c r="AG92">
        <v>2164.9154681618543</v>
      </c>
      <c r="AH92">
        <v>10.761344815736493</v>
      </c>
      <c r="AI92">
        <v>1938.8961039421174</v>
      </c>
      <c r="AJ92">
        <v>7.8582446407689783</v>
      </c>
    </row>
    <row r="93" spans="4:36" x14ac:dyDescent="0.55000000000000004">
      <c r="D93">
        <v>86</v>
      </c>
      <c r="E93">
        <v>12.918828915116316</v>
      </c>
      <c r="F93">
        <v>0.50504754371094773</v>
      </c>
      <c r="G93">
        <v>0.15203112730569643</v>
      </c>
      <c r="H93">
        <v>16.424092413867058</v>
      </c>
      <c r="I93">
        <v>13.134611151686212</v>
      </c>
      <c r="J93">
        <v>0.33603655879682259</v>
      </c>
      <c r="K93">
        <v>0.10085099794527029</v>
      </c>
      <c r="L93">
        <v>16.428501291571685</v>
      </c>
      <c r="M93">
        <v>13.065566556933881</v>
      </c>
      <c r="N93">
        <v>0.39013990695129408</v>
      </c>
      <c r="O93">
        <v>0.11720068408949642</v>
      </c>
      <c r="P93">
        <v>16.427092852025329</v>
      </c>
      <c r="Q93">
        <v>13.040009193870214</v>
      </c>
      <c r="R93">
        <v>0.41016088121270422</v>
      </c>
      <c r="S93">
        <v>0.1232589598852606</v>
      </c>
      <c r="T93">
        <v>16.426570965031825</v>
      </c>
      <c r="U93">
        <v>1538.3658538755203</v>
      </c>
      <c r="V93">
        <v>10.243861641746701</v>
      </c>
      <c r="W93">
        <v>1298.2103081835196</v>
      </c>
      <c r="X93">
        <v>7.562890446447712</v>
      </c>
      <c r="Y93">
        <v>2915.3631668297157</v>
      </c>
      <c r="Z93">
        <v>10.280171997810497</v>
      </c>
      <c r="AA93">
        <v>2752.3201532590692</v>
      </c>
      <c r="AB93">
        <v>7.5847136699443842</v>
      </c>
      <c r="AC93">
        <v>2231.5830781501054</v>
      </c>
      <c r="AD93">
        <v>10.268552493935937</v>
      </c>
      <c r="AE93">
        <v>2037.5051789016461</v>
      </c>
      <c r="AF93">
        <v>7.5777381858637582</v>
      </c>
      <c r="AG93">
        <v>2109.2122640306661</v>
      </c>
      <c r="AH93">
        <v>10.264251723224236</v>
      </c>
      <c r="AI93">
        <v>1906.3380177848251</v>
      </c>
      <c r="AJ93">
        <v>7.5751544105288655</v>
      </c>
    </row>
    <row r="94" spans="4:36" x14ac:dyDescent="0.55000000000000004">
      <c r="D94">
        <v>87</v>
      </c>
      <c r="E94">
        <v>13.328178148179251</v>
      </c>
      <c r="F94">
        <v>0.47665489451985615</v>
      </c>
      <c r="G94">
        <v>0.17582152718582031</v>
      </c>
      <c r="H94">
        <v>16.019345430115081</v>
      </c>
      <c r="I94">
        <v>13.558687442900368</v>
      </c>
      <c r="J94">
        <v>0.31512138072521856</v>
      </c>
      <c r="K94">
        <v>0.11587367045148592</v>
      </c>
      <c r="L94">
        <v>16.010317505922934</v>
      </c>
      <c r="M94">
        <v>13.484575493160817</v>
      </c>
      <c r="N94">
        <v>0.36709167890064021</v>
      </c>
      <c r="O94">
        <v>0.13511915162181137</v>
      </c>
      <c r="P94">
        <v>16.013213676316745</v>
      </c>
      <c r="Q94">
        <v>13.403754324811272</v>
      </c>
      <c r="R94">
        <v>0.42372901579887545</v>
      </c>
      <c r="S94">
        <v>0.15613769852903508</v>
      </c>
      <c r="T94">
        <v>16.016378960860806</v>
      </c>
      <c r="U94">
        <v>1556.4446581845866</v>
      </c>
      <c r="V94">
        <v>10.502252334393081</v>
      </c>
      <c r="W94">
        <v>1308.3751813987719</v>
      </c>
      <c r="X94">
        <v>7.7104539902517271</v>
      </c>
      <c r="Y94">
        <v>2919.2451407669814</v>
      </c>
      <c r="Z94">
        <v>10.549529968773689</v>
      </c>
      <c r="AA94">
        <v>2753.1530738681563</v>
      </c>
      <c r="AB94">
        <v>7.738036788814906</v>
      </c>
      <c r="AC94">
        <v>2259.6210925118098</v>
      </c>
      <c r="AD94">
        <v>10.534333407911234</v>
      </c>
      <c r="AE94">
        <v>2055.6515327343354</v>
      </c>
      <c r="AF94">
        <v>7.7291799868490632</v>
      </c>
      <c r="AG94">
        <v>2167.2361955271012</v>
      </c>
      <c r="AH94">
        <v>10.517756975494891</v>
      </c>
      <c r="AI94">
        <v>1943.7296030136856</v>
      </c>
      <c r="AJ94">
        <v>7.7195090639607109</v>
      </c>
    </row>
    <row r="95" spans="4:36" x14ac:dyDescent="0.55000000000000004">
      <c r="D95">
        <v>88</v>
      </c>
      <c r="E95">
        <v>12.676062310859228</v>
      </c>
      <c r="F95">
        <v>0.44358567770032781</v>
      </c>
      <c r="G95">
        <v>0.15153636448887259</v>
      </c>
      <c r="H95">
        <v>16.72881564695156</v>
      </c>
      <c r="I95">
        <v>12.914277490987169</v>
      </c>
      <c r="J95">
        <v>0.27703151599387532</v>
      </c>
      <c r="K95">
        <v>9.4321174245066655E-2</v>
      </c>
      <c r="L95">
        <v>16.714369818773875</v>
      </c>
      <c r="M95">
        <v>12.812065983287436</v>
      </c>
      <c r="N95">
        <v>0.34853876525592242</v>
      </c>
      <c r="O95">
        <v>0.11883778087587603</v>
      </c>
      <c r="P95">
        <v>16.720557470580776</v>
      </c>
      <c r="Q95">
        <v>12.778238519044699</v>
      </c>
      <c r="R95">
        <v>0.37219014007009737</v>
      </c>
      <c r="S95">
        <v>0.12696252054923071</v>
      </c>
      <c r="T95">
        <v>16.722608820335971</v>
      </c>
      <c r="U95">
        <v>1535.2328338592995</v>
      </c>
      <c r="V95">
        <v>10.030369068257862</v>
      </c>
      <c r="W95">
        <v>1301.8624985151953</v>
      </c>
      <c r="X95">
        <v>7.4406332564188657</v>
      </c>
      <c r="Y95">
        <v>2886.7871467545892</v>
      </c>
      <c r="Z95">
        <v>10.085717261188174</v>
      </c>
      <c r="AA95">
        <v>2736.3631183435764</v>
      </c>
      <c r="AB95">
        <v>7.4731677133878396</v>
      </c>
      <c r="AC95">
        <v>2191.9910696816519</v>
      </c>
      <c r="AD95">
        <v>10.061974840106565</v>
      </c>
      <c r="AE95">
        <v>2012.2643121195463</v>
      </c>
      <c r="AF95">
        <v>7.4592251445717874</v>
      </c>
      <c r="AG95">
        <v>2125.3195895014242</v>
      </c>
      <c r="AH95">
        <v>10.054115192829505</v>
      </c>
      <c r="AI95">
        <v>1922.4056400051454</v>
      </c>
      <c r="AJ95">
        <v>7.4546051524375905</v>
      </c>
    </row>
    <row r="96" spans="4:36" x14ac:dyDescent="0.55000000000000004">
      <c r="D96">
        <v>89</v>
      </c>
      <c r="E96">
        <v>13.58031308642461</v>
      </c>
      <c r="F96">
        <v>0.45316893818343917</v>
      </c>
      <c r="G96">
        <v>0.17859999439562813</v>
      </c>
      <c r="H96">
        <v>15.787917980996333</v>
      </c>
      <c r="I96">
        <v>13.846911559582162</v>
      </c>
      <c r="J96">
        <v>0.28527637746321127</v>
      </c>
      <c r="K96">
        <v>0.11201654466476138</v>
      </c>
      <c r="L96">
        <v>15.755795518289872</v>
      </c>
      <c r="M96">
        <v>13.730335405317756</v>
      </c>
      <c r="N96">
        <v>0.35875131406042382</v>
      </c>
      <c r="O96">
        <v>0.14109395685513809</v>
      </c>
      <c r="P96">
        <v>15.769819323766676</v>
      </c>
      <c r="Q96">
        <v>13.71098288404127</v>
      </c>
      <c r="R96">
        <v>0.37093969946178917</v>
      </c>
      <c r="S96">
        <v>0.14592667235816331</v>
      </c>
      <c r="T96">
        <v>15.7721507441388</v>
      </c>
      <c r="U96">
        <v>1547.4141822956396</v>
      </c>
      <c r="V96">
        <v>10.717402154157798</v>
      </c>
      <c r="W96">
        <v>1302.2288799364028</v>
      </c>
      <c r="X96">
        <v>7.8445363483733326</v>
      </c>
      <c r="Y96">
        <v>2907.0056378549875</v>
      </c>
      <c r="Z96">
        <v>10.786240453295262</v>
      </c>
      <c r="AA96">
        <v>2745.4904287628829</v>
      </c>
      <c r="AB96">
        <v>7.8840193822696305</v>
      </c>
      <c r="AC96">
        <v>2253.0221752404441</v>
      </c>
      <c r="AD96">
        <v>10.756151802424105</v>
      </c>
      <c r="AE96">
        <v>2050.3237462461129</v>
      </c>
      <c r="AF96">
        <v>7.8667773595197161</v>
      </c>
      <c r="AG96">
        <v>2152.7723301168694</v>
      </c>
      <c r="AH96">
        <v>10.751154997228848</v>
      </c>
      <c r="AI96">
        <v>1935.7620500060134</v>
      </c>
      <c r="AJ96">
        <v>7.8639116403696736</v>
      </c>
    </row>
    <row r="97" spans="4:36" x14ac:dyDescent="0.55000000000000004">
      <c r="D97">
        <v>90</v>
      </c>
      <c r="E97">
        <v>12.234442278414415</v>
      </c>
      <c r="F97">
        <v>0.46161513599182225</v>
      </c>
      <c r="G97">
        <v>0.17354754999681804</v>
      </c>
      <c r="H97">
        <v>17.130395035596965</v>
      </c>
      <c r="I97">
        <v>12.46316735264509</v>
      </c>
      <c r="J97">
        <v>0.28814875894622788</v>
      </c>
      <c r="K97">
        <v>0.10795885454467168</v>
      </c>
      <c r="L97">
        <v>17.140725033864022</v>
      </c>
      <c r="M97">
        <v>12.376620561355196</v>
      </c>
      <c r="N97">
        <v>0.35381966252973407</v>
      </c>
      <c r="O97">
        <v>0.13273553683119538</v>
      </c>
      <c r="P97">
        <v>17.136824239283868</v>
      </c>
      <c r="Q97">
        <v>12.32360831297383</v>
      </c>
      <c r="R97">
        <v>0.39402489079702169</v>
      </c>
      <c r="S97">
        <v>0.14793666229588445</v>
      </c>
      <c r="T97">
        <v>17.134430133933261</v>
      </c>
      <c r="U97">
        <v>1565.9961871153805</v>
      </c>
      <c r="V97">
        <v>9.713894607917581</v>
      </c>
      <c r="W97">
        <v>1321.2220612052618</v>
      </c>
      <c r="X97">
        <v>7.2474154577118002</v>
      </c>
      <c r="Y97">
        <v>2900.2058833547935</v>
      </c>
      <c r="Z97">
        <v>9.7500984241794662</v>
      </c>
      <c r="AA97">
        <v>2744.201834831691</v>
      </c>
      <c r="AB97">
        <v>7.2696422230331734</v>
      </c>
      <c r="AC97">
        <v>2206.5088403334021</v>
      </c>
      <c r="AD97">
        <v>9.7363957616357766</v>
      </c>
      <c r="AE97">
        <v>2020.9167761291055</v>
      </c>
      <c r="AF97">
        <v>7.2612404885656625</v>
      </c>
      <c r="AG97">
        <v>2131.600543017355</v>
      </c>
      <c r="AH97">
        <v>9.7280046537631488</v>
      </c>
      <c r="AI97">
        <v>1923.5437165719516</v>
      </c>
      <c r="AJ97">
        <v>7.2560890485773077</v>
      </c>
    </row>
    <row r="98" spans="4:36" x14ac:dyDescent="0.55000000000000004">
      <c r="D98">
        <v>91</v>
      </c>
      <c r="E98">
        <v>11.355021810299835</v>
      </c>
      <c r="F98">
        <v>0.45868237839838666</v>
      </c>
      <c r="G98">
        <v>0.18266385749044714</v>
      </c>
      <c r="H98">
        <v>18.003631953811325</v>
      </c>
      <c r="I98">
        <v>11.593480463104891</v>
      </c>
      <c r="J98">
        <v>0.26502031271082543</v>
      </c>
      <c r="K98">
        <v>0.10513276333054344</v>
      </c>
      <c r="L98">
        <v>18.036366460853749</v>
      </c>
      <c r="M98">
        <v>11.498012298684955</v>
      </c>
      <c r="N98">
        <v>0.34258529229832374</v>
      </c>
      <c r="O98">
        <v>0.13611234164230179</v>
      </c>
      <c r="P98">
        <v>18.023290067374433</v>
      </c>
      <c r="Q98">
        <v>11.441428802108733</v>
      </c>
      <c r="R98">
        <v>0.38853796238737032</v>
      </c>
      <c r="S98">
        <v>0.15451171246298051</v>
      </c>
      <c r="T98">
        <v>18.015521523040903</v>
      </c>
      <c r="U98">
        <v>1474.1557327127655</v>
      </c>
      <c r="V98">
        <v>9.0690671252091288</v>
      </c>
      <c r="W98">
        <v>1262.8423620775377</v>
      </c>
      <c r="X98">
        <v>6.8593376847817664</v>
      </c>
      <c r="Y98">
        <v>2834.7888781501615</v>
      </c>
      <c r="Z98">
        <v>9.0960337987950108</v>
      </c>
      <c r="AA98">
        <v>2703.5884621418277</v>
      </c>
      <c r="AB98">
        <v>6.8775250448288316</v>
      </c>
      <c r="AC98">
        <v>2162.8352210198814</v>
      </c>
      <c r="AD98">
        <v>9.0852209779632922</v>
      </c>
      <c r="AE98">
        <v>1997.2093730467061</v>
      </c>
      <c r="AF98">
        <v>6.8702473204088372</v>
      </c>
      <c r="AG98">
        <v>2066.4010016470297</v>
      </c>
      <c r="AH98">
        <v>9.0788226797618279</v>
      </c>
      <c r="AI98">
        <v>1884.0047667387028</v>
      </c>
      <c r="AJ98">
        <v>6.8659315426556047</v>
      </c>
    </row>
    <row r="99" spans="4:36" x14ac:dyDescent="0.55000000000000004">
      <c r="D99">
        <v>92</v>
      </c>
      <c r="E99">
        <v>13.34029912043178</v>
      </c>
      <c r="F99">
        <v>0.50131576988894999</v>
      </c>
      <c r="G99">
        <v>0.17098517476893951</v>
      </c>
      <c r="H99">
        <v>15.987399934910307</v>
      </c>
      <c r="I99">
        <v>13.599627533787359</v>
      </c>
      <c r="J99">
        <v>0.31415250667408434</v>
      </c>
      <c r="K99">
        <v>0.10676881326623061</v>
      </c>
      <c r="L99">
        <v>15.979451146272337</v>
      </c>
      <c r="M99">
        <v>13.500219528163552</v>
      </c>
      <c r="N99">
        <v>0.38594303941244451</v>
      </c>
      <c r="O99">
        <v>0.13134564804555798</v>
      </c>
      <c r="P99">
        <v>15.982491784378448</v>
      </c>
      <c r="Q99">
        <v>13.473705706920784</v>
      </c>
      <c r="R99">
        <v>0.40508129638158341</v>
      </c>
      <c r="S99">
        <v>0.13790889301559989</v>
      </c>
      <c r="T99">
        <v>15.983304103682027</v>
      </c>
      <c r="U99">
        <v>1588.1206629857695</v>
      </c>
      <c r="V99">
        <v>10.596903629393243</v>
      </c>
      <c r="W99">
        <v>1332.9351788771844</v>
      </c>
      <c r="X99">
        <v>7.7772282859565669</v>
      </c>
      <c r="Y99">
        <v>2919.0165978825435</v>
      </c>
      <c r="Z99">
        <v>10.651288462168038</v>
      </c>
      <c r="AA99">
        <v>2754.9027978578069</v>
      </c>
      <c r="AB99">
        <v>7.8091556137882652</v>
      </c>
      <c r="AC99">
        <v>2231.2427346212053</v>
      </c>
      <c r="AD99">
        <v>10.630444438305119</v>
      </c>
      <c r="AE99">
        <v>2035.5817352023391</v>
      </c>
      <c r="AF99">
        <v>7.79693227374241</v>
      </c>
      <c r="AG99">
        <v>2139.8624398354041</v>
      </c>
      <c r="AH99">
        <v>10.624884302527512</v>
      </c>
      <c r="AI99">
        <v>1927.2624194076529</v>
      </c>
      <c r="AJ99">
        <v>7.7936689007688207</v>
      </c>
    </row>
    <row r="100" spans="4:36" x14ac:dyDescent="0.55000000000000004">
      <c r="D100">
        <v>93</v>
      </c>
      <c r="E100">
        <v>12.713793438865544</v>
      </c>
      <c r="F100">
        <v>0.46372333506746533</v>
      </c>
      <c r="G100">
        <v>0.14689131534300559</v>
      </c>
      <c r="H100">
        <v>16.675591910723995</v>
      </c>
      <c r="I100">
        <v>12.926203902873718</v>
      </c>
      <c r="J100">
        <v>0.30833420101955844</v>
      </c>
      <c r="K100">
        <v>9.7380458605062628E-2</v>
      </c>
      <c r="L100">
        <v>16.668081437501655</v>
      </c>
      <c r="M100">
        <v>12.865400336303697</v>
      </c>
      <c r="N100">
        <v>0.35284160442851081</v>
      </c>
      <c r="O100">
        <v>0.11153124145472423</v>
      </c>
      <c r="P100">
        <v>16.670226817813059</v>
      </c>
      <c r="Q100">
        <v>12.807503792654762</v>
      </c>
      <c r="R100">
        <v>0.39520143085906345</v>
      </c>
      <c r="S100">
        <v>0.12502178415699336</v>
      </c>
      <c r="T100">
        <v>16.672272992329173</v>
      </c>
      <c r="U100">
        <v>1565.5754864117212</v>
      </c>
      <c r="V100">
        <v>9.9339955291511721</v>
      </c>
      <c r="W100">
        <v>1320.7540165331507</v>
      </c>
      <c r="X100">
        <v>7.3609860668367411</v>
      </c>
      <c r="Y100">
        <v>2918.7949262646425</v>
      </c>
      <c r="Z100">
        <v>9.9748533596917799</v>
      </c>
      <c r="AA100">
        <v>2756.3899149128511</v>
      </c>
      <c r="AB100">
        <v>7.3851430142736323</v>
      </c>
      <c r="AC100">
        <v>2226.1299933250566</v>
      </c>
      <c r="AD100">
        <v>9.9631598513712518</v>
      </c>
      <c r="AE100">
        <v>2035.649320334597</v>
      </c>
      <c r="AF100">
        <v>7.3782369642134942</v>
      </c>
      <c r="AG100">
        <v>2115.9343667656694</v>
      </c>
      <c r="AH100">
        <v>9.9520237382024508</v>
      </c>
      <c r="AI100">
        <v>1911.8037798241087</v>
      </c>
      <c r="AJ100">
        <v>7.3716544136355475</v>
      </c>
    </row>
    <row r="101" spans="4:36" x14ac:dyDescent="0.55000000000000004">
      <c r="D101">
        <v>94</v>
      </c>
      <c r="E101">
        <v>13.351663870743453</v>
      </c>
      <c r="F101">
        <v>0.52536389265939698</v>
      </c>
      <c r="G101">
        <v>0.16102096696036597</v>
      </c>
      <c r="H101">
        <v>15.961951269636769</v>
      </c>
      <c r="I101">
        <v>13.632041536626007</v>
      </c>
      <c r="J101">
        <v>0.31121294821129342</v>
      </c>
      <c r="K101">
        <v>9.5049752163977624E-2</v>
      </c>
      <c r="L101">
        <v>15.961695762998717</v>
      </c>
      <c r="M101">
        <v>13.476770121512798</v>
      </c>
      <c r="N101">
        <v>0.42985733257900705</v>
      </c>
      <c r="O101">
        <v>0.13154098592429453</v>
      </c>
      <c r="P101">
        <v>15.961831559983882</v>
      </c>
      <c r="Q101">
        <v>13.424007854318946</v>
      </c>
      <c r="R101">
        <v>0.47014591930984967</v>
      </c>
      <c r="S101">
        <v>0.14396531186248684</v>
      </c>
      <c r="T101">
        <v>15.961880914508706</v>
      </c>
      <c r="U101">
        <v>1654.8224693185132</v>
      </c>
      <c r="V101">
        <v>10.602715802842324</v>
      </c>
      <c r="W101">
        <v>1374.4105704014066</v>
      </c>
      <c r="X101">
        <v>7.7785017314721117</v>
      </c>
      <c r="Y101">
        <v>2926.4355182270956</v>
      </c>
      <c r="Z101">
        <v>10.655366836830257</v>
      </c>
      <c r="AA101">
        <v>2756.9757379863213</v>
      </c>
      <c r="AB101">
        <v>7.8094211739280892</v>
      </c>
      <c r="AC101">
        <v>2297.8536755967134</v>
      </c>
      <c r="AD101">
        <v>10.626212839511872</v>
      </c>
      <c r="AE101">
        <v>2076.7146072595574</v>
      </c>
      <c r="AF101">
        <v>7.7923149725710399</v>
      </c>
      <c r="AG101">
        <v>2177.4795028127696</v>
      </c>
      <c r="AH101">
        <v>10.61630396521976</v>
      </c>
      <c r="AI101">
        <v>1945.1216481271758</v>
      </c>
      <c r="AJ101">
        <v>7.7864927116638034</v>
      </c>
    </row>
    <row r="102" spans="4:36" x14ac:dyDescent="0.55000000000000004">
      <c r="D102">
        <v>95</v>
      </c>
      <c r="E102">
        <v>13.041344617325713</v>
      </c>
      <c r="F102">
        <v>0.45001208814357713</v>
      </c>
      <c r="G102">
        <v>0.18584115201969315</v>
      </c>
      <c r="H102">
        <v>16.322802142511005</v>
      </c>
      <c r="I102">
        <v>13.266901020919176</v>
      </c>
      <c r="J102">
        <v>0.29258489721289421</v>
      </c>
      <c r="K102">
        <v>0.12042500379927409</v>
      </c>
      <c r="L102">
        <v>16.320089078068648</v>
      </c>
      <c r="M102">
        <v>13.175232632796915</v>
      </c>
      <c r="N102">
        <v>0.35660274282594495</v>
      </c>
      <c r="O102">
        <v>0.14697294142614686</v>
      </c>
      <c r="P102">
        <v>16.321191682951014</v>
      </c>
      <c r="Q102">
        <v>13.114900920185907</v>
      </c>
      <c r="R102">
        <v>0.39870799077475827</v>
      </c>
      <c r="S102">
        <v>0.1644737145920788</v>
      </c>
      <c r="T102">
        <v>16.321917374447263</v>
      </c>
      <c r="U102">
        <v>1571.6023983906043</v>
      </c>
      <c r="V102">
        <v>10.37357577297815</v>
      </c>
      <c r="W102">
        <v>1319.5527551305652</v>
      </c>
      <c r="X102">
        <v>7.6475536579461458</v>
      </c>
      <c r="Y102">
        <v>2935.8672088409739</v>
      </c>
      <c r="Z102">
        <v>10.417130107313275</v>
      </c>
      <c r="AA102">
        <v>2765.8854034899346</v>
      </c>
      <c r="AB102">
        <v>7.6735488988114451</v>
      </c>
      <c r="AC102">
        <v>2254.3197189461171</v>
      </c>
      <c r="AD102">
        <v>10.399428540241088</v>
      </c>
      <c r="AE102">
        <v>2050.9994110653834</v>
      </c>
      <c r="AF102">
        <v>7.6629945643538928</v>
      </c>
      <c r="AG102">
        <v>2159.3106595376998</v>
      </c>
      <c r="AH102">
        <v>10.387778704591346</v>
      </c>
      <c r="AI102">
        <v>1937.9465793277739</v>
      </c>
      <c r="AJ102">
        <v>7.6560404707695451</v>
      </c>
    </row>
    <row r="103" spans="4:36" x14ac:dyDescent="0.55000000000000004">
      <c r="D103">
        <v>96</v>
      </c>
      <c r="E103">
        <v>14.042094171064536</v>
      </c>
      <c r="F103">
        <v>0.50705251469425794</v>
      </c>
      <c r="G103">
        <v>0.16892999225196451</v>
      </c>
      <c r="H103">
        <v>15.281923321989252</v>
      </c>
      <c r="I103">
        <v>14.270489130746725</v>
      </c>
      <c r="J103">
        <v>0.34228834707640216</v>
      </c>
      <c r="K103">
        <v>0.11370131291590964</v>
      </c>
      <c r="L103">
        <v>15.273521209260968</v>
      </c>
      <c r="M103">
        <v>14.177253108521185</v>
      </c>
      <c r="N103">
        <v>0.40958372534970205</v>
      </c>
      <c r="O103">
        <v>0.13621866934241689</v>
      </c>
      <c r="P103">
        <v>15.276944496786703</v>
      </c>
      <c r="Q103">
        <v>14.107397442025491</v>
      </c>
      <c r="R103">
        <v>0.45997228319362965</v>
      </c>
      <c r="S103">
        <v>0.15311493839852702</v>
      </c>
      <c r="T103">
        <v>15.279515336382358</v>
      </c>
      <c r="U103">
        <v>1606.7528986546138</v>
      </c>
      <c r="V103">
        <v>11.193273899481614</v>
      </c>
      <c r="W103">
        <v>1339.8329215660895</v>
      </c>
      <c r="X103">
        <v>8.1365240422324572</v>
      </c>
      <c r="Y103">
        <v>2945.3192996928942</v>
      </c>
      <c r="Z103">
        <v>11.244032289570951</v>
      </c>
      <c r="AA103">
        <v>2768.139227298921</v>
      </c>
      <c r="AB103">
        <v>8.1658962346223678</v>
      </c>
      <c r="AC103">
        <v>2288.4262493876104</v>
      </c>
      <c r="AD103">
        <v>11.223315559180481</v>
      </c>
      <c r="AE103">
        <v>2070.9353686269087</v>
      </c>
      <c r="AF103">
        <v>8.153918121294609</v>
      </c>
      <c r="AG103">
        <v>2205.1970278640861</v>
      </c>
      <c r="AH103">
        <v>11.207790257781935</v>
      </c>
      <c r="AI103">
        <v>1966.0328206052691</v>
      </c>
      <c r="AJ103">
        <v>8.1449326270556117</v>
      </c>
    </row>
    <row r="104" spans="4:36" x14ac:dyDescent="0.55000000000000004">
      <c r="D104">
        <v>97</v>
      </c>
      <c r="E104">
        <v>10.703768659232338</v>
      </c>
      <c r="F104">
        <v>0.39500027543426397</v>
      </c>
      <c r="G104">
        <v>0.14099092371760083</v>
      </c>
      <c r="H104">
        <v>18.760240141615789</v>
      </c>
      <c r="I104">
        <v>10.886832518307076</v>
      </c>
      <c r="J104">
        <v>0.25158236604163792</v>
      </c>
      <c r="K104">
        <v>8.9538371274448747E-2</v>
      </c>
      <c r="L104">
        <v>18.772046744376844</v>
      </c>
      <c r="M104">
        <v>10.853308064479265</v>
      </c>
      <c r="N104">
        <v>0.27785979357983992</v>
      </c>
      <c r="O104">
        <v>9.8943008002738586E-2</v>
      </c>
      <c r="P104">
        <v>18.769889133938172</v>
      </c>
      <c r="Q104">
        <v>10.810557072351287</v>
      </c>
      <c r="R104">
        <v>0.31136061197409637</v>
      </c>
      <c r="S104">
        <v>0.11094753962314527</v>
      </c>
      <c r="T104">
        <v>18.76713477605146</v>
      </c>
      <c r="U104">
        <v>1411.2511508774612</v>
      </c>
      <c r="V104">
        <v>8.4509942839076722</v>
      </c>
      <c r="W104">
        <v>1225.1990767451532</v>
      </c>
      <c r="X104">
        <v>6.4735119822362819</v>
      </c>
      <c r="Y104">
        <v>2829.3141211776401</v>
      </c>
      <c r="Z104">
        <v>8.4780635782534368</v>
      </c>
      <c r="AA104">
        <v>2703.9946730546189</v>
      </c>
      <c r="AB104">
        <v>6.4908961301110386</v>
      </c>
      <c r="AC104">
        <v>2114.3466547862727</v>
      </c>
      <c r="AD104">
        <v>8.4731036990373099</v>
      </c>
      <c r="AE104">
        <v>1969.730863626806</v>
      </c>
      <c r="AF104">
        <v>6.4877164456487462</v>
      </c>
      <c r="AG104">
        <v>2005.4088974414258</v>
      </c>
      <c r="AH104">
        <v>8.4667805089771875</v>
      </c>
      <c r="AI104">
        <v>1848.298425395647</v>
      </c>
      <c r="AJ104">
        <v>6.4836591511023309</v>
      </c>
    </row>
    <row r="105" spans="4:36" x14ac:dyDescent="0.55000000000000004">
      <c r="D105">
        <v>98</v>
      </c>
      <c r="E105">
        <v>12.500818706337556</v>
      </c>
      <c r="F105">
        <v>0.47681197080497667</v>
      </c>
      <c r="G105">
        <v>0.14914742547886314</v>
      </c>
      <c r="H105">
        <v>16.87322189737862</v>
      </c>
      <c r="I105">
        <v>12.741497214771325</v>
      </c>
      <c r="J105">
        <v>0.29927878400075192</v>
      </c>
      <c r="K105">
        <v>9.3300581657493026E-2</v>
      </c>
      <c r="L105">
        <v>16.865923419570436</v>
      </c>
      <c r="M105">
        <v>12.64884856554152</v>
      </c>
      <c r="N105">
        <v>0.36765891002267104</v>
      </c>
      <c r="O105">
        <v>0.11476591511656078</v>
      </c>
      <c r="P105">
        <v>16.868726609319239</v>
      </c>
      <c r="Q105">
        <v>12.618316255490072</v>
      </c>
      <c r="R105">
        <v>0.39018285820599086</v>
      </c>
      <c r="S105">
        <v>0.12184875639644153</v>
      </c>
      <c r="T105">
        <v>16.86965212990749</v>
      </c>
      <c r="U105">
        <v>1536.9784317166714</v>
      </c>
      <c r="V105">
        <v>9.8601973178336966</v>
      </c>
      <c r="W105">
        <v>1301.997833724211</v>
      </c>
      <c r="X105">
        <v>7.329539119037392</v>
      </c>
      <c r="Y105">
        <v>2872.812742482371</v>
      </c>
      <c r="Z105">
        <v>9.9089797637389463</v>
      </c>
      <c r="AA105">
        <v>2725.1047180371247</v>
      </c>
      <c r="AB105">
        <v>7.3584703387752208</v>
      </c>
      <c r="AC105">
        <v>2196.5593356539166</v>
      </c>
      <c r="AD105">
        <v>9.8902046642144441</v>
      </c>
      <c r="AE105">
        <v>2015.2201936051933</v>
      </c>
      <c r="AF105">
        <v>7.3473478271045165</v>
      </c>
      <c r="AG105">
        <v>2111.5212616030949</v>
      </c>
      <c r="AH105">
        <v>9.8840163602134865</v>
      </c>
      <c r="AI105">
        <v>1911.8644723449218</v>
      </c>
      <c r="AJ105">
        <v>7.3436784561401556</v>
      </c>
    </row>
    <row r="106" spans="4:36" x14ac:dyDescent="0.55000000000000004">
      <c r="D106">
        <v>99</v>
      </c>
      <c r="E106">
        <v>12.452704136532187</v>
      </c>
      <c r="F106">
        <v>0.47373702790191591</v>
      </c>
      <c r="G106">
        <v>0.16803013767422165</v>
      </c>
      <c r="H106">
        <v>16.905528697891683</v>
      </c>
      <c r="I106">
        <v>12.686199118146275</v>
      </c>
      <c r="J106">
        <v>0.29784105403287736</v>
      </c>
      <c r="K106">
        <v>0.10527693982154965</v>
      </c>
      <c r="L106">
        <v>16.910682887999286</v>
      </c>
      <c r="M106">
        <v>12.615485654541487</v>
      </c>
      <c r="N106">
        <v>0.35114212882405593</v>
      </c>
      <c r="O106">
        <v>0.12424639957882644</v>
      </c>
      <c r="P106">
        <v>16.909125817055624</v>
      </c>
      <c r="Q106">
        <v>12.559389882631745</v>
      </c>
      <c r="R106">
        <v>0.39340565514941311</v>
      </c>
      <c r="S106">
        <v>0.13931622045516981</v>
      </c>
      <c r="T106">
        <v>16.907888241763665</v>
      </c>
      <c r="U106">
        <v>1558.7663634233534</v>
      </c>
      <c r="V106">
        <v>9.9603615321291379</v>
      </c>
      <c r="W106">
        <v>1317.7380365012243</v>
      </c>
      <c r="X106">
        <v>7.4074152682879584</v>
      </c>
      <c r="Y106">
        <v>2882.8390408183404</v>
      </c>
      <c r="Z106">
        <v>10.003754239434004</v>
      </c>
      <c r="AA106">
        <v>2732.2164108665725</v>
      </c>
      <c r="AB106">
        <v>7.4337615181001588</v>
      </c>
      <c r="AC106">
        <v>2203.0216125972415</v>
      </c>
      <c r="AD106">
        <v>9.9906106263618621</v>
      </c>
      <c r="AE106">
        <v>2020.6986061700436</v>
      </c>
      <c r="AF106">
        <v>7.4257922556830325</v>
      </c>
      <c r="AG106">
        <v>2106.0239571013944</v>
      </c>
      <c r="AH106">
        <v>9.9801853923652075</v>
      </c>
      <c r="AI106">
        <v>1906.8785676549355</v>
      </c>
      <c r="AJ106">
        <v>7.4194644475221079</v>
      </c>
    </row>
    <row r="107" spans="4:36" x14ac:dyDescent="0.55000000000000004">
      <c r="D107">
        <v>100</v>
      </c>
      <c r="E107">
        <v>11.988366246239071</v>
      </c>
      <c r="F107">
        <v>0.44170644700127754</v>
      </c>
      <c r="G107">
        <v>0.13853536743591904</v>
      </c>
      <c r="H107">
        <v>17.431391939323724</v>
      </c>
      <c r="I107">
        <v>12.226207556570802</v>
      </c>
      <c r="J107">
        <v>0.2658080094395448</v>
      </c>
      <c r="K107">
        <v>8.3069260847260087E-2</v>
      </c>
      <c r="L107">
        <v>17.424915173142395</v>
      </c>
      <c r="M107">
        <v>12.138467970537324</v>
      </c>
      <c r="N107">
        <v>0.33073512679382755</v>
      </c>
      <c r="O107">
        <v>0.10349592089973912</v>
      </c>
      <c r="P107">
        <v>17.427300981769115</v>
      </c>
      <c r="Q107">
        <v>12.104692959220216</v>
      </c>
      <c r="R107">
        <v>0.35571670241757702</v>
      </c>
      <c r="S107">
        <v>0.11136987229937746</v>
      </c>
      <c r="T107">
        <v>17.428220466062847</v>
      </c>
      <c r="U107">
        <v>1488.8462082609062</v>
      </c>
      <c r="V107">
        <v>9.4885930434969712</v>
      </c>
      <c r="W107">
        <v>1270.8901674050308</v>
      </c>
      <c r="X107">
        <v>7.1133131320439853</v>
      </c>
      <c r="Y107">
        <v>2858.8158192662891</v>
      </c>
      <c r="Z107">
        <v>9.5380318252614202</v>
      </c>
      <c r="AA107">
        <v>2718.7701962293363</v>
      </c>
      <c r="AB107">
        <v>7.1430564418953235</v>
      </c>
      <c r="AC107">
        <v>2203.8678175080449</v>
      </c>
      <c r="AD107">
        <v>9.519795612829741</v>
      </c>
      <c r="AE107">
        <v>2025.5271048972199</v>
      </c>
      <c r="AF107">
        <v>7.1320988591914576</v>
      </c>
      <c r="AG107">
        <v>2069.2785856203382</v>
      </c>
      <c r="AH107">
        <v>9.5127751142322801</v>
      </c>
      <c r="AI107">
        <v>1884.9370686938469</v>
      </c>
      <c r="AJ107">
        <v>7.1278762204727952</v>
      </c>
    </row>
    <row r="108" spans="4:36" x14ac:dyDescent="0.55000000000000004">
      <c r="D108">
        <v>101</v>
      </c>
      <c r="E108">
        <v>15.229605732386583</v>
      </c>
      <c r="F108">
        <v>0.49094472477634038</v>
      </c>
      <c r="G108">
        <v>0.18387084839730072</v>
      </c>
      <c r="H108">
        <v>14.095578694439778</v>
      </c>
      <c r="I108">
        <v>15.522861897706218</v>
      </c>
      <c r="J108">
        <v>0.3159949509393194</v>
      </c>
      <c r="K108">
        <v>0.11790495464973229</v>
      </c>
      <c r="L108">
        <v>14.043238196704735</v>
      </c>
      <c r="M108">
        <v>15.375850881027635</v>
      </c>
      <c r="N108">
        <v>0.40377028176914043</v>
      </c>
      <c r="O108">
        <v>0.15093819722957924</v>
      </c>
      <c r="P108">
        <v>14.069440639973644</v>
      </c>
      <c r="Q108">
        <v>15.347531438074252</v>
      </c>
      <c r="R108">
        <v>0.42066230122605164</v>
      </c>
      <c r="S108">
        <v>0.15730979985707924</v>
      </c>
      <c r="T108">
        <v>14.074496460842628</v>
      </c>
      <c r="U108">
        <v>1655.1184583673059</v>
      </c>
      <c r="V108">
        <v>12.075074231490262</v>
      </c>
      <c r="W108">
        <v>1367.9802821514993</v>
      </c>
      <c r="X108">
        <v>8.6472289689994142</v>
      </c>
      <c r="Y108">
        <v>2960.3918728643612</v>
      </c>
      <c r="Z108">
        <v>12.163655004959214</v>
      </c>
      <c r="AA108">
        <v>2775.5515335507694</v>
      </c>
      <c r="AB108">
        <v>8.6966754987489931</v>
      </c>
      <c r="AC108">
        <v>2312.5955047814718</v>
      </c>
      <c r="AD108">
        <v>12.119269104454299</v>
      </c>
      <c r="AE108">
        <v>2082.3542634328114</v>
      </c>
      <c r="AF108">
        <v>8.6719164792112391</v>
      </c>
      <c r="AG108">
        <v>2207.7917320568481</v>
      </c>
      <c r="AH108">
        <v>12.110714196740027</v>
      </c>
      <c r="AI108">
        <v>1963.5062720771507</v>
      </c>
      <c r="AJ108">
        <v>8.6671404047362017</v>
      </c>
    </row>
    <row r="109" spans="4:36" x14ac:dyDescent="0.55000000000000004">
      <c r="D109">
        <v>102</v>
      </c>
      <c r="E109">
        <v>13.074391481649277</v>
      </c>
      <c r="F109">
        <v>0.45628898263356521</v>
      </c>
      <c r="G109">
        <v>0.1619852863464232</v>
      </c>
      <c r="H109">
        <v>16.307334249370747</v>
      </c>
      <c r="I109">
        <v>13.284274010072684</v>
      </c>
      <c r="J109">
        <v>0.30664465022389698</v>
      </c>
      <c r="K109">
        <v>0.10856141685087796</v>
      </c>
      <c r="L109">
        <v>16.300519922852555</v>
      </c>
      <c r="M109">
        <v>13.186984813756048</v>
      </c>
      <c r="N109">
        <v>0.3760434999622525</v>
      </c>
      <c r="O109">
        <v>0.13330007767094521</v>
      </c>
      <c r="P109">
        <v>16.30367160861076</v>
      </c>
      <c r="Q109">
        <v>13.164485264952281</v>
      </c>
      <c r="R109">
        <v>0.39208501794650047</v>
      </c>
      <c r="S109">
        <v>0.139027510740866</v>
      </c>
      <c r="T109">
        <v>16.304402206360354</v>
      </c>
      <c r="U109">
        <v>1535.107431498508</v>
      </c>
      <c r="V109">
        <v>10.344042799865045</v>
      </c>
      <c r="W109">
        <v>1298.0832314706763</v>
      </c>
      <c r="X109">
        <v>7.6255286026066127</v>
      </c>
      <c r="Y109">
        <v>2892.368713353665</v>
      </c>
      <c r="Z109">
        <v>10.38791967896741</v>
      </c>
      <c r="AA109">
        <v>2736.5971342601529</v>
      </c>
      <c r="AB109">
        <v>7.6512029978263607</v>
      </c>
      <c r="AC109">
        <v>2230.7861362573258</v>
      </c>
      <c r="AD109">
        <v>10.367585081968667</v>
      </c>
      <c r="AE109">
        <v>2036.9616794020728</v>
      </c>
      <c r="AF109">
        <v>7.6393133746094142</v>
      </c>
      <c r="AG109">
        <v>2109.4966020104739</v>
      </c>
      <c r="AH109">
        <v>10.362881393539213</v>
      </c>
      <c r="AI109">
        <v>1906.8415200007983</v>
      </c>
      <c r="AJ109">
        <v>7.636560903372545</v>
      </c>
    </row>
    <row r="110" spans="4:36" x14ac:dyDescent="0.55000000000000004">
      <c r="D110">
        <v>103</v>
      </c>
      <c r="E110">
        <v>13.257979603383145</v>
      </c>
      <c r="F110">
        <v>0.4427828527834155</v>
      </c>
      <c r="G110">
        <v>0.15218554447918203</v>
      </c>
      <c r="H110">
        <v>16.147051999354264</v>
      </c>
      <c r="I110">
        <v>13.507116634217786</v>
      </c>
      <c r="J110">
        <v>0.27834395629596936</v>
      </c>
      <c r="K110">
        <v>9.5347509236229727E-2</v>
      </c>
      <c r="L110">
        <v>16.119191900250019</v>
      </c>
      <c r="M110">
        <v>13.405801582205088</v>
      </c>
      <c r="N110">
        <v>0.34526486726222322</v>
      </c>
      <c r="O110">
        <v>0.11843196975094486</v>
      </c>
      <c r="P110">
        <v>16.130501580781736</v>
      </c>
      <c r="Q110">
        <v>13.326072826554269</v>
      </c>
      <c r="R110">
        <v>0.39787990216668639</v>
      </c>
      <c r="S110">
        <v>0.13662641860909777</v>
      </c>
      <c r="T110">
        <v>16.13942085266995</v>
      </c>
      <c r="U110">
        <v>1541.211877034423</v>
      </c>
      <c r="V110">
        <v>10.471253763923816</v>
      </c>
      <c r="W110">
        <v>1302.5606918536268</v>
      </c>
      <c r="X110">
        <v>7.7029335684705531</v>
      </c>
      <c r="Y110">
        <v>2877.5890400012577</v>
      </c>
      <c r="Z110">
        <v>10.535557349519211</v>
      </c>
      <c r="AA110">
        <v>2727.0281077007448</v>
      </c>
      <c r="AB110">
        <v>7.7399067107627246</v>
      </c>
      <c r="AC110">
        <v>2221.965043212555</v>
      </c>
      <c r="AD110">
        <v>10.509419132667585</v>
      </c>
      <c r="AE110">
        <v>2031.7671151255977</v>
      </c>
      <c r="AF110">
        <v>7.7248916226524305</v>
      </c>
      <c r="AG110">
        <v>2126.1181067587008</v>
      </c>
      <c r="AH110">
        <v>10.488838672281863</v>
      </c>
      <c r="AI110">
        <v>1917.8848161927731</v>
      </c>
      <c r="AJ110">
        <v>7.7130559119659523</v>
      </c>
    </row>
    <row r="111" spans="4:36" x14ac:dyDescent="0.55000000000000004">
      <c r="D111">
        <v>104</v>
      </c>
      <c r="E111">
        <v>13.151799244451144</v>
      </c>
      <c r="F111">
        <v>0.47311227883366835</v>
      </c>
      <c r="G111">
        <v>0.15184415127812192</v>
      </c>
      <c r="H111">
        <v>16.223244325437072</v>
      </c>
      <c r="I111">
        <v>13.391601649158575</v>
      </c>
      <c r="J111">
        <v>0.30416506428271978</v>
      </c>
      <c r="K111">
        <v>9.7281210518569736E-2</v>
      </c>
      <c r="L111">
        <v>16.206952076040142</v>
      </c>
      <c r="M111">
        <v>13.300980857174141</v>
      </c>
      <c r="N111">
        <v>0.36805066192607672</v>
      </c>
      <c r="O111">
        <v>0.11786822055659998</v>
      </c>
      <c r="P111">
        <v>16.21310026034319</v>
      </c>
      <c r="Q111">
        <v>13.303901833228769</v>
      </c>
      <c r="R111">
        <v>0.36599220968639268</v>
      </c>
      <c r="S111">
        <v>0.1172040334135955</v>
      </c>
      <c r="T111">
        <v>16.212901923671232</v>
      </c>
      <c r="U111">
        <v>1564.0977409645027</v>
      </c>
      <c r="V111">
        <v>10.460112243455063</v>
      </c>
      <c r="W111">
        <v>1317.0566359189443</v>
      </c>
      <c r="X111">
        <v>7.7027362383437445</v>
      </c>
      <c r="Y111">
        <v>2922.124601895302</v>
      </c>
      <c r="Z111">
        <v>10.517261380111279</v>
      </c>
      <c r="AA111">
        <v>2757.8852167969621</v>
      </c>
      <c r="AB111">
        <v>7.7361742756960243</v>
      </c>
      <c r="AC111">
        <v>2233.2782389984432</v>
      </c>
      <c r="AD111">
        <v>10.495669589858254</v>
      </c>
      <c r="AE111">
        <v>2038.2943299935562</v>
      </c>
      <c r="AF111">
        <v>7.7235538344405859</v>
      </c>
      <c r="AG111">
        <v>2148.0128775495987</v>
      </c>
      <c r="AH111">
        <v>10.496365646468922</v>
      </c>
      <c r="AI111">
        <v>1936.0610444385779</v>
      </c>
      <c r="AJ111">
        <v>7.7239609244446212</v>
      </c>
    </row>
    <row r="112" spans="4:36" x14ac:dyDescent="0.55000000000000004">
      <c r="D112">
        <v>105</v>
      </c>
      <c r="E112">
        <v>12.367318618279553</v>
      </c>
      <c r="F112">
        <v>0.47020923853841534</v>
      </c>
      <c r="G112">
        <v>0.17885020140035279</v>
      </c>
      <c r="H112">
        <v>16.983621941781681</v>
      </c>
      <c r="I112">
        <v>12.609849220919044</v>
      </c>
      <c r="J112">
        <v>0.29255807808060685</v>
      </c>
      <c r="K112">
        <v>0.11087952761864983</v>
      </c>
      <c r="L112">
        <v>16.986713173381698</v>
      </c>
      <c r="M112">
        <v>12.510605499652547</v>
      </c>
      <c r="N112">
        <v>0.36529452265314205</v>
      </c>
      <c r="O112">
        <v>0.13864919886840413</v>
      </c>
      <c r="P112">
        <v>16.985450778825903</v>
      </c>
      <c r="Q112">
        <v>12.468620053925365</v>
      </c>
      <c r="R112">
        <v>0.39604874342997864</v>
      </c>
      <c r="S112">
        <v>0.15041553956161954</v>
      </c>
      <c r="T112">
        <v>16.984915663083033</v>
      </c>
      <c r="U112">
        <v>1523.8913434994038</v>
      </c>
      <c r="V112">
        <v>9.7321112200277984</v>
      </c>
      <c r="W112">
        <v>1289.8350703770809</v>
      </c>
      <c r="X112">
        <v>7.2453829585958616</v>
      </c>
      <c r="Y112">
        <v>2895.3995829209462</v>
      </c>
      <c r="Z112">
        <v>9.7741302823367509</v>
      </c>
      <c r="AA112">
        <v>2740.7485724268945</v>
      </c>
      <c r="AB112">
        <v>7.270836630593501</v>
      </c>
      <c r="AC112">
        <v>2225.7785878733962</v>
      </c>
      <c r="AD112">
        <v>9.7569344403984726</v>
      </c>
      <c r="AE112">
        <v>2035.0772872301657</v>
      </c>
      <c r="AF112">
        <v>7.2604325245910744</v>
      </c>
      <c r="AG112">
        <v>2125.4142408785001</v>
      </c>
      <c r="AH112">
        <v>9.7496603394469616</v>
      </c>
      <c r="AI112">
        <v>1919.4953204664459</v>
      </c>
      <c r="AJ112">
        <v>7.2560262307590442</v>
      </c>
    </row>
    <row r="113" spans="4:36" x14ac:dyDescent="0.55000000000000004">
      <c r="D113">
        <v>106</v>
      </c>
      <c r="E113">
        <v>12.026998562381948</v>
      </c>
      <c r="F113">
        <v>0.45562993128026846</v>
      </c>
      <c r="G113">
        <v>0.11355404358859306</v>
      </c>
      <c r="H113">
        <v>17.403817462749174</v>
      </c>
      <c r="I113">
        <v>12.215300900409693</v>
      </c>
      <c r="J113">
        <v>0.30293059173568804</v>
      </c>
      <c r="K113">
        <v>7.5294312278857994E-2</v>
      </c>
      <c r="L113">
        <v>17.406474195575754</v>
      </c>
      <c r="M113">
        <v>12.116482664903909</v>
      </c>
      <c r="N113">
        <v>0.38308472304427266</v>
      </c>
      <c r="O113">
        <v>9.5351323937500052E-2</v>
      </c>
      <c r="P113">
        <v>17.405081288114307</v>
      </c>
      <c r="Q113">
        <v>12.105589091982987</v>
      </c>
      <c r="R113">
        <v>0.39191812331019849</v>
      </c>
      <c r="S113">
        <v>9.7565224623728089E-2</v>
      </c>
      <c r="T113">
        <v>17.404927560083085</v>
      </c>
      <c r="U113">
        <v>1469.1087207503715</v>
      </c>
      <c r="V113">
        <v>9.501930306105816</v>
      </c>
      <c r="W113">
        <v>1261.2799197721936</v>
      </c>
      <c r="X113">
        <v>7.1191203664561176</v>
      </c>
      <c r="Y113">
        <v>2844.5405267082892</v>
      </c>
      <c r="Z113">
        <v>9.5362900582435763</v>
      </c>
      <c r="AA113">
        <v>2709.3448545044698</v>
      </c>
      <c r="AB113">
        <v>7.1399960610404118</v>
      </c>
      <c r="AC113">
        <v>2194.4231084773696</v>
      </c>
      <c r="AD113">
        <v>9.5182580793782936</v>
      </c>
      <c r="AE113">
        <v>2019.6826449803791</v>
      </c>
      <c r="AF113">
        <v>7.129048994010784</v>
      </c>
      <c r="AG113">
        <v>2058.0540246574456</v>
      </c>
      <c r="AH113">
        <v>9.5162703283561516</v>
      </c>
      <c r="AI113">
        <v>1879.1390659235017</v>
      </c>
      <c r="AJ113">
        <v>7.1278411040700478</v>
      </c>
    </row>
    <row r="114" spans="4:36" x14ac:dyDescent="0.55000000000000004">
      <c r="D114">
        <v>107</v>
      </c>
      <c r="E114">
        <v>12.311818591893907</v>
      </c>
      <c r="F114">
        <v>0.43624058961852269</v>
      </c>
      <c r="G114">
        <v>0.14614267462261493</v>
      </c>
      <c r="H114">
        <v>17.105798143864956</v>
      </c>
      <c r="I114">
        <v>12.511199370175758</v>
      </c>
      <c r="J114">
        <v>0.28855809775548413</v>
      </c>
      <c r="K114">
        <v>9.6395514157552792E-2</v>
      </c>
      <c r="L114">
        <v>17.103847017911193</v>
      </c>
      <c r="M114">
        <v>12.410695364313128</v>
      </c>
      <c r="N114">
        <v>0.36303037047850634</v>
      </c>
      <c r="O114">
        <v>0.12144600648782571</v>
      </c>
      <c r="P114">
        <v>17.104828258720541</v>
      </c>
      <c r="Q114">
        <v>12.392992194412249</v>
      </c>
      <c r="R114">
        <v>0.37614225109346844</v>
      </c>
      <c r="S114">
        <v>0.12586397695862914</v>
      </c>
      <c r="T114">
        <v>17.105001577535635</v>
      </c>
      <c r="U114">
        <v>1529.8870719818676</v>
      </c>
      <c r="V114">
        <v>9.6940297099183823</v>
      </c>
      <c r="W114">
        <v>1298.264191576854</v>
      </c>
      <c r="X114">
        <v>7.2300483130389877</v>
      </c>
      <c r="Y114">
        <v>2884.5758204113413</v>
      </c>
      <c r="Z114">
        <v>9.7321639429643056</v>
      </c>
      <c r="AA114">
        <v>2733.7664627875038</v>
      </c>
      <c r="AB114">
        <v>7.2528753118484168</v>
      </c>
      <c r="AC114">
        <v>2209.2495986786148</v>
      </c>
      <c r="AD114">
        <v>9.7129426102441201</v>
      </c>
      <c r="AE114">
        <v>2023.8509848696283</v>
      </c>
      <c r="AF114">
        <v>7.2413785198081353</v>
      </c>
      <c r="AG114">
        <v>2121.344393283337</v>
      </c>
      <c r="AH114">
        <v>9.709556595798821</v>
      </c>
      <c r="AI114">
        <v>1919.1069403750009</v>
      </c>
      <c r="AJ114">
        <v>7.2393513619059959</v>
      </c>
    </row>
    <row r="115" spans="4:36" x14ac:dyDescent="0.55000000000000004">
      <c r="D115">
        <v>108</v>
      </c>
      <c r="E115">
        <v>14.251369192372435</v>
      </c>
      <c r="F115">
        <v>0.4950289256211397</v>
      </c>
      <c r="G115">
        <v>0.19855574994538497</v>
      </c>
      <c r="H115">
        <v>15.055046132061026</v>
      </c>
      <c r="I115">
        <v>14.507370290504246</v>
      </c>
      <c r="J115">
        <v>0.33132246049164332</v>
      </c>
      <c r="K115">
        <v>0.1324438584464265</v>
      </c>
      <c r="L115">
        <v>15.028863390557683</v>
      </c>
      <c r="M115">
        <v>14.402040905814072</v>
      </c>
      <c r="N115">
        <v>0.39873014218313152</v>
      </c>
      <c r="O115">
        <v>0.15961088059769557</v>
      </c>
      <c r="P115">
        <v>15.039618071405092</v>
      </c>
      <c r="Q115">
        <v>14.37561763427577</v>
      </c>
      <c r="R115">
        <v>0.41562886800987064</v>
      </c>
      <c r="S115">
        <v>0.16643354593838947</v>
      </c>
      <c r="T115">
        <v>15.042319951775951</v>
      </c>
      <c r="U115">
        <v>1648.1074065192238</v>
      </c>
      <c r="V115">
        <v>11.204679484179653</v>
      </c>
      <c r="W115">
        <v>1365.9999782722482</v>
      </c>
      <c r="X115">
        <v>8.1208939221058589</v>
      </c>
      <c r="Y115">
        <v>2982.7167129171876</v>
      </c>
      <c r="Z115">
        <v>11.266885074405067</v>
      </c>
      <c r="AA115">
        <v>2792.8151930595041</v>
      </c>
      <c r="AB115">
        <v>8.1562945053460272</v>
      </c>
      <c r="AC115">
        <v>2306.9941633737399</v>
      </c>
      <c r="AD115">
        <v>11.241301261254536</v>
      </c>
      <c r="AE115">
        <v>2081.2496721709686</v>
      </c>
      <c r="AF115">
        <v>8.1417473016231803</v>
      </c>
      <c r="AG115">
        <v>2204.4673936007766</v>
      </c>
      <c r="AH115">
        <v>11.234881011176553</v>
      </c>
      <c r="AI115">
        <v>1964.3152085614213</v>
      </c>
      <c r="AJ115">
        <v>8.138094002603923</v>
      </c>
    </row>
    <row r="116" spans="4:36" x14ac:dyDescent="0.55000000000000004">
      <c r="D116">
        <v>109</v>
      </c>
      <c r="E116">
        <v>13.054456473936035</v>
      </c>
      <c r="F116">
        <v>0.48954690283691865</v>
      </c>
      <c r="G116">
        <v>0.16888823607601827</v>
      </c>
      <c r="H116">
        <v>16.287108387151044</v>
      </c>
      <c r="I116">
        <v>13.313860355274644</v>
      </c>
      <c r="J116">
        <v>0.30239139794355746</v>
      </c>
      <c r="K116">
        <v>0.10394838240240595</v>
      </c>
      <c r="L116">
        <v>16.279799864379406</v>
      </c>
      <c r="M116">
        <v>13.211932211111021</v>
      </c>
      <c r="N116">
        <v>0.37597743779950471</v>
      </c>
      <c r="O116">
        <v>0.1294251710833505</v>
      </c>
      <c r="P116">
        <v>16.282665180006138</v>
      </c>
      <c r="Q116">
        <v>13.142918028717434</v>
      </c>
      <c r="R116">
        <v>0.4257674091831874</v>
      </c>
      <c r="S116">
        <v>0.14670459958724175</v>
      </c>
      <c r="T116">
        <v>16.284609962512146</v>
      </c>
      <c r="U116">
        <v>1586.2136019414245</v>
      </c>
      <c r="V116">
        <v>10.420868907179692</v>
      </c>
      <c r="W116">
        <v>1329.4052174301169</v>
      </c>
      <c r="X116">
        <v>7.681432304927533</v>
      </c>
      <c r="Y116">
        <v>2912.6962634745819</v>
      </c>
      <c r="Z116">
        <v>10.477724868367778</v>
      </c>
      <c r="AA116">
        <v>2749.3208501302229</v>
      </c>
      <c r="AB116">
        <v>7.7150041090447337</v>
      </c>
      <c r="AC116">
        <v>2227.7011315743493</v>
      </c>
      <c r="AD116">
        <v>10.455387292725735</v>
      </c>
      <c r="AE116">
        <v>2031.4045698787252</v>
      </c>
      <c r="AF116">
        <v>7.7018292596252493</v>
      </c>
      <c r="AG116">
        <v>2173.5665109968627</v>
      </c>
      <c r="AH116">
        <v>10.440260648760399</v>
      </c>
      <c r="AI116">
        <v>1948.2422389837322</v>
      </c>
      <c r="AJ116">
        <v>7.692896597246393</v>
      </c>
    </row>
    <row r="117" spans="4:36" x14ac:dyDescent="0.55000000000000004">
      <c r="D117">
        <v>110</v>
      </c>
      <c r="E117">
        <v>13.321561145531437</v>
      </c>
      <c r="F117">
        <v>0.46151973169466665</v>
      </c>
      <c r="G117">
        <v>0.18349404960884033</v>
      </c>
      <c r="H117">
        <v>16.033425073165045</v>
      </c>
      <c r="I117">
        <v>13.542262509090763</v>
      </c>
      <c r="J117">
        <v>0.30541637903529428</v>
      </c>
      <c r="K117">
        <v>0.12103991681969217</v>
      </c>
      <c r="L117">
        <v>16.031281195054252</v>
      </c>
      <c r="M117">
        <v>13.431040230409975</v>
      </c>
      <c r="N117">
        <v>0.38412079120540632</v>
      </c>
      <c r="O117">
        <v>0.15247718789048284</v>
      </c>
      <c r="P117">
        <v>16.032361790494129</v>
      </c>
      <c r="Q117">
        <v>13.347799964034463</v>
      </c>
      <c r="R117">
        <v>0.44297609782306879</v>
      </c>
      <c r="S117">
        <v>0.17605366655663865</v>
      </c>
      <c r="T117">
        <v>16.033170271585842</v>
      </c>
      <c r="U117">
        <v>1564.4479555700352</v>
      </c>
      <c r="V117">
        <v>10.46143128198921</v>
      </c>
      <c r="W117">
        <v>1314.5294501325081</v>
      </c>
      <c r="X117">
        <v>7.6803541738844165</v>
      </c>
      <c r="Y117">
        <v>2916.2783436175423</v>
      </c>
      <c r="Z117">
        <v>10.502410921670519</v>
      </c>
      <c r="AA117">
        <v>2751.1439176063268</v>
      </c>
      <c r="AB117">
        <v>7.7046711427074399</v>
      </c>
      <c r="AC117">
        <v>2248.2873164841026</v>
      </c>
      <c r="AD117">
        <v>10.481759021809172</v>
      </c>
      <c r="AE117">
        <v>2045.3098139627953</v>
      </c>
      <c r="AF117">
        <v>7.6924263029488165</v>
      </c>
      <c r="AG117">
        <v>2161.5250997512521</v>
      </c>
      <c r="AH117">
        <v>10.466303180846424</v>
      </c>
      <c r="AI117">
        <v>1937.242246243479</v>
      </c>
      <c r="AJ117">
        <v>7.6832492480270593</v>
      </c>
    </row>
    <row r="118" spans="4:36" x14ac:dyDescent="0.55000000000000004">
      <c r="D118">
        <v>111</v>
      </c>
      <c r="E118">
        <v>12.100248360212003</v>
      </c>
      <c r="F118">
        <v>0.45516307025228692</v>
      </c>
      <c r="G118">
        <v>0.16228250605331218</v>
      </c>
      <c r="H118">
        <v>17.282306063482402</v>
      </c>
      <c r="I118">
        <v>12.303514413030046</v>
      </c>
      <c r="J118">
        <v>0.29623124470236095</v>
      </c>
      <c r="K118">
        <v>0.10529488314443357</v>
      </c>
      <c r="L118">
        <v>17.294959459123156</v>
      </c>
      <c r="M118">
        <v>12.232511939451516</v>
      </c>
      <c r="N118">
        <v>0.35177100382337034</v>
      </c>
      <c r="O118">
        <v>0.12516945449326256</v>
      </c>
      <c r="P118">
        <v>17.29054760223184</v>
      </c>
      <c r="Q118">
        <v>12.196096306217385</v>
      </c>
      <c r="R118">
        <v>0.38024635482193575</v>
      </c>
      <c r="S118">
        <v>0.13537583374797701</v>
      </c>
      <c r="T118">
        <v>17.288281505212698</v>
      </c>
      <c r="U118">
        <v>1542.8034037655136</v>
      </c>
      <c r="V118">
        <v>9.5685684111368481</v>
      </c>
      <c r="W118">
        <v>1307.502545417688</v>
      </c>
      <c r="X118">
        <v>7.1541106070458822</v>
      </c>
      <c r="Y118">
        <v>2872.9961866602994</v>
      </c>
      <c r="Z118">
        <v>9.5972835386710589</v>
      </c>
      <c r="AA118">
        <v>2725.1245782629726</v>
      </c>
      <c r="AB118">
        <v>7.1720930289790781</v>
      </c>
      <c r="AC118">
        <v>2192.4209345235595</v>
      </c>
      <c r="AD118">
        <v>9.5872483034711262</v>
      </c>
      <c r="AE118">
        <v>2012.954454526913</v>
      </c>
      <c r="AF118">
        <v>7.1658168770796333</v>
      </c>
      <c r="AG118">
        <v>2093.7104650323131</v>
      </c>
      <c r="AH118">
        <v>9.582103443817779</v>
      </c>
      <c r="AI118">
        <v>1898.921028516258</v>
      </c>
      <c r="AJ118">
        <v>7.162595796823152</v>
      </c>
    </row>
    <row r="119" spans="4:36" x14ac:dyDescent="0.55000000000000004">
      <c r="D119">
        <v>112</v>
      </c>
      <c r="E119">
        <v>12.447641692784831</v>
      </c>
      <c r="F119">
        <v>0.41128041266973575</v>
      </c>
      <c r="G119">
        <v>0.15894085947341191</v>
      </c>
      <c r="H119">
        <v>16.982137035072014</v>
      </c>
      <c r="I119">
        <v>12.658322448000673</v>
      </c>
      <c r="J119">
        <v>0.2683525650198163</v>
      </c>
      <c r="K119">
        <v>0.10336337007221905</v>
      </c>
      <c r="L119">
        <v>16.969961616907302</v>
      </c>
      <c r="M119">
        <v>12.55447490278944</v>
      </c>
      <c r="N119">
        <v>0.33884050982779224</v>
      </c>
      <c r="O119">
        <v>0.1307259643040814</v>
      </c>
      <c r="P119">
        <v>16.975958623078697</v>
      </c>
      <c r="Q119">
        <v>12.524233278761997</v>
      </c>
      <c r="R119">
        <v>0.35935402254304971</v>
      </c>
      <c r="S119">
        <v>0.13870606081709957</v>
      </c>
      <c r="T119">
        <v>16.977706637877851</v>
      </c>
      <c r="U119">
        <v>1518.9575920593848</v>
      </c>
      <c r="V119">
        <v>9.8195761582401886</v>
      </c>
      <c r="W119">
        <v>1292.8046375510553</v>
      </c>
      <c r="X119">
        <v>7.3104173036045736</v>
      </c>
      <c r="Y119">
        <v>2888.2008742853232</v>
      </c>
      <c r="Z119">
        <v>9.8667605612435292</v>
      </c>
      <c r="AA119">
        <v>2738.5506314828158</v>
      </c>
      <c r="AB119">
        <v>7.3384245876092873</v>
      </c>
      <c r="AC119">
        <v>2213.6215703497301</v>
      </c>
      <c r="AD119">
        <v>9.8435054256334347</v>
      </c>
      <c r="AE119">
        <v>2029.6826612572547</v>
      </c>
      <c r="AF119">
        <v>7.3246323699922264</v>
      </c>
      <c r="AG119">
        <v>2099.6280439564143</v>
      </c>
      <c r="AH119">
        <v>9.8367322619124309</v>
      </c>
      <c r="AI119">
        <v>1904.8189705130499</v>
      </c>
      <c r="AJ119">
        <v>7.320611189760033</v>
      </c>
    </row>
    <row r="120" spans="4:36" x14ac:dyDescent="0.55000000000000004">
      <c r="D120">
        <v>113</v>
      </c>
      <c r="E120">
        <v>12.658053011151068</v>
      </c>
      <c r="F120">
        <v>0.51975322458696482</v>
      </c>
      <c r="G120">
        <v>0.17447019578517917</v>
      </c>
      <c r="H120">
        <v>16.647723568476778</v>
      </c>
      <c r="I120">
        <v>12.898804213951582</v>
      </c>
      <c r="J120">
        <v>0.32563649030926034</v>
      </c>
      <c r="K120">
        <v>0.1089372431282089</v>
      </c>
      <c r="L120">
        <v>16.666622052610936</v>
      </c>
      <c r="M120">
        <v>12.795996501336088</v>
      </c>
      <c r="N120">
        <v>0.40856133035907699</v>
      </c>
      <c r="O120">
        <v>0.13687686383245171</v>
      </c>
      <c r="P120">
        <v>16.658565304472361</v>
      </c>
      <c r="Q120">
        <v>12.759382678635314</v>
      </c>
      <c r="R120">
        <v>0.43808283206284399</v>
      </c>
      <c r="S120">
        <v>0.14684332885451526</v>
      </c>
      <c r="T120">
        <v>16.655691160447315</v>
      </c>
      <c r="U120">
        <v>1610.6792730379391</v>
      </c>
      <c r="V120">
        <v>10.072177128745468</v>
      </c>
      <c r="W120">
        <v>1345.7939254892567</v>
      </c>
      <c r="X120">
        <v>7.4620073578526345</v>
      </c>
      <c r="Y120">
        <v>2917.6511440079712</v>
      </c>
      <c r="Z120">
        <v>10.110177606178882</v>
      </c>
      <c r="AA120">
        <v>2751.5607273159653</v>
      </c>
      <c r="AB120">
        <v>7.4856507154725875</v>
      </c>
      <c r="AC120">
        <v>2246.6589466737983</v>
      </c>
      <c r="AD120">
        <v>10.09394184724222</v>
      </c>
      <c r="AE120">
        <v>2043.2861651244718</v>
      </c>
      <c r="AF120">
        <v>7.4755621343144956</v>
      </c>
      <c r="AG120">
        <v>2154.5007747410714</v>
      </c>
      <c r="AH120">
        <v>10.088162695304215</v>
      </c>
      <c r="AI120">
        <v>1933.62471217644</v>
      </c>
      <c r="AJ120">
        <v>7.4719663992577301</v>
      </c>
    </row>
    <row r="121" spans="4:36" x14ac:dyDescent="0.55000000000000004">
      <c r="D121">
        <v>114</v>
      </c>
      <c r="E121">
        <v>13.538062078450972</v>
      </c>
      <c r="F121">
        <v>0.48310848132820033</v>
      </c>
      <c r="G121">
        <v>0.15889067687684943</v>
      </c>
      <c r="H121">
        <v>15.819938763343989</v>
      </c>
      <c r="I121">
        <v>13.779523675895939</v>
      </c>
      <c r="J121">
        <v>0.3172282051020156</v>
      </c>
      <c r="K121">
        <v>0.10399185328197852</v>
      </c>
      <c r="L121">
        <v>15.799256265720068</v>
      </c>
      <c r="M121">
        <v>13.703554280892789</v>
      </c>
      <c r="N121">
        <v>0.36945679416853139</v>
      </c>
      <c r="O121">
        <v>0.12123767730575372</v>
      </c>
      <c r="P121">
        <v>15.805751247632923</v>
      </c>
      <c r="Q121">
        <v>13.667939701520629</v>
      </c>
      <c r="R121">
        <v>0.39392942666560732</v>
      </c>
      <c r="S121">
        <v>0.12933092455528028</v>
      </c>
      <c r="T121">
        <v>15.808799947258494</v>
      </c>
      <c r="U121">
        <v>1589.6973357553095</v>
      </c>
      <c r="V121">
        <v>10.726998026917508</v>
      </c>
      <c r="W121">
        <v>1331.6452305405978</v>
      </c>
      <c r="X121">
        <v>7.8540723892872961</v>
      </c>
      <c r="Y121">
        <v>2938.7187514226862</v>
      </c>
      <c r="Z121">
        <v>10.783162423047989</v>
      </c>
      <c r="AA121">
        <v>2766.7675951019173</v>
      </c>
      <c r="AB121">
        <v>7.8864143442214925</v>
      </c>
      <c r="AC121">
        <v>2235.2856147421599</v>
      </c>
      <c r="AD121">
        <v>10.7654990736571</v>
      </c>
      <c r="AE121">
        <v>2036.8681835112845</v>
      </c>
      <c r="AF121">
        <v>7.8762533997138515</v>
      </c>
      <c r="AG121">
        <v>2147.3915013878732</v>
      </c>
      <c r="AH121">
        <v>10.757216179723581</v>
      </c>
      <c r="AI121">
        <v>1930.5285601416745</v>
      </c>
      <c r="AJ121">
        <v>7.8714853482655078</v>
      </c>
    </row>
    <row r="122" spans="4:36" x14ac:dyDescent="0.55000000000000004">
      <c r="D122">
        <v>115</v>
      </c>
      <c r="E122">
        <v>12.282344359494653</v>
      </c>
      <c r="F122">
        <v>0.48422909105127515</v>
      </c>
      <c r="G122">
        <v>0.1966654672307937</v>
      </c>
      <c r="H122">
        <v>17.036761082223279</v>
      </c>
      <c r="I122">
        <v>12.508606708336922</v>
      </c>
      <c r="J122">
        <v>0.30802131805183103</v>
      </c>
      <c r="K122">
        <v>0.12465309911515855</v>
      </c>
      <c r="L122">
        <v>17.058718874496087</v>
      </c>
      <c r="M122">
        <v>12.438406314462195</v>
      </c>
      <c r="N122">
        <v>0.36271931402192265</v>
      </c>
      <c r="O122">
        <v>0.14695110868448874</v>
      </c>
      <c r="P122">
        <v>17.05192326283138</v>
      </c>
      <c r="Q122">
        <v>12.377203889150531</v>
      </c>
      <c r="R122">
        <v>0.41038618905688329</v>
      </c>
      <c r="S122">
        <v>0.16642369504500312</v>
      </c>
      <c r="T122">
        <v>17.045986226747594</v>
      </c>
      <c r="U122">
        <v>1587.4334853376411</v>
      </c>
      <c r="V122">
        <v>9.8097209510332899</v>
      </c>
      <c r="W122">
        <v>1334.1382757941783</v>
      </c>
      <c r="X122">
        <v>7.3076077707659532</v>
      </c>
      <c r="Y122">
        <v>2917.1305276609205</v>
      </c>
      <c r="Z122">
        <v>9.8379416487073446</v>
      </c>
      <c r="AA122">
        <v>2754.365810558772</v>
      </c>
      <c r="AB122">
        <v>7.3256215443675679</v>
      </c>
      <c r="AC122">
        <v>2233.6010712114817</v>
      </c>
      <c r="AD122">
        <v>9.8291773492950281</v>
      </c>
      <c r="AE122">
        <v>2039.5311321261265</v>
      </c>
      <c r="AF122">
        <v>7.3200366771924683</v>
      </c>
      <c r="AG122">
        <v>2148.0317624235054</v>
      </c>
      <c r="AH122">
        <v>9.8215426439140998</v>
      </c>
      <c r="AI122">
        <v>1933.4106129620136</v>
      </c>
      <c r="AJ122">
        <v>7.3151646535718449</v>
      </c>
    </row>
    <row r="123" spans="4:36" x14ac:dyDescent="0.55000000000000004">
      <c r="D123">
        <v>116</v>
      </c>
      <c r="E123">
        <v>13.572027195279295</v>
      </c>
      <c r="F123">
        <v>0.44929047413879908</v>
      </c>
      <c r="G123">
        <v>0.15573883831515919</v>
      </c>
      <c r="H123">
        <v>15.822943492266766</v>
      </c>
      <c r="I123">
        <v>13.767837553079806</v>
      </c>
      <c r="J123">
        <v>0.31368589898748905</v>
      </c>
      <c r="K123">
        <v>0.10843676862382882</v>
      </c>
      <c r="L123">
        <v>15.810039779308863</v>
      </c>
      <c r="M123">
        <v>13.657052752493293</v>
      </c>
      <c r="N123">
        <v>0.39043644198718896</v>
      </c>
      <c r="O123">
        <v>0.13517686097130319</v>
      </c>
      <c r="P123">
        <v>15.817333944548235</v>
      </c>
      <c r="Q123">
        <v>13.632615966537511</v>
      </c>
      <c r="R123">
        <v>0.40735593259246317</v>
      </c>
      <c r="S123">
        <v>0.14108296118456568</v>
      </c>
      <c r="T123">
        <v>15.81894513968548</v>
      </c>
      <c r="U123">
        <v>1554.6365508112351</v>
      </c>
      <c r="V123">
        <v>10.632688259222478</v>
      </c>
      <c r="W123">
        <v>1307.9962409220946</v>
      </c>
      <c r="X123">
        <v>7.783762813232304</v>
      </c>
      <c r="Y123">
        <v>2943.7145296790031</v>
      </c>
      <c r="Z123">
        <v>10.675635874770276</v>
      </c>
      <c r="AA123">
        <v>2770.5691618786395</v>
      </c>
      <c r="AB123">
        <v>7.808614257788463</v>
      </c>
      <c r="AC123">
        <v>2281.2732438881144</v>
      </c>
      <c r="AD123">
        <v>10.651341249851846</v>
      </c>
      <c r="AE123">
        <v>2069.0200488270607</v>
      </c>
      <c r="AF123">
        <v>7.794563888283216</v>
      </c>
      <c r="AG123">
        <v>2163.5086404086974</v>
      </c>
      <c r="AH123">
        <v>10.645980931934877</v>
      </c>
      <c r="AI123">
        <v>1941.2577392844319</v>
      </c>
      <c r="AJ123">
        <v>7.7914611812283265</v>
      </c>
    </row>
    <row r="124" spans="4:36" x14ac:dyDescent="0.55000000000000004">
      <c r="D124">
        <v>117</v>
      </c>
      <c r="E124">
        <v>13.171463739359437</v>
      </c>
      <c r="F124">
        <v>0.49145714067234625</v>
      </c>
      <c r="G124">
        <v>0.17994773885980858</v>
      </c>
      <c r="H124">
        <v>16.1571313811084</v>
      </c>
      <c r="I124">
        <v>13.417108071181501</v>
      </c>
      <c r="J124">
        <v>0.31689838841432633</v>
      </c>
      <c r="K124">
        <v>0.11561302345591951</v>
      </c>
      <c r="L124">
        <v>16.15038051694826</v>
      </c>
      <c r="M124">
        <v>13.355533996417645</v>
      </c>
      <c r="N124">
        <v>0.36068755859271662</v>
      </c>
      <c r="O124">
        <v>0.13170737979498995</v>
      </c>
      <c r="P124">
        <v>16.152071065194658</v>
      </c>
      <c r="Q124">
        <v>13.285214939814315</v>
      </c>
      <c r="R124">
        <v>0.4106683990346035</v>
      </c>
      <c r="S124">
        <v>0.15011360480133651</v>
      </c>
      <c r="T124">
        <v>16.154003056349747</v>
      </c>
      <c r="U124">
        <v>1613.5763669839314</v>
      </c>
      <c r="V124">
        <v>10.379758731881507</v>
      </c>
      <c r="W124">
        <v>1347.6606108799492</v>
      </c>
      <c r="X124">
        <v>7.6358352606622848</v>
      </c>
      <c r="Y124">
        <v>2911.8385081789602</v>
      </c>
      <c r="Z124">
        <v>10.431236285172774</v>
      </c>
      <c r="AA124">
        <v>2746.3338045977762</v>
      </c>
      <c r="AB124">
        <v>7.6664324405365232</v>
      </c>
      <c r="AC124">
        <v>2229.8875173895626</v>
      </c>
      <c r="AD124">
        <v>10.418332547071321</v>
      </c>
      <c r="AE124">
        <v>2032.8414887841896</v>
      </c>
      <c r="AF124">
        <v>7.658773192012073</v>
      </c>
      <c r="AG124">
        <v>2187.2302624933432</v>
      </c>
      <c r="AH124">
        <v>10.403596327431334</v>
      </c>
      <c r="AI124">
        <v>1957.9329612953625</v>
      </c>
      <c r="AJ124">
        <v>7.6500177224240984</v>
      </c>
    </row>
    <row r="125" spans="4:36" x14ac:dyDescent="0.55000000000000004">
      <c r="D125">
        <v>118</v>
      </c>
      <c r="E125">
        <v>13.139948853067187</v>
      </c>
      <c r="F125">
        <v>0.47035114143939377</v>
      </c>
      <c r="G125">
        <v>0.15062530675081046</v>
      </c>
      <c r="H125">
        <v>16.239074698742613</v>
      </c>
      <c r="I125">
        <v>13.360142293386492</v>
      </c>
      <c r="J125">
        <v>0.3145268192087784</v>
      </c>
      <c r="K125">
        <v>0.10042190631751119</v>
      </c>
      <c r="L125">
        <v>16.224908981087214</v>
      </c>
      <c r="M125">
        <v>13.285714088617686</v>
      </c>
      <c r="N125">
        <v>0.36722997671157959</v>
      </c>
      <c r="O125">
        <v>0.11736753312478146</v>
      </c>
      <c r="P125">
        <v>16.229688401545943</v>
      </c>
      <c r="Q125">
        <v>13.225759394955432</v>
      </c>
      <c r="R125">
        <v>0.40966024244031818</v>
      </c>
      <c r="S125">
        <v>0.13103546526475607</v>
      </c>
      <c r="T125">
        <v>16.233544897339492</v>
      </c>
      <c r="U125">
        <v>1575.0799848623303</v>
      </c>
      <c r="V125">
        <v>10.460362214704885</v>
      </c>
      <c r="W125">
        <v>1324.6513331540327</v>
      </c>
      <c r="X125">
        <v>7.7045727031291564</v>
      </c>
      <c r="Y125">
        <v>2942.7641819989431</v>
      </c>
      <c r="Z125">
        <v>10.512140854018957</v>
      </c>
      <c r="AA125">
        <v>2771.8945637091692</v>
      </c>
      <c r="AB125">
        <v>7.734821995002207</v>
      </c>
      <c r="AC125">
        <v>2219.4840751964498</v>
      </c>
      <c r="AD125">
        <v>10.494643489631093</v>
      </c>
      <c r="AE125">
        <v>2027.5760841067804</v>
      </c>
      <c r="AF125">
        <v>7.7246100338256403</v>
      </c>
      <c r="AG125">
        <v>2147.5640463362602</v>
      </c>
      <c r="AH125">
        <v>10.480545394773326</v>
      </c>
      <c r="AI125">
        <v>1931.9838858536336</v>
      </c>
      <c r="AJ125">
        <v>7.7163745322291586</v>
      </c>
    </row>
    <row r="126" spans="4:36" x14ac:dyDescent="0.55000000000000004">
      <c r="D126">
        <v>119</v>
      </c>
      <c r="E126">
        <v>11.670142000175256</v>
      </c>
      <c r="F126">
        <v>0.4236584317592052</v>
      </c>
      <c r="G126">
        <v>0.16490652416848858</v>
      </c>
      <c r="H126">
        <v>17.741293043897063</v>
      </c>
      <c r="I126">
        <v>11.859372928212524</v>
      </c>
      <c r="J126">
        <v>0.27721087374898357</v>
      </c>
      <c r="K126">
        <v>0.10757912847249522</v>
      </c>
      <c r="L126">
        <v>17.755837069565995</v>
      </c>
      <c r="M126">
        <v>11.776890432783393</v>
      </c>
      <c r="N126">
        <v>0.34106809437425589</v>
      </c>
      <c r="O126">
        <v>0.13253337295075235</v>
      </c>
      <c r="P126">
        <v>17.74950809989161</v>
      </c>
      <c r="Q126">
        <v>11.732487622586802</v>
      </c>
      <c r="R126">
        <v>0.3754295115754171</v>
      </c>
      <c r="S126">
        <v>0.14598855442723785</v>
      </c>
      <c r="T126">
        <v>17.746094311410531</v>
      </c>
      <c r="U126">
        <v>1509.0747852903257</v>
      </c>
      <c r="V126">
        <v>9.2388943464731348</v>
      </c>
      <c r="W126">
        <v>1287.172605719921</v>
      </c>
      <c r="X126">
        <v>6.9570745500635267</v>
      </c>
      <c r="Y126">
        <v>2860.886132029791</v>
      </c>
      <c r="Z126">
        <v>9.2639984633860735</v>
      </c>
      <c r="AA126">
        <v>2719.1313289565942</v>
      </c>
      <c r="AB126">
        <v>6.9730930703058744</v>
      </c>
      <c r="AC126">
        <v>2173.8382411001767</v>
      </c>
      <c r="AD126">
        <v>9.2530501767513709</v>
      </c>
      <c r="AE126">
        <v>2001.696312390226</v>
      </c>
      <c r="AF126">
        <v>6.9661154262514939</v>
      </c>
      <c r="AG126">
        <v>2098.8468736018181</v>
      </c>
      <c r="AH126">
        <v>9.2471601083894441</v>
      </c>
      <c r="AI126">
        <v>1905.3047417553034</v>
      </c>
      <c r="AJ126">
        <v>6.962356246843366</v>
      </c>
    </row>
    <row r="127" spans="4:36" x14ac:dyDescent="0.55000000000000004">
      <c r="D127">
        <v>120</v>
      </c>
      <c r="E127">
        <v>11.841928475988775</v>
      </c>
      <c r="F127">
        <v>0.41425502193731889</v>
      </c>
      <c r="G127">
        <v>0.15945082729146201</v>
      </c>
      <c r="H127">
        <v>17.584365674782443</v>
      </c>
      <c r="I127">
        <v>12.014340720360472</v>
      </c>
      <c r="J127">
        <v>0.28628185740430973</v>
      </c>
      <c r="K127">
        <v>0.10989347098723989</v>
      </c>
      <c r="L127">
        <v>17.589483951247992</v>
      </c>
      <c r="M127">
        <v>11.970760440152796</v>
      </c>
      <c r="N127">
        <v>0.31864566686701773</v>
      </c>
      <c r="O127">
        <v>0.12240052279420607</v>
      </c>
      <c r="P127">
        <v>17.588193370185991</v>
      </c>
      <c r="Q127">
        <v>11.906647105305828</v>
      </c>
      <c r="R127">
        <v>0.36623783858020031</v>
      </c>
      <c r="S127">
        <v>0.14082419883526184</v>
      </c>
      <c r="T127">
        <v>17.586290857278723</v>
      </c>
      <c r="U127">
        <v>1477.8722265021756</v>
      </c>
      <c r="V127">
        <v>9.4416344142188287</v>
      </c>
      <c r="W127">
        <v>1263.6064715636262</v>
      </c>
      <c r="X127">
        <v>7.0931808954654345</v>
      </c>
      <c r="Y127">
        <v>2888.0656111557469</v>
      </c>
      <c r="Z127">
        <v>9.4704627555374419</v>
      </c>
      <c r="AA127">
        <v>2738.3832447052164</v>
      </c>
      <c r="AB127">
        <v>7.110937989338793</v>
      </c>
      <c r="AC127">
        <v>2170.7589640244682</v>
      </c>
      <c r="AD127">
        <v>9.4631744316003825</v>
      </c>
      <c r="AE127">
        <v>2000.7299468753529</v>
      </c>
      <c r="AF127">
        <v>7.1064541034711661</v>
      </c>
      <c r="AG127">
        <v>2079.1313504958921</v>
      </c>
      <c r="AH127">
        <v>9.4524539507769809</v>
      </c>
      <c r="AI127">
        <v>1890.540862483886</v>
      </c>
      <c r="AJ127">
        <v>7.0998520515009629</v>
      </c>
    </row>
    <row r="128" spans="4:36" x14ac:dyDescent="0.55000000000000004">
      <c r="D128">
        <v>121</v>
      </c>
      <c r="E128">
        <v>13.222599512552357</v>
      </c>
      <c r="F128">
        <v>0.51556172025278812</v>
      </c>
      <c r="G128">
        <v>0.16378090247960478</v>
      </c>
      <c r="H128">
        <v>16.098057864715255</v>
      </c>
      <c r="I128">
        <v>13.46389012409284</v>
      </c>
      <c r="J128">
        <v>0.3310074033320457</v>
      </c>
      <c r="K128">
        <v>0.10481806626842537</v>
      </c>
      <c r="L128">
        <v>16.100284406306688</v>
      </c>
      <c r="M128">
        <v>13.375291180899213</v>
      </c>
      <c r="N128">
        <v>0.3988076340097283</v>
      </c>
      <c r="O128">
        <v>0.12643511721056261</v>
      </c>
      <c r="P128">
        <v>16.099466067880499</v>
      </c>
      <c r="Q128">
        <v>13.349919318220405</v>
      </c>
      <c r="R128">
        <v>0.41821615236807425</v>
      </c>
      <c r="S128">
        <v>0.13263264206471964</v>
      </c>
      <c r="T128">
        <v>16.099231887346793</v>
      </c>
      <c r="U128">
        <v>1568.6048401907526</v>
      </c>
      <c r="V128">
        <v>10.540174543188321</v>
      </c>
      <c r="W128">
        <v>1315.3727655429952</v>
      </c>
      <c r="X128">
        <v>7.7478122135062186</v>
      </c>
      <c r="Y128">
        <v>2936.804285189362</v>
      </c>
      <c r="Z128">
        <v>10.587584767906582</v>
      </c>
      <c r="AA128">
        <v>2765.5459891830365</v>
      </c>
      <c r="AB128">
        <v>7.7760638890118994</v>
      </c>
      <c r="AC128">
        <v>2270.8938745756154</v>
      </c>
      <c r="AD128">
        <v>10.570175773605506</v>
      </c>
      <c r="AE128">
        <v>2062.3706903410621</v>
      </c>
      <c r="AF128">
        <v>7.7657015921619985</v>
      </c>
      <c r="AG128">
        <v>2143.2921395395169</v>
      </c>
      <c r="AH128">
        <v>10.565190518587565</v>
      </c>
      <c r="AI128">
        <v>1927.2250925491546</v>
      </c>
      <c r="AJ128">
        <v>7.7627317500460915</v>
      </c>
    </row>
    <row r="129" spans="4:36" x14ac:dyDescent="0.55000000000000004">
      <c r="D129">
        <v>122</v>
      </c>
      <c r="E129">
        <v>11.175571292695983</v>
      </c>
      <c r="F129">
        <v>0.40298862607615271</v>
      </c>
      <c r="G129">
        <v>0.1399970880412833</v>
      </c>
      <c r="H129">
        <v>18.281442993186577</v>
      </c>
      <c r="I129">
        <v>11.378543641512184</v>
      </c>
      <c r="J129">
        <v>0.24530203182397708</v>
      </c>
      <c r="K129">
        <v>8.4961610469754284E-2</v>
      </c>
      <c r="L129">
        <v>18.291192716194089</v>
      </c>
      <c r="M129">
        <v>11.299811876070036</v>
      </c>
      <c r="N129">
        <v>0.30649383231310023</v>
      </c>
      <c r="O129">
        <v>0.10627895002964949</v>
      </c>
      <c r="P129">
        <v>18.287415341587216</v>
      </c>
      <c r="Q129">
        <v>11.243988602554554</v>
      </c>
      <c r="R129">
        <v>0.34986072797837253</v>
      </c>
      <c r="S129">
        <v>0.12141704013208879</v>
      </c>
      <c r="T129">
        <v>18.284733629334987</v>
      </c>
      <c r="U129">
        <v>1442.0773355907036</v>
      </c>
      <c r="V129">
        <v>8.826884685170592</v>
      </c>
      <c r="W129">
        <v>1245.055119924888</v>
      </c>
      <c r="X129">
        <v>6.7062591031143484</v>
      </c>
      <c r="Y129">
        <v>2825.1536428207141</v>
      </c>
      <c r="Z129">
        <v>8.8571154452708072</v>
      </c>
      <c r="AA129">
        <v>2699.2313119617079</v>
      </c>
      <c r="AB129">
        <v>6.7251978417276188</v>
      </c>
      <c r="AC129">
        <v>2142.2841121272872</v>
      </c>
      <c r="AD129">
        <v>8.8453865261302376</v>
      </c>
      <c r="AE129">
        <v>1986.2106257417356</v>
      </c>
      <c r="AF129">
        <v>6.7178593529793691</v>
      </c>
      <c r="AG129">
        <v>2027.3372802226224</v>
      </c>
      <c r="AH129">
        <v>8.8370723394417379</v>
      </c>
      <c r="AI129">
        <v>1859.2292096056285</v>
      </c>
      <c r="AJ129">
        <v>6.7126502180492702</v>
      </c>
    </row>
    <row r="130" spans="4:36" x14ac:dyDescent="0.55000000000000004">
      <c r="D130">
        <v>123</v>
      </c>
      <c r="E130">
        <v>11.643202459389844</v>
      </c>
      <c r="F130">
        <v>0.4177582499328451</v>
      </c>
      <c r="G130">
        <v>0.14923962650169106</v>
      </c>
      <c r="H130">
        <v>17.789799664175632</v>
      </c>
      <c r="I130">
        <v>11.825468304170098</v>
      </c>
      <c r="J130">
        <v>0.27253854307549352</v>
      </c>
      <c r="K130">
        <v>9.7075024051401018E-2</v>
      </c>
      <c r="L130">
        <v>17.804918128703015</v>
      </c>
      <c r="M130">
        <v>11.743796842594497</v>
      </c>
      <c r="N130">
        <v>0.33762991537099435</v>
      </c>
      <c r="O130">
        <v>0.12041811846375784</v>
      </c>
      <c r="P130">
        <v>17.798155123570755</v>
      </c>
      <c r="Q130">
        <v>11.693917638267738</v>
      </c>
      <c r="R130">
        <v>0.37736729556141912</v>
      </c>
      <c r="S130">
        <v>0.13469941591833592</v>
      </c>
      <c r="T130">
        <v>17.794015650252508</v>
      </c>
      <c r="U130">
        <v>1478.5626948839042</v>
      </c>
      <c r="V130">
        <v>9.0590094611010592</v>
      </c>
      <c r="W130">
        <v>1265.0529387401282</v>
      </c>
      <c r="X130">
        <v>6.825974206205438</v>
      </c>
      <c r="Y130">
        <v>2867.0937369441544</v>
      </c>
      <c r="Z130">
        <v>9.0816318578621953</v>
      </c>
      <c r="AA130">
        <v>2724.6079452045929</v>
      </c>
      <c r="AB130">
        <v>6.8405646217244351</v>
      </c>
      <c r="AC130">
        <v>2172.7636189057016</v>
      </c>
      <c r="AD130">
        <v>9.0714886399641745</v>
      </c>
      <c r="AE130">
        <v>2001.6188936359003</v>
      </c>
      <c r="AF130">
        <v>6.8340304226268866</v>
      </c>
      <c r="AG130">
        <v>2089.7012888622103</v>
      </c>
      <c r="AH130">
        <v>9.0652989361397154</v>
      </c>
      <c r="AI130">
        <v>1898.6834218983458</v>
      </c>
      <c r="AJ130">
        <v>6.8300369107071965</v>
      </c>
    </row>
    <row r="131" spans="4:36" x14ac:dyDescent="0.55000000000000004">
      <c r="D131">
        <v>124</v>
      </c>
      <c r="E131">
        <v>11.735975877928867</v>
      </c>
      <c r="F131">
        <v>0.48821350738067237</v>
      </c>
      <c r="G131">
        <v>0.18164656395414719</v>
      </c>
      <c r="H131">
        <v>17.594164050736314</v>
      </c>
      <c r="I131">
        <v>11.947693992348361</v>
      </c>
      <c r="J131">
        <v>0.31223994389244059</v>
      </c>
      <c r="K131">
        <v>0.11580844892181789</v>
      </c>
      <c r="L131">
        <v>17.624257614837394</v>
      </c>
      <c r="M131">
        <v>11.888874748881378</v>
      </c>
      <c r="N131">
        <v>0.36114720548400048</v>
      </c>
      <c r="O131">
        <v>0.13406439860192518</v>
      </c>
      <c r="P131">
        <v>17.615913647032698</v>
      </c>
      <c r="Q131">
        <v>11.824144256787273</v>
      </c>
      <c r="R131">
        <v>0.41495316177408292</v>
      </c>
      <c r="S131">
        <v>0.15418615623295823</v>
      </c>
      <c r="T131">
        <v>17.606716425205693</v>
      </c>
      <c r="U131">
        <v>1537.0024145531445</v>
      </c>
      <c r="V131">
        <v>9.4166189822246658</v>
      </c>
      <c r="W131">
        <v>1300.7482434052395</v>
      </c>
      <c r="X131">
        <v>7.0769368232914127</v>
      </c>
      <c r="Y131">
        <v>2891.4778194573887</v>
      </c>
      <c r="Z131">
        <v>9.4421926222692907</v>
      </c>
      <c r="AA131">
        <v>2737.9294438527891</v>
      </c>
      <c r="AB131">
        <v>7.0938286580553118</v>
      </c>
      <c r="AC131">
        <v>2202.4099462343102</v>
      </c>
      <c r="AD131">
        <v>9.4350783841345791</v>
      </c>
      <c r="AE131">
        <v>2020.0685683434128</v>
      </c>
      <c r="AF131">
        <v>7.0891386856741674</v>
      </c>
      <c r="AG131">
        <v>2123.8336065288727</v>
      </c>
      <c r="AH131">
        <v>9.4272575082842263</v>
      </c>
      <c r="AI131">
        <v>1919.0723608642418</v>
      </c>
      <c r="AJ131">
        <v>7.0839748170551822</v>
      </c>
    </row>
    <row r="132" spans="4:36" x14ac:dyDescent="0.55000000000000004">
      <c r="D132">
        <v>125</v>
      </c>
      <c r="E132">
        <v>12.841968488696718</v>
      </c>
      <c r="F132">
        <v>0.47747894325401885</v>
      </c>
      <c r="G132">
        <v>0.136211396120897</v>
      </c>
      <c r="H132">
        <v>16.544341171928359</v>
      </c>
      <c r="I132">
        <v>13.082560909725139</v>
      </c>
      <c r="J132">
        <v>0.29718433571028663</v>
      </c>
      <c r="K132">
        <v>8.4507539225331996E-2</v>
      </c>
      <c r="L132">
        <v>16.535747215339228</v>
      </c>
      <c r="M132">
        <v>13.001596245492115</v>
      </c>
      <c r="N132">
        <v>0.35789240407947293</v>
      </c>
      <c r="O132">
        <v>0.10187962070963132</v>
      </c>
      <c r="P132">
        <v>16.538631729718787</v>
      </c>
      <c r="Q132">
        <v>12.92395024846221</v>
      </c>
      <c r="R132">
        <v>0.41607889860610148</v>
      </c>
      <c r="S132">
        <v>0.11856568017302049</v>
      </c>
      <c r="T132">
        <v>16.541405172758665</v>
      </c>
      <c r="U132">
        <v>1521.312324482743</v>
      </c>
      <c r="V132">
        <v>10.069487243385423</v>
      </c>
      <c r="W132">
        <v>1291.2929633706078</v>
      </c>
      <c r="X132">
        <v>7.4467551534691321</v>
      </c>
      <c r="Y132">
        <v>2911.230519582226</v>
      </c>
      <c r="Z132">
        <v>10.114159149968089</v>
      </c>
      <c r="AA132">
        <v>2754.4179464550316</v>
      </c>
      <c r="AB132">
        <v>7.472907643862114</v>
      </c>
      <c r="AC132">
        <v>2202.2999354408157</v>
      </c>
      <c r="AD132">
        <v>10.099130975453454</v>
      </c>
      <c r="AE132">
        <v>2020.9212146053774</v>
      </c>
      <c r="AF132">
        <v>7.4641193102345156</v>
      </c>
      <c r="AG132">
        <v>2099.4519090199533</v>
      </c>
      <c r="AH132">
        <v>10.084714130019485</v>
      </c>
      <c r="AI132">
        <v>1901.9583859217141</v>
      </c>
      <c r="AJ132">
        <v>7.4556792812136159</v>
      </c>
    </row>
    <row r="133" spans="4:36" x14ac:dyDescent="0.55000000000000004">
      <c r="D133">
        <v>126</v>
      </c>
      <c r="E133">
        <v>12.930489309295686</v>
      </c>
      <c r="F133">
        <v>0.41857841509355842</v>
      </c>
      <c r="G133">
        <v>0.16222048436697586</v>
      </c>
      <c r="H133">
        <v>16.488711791243773</v>
      </c>
      <c r="I133">
        <v>13.143709517384154</v>
      </c>
      <c r="J133">
        <v>0.278043674510836</v>
      </c>
      <c r="K133">
        <v>0.107424380209551</v>
      </c>
      <c r="L133">
        <v>16.470822427895452</v>
      </c>
      <c r="M133">
        <v>13.058359578253054</v>
      </c>
      <c r="N133">
        <v>0.33433508690542774</v>
      </c>
      <c r="O133">
        <v>0.12933188449622748</v>
      </c>
      <c r="P133">
        <v>16.47797345034531</v>
      </c>
      <c r="Q133">
        <v>13.014088889675044</v>
      </c>
      <c r="R133">
        <v>0.36351396298194744</v>
      </c>
      <c r="S133">
        <v>0.14070929255399867</v>
      </c>
      <c r="T133">
        <v>16.481687854789023</v>
      </c>
      <c r="U133">
        <v>1547.9618131187488</v>
      </c>
      <c r="V133">
        <v>10.195884928127484</v>
      </c>
      <c r="W133">
        <v>1310.9175532761863</v>
      </c>
      <c r="X133">
        <v>7.5354559393315261</v>
      </c>
      <c r="Y133">
        <v>2893.9715734564738</v>
      </c>
      <c r="Z133">
        <v>10.245762673566972</v>
      </c>
      <c r="AA133">
        <v>2740.1797009908541</v>
      </c>
      <c r="AB133">
        <v>7.5645408975563111</v>
      </c>
      <c r="AC133">
        <v>2223.9795318041784</v>
      </c>
      <c r="AD133">
        <v>10.22580266425058</v>
      </c>
      <c r="AE133">
        <v>2035.350341231436</v>
      </c>
      <c r="AF133">
        <v>7.5529118646408184</v>
      </c>
      <c r="AG133">
        <v>2119.7974220631841</v>
      </c>
      <c r="AH133">
        <v>10.215446569545323</v>
      </c>
      <c r="AI133">
        <v>1917.0097532854854</v>
      </c>
      <c r="AJ133">
        <v>7.5468729162916199</v>
      </c>
    </row>
    <row r="134" spans="4:36" x14ac:dyDescent="0.55000000000000004">
      <c r="D134">
        <v>127</v>
      </c>
      <c r="E134">
        <v>11.98843426331905</v>
      </c>
      <c r="F134">
        <v>0.41151111592205153</v>
      </c>
      <c r="G134">
        <v>0.15210729899615016</v>
      </c>
      <c r="H134">
        <v>17.447947321762747</v>
      </c>
      <c r="I134">
        <v>12.183159075267769</v>
      </c>
      <c r="J134">
        <v>0.27250670683410982</v>
      </c>
      <c r="K134">
        <v>0.10043530030661993</v>
      </c>
      <c r="L134">
        <v>17.443898917591518</v>
      </c>
      <c r="M134">
        <v>12.103651202964777</v>
      </c>
      <c r="N134">
        <v>0.32929201259317326</v>
      </c>
      <c r="O134">
        <v>0.12150736384554889</v>
      </c>
      <c r="P134">
        <v>17.445549420596496</v>
      </c>
      <c r="Q134">
        <v>12.091211753501817</v>
      </c>
      <c r="R134">
        <v>0.33817283629395228</v>
      </c>
      <c r="S134">
        <v>0.12480744879685894</v>
      </c>
      <c r="T134">
        <v>17.445807961407382</v>
      </c>
      <c r="U134">
        <v>1493.8154833308558</v>
      </c>
      <c r="V134">
        <v>9.4405349801914493</v>
      </c>
      <c r="W134">
        <v>1278.3807434656992</v>
      </c>
      <c r="X134">
        <v>7.0794510639681079</v>
      </c>
      <c r="Y134">
        <v>2866.7206446235868</v>
      </c>
      <c r="Z134">
        <v>9.4822286695882454</v>
      </c>
      <c r="AA134">
        <v>2725.0747526549767</v>
      </c>
      <c r="AB134">
        <v>7.1045886571906536</v>
      </c>
      <c r="AC134">
        <v>2193.3664273521003</v>
      </c>
      <c r="AD134">
        <v>9.4652057796244229</v>
      </c>
      <c r="AE134">
        <v>2018.8371177605732</v>
      </c>
      <c r="AF134">
        <v>7.09433525533123</v>
      </c>
      <c r="AG134">
        <v>2076.0014608797446</v>
      </c>
      <c r="AH134">
        <v>9.4625423275819305</v>
      </c>
      <c r="AI134">
        <v>1892.5156620880393</v>
      </c>
      <c r="AJ134">
        <v>7.0927297489256578</v>
      </c>
    </row>
    <row r="135" spans="4:36" x14ac:dyDescent="0.55000000000000004">
      <c r="D135">
        <v>128</v>
      </c>
      <c r="E135">
        <v>12.691008616047807</v>
      </c>
      <c r="F135">
        <v>0.46700493935427789</v>
      </c>
      <c r="G135">
        <v>0.16657314638616796</v>
      </c>
      <c r="H135">
        <v>16.675413298211744</v>
      </c>
      <c r="I135">
        <v>12.933103099197323</v>
      </c>
      <c r="J135">
        <v>0.28548928225469189</v>
      </c>
      <c r="K135">
        <v>0.10148722550277642</v>
      </c>
      <c r="L135">
        <v>16.679920393045197</v>
      </c>
      <c r="M135">
        <v>12.821934493382392</v>
      </c>
      <c r="N135">
        <v>0.36888001793190878</v>
      </c>
      <c r="O135">
        <v>0.13133340044240741</v>
      </c>
      <c r="P135">
        <v>16.677852088243288</v>
      </c>
      <c r="Q135">
        <v>12.743365290475605</v>
      </c>
      <c r="R135">
        <v>0.42777649895258196</v>
      </c>
      <c r="S135">
        <v>0.15246927372270416</v>
      </c>
      <c r="T135">
        <v>16.676388936849115</v>
      </c>
      <c r="U135">
        <v>1562.7603329441956</v>
      </c>
      <c r="V135">
        <v>10.050778553418954</v>
      </c>
      <c r="W135">
        <v>1315.911587574263</v>
      </c>
      <c r="X135">
        <v>7.4481018826332415</v>
      </c>
      <c r="Y135">
        <v>2894.9280774929584</v>
      </c>
      <c r="Z135">
        <v>10.093617914159234</v>
      </c>
      <c r="AA135">
        <v>2738.9400769039917</v>
      </c>
      <c r="AB135">
        <v>7.4738953648011748</v>
      </c>
      <c r="AC135">
        <v>2238.5384472797164</v>
      </c>
      <c r="AD135">
        <v>10.073945135074931</v>
      </c>
      <c r="AE135">
        <v>2041.7241189901342</v>
      </c>
      <c r="AF135">
        <v>7.462062796828473</v>
      </c>
      <c r="AG135">
        <v>2177.6209457958771</v>
      </c>
      <c r="AH135">
        <v>10.06004243865638</v>
      </c>
      <c r="AI135">
        <v>1953.0370607951484</v>
      </c>
      <c r="AJ135">
        <v>7.4536881186457906</v>
      </c>
    </row>
    <row r="136" spans="4:36" x14ac:dyDescent="0.55000000000000004">
      <c r="D136">
        <v>129</v>
      </c>
      <c r="E136">
        <v>12.362752980059343</v>
      </c>
      <c r="F136">
        <v>0.45523828143067591</v>
      </c>
      <c r="G136">
        <v>0.14777556815541618</v>
      </c>
      <c r="H136">
        <v>17.034233170354565</v>
      </c>
      <c r="I136">
        <v>12.589152887160981</v>
      </c>
      <c r="J136">
        <v>0.28992211840661286</v>
      </c>
      <c r="K136">
        <v>9.3802927736698516E-2</v>
      </c>
      <c r="L136">
        <v>17.027122066695703</v>
      </c>
      <c r="M136">
        <v>12.511492042448742</v>
      </c>
      <c r="N136">
        <v>0.34666357936435677</v>
      </c>
      <c r="O136">
        <v>0.11228739152027353</v>
      </c>
      <c r="P136">
        <v>17.029556986666634</v>
      </c>
      <c r="Q136">
        <v>12.484796050946263</v>
      </c>
      <c r="R136">
        <v>0.36616037923927008</v>
      </c>
      <c r="S136">
        <v>0.11864852871323091</v>
      </c>
      <c r="T136">
        <v>17.030395041101233</v>
      </c>
      <c r="U136">
        <v>1498.3871587373062</v>
      </c>
      <c r="V136">
        <v>9.8063428781586417</v>
      </c>
      <c r="W136">
        <v>1273.6025157729878</v>
      </c>
      <c r="X136">
        <v>7.3062448291483726</v>
      </c>
      <c r="Y136">
        <v>2901.7478485277798</v>
      </c>
      <c r="Z136">
        <v>9.8515541586076285</v>
      </c>
      <c r="AA136">
        <v>2746.7821053160383</v>
      </c>
      <c r="AB136">
        <v>7.3331447431402044</v>
      </c>
      <c r="AC136">
        <v>2196.0332279183499</v>
      </c>
      <c r="AD136">
        <v>9.8360482098922866</v>
      </c>
      <c r="AE136">
        <v>2015.6195384459679</v>
      </c>
      <c r="AF136">
        <v>7.3239295555238533</v>
      </c>
      <c r="AG136">
        <v>2094.5468824321988</v>
      </c>
      <c r="AH136">
        <v>9.830717387682089</v>
      </c>
      <c r="AI136">
        <v>1900.1691204178896</v>
      </c>
      <c r="AJ136">
        <v>7.3207589103918203</v>
      </c>
    </row>
    <row r="137" spans="4:36" x14ac:dyDescent="0.55000000000000004">
      <c r="D137">
        <v>130</v>
      </c>
      <c r="E137">
        <v>12.298307656093966</v>
      </c>
      <c r="F137">
        <v>0.49344620815499346</v>
      </c>
      <c r="G137">
        <v>0.15328844304986633</v>
      </c>
      <c r="H137">
        <v>17.054957692701183</v>
      </c>
      <c r="I137">
        <v>12.487206133072229</v>
      </c>
      <c r="J137">
        <v>0.33644320474623873</v>
      </c>
      <c r="K137">
        <v>0.10424603180620988</v>
      </c>
      <c r="L137">
        <v>17.072104630375314</v>
      </c>
      <c r="M137">
        <v>12.402517177297945</v>
      </c>
      <c r="N137">
        <v>0.40685014712199824</v>
      </c>
      <c r="O137">
        <v>0.12620701081322461</v>
      </c>
      <c r="P137">
        <v>17.064425664766819</v>
      </c>
      <c r="Q137">
        <v>12.36354276783929</v>
      </c>
      <c r="R137">
        <v>0.43924223775879156</v>
      </c>
      <c r="S137">
        <v>0.13632788722169689</v>
      </c>
      <c r="T137">
        <v>17.060887107180235</v>
      </c>
      <c r="U137">
        <v>1507.2935788472687</v>
      </c>
      <c r="V137">
        <v>9.7422105787065121</v>
      </c>
      <c r="W137">
        <v>1278.2097856064656</v>
      </c>
      <c r="X137">
        <v>7.2583970945307632</v>
      </c>
      <c r="Y137">
        <v>2896.8570476474274</v>
      </c>
      <c r="Z137">
        <v>9.7647124652550872</v>
      </c>
      <c r="AA137">
        <v>2740.1363847986931</v>
      </c>
      <c r="AB137">
        <v>7.2726166662656446</v>
      </c>
      <c r="AC137">
        <v>2238.3820581481823</v>
      </c>
      <c r="AD137">
        <v>9.7546193170625006</v>
      </c>
      <c r="AE137">
        <v>2043.4280211094306</v>
      </c>
      <c r="AF137">
        <v>7.2662452620211679</v>
      </c>
      <c r="AG137">
        <v>2123.9434146656636</v>
      </c>
      <c r="AH137">
        <v>9.7499770352784143</v>
      </c>
      <c r="AI137">
        <v>1917.3356521303695</v>
      </c>
      <c r="AJ137">
        <v>7.2633111061000086</v>
      </c>
    </row>
    <row r="138" spans="4:36" x14ac:dyDescent="0.55000000000000004">
      <c r="D138">
        <v>131</v>
      </c>
      <c r="E138">
        <v>13.897535791584984</v>
      </c>
      <c r="F138">
        <v>0.51573804297793457</v>
      </c>
      <c r="G138">
        <v>0.17446701984354154</v>
      </c>
      <c r="H138">
        <v>15.412259145593552</v>
      </c>
      <c r="I138">
        <v>14.15751786161993</v>
      </c>
      <c r="J138">
        <v>0.33250761890173525</v>
      </c>
      <c r="K138">
        <v>0.11210821719481942</v>
      </c>
      <c r="L138">
        <v>15.397866302283521</v>
      </c>
      <c r="M138">
        <v>14.060921331551832</v>
      </c>
      <c r="N138">
        <v>0.4006329460220483</v>
      </c>
      <c r="O138">
        <v>0.13524399055355318</v>
      </c>
      <c r="P138">
        <v>15.403201731872553</v>
      </c>
      <c r="Q138">
        <v>14.019334298828394</v>
      </c>
      <c r="R138">
        <v>0.42994581543211052</v>
      </c>
      <c r="S138">
        <v>0.14521669158500403</v>
      </c>
      <c r="T138">
        <v>15.405503194154509</v>
      </c>
      <c r="U138">
        <v>1625.4701422410599</v>
      </c>
      <c r="V138">
        <v>10.927893027246762</v>
      </c>
      <c r="W138">
        <v>1350.4555022219643</v>
      </c>
      <c r="X138">
        <v>7.9575604185517292</v>
      </c>
      <c r="Y138">
        <v>2957.5112647375304</v>
      </c>
      <c r="Z138">
        <v>10.984600896111523</v>
      </c>
      <c r="AA138">
        <v>2776.103435403189</v>
      </c>
      <c r="AB138">
        <v>7.9902024402856791</v>
      </c>
      <c r="AC138">
        <v>2278.6623270976179</v>
      </c>
      <c r="AD138">
        <v>10.963538278573571</v>
      </c>
      <c r="AE138">
        <v>2062.4751483786231</v>
      </c>
      <c r="AF138">
        <v>7.9780903395239244</v>
      </c>
      <c r="AG138">
        <v>2194.6486158406374</v>
      </c>
      <c r="AH138">
        <v>10.954467714717083</v>
      </c>
      <c r="AI138">
        <v>1958.2996397514648</v>
      </c>
      <c r="AJ138">
        <v>7.9728699807541554</v>
      </c>
    </row>
    <row r="139" spans="4:36" x14ac:dyDescent="0.55000000000000004">
      <c r="D139">
        <v>132</v>
      </c>
      <c r="E139">
        <v>11.346654438213696</v>
      </c>
      <c r="F139">
        <v>0.39095827652526199</v>
      </c>
      <c r="G139">
        <v>0.15594510074458207</v>
      </c>
      <c r="H139">
        <v>18.10644218451646</v>
      </c>
      <c r="I139">
        <v>11.526452076242304</v>
      </c>
      <c r="J139">
        <v>0.25313631856210939</v>
      </c>
      <c r="K139">
        <v>0.10067958772753359</v>
      </c>
      <c r="L139">
        <v>18.119732017468049</v>
      </c>
      <c r="M139">
        <v>11.434572214484055</v>
      </c>
      <c r="N139">
        <v>0.32358805789480771</v>
      </c>
      <c r="O139">
        <v>0.12888978296683953</v>
      </c>
      <c r="P139">
        <v>18.112949944654286</v>
      </c>
      <c r="Q139">
        <v>11.404651951131305</v>
      </c>
      <c r="R139">
        <v>0.34652035050321645</v>
      </c>
      <c r="S139">
        <v>0.13809047836698748</v>
      </c>
      <c r="T139">
        <v>18.110737219998502</v>
      </c>
      <c r="U139">
        <v>1460.5097172416897</v>
      </c>
      <c r="V139">
        <v>8.9659215321584291</v>
      </c>
      <c r="W139">
        <v>1256.1199345515668</v>
      </c>
      <c r="X139">
        <v>6.7916180732115947</v>
      </c>
      <c r="Y139">
        <v>2844.5847775944894</v>
      </c>
      <c r="Z139">
        <v>8.991603152193516</v>
      </c>
      <c r="AA139">
        <v>2710.8368404465914</v>
      </c>
      <c r="AB139">
        <v>6.8080862310604662</v>
      </c>
      <c r="AC139">
        <v>2186.4153890166526</v>
      </c>
      <c r="AD139">
        <v>8.978473740849477</v>
      </c>
      <c r="AE139">
        <v>2015.2243024998747</v>
      </c>
      <c r="AF139">
        <v>6.7996755783700058</v>
      </c>
      <c r="AG139">
        <v>2067.3571086622437</v>
      </c>
      <c r="AH139">
        <v>8.9742007437360396</v>
      </c>
      <c r="AI139">
        <v>1886.5620439815377</v>
      </c>
      <c r="AJ139">
        <v>6.7969344945331329</v>
      </c>
    </row>
    <row r="140" spans="4:36" x14ac:dyDescent="0.55000000000000004">
      <c r="D140">
        <v>133</v>
      </c>
      <c r="E140">
        <v>12.749127436511952</v>
      </c>
      <c r="F140">
        <v>0.42978501288577414</v>
      </c>
      <c r="G140">
        <v>0.14865406810314638</v>
      </c>
      <c r="H140">
        <v>16.672433482499123</v>
      </c>
      <c r="I140">
        <v>12.950234559099663</v>
      </c>
      <c r="J140">
        <v>0.29286844914841109</v>
      </c>
      <c r="K140">
        <v>0.10100532479389529</v>
      </c>
      <c r="L140">
        <v>16.655891666958041</v>
      </c>
      <c r="M140">
        <v>12.856698179118016</v>
      </c>
      <c r="N140">
        <v>0.3565820829787773</v>
      </c>
      <c r="O140">
        <v>0.12314374547956901</v>
      </c>
      <c r="P140">
        <v>16.663575992423638</v>
      </c>
      <c r="Q140">
        <v>12.818926253472192</v>
      </c>
      <c r="R140">
        <v>0.38229486385782602</v>
      </c>
      <c r="S140">
        <v>0.13209518254534711</v>
      </c>
      <c r="T140">
        <v>16.666683700124629</v>
      </c>
      <c r="U140">
        <v>1538.7756762324839</v>
      </c>
      <c r="V140">
        <v>9.8977059252698751</v>
      </c>
      <c r="W140">
        <v>1302.0719170487866</v>
      </c>
      <c r="X140">
        <v>7.3346268831193289</v>
      </c>
      <c r="Y140">
        <v>2891.7801375981508</v>
      </c>
      <c r="Z140">
        <v>9.9423682750365838</v>
      </c>
      <c r="AA140">
        <v>2736.6064086046767</v>
      </c>
      <c r="AB140">
        <v>7.3606128345042876</v>
      </c>
      <c r="AC140">
        <v>2239.3239388007441</v>
      </c>
      <c r="AD140">
        <v>9.9216014795107323</v>
      </c>
      <c r="AE140">
        <v>2044.1276235104226</v>
      </c>
      <c r="AF140">
        <v>7.3485389227691789</v>
      </c>
      <c r="AG140">
        <v>2147.593823709607</v>
      </c>
      <c r="AH140">
        <v>9.9132124741710292</v>
      </c>
      <c r="AI140">
        <v>1935.2523961938452</v>
      </c>
      <c r="AJ140">
        <v>7.3436571624136215</v>
      </c>
    </row>
    <row r="141" spans="4:36" x14ac:dyDescent="0.55000000000000004">
      <c r="D141">
        <v>134</v>
      </c>
      <c r="E141">
        <v>12.34270619052179</v>
      </c>
      <c r="F141">
        <v>0.44370327492918848</v>
      </c>
      <c r="G141">
        <v>0.18657702979935806</v>
      </c>
      <c r="H141">
        <v>17.027013504749647</v>
      </c>
      <c r="I141">
        <v>12.591090260589537</v>
      </c>
      <c r="J141">
        <v>0.26611739421672215</v>
      </c>
      <c r="K141">
        <v>0.11147464968891657</v>
      </c>
      <c r="L141">
        <v>17.031317695504818</v>
      </c>
      <c r="M141">
        <v>12.467867351281647</v>
      </c>
      <c r="N141">
        <v>0.3542645992877444</v>
      </c>
      <c r="O141">
        <v>0.1486798201649854</v>
      </c>
      <c r="P141">
        <v>17.029188229265614</v>
      </c>
      <c r="Q141">
        <v>12.448804906689585</v>
      </c>
      <c r="R141">
        <v>0.36789261101999798</v>
      </c>
      <c r="S141">
        <v>0.15444470033226726</v>
      </c>
      <c r="T141">
        <v>17.028857781958155</v>
      </c>
      <c r="U141">
        <v>1532.6318293989434</v>
      </c>
      <c r="V141">
        <v>9.7126558778066165</v>
      </c>
      <c r="W141">
        <v>1297.5408544800775</v>
      </c>
      <c r="X141">
        <v>7.2349530133600375</v>
      </c>
      <c r="Y141">
        <v>2881.7072523862662</v>
      </c>
      <c r="Z141">
        <v>9.7558739202517284</v>
      </c>
      <c r="AA141">
        <v>2732.1158336259532</v>
      </c>
      <c r="AB141">
        <v>7.2613730988159535</v>
      </c>
      <c r="AC141">
        <v>2220.6306146052516</v>
      </c>
      <c r="AD141">
        <v>9.7344291503345968</v>
      </c>
      <c r="AE141">
        <v>2031.3331329377565</v>
      </c>
      <c r="AF141">
        <v>7.2482779655142195</v>
      </c>
      <c r="AG141">
        <v>2097.8920433185326</v>
      </c>
      <c r="AH141">
        <v>9.7311124343017568</v>
      </c>
      <c r="AI141">
        <v>1900.3536471240777</v>
      </c>
      <c r="AJ141">
        <v>7.2462500940242425</v>
      </c>
    </row>
    <row r="142" spans="4:36" x14ac:dyDescent="0.55000000000000004">
      <c r="D142">
        <v>135</v>
      </c>
      <c r="E142">
        <v>13.467082441551351</v>
      </c>
      <c r="F142">
        <v>0.47885445243578306</v>
      </c>
      <c r="G142">
        <v>0.17380963764990759</v>
      </c>
      <c r="H142">
        <v>15.880253468362961</v>
      </c>
      <c r="I142">
        <v>13.730796879264734</v>
      </c>
      <c r="J142">
        <v>0.30130465746441659</v>
      </c>
      <c r="K142">
        <v>0.10897446298873624</v>
      </c>
      <c r="L142">
        <v>15.858924000282105</v>
      </c>
      <c r="M142">
        <v>13.623778060345876</v>
      </c>
      <c r="N142">
        <v>0.37341024470126061</v>
      </c>
      <c r="O142">
        <v>0.13524825208255842</v>
      </c>
      <c r="P142">
        <v>15.867563442870299</v>
      </c>
      <c r="Q142">
        <v>13.601242424228351</v>
      </c>
      <c r="R142">
        <v>0.38858470254288724</v>
      </c>
      <c r="S142">
        <v>0.14078733723790696</v>
      </c>
      <c r="T142">
        <v>15.869385535990864</v>
      </c>
      <c r="U142">
        <v>1611.5933434294805</v>
      </c>
      <c r="V142">
        <v>10.620389333480118</v>
      </c>
      <c r="W142">
        <v>1348.0018092509154</v>
      </c>
      <c r="X142">
        <v>7.7827997689033035</v>
      </c>
      <c r="Y142">
        <v>2926.3728845616179</v>
      </c>
      <c r="Z142">
        <v>10.680153699104713</v>
      </c>
      <c r="AA142">
        <v>2758.787821565898</v>
      </c>
      <c r="AB142">
        <v>7.8171917361140197</v>
      </c>
      <c r="AC142">
        <v>2268.998845686021</v>
      </c>
      <c r="AD142">
        <v>10.655910610152144</v>
      </c>
      <c r="AE142">
        <v>2061.2988429573616</v>
      </c>
      <c r="AF142">
        <v>7.8032543054747032</v>
      </c>
      <c r="AG142">
        <v>2144.344545664499</v>
      </c>
      <c r="AH142">
        <v>10.650803841112594</v>
      </c>
      <c r="AI142">
        <v>1928.5904727491688</v>
      </c>
      <c r="AJ142">
        <v>7.8003160731673109</v>
      </c>
    </row>
    <row r="143" spans="4:36" x14ac:dyDescent="0.55000000000000004">
      <c r="D143">
        <v>136</v>
      </c>
      <c r="E143">
        <v>12.711483185943795</v>
      </c>
      <c r="F143">
        <v>0.47137084964489656</v>
      </c>
      <c r="G143">
        <v>0.15746136346075665</v>
      </c>
      <c r="H143">
        <v>16.659684600950563</v>
      </c>
      <c r="I143">
        <v>12.918686002023374</v>
      </c>
      <c r="J143">
        <v>0.3111313018464239</v>
      </c>
      <c r="K143">
        <v>0.10362146472488394</v>
      </c>
      <c r="L143">
        <v>16.666561231405325</v>
      </c>
      <c r="M143">
        <v>12.802745546202235</v>
      </c>
      <c r="N143">
        <v>0.40082008048147083</v>
      </c>
      <c r="O143">
        <v>0.13371609100699244</v>
      </c>
      <c r="P143">
        <v>16.662718282309289</v>
      </c>
      <c r="Q143">
        <v>12.785031636500225</v>
      </c>
      <c r="R143">
        <v>0.41451719333522002</v>
      </c>
      <c r="S143">
        <v>0.13832111833929198</v>
      </c>
      <c r="T143">
        <v>16.662130051825276</v>
      </c>
      <c r="U143">
        <v>1551.1662298953249</v>
      </c>
      <c r="V143">
        <v>9.9636539053005144</v>
      </c>
      <c r="W143">
        <v>1311.4273297173961</v>
      </c>
      <c r="X143">
        <v>7.3818786357271025</v>
      </c>
      <c r="Y143">
        <v>2899.1833135540683</v>
      </c>
      <c r="Z143">
        <v>10.000360401591834</v>
      </c>
      <c r="AA143">
        <v>2742.949521716977</v>
      </c>
      <c r="AB143">
        <v>7.4042263866550755</v>
      </c>
      <c r="AC143">
        <v>2240.3687645161481</v>
      </c>
      <c r="AD143">
        <v>9.9798180953301472</v>
      </c>
      <c r="AE143">
        <v>2044.3046659368192</v>
      </c>
      <c r="AF143">
        <v>7.3917294630531138</v>
      </c>
      <c r="AG143">
        <v>2135.9144119111093</v>
      </c>
      <c r="AH143">
        <v>9.9766802545531252</v>
      </c>
      <c r="AI143">
        <v>1927.0030332072215</v>
      </c>
      <c r="AJ143">
        <v>7.3898183929478662</v>
      </c>
    </row>
    <row r="144" spans="4:36" x14ac:dyDescent="0.55000000000000004">
      <c r="D144">
        <v>137</v>
      </c>
      <c r="E144">
        <v>11.724067560919693</v>
      </c>
      <c r="F144">
        <v>0.40091980473528016</v>
      </c>
      <c r="G144">
        <v>0.15232560299263542</v>
      </c>
      <c r="H144">
        <v>17.722687031352393</v>
      </c>
      <c r="I144">
        <v>11.899198245327657</v>
      </c>
      <c r="J144">
        <v>0.26647310345486463</v>
      </c>
      <c r="K144">
        <v>0.100965697331935</v>
      </c>
      <c r="L144">
        <v>17.733362953885557</v>
      </c>
      <c r="M144">
        <v>11.812305110798237</v>
      </c>
      <c r="N144">
        <v>0.333201045785114</v>
      </c>
      <c r="O144">
        <v>0.12642061742108426</v>
      </c>
      <c r="P144">
        <v>17.728073225995555</v>
      </c>
      <c r="Q144">
        <v>11.767869376224239</v>
      </c>
      <c r="R144">
        <v>0.36730894491363991</v>
      </c>
      <c r="S144">
        <v>0.13945904576555526</v>
      </c>
      <c r="T144">
        <v>17.725362633096548</v>
      </c>
      <c r="U144">
        <v>1468.9093945804668</v>
      </c>
      <c r="V144">
        <v>9.1558748696945624</v>
      </c>
      <c r="W144">
        <v>1260.28635381499</v>
      </c>
      <c r="X144">
        <v>6.892019221988047</v>
      </c>
      <c r="Y144">
        <v>2862.4397764159376</v>
      </c>
      <c r="Z144">
        <v>9.1801696307020233</v>
      </c>
      <c r="AA144">
        <v>2722.3253614068544</v>
      </c>
      <c r="AB144">
        <v>6.9073104538946408</v>
      </c>
      <c r="AC144">
        <v>2213.343598854502</v>
      </c>
      <c r="AD144">
        <v>9.168111690243423</v>
      </c>
      <c r="AE144">
        <v>2033.6479572061762</v>
      </c>
      <c r="AF144">
        <v>6.8997281034803786</v>
      </c>
      <c r="AG144">
        <v>2085.4573373699732</v>
      </c>
      <c r="AH144">
        <v>9.161948350934308</v>
      </c>
      <c r="AI144">
        <v>1897.3573460374591</v>
      </c>
      <c r="AJ144">
        <v>6.8958471401717967</v>
      </c>
    </row>
    <row r="145" spans="4:36" x14ac:dyDescent="0.55000000000000004">
      <c r="D145">
        <v>138</v>
      </c>
      <c r="E145">
        <v>13.235664111554176</v>
      </c>
      <c r="F145">
        <v>0.46899325549215054</v>
      </c>
      <c r="G145">
        <v>0.15531315797649767</v>
      </c>
      <c r="H145">
        <v>16.140029474977169</v>
      </c>
      <c r="I145">
        <v>13.465375999797669</v>
      </c>
      <c r="J145">
        <v>0.3082725321924813</v>
      </c>
      <c r="K145">
        <v>0.10177643303979134</v>
      </c>
      <c r="L145">
        <v>16.124575034970064</v>
      </c>
      <c r="M145">
        <v>13.407239455207195</v>
      </c>
      <c r="N145">
        <v>0.34897880731524428</v>
      </c>
      <c r="O145">
        <v>0.11530445059841375</v>
      </c>
      <c r="P145">
        <v>16.128477286879161</v>
      </c>
      <c r="Q145">
        <v>13.331096853982439</v>
      </c>
      <c r="R145">
        <v>0.40226164550182986</v>
      </c>
      <c r="S145">
        <v>0.13304413492500575</v>
      </c>
      <c r="T145">
        <v>16.133597365590742</v>
      </c>
      <c r="U145">
        <v>1569.2669930126876</v>
      </c>
      <c r="V145">
        <v>10.471400626524179</v>
      </c>
      <c r="W145">
        <v>1318.9070891990659</v>
      </c>
      <c r="X145">
        <v>7.7022253004533843</v>
      </c>
      <c r="Y145">
        <v>2932.2871084890821</v>
      </c>
      <c r="Z145">
        <v>10.52571304768605</v>
      </c>
      <c r="AA145">
        <v>2763.6024823962703</v>
      </c>
      <c r="AB145">
        <v>7.733805513567134</v>
      </c>
      <c r="AC145">
        <v>2247.7743871083635</v>
      </c>
      <c r="AD145">
        <v>10.511972314063586</v>
      </c>
      <c r="AE145">
        <v>2048.6620406499746</v>
      </c>
      <c r="AF145">
        <v>7.7258248735637549</v>
      </c>
      <c r="AG145">
        <v>2161.1313988569523</v>
      </c>
      <c r="AH145">
        <v>10.49397079034928</v>
      </c>
      <c r="AI145">
        <v>1941.2393627251504</v>
      </c>
      <c r="AJ145">
        <v>7.7153603977748197</v>
      </c>
    </row>
    <row r="146" spans="4:36" x14ac:dyDescent="0.55000000000000004">
      <c r="D146">
        <v>139</v>
      </c>
      <c r="E146">
        <v>12.209615560456779</v>
      </c>
      <c r="F146">
        <v>0.4474119501520385</v>
      </c>
      <c r="G146">
        <v>0.16813153454516563</v>
      </c>
      <c r="H146">
        <v>17.174840954846015</v>
      </c>
      <c r="I146">
        <v>12.417133877558618</v>
      </c>
      <c r="J146">
        <v>0.29178348909557039</v>
      </c>
      <c r="K146">
        <v>0.1093188383340241</v>
      </c>
      <c r="L146">
        <v>17.181763795011797</v>
      </c>
      <c r="M146">
        <v>12.341685578025809</v>
      </c>
      <c r="N146">
        <v>0.34839375378554593</v>
      </c>
      <c r="O146">
        <v>0.13067060023419619</v>
      </c>
      <c r="P146">
        <v>17.179250067954463</v>
      </c>
      <c r="Q146">
        <v>12.327707610136219</v>
      </c>
      <c r="R146">
        <v>0.35887821423787297</v>
      </c>
      <c r="S146">
        <v>0.13463021924892885</v>
      </c>
      <c r="T146">
        <v>17.178783956376975</v>
      </c>
      <c r="U146">
        <v>1532.2858091082742</v>
      </c>
      <c r="V146">
        <v>9.7435111317003695</v>
      </c>
      <c r="W146">
        <v>1298.0171390016576</v>
      </c>
      <c r="X146">
        <v>7.2746013491863897</v>
      </c>
      <c r="Y146">
        <v>2891.9335762927212</v>
      </c>
      <c r="Z146">
        <v>9.7791834747289954</v>
      </c>
      <c r="AA146">
        <v>2738.2687358573558</v>
      </c>
      <c r="AB146">
        <v>7.2964471152966688</v>
      </c>
      <c r="AC146">
        <v>2238.4660865065421</v>
      </c>
      <c r="AD146">
        <v>9.7662115773214548</v>
      </c>
      <c r="AE146">
        <v>2046.08388662322</v>
      </c>
      <c r="AF146">
        <v>7.288512402986977</v>
      </c>
      <c r="AG146">
        <v>2127.7863544869574</v>
      </c>
      <c r="AH146">
        <v>9.7638086263035984</v>
      </c>
      <c r="AI146">
        <v>1924.4631456429863</v>
      </c>
      <c r="AJ146">
        <v>7.2870413961573215</v>
      </c>
    </row>
    <row r="147" spans="4:36" x14ac:dyDescent="0.55000000000000004">
      <c r="D147">
        <v>140</v>
      </c>
      <c r="E147">
        <v>12.718759920336201</v>
      </c>
      <c r="F147">
        <v>0.43686400334241521</v>
      </c>
      <c r="G147">
        <v>0.17057844866606087</v>
      </c>
      <c r="H147">
        <v>16.673797627655315</v>
      </c>
      <c r="I147">
        <v>12.939067139734357</v>
      </c>
      <c r="J147">
        <v>0.28072483437531887</v>
      </c>
      <c r="K147">
        <v>0.10924881864400671</v>
      </c>
      <c r="L147">
        <v>16.670959207246327</v>
      </c>
      <c r="M147">
        <v>12.830408119030837</v>
      </c>
      <c r="N147">
        <v>0.3577721841428943</v>
      </c>
      <c r="O147">
        <v>0.13946046082296981</v>
      </c>
      <c r="P147">
        <v>16.672359236003299</v>
      </c>
      <c r="Q147">
        <v>12.803135210841683</v>
      </c>
      <c r="R147">
        <v>0.377099427952858</v>
      </c>
      <c r="S147">
        <v>0.1470547465047608</v>
      </c>
      <c r="T147">
        <v>16.672710614700701</v>
      </c>
      <c r="U147">
        <v>1539.5044885273599</v>
      </c>
      <c r="V147">
        <v>9.9961544891875409</v>
      </c>
      <c r="W147">
        <v>1301.35300487987</v>
      </c>
      <c r="X147">
        <v>7.4087498891123698</v>
      </c>
      <c r="Y147">
        <v>2902.5154176812343</v>
      </c>
      <c r="Z147">
        <v>10.043283827691287</v>
      </c>
      <c r="AA147">
        <v>2745.1547086906612</v>
      </c>
      <c r="AB147">
        <v>7.4369954122771658</v>
      </c>
      <c r="AC147">
        <v>2213.9628067067129</v>
      </c>
      <c r="AD147">
        <v>10.020038379634807</v>
      </c>
      <c r="AE147">
        <v>2024.5878923950856</v>
      </c>
      <c r="AF147">
        <v>7.4230762553317726</v>
      </c>
      <c r="AG147">
        <v>2126.473118464507</v>
      </c>
      <c r="AH147">
        <v>10.014204035237197</v>
      </c>
      <c r="AI147">
        <v>1919.3339195860219</v>
      </c>
      <c r="AJ147">
        <v>7.419578963801877</v>
      </c>
    </row>
    <row r="148" spans="4:36" x14ac:dyDescent="0.55000000000000004">
      <c r="D148">
        <v>141</v>
      </c>
      <c r="E148">
        <v>13.009943984465057</v>
      </c>
      <c r="F148">
        <v>0.52059421995184729</v>
      </c>
      <c r="G148">
        <v>0.18676455117022703</v>
      </c>
      <c r="H148">
        <v>16.282697244412862</v>
      </c>
      <c r="I148">
        <v>13.214423446595974</v>
      </c>
      <c r="J148">
        <v>0.35648622658541862</v>
      </c>
      <c r="K148">
        <v>0.12752911883876661</v>
      </c>
      <c r="L148">
        <v>16.301561207979844</v>
      </c>
      <c r="M148">
        <v>13.129307006679095</v>
      </c>
      <c r="N148">
        <v>0.42482015017203162</v>
      </c>
      <c r="O148">
        <v>0.15215321325038164</v>
      </c>
      <c r="P148">
        <v>16.293719629898497</v>
      </c>
      <c r="Q148">
        <v>13.077179362224486</v>
      </c>
      <c r="R148">
        <v>0.46665393303035491</v>
      </c>
      <c r="S148">
        <v>0.16725700169108168</v>
      </c>
      <c r="T148">
        <v>16.288909703054085</v>
      </c>
      <c r="U148">
        <v>1627.2756520164085</v>
      </c>
      <c r="V148">
        <v>10.343799694269581</v>
      </c>
      <c r="W148">
        <v>1355.1342061921082</v>
      </c>
      <c r="X148">
        <v>7.620756590396617</v>
      </c>
      <c r="Y148">
        <v>2946.942358810018</v>
      </c>
      <c r="Z148">
        <v>10.370706911472539</v>
      </c>
      <c r="AA148">
        <v>2768.8194434953371</v>
      </c>
      <c r="AB148">
        <v>7.6375984610485155</v>
      </c>
      <c r="AC148">
        <v>2289.9129719565735</v>
      </c>
      <c r="AD148">
        <v>10.359500073762446</v>
      </c>
      <c r="AE148">
        <v>2071.7935853904282</v>
      </c>
      <c r="AF148">
        <v>7.630591793310308</v>
      </c>
      <c r="AG148">
        <v>2214.173290696267</v>
      </c>
      <c r="AH148">
        <v>10.35264123872275</v>
      </c>
      <c r="AI148">
        <v>1973.0934307284028</v>
      </c>
      <c r="AJ148">
        <v>7.6262979702741758</v>
      </c>
    </row>
    <row r="149" spans="4:36" x14ac:dyDescent="0.55000000000000004">
      <c r="D149">
        <v>142</v>
      </c>
      <c r="E149">
        <v>11.871556358717994</v>
      </c>
      <c r="F149">
        <v>0.40902751207998006</v>
      </c>
      <c r="G149">
        <v>0.14813400218429459</v>
      </c>
      <c r="H149">
        <v>17.571282127017732</v>
      </c>
      <c r="I149">
        <v>12.059471184468494</v>
      </c>
      <c r="J149">
        <v>0.27035371050531165</v>
      </c>
      <c r="K149">
        <v>9.7639975689839023E-2</v>
      </c>
      <c r="L149">
        <v>17.572535129336362</v>
      </c>
      <c r="M149">
        <v>11.976715900090294</v>
      </c>
      <c r="N149">
        <v>0.33144943546257716</v>
      </c>
      <c r="O149">
        <v>0.11985116348525612</v>
      </c>
      <c r="P149">
        <v>17.571983500961867</v>
      </c>
      <c r="Q149">
        <v>11.927503059920925</v>
      </c>
      <c r="R149">
        <v>0.36776275441797929</v>
      </c>
      <c r="S149">
        <v>0.13307885936600869</v>
      </c>
      <c r="T149">
        <v>17.57165532629509</v>
      </c>
      <c r="U149">
        <v>1502.7635104098395</v>
      </c>
      <c r="V149">
        <v>9.3618456115187438</v>
      </c>
      <c r="W149">
        <v>1283.1736328394718</v>
      </c>
      <c r="X149">
        <v>7.0317723171988549</v>
      </c>
      <c r="Y149">
        <v>2871.1335822484662</v>
      </c>
      <c r="Z149">
        <v>9.395124605701481</v>
      </c>
      <c r="AA149">
        <v>2727.1685938824298</v>
      </c>
      <c r="AB149">
        <v>7.052034527372081</v>
      </c>
      <c r="AC149">
        <v>2213.0277153267925</v>
      </c>
      <c r="AD149">
        <v>9.3804686212010857</v>
      </c>
      <c r="AE149">
        <v>2031.7948991471583</v>
      </c>
      <c r="AF149">
        <v>7.0431193435450403</v>
      </c>
      <c r="AG149">
        <v>2076.7920342171356</v>
      </c>
      <c r="AH149">
        <v>9.3717532675844826</v>
      </c>
      <c r="AI149">
        <v>1888.916829720034</v>
      </c>
      <c r="AJ149">
        <v>7.0378116907075361</v>
      </c>
    </row>
    <row r="150" spans="4:36" x14ac:dyDescent="0.55000000000000004">
      <c r="D150">
        <v>143</v>
      </c>
      <c r="E150">
        <v>11.772492651867752</v>
      </c>
      <c r="F150">
        <v>0.41141093146672114</v>
      </c>
      <c r="G150">
        <v>0.13569669278464111</v>
      </c>
      <c r="H150">
        <v>17.680399723880871</v>
      </c>
      <c r="I150">
        <v>11.964222502857226</v>
      </c>
      <c r="J150">
        <v>0.27029789574261964</v>
      </c>
      <c r="K150">
        <v>8.8896489779727667E-2</v>
      </c>
      <c r="L150">
        <v>17.676583111620431</v>
      </c>
      <c r="M150">
        <v>11.878507174987377</v>
      </c>
      <c r="N150">
        <v>0.33341128413317028</v>
      </c>
      <c r="O150">
        <v>0.10979428748408424</v>
      </c>
      <c r="P150">
        <v>17.678287253395368</v>
      </c>
      <c r="Q150">
        <v>11.83779058990446</v>
      </c>
      <c r="R150">
        <v>0.36337623229422794</v>
      </c>
      <c r="S150">
        <v>0.11973522066593363</v>
      </c>
      <c r="T150">
        <v>17.679097957135376</v>
      </c>
      <c r="U150">
        <v>1474.3611191275802</v>
      </c>
      <c r="V150">
        <v>9.2738914130679468</v>
      </c>
      <c r="W150">
        <v>1265.0898403081358</v>
      </c>
      <c r="X150">
        <v>6.9779094333537595</v>
      </c>
      <c r="Y150">
        <v>2856.7029929258242</v>
      </c>
      <c r="Z150">
        <v>9.3097357450134037</v>
      </c>
      <c r="AA150">
        <v>2718.6226368231305</v>
      </c>
      <c r="AB150">
        <v>6.9995080916970149</v>
      </c>
      <c r="AC150">
        <v>2173.2111603437106</v>
      </c>
      <c r="AD150">
        <v>9.2937126392569773</v>
      </c>
      <c r="AE150">
        <v>2004.4526841484826</v>
      </c>
      <c r="AF150">
        <v>6.98986173487891</v>
      </c>
      <c r="AG150">
        <v>2070.708515655313</v>
      </c>
      <c r="AH150">
        <v>9.2861004396070186</v>
      </c>
      <c r="AI150">
        <v>1887.8362486063486</v>
      </c>
      <c r="AJ150">
        <v>6.9852740886297688</v>
      </c>
    </row>
    <row r="151" spans="4:36" x14ac:dyDescent="0.55000000000000004">
      <c r="D151">
        <v>144</v>
      </c>
      <c r="E151">
        <v>13.5869570088002</v>
      </c>
      <c r="F151">
        <v>0.44619649355553698</v>
      </c>
      <c r="G151">
        <v>0.14842741959867825</v>
      </c>
      <c r="H151">
        <v>15.818419078045576</v>
      </c>
      <c r="I151">
        <v>13.847655004830678</v>
      </c>
      <c r="J151">
        <v>0.27705157158085592</v>
      </c>
      <c r="K151">
        <v>9.1811202073429798E-2</v>
      </c>
      <c r="L151">
        <v>15.783482221515035</v>
      </c>
      <c r="M151">
        <v>13.710834848990663</v>
      </c>
      <c r="N151">
        <v>0.36587902003673906</v>
      </c>
      <c r="O151">
        <v>0.1214889236801325</v>
      </c>
      <c r="P151">
        <v>15.801797207292477</v>
      </c>
      <c r="Q151">
        <v>13.667741232999489</v>
      </c>
      <c r="R151">
        <v>0.39383086409145868</v>
      </c>
      <c r="S151">
        <v>0.13085268303104719</v>
      </c>
      <c r="T151">
        <v>15.807575219878018</v>
      </c>
      <c r="U151">
        <v>1579.9930427716674</v>
      </c>
      <c r="V151">
        <v>10.725046535562674</v>
      </c>
      <c r="W151">
        <v>1326.5765215866193</v>
      </c>
      <c r="X151">
        <v>7.8522191410386384</v>
      </c>
      <c r="Y151">
        <v>2922.3847016469176</v>
      </c>
      <c r="Z151">
        <v>10.794168860788373</v>
      </c>
      <c r="AA151">
        <v>2757.3263231789524</v>
      </c>
      <c r="AB151">
        <v>7.8918944354808884</v>
      </c>
      <c r="AC151">
        <v>2256.2343133391314</v>
      </c>
      <c r="AD151">
        <v>10.757903554690152</v>
      </c>
      <c r="AE151">
        <v>2052.0789555633942</v>
      </c>
      <c r="AF151">
        <v>7.8710944655399411</v>
      </c>
      <c r="AG151">
        <v>2188.5001329765269</v>
      </c>
      <c r="AH151">
        <v>10.746475927091772</v>
      </c>
      <c r="AI151">
        <v>1960.3077899816899</v>
      </c>
      <c r="AJ151">
        <v>7.8645329302709515</v>
      </c>
    </row>
    <row r="152" spans="4:36" x14ac:dyDescent="0.55000000000000004">
      <c r="D152">
        <v>145</v>
      </c>
      <c r="E152">
        <v>11.708885047743903</v>
      </c>
      <c r="F152">
        <v>0.42473725378437766</v>
      </c>
      <c r="G152">
        <v>0.15579797619434466</v>
      </c>
      <c r="H152">
        <v>17.710579722277384</v>
      </c>
      <c r="I152">
        <v>11.919378122409146</v>
      </c>
      <c r="J152">
        <v>0.266920582511393</v>
      </c>
      <c r="K152">
        <v>9.760110183754829E-2</v>
      </c>
      <c r="L152">
        <v>17.716100193241921</v>
      </c>
      <c r="M152">
        <v>11.841035348518165</v>
      </c>
      <c r="N152">
        <v>0.32568743768703617</v>
      </c>
      <c r="O152">
        <v>0.11922871121703313</v>
      </c>
      <c r="P152">
        <v>17.714048502577754</v>
      </c>
      <c r="Q152">
        <v>11.79790770095469</v>
      </c>
      <c r="R152">
        <v>0.35802365134436104</v>
      </c>
      <c r="S152">
        <v>0.13115109069821967</v>
      </c>
      <c r="T152">
        <v>17.712917557002719</v>
      </c>
      <c r="U152">
        <v>1505.5612044288362</v>
      </c>
      <c r="V152">
        <v>9.2123498846316778</v>
      </c>
      <c r="W152">
        <v>1286.1560630344882</v>
      </c>
      <c r="X152">
        <v>6.9351088015757218</v>
      </c>
      <c r="Y152">
        <v>2851.5886205881898</v>
      </c>
      <c r="Z152">
        <v>9.2469698420779185</v>
      </c>
      <c r="AA152">
        <v>2714.0637550214483</v>
      </c>
      <c r="AB152">
        <v>6.9564057247554754</v>
      </c>
      <c r="AC152">
        <v>2155.3320090736715</v>
      </c>
      <c r="AD152">
        <v>9.2340830232232989</v>
      </c>
      <c r="AE152">
        <v>1990.3384432292503</v>
      </c>
      <c r="AF152">
        <v>6.9484879429563877</v>
      </c>
      <c r="AG152">
        <v>2086.1649877665891</v>
      </c>
      <c r="AH152">
        <v>9.2269897064592836</v>
      </c>
      <c r="AI152">
        <v>1898.6406399693647</v>
      </c>
      <c r="AJ152">
        <v>6.9441248493320353</v>
      </c>
    </row>
    <row r="153" spans="4:36" x14ac:dyDescent="0.55000000000000004">
      <c r="D153">
        <v>146</v>
      </c>
      <c r="E153">
        <v>11.917683525750231</v>
      </c>
      <c r="F153">
        <v>0.45762900052072752</v>
      </c>
      <c r="G153">
        <v>0.17148033980962554</v>
      </c>
      <c r="H153">
        <v>17.453207133919424</v>
      </c>
      <c r="I153">
        <v>12.130888083244093</v>
      </c>
      <c r="J153">
        <v>0.28865902826127621</v>
      </c>
      <c r="K153">
        <v>0.107803060623683</v>
      </c>
      <c r="L153">
        <v>17.472649827870942</v>
      </c>
      <c r="M153">
        <v>12.033294551577802</v>
      </c>
      <c r="N153">
        <v>0.36603181103197624</v>
      </c>
      <c r="O153">
        <v>0.13690776764769433</v>
      </c>
      <c r="P153">
        <v>17.46376586974252</v>
      </c>
      <c r="Q153">
        <v>11.978145041562311</v>
      </c>
      <c r="R153">
        <v>0.40973424830767308</v>
      </c>
      <c r="S153">
        <v>0.15338691932731935</v>
      </c>
      <c r="T153">
        <v>17.458733790802686</v>
      </c>
      <c r="U153">
        <v>1528.2163082148677</v>
      </c>
      <c r="V153">
        <v>9.4470054114024542</v>
      </c>
      <c r="W153">
        <v>1294.8925424352101</v>
      </c>
      <c r="X153">
        <v>7.0831310947007857</v>
      </c>
      <c r="Y153">
        <v>2881.4588541984422</v>
      </c>
      <c r="Z153">
        <v>9.4780990425858587</v>
      </c>
      <c r="AA153">
        <v>2731.2582500617614</v>
      </c>
      <c r="AB153">
        <v>7.1030821094000816</v>
      </c>
      <c r="AC153">
        <v>2226.820907454055</v>
      </c>
      <c r="AD153">
        <v>9.4638561167715665</v>
      </c>
      <c r="AE153">
        <v>2036.5450582271053</v>
      </c>
      <c r="AF153">
        <v>7.0939551305527839</v>
      </c>
      <c r="AG153">
        <v>2118.2694341833894</v>
      </c>
      <c r="AH153">
        <v>9.4558149289391995</v>
      </c>
      <c r="AI153">
        <v>1913.6612410223129</v>
      </c>
      <c r="AJ153">
        <v>7.0887934235271555</v>
      </c>
    </row>
    <row r="154" spans="4:36" x14ac:dyDescent="0.55000000000000004">
      <c r="D154">
        <v>147</v>
      </c>
      <c r="E154">
        <v>12.877956927596099</v>
      </c>
      <c r="F154">
        <v>0.47128160733839231</v>
      </c>
      <c r="G154">
        <v>0.18069642492759619</v>
      </c>
      <c r="H154">
        <v>16.4700650401379</v>
      </c>
      <c r="I154">
        <v>13.109113135347332</v>
      </c>
      <c r="J154">
        <v>0.29962732628770933</v>
      </c>
      <c r="K154">
        <v>0.11449458716324494</v>
      </c>
      <c r="L154">
        <v>16.476764951201716</v>
      </c>
      <c r="M154">
        <v>13.02141915020627</v>
      </c>
      <c r="N154">
        <v>0.36478269895986881</v>
      </c>
      <c r="O154">
        <v>0.13956970559656928</v>
      </c>
      <c r="P154">
        <v>16.474228445237294</v>
      </c>
      <c r="Q154">
        <v>12.941393227707056</v>
      </c>
      <c r="R154">
        <v>0.42420387636358281</v>
      </c>
      <c r="S154">
        <v>0.16249474488363291</v>
      </c>
      <c r="T154">
        <v>16.471908151045728</v>
      </c>
      <c r="U154">
        <v>1605.2286105888008</v>
      </c>
      <c r="V154">
        <v>10.189554134517975</v>
      </c>
      <c r="W154">
        <v>1340.2239645960105</v>
      </c>
      <c r="X154">
        <v>7.5269520035443804</v>
      </c>
      <c r="Y154">
        <v>2936.6524310004547</v>
      </c>
      <c r="Z154">
        <v>10.226509952908673</v>
      </c>
      <c r="AA154">
        <v>2764.3467542116687</v>
      </c>
      <c r="AB154">
        <v>7.5493765275222371</v>
      </c>
      <c r="AC154">
        <v>2249.7623364694382</v>
      </c>
      <c r="AD154">
        <v>10.212486695459347</v>
      </c>
      <c r="AE154">
        <v>2045.0188430497562</v>
      </c>
      <c r="AF154">
        <v>7.5408774400796288</v>
      </c>
      <c r="AG154">
        <v>2164.6991261104959</v>
      </c>
      <c r="AH154">
        <v>10.199693146604435</v>
      </c>
      <c r="AI154">
        <v>1937.4700437581191</v>
      </c>
      <c r="AJ154">
        <v>7.5331128755601346</v>
      </c>
    </row>
    <row r="155" spans="4:36" x14ac:dyDescent="0.55000000000000004">
      <c r="D155">
        <v>148</v>
      </c>
      <c r="E155">
        <v>13.299103971793128</v>
      </c>
      <c r="F155">
        <v>0.48703807598955701</v>
      </c>
      <c r="G155">
        <v>0.19970237816643593</v>
      </c>
      <c r="H155">
        <v>16.014155574050882</v>
      </c>
      <c r="I155">
        <v>13.559124348432293</v>
      </c>
      <c r="J155">
        <v>0.30707312527313363</v>
      </c>
      <c r="K155">
        <v>0.12546168073210137</v>
      </c>
      <c r="L155">
        <v>16.008340845562465</v>
      </c>
      <c r="M155">
        <v>13.46362248440483</v>
      </c>
      <c r="N155">
        <v>0.37322025686678434</v>
      </c>
      <c r="O155">
        <v>0.15268671088244473</v>
      </c>
      <c r="P155">
        <v>16.010470547845927</v>
      </c>
      <c r="Q155">
        <v>13.445374375033392</v>
      </c>
      <c r="R155">
        <v>0.38585300632351832</v>
      </c>
      <c r="S155">
        <v>0.15789435236780852</v>
      </c>
      <c r="T155">
        <v>16.010878266275288</v>
      </c>
      <c r="U155">
        <v>1612.1778063151203</v>
      </c>
      <c r="V155">
        <v>10.548213578944035</v>
      </c>
      <c r="W155">
        <v>1347.574859776686</v>
      </c>
      <c r="X155">
        <v>7.7443863507009398</v>
      </c>
      <c r="Y155">
        <v>2935.647445374751</v>
      </c>
      <c r="Z155">
        <v>10.599722523262663</v>
      </c>
      <c r="AA155">
        <v>2765.0485481482251</v>
      </c>
      <c r="AB155">
        <v>7.7745589793921166</v>
      </c>
      <c r="AC155">
        <v>2232.0100036358685</v>
      </c>
      <c r="AD155">
        <v>10.580807961950853</v>
      </c>
      <c r="AE155">
        <v>2033.8574224318559</v>
      </c>
      <c r="AF155">
        <v>7.763491657282457</v>
      </c>
      <c r="AG155">
        <v>2140.077195198251</v>
      </c>
      <c r="AH155">
        <v>10.57719332450144</v>
      </c>
      <c r="AI155">
        <v>1925.4762285104803</v>
      </c>
      <c r="AJ155">
        <v>7.7613750333078908</v>
      </c>
    </row>
    <row r="156" spans="4:36" x14ac:dyDescent="0.55000000000000004">
      <c r="D156">
        <v>149</v>
      </c>
      <c r="E156">
        <v>12.284240256457061</v>
      </c>
      <c r="F156">
        <v>0.50677730744193894</v>
      </c>
      <c r="G156">
        <v>0.1435816593041829</v>
      </c>
      <c r="H156">
        <v>17.065400776796814</v>
      </c>
      <c r="I156">
        <v>12.507140507388391</v>
      </c>
      <c r="J156">
        <v>0.32705797216222621</v>
      </c>
      <c r="K156">
        <v>9.2370105231436184E-2</v>
      </c>
      <c r="L156">
        <v>17.073431415217957</v>
      </c>
      <c r="M156">
        <v>12.457947495041472</v>
      </c>
      <c r="N156">
        <v>0.36674042597746132</v>
      </c>
      <c r="O156">
        <v>0.10364950362407853</v>
      </c>
      <c r="P156">
        <v>17.071662575356996</v>
      </c>
      <c r="Q156">
        <v>12.389514838442174</v>
      </c>
      <c r="R156">
        <v>0.4219248223907236</v>
      </c>
      <c r="S156">
        <v>0.11936167467744932</v>
      </c>
      <c r="T156">
        <v>17.069198664489662</v>
      </c>
      <c r="U156">
        <v>1511.8562384146853</v>
      </c>
      <c r="V156">
        <v>9.6611101447903955</v>
      </c>
      <c r="W156">
        <v>1283.8950856053202</v>
      </c>
      <c r="X156">
        <v>7.2012929416362459</v>
      </c>
      <c r="Y156">
        <v>2883.5970529249171</v>
      </c>
      <c r="Z156">
        <v>9.6971226239128896</v>
      </c>
      <c r="AA156">
        <v>2733.0166968146891</v>
      </c>
      <c r="AB156">
        <v>7.2233228013333246</v>
      </c>
      <c r="AC156">
        <v>2196.1770744006758</v>
      </c>
      <c r="AD156">
        <v>9.6891728561128083</v>
      </c>
      <c r="AE156">
        <v>2017.2452025785319</v>
      </c>
      <c r="AF156">
        <v>7.2184671218172349</v>
      </c>
      <c r="AG156">
        <v>2086.9891820340099</v>
      </c>
      <c r="AH156">
        <v>9.6781157570166609</v>
      </c>
      <c r="AI156">
        <v>1893.6619093734739</v>
      </c>
      <c r="AJ156">
        <v>7.2117065460371927</v>
      </c>
    </row>
    <row r="157" spans="4:36" x14ac:dyDescent="0.55000000000000004">
      <c r="D157">
        <v>150</v>
      </c>
      <c r="E157">
        <v>13.425354848160511</v>
      </c>
      <c r="F157">
        <v>0.51360837629700928</v>
      </c>
      <c r="G157">
        <v>0.1823800093292916</v>
      </c>
      <c r="H157">
        <v>15.87865676621319</v>
      </c>
      <c r="I157">
        <v>13.644935438444733</v>
      </c>
      <c r="J157">
        <v>0.34283492719566766</v>
      </c>
      <c r="K157">
        <v>0.12138383767097852</v>
      </c>
      <c r="L157">
        <v>15.890845796688616</v>
      </c>
      <c r="M157">
        <v>13.54930044115952</v>
      </c>
      <c r="N157">
        <v>0.41724103243937394</v>
      </c>
      <c r="O157">
        <v>0.14791544049082878</v>
      </c>
      <c r="P157">
        <v>15.885543085910285</v>
      </c>
      <c r="Q157">
        <v>13.49724390066185</v>
      </c>
      <c r="R157">
        <v>0.45772383093639873</v>
      </c>
      <c r="S157">
        <v>0.16237948786351714</v>
      </c>
      <c r="T157">
        <v>15.882652780538228</v>
      </c>
      <c r="U157">
        <v>1628.2735586471888</v>
      </c>
      <c r="V157">
        <v>10.694183102924988</v>
      </c>
      <c r="W157">
        <v>1353.8582488693694</v>
      </c>
      <c r="X157">
        <v>7.8355402355289305</v>
      </c>
      <c r="Y157">
        <v>2955.0218357805547</v>
      </c>
      <c r="Z157">
        <v>10.73012780858094</v>
      </c>
      <c r="AA157">
        <v>2774.2980425863229</v>
      </c>
      <c r="AB157">
        <v>7.8572442739962813</v>
      </c>
      <c r="AC157">
        <v>2312.972016356458</v>
      </c>
      <c r="AD157">
        <v>10.714469210979264</v>
      </c>
      <c r="AE157">
        <v>2087.3894134221027</v>
      </c>
      <c r="AF157">
        <v>7.8477985181014871</v>
      </c>
      <c r="AG157">
        <v>2202.3327917298002</v>
      </c>
      <c r="AH157">
        <v>10.705948058336304</v>
      </c>
      <c r="AI157">
        <v>1962.8373899009632</v>
      </c>
      <c r="AJ157">
        <v>7.8426523590646324</v>
      </c>
    </row>
    <row r="158" spans="4:36" x14ac:dyDescent="0.55000000000000004">
      <c r="D158">
        <v>151</v>
      </c>
      <c r="E158">
        <v>13.13554165577863</v>
      </c>
      <c r="F158">
        <v>0.46147457811099363</v>
      </c>
      <c r="G158">
        <v>0.1817104809090215</v>
      </c>
      <c r="H158">
        <v>16.221273285201359</v>
      </c>
      <c r="I158">
        <v>13.356267272814254</v>
      </c>
      <c r="J158">
        <v>0.30605257668034785</v>
      </c>
      <c r="K158">
        <v>0.12011888558783268</v>
      </c>
      <c r="L158">
        <v>16.217561264917574</v>
      </c>
      <c r="M158">
        <v>13.273835501476986</v>
      </c>
      <c r="N158">
        <v>0.36413067687172457</v>
      </c>
      <c r="O158">
        <v>0.14308672349472265</v>
      </c>
      <c r="P158">
        <v>16.218947098156558</v>
      </c>
      <c r="Q158">
        <v>13.250594459665395</v>
      </c>
      <c r="R158">
        <v>0.38049797587263401</v>
      </c>
      <c r="S158">
        <v>0.14956964329523526</v>
      </c>
      <c r="T158">
        <v>16.219337921166719</v>
      </c>
      <c r="U158">
        <v>1626.9343262018338</v>
      </c>
      <c r="V158">
        <v>10.288150297599628</v>
      </c>
      <c r="W158">
        <v>1358.5372590080824</v>
      </c>
      <c r="X158">
        <v>7.5728741558643611</v>
      </c>
      <c r="Y158">
        <v>2915.4335455828218</v>
      </c>
      <c r="Z158">
        <v>10.328024866423192</v>
      </c>
      <c r="AA158">
        <v>2748.9190656787355</v>
      </c>
      <c r="AB158">
        <v>7.5965137874731896</v>
      </c>
      <c r="AC158">
        <v>2262.5394789295647</v>
      </c>
      <c r="AD158">
        <v>10.313133834221293</v>
      </c>
      <c r="AE158">
        <v>2055.585599980423</v>
      </c>
      <c r="AF158">
        <v>7.5876946227888453</v>
      </c>
      <c r="AG158">
        <v>2153.3250855126021</v>
      </c>
      <c r="AH158">
        <v>10.308935318716051</v>
      </c>
      <c r="AI158">
        <v>1934.1208314367452</v>
      </c>
      <c r="AJ158">
        <v>7.5852061409259663</v>
      </c>
    </row>
    <row r="159" spans="4:36" x14ac:dyDescent="0.55000000000000004">
      <c r="D159">
        <v>152</v>
      </c>
      <c r="E159">
        <v>12.082840285104663</v>
      </c>
      <c r="F159">
        <v>0.40534680757434871</v>
      </c>
      <c r="G159">
        <v>0.15621147487817116</v>
      </c>
      <c r="H159">
        <v>17.355601432442811</v>
      </c>
      <c r="I159">
        <v>12.280447114398656</v>
      </c>
      <c r="J159">
        <v>0.26458785649698857</v>
      </c>
      <c r="K159">
        <v>0.10166602288915361</v>
      </c>
      <c r="L159">
        <v>17.353299006215199</v>
      </c>
      <c r="M159">
        <v>12.175453771155466</v>
      </c>
      <c r="N159">
        <v>0.33940684966018442</v>
      </c>
      <c r="O159">
        <v>0.13061849246276849</v>
      </c>
      <c r="P159">
        <v>17.354520886721588</v>
      </c>
      <c r="Q159">
        <v>12.164821162016212</v>
      </c>
      <c r="R159">
        <v>0.34697989977526522</v>
      </c>
      <c r="S159">
        <v>0.13355412907395137</v>
      </c>
      <c r="T159">
        <v>17.354644809134577</v>
      </c>
      <c r="U159">
        <v>1553.6100664933847</v>
      </c>
      <c r="V159">
        <v>9.5300954498145174</v>
      </c>
      <c r="W159">
        <v>1319.1448163492357</v>
      </c>
      <c r="X159">
        <v>7.1339694542670227</v>
      </c>
      <c r="Y159">
        <v>2875.272669200273</v>
      </c>
      <c r="Z159">
        <v>9.5666843774437051</v>
      </c>
      <c r="AA159">
        <v>2729.0331690155786</v>
      </c>
      <c r="AB159">
        <v>7.1560496173339416</v>
      </c>
      <c r="AC159">
        <v>2211.7244624440691</v>
      </c>
      <c r="AD159">
        <v>9.5472442497549093</v>
      </c>
      <c r="AE159">
        <v>2027.9465040494717</v>
      </c>
      <c r="AF159">
        <v>7.1443272603658921</v>
      </c>
      <c r="AG159">
        <v>2098.8157487143403</v>
      </c>
      <c r="AH159">
        <v>9.5452755018175086</v>
      </c>
      <c r="AI159">
        <v>1904.9731736949998</v>
      </c>
      <c r="AJ159">
        <v>7.1431389642630512</v>
      </c>
    </row>
    <row r="160" spans="4:36" x14ac:dyDescent="0.55000000000000004">
      <c r="D160">
        <v>153</v>
      </c>
      <c r="E160">
        <v>12.008474966324824</v>
      </c>
      <c r="F160">
        <v>0.42244230834892876</v>
      </c>
      <c r="G160">
        <v>0.15596059219418484</v>
      </c>
      <c r="H160">
        <v>17.413122133132045</v>
      </c>
      <c r="I160">
        <v>12.198850699034452</v>
      </c>
      <c r="J160">
        <v>0.28112937193484033</v>
      </c>
      <c r="K160">
        <v>0.10350010392045228</v>
      </c>
      <c r="L160">
        <v>17.416519825110246</v>
      </c>
      <c r="M160">
        <v>12.133863640711498</v>
      </c>
      <c r="N160">
        <v>0.32939172175037684</v>
      </c>
      <c r="O160">
        <v>0.12138347337088713</v>
      </c>
      <c r="P160">
        <v>17.415361164167251</v>
      </c>
      <c r="Q160">
        <v>12.072031320813833</v>
      </c>
      <c r="R160">
        <v>0.37528868665486043</v>
      </c>
      <c r="S160">
        <v>0.13842237870076857</v>
      </c>
      <c r="T160">
        <v>17.414257613830539</v>
      </c>
      <c r="U160">
        <v>1496.9469869194775</v>
      </c>
      <c r="V160">
        <v>9.4947817261806513</v>
      </c>
      <c r="W160">
        <v>1276.7736751600471</v>
      </c>
      <c r="X160">
        <v>7.115012001967731</v>
      </c>
      <c r="Y160">
        <v>2869.5582813945794</v>
      </c>
      <c r="Z160">
        <v>9.5294862401347142</v>
      </c>
      <c r="AA160">
        <v>2724.5057430981074</v>
      </c>
      <c r="AB160">
        <v>7.1361739773021142</v>
      </c>
      <c r="AC160">
        <v>2184.2964285037019</v>
      </c>
      <c r="AD160">
        <v>9.5176385369161469</v>
      </c>
      <c r="AE160">
        <v>2009.5711944361174</v>
      </c>
      <c r="AF160">
        <v>7.1289574792573864</v>
      </c>
      <c r="AG160">
        <v>2068.3924525685175</v>
      </c>
      <c r="AH160">
        <v>9.5063668319757006</v>
      </c>
      <c r="AI160">
        <v>1881.2194265253734</v>
      </c>
      <c r="AJ160">
        <v>7.1220842027040083</v>
      </c>
    </row>
    <row r="161" spans="4:36" x14ac:dyDescent="0.55000000000000004">
      <c r="D161">
        <v>154</v>
      </c>
      <c r="E161">
        <v>13.158733216148045</v>
      </c>
      <c r="F161">
        <v>0.46896187610531165</v>
      </c>
      <c r="G161">
        <v>0.17467108111259447</v>
      </c>
      <c r="H161">
        <v>16.197633826634057</v>
      </c>
      <c r="I161">
        <v>13.399667739863125</v>
      </c>
      <c r="J161">
        <v>0.30106622997874033</v>
      </c>
      <c r="K161">
        <v>0.11174693423078316</v>
      </c>
      <c r="L161">
        <v>16.187519095927339</v>
      </c>
      <c r="M161">
        <v>13.323295698617653</v>
      </c>
      <c r="N161">
        <v>0.35432484422248384</v>
      </c>
      <c r="O161">
        <v>0.13165922072065603</v>
      </c>
      <c r="P161">
        <v>16.190720236439223</v>
      </c>
      <c r="Q161">
        <v>13.282666456557459</v>
      </c>
      <c r="R161">
        <v>0.38264340437107419</v>
      </c>
      <c r="S161">
        <v>0.14226502144749351</v>
      </c>
      <c r="T161">
        <v>16.192425117623969</v>
      </c>
      <c r="U161">
        <v>1606.8822701050849</v>
      </c>
      <c r="V161">
        <v>10.297960867228957</v>
      </c>
      <c r="W161">
        <v>1344.6905804188907</v>
      </c>
      <c r="X161">
        <v>7.5793896063976192</v>
      </c>
      <c r="Y161">
        <v>2912.4922806603317</v>
      </c>
      <c r="Z161">
        <v>10.347850515275944</v>
      </c>
      <c r="AA161">
        <v>2748.2160541264116</v>
      </c>
      <c r="AB161">
        <v>7.6086887751689751</v>
      </c>
      <c r="AC161">
        <v>2251.6418533965484</v>
      </c>
      <c r="AD161">
        <v>10.332039309851224</v>
      </c>
      <c r="AE161">
        <v>2049.5763104334706</v>
      </c>
      <c r="AF161">
        <v>7.5994138344770237</v>
      </c>
      <c r="AG161">
        <v>2156.8765822631731</v>
      </c>
      <c r="AH161">
        <v>10.323626781762353</v>
      </c>
      <c r="AI161">
        <v>1937.8881953380667</v>
      </c>
      <c r="AJ161">
        <v>7.5944749901795285</v>
      </c>
    </row>
    <row r="162" spans="4:36" x14ac:dyDescent="0.55000000000000004">
      <c r="D162">
        <v>155</v>
      </c>
      <c r="E162">
        <v>14.906103028444823</v>
      </c>
      <c r="F162">
        <v>0.54681450050385172</v>
      </c>
      <c r="G162">
        <v>0.18182527465603796</v>
      </c>
      <c r="H162">
        <v>14.365257196395286</v>
      </c>
      <c r="I162">
        <v>15.227640772344271</v>
      </c>
      <c r="J162">
        <v>0.3372485042149021</v>
      </c>
      <c r="K162">
        <v>0.11169762839105016</v>
      </c>
      <c r="L162">
        <v>14.323413095049757</v>
      </c>
      <c r="M162">
        <v>15.136534606303794</v>
      </c>
      <c r="N162">
        <v>0.39669316855386089</v>
      </c>
      <c r="O162">
        <v>0.13153243323067099</v>
      </c>
      <c r="P162">
        <v>14.335239791911675</v>
      </c>
      <c r="Q162">
        <v>15.039432190043009</v>
      </c>
      <c r="R162">
        <v>0.45999377047370343</v>
      </c>
      <c r="S162">
        <v>0.15270348964307809</v>
      </c>
      <c r="T162">
        <v>14.347870549840213</v>
      </c>
      <c r="U162">
        <v>1669.7976736530161</v>
      </c>
      <c r="V162">
        <v>11.76350325237784</v>
      </c>
      <c r="W162">
        <v>1376.0272720285891</v>
      </c>
      <c r="X162">
        <v>8.4521313763638322</v>
      </c>
      <c r="Y162">
        <v>2991.12293818641</v>
      </c>
      <c r="Z162">
        <v>11.848450104034921</v>
      </c>
      <c r="AA162">
        <v>2796.9862569966258</v>
      </c>
      <c r="AB162">
        <v>8.4999645915453161</v>
      </c>
      <c r="AC162">
        <v>2314.9368531379141</v>
      </c>
      <c r="AD162">
        <v>11.824396128487853</v>
      </c>
      <c r="AE162">
        <v>2085.3472320878</v>
      </c>
      <c r="AF162">
        <v>8.4864358125054675</v>
      </c>
      <c r="AG162">
        <v>2234.2079844110999</v>
      </c>
      <c r="AH162">
        <v>11.798745752815949</v>
      </c>
      <c r="AI162">
        <v>1980.9004552489821</v>
      </c>
      <c r="AJ162">
        <v>8.4719953772912415</v>
      </c>
    </row>
    <row r="163" spans="4:36" x14ac:dyDescent="0.55000000000000004">
      <c r="D163">
        <v>156</v>
      </c>
      <c r="E163">
        <v>12.281291886069079</v>
      </c>
      <c r="F163">
        <v>0.42303841826680511</v>
      </c>
      <c r="G163">
        <v>0.15944736970511625</v>
      </c>
      <c r="H163">
        <v>17.13622232595899</v>
      </c>
      <c r="I163">
        <v>12.474453667058885</v>
      </c>
      <c r="J163">
        <v>0.28125370698677593</v>
      </c>
      <c r="K163">
        <v>0.10569595620229762</v>
      </c>
      <c r="L163">
        <v>17.138596669752054</v>
      </c>
      <c r="M163">
        <v>12.390092420463107</v>
      </c>
      <c r="N163">
        <v>0.34320333580558632</v>
      </c>
      <c r="O163">
        <v>0.12914199676165</v>
      </c>
      <c r="P163">
        <v>17.137562246969676</v>
      </c>
      <c r="Q163">
        <v>12.325709242495657</v>
      </c>
      <c r="R163">
        <v>0.39045446218342506</v>
      </c>
      <c r="S163">
        <v>0.14706615383950492</v>
      </c>
      <c r="T163">
        <v>17.136770141481428</v>
      </c>
      <c r="U163">
        <v>1469.1220802010464</v>
      </c>
      <c r="V163">
        <v>9.8215524789246373</v>
      </c>
      <c r="W163">
        <v>1256.6819982648485</v>
      </c>
      <c r="X163">
        <v>7.3287223548457909</v>
      </c>
      <c r="Y163">
        <v>2874.7289787995828</v>
      </c>
      <c r="Z163">
        <v>9.8585852671542202</v>
      </c>
      <c r="AA163">
        <v>2728.9669142805633</v>
      </c>
      <c r="AB163">
        <v>7.351153781795654</v>
      </c>
      <c r="AC163">
        <v>2189.7966094415929</v>
      </c>
      <c r="AD163">
        <v>9.8424106623910053</v>
      </c>
      <c r="AE163">
        <v>2013.2949502796366</v>
      </c>
      <c r="AF163">
        <v>7.3413655761244252</v>
      </c>
      <c r="AG163">
        <v>2076.7855340015758</v>
      </c>
      <c r="AH163">
        <v>9.8300674459430368</v>
      </c>
      <c r="AI163">
        <v>1887.2640387343401</v>
      </c>
      <c r="AJ163">
        <v>7.3338865536450335</v>
      </c>
    </row>
    <row r="164" spans="4:36" x14ac:dyDescent="0.55000000000000004">
      <c r="D164">
        <v>157</v>
      </c>
      <c r="E164">
        <v>13.475639200521146</v>
      </c>
      <c r="F164">
        <v>0.45804567424701487</v>
      </c>
      <c r="G164">
        <v>0.15393499523991447</v>
      </c>
      <c r="H164">
        <v>15.912380129991929</v>
      </c>
      <c r="I164">
        <v>13.709593388649559</v>
      </c>
      <c r="J164">
        <v>0.30479620578303396</v>
      </c>
      <c r="K164">
        <v>0.1020973906197889</v>
      </c>
      <c r="L164">
        <v>15.883513014947598</v>
      </c>
      <c r="M164">
        <v>13.610505206034947</v>
      </c>
      <c r="N164">
        <v>0.36974721777363984</v>
      </c>
      <c r="O164">
        <v>0.12402532338841005</v>
      </c>
      <c r="P164">
        <v>15.895722252802997</v>
      </c>
      <c r="Q164">
        <v>13.599596778566864</v>
      </c>
      <c r="R164">
        <v>0.37689359426320806</v>
      </c>
      <c r="S164">
        <v>0.12644175907979271</v>
      </c>
      <c r="T164">
        <v>15.897067868090144</v>
      </c>
      <c r="U164">
        <v>1559.1007498707825</v>
      </c>
      <c r="V164">
        <v>10.664301137639191</v>
      </c>
      <c r="W164">
        <v>1310.7977874909959</v>
      </c>
      <c r="X164">
        <v>7.8185288010829668</v>
      </c>
      <c r="Y164">
        <v>2927.6470984744792</v>
      </c>
      <c r="Z164">
        <v>10.724514162545418</v>
      </c>
      <c r="AA164">
        <v>2759.4562485189117</v>
      </c>
      <c r="AB164">
        <v>7.8530660107402435</v>
      </c>
      <c r="AC164">
        <v>2272.617164974743</v>
      </c>
      <c r="AD164">
        <v>10.699021680444739</v>
      </c>
      <c r="AE164">
        <v>2064.238510056849</v>
      </c>
      <c r="AF164">
        <v>7.83845599517685</v>
      </c>
      <c r="AG164">
        <v>2168.5218929888215</v>
      </c>
      <c r="AH164">
        <v>10.696214373196192</v>
      </c>
      <c r="AI164">
        <v>1947.2584625232175</v>
      </c>
      <c r="AJ164">
        <v>7.8368460203886556</v>
      </c>
    </row>
    <row r="165" spans="4:36" x14ac:dyDescent="0.55000000000000004">
      <c r="D165">
        <v>158</v>
      </c>
      <c r="E165">
        <v>14.249128319396823</v>
      </c>
      <c r="F165">
        <v>0.48269087779668574</v>
      </c>
      <c r="G165">
        <v>0.24292019963586453</v>
      </c>
      <c r="H165">
        <v>15.025260603170624</v>
      </c>
      <c r="I165">
        <v>14.513432305009943</v>
      </c>
      <c r="J165">
        <v>0.31330396853559778</v>
      </c>
      <c r="K165">
        <v>0.15708738777142281</v>
      </c>
      <c r="L165">
        <v>15.016176338683049</v>
      </c>
      <c r="M165">
        <v>14.369828463057539</v>
      </c>
      <c r="N165">
        <v>0.40539345015929235</v>
      </c>
      <c r="O165">
        <v>0.20367073435952307</v>
      </c>
      <c r="P165">
        <v>15.021107352423652</v>
      </c>
      <c r="Q165">
        <v>14.375244622952014</v>
      </c>
      <c r="R165">
        <v>0.40192264650423437</v>
      </c>
      <c r="S165">
        <v>0.20191155937027319</v>
      </c>
      <c r="T165">
        <v>15.020921171173462</v>
      </c>
      <c r="U165">
        <v>1665.03583398091</v>
      </c>
      <c r="V165">
        <v>11.175355865021746</v>
      </c>
      <c r="W165">
        <v>1372.7367241897759</v>
      </c>
      <c r="X165">
        <v>8.0941512801156854</v>
      </c>
      <c r="Y165">
        <v>2974.3374071274879</v>
      </c>
      <c r="Z165">
        <v>11.225956823732711</v>
      </c>
      <c r="AA165">
        <v>2783.9084305835072</v>
      </c>
      <c r="AB165">
        <v>8.1234002784240626</v>
      </c>
      <c r="AC165">
        <v>2332.6802568872008</v>
      </c>
      <c r="AD165">
        <v>11.198467628045567</v>
      </c>
      <c r="AE165">
        <v>2094.0385654513234</v>
      </c>
      <c r="AF165">
        <v>8.1075223968798511</v>
      </c>
      <c r="AG165">
        <v>2245.3424611317264</v>
      </c>
      <c r="AH165">
        <v>11.199504570850975</v>
      </c>
      <c r="AI165">
        <v>1989.717520463752</v>
      </c>
      <c r="AJ165">
        <v>8.1081218451117341</v>
      </c>
    </row>
    <row r="166" spans="4:36" x14ac:dyDescent="0.55000000000000004">
      <c r="D166">
        <v>159</v>
      </c>
      <c r="E166">
        <v>11.755872206369515</v>
      </c>
      <c r="F166">
        <v>0.46002857434271976</v>
      </c>
      <c r="G166">
        <v>0.17560435184520823</v>
      </c>
      <c r="H166">
        <v>17.608494867442573</v>
      </c>
      <c r="I166">
        <v>11.981080900940091</v>
      </c>
      <c r="J166">
        <v>0.28324959154090296</v>
      </c>
      <c r="K166">
        <v>0.10772690666486696</v>
      </c>
      <c r="L166">
        <v>17.627942600854158</v>
      </c>
      <c r="M166">
        <v>11.897124314011826</v>
      </c>
      <c r="N166">
        <v>0.34918177788721455</v>
      </c>
      <c r="O166">
        <v>0.13298368693496149</v>
      </c>
      <c r="P166">
        <v>17.620710221166007</v>
      </c>
      <c r="Q166">
        <v>11.84942204465535</v>
      </c>
      <c r="R166">
        <v>0.38662718609734836</v>
      </c>
      <c r="S166">
        <v>0.14735912391405265</v>
      </c>
      <c r="T166">
        <v>17.616591645333234</v>
      </c>
      <c r="U166">
        <v>1538.2731412761641</v>
      </c>
      <c r="V166">
        <v>9.3618396032437552</v>
      </c>
      <c r="W166">
        <v>1304.3804849753112</v>
      </c>
      <c r="X166">
        <v>7.0360916059674734</v>
      </c>
      <c r="Y166">
        <v>2869.7477467234257</v>
      </c>
      <c r="Z166">
        <v>9.3925796415490765</v>
      </c>
      <c r="AA166">
        <v>2724.1973524084378</v>
      </c>
      <c r="AB166">
        <v>7.0557936352617157</v>
      </c>
      <c r="AC166">
        <v>2211.8886142460078</v>
      </c>
      <c r="AD166">
        <v>9.3811105077627932</v>
      </c>
      <c r="AE166">
        <v>2028.4067992352161</v>
      </c>
      <c r="AF166">
        <v>7.0484545853838441</v>
      </c>
      <c r="AG166">
        <v>2109.0608465441587</v>
      </c>
      <c r="AH166">
        <v>9.3745989648271344</v>
      </c>
      <c r="AI166">
        <v>1910.5376208956677</v>
      </c>
      <c r="AJ166">
        <v>7.0442816640013497</v>
      </c>
    </row>
    <row r="167" spans="4:36" x14ac:dyDescent="0.55000000000000004">
      <c r="D167">
        <v>160</v>
      </c>
      <c r="E167">
        <v>15.234501712476483</v>
      </c>
      <c r="F167">
        <v>0.51861838215763467</v>
      </c>
      <c r="G167">
        <v>0.16803364833522816</v>
      </c>
      <c r="H167">
        <v>14.078846257030653</v>
      </c>
      <c r="I167">
        <v>15.485735581436124</v>
      </c>
      <c r="J167">
        <v>0.35696865343207873</v>
      </c>
      <c r="K167">
        <v>0.11530928929555155</v>
      </c>
      <c r="L167">
        <v>14.041986475836255</v>
      </c>
      <c r="M167">
        <v>15.374925456460458</v>
      </c>
      <c r="N167">
        <v>0.42831489348228291</v>
      </c>
      <c r="O167">
        <v>0.1385398461683908</v>
      </c>
      <c r="P167">
        <v>14.058219803888873</v>
      </c>
      <c r="Q167">
        <v>15.280784314082222</v>
      </c>
      <c r="R167">
        <v>0.48886868227013713</v>
      </c>
      <c r="S167">
        <v>0.15830588661247233</v>
      </c>
      <c r="T167">
        <v>14.072041117035155</v>
      </c>
      <c r="U167">
        <v>1696.773746718382</v>
      </c>
      <c r="V167">
        <v>12.038936570015364</v>
      </c>
      <c r="W167">
        <v>1393.9113743562702</v>
      </c>
      <c r="X167">
        <v>8.6183555461625527</v>
      </c>
      <c r="Y167">
        <v>3000.3633546563633</v>
      </c>
      <c r="Z167">
        <v>12.107217278303365</v>
      </c>
      <c r="AA167">
        <v>2800.0720033028729</v>
      </c>
      <c r="AB167">
        <v>8.6564019931916203</v>
      </c>
      <c r="AC167">
        <v>2353.8618267627999</v>
      </c>
      <c r="AD167">
        <v>12.077115232477084</v>
      </c>
      <c r="AE167">
        <v>2108.5845827084804</v>
      </c>
      <c r="AF167">
        <v>8.6396401663615503</v>
      </c>
      <c r="AG167">
        <v>2283.4381775823513</v>
      </c>
      <c r="AH167">
        <v>12.05152394067486</v>
      </c>
      <c r="AI167">
        <v>2011.480527565172</v>
      </c>
      <c r="AJ167">
        <v>8.6253761789515497</v>
      </c>
    </row>
    <row r="168" spans="4:36" x14ac:dyDescent="0.55000000000000004">
      <c r="D168">
        <v>161</v>
      </c>
      <c r="E168">
        <v>11.871954371338205</v>
      </c>
      <c r="F168">
        <v>0.3973006329811965</v>
      </c>
      <c r="G168">
        <v>0.16481813592501002</v>
      </c>
      <c r="H168">
        <v>17.565926859755592</v>
      </c>
      <c r="I168">
        <v>12.073185063070069</v>
      </c>
      <c r="J168">
        <v>0.2503239143114781</v>
      </c>
      <c r="K168">
        <v>0.10352013957444485</v>
      </c>
      <c r="L168">
        <v>17.572970883044015</v>
      </c>
      <c r="M168">
        <v>11.964576328248773</v>
      </c>
      <c r="N168">
        <v>0.32968072851014157</v>
      </c>
      <c r="O168">
        <v>0.13656818140945343</v>
      </c>
      <c r="P168">
        <v>17.56917476183164</v>
      </c>
      <c r="Q168">
        <v>11.93506846693111</v>
      </c>
      <c r="R168">
        <v>0.35122895335908877</v>
      </c>
      <c r="S168">
        <v>0.14556148615244835</v>
      </c>
      <c r="T168">
        <v>17.568141093557344</v>
      </c>
      <c r="U168">
        <v>1517.3317365529051</v>
      </c>
      <c r="V168">
        <v>9.3057767223858399</v>
      </c>
      <c r="W168">
        <v>1293.2113391479822</v>
      </c>
      <c r="X168">
        <v>6.9884986216441192</v>
      </c>
      <c r="Y168">
        <v>2863.2404146530034</v>
      </c>
      <c r="Z168">
        <v>9.3382732912435866</v>
      </c>
      <c r="AA168">
        <v>2721.6984955262405</v>
      </c>
      <c r="AB168">
        <v>7.0086124960416543</v>
      </c>
      <c r="AC168">
        <v>2189.1976875838632</v>
      </c>
      <c r="AD168">
        <v>9.3207308162454101</v>
      </c>
      <c r="AE168">
        <v>2012.3369854710784</v>
      </c>
      <c r="AF168">
        <v>6.9977641294751951</v>
      </c>
      <c r="AG168">
        <v>2083.2641466946948</v>
      </c>
      <c r="AH168">
        <v>9.3159660602011929</v>
      </c>
      <c r="AI168">
        <v>1893.4662298099815</v>
      </c>
      <c r="AJ168">
        <v>6.9948136944758925</v>
      </c>
    </row>
    <row r="169" spans="4:36" x14ac:dyDescent="0.55000000000000004">
      <c r="D169">
        <v>162</v>
      </c>
      <c r="E169">
        <v>11.850853867938639</v>
      </c>
      <c r="F169">
        <v>0.44865061539662499</v>
      </c>
      <c r="G169">
        <v>0.15395480152406685</v>
      </c>
      <c r="H169">
        <v>17.546540715140679</v>
      </c>
      <c r="I169">
        <v>12.055717180749964</v>
      </c>
      <c r="J169">
        <v>0.28657421676913009</v>
      </c>
      <c r="K169">
        <v>9.8040602299447999E-2</v>
      </c>
      <c r="L169">
        <v>17.559668000181468</v>
      </c>
      <c r="M169">
        <v>11.959192664328466</v>
      </c>
      <c r="N169">
        <v>0.3629646911008047</v>
      </c>
      <c r="O169">
        <v>0.12435151467607461</v>
      </c>
      <c r="P169">
        <v>17.55349112989467</v>
      </c>
      <c r="Q169">
        <v>11.950413640943044</v>
      </c>
      <c r="R169">
        <v>0.36991023754393265</v>
      </c>
      <c r="S169">
        <v>0.12674751233070236</v>
      </c>
      <c r="T169">
        <v>17.552928609182313</v>
      </c>
      <c r="U169">
        <v>1482.9373727014306</v>
      </c>
      <c r="V169">
        <v>9.3238011612672018</v>
      </c>
      <c r="W169">
        <v>1265.8432918015683</v>
      </c>
      <c r="X169">
        <v>6.9997356267040605</v>
      </c>
      <c r="Y169">
        <v>2863.564929861473</v>
      </c>
      <c r="Z169">
        <v>9.351504516536318</v>
      </c>
      <c r="AA169">
        <v>2720.7383691976434</v>
      </c>
      <c r="AB169">
        <v>7.0170928973311719</v>
      </c>
      <c r="AC169">
        <v>2195.9598018134566</v>
      </c>
      <c r="AD169">
        <v>9.3384471763103001</v>
      </c>
      <c r="AE169">
        <v>2017.0626591125404</v>
      </c>
      <c r="AF169">
        <v>7.0089208330338799</v>
      </c>
      <c r="AG169">
        <v>2063.9570813874002</v>
      </c>
      <c r="AH169">
        <v>9.337259989347837</v>
      </c>
      <c r="AI169">
        <v>1879.8442455199438</v>
      </c>
      <c r="AJ169">
        <v>7.0081770388204596</v>
      </c>
    </row>
    <row r="170" spans="4:36" x14ac:dyDescent="0.55000000000000004">
      <c r="D170">
        <v>163</v>
      </c>
      <c r="E170">
        <v>14.133223786332614</v>
      </c>
      <c r="F170">
        <v>0.47377633761545995</v>
      </c>
      <c r="G170">
        <v>0.1858961911879746</v>
      </c>
      <c r="H170">
        <v>15.207103684863945</v>
      </c>
      <c r="I170">
        <v>14.349700830278577</v>
      </c>
      <c r="J170">
        <v>0.32953100256022827</v>
      </c>
      <c r="K170">
        <v>0.12892611955202615</v>
      </c>
      <c r="L170">
        <v>15.191842047609143</v>
      </c>
      <c r="M170">
        <v>14.265186806563563</v>
      </c>
      <c r="N170">
        <v>0.38588030943589291</v>
      </c>
      <c r="O170">
        <v>0.15114169318355047</v>
      </c>
      <c r="P170">
        <v>15.197791190817004</v>
      </c>
      <c r="Q170">
        <v>14.232645918591222</v>
      </c>
      <c r="R170">
        <v>0.40756486919848045</v>
      </c>
      <c r="S170">
        <v>0.15970429469329486</v>
      </c>
      <c r="T170">
        <v>15.200084917517009</v>
      </c>
      <c r="U170">
        <v>1655.7113545241496</v>
      </c>
      <c r="V170">
        <v>11.137243281381226</v>
      </c>
      <c r="W170">
        <v>1369.4316863898916</v>
      </c>
      <c r="X170">
        <v>8.0859715963089123</v>
      </c>
      <c r="Y170">
        <v>2979.7643415042994</v>
      </c>
      <c r="Z170">
        <v>11.184587633017989</v>
      </c>
      <c r="AA170">
        <v>2788.2840059548053</v>
      </c>
      <c r="AB170">
        <v>8.1130908303878986</v>
      </c>
      <c r="AC170">
        <v>2304.5266050219652</v>
      </c>
      <c r="AD170">
        <v>11.166109503714582</v>
      </c>
      <c r="AE170">
        <v>2077.4409203999239</v>
      </c>
      <c r="AF170">
        <v>8.1025145504335576</v>
      </c>
      <c r="AG170">
        <v>2244.0111487796676</v>
      </c>
      <c r="AH170">
        <v>11.158992929739231</v>
      </c>
      <c r="AI170">
        <v>1990.6488375942179</v>
      </c>
      <c r="AJ170">
        <v>8.0984384844766648</v>
      </c>
    </row>
    <row r="171" spans="4:36" x14ac:dyDescent="0.55000000000000004">
      <c r="D171">
        <v>164</v>
      </c>
      <c r="E171">
        <v>12.810668961086742</v>
      </c>
      <c r="F171">
        <v>0.47114963837043117</v>
      </c>
      <c r="G171">
        <v>0.16603689539777461</v>
      </c>
      <c r="H171">
        <v>16.552144505145048</v>
      </c>
      <c r="I171">
        <v>13.040065151494291</v>
      </c>
      <c r="J171">
        <v>0.30424243428797138</v>
      </c>
      <c r="K171">
        <v>0.10686216104446852</v>
      </c>
      <c r="L171">
        <v>16.548830253173264</v>
      </c>
      <c r="M171">
        <v>12.939759066569092</v>
      </c>
      <c r="N171">
        <v>0.37726196148367114</v>
      </c>
      <c r="O171">
        <v>0.132701213840689</v>
      </c>
      <c r="P171">
        <v>16.550277758106535</v>
      </c>
      <c r="Q171">
        <v>12.900331790836344</v>
      </c>
      <c r="R171">
        <v>0.40594783277913943</v>
      </c>
      <c r="S171">
        <v>0.14287293139833851</v>
      </c>
      <c r="T171">
        <v>16.550847444986196</v>
      </c>
      <c r="U171">
        <v>1534.8975911799359</v>
      </c>
      <c r="V171">
        <v>10.094894128705587</v>
      </c>
      <c r="W171">
        <v>1296.0586253511647</v>
      </c>
      <c r="X171">
        <v>7.4672726634700846</v>
      </c>
      <c r="Y171">
        <v>2901.8640931324344</v>
      </c>
      <c r="Z171">
        <v>10.138561575677464</v>
      </c>
      <c r="AA171">
        <v>2743.3106725996058</v>
      </c>
      <c r="AB171">
        <v>7.4933165513627857</v>
      </c>
      <c r="AC171">
        <v>2238.371432520044</v>
      </c>
      <c r="AD171">
        <v>10.119467968089591</v>
      </c>
      <c r="AE171">
        <v>2041.8888097431761</v>
      </c>
      <c r="AF171">
        <v>7.4819400868062695</v>
      </c>
      <c r="AG171">
        <v>2135.753687197162</v>
      </c>
      <c r="AH171">
        <v>10.111962647694108</v>
      </c>
      <c r="AI171">
        <v>1924.6687462908301</v>
      </c>
      <c r="AJ171">
        <v>7.477463462353005</v>
      </c>
    </row>
    <row r="172" spans="4:36" x14ac:dyDescent="0.55000000000000004">
      <c r="D172">
        <v>165</v>
      </c>
      <c r="E172">
        <v>12.014242939582941</v>
      </c>
      <c r="F172">
        <v>0.42550594629198901</v>
      </c>
      <c r="G172">
        <v>0.1831909269776415</v>
      </c>
      <c r="H172">
        <v>17.377060187147435</v>
      </c>
      <c r="I172">
        <v>12.228649876489612</v>
      </c>
      <c r="J172">
        <v>0.27191826219511306</v>
      </c>
      <c r="K172">
        <v>0.11666378835561636</v>
      </c>
      <c r="L172">
        <v>17.382768072959667</v>
      </c>
      <c r="M172">
        <v>12.154661484316279</v>
      </c>
      <c r="N172">
        <v>0.32495104204767777</v>
      </c>
      <c r="O172">
        <v>0.13958250960986701</v>
      </c>
      <c r="P172">
        <v>17.380804964026186</v>
      </c>
      <c r="Q172">
        <v>12.114402446770876</v>
      </c>
      <c r="R172">
        <v>0.3537934031219776</v>
      </c>
      <c r="S172">
        <v>0.1520702695709352</v>
      </c>
      <c r="T172">
        <v>17.379733880536225</v>
      </c>
      <c r="U172">
        <v>1522.7704294546065</v>
      </c>
      <c r="V172">
        <v>9.435037419582514</v>
      </c>
      <c r="W172">
        <v>1295.0259452560588</v>
      </c>
      <c r="X172">
        <v>7.0649173056296757</v>
      </c>
      <c r="Y172">
        <v>2870.7438442157195</v>
      </c>
      <c r="Z172">
        <v>9.4692458699060023</v>
      </c>
      <c r="AA172">
        <v>2725.5150952133663</v>
      </c>
      <c r="AB172">
        <v>7.0860640663954602</v>
      </c>
      <c r="AC172">
        <v>2204.3792882083812</v>
      </c>
      <c r="AD172">
        <v>9.4574372213980755</v>
      </c>
      <c r="AE172">
        <v>2024.2843262042261</v>
      </c>
      <c r="AF172">
        <v>7.0787740210797736</v>
      </c>
      <c r="AG172">
        <v>2109.6729582931998</v>
      </c>
      <c r="AH172">
        <v>9.4510135254440897</v>
      </c>
      <c r="AI172">
        <v>1913.2591840141126</v>
      </c>
      <c r="AJ172">
        <v>7.0748040713605977</v>
      </c>
    </row>
    <row r="173" spans="4:36" x14ac:dyDescent="0.55000000000000004">
      <c r="D173">
        <v>166</v>
      </c>
      <c r="E173">
        <v>12.196178423475699</v>
      </c>
      <c r="F173">
        <v>0.48017678378911766</v>
      </c>
      <c r="G173">
        <v>0.14918293328488461</v>
      </c>
      <c r="H173">
        <v>17.1744618594503</v>
      </c>
      <c r="I173">
        <v>12.425750064851872</v>
      </c>
      <c r="J173">
        <v>0.29848481679097372</v>
      </c>
      <c r="K173">
        <v>9.2437473980740745E-2</v>
      </c>
      <c r="L173">
        <v>17.183327644376416</v>
      </c>
      <c r="M173">
        <v>12.340431773824831</v>
      </c>
      <c r="N173">
        <v>0.36603869302355835</v>
      </c>
      <c r="O173">
        <v>0.11349265494838995</v>
      </c>
      <c r="P173">
        <v>17.180036878203218</v>
      </c>
      <c r="Q173">
        <v>12.294964282861949</v>
      </c>
      <c r="R173">
        <v>0.40202497000674131</v>
      </c>
      <c r="S173">
        <v>0.12472955808465905</v>
      </c>
      <c r="T173">
        <v>17.17828118904665</v>
      </c>
      <c r="U173">
        <v>1541.0196638390137</v>
      </c>
      <c r="V173">
        <v>9.6693787478573974</v>
      </c>
      <c r="W173">
        <v>1303.6205608397031</v>
      </c>
      <c r="X173">
        <v>7.2202909688328401</v>
      </c>
      <c r="Y173">
        <v>2888.0496463761942</v>
      </c>
      <c r="Z173">
        <v>9.7094712452633996</v>
      </c>
      <c r="AA173">
        <v>2735.9260576765905</v>
      </c>
      <c r="AB173">
        <v>7.2447949133198914</v>
      </c>
      <c r="AC173">
        <v>2205.2464513793661</v>
      </c>
      <c r="AD173">
        <v>9.6945687716886564</v>
      </c>
      <c r="AE173">
        <v>2021.0300522961256</v>
      </c>
      <c r="AF173">
        <v>7.2356982391681113</v>
      </c>
      <c r="AG173">
        <v>2124.7668223556184</v>
      </c>
      <c r="AH173">
        <v>9.686628182552413</v>
      </c>
      <c r="AI173">
        <v>1920.0519995061677</v>
      </c>
      <c r="AJ173">
        <v>7.2308456657857416</v>
      </c>
    </row>
    <row r="174" spans="4:36" x14ac:dyDescent="0.55000000000000004">
      <c r="D174">
        <v>167</v>
      </c>
      <c r="E174">
        <v>13.098758907077524</v>
      </c>
      <c r="F174">
        <v>0.43861795010168209</v>
      </c>
      <c r="G174">
        <v>0.18026424469755242</v>
      </c>
      <c r="H174">
        <v>16.282358898123221</v>
      </c>
      <c r="I174">
        <v>13.318802684623821</v>
      </c>
      <c r="J174">
        <v>0.28761999954916906</v>
      </c>
      <c r="K174">
        <v>0.11782109960319991</v>
      </c>
      <c r="L174">
        <v>16.275756216223829</v>
      </c>
      <c r="M174">
        <v>13.22743807794798</v>
      </c>
      <c r="N174">
        <v>0.3503531588618356</v>
      </c>
      <c r="O174">
        <v>0.14371326585085412</v>
      </c>
      <c r="P174">
        <v>16.278495497339332</v>
      </c>
      <c r="Q174">
        <v>13.156653354878722</v>
      </c>
      <c r="R174">
        <v>0.39891948198620969</v>
      </c>
      <c r="S174">
        <v>0.16380723854617513</v>
      </c>
      <c r="T174">
        <v>16.280619924588887</v>
      </c>
      <c r="U174">
        <v>1542.0351159807999</v>
      </c>
      <c r="V174">
        <v>10.417823961426434</v>
      </c>
      <c r="W174">
        <v>1301.8446940948991</v>
      </c>
      <c r="X174">
        <v>7.6755784047366449</v>
      </c>
      <c r="Y174">
        <v>2900.0688289916716</v>
      </c>
      <c r="Z174">
        <v>10.461889232000575</v>
      </c>
      <c r="AA174">
        <v>2741.9429459317689</v>
      </c>
      <c r="AB174">
        <v>7.7016155724532052</v>
      </c>
      <c r="AC174">
        <v>2242.9906133460772</v>
      </c>
      <c r="AD174">
        <v>10.443594260279479</v>
      </c>
      <c r="AE174">
        <v>2045.7282307127591</v>
      </c>
      <c r="AF174">
        <v>7.6908155711504538</v>
      </c>
      <c r="AG174">
        <v>2149.0846617796128</v>
      </c>
      <c r="AH174">
        <v>10.429418852485981</v>
      </c>
      <c r="AI174">
        <v>1933.3289367254472</v>
      </c>
      <c r="AJ174">
        <v>7.6824376389197582</v>
      </c>
    </row>
    <row r="175" spans="4:36" x14ac:dyDescent="0.55000000000000004">
      <c r="D175">
        <v>168</v>
      </c>
      <c r="E175">
        <v>12.036156782046548</v>
      </c>
      <c r="F175">
        <v>0.41915898722821593</v>
      </c>
      <c r="G175">
        <v>0.16011139364163152</v>
      </c>
      <c r="H175">
        <v>17.384572837083596</v>
      </c>
      <c r="I175">
        <v>12.211135828231209</v>
      </c>
      <c r="J175">
        <v>0.2897869420783078</v>
      </c>
      <c r="K175">
        <v>0.11040480910300836</v>
      </c>
      <c r="L175">
        <v>17.388672420587472</v>
      </c>
      <c r="M175">
        <v>12.098662305739065</v>
      </c>
      <c r="N175">
        <v>0.37296551951463836</v>
      </c>
      <c r="O175">
        <v>0.1423329441846827</v>
      </c>
      <c r="P175">
        <v>17.386039230561629</v>
      </c>
      <c r="Q175">
        <v>12.0878219689753</v>
      </c>
      <c r="R175">
        <v>0.38097849211899093</v>
      </c>
      <c r="S175">
        <v>0.14541446883381445</v>
      </c>
      <c r="T175">
        <v>17.385785070071908</v>
      </c>
      <c r="U175">
        <v>1464.4954870700005</v>
      </c>
      <c r="V175">
        <v>9.5415028930579098</v>
      </c>
      <c r="W175">
        <v>1256.0958864789786</v>
      </c>
      <c r="X175">
        <v>7.1454744359316953</v>
      </c>
      <c r="Y175">
        <v>2868.4816477453955</v>
      </c>
      <c r="Z175">
        <v>9.5698771222347325</v>
      </c>
      <c r="AA175">
        <v>2725.3973465955964</v>
      </c>
      <c r="AB175">
        <v>7.1627673627951838</v>
      </c>
      <c r="AC175">
        <v>2163.6637777629221</v>
      </c>
      <c r="AD175">
        <v>9.5516379231686361</v>
      </c>
      <c r="AE175">
        <v>1993.5617424973693</v>
      </c>
      <c r="AF175">
        <v>7.1516574332066121</v>
      </c>
      <c r="AG175">
        <v>2087.2849515011139</v>
      </c>
      <c r="AH175">
        <v>9.5498801456575126</v>
      </c>
      <c r="AI175">
        <v>1898.2047907989706</v>
      </c>
      <c r="AJ175">
        <v>7.1505855697731446</v>
      </c>
    </row>
    <row r="176" spans="4:36" x14ac:dyDescent="0.55000000000000004">
      <c r="D176">
        <v>169</v>
      </c>
      <c r="E176">
        <v>13.161373269395204</v>
      </c>
      <c r="F176">
        <v>0.4860289438096751</v>
      </c>
      <c r="G176">
        <v>0.16638135001277357</v>
      </c>
      <c r="H176">
        <v>16.186216436782349</v>
      </c>
      <c r="I176">
        <v>13.388018891212106</v>
      </c>
      <c r="J176">
        <v>0.32081689284450443</v>
      </c>
      <c r="K176">
        <v>0.10948547083041757</v>
      </c>
      <c r="L176">
        <v>16.181678745112979</v>
      </c>
      <c r="M176">
        <v>13.312685324210562</v>
      </c>
      <c r="N176">
        <v>0.37576314939605143</v>
      </c>
      <c r="O176">
        <v>0.12836830183919321</v>
      </c>
      <c r="P176">
        <v>16.183183224554192</v>
      </c>
      <c r="Q176">
        <v>13.211990888346916</v>
      </c>
      <c r="R176">
        <v>0.44915683454501482</v>
      </c>
      <c r="S176">
        <v>0.15365222734582207</v>
      </c>
      <c r="T176">
        <v>16.185200049762237</v>
      </c>
      <c r="U176">
        <v>1561.3430731417566</v>
      </c>
      <c r="V176">
        <v>10.390850664225448</v>
      </c>
      <c r="W176">
        <v>1314.7274560150393</v>
      </c>
      <c r="X176">
        <v>7.6469533390408904</v>
      </c>
      <c r="Y176">
        <v>2932.2573134285226</v>
      </c>
      <c r="Z176">
        <v>10.436480255579438</v>
      </c>
      <c r="AA176">
        <v>2764.5999829560765</v>
      </c>
      <c r="AB176">
        <v>7.6738355977777717</v>
      </c>
      <c r="AC176">
        <v>2212.0530390121799</v>
      </c>
      <c r="AD176">
        <v>10.421315827088449</v>
      </c>
      <c r="AE176">
        <v>2022.5467635582481</v>
      </c>
      <c r="AF176">
        <v>7.6649111099978979</v>
      </c>
      <c r="AG176">
        <v>2138.8953744437586</v>
      </c>
      <c r="AH176">
        <v>10.401042984359101</v>
      </c>
      <c r="AI176">
        <v>1923.9805123946178</v>
      </c>
      <c r="AJ176">
        <v>7.6529655092486299</v>
      </c>
    </row>
    <row r="177" spans="4:36" x14ac:dyDescent="0.55000000000000004">
      <c r="D177">
        <v>170</v>
      </c>
      <c r="E177">
        <v>13.453693451790008</v>
      </c>
      <c r="F177">
        <v>0.43241792421046726</v>
      </c>
      <c r="G177">
        <v>0.17062904310189425</v>
      </c>
      <c r="H177">
        <v>15.943259580897625</v>
      </c>
      <c r="I177">
        <v>13.687862462187706</v>
      </c>
      <c r="J177">
        <v>0.27891811795073795</v>
      </c>
      <c r="K177">
        <v>0.10969662891096021</v>
      </c>
      <c r="L177">
        <v>15.923522790950594</v>
      </c>
      <c r="M177">
        <v>13.538642581112526</v>
      </c>
      <c r="N177">
        <v>0.37677501272195402</v>
      </c>
      <c r="O177">
        <v>0.14849409789923296</v>
      </c>
      <c r="P177">
        <v>15.936088308266278</v>
      </c>
      <c r="Q177">
        <v>13.51405121993754</v>
      </c>
      <c r="R177">
        <v>0.3928876548554634</v>
      </c>
      <c r="S177">
        <v>0.1548981943442343</v>
      </c>
      <c r="T177">
        <v>15.938162930862759</v>
      </c>
      <c r="U177">
        <v>1598.5233890904765</v>
      </c>
      <c r="V177">
        <v>10.585933133764106</v>
      </c>
      <c r="W177">
        <v>1340.8148967163274</v>
      </c>
      <c r="X177">
        <v>7.7629345926357782</v>
      </c>
      <c r="Y177">
        <v>2908.9381824910492</v>
      </c>
      <c r="Z177">
        <v>10.640227219389736</v>
      </c>
      <c r="AA177">
        <v>2747.0523147794843</v>
      </c>
      <c r="AB177">
        <v>7.794349163815248</v>
      </c>
      <c r="AC177">
        <v>2291.1734821748369</v>
      </c>
      <c r="AD177">
        <v>10.605635621416562</v>
      </c>
      <c r="AE177">
        <v>2076.5921220859441</v>
      </c>
      <c r="AF177">
        <v>7.7743453232602269</v>
      </c>
      <c r="AG177">
        <v>2145.3223907581655</v>
      </c>
      <c r="AH177">
        <v>10.599932821652258</v>
      </c>
      <c r="AI177">
        <v>1928.1590627916526</v>
      </c>
      <c r="AJ177">
        <v>7.7710438186707931</v>
      </c>
    </row>
    <row r="178" spans="4:36" x14ac:dyDescent="0.55000000000000004">
      <c r="D178">
        <v>171</v>
      </c>
      <c r="E178">
        <v>12.1505535978474</v>
      </c>
      <c r="F178">
        <v>0.45620116502174662</v>
      </c>
      <c r="G178">
        <v>0.17807158545102103</v>
      </c>
      <c r="H178">
        <v>17.215173651679819</v>
      </c>
      <c r="I178">
        <v>12.334590783619598</v>
      </c>
      <c r="J178">
        <v>0.31221902065520413</v>
      </c>
      <c r="K178">
        <v>0.12154919944099288</v>
      </c>
      <c r="L178">
        <v>17.231640996284209</v>
      </c>
      <c r="M178">
        <v>12.238921696695938</v>
      </c>
      <c r="N178">
        <v>0.38708726163409751</v>
      </c>
      <c r="O178">
        <v>0.15090212264214217</v>
      </c>
      <c r="P178">
        <v>17.223088919027838</v>
      </c>
      <c r="Q178">
        <v>12.2322133441599</v>
      </c>
      <c r="R178">
        <v>0.39233533469841714</v>
      </c>
      <c r="S178">
        <v>0.15296274401789417</v>
      </c>
      <c r="T178">
        <v>17.222488577123798</v>
      </c>
      <c r="U178">
        <v>1532.9959793931134</v>
      </c>
      <c r="V178">
        <v>9.5623426064353385</v>
      </c>
      <c r="W178">
        <v>1299.0340159573984</v>
      </c>
      <c r="X178">
        <v>7.1424823231627768</v>
      </c>
      <c r="Y178">
        <v>2906.1060632463586</v>
      </c>
      <c r="Z178">
        <v>9.5858573398677542</v>
      </c>
      <c r="AA178">
        <v>2747.9874642484488</v>
      </c>
      <c r="AB178">
        <v>7.1573190696742559</v>
      </c>
      <c r="AC178">
        <v>2207.2447433686871</v>
      </c>
      <c r="AD178">
        <v>9.5736289415954978</v>
      </c>
      <c r="AE178">
        <v>2020.3558222704787</v>
      </c>
      <c r="AF178">
        <v>7.1496104199005721</v>
      </c>
      <c r="AG178">
        <v>2097.062806832464</v>
      </c>
      <c r="AH178">
        <v>9.5727718544216724</v>
      </c>
      <c r="AI178">
        <v>1899.6038815765048</v>
      </c>
      <c r="AJ178">
        <v>7.1490695613027428</v>
      </c>
    </row>
    <row r="179" spans="4:36" x14ac:dyDescent="0.55000000000000004">
      <c r="D179">
        <v>172</v>
      </c>
      <c r="E179">
        <v>11.476272664371177</v>
      </c>
      <c r="F179">
        <v>0.39684561354418652</v>
      </c>
      <c r="G179">
        <v>0.15413159740508026</v>
      </c>
      <c r="H179">
        <v>17.972750124679553</v>
      </c>
      <c r="I179">
        <v>11.627706564183192</v>
      </c>
      <c r="J179">
        <v>0.27889411245613893</v>
      </c>
      <c r="K179">
        <v>0.10804909824625407</v>
      </c>
      <c r="L179">
        <v>17.985350225114406</v>
      </c>
      <c r="M179">
        <v>11.539922849360362</v>
      </c>
      <c r="N179">
        <v>0.34728328368211014</v>
      </c>
      <c r="O179">
        <v>0.13473956298555323</v>
      </c>
      <c r="P179">
        <v>17.978054303971952</v>
      </c>
      <c r="Q179">
        <v>11.525075892133867</v>
      </c>
      <c r="R179">
        <v>0.35884603343763583</v>
      </c>
      <c r="S179">
        <v>0.13925995477565159</v>
      </c>
      <c r="T179">
        <v>17.976818119652833</v>
      </c>
      <c r="U179">
        <v>1465.444117859608</v>
      </c>
      <c r="V179">
        <v>9.0736229374921109</v>
      </c>
      <c r="W179">
        <v>1257.171399040725</v>
      </c>
      <c r="X179">
        <v>6.8577570821444311</v>
      </c>
      <c r="Y179">
        <v>2873.4802407063894</v>
      </c>
      <c r="Z179">
        <v>9.0945461565312229</v>
      </c>
      <c r="AA179">
        <v>2729.0348974982871</v>
      </c>
      <c r="AB179">
        <v>6.8712995858833938</v>
      </c>
      <c r="AC179">
        <v>2200.4876315067709</v>
      </c>
      <c r="AD179">
        <v>9.082412439399393</v>
      </c>
      <c r="AE179">
        <v>2021.989153957868</v>
      </c>
      <c r="AF179">
        <v>6.8634520705725093</v>
      </c>
      <c r="AG179">
        <v>2065.0993705511682</v>
      </c>
      <c r="AH179">
        <v>9.080361576839783</v>
      </c>
      <c r="AI179">
        <v>1881.8209401790477</v>
      </c>
      <c r="AJ179">
        <v>6.8621240366348442</v>
      </c>
    </row>
    <row r="180" spans="4:36" x14ac:dyDescent="0.55000000000000004">
      <c r="D180">
        <v>173</v>
      </c>
      <c r="E180">
        <v>13.344210904162464</v>
      </c>
      <c r="F180">
        <v>0.47657395684439857</v>
      </c>
      <c r="G180">
        <v>0.17171946283059461</v>
      </c>
      <c r="H180">
        <v>16.007495676162545</v>
      </c>
      <c r="I180">
        <v>13.585571565840777</v>
      </c>
      <c r="J180">
        <v>0.30423576481196068</v>
      </c>
      <c r="K180">
        <v>0.10925934134978772</v>
      </c>
      <c r="L180">
        <v>16.000933327997469</v>
      </c>
      <c r="M180">
        <v>13.458338478360416</v>
      </c>
      <c r="N180">
        <v>0.39512615456563427</v>
      </c>
      <c r="O180">
        <v>0.14214806085071646</v>
      </c>
      <c r="P180">
        <v>16.004387306223236</v>
      </c>
      <c r="Q180">
        <v>13.417681267737157</v>
      </c>
      <c r="R180">
        <v>0.42415018996043846</v>
      </c>
      <c r="S180">
        <v>0.15267500885138108</v>
      </c>
      <c r="T180">
        <v>16.005493533451023</v>
      </c>
      <c r="U180">
        <v>1587.0908365256687</v>
      </c>
      <c r="V180">
        <v>10.602256291434967</v>
      </c>
      <c r="W180">
        <v>1329.3719093920945</v>
      </c>
      <c r="X180">
        <v>7.7828462755927665</v>
      </c>
      <c r="Y180">
        <v>2939.2349429052406</v>
      </c>
      <c r="Z180">
        <v>10.652703758952352</v>
      </c>
      <c r="AA180">
        <v>2767.6640245903818</v>
      </c>
      <c r="AB180">
        <v>7.8124431290972671</v>
      </c>
      <c r="AC180">
        <v>2292.4603526088122</v>
      </c>
      <c r="AD180">
        <v>10.626113575034186</v>
      </c>
      <c r="AE180">
        <v>2076.4450817473989</v>
      </c>
      <c r="AF180">
        <v>7.7968552143048608</v>
      </c>
      <c r="AG180">
        <v>2156.8893560615966</v>
      </c>
      <c r="AH180">
        <v>10.617615226179687</v>
      </c>
      <c r="AI180">
        <v>1934.5904334373918</v>
      </c>
      <c r="AJ180">
        <v>7.791867530683235</v>
      </c>
    </row>
    <row r="181" spans="4:36" x14ac:dyDescent="0.55000000000000004">
      <c r="D181">
        <v>174</v>
      </c>
      <c r="E181">
        <v>13.075126701309925</v>
      </c>
      <c r="F181">
        <v>0.52543619849216927</v>
      </c>
      <c r="G181">
        <v>0.16801124533085904</v>
      </c>
      <c r="H181">
        <v>16.231425854867037</v>
      </c>
      <c r="I181">
        <v>13.316251044024989</v>
      </c>
      <c r="J181">
        <v>0.34092583155549244</v>
      </c>
      <c r="K181">
        <v>0.10865924968456016</v>
      </c>
      <c r="L181">
        <v>16.234163874734953</v>
      </c>
      <c r="M181">
        <v>13.237067533006972</v>
      </c>
      <c r="N181">
        <v>0.40155030884864329</v>
      </c>
      <c r="O181">
        <v>0.12811734588476473</v>
      </c>
      <c r="P181">
        <v>16.233264812259605</v>
      </c>
      <c r="Q181">
        <v>13.211026579438972</v>
      </c>
      <c r="R181">
        <v>0.42148085236574384</v>
      </c>
      <c r="S181">
        <v>0.13452344763146962</v>
      </c>
      <c r="T181">
        <v>16.232969120563794</v>
      </c>
      <c r="U181">
        <v>1632.3709359798395</v>
      </c>
      <c r="V181">
        <v>10.413343364753286</v>
      </c>
      <c r="W181">
        <v>1359.6989543167003</v>
      </c>
      <c r="X181">
        <v>7.6684008220970918</v>
      </c>
      <c r="Y181">
        <v>2928.6138814210458</v>
      </c>
      <c r="Z181">
        <v>10.456963554265451</v>
      </c>
      <c r="AA181">
        <v>2757.3115243626689</v>
      </c>
      <c r="AB181">
        <v>7.6944247746107033</v>
      </c>
      <c r="AC181">
        <v>2267.4224513302956</v>
      </c>
      <c r="AD181">
        <v>10.442638697086343</v>
      </c>
      <c r="AE181">
        <v>2057.9447245491533</v>
      </c>
      <c r="AF181">
        <v>7.6858888765577946</v>
      </c>
      <c r="AG181">
        <v>2146.7300783049118</v>
      </c>
      <c r="AH181">
        <v>10.437927768312441</v>
      </c>
      <c r="AI181">
        <v>1927.779344150418</v>
      </c>
      <c r="AJ181">
        <v>7.6830795271785117</v>
      </c>
    </row>
    <row r="182" spans="4:36" x14ac:dyDescent="0.55000000000000004">
      <c r="D182">
        <v>175</v>
      </c>
      <c r="E182">
        <v>12.890772023006475</v>
      </c>
      <c r="F182">
        <v>0.49784586717604568</v>
      </c>
      <c r="G182">
        <v>0.1985898395377827</v>
      </c>
      <c r="H182">
        <v>16.412792270279688</v>
      </c>
      <c r="I182">
        <v>13.104709481813362</v>
      </c>
      <c r="J182">
        <v>0.33769476206058402</v>
      </c>
      <c r="K182">
        <v>0.13428018711667053</v>
      </c>
      <c r="L182">
        <v>16.423315569009375</v>
      </c>
      <c r="M182">
        <v>13.025773862122586</v>
      </c>
      <c r="N182">
        <v>0.39681394821575761</v>
      </c>
      <c r="O182">
        <v>0.15797176025175377</v>
      </c>
      <c r="P182">
        <v>16.419440429409914</v>
      </c>
      <c r="Q182">
        <v>12.998317648431499</v>
      </c>
      <c r="R182">
        <v>0.41736951247795301</v>
      </c>
      <c r="S182">
        <v>0.16622237516589888</v>
      </c>
      <c r="T182">
        <v>16.418090463924639</v>
      </c>
      <c r="U182">
        <v>1587.2891749309872</v>
      </c>
      <c r="V182">
        <v>10.220357374306612</v>
      </c>
      <c r="W182">
        <v>1331.4884155316906</v>
      </c>
      <c r="X182">
        <v>7.545221397349251</v>
      </c>
      <c r="Y182">
        <v>2938.2875454232358</v>
      </c>
      <c r="Z182">
        <v>10.254893637502086</v>
      </c>
      <c r="AA182">
        <v>2766.7282643446124</v>
      </c>
      <c r="AB182">
        <v>7.5663402443236683</v>
      </c>
      <c r="AC182">
        <v>2242.648987280802</v>
      </c>
      <c r="AD182">
        <v>10.24214671537643</v>
      </c>
      <c r="AE182">
        <v>2042.3463838919165</v>
      </c>
      <c r="AF182">
        <v>7.5585546109198782</v>
      </c>
      <c r="AG182">
        <v>2139.6772512341863</v>
      </c>
      <c r="AH182">
        <v>10.23771409919147</v>
      </c>
      <c r="AI182">
        <v>1925.409932245657</v>
      </c>
      <c r="AJ182">
        <v>7.5558447574148175</v>
      </c>
    </row>
    <row r="183" spans="4:36" x14ac:dyDescent="0.55000000000000004">
      <c r="D183">
        <v>176</v>
      </c>
      <c r="E183">
        <v>13.803008369782239</v>
      </c>
      <c r="F183">
        <v>0.53316622620568033</v>
      </c>
      <c r="G183">
        <v>0.1859057788471554</v>
      </c>
      <c r="H183">
        <v>15.477919625164937</v>
      </c>
      <c r="I183">
        <v>14.09304470788266</v>
      </c>
      <c r="J183">
        <v>0.32617660080757555</v>
      </c>
      <c r="K183">
        <v>0.11330359663371786</v>
      </c>
      <c r="L183">
        <v>15.467475094676036</v>
      </c>
      <c r="M183">
        <v>14.003532126354873</v>
      </c>
      <c r="N183">
        <v>0.39011009625573728</v>
      </c>
      <c r="O183">
        <v>0.13566910110535726</v>
      </c>
      <c r="P183">
        <v>15.470688676284031</v>
      </c>
      <c r="Q183">
        <v>13.919511050348801</v>
      </c>
      <c r="R183">
        <v>0.45007988007766614</v>
      </c>
      <c r="S183">
        <v>0.15669598397854106</v>
      </c>
      <c r="T183">
        <v>15.473713085595003</v>
      </c>
      <c r="U183">
        <v>1646.8858330147309</v>
      </c>
      <c r="V183">
        <v>10.820022685393786</v>
      </c>
      <c r="W183">
        <v>1367.1727499523795</v>
      </c>
      <c r="X183">
        <v>7.8851176109197105</v>
      </c>
      <c r="Y183">
        <v>2948.2617007385279</v>
      </c>
      <c r="Z183">
        <v>10.876762203564928</v>
      </c>
      <c r="AA183">
        <v>2771.2352080924284</v>
      </c>
      <c r="AB183">
        <v>7.9180023007711817</v>
      </c>
      <c r="AC183">
        <v>2286.4319681437255</v>
      </c>
      <c r="AD183">
        <v>10.859256496304742</v>
      </c>
      <c r="AE183">
        <v>2070.6491788788276</v>
      </c>
      <c r="AF183">
        <v>7.9078691598738997</v>
      </c>
      <c r="AG183">
        <v>2194.8110160506967</v>
      </c>
      <c r="AH183">
        <v>10.842820259106885</v>
      </c>
      <c r="AI183">
        <v>1958.8421846143312</v>
      </c>
      <c r="AJ183">
        <v>7.8983448170359916</v>
      </c>
    </row>
    <row r="184" spans="4:36" x14ac:dyDescent="0.55000000000000004">
      <c r="D184">
        <v>177</v>
      </c>
      <c r="E184">
        <v>14.277769858569474</v>
      </c>
      <c r="F184">
        <v>0.46753878637480695</v>
      </c>
      <c r="G184">
        <v>0.17916049200240522</v>
      </c>
      <c r="H184">
        <v>15.075530863053327</v>
      </c>
      <c r="I184">
        <v>14.533233896752387</v>
      </c>
      <c r="J184">
        <v>0.3109409195067831</v>
      </c>
      <c r="K184">
        <v>0.11873929102364572</v>
      </c>
      <c r="L184">
        <v>15.037085892717197</v>
      </c>
      <c r="M184">
        <v>14.443420132286898</v>
      </c>
      <c r="N184">
        <v>0.36604705350289674</v>
      </c>
      <c r="O184">
        <v>0.13995262058975491</v>
      </c>
      <c r="P184">
        <v>15.050580193620466</v>
      </c>
      <c r="Q184">
        <v>14.377702211582852</v>
      </c>
      <c r="R184">
        <v>0.40633411535251179</v>
      </c>
      <c r="S184">
        <v>0.15549456764901207</v>
      </c>
      <c r="T184">
        <v>15.060469105415612</v>
      </c>
      <c r="U184">
        <v>1607.26532556959</v>
      </c>
      <c r="V184">
        <v>11.296041720854703</v>
      </c>
      <c r="W184">
        <v>1338.6317471085003</v>
      </c>
      <c r="X184">
        <v>8.1895953683627205</v>
      </c>
      <c r="Y184">
        <v>2983.3179687109941</v>
      </c>
      <c r="Z184">
        <v>11.366444998773012</v>
      </c>
      <c r="AA184">
        <v>2795.018183207681</v>
      </c>
      <c r="AB184">
        <v>8.2293369184774114</v>
      </c>
      <c r="AC184">
        <v>2278.3113194509069</v>
      </c>
      <c r="AD184">
        <v>11.341706544965778</v>
      </c>
      <c r="AE184">
        <v>2063.0887334267381</v>
      </c>
      <c r="AF184">
        <v>8.2153849479308239</v>
      </c>
      <c r="AG184">
        <v>2193.2364944516398</v>
      </c>
      <c r="AH184">
        <v>11.323595982694286</v>
      </c>
      <c r="AI184">
        <v>1957.1767523583142</v>
      </c>
      <c r="AJ184">
        <v>8.2051624147150974</v>
      </c>
    </row>
    <row r="185" spans="4:36" x14ac:dyDescent="0.55000000000000004">
      <c r="D185">
        <v>178</v>
      </c>
      <c r="E185">
        <v>13.195329254863587</v>
      </c>
      <c r="F185">
        <v>0.47188369215244746</v>
      </c>
      <c r="G185">
        <v>0.18171509660525387</v>
      </c>
      <c r="H185">
        <v>16.151071956378708</v>
      </c>
      <c r="I185">
        <v>13.429952583402274</v>
      </c>
      <c r="J185">
        <v>0.30459882430893293</v>
      </c>
      <c r="K185">
        <v>0.11689866045151195</v>
      </c>
      <c r="L185">
        <v>16.148549931837294</v>
      </c>
      <c r="M185">
        <v>13.324082997779582</v>
      </c>
      <c r="N185">
        <v>0.38012336169821132</v>
      </c>
      <c r="O185">
        <v>0.1461061781451668</v>
      </c>
      <c r="P185">
        <v>16.149687462377049</v>
      </c>
      <c r="Q185">
        <v>13.270470331851591</v>
      </c>
      <c r="R185">
        <v>0.41834403914851864</v>
      </c>
      <c r="S185">
        <v>0.16092181178775794</v>
      </c>
      <c r="T185">
        <v>16.150263817212117</v>
      </c>
      <c r="U185">
        <v>1599.4288651826639</v>
      </c>
      <c r="V185">
        <v>10.496347498632803</v>
      </c>
      <c r="W185">
        <v>1337.0514679326268</v>
      </c>
      <c r="X185">
        <v>7.7202741737530038</v>
      </c>
      <c r="Y185">
        <v>2923.8541944190579</v>
      </c>
      <c r="Z185">
        <v>10.543213380460237</v>
      </c>
      <c r="AA185">
        <v>2755.1472009961694</v>
      </c>
      <c r="AB185">
        <v>7.7481061390246033</v>
      </c>
      <c r="AC185">
        <v>2265.3231652095847</v>
      </c>
      <c r="AD185">
        <v>10.522066024471878</v>
      </c>
      <c r="AE185">
        <v>2056.125709628328</v>
      </c>
      <c r="AF185">
        <v>7.7355593971162211</v>
      </c>
      <c r="AG185">
        <v>2152.7445554467945</v>
      </c>
      <c r="AH185">
        <v>10.511356918976709</v>
      </c>
      <c r="AI185">
        <v>1930.3225311875615</v>
      </c>
      <c r="AJ185">
        <v>7.7291982289478982</v>
      </c>
    </row>
    <row r="186" spans="4:36" x14ac:dyDescent="0.55000000000000004">
      <c r="D186">
        <v>179</v>
      </c>
      <c r="E186">
        <v>14.37359000999124</v>
      </c>
      <c r="F186">
        <v>0.51278501282218703</v>
      </c>
      <c r="G186">
        <v>0.17303748173927522</v>
      </c>
      <c r="H186">
        <v>14.940587495447309</v>
      </c>
      <c r="I186">
        <v>14.624918477400461</v>
      </c>
      <c r="J186">
        <v>0.34088856719641186</v>
      </c>
      <c r="K186">
        <v>0.11466395274563866</v>
      </c>
      <c r="L186">
        <v>14.919529002657489</v>
      </c>
      <c r="M186">
        <v>14.527500586378009</v>
      </c>
      <c r="N186">
        <v>0.40756245038608541</v>
      </c>
      <c r="O186">
        <v>0.13726035213676346</v>
      </c>
      <c r="P186">
        <v>14.927676611099134</v>
      </c>
      <c r="Q186">
        <v>14.473913892787239</v>
      </c>
      <c r="R186">
        <v>0.44421368682371531</v>
      </c>
      <c r="S186">
        <v>0.14970603201093985</v>
      </c>
      <c r="T186">
        <v>14.932166388378107</v>
      </c>
      <c r="U186">
        <v>1628.293152290825</v>
      </c>
      <c r="V186">
        <v>11.239583295282941</v>
      </c>
      <c r="W186">
        <v>1353.5428573066768</v>
      </c>
      <c r="X186">
        <v>8.1337420539259533</v>
      </c>
      <c r="Y186">
        <v>2931.6864780825549</v>
      </c>
      <c r="Z186">
        <v>11.298907836107388</v>
      </c>
      <c r="AA186">
        <v>2757.2666363799744</v>
      </c>
      <c r="AB186">
        <v>8.167549334640082</v>
      </c>
      <c r="AC186">
        <v>2308.9320688958678</v>
      </c>
      <c r="AD186">
        <v>11.275921361413872</v>
      </c>
      <c r="AE186">
        <v>2084.6338561020648</v>
      </c>
      <c r="AF186">
        <v>8.1544613058326263</v>
      </c>
      <c r="AG186">
        <v>2227.6121220127052</v>
      </c>
      <c r="AH186">
        <v>11.263272655275093</v>
      </c>
      <c r="AI186">
        <v>1981.929177076511</v>
      </c>
      <c r="AJ186">
        <v>8.1472533296023784</v>
      </c>
    </row>
    <row r="187" spans="4:36" x14ac:dyDescent="0.55000000000000004">
      <c r="D187">
        <v>180</v>
      </c>
      <c r="E187">
        <v>12.500059052578335</v>
      </c>
      <c r="F187">
        <v>0.42949295352187666</v>
      </c>
      <c r="G187">
        <v>0.16880216502716361</v>
      </c>
      <c r="H187">
        <v>16.901645828872624</v>
      </c>
      <c r="I187">
        <v>12.706031029037236</v>
      </c>
      <c r="J187">
        <v>0.28451180467825748</v>
      </c>
      <c r="K187">
        <v>0.11147338699891901</v>
      </c>
      <c r="L187">
        <v>16.897983779285578</v>
      </c>
      <c r="M187">
        <v>12.636176908845679</v>
      </c>
      <c r="N187">
        <v>0.33371092886817694</v>
      </c>
      <c r="O187">
        <v>0.1308872938956479</v>
      </c>
      <c r="P187">
        <v>16.899224868390494</v>
      </c>
      <c r="Q187">
        <v>12.581067847156307</v>
      </c>
      <c r="R187">
        <v>0.3725035020307485</v>
      </c>
      <c r="S187">
        <v>0.14622403595514688</v>
      </c>
      <c r="T187">
        <v>16.900204614857817</v>
      </c>
      <c r="U187">
        <v>1524.8026025575523</v>
      </c>
      <c r="V187">
        <v>9.8349671365470233</v>
      </c>
      <c r="W187">
        <v>1294.4833931077633</v>
      </c>
      <c r="X187">
        <v>7.3125685508372529</v>
      </c>
      <c r="Y187">
        <v>2887.8341254387992</v>
      </c>
      <c r="Z187">
        <v>9.8749303050157078</v>
      </c>
      <c r="AA187">
        <v>2736.1917435603259</v>
      </c>
      <c r="AB187">
        <v>7.3364318994477253</v>
      </c>
      <c r="AC187">
        <v>2203.4546362884275</v>
      </c>
      <c r="AD187">
        <v>9.8613779912628861</v>
      </c>
      <c r="AE187">
        <v>2021.4507585036454</v>
      </c>
      <c r="AF187">
        <v>7.3283479927539998</v>
      </c>
      <c r="AG187">
        <v>2095.2061816158134</v>
      </c>
      <c r="AH187">
        <v>9.8506856638974245</v>
      </c>
      <c r="AI187">
        <v>1899.3858716339917</v>
      </c>
      <c r="AJ187">
        <v>7.3219638276969796</v>
      </c>
    </row>
    <row r="188" spans="4:36" x14ac:dyDescent="0.55000000000000004">
      <c r="D188">
        <v>181</v>
      </c>
      <c r="E188">
        <v>12.601354494544875</v>
      </c>
      <c r="F188">
        <v>0.48843957506744212</v>
      </c>
      <c r="G188">
        <v>0.18655077828591632</v>
      </c>
      <c r="H188">
        <v>16.723655152101774</v>
      </c>
      <c r="I188">
        <v>12.824202467687194</v>
      </c>
      <c r="J188">
        <v>0.31788955760263571</v>
      </c>
      <c r="K188">
        <v>0.12100807620755046</v>
      </c>
      <c r="L188">
        <v>16.736899898502639</v>
      </c>
      <c r="M188">
        <v>12.733236376401745</v>
      </c>
      <c r="N188">
        <v>0.38753895429072555</v>
      </c>
      <c r="O188">
        <v>0.14772092003059414</v>
      </c>
      <c r="P188">
        <v>16.731503749276929</v>
      </c>
      <c r="Q188">
        <v>12.694959281662038</v>
      </c>
      <c r="R188">
        <v>0.41683348853565327</v>
      </c>
      <c r="S188">
        <v>0.15897833820757806</v>
      </c>
      <c r="T188">
        <v>16.729228891594737</v>
      </c>
      <c r="U188">
        <v>1534.9340129713039</v>
      </c>
      <c r="V188">
        <v>9.9795501353505465</v>
      </c>
      <c r="W188">
        <v>1293.4553560014911</v>
      </c>
      <c r="X188">
        <v>7.3992388837636662</v>
      </c>
      <c r="Y188">
        <v>2905.7503256531741</v>
      </c>
      <c r="Z188">
        <v>10.010856796727186</v>
      </c>
      <c r="AA188">
        <v>2744.3542955812604</v>
      </c>
      <c r="AB188">
        <v>7.4186437066143744</v>
      </c>
      <c r="AC188">
        <v>2244.5785512728257</v>
      </c>
      <c r="AD188">
        <v>9.9980717022276533</v>
      </c>
      <c r="AE188">
        <v>2044.7740854487954</v>
      </c>
      <c r="AF188">
        <v>7.410728861863201</v>
      </c>
      <c r="AG188">
        <v>2140.7967216999778</v>
      </c>
      <c r="AH188">
        <v>9.992694310209016</v>
      </c>
      <c r="AI188">
        <v>1926.5609197640276</v>
      </c>
      <c r="AJ188">
        <v>7.4073958894386811</v>
      </c>
    </row>
    <row r="189" spans="4:36" x14ac:dyDescent="0.55000000000000004">
      <c r="D189">
        <v>182</v>
      </c>
      <c r="E189">
        <v>13.265754398783367</v>
      </c>
      <c r="F189">
        <v>0.50291985622149327</v>
      </c>
      <c r="G189">
        <v>0.17310471308366673</v>
      </c>
      <c r="H189">
        <v>16.058221031911479</v>
      </c>
      <c r="I189">
        <v>13.53988711688803</v>
      </c>
      <c r="J189">
        <v>0.30904645620627896</v>
      </c>
      <c r="K189">
        <v>0.10598214358454129</v>
      </c>
      <c r="L189">
        <v>16.045084283321138</v>
      </c>
      <c r="M189">
        <v>13.444147264401265</v>
      </c>
      <c r="N189">
        <v>0.3768069543765929</v>
      </c>
      <c r="O189">
        <v>0.12938500195205124</v>
      </c>
      <c r="P189">
        <v>16.049660779270091</v>
      </c>
      <c r="Q189">
        <v>13.382846199179355</v>
      </c>
      <c r="R189">
        <v>0.42016459450226529</v>
      </c>
      <c r="S189">
        <v>0.14439171914035343</v>
      </c>
      <c r="T189">
        <v>16.052597487178033</v>
      </c>
      <c r="U189">
        <v>1542.9308591081174</v>
      </c>
      <c r="V189">
        <v>10.446783970816746</v>
      </c>
      <c r="W189">
        <v>1300.7999377467331</v>
      </c>
      <c r="X189">
        <v>7.6749840491319148</v>
      </c>
      <c r="Y189">
        <v>2893.8590884979426</v>
      </c>
      <c r="Z189">
        <v>10.504655308181718</v>
      </c>
      <c r="AA189">
        <v>2737.5572287700797</v>
      </c>
      <c r="AB189">
        <v>7.7086971968076483</v>
      </c>
      <c r="AC189">
        <v>2222.2578209239819</v>
      </c>
      <c r="AD189">
        <v>10.484450547708461</v>
      </c>
      <c r="AE189">
        <v>2030.6080290054426</v>
      </c>
      <c r="AF189">
        <v>7.6969406930303172</v>
      </c>
      <c r="AG189">
        <v>2101.363049240806</v>
      </c>
      <c r="AH189">
        <v>10.471509985598262</v>
      </c>
      <c r="AI189">
        <v>1898.9594876327785</v>
      </c>
      <c r="AJ189">
        <v>7.6894032265040178</v>
      </c>
    </row>
    <row r="190" spans="4:36" x14ac:dyDescent="0.55000000000000004">
      <c r="D190">
        <v>183</v>
      </c>
      <c r="E190">
        <v>13.718243374551923</v>
      </c>
      <c r="F190">
        <v>0.4292735641038033</v>
      </c>
      <c r="G190">
        <v>0.16169712273925377</v>
      </c>
      <c r="H190">
        <v>15.690785938605007</v>
      </c>
      <c r="I190">
        <v>13.930244674288781</v>
      </c>
      <c r="J190">
        <v>0.29685549516779397</v>
      </c>
      <c r="K190">
        <v>0.11149296713701218</v>
      </c>
      <c r="L190">
        <v>15.661406863406413</v>
      </c>
      <c r="M190">
        <v>13.843501542911792</v>
      </c>
      <c r="N190">
        <v>0.3510735639509367</v>
      </c>
      <c r="O190">
        <v>0.13201291656118969</v>
      </c>
      <c r="P190">
        <v>15.673411976576096</v>
      </c>
      <c r="Q190">
        <v>13.812344075907385</v>
      </c>
      <c r="R190">
        <v>0.37053565007091743</v>
      </c>
      <c r="S190">
        <v>0.13939085439080029</v>
      </c>
      <c r="T190">
        <v>15.677729419630888</v>
      </c>
      <c r="U190">
        <v>1581.5177524234555</v>
      </c>
      <c r="V190">
        <v>10.821052375492348</v>
      </c>
      <c r="W190">
        <v>1327.0909815222351</v>
      </c>
      <c r="X190">
        <v>7.9094234044930909</v>
      </c>
      <c r="Y190">
        <v>2910.1252517385424</v>
      </c>
      <c r="Z190">
        <v>10.879075136366577</v>
      </c>
      <c r="AA190">
        <v>2745.6546389712421</v>
      </c>
      <c r="AB190">
        <v>7.9425398872138784</v>
      </c>
      <c r="AC190">
        <v>2274.90514664784</v>
      </c>
      <c r="AD190">
        <v>10.8553433901424</v>
      </c>
      <c r="AE190">
        <v>2065.3817048939377</v>
      </c>
      <c r="AF190">
        <v>7.929004976980754</v>
      </c>
      <c r="AG190">
        <v>2175.5260323790744</v>
      </c>
      <c r="AH190">
        <v>10.846816085192424</v>
      </c>
      <c r="AI190">
        <v>1950.8414139981983</v>
      </c>
      <c r="AJ190">
        <v>7.9241382437671</v>
      </c>
    </row>
    <row r="191" spans="4:36" x14ac:dyDescent="0.55000000000000004">
      <c r="D191">
        <v>184</v>
      </c>
      <c r="E191">
        <v>13.325302189828371</v>
      </c>
      <c r="F191">
        <v>0.51516742684967931</v>
      </c>
      <c r="G191">
        <v>0.16897740779086196</v>
      </c>
      <c r="H191">
        <v>15.990552975531092</v>
      </c>
      <c r="I191">
        <v>13.570328420732309</v>
      </c>
      <c r="J191">
        <v>0.32631282758329827</v>
      </c>
      <c r="K191">
        <v>0.10668536258969546</v>
      </c>
      <c r="L191">
        <v>15.996673389094697</v>
      </c>
      <c r="M191">
        <v>13.462364985108183</v>
      </c>
      <c r="N191">
        <v>0.40956234001188691</v>
      </c>
      <c r="O191">
        <v>0.13409393109997092</v>
      </c>
      <c r="P191">
        <v>15.993978743779941</v>
      </c>
      <c r="Q191">
        <v>13.400069467360458</v>
      </c>
      <c r="R191">
        <v>0.45757175115474613</v>
      </c>
      <c r="S191">
        <v>0.14993638807586734</v>
      </c>
      <c r="T191">
        <v>15.992422393408942</v>
      </c>
      <c r="U191">
        <v>1547.5656362405373</v>
      </c>
      <c r="V191">
        <v>10.607349869739188</v>
      </c>
      <c r="W191">
        <v>1299.8967192598996</v>
      </c>
      <c r="X191">
        <v>7.7834392363975766</v>
      </c>
      <c r="Y191">
        <v>2910.0444258665411</v>
      </c>
      <c r="Z191">
        <v>10.648290034902283</v>
      </c>
      <c r="AA191">
        <v>2746.190086756586</v>
      </c>
      <c r="AB191">
        <v>7.8078368724884353</v>
      </c>
      <c r="AC191">
        <v>2269.1506218468885</v>
      </c>
      <c r="AD191">
        <v>10.630250084952767</v>
      </c>
      <c r="AE191">
        <v>2060.3063440232704</v>
      </c>
      <c r="AF191">
        <v>7.7970970977545644</v>
      </c>
      <c r="AG191">
        <v>2164.2619653609959</v>
      </c>
      <c r="AH191">
        <v>10.619841573867282</v>
      </c>
      <c r="AI191">
        <v>1939.8737269337732</v>
      </c>
      <c r="AJ191">
        <v>7.7908928219948956</v>
      </c>
    </row>
    <row r="192" spans="4:36" x14ac:dyDescent="0.55000000000000004">
      <c r="D192">
        <v>185</v>
      </c>
      <c r="E192">
        <v>12.348004022215543</v>
      </c>
      <c r="F192">
        <v>0.44537656405231146</v>
      </c>
      <c r="G192">
        <v>0.17585449320602084</v>
      </c>
      <c r="H192">
        <v>17.030764920526117</v>
      </c>
      <c r="I192">
        <v>12.585114178587162</v>
      </c>
      <c r="J192">
        <v>0.27573601025246891</v>
      </c>
      <c r="K192">
        <v>0.10848162136824478</v>
      </c>
      <c r="L192">
        <v>17.03066818979212</v>
      </c>
      <c r="M192">
        <v>12.475529341990121</v>
      </c>
      <c r="N192">
        <v>0.35418120216341564</v>
      </c>
      <c r="O192">
        <v>0.1395750203020065</v>
      </c>
      <c r="P192">
        <v>17.030714435544454</v>
      </c>
      <c r="Q192">
        <v>12.452498385249912</v>
      </c>
      <c r="R192">
        <v>0.37065838640492776</v>
      </c>
      <c r="S192">
        <v>0.14611940815137886</v>
      </c>
      <c r="T192">
        <v>17.030723820193785</v>
      </c>
      <c r="U192">
        <v>1543.6898560246379</v>
      </c>
      <c r="V192">
        <v>9.8018049561636946</v>
      </c>
      <c r="W192">
        <v>1306.3092614348732</v>
      </c>
      <c r="X192">
        <v>7.3025600624349858</v>
      </c>
      <c r="Y192">
        <v>2868.2594997795809</v>
      </c>
      <c r="Z192">
        <v>9.8468102561062167</v>
      </c>
      <c r="AA192">
        <v>2721.6049589696368</v>
      </c>
      <c r="AB192">
        <v>7.3297728816049901</v>
      </c>
      <c r="AC192">
        <v>2217.3012460230552</v>
      </c>
      <c r="AD192">
        <v>9.8260089211408399</v>
      </c>
      <c r="AE192">
        <v>2029.3262344773184</v>
      </c>
      <c r="AF192">
        <v>7.3172086132503598</v>
      </c>
      <c r="AG192">
        <v>2150.2794089029999</v>
      </c>
      <c r="AH192">
        <v>9.8216374809501445</v>
      </c>
      <c r="AI192">
        <v>1939.8761287174566</v>
      </c>
      <c r="AJ192">
        <v>7.3145652884090104</v>
      </c>
    </row>
    <row r="193" spans="4:36" x14ac:dyDescent="0.55000000000000004">
      <c r="D193">
        <v>186</v>
      </c>
      <c r="E193">
        <v>12.24988746282591</v>
      </c>
      <c r="F193">
        <v>0.42272242808082883</v>
      </c>
      <c r="G193">
        <v>0.16222472399311144</v>
      </c>
      <c r="H193">
        <v>17.165165385100135</v>
      </c>
      <c r="I193">
        <v>12.477848583938426</v>
      </c>
      <c r="J193">
        <v>0.26440074587679047</v>
      </c>
      <c r="K193">
        <v>0.10110930425950082</v>
      </c>
      <c r="L193">
        <v>17.156641365925282</v>
      </c>
      <c r="M193">
        <v>12.379825423713674</v>
      </c>
      <c r="N193">
        <v>0.3325200804761268</v>
      </c>
      <c r="O193">
        <v>0.12735112648108221</v>
      </c>
      <c r="P193">
        <v>17.160303369329107</v>
      </c>
      <c r="Q193">
        <v>12.338520478954699</v>
      </c>
      <c r="R193">
        <v>0.3612056587492235</v>
      </c>
      <c r="S193">
        <v>0.13842590333616125</v>
      </c>
      <c r="T193">
        <v>17.161847958959918</v>
      </c>
      <c r="U193">
        <v>1523.6908404639219</v>
      </c>
      <c r="V193">
        <v>9.7264125784696098</v>
      </c>
      <c r="W193">
        <v>1293.5488729085976</v>
      </c>
      <c r="X193">
        <v>7.2620792229342763</v>
      </c>
      <c r="Y193">
        <v>2904.658340924881</v>
      </c>
      <c r="Z193">
        <v>9.7767880585045592</v>
      </c>
      <c r="AA193">
        <v>2750.0395798530899</v>
      </c>
      <c r="AB193">
        <v>7.2922418678586549</v>
      </c>
      <c r="AC193">
        <v>2219.1073010750742</v>
      </c>
      <c r="AD193">
        <v>9.7551283495142336</v>
      </c>
      <c r="AE193">
        <v>2032.7918738831129</v>
      </c>
      <c r="AF193">
        <v>7.2792865513526825</v>
      </c>
      <c r="AG193">
        <v>2107.1978314337548</v>
      </c>
      <c r="AH193">
        <v>9.7460006177742855</v>
      </c>
      <c r="AI193">
        <v>1908.7042696805729</v>
      </c>
      <c r="AJ193">
        <v>7.2738208759110226</v>
      </c>
    </row>
    <row r="194" spans="4:36" x14ac:dyDescent="0.55000000000000004">
      <c r="D194">
        <v>187</v>
      </c>
      <c r="E194">
        <v>12.552574780772298</v>
      </c>
      <c r="F194">
        <v>0.47488390012096354</v>
      </c>
      <c r="G194">
        <v>0.15025560576264485</v>
      </c>
      <c r="H194">
        <v>16.822285713344094</v>
      </c>
      <c r="I194">
        <v>12.778233629280479</v>
      </c>
      <c r="J194">
        <v>0.30481128447672518</v>
      </c>
      <c r="K194">
        <v>9.6132097463900057E-2</v>
      </c>
      <c r="L194">
        <v>16.8208229887789</v>
      </c>
      <c r="M194">
        <v>12.69279247946189</v>
      </c>
      <c r="N194">
        <v>0.36923829617154053</v>
      </c>
      <c r="O194">
        <v>0.11659340382911004</v>
      </c>
      <c r="P194">
        <v>16.821375820537451</v>
      </c>
      <c r="Q194">
        <v>12.659621017502923</v>
      </c>
      <c r="R194">
        <v>0.39424066119584517</v>
      </c>
      <c r="S194">
        <v>0.12454754391594057</v>
      </c>
      <c r="T194">
        <v>16.821590777385271</v>
      </c>
      <c r="U194">
        <v>1505.3215170995454</v>
      </c>
      <c r="V194">
        <v>9.8759443224417627</v>
      </c>
      <c r="W194">
        <v>1280.0844890333537</v>
      </c>
      <c r="X194">
        <v>7.3348563200833858</v>
      </c>
      <c r="Y194">
        <v>2882.6299183291899</v>
      </c>
      <c r="Z194">
        <v>9.9182836932351908</v>
      </c>
      <c r="AA194">
        <v>2733.0801548614722</v>
      </c>
      <c r="AB194">
        <v>7.3601563396544307</v>
      </c>
      <c r="AC194">
        <v>2204.1325729698101</v>
      </c>
      <c r="AD194">
        <v>9.9022537139952114</v>
      </c>
      <c r="AE194">
        <v>2022.0408464753298</v>
      </c>
      <c r="AF194">
        <v>7.3505880448245655</v>
      </c>
      <c r="AG194">
        <v>2099.8468450367814</v>
      </c>
      <c r="AH194">
        <v>9.8960299584732301</v>
      </c>
      <c r="AI194">
        <v>1904.2049492094243</v>
      </c>
      <c r="AJ194">
        <v>7.3468696642998381</v>
      </c>
    </row>
    <row r="195" spans="4:36" x14ac:dyDescent="0.55000000000000004">
      <c r="D195">
        <v>188</v>
      </c>
      <c r="E195">
        <v>12.382279047302202</v>
      </c>
      <c r="F195">
        <v>0.46589023159091908</v>
      </c>
      <c r="G195">
        <v>0.17065123722591599</v>
      </c>
      <c r="H195">
        <v>16.98117948388095</v>
      </c>
      <c r="I195">
        <v>12.597465582505917</v>
      </c>
      <c r="J195">
        <v>0.3021526288641827</v>
      </c>
      <c r="K195">
        <v>0.1103201284913948</v>
      </c>
      <c r="L195">
        <v>16.99006166013849</v>
      </c>
      <c r="M195">
        <v>12.496754173192617</v>
      </c>
      <c r="N195">
        <v>0.3788157463128688</v>
      </c>
      <c r="O195">
        <v>0.13851855497356763</v>
      </c>
      <c r="P195">
        <v>16.985911525520951</v>
      </c>
      <c r="Q195">
        <v>12.457000390975194</v>
      </c>
      <c r="R195">
        <v>0.40906208133874611</v>
      </c>
      <c r="S195">
        <v>0.14966751214044346</v>
      </c>
      <c r="T195">
        <v>16.984270015545619</v>
      </c>
      <c r="U195">
        <v>1535.4103548081032</v>
      </c>
      <c r="V195">
        <v>9.8422131121696168</v>
      </c>
      <c r="W195">
        <v>1299.5384104605303</v>
      </c>
      <c r="X195">
        <v>7.3270208550650322</v>
      </c>
      <c r="Y195">
        <v>2889.9773741227532</v>
      </c>
      <c r="Z195">
        <v>9.8790807651623211</v>
      </c>
      <c r="AA195">
        <v>2736.3965151161274</v>
      </c>
      <c r="AB195">
        <v>7.3496809920144113</v>
      </c>
      <c r="AC195">
        <v>2230.1807195430765</v>
      </c>
      <c r="AD195">
        <v>9.8618217214530812</v>
      </c>
      <c r="AE195">
        <v>2037.8719849564684</v>
      </c>
      <c r="AF195">
        <v>7.3390839407577904</v>
      </c>
      <c r="AG195">
        <v>2129.4209807080811</v>
      </c>
      <c r="AH195">
        <v>9.8550111303343542</v>
      </c>
      <c r="AI195">
        <v>1922.0835105283516</v>
      </c>
      <c r="AJ195">
        <v>7.3348969520897755</v>
      </c>
    </row>
    <row r="196" spans="4:36" x14ac:dyDescent="0.55000000000000004">
      <c r="D196">
        <v>189</v>
      </c>
      <c r="E196">
        <v>12.67605921139344</v>
      </c>
      <c r="F196">
        <v>0.43195757809832869</v>
      </c>
      <c r="G196">
        <v>0.15294638960525278</v>
      </c>
      <c r="H196">
        <v>16.739036820902985</v>
      </c>
      <c r="I196">
        <v>12.891138740086863</v>
      </c>
      <c r="J196">
        <v>0.28336356278436364</v>
      </c>
      <c r="K196">
        <v>0.10003018538202324</v>
      </c>
      <c r="L196">
        <v>16.725467511746746</v>
      </c>
      <c r="M196">
        <v>12.77037696763937</v>
      </c>
      <c r="N196">
        <v>0.36683176866871742</v>
      </c>
      <c r="O196">
        <v>0.12971431717748355</v>
      </c>
      <c r="P196">
        <v>16.733076946514434</v>
      </c>
      <c r="Q196">
        <v>12.766837185242174</v>
      </c>
      <c r="R196">
        <v>0.36927699687058152</v>
      </c>
      <c r="S196">
        <v>0.13058546121819595</v>
      </c>
      <c r="T196">
        <v>16.733300356669034</v>
      </c>
      <c r="U196">
        <v>1542.9265719640789</v>
      </c>
      <c r="V196">
        <v>10.053798552828885</v>
      </c>
      <c r="W196">
        <v>1308.4399743169417</v>
      </c>
      <c r="X196">
        <v>7.4588233940621063</v>
      </c>
      <c r="Y196">
        <v>2883.4766842229665</v>
      </c>
      <c r="Z196">
        <v>10.103756266057875</v>
      </c>
      <c r="AA196">
        <v>2733.4257789386456</v>
      </c>
      <c r="AB196">
        <v>7.4881328358357306</v>
      </c>
      <c r="AC196">
        <v>2231.4809428338954</v>
      </c>
      <c r="AD196">
        <v>10.075711705057156</v>
      </c>
      <c r="AE196">
        <v>2040.3630981604351</v>
      </c>
      <c r="AF196">
        <v>7.4716905114214347</v>
      </c>
      <c r="AG196">
        <v>2100.2783486735402</v>
      </c>
      <c r="AH196">
        <v>10.074889450203109</v>
      </c>
      <c r="AI196">
        <v>1903.9471297710761</v>
      </c>
      <c r="AJ196">
        <v>7.4712080061599826</v>
      </c>
    </row>
    <row r="197" spans="4:36" x14ac:dyDescent="0.55000000000000004">
      <c r="D197">
        <v>190</v>
      </c>
      <c r="E197">
        <v>11.216125181646676</v>
      </c>
      <c r="F197">
        <v>0.41354111432188084</v>
      </c>
      <c r="G197">
        <v>0.1704838190134999</v>
      </c>
      <c r="H197">
        <v>18.19984988501793</v>
      </c>
      <c r="I197">
        <v>11.402876957985292</v>
      </c>
      <c r="J197">
        <v>0.26447742629586529</v>
      </c>
      <c r="K197">
        <v>0.10869415435383313</v>
      </c>
      <c r="L197">
        <v>18.223951461365012</v>
      </c>
      <c r="M197">
        <v>11.302006875601302</v>
      </c>
      <c r="N197">
        <v>0.3450123787489367</v>
      </c>
      <c r="O197">
        <v>0.14202916574898336</v>
      </c>
      <c r="P197">
        <v>18.210951579900772</v>
      </c>
      <c r="Q197">
        <v>11.295558558634673</v>
      </c>
      <c r="R197">
        <v>0.35015903608413956</v>
      </c>
      <c r="S197">
        <v>0.1441633076637307</v>
      </c>
      <c r="T197">
        <v>18.210119097617458</v>
      </c>
      <c r="U197">
        <v>1457.5734321568148</v>
      </c>
      <c r="V197">
        <v>8.9475228215566531</v>
      </c>
      <c r="W197">
        <v>1253.0999560020259</v>
      </c>
      <c r="X197">
        <v>6.7880843844619587</v>
      </c>
      <c r="Y197">
        <v>2835.9434897156207</v>
      </c>
      <c r="Z197">
        <v>8.9691686199440088</v>
      </c>
      <c r="AA197">
        <v>2704.0309464498146</v>
      </c>
      <c r="AB197">
        <v>6.8026932829106901</v>
      </c>
      <c r="AC197">
        <v>2157.2868438190089</v>
      </c>
      <c r="AD197">
        <v>8.9574664611955068</v>
      </c>
      <c r="AE197">
        <v>1992.1034633070947</v>
      </c>
      <c r="AF197">
        <v>6.7948052048363241</v>
      </c>
      <c r="AG197">
        <v>2024.8507366779138</v>
      </c>
      <c r="AH197">
        <v>8.9567192241678324</v>
      </c>
      <c r="AI197">
        <v>1854.828425127002</v>
      </c>
      <c r="AJ197">
        <v>6.7943007361918264</v>
      </c>
    </row>
    <row r="198" spans="4:36" x14ac:dyDescent="0.55000000000000004">
      <c r="D198">
        <v>191</v>
      </c>
      <c r="E198">
        <v>12.40658574910535</v>
      </c>
      <c r="F198">
        <v>0.4596107566932307</v>
      </c>
      <c r="G198">
        <v>0.17624857421443177</v>
      </c>
      <c r="H198">
        <v>16.957554919986986</v>
      </c>
      <c r="I198">
        <v>12.63575874985858</v>
      </c>
      <c r="J198">
        <v>0.2880824500138659</v>
      </c>
      <c r="K198">
        <v>0.11009319871856138</v>
      </c>
      <c r="L198">
        <v>16.966065601408978</v>
      </c>
      <c r="M198">
        <v>12.52633659299579</v>
      </c>
      <c r="N198">
        <v>0.37001762252794718</v>
      </c>
      <c r="O198">
        <v>0.14163660938351924</v>
      </c>
      <c r="P198">
        <v>16.962009175092732</v>
      </c>
      <c r="Q198">
        <v>12.498502798195911</v>
      </c>
      <c r="R198">
        <v>0.3908489684274768</v>
      </c>
      <c r="S198">
        <v>0.14967296504103769</v>
      </c>
      <c r="T198">
        <v>16.960975268335567</v>
      </c>
      <c r="U198">
        <v>1562.160234471075</v>
      </c>
      <c r="V198">
        <v>9.7614332971945252</v>
      </c>
      <c r="W198">
        <v>1316.1112575530858</v>
      </c>
      <c r="X198">
        <v>7.2629925239814295</v>
      </c>
      <c r="Y198">
        <v>2900.3596042997892</v>
      </c>
      <c r="Z198">
        <v>9.79732563400826</v>
      </c>
      <c r="AA198">
        <v>2742.8113081361867</v>
      </c>
      <c r="AB198">
        <v>7.2850434811281346</v>
      </c>
      <c r="AC198">
        <v>2225.5902573659837</v>
      </c>
      <c r="AD198">
        <v>9.7801838239543812</v>
      </c>
      <c r="AE198">
        <v>2031.944484677934</v>
      </c>
      <c r="AF198">
        <v>7.274523513949207</v>
      </c>
      <c r="AG198">
        <v>2128.9858530086931</v>
      </c>
      <c r="AH198">
        <v>9.7758247458512333</v>
      </c>
      <c r="AI198">
        <v>1919.8261581341299</v>
      </c>
      <c r="AJ198">
        <v>7.2718450458816442</v>
      </c>
    </row>
    <row r="199" spans="4:36" x14ac:dyDescent="0.55000000000000004">
      <c r="D199">
        <v>192</v>
      </c>
      <c r="E199">
        <v>11.952323594911407</v>
      </c>
      <c r="F199">
        <v>0.45924546447568121</v>
      </c>
      <c r="G199">
        <v>0.15135838128987106</v>
      </c>
      <c r="H199">
        <v>17.437072559323067</v>
      </c>
      <c r="I199">
        <v>12.175546316558284</v>
      </c>
      <c r="J199">
        <v>0.28869926821812558</v>
      </c>
      <c r="K199">
        <v>9.4850640651384044E-2</v>
      </c>
      <c r="L199">
        <v>17.440903774572217</v>
      </c>
      <c r="M199">
        <v>12.076314208665837</v>
      </c>
      <c r="N199">
        <v>0.3645475879911983</v>
      </c>
      <c r="O199">
        <v>0.11993723390792628</v>
      </c>
      <c r="P199">
        <v>17.439200969435056</v>
      </c>
      <c r="Q199">
        <v>12.057268137734495</v>
      </c>
      <c r="R199">
        <v>0.37909944804629336</v>
      </c>
      <c r="S199">
        <v>0.12475833373388139</v>
      </c>
      <c r="T199">
        <v>17.438874080485324</v>
      </c>
      <c r="U199">
        <v>1489.7702279603209</v>
      </c>
      <c r="V199">
        <v>9.4410489485785494</v>
      </c>
      <c r="W199">
        <v>1272.2683327635641</v>
      </c>
      <c r="X199">
        <v>7.07805639815495</v>
      </c>
      <c r="Y199">
        <v>2853.1871316931642</v>
      </c>
      <c r="Z199">
        <v>9.4801019054803355</v>
      </c>
      <c r="AA199">
        <v>2714.005958593923</v>
      </c>
      <c r="AB199">
        <v>7.1017411991738628</v>
      </c>
      <c r="AC199">
        <v>2192.4084794209944</v>
      </c>
      <c r="AD199">
        <v>9.4627413590097387</v>
      </c>
      <c r="AE199">
        <v>2015.8727679076296</v>
      </c>
      <c r="AF199">
        <v>7.091223536536055</v>
      </c>
      <c r="AG199">
        <v>2074.4273896791105</v>
      </c>
      <c r="AH199">
        <v>9.4594092388710411</v>
      </c>
      <c r="AI199">
        <v>1888.6832123341937</v>
      </c>
      <c r="AJ199">
        <v>7.0892027843557699</v>
      </c>
    </row>
    <row r="200" spans="4:36" x14ac:dyDescent="0.55000000000000004">
      <c r="D200">
        <v>193</v>
      </c>
      <c r="E200">
        <v>12.524379149274891</v>
      </c>
      <c r="F200">
        <v>0.46414519525296871</v>
      </c>
      <c r="G200">
        <v>0.16662234537734547</v>
      </c>
      <c r="H200">
        <v>16.844853310094784</v>
      </c>
      <c r="I200">
        <v>12.767630679251827</v>
      </c>
      <c r="J200">
        <v>0.28407162342852993</v>
      </c>
      <c r="K200">
        <v>0.10162409555393842</v>
      </c>
      <c r="L200">
        <v>16.846673601765691</v>
      </c>
      <c r="M200">
        <v>12.656526089211864</v>
      </c>
      <c r="N200">
        <v>0.36636132335878013</v>
      </c>
      <c r="O200">
        <v>0.13126998290281872</v>
      </c>
      <c r="P200">
        <v>16.845842604526553</v>
      </c>
      <c r="Q200">
        <v>12.638966928690721</v>
      </c>
      <c r="R200">
        <v>0.37936016973371744</v>
      </c>
      <c r="S200">
        <v>0.13596169339822686</v>
      </c>
      <c r="T200">
        <v>16.845711208177331</v>
      </c>
      <c r="U200">
        <v>1565.8953108640681</v>
      </c>
      <c r="V200">
        <v>9.9649619670675307</v>
      </c>
      <c r="W200">
        <v>1320.1436028889088</v>
      </c>
      <c r="X200">
        <v>7.4036626799433929</v>
      </c>
      <c r="Y200">
        <v>2911.1731464057348</v>
      </c>
      <c r="Z200">
        <v>10.010607264927998</v>
      </c>
      <c r="AA200">
        <v>2752.1796049166533</v>
      </c>
      <c r="AB200">
        <v>7.431156728566731</v>
      </c>
      <c r="AC200">
        <v>2245.2422577667953</v>
      </c>
      <c r="AD200">
        <v>9.98975810856229</v>
      </c>
      <c r="AE200">
        <v>2048.2304863452759</v>
      </c>
      <c r="AF200">
        <v>7.418611832983494</v>
      </c>
      <c r="AG200">
        <v>2115.6000328120008</v>
      </c>
      <c r="AH200">
        <v>9.9864631900135521</v>
      </c>
      <c r="AI200">
        <v>1912.1198100472325</v>
      </c>
      <c r="AJ200">
        <v>7.4166272342786632</v>
      </c>
    </row>
    <row r="201" spans="4:36" x14ac:dyDescent="0.55000000000000004">
      <c r="D201">
        <v>194</v>
      </c>
      <c r="E201">
        <v>11.390182913687878</v>
      </c>
      <c r="F201">
        <v>0.42516347433106411</v>
      </c>
      <c r="G201">
        <v>0.16448353125948761</v>
      </c>
      <c r="H201">
        <v>18.020170080721567</v>
      </c>
      <c r="I201">
        <v>11.585052762050859</v>
      </c>
      <c r="J201">
        <v>0.27273836709894611</v>
      </c>
      <c r="K201">
        <v>0.10519653559744033</v>
      </c>
      <c r="L201">
        <v>18.037012335252747</v>
      </c>
      <c r="M201">
        <v>11.541689935097569</v>
      </c>
      <c r="N201">
        <v>0.30667333876492281</v>
      </c>
      <c r="O201">
        <v>0.11836450615511028</v>
      </c>
      <c r="P201">
        <v>18.033272219982393</v>
      </c>
      <c r="Q201">
        <v>11.488603331072031</v>
      </c>
      <c r="R201">
        <v>0.34820473959071907</v>
      </c>
      <c r="S201">
        <v>0.13450445981531706</v>
      </c>
      <c r="T201">
        <v>18.028687469521923</v>
      </c>
      <c r="U201">
        <v>1479.7583004339299</v>
      </c>
      <c r="V201">
        <v>9.1080827362131291</v>
      </c>
      <c r="W201">
        <v>1266.9871620799415</v>
      </c>
      <c r="X201">
        <v>6.8915022021005212</v>
      </c>
      <c r="Y201">
        <v>2874.100795333497</v>
      </c>
      <c r="Z201">
        <v>9.1371189392018319</v>
      </c>
      <c r="AA201">
        <v>2730.9965213206001</v>
      </c>
      <c r="AB201">
        <v>6.9100556127668034</v>
      </c>
      <c r="AC201">
        <v>2160.8817763073889</v>
      </c>
      <c r="AD201">
        <v>9.1306533849108273</v>
      </c>
      <c r="AE201">
        <v>1996.6056322284574</v>
      </c>
      <c r="AF201">
        <v>6.9059312690423305</v>
      </c>
      <c r="AG201">
        <v>2054.1225136964408</v>
      </c>
      <c r="AH201">
        <v>9.1227413650730753</v>
      </c>
      <c r="AI201">
        <v>1875.6135255602512</v>
      </c>
      <c r="AJ201">
        <v>6.9008788187551948</v>
      </c>
    </row>
    <row r="202" spans="4:36" x14ac:dyDescent="0.55000000000000004">
      <c r="D202">
        <v>195</v>
      </c>
      <c r="E202">
        <v>12.926551846568394</v>
      </c>
      <c r="F202">
        <v>0.49658700457510246</v>
      </c>
      <c r="G202">
        <v>0.20405579788364384</v>
      </c>
      <c r="H202">
        <v>16.372805350972861</v>
      </c>
      <c r="I202">
        <v>13.193878329042965</v>
      </c>
      <c r="J202">
        <v>0.30147858004340933</v>
      </c>
      <c r="K202">
        <v>0.12340935276188413</v>
      </c>
      <c r="L202">
        <v>16.381233738151728</v>
      </c>
      <c r="M202">
        <v>13.084516640294813</v>
      </c>
      <c r="N202">
        <v>0.38134562427131319</v>
      </c>
      <c r="O202">
        <v>0.15634602074800627</v>
      </c>
      <c r="P202">
        <v>16.377791714685884</v>
      </c>
      <c r="Q202">
        <v>13.044357710017213</v>
      </c>
      <c r="R202">
        <v>0.41065668863206878</v>
      </c>
      <c r="S202">
        <v>0.16845990887268741</v>
      </c>
      <c r="T202">
        <v>16.376525692478033</v>
      </c>
      <c r="U202">
        <v>1581.245726634334</v>
      </c>
      <c r="V202">
        <v>10.273528587184442</v>
      </c>
      <c r="W202">
        <v>1323.3685317120758</v>
      </c>
      <c r="X202">
        <v>7.5807157414419635</v>
      </c>
      <c r="Y202">
        <v>2921.1635012751995</v>
      </c>
      <c r="Z202">
        <v>10.31902002777429</v>
      </c>
      <c r="AA202">
        <v>2754.6353617021673</v>
      </c>
      <c r="AB202">
        <v>7.6081611960667566</v>
      </c>
      <c r="AC202">
        <v>2258.9511659641998</v>
      </c>
      <c r="AD202">
        <v>10.300406534633611</v>
      </c>
      <c r="AE202">
        <v>2052.799782840842</v>
      </c>
      <c r="AF202">
        <v>7.5969456796094645</v>
      </c>
      <c r="AG202">
        <v>2144.3190222913281</v>
      </c>
      <c r="AH202">
        <v>10.293572547564111</v>
      </c>
      <c r="AI202">
        <v>1926.3015404048112</v>
      </c>
      <c r="AJ202">
        <v>7.5928229694531462</v>
      </c>
    </row>
    <row r="203" spans="4:36" x14ac:dyDescent="0.55000000000000004">
      <c r="D203">
        <v>196</v>
      </c>
      <c r="E203">
        <v>12.455640272510292</v>
      </c>
      <c r="F203">
        <v>0.45175872019058583</v>
      </c>
      <c r="G203">
        <v>0.15750581239625064</v>
      </c>
      <c r="H203">
        <v>16.935095194902857</v>
      </c>
      <c r="I203">
        <v>12.67947687122674</v>
      </c>
      <c r="J203">
        <v>0.28936996814861166</v>
      </c>
      <c r="K203">
        <v>0.1005716529425407</v>
      </c>
      <c r="L203">
        <v>16.930581507682085</v>
      </c>
      <c r="M203">
        <v>12.614987498368885</v>
      </c>
      <c r="N203">
        <v>0.33618603082218956</v>
      </c>
      <c r="O203">
        <v>0.11694828887381845</v>
      </c>
      <c r="P203">
        <v>16.931878181935108</v>
      </c>
      <c r="Q203">
        <v>12.537560596807197</v>
      </c>
      <c r="R203">
        <v>0.39236170800683562</v>
      </c>
      <c r="S203">
        <v>0.13663870017797491</v>
      </c>
      <c r="T203">
        <v>16.933438995007997</v>
      </c>
      <c r="U203">
        <v>1544.9041017845086</v>
      </c>
      <c r="V203">
        <v>9.8078978657833034</v>
      </c>
      <c r="W203">
        <v>1306.7599530122839</v>
      </c>
      <c r="X203">
        <v>7.2963216325236351</v>
      </c>
      <c r="Y203">
        <v>2899.8601056717212</v>
      </c>
      <c r="Z203">
        <v>9.849932862196459</v>
      </c>
      <c r="AA203">
        <v>2744.1265581255916</v>
      </c>
      <c r="AB203">
        <v>7.3212248302679983</v>
      </c>
      <c r="AC203">
        <v>2211.2741227696001</v>
      </c>
      <c r="AD203">
        <v>9.8378250678564605</v>
      </c>
      <c r="AE203">
        <v>2026.3299531069963</v>
      </c>
      <c r="AF203">
        <v>7.3140602348126631</v>
      </c>
      <c r="AG203">
        <v>2150.2297044642223</v>
      </c>
      <c r="AH203">
        <v>9.8232852081393389</v>
      </c>
      <c r="AI203">
        <v>1938.0869845977275</v>
      </c>
      <c r="AJ203">
        <v>7.3054474033382002</v>
      </c>
    </row>
    <row r="204" spans="4:36" x14ac:dyDescent="0.55000000000000004">
      <c r="D204">
        <v>197</v>
      </c>
      <c r="E204">
        <v>13.401088272303602</v>
      </c>
      <c r="F204">
        <v>0.47431375939881221</v>
      </c>
      <c r="G204">
        <v>0.18451595909450147</v>
      </c>
      <c r="H204">
        <v>15.94008200920309</v>
      </c>
      <c r="I204">
        <v>13.644116044984797</v>
      </c>
      <c r="J204">
        <v>0.30900414851018804</v>
      </c>
      <c r="K204">
        <v>0.11978610223591853</v>
      </c>
      <c r="L204">
        <v>15.927093704269094</v>
      </c>
      <c r="M204">
        <v>13.568655373753</v>
      </c>
      <c r="N204">
        <v>0.36037304362218253</v>
      </c>
      <c r="O204">
        <v>0.13985106199429242</v>
      </c>
      <c r="P204">
        <v>15.931120520630529</v>
      </c>
      <c r="Q204">
        <v>13.531202589107981</v>
      </c>
      <c r="R204">
        <v>0.38585527094280297</v>
      </c>
      <c r="S204">
        <v>0.14982099683253541</v>
      </c>
      <c r="T204">
        <v>15.933121143116681</v>
      </c>
      <c r="U204">
        <v>1584.0438454188991</v>
      </c>
      <c r="V204">
        <v>10.590294048704509</v>
      </c>
      <c r="W204">
        <v>1326.1699552053994</v>
      </c>
      <c r="X204">
        <v>7.7666579677352026</v>
      </c>
      <c r="Y204">
        <v>2962.6770447938402</v>
      </c>
      <c r="Z204">
        <v>10.643078814779136</v>
      </c>
      <c r="AA204">
        <v>2783.7661078809911</v>
      </c>
      <c r="AB204">
        <v>7.7975202452119694</v>
      </c>
      <c r="AC204">
        <v>2210.1722254456608</v>
      </c>
      <c r="AD204">
        <v>10.626692288079708</v>
      </c>
      <c r="AE204">
        <v>2017.5720395011542</v>
      </c>
      <c r="AF204">
        <v>7.7879501856261237</v>
      </c>
      <c r="AG204">
        <v>2167.5004005680953</v>
      </c>
      <c r="AH204">
        <v>10.618558209436593</v>
      </c>
      <c r="AI204">
        <v>1944.4059328063486</v>
      </c>
      <c r="AJ204">
        <v>7.7831961159992824</v>
      </c>
    </row>
    <row r="205" spans="4:36" x14ac:dyDescent="0.55000000000000004">
      <c r="D205">
        <v>198</v>
      </c>
      <c r="E205">
        <v>10.940770138725835</v>
      </c>
      <c r="F205">
        <v>0.40805546655321101</v>
      </c>
      <c r="G205">
        <v>0.15869549405170974</v>
      </c>
      <c r="H205">
        <v>18.492478900669251</v>
      </c>
      <c r="I205">
        <v>11.121763730355502</v>
      </c>
      <c r="J205">
        <v>0.26282724809992397</v>
      </c>
      <c r="K205">
        <v>0.1019161712845998</v>
      </c>
      <c r="L205">
        <v>18.513492850259972</v>
      </c>
      <c r="M205">
        <v>11.057201392072862</v>
      </c>
      <c r="N205">
        <v>0.31465007358874097</v>
      </c>
      <c r="O205">
        <v>0.12213852335877866</v>
      </c>
      <c r="P205">
        <v>18.506010010979608</v>
      </c>
      <c r="Q205">
        <v>11.019850596142048</v>
      </c>
      <c r="R205">
        <v>0.34462149218737453</v>
      </c>
      <c r="S205">
        <v>0.1338534860310257</v>
      </c>
      <c r="T205">
        <v>18.501674425639546</v>
      </c>
      <c r="U205">
        <v>1444.2086083869156</v>
      </c>
      <c r="V205">
        <v>8.6683914901520449</v>
      </c>
      <c r="W205">
        <v>1247.0262726695487</v>
      </c>
      <c r="X205">
        <v>6.6101558518696262</v>
      </c>
      <c r="Y205">
        <v>2831.3562764681001</v>
      </c>
      <c r="Z205">
        <v>8.6927387161299858</v>
      </c>
      <c r="AA205">
        <v>2703.0211479509526</v>
      </c>
      <c r="AB205">
        <v>6.6262068357968014</v>
      </c>
      <c r="AC205">
        <v>2152.1825372195549</v>
      </c>
      <c r="AD205">
        <v>8.6840465902334429</v>
      </c>
      <c r="AE205">
        <v>1993.7722726488964</v>
      </c>
      <c r="AF205">
        <v>6.6204852475813087</v>
      </c>
      <c r="AG205">
        <v>2026.3931378101281</v>
      </c>
      <c r="AH205">
        <v>8.6790216351247391</v>
      </c>
      <c r="AI205">
        <v>1859.5713066632327</v>
      </c>
      <c r="AJ205">
        <v>6.6171731769519839</v>
      </c>
    </row>
    <row r="206" spans="4:36" x14ac:dyDescent="0.55000000000000004">
      <c r="D206">
        <v>199</v>
      </c>
      <c r="E206">
        <v>13.502788497896043</v>
      </c>
      <c r="F206">
        <v>0.46584153738722567</v>
      </c>
      <c r="G206">
        <v>0.18156497056266241</v>
      </c>
      <c r="H206">
        <v>15.849804994154063</v>
      </c>
      <c r="I206">
        <v>13.747467335228489</v>
      </c>
      <c r="J206">
        <v>0.29913535245774731</v>
      </c>
      <c r="K206">
        <v>0.11620079598208045</v>
      </c>
      <c r="L206">
        <v>15.837196516331677</v>
      </c>
      <c r="M206">
        <v>13.624456656464742</v>
      </c>
      <c r="N206">
        <v>0.38299270030004873</v>
      </c>
      <c r="O206">
        <v>0.14902506832975776</v>
      </c>
      <c r="P206">
        <v>15.843525574905463</v>
      </c>
      <c r="Q206">
        <v>13.583426202118225</v>
      </c>
      <c r="R206">
        <v>0.41094244667397734</v>
      </c>
      <c r="S206">
        <v>0.15999032552808115</v>
      </c>
      <c r="T206">
        <v>15.845641025679704</v>
      </c>
      <c r="U206">
        <v>1591.7493128315739</v>
      </c>
      <c r="V206">
        <v>10.641716228362565</v>
      </c>
      <c r="W206">
        <v>1333.5970080166383</v>
      </c>
      <c r="X206">
        <v>7.7937565846005059</v>
      </c>
      <c r="Y206">
        <v>2902.5659650828679</v>
      </c>
      <c r="Z206">
        <v>10.692058641386659</v>
      </c>
      <c r="AA206">
        <v>2741.0291256158739</v>
      </c>
      <c r="AB206">
        <v>7.8229160123735992</v>
      </c>
      <c r="AC206">
        <v>2267.5490479841851</v>
      </c>
      <c r="AD206">
        <v>10.666755552810425</v>
      </c>
      <c r="AE206">
        <v>2058.9768168449382</v>
      </c>
      <c r="AF206">
        <v>7.8082712626996544</v>
      </c>
      <c r="AG206">
        <v>2175.0473422088426</v>
      </c>
      <c r="AH206">
        <v>10.658312864869071</v>
      </c>
      <c r="AI206">
        <v>1948.9804478581123</v>
      </c>
      <c r="AJ206">
        <v>7.8033797726070357</v>
      </c>
    </row>
    <row r="207" spans="4:36" x14ac:dyDescent="0.55000000000000004">
      <c r="D207">
        <v>200</v>
      </c>
      <c r="E207">
        <v>12.407702550425558</v>
      </c>
      <c r="F207">
        <v>0.47938676143230785</v>
      </c>
      <c r="G207">
        <v>0.17785070240090217</v>
      </c>
      <c r="H207">
        <v>16.935059985741226</v>
      </c>
      <c r="I207">
        <v>12.660191389818445</v>
      </c>
      <c r="J207">
        <v>0.29113701340387993</v>
      </c>
      <c r="K207">
        <v>0.10762060490219322</v>
      </c>
      <c r="L207">
        <v>16.941050991875475</v>
      </c>
      <c r="M207">
        <v>12.5730757588756</v>
      </c>
      <c r="N207">
        <v>0.35612866424817491</v>
      </c>
      <c r="O207">
        <v>0.13180874764511372</v>
      </c>
      <c r="P207">
        <v>16.938986829231105</v>
      </c>
      <c r="Q207">
        <v>12.528495810954361</v>
      </c>
      <c r="R207">
        <v>0.38937069670871299</v>
      </c>
      <c r="S207">
        <v>0.14420414072831034</v>
      </c>
      <c r="T207">
        <v>16.937929351608599</v>
      </c>
      <c r="U207">
        <v>1550.3581842947369</v>
      </c>
      <c r="V207">
        <v>9.8787591685969929</v>
      </c>
      <c r="W207">
        <v>1312.0843875434355</v>
      </c>
      <c r="X207">
        <v>7.3501087854866904</v>
      </c>
      <c r="Y207">
        <v>2867.0242647146101</v>
      </c>
      <c r="Z207">
        <v>9.9234620475850992</v>
      </c>
      <c r="AA207">
        <v>2721.5545127958667</v>
      </c>
      <c r="AB207">
        <v>7.3771617121717297</v>
      </c>
      <c r="AC207">
        <v>2216.0430666473335</v>
      </c>
      <c r="AD207">
        <v>9.9080369061681637</v>
      </c>
      <c r="AE207">
        <v>2030.8412726844767</v>
      </c>
      <c r="AF207">
        <v>7.3678396461466473</v>
      </c>
      <c r="AG207">
        <v>2106.1845966338246</v>
      </c>
      <c r="AH207">
        <v>9.9001439247770122</v>
      </c>
      <c r="AI207">
        <v>1908.1625910564617</v>
      </c>
      <c r="AJ207">
        <v>7.3630643984186444</v>
      </c>
    </row>
    <row r="208" spans="4:36" x14ac:dyDescent="0.55000000000000004">
      <c r="D208">
        <v>201</v>
      </c>
      <c r="E208">
        <v>14.404974161482702</v>
      </c>
      <c r="F208">
        <v>0.55397301393275455</v>
      </c>
      <c r="G208">
        <v>0.20621617151536401</v>
      </c>
      <c r="H208">
        <v>14.834836653069186</v>
      </c>
      <c r="I208">
        <v>14.734338145371561</v>
      </c>
      <c r="J208">
        <v>0.32961564464783444</v>
      </c>
      <c r="K208">
        <v>0.12215997607480876</v>
      </c>
      <c r="L208">
        <v>14.813886233905787</v>
      </c>
      <c r="M208">
        <v>14.60184058254468</v>
      </c>
      <c r="N208">
        <v>0.41994899196156626</v>
      </c>
      <c r="O208">
        <v>0.15591313075962498</v>
      </c>
      <c r="P208">
        <v>14.822297294734129</v>
      </c>
      <c r="Q208">
        <v>14.527881809715778</v>
      </c>
      <c r="R208">
        <v>0.47032655933790829</v>
      </c>
      <c r="S208">
        <v>0.1747894945277641</v>
      </c>
      <c r="T208">
        <v>14.827002136418553</v>
      </c>
      <c r="U208">
        <v>1719.9941193910615</v>
      </c>
      <c r="V208">
        <v>11.400133015221206</v>
      </c>
      <c r="W208">
        <v>1409.777131727205</v>
      </c>
      <c r="X208">
        <v>8.2394366809996136</v>
      </c>
      <c r="Y208">
        <v>3012.9910660591909</v>
      </c>
      <c r="Z208">
        <v>11.47351756207053</v>
      </c>
      <c r="AA208">
        <v>2812.307581421117</v>
      </c>
      <c r="AB208">
        <v>8.2814810668040995</v>
      </c>
      <c r="AC208">
        <v>2331.2893640411557</v>
      </c>
      <c r="AD208">
        <v>11.444006377113322</v>
      </c>
      <c r="AE208">
        <v>2094.0798286029308</v>
      </c>
      <c r="AF208">
        <v>8.2645923529657637</v>
      </c>
      <c r="AG208">
        <v>2253.5232723266645</v>
      </c>
      <c r="AH208">
        <v>11.427527605017627</v>
      </c>
      <c r="AI208">
        <v>1992.3686980671018</v>
      </c>
      <c r="AJ208">
        <v>8.2551506660518275</v>
      </c>
    </row>
    <row r="209" spans="4:36" x14ac:dyDescent="0.55000000000000004">
      <c r="D209">
        <v>202</v>
      </c>
      <c r="E209">
        <v>12.018134503399327</v>
      </c>
      <c r="F209">
        <v>0.42838260473621037</v>
      </c>
      <c r="G209">
        <v>0.14586940433558859</v>
      </c>
      <c r="H209">
        <v>17.407613487528867</v>
      </c>
      <c r="I209">
        <v>12.221758627976726</v>
      </c>
      <c r="J209">
        <v>0.27296985264683332</v>
      </c>
      <c r="K209">
        <v>9.26515187915216E-2</v>
      </c>
      <c r="L209">
        <v>17.412620000584941</v>
      </c>
      <c r="M209">
        <v>12.133763668937629</v>
      </c>
      <c r="N209">
        <v>0.34015796147700167</v>
      </c>
      <c r="O209">
        <v>0.1156162180504523</v>
      </c>
      <c r="P209">
        <v>17.410462151534919</v>
      </c>
      <c r="Q209">
        <v>12.095095055601281</v>
      </c>
      <c r="R209">
        <v>0.3696700308924975</v>
      </c>
      <c r="S209">
        <v>0.12572373702148978</v>
      </c>
      <c r="T209">
        <v>17.409511176484727</v>
      </c>
      <c r="U209">
        <v>1492.7545555606507</v>
      </c>
      <c r="V209">
        <v>9.430402744975245</v>
      </c>
      <c r="W209">
        <v>1273.7636763062658</v>
      </c>
      <c r="X209">
        <v>7.0651848557349677</v>
      </c>
      <c r="Y209">
        <v>2883.3501785464841</v>
      </c>
      <c r="Z209">
        <v>9.4651212979252151</v>
      </c>
      <c r="AA209">
        <v>2735.9877657238835</v>
      </c>
      <c r="AB209">
        <v>7.0864808883403851</v>
      </c>
      <c r="AC209">
        <v>2196.5809659825786</v>
      </c>
      <c r="AD209">
        <v>9.4501153042624999</v>
      </c>
      <c r="AE209">
        <v>2018.4528463507636</v>
      </c>
      <c r="AF209">
        <v>7.0772861061409555</v>
      </c>
      <c r="AG209">
        <v>2108.9578275843564</v>
      </c>
      <c r="AH209">
        <v>9.4435222875873404</v>
      </c>
      <c r="AI209">
        <v>1912.8171664377601</v>
      </c>
      <c r="AJ209">
        <v>7.0732416204841408</v>
      </c>
    </row>
    <row r="210" spans="4:36" x14ac:dyDescent="0.55000000000000004">
      <c r="D210">
        <v>203</v>
      </c>
      <c r="E210">
        <v>12.535212592604806</v>
      </c>
      <c r="F210">
        <v>0.48240167945928764</v>
      </c>
      <c r="G210">
        <v>0.15421273839786984</v>
      </c>
      <c r="H210">
        <v>16.828172989538032</v>
      </c>
      <c r="I210">
        <v>12.779537589306615</v>
      </c>
      <c r="J210">
        <v>0.29484214239371098</v>
      </c>
      <c r="K210">
        <v>9.3929457479811296E-2</v>
      </c>
      <c r="L210">
        <v>16.831690810819879</v>
      </c>
      <c r="M210">
        <v>12.682109045872114</v>
      </c>
      <c r="N210">
        <v>0.36967156114148864</v>
      </c>
      <c r="O210">
        <v>0.11792971859227402</v>
      </c>
      <c r="P210">
        <v>16.830289674394109</v>
      </c>
      <c r="Q210">
        <v>12.609310521283327</v>
      </c>
      <c r="R210">
        <v>0.42555207138994955</v>
      </c>
      <c r="S210">
        <v>0.1358960878388682</v>
      </c>
      <c r="T210">
        <v>16.82924131948786</v>
      </c>
      <c r="U210">
        <v>1576.8053113127621</v>
      </c>
      <c r="V210">
        <v>9.9026443256328953</v>
      </c>
      <c r="W210">
        <v>1328.8106002997934</v>
      </c>
      <c r="X210">
        <v>7.3553708698026554</v>
      </c>
      <c r="Y210">
        <v>2880.0457080036508</v>
      </c>
      <c r="Z210">
        <v>9.9468051009604075</v>
      </c>
      <c r="AA210">
        <v>2729.3027556778079</v>
      </c>
      <c r="AB210">
        <v>7.3820333639470874</v>
      </c>
      <c r="AC210">
        <v>2223.3658211072079</v>
      </c>
      <c r="AD210">
        <v>9.9291939029165235</v>
      </c>
      <c r="AE210">
        <v>2033.1490367879287</v>
      </c>
      <c r="AF210">
        <v>7.3714131854572305</v>
      </c>
      <c r="AG210">
        <v>2110.6541395395038</v>
      </c>
      <c r="AH210">
        <v>9.9160360182800336</v>
      </c>
      <c r="AI210">
        <v>1906.4016692699395</v>
      </c>
      <c r="AJ210">
        <v>7.3634675102553553</v>
      </c>
    </row>
    <row r="211" spans="4:36" x14ac:dyDescent="0.55000000000000004">
      <c r="D211">
        <v>204</v>
      </c>
      <c r="E211">
        <v>12.876722945270036</v>
      </c>
      <c r="F211">
        <v>0.43726923676450008</v>
      </c>
      <c r="G211">
        <v>0.17456871919876527</v>
      </c>
      <c r="H211">
        <v>16.511439098766711</v>
      </c>
      <c r="I211">
        <v>13.113636380705389</v>
      </c>
      <c r="J211">
        <v>0.27116343896602879</v>
      </c>
      <c r="K211">
        <v>0.10785839435547487</v>
      </c>
      <c r="L211">
        <v>16.507341785973118</v>
      </c>
      <c r="M211">
        <v>12.992765914599817</v>
      </c>
      <c r="N211">
        <v>0.35595193899949928</v>
      </c>
      <c r="O211">
        <v>0.14184847492177829</v>
      </c>
      <c r="P211">
        <v>16.509433671478913</v>
      </c>
      <c r="Q211">
        <v>12.97133763150198</v>
      </c>
      <c r="R211">
        <v>0.37097412783850914</v>
      </c>
      <c r="S211">
        <v>0.14788403357424271</v>
      </c>
      <c r="T211">
        <v>16.509804207085281</v>
      </c>
      <c r="U211">
        <v>1527.6974435498892</v>
      </c>
      <c r="V211">
        <v>10.231589701599761</v>
      </c>
      <c r="W211">
        <v>1291.2546742533434</v>
      </c>
      <c r="X211">
        <v>7.5635005002968745</v>
      </c>
      <c r="Y211">
        <v>2902.8255143109036</v>
      </c>
      <c r="Z211">
        <v>10.279180726313312</v>
      </c>
      <c r="AA211">
        <v>2745.3329772220336</v>
      </c>
      <c r="AB211">
        <v>7.5919721387160051</v>
      </c>
      <c r="AC211">
        <v>2237.7696675592065</v>
      </c>
      <c r="AD211">
        <v>10.254899278758266</v>
      </c>
      <c r="AE211">
        <v>2041.4297160599222</v>
      </c>
      <c r="AF211">
        <v>7.5774588154648264</v>
      </c>
      <c r="AG211">
        <v>2117.5227706290766</v>
      </c>
      <c r="AH211">
        <v>10.250594819514495</v>
      </c>
      <c r="AI211">
        <v>1912.0690140489264</v>
      </c>
      <c r="AJ211">
        <v>7.5748831275106614</v>
      </c>
    </row>
    <row r="212" spans="4:36" x14ac:dyDescent="0.55000000000000004">
      <c r="D212">
        <v>205</v>
      </c>
      <c r="E212">
        <v>11.758774997903444</v>
      </c>
      <c r="F212">
        <v>0.4341118781690364</v>
      </c>
      <c r="G212">
        <v>0.14086029662430849</v>
      </c>
      <c r="H212">
        <v>17.6662528273032</v>
      </c>
      <c r="I212">
        <v>11.946971447383415</v>
      </c>
      <c r="J212">
        <v>0.28393357337634029</v>
      </c>
      <c r="K212">
        <v>9.1878333132785345E-2</v>
      </c>
      <c r="L212">
        <v>17.677216646107453</v>
      </c>
      <c r="M212">
        <v>11.876672858457889</v>
      </c>
      <c r="N212">
        <v>0.34005079430745033</v>
      </c>
      <c r="O212">
        <v>0.11014964829406623</v>
      </c>
      <c r="P212">
        <v>17.6731266989406</v>
      </c>
      <c r="Q212">
        <v>11.828603622308902</v>
      </c>
      <c r="R212">
        <v>0.37840939818947184</v>
      </c>
      <c r="S212">
        <v>0.12266067004513034</v>
      </c>
      <c r="T212">
        <v>17.670326309456474</v>
      </c>
      <c r="U212">
        <v>1454.0594799396272</v>
      </c>
      <c r="V212">
        <v>9.2545168643806583</v>
      </c>
      <c r="W212">
        <v>1248.9920060531515</v>
      </c>
      <c r="X212">
        <v>6.9596431518094617</v>
      </c>
      <c r="Y212">
        <v>2854.0626102171623</v>
      </c>
      <c r="Z212">
        <v>9.2785223075365764</v>
      </c>
      <c r="AA212">
        <v>2716.284018931442</v>
      </c>
      <c r="AB212">
        <v>6.9746893545867454</v>
      </c>
      <c r="AC212">
        <v>2154.4931948504709</v>
      </c>
      <c r="AD212">
        <v>9.2695522238482937</v>
      </c>
      <c r="AE212">
        <v>1990.6205846995642</v>
      </c>
      <c r="AF212">
        <v>6.9690737131630778</v>
      </c>
      <c r="AG212">
        <v>2068.44637499487</v>
      </c>
      <c r="AH212">
        <v>9.2634207438645308</v>
      </c>
      <c r="AI212">
        <v>1885.8798514691002</v>
      </c>
      <c r="AJ212">
        <v>6.9652306030608715</v>
      </c>
    </row>
    <row r="213" spans="4:36" x14ac:dyDescent="0.55000000000000004">
      <c r="D213">
        <v>206</v>
      </c>
      <c r="E213">
        <v>12.836610068730879</v>
      </c>
      <c r="F213">
        <v>0.46196023740055259</v>
      </c>
      <c r="G213">
        <v>0.18041930837996351</v>
      </c>
      <c r="H213">
        <v>16.521010385488609</v>
      </c>
      <c r="I213">
        <v>13.057813324809272</v>
      </c>
      <c r="J213">
        <v>0.30152125236145638</v>
      </c>
      <c r="K213">
        <v>0.11737881861122065</v>
      </c>
      <c r="L213">
        <v>16.52328660421804</v>
      </c>
      <c r="M213">
        <v>12.969059514396994</v>
      </c>
      <c r="N213">
        <v>0.36592866415821046</v>
      </c>
      <c r="O213">
        <v>0.14263634080563786</v>
      </c>
      <c r="P213">
        <v>16.522375480639148</v>
      </c>
      <c r="Q213">
        <v>12.930374487040659</v>
      </c>
      <c r="R213">
        <v>0.39398757189334199</v>
      </c>
      <c r="S213">
        <v>0.15366049649128546</v>
      </c>
      <c r="T213">
        <v>16.52197744457472</v>
      </c>
      <c r="U213">
        <v>1575.6276687338241</v>
      </c>
      <c r="V213">
        <v>10.220058088158261</v>
      </c>
      <c r="W213">
        <v>1324.8177128915881</v>
      </c>
      <c r="X213">
        <v>7.5563355866939066</v>
      </c>
      <c r="Y213">
        <v>2917.3280319607607</v>
      </c>
      <c r="Z213">
        <v>10.260065460643519</v>
      </c>
      <c r="AA213">
        <v>2753.5298018407443</v>
      </c>
      <c r="AB213">
        <v>7.5803543926463739</v>
      </c>
      <c r="AC213">
        <v>2268.8299740757961</v>
      </c>
      <c r="AD213">
        <v>10.244012151198374</v>
      </c>
      <c r="AE213">
        <v>2063.6073768104279</v>
      </c>
      <c r="AF213">
        <v>7.570726710335701</v>
      </c>
      <c r="AG213">
        <v>2136.1612364106941</v>
      </c>
      <c r="AH213">
        <v>10.237015461132517</v>
      </c>
      <c r="AI213">
        <v>1923.9517405996003</v>
      </c>
      <c r="AJ213">
        <v>7.5665263652019163</v>
      </c>
    </row>
    <row r="214" spans="4:36" x14ac:dyDescent="0.55000000000000004">
      <c r="D214">
        <v>207</v>
      </c>
      <c r="E214">
        <v>12.05499208201986</v>
      </c>
      <c r="F214">
        <v>0.43894100655456947</v>
      </c>
      <c r="G214">
        <v>0.16092795293963927</v>
      </c>
      <c r="H214">
        <v>17.34513895848594</v>
      </c>
      <c r="I214">
        <v>12.257370975096443</v>
      </c>
      <c r="J214">
        <v>0.28834276136139769</v>
      </c>
      <c r="K214">
        <v>0.10540664774359787</v>
      </c>
      <c r="L214">
        <v>17.348879615798566</v>
      </c>
      <c r="M214">
        <v>12.169906158163544</v>
      </c>
      <c r="N214">
        <v>0.3534575891555653</v>
      </c>
      <c r="O214">
        <v>0.1293723580042245</v>
      </c>
      <c r="P214">
        <v>17.347263894676651</v>
      </c>
      <c r="Q214">
        <v>12.141061770603548</v>
      </c>
      <c r="R214">
        <v>0.37492176944055439</v>
      </c>
      <c r="S214">
        <v>0.13728571199099757</v>
      </c>
      <c r="T214">
        <v>17.346730747964898</v>
      </c>
      <c r="U214">
        <v>1495.0317623122901</v>
      </c>
      <c r="V214">
        <v>9.5007467216993273</v>
      </c>
      <c r="W214">
        <v>1274.8422261651642</v>
      </c>
      <c r="X214">
        <v>7.1122719331057462</v>
      </c>
      <c r="Y214">
        <v>2876.6889159930911</v>
      </c>
      <c r="Z214">
        <v>9.5363946417412286</v>
      </c>
      <c r="AA214">
        <v>2729.8222013265045</v>
      </c>
      <c r="AB214">
        <v>7.1339076972274205</v>
      </c>
      <c r="AC214">
        <v>2188.1894228763049</v>
      </c>
      <c r="AD214">
        <v>9.5209878673857116</v>
      </c>
      <c r="AE214">
        <v>2011.2019337904139</v>
      </c>
      <c r="AF214">
        <v>7.1245660603977816</v>
      </c>
      <c r="AG214">
        <v>2100.3464668967467</v>
      </c>
      <c r="AH214">
        <v>9.5159070897382314</v>
      </c>
      <c r="AI214">
        <v>1906.0499820105981</v>
      </c>
      <c r="AJ214">
        <v>7.1214823639384219</v>
      </c>
    </row>
    <row r="215" spans="4:36" x14ac:dyDescent="0.55000000000000004">
      <c r="D215">
        <v>208</v>
      </c>
      <c r="E215">
        <v>12.162307416470901</v>
      </c>
      <c r="F215">
        <v>0.46242315493686464</v>
      </c>
      <c r="G215">
        <v>0.15601564715265762</v>
      </c>
      <c r="H215">
        <v>17.219253781439555</v>
      </c>
      <c r="I215">
        <v>12.390193847272261</v>
      </c>
      <c r="J215">
        <v>0.29145283530745925</v>
      </c>
      <c r="K215">
        <v>9.8027735578686409E-2</v>
      </c>
      <c r="L215">
        <v>17.220325581841578</v>
      </c>
      <c r="M215">
        <v>12.317737202021128</v>
      </c>
      <c r="N215">
        <v>0.34584438478129459</v>
      </c>
      <c r="O215">
        <v>0.11643614716166227</v>
      </c>
      <c r="P215">
        <v>17.21998226603591</v>
      </c>
      <c r="Q215">
        <v>12.282349951261782</v>
      </c>
      <c r="R215">
        <v>0.37239818594852603</v>
      </c>
      <c r="S215">
        <v>0.12543641603541864</v>
      </c>
      <c r="T215">
        <v>17.219815446754282</v>
      </c>
      <c r="U215">
        <v>1500.3279666090007</v>
      </c>
      <c r="V215">
        <v>9.5825497088872797</v>
      </c>
      <c r="W215">
        <v>1275.8680229465283</v>
      </c>
      <c r="X215">
        <v>7.1599411889815325</v>
      </c>
      <c r="Y215">
        <v>2892.4795200032968</v>
      </c>
      <c r="Z215">
        <v>9.6231778612720653</v>
      </c>
      <c r="AA215">
        <v>2740.6845401805795</v>
      </c>
      <c r="AB215">
        <v>7.1843481015533346</v>
      </c>
      <c r="AC215">
        <v>2192.7312385114997</v>
      </c>
      <c r="AD215">
        <v>9.6102615804083324</v>
      </c>
      <c r="AE215">
        <v>2014.3285976243114</v>
      </c>
      <c r="AF215">
        <v>7.1765984737150808</v>
      </c>
      <c r="AG215">
        <v>2102.2125136052778</v>
      </c>
      <c r="AH215">
        <v>9.6039528773837901</v>
      </c>
      <c r="AI215">
        <v>1906.6596148031424</v>
      </c>
      <c r="AJ215">
        <v>7.1728100572303086</v>
      </c>
    </row>
    <row r="216" spans="4:36" x14ac:dyDescent="0.55000000000000004">
      <c r="D216">
        <v>209</v>
      </c>
      <c r="E216">
        <v>12.909477142762873</v>
      </c>
      <c r="F216">
        <v>0.49593633310412394</v>
      </c>
      <c r="G216">
        <v>0.16890311356763843</v>
      </c>
      <c r="H216">
        <v>16.425683410565359</v>
      </c>
      <c r="I216">
        <v>13.155250907118118</v>
      </c>
      <c r="J216">
        <v>0.31286411473502429</v>
      </c>
      <c r="K216">
        <v>0.10618863180416437</v>
      </c>
      <c r="L216">
        <v>16.425696346342693</v>
      </c>
      <c r="M216">
        <v>13.067119494636783</v>
      </c>
      <c r="N216">
        <v>0.37854953862264706</v>
      </c>
      <c r="O216">
        <v>0.12864010920127153</v>
      </c>
      <c r="P216">
        <v>16.425690857539305</v>
      </c>
      <c r="Q216">
        <v>13.004773436382047</v>
      </c>
      <c r="R216">
        <v>0.42499124522446735</v>
      </c>
      <c r="S216">
        <v>0.14454777249539877</v>
      </c>
      <c r="T216">
        <v>16.425687545898079</v>
      </c>
      <c r="U216">
        <v>1620.2423393199963</v>
      </c>
      <c r="V216">
        <v>10.155887232297234</v>
      </c>
      <c r="W216">
        <v>1353.4215864765229</v>
      </c>
      <c r="X216">
        <v>7.5001494524674746</v>
      </c>
      <c r="Y216">
        <v>2915.6546982709929</v>
      </c>
      <c r="Z216">
        <v>10.203400029913004</v>
      </c>
      <c r="AA216">
        <v>2750.2045303859895</v>
      </c>
      <c r="AB216">
        <v>7.5284902145434147</v>
      </c>
      <c r="AC216">
        <v>2267.6147312732332</v>
      </c>
      <c r="AD216">
        <v>10.186362755764549</v>
      </c>
      <c r="AE216">
        <v>2060.2346375917923</v>
      </c>
      <c r="AF216">
        <v>7.5183398236339034</v>
      </c>
      <c r="AG216">
        <v>2184.7398007291731</v>
      </c>
      <c r="AH216">
        <v>10.174310071309719</v>
      </c>
      <c r="AI216">
        <v>1955.9594178017171</v>
      </c>
      <c r="AJ216">
        <v>7.5111509801662724</v>
      </c>
    </row>
    <row r="217" spans="4:36" x14ac:dyDescent="0.55000000000000004">
      <c r="D217">
        <v>210</v>
      </c>
      <c r="E217">
        <v>12.770697675855175</v>
      </c>
      <c r="F217">
        <v>0.4756795872800233</v>
      </c>
      <c r="G217">
        <v>0.13623144929882594</v>
      </c>
      <c r="H217">
        <v>16.617391287565987</v>
      </c>
      <c r="I217">
        <v>12.975288033194404</v>
      </c>
      <c r="J217">
        <v>0.31740545791389485</v>
      </c>
      <c r="K217">
        <v>9.0660896054537157E-2</v>
      </c>
      <c r="L217">
        <v>16.616645612837178</v>
      </c>
      <c r="M217">
        <v>12.891892667047731</v>
      </c>
      <c r="N217">
        <v>0.38194667857506626</v>
      </c>
      <c r="O217">
        <v>0.10921398754743765</v>
      </c>
      <c r="P217">
        <v>16.616946666829758</v>
      </c>
      <c r="Q217">
        <v>12.854167591975932</v>
      </c>
      <c r="R217">
        <v>0.41113139701936391</v>
      </c>
      <c r="S217">
        <v>0.11761685307722419</v>
      </c>
      <c r="T217">
        <v>16.617084157927469</v>
      </c>
      <c r="U217">
        <v>1540.4506221008637</v>
      </c>
      <c r="V217">
        <v>10.034898202880942</v>
      </c>
      <c r="W217">
        <v>1304.6997312284843</v>
      </c>
      <c r="X217">
        <v>7.4303025338669562</v>
      </c>
      <c r="Y217">
        <v>2891.8260191509589</v>
      </c>
      <c r="Z217">
        <v>10.073745668496478</v>
      </c>
      <c r="AA217">
        <v>2738.0638271023599</v>
      </c>
      <c r="AB217">
        <v>7.4533696901898185</v>
      </c>
      <c r="AC217">
        <v>2213.3942666451103</v>
      </c>
      <c r="AD217">
        <v>10.057912293220037</v>
      </c>
      <c r="AE217">
        <v>2026.848652283807</v>
      </c>
      <c r="AF217">
        <v>7.4439764536077355</v>
      </c>
      <c r="AG217">
        <v>2109.700236092081</v>
      </c>
      <c r="AH217">
        <v>10.050749087499305</v>
      </c>
      <c r="AI217">
        <v>1909.0743757789874</v>
      </c>
      <c r="AJ217">
        <v>7.4397230454809966</v>
      </c>
    </row>
    <row r="218" spans="4:36" x14ac:dyDescent="0.55000000000000004">
      <c r="D218">
        <v>211</v>
      </c>
      <c r="E218">
        <v>13.024562500970445</v>
      </c>
      <c r="F218">
        <v>0.4452094058549067</v>
      </c>
      <c r="G218">
        <v>0.18066561236961357</v>
      </c>
      <c r="H218">
        <v>16.349562480805048</v>
      </c>
      <c r="I218">
        <v>13.231567644677087</v>
      </c>
      <c r="J218">
        <v>0.29943652663644693</v>
      </c>
      <c r="K218">
        <v>0.12114379436080214</v>
      </c>
      <c r="L218">
        <v>16.347852034325658</v>
      </c>
      <c r="M218">
        <v>13.156991801272419</v>
      </c>
      <c r="N218">
        <v>0.35198281814190152</v>
      </c>
      <c r="O218">
        <v>0.14255731374200445</v>
      </c>
      <c r="P218">
        <v>16.348468066843665</v>
      </c>
      <c r="Q218">
        <v>13.110217010835918</v>
      </c>
      <c r="R218">
        <v>0.38492322111043403</v>
      </c>
      <c r="S218">
        <v>0.15600521839112763</v>
      </c>
      <c r="T218">
        <v>16.348854549662537</v>
      </c>
      <c r="U218">
        <v>1562.0729534934494</v>
      </c>
      <c r="V218">
        <v>10.257556328427317</v>
      </c>
      <c r="W218">
        <v>1315.8990464460835</v>
      </c>
      <c r="X218">
        <v>7.5651923843887756</v>
      </c>
      <c r="Y218">
        <v>2926.7956618749181</v>
      </c>
      <c r="Z218">
        <v>10.297351972587638</v>
      </c>
      <c r="AA218">
        <v>2760.6010515513412</v>
      </c>
      <c r="AB218">
        <v>7.5888855896705154</v>
      </c>
      <c r="AC218">
        <v>2230.0444882328243</v>
      </c>
      <c r="AD218">
        <v>10.283015230012802</v>
      </c>
      <c r="AE218">
        <v>2035.7805732887982</v>
      </c>
      <c r="AF218">
        <v>7.5803583938529204</v>
      </c>
      <c r="AG218">
        <v>2121.8554234287103</v>
      </c>
      <c r="AH218">
        <v>10.274023027339799</v>
      </c>
      <c r="AI218">
        <v>1913.9353871096841</v>
      </c>
      <c r="AJ218">
        <v>7.5750051545323762</v>
      </c>
    </row>
    <row r="219" spans="4:36" x14ac:dyDescent="0.55000000000000004">
      <c r="D219">
        <v>212</v>
      </c>
      <c r="E219">
        <v>12.31264736128916</v>
      </c>
      <c r="F219">
        <v>0.45109978583794186</v>
      </c>
      <c r="G219">
        <v>0.15871308702633144</v>
      </c>
      <c r="H219">
        <v>17.077539765846566</v>
      </c>
      <c r="I219">
        <v>12.522718737121922</v>
      </c>
      <c r="J219">
        <v>0.2959326861357206</v>
      </c>
      <c r="K219">
        <v>0.10378347952814168</v>
      </c>
      <c r="L219">
        <v>17.077565097214233</v>
      </c>
      <c r="M219">
        <v>12.428020810700838</v>
      </c>
      <c r="N219">
        <v>0.36591174043226909</v>
      </c>
      <c r="O219">
        <v>0.12851164151469763</v>
      </c>
      <c r="P219">
        <v>17.077555807352205</v>
      </c>
      <c r="Q219">
        <v>12.383695876330473</v>
      </c>
      <c r="R219">
        <v>0.39864894007512486</v>
      </c>
      <c r="S219">
        <v>0.14010492077046038</v>
      </c>
      <c r="T219">
        <v>17.077550262823937</v>
      </c>
      <c r="U219">
        <v>1508.4893845648096</v>
      </c>
      <c r="V219">
        <v>9.7657076208662623</v>
      </c>
      <c r="W219">
        <v>1279.1815654136753</v>
      </c>
      <c r="X219">
        <v>7.2800543403518079</v>
      </c>
      <c r="Y219">
        <v>2895.5147359978378</v>
      </c>
      <c r="Z219">
        <v>9.8034022913284939</v>
      </c>
      <c r="AA219">
        <v>2740.160502517399</v>
      </c>
      <c r="AB219">
        <v>7.3027499347509748</v>
      </c>
      <c r="AC219">
        <v>2221.68646597102</v>
      </c>
      <c r="AD219">
        <v>9.7864098091630112</v>
      </c>
      <c r="AE219">
        <v>2031.4650742097224</v>
      </c>
      <c r="AF219">
        <v>7.2925286880070628</v>
      </c>
      <c r="AG219">
        <v>2159.1469449709271</v>
      </c>
      <c r="AH219">
        <v>9.7784562675637829</v>
      </c>
      <c r="AI219">
        <v>1944.0410621216652</v>
      </c>
      <c r="AJ219">
        <v>7.287739020239095</v>
      </c>
    </row>
    <row r="220" spans="4:36" x14ac:dyDescent="0.55000000000000004">
      <c r="D220">
        <v>213</v>
      </c>
      <c r="E220">
        <v>11.592272484206093</v>
      </c>
      <c r="F220">
        <v>0.47157941173084783</v>
      </c>
      <c r="G220">
        <v>0.1642816217549653</v>
      </c>
      <c r="H220">
        <v>17.771866482308102</v>
      </c>
      <c r="I220">
        <v>11.79616875974556</v>
      </c>
      <c r="J220">
        <v>0.30207331700550644</v>
      </c>
      <c r="K220">
        <v>0.10491363640046021</v>
      </c>
      <c r="L220">
        <v>17.796844286848479</v>
      </c>
      <c r="M220">
        <v>11.720353751987377</v>
      </c>
      <c r="N220">
        <v>0.36512111494800309</v>
      </c>
      <c r="O220">
        <v>0.12695306413218996</v>
      </c>
      <c r="P220">
        <v>17.78757206893243</v>
      </c>
      <c r="Q220">
        <v>11.697876653704414</v>
      </c>
      <c r="R220">
        <v>0.3838085188759609</v>
      </c>
      <c r="S220">
        <v>0.13349518900926449</v>
      </c>
      <c r="T220">
        <v>17.784819638410362</v>
      </c>
      <c r="U220">
        <v>1511.0457616502038</v>
      </c>
      <c r="V220">
        <v>9.1896815746783158</v>
      </c>
      <c r="W220">
        <v>1286.1162914231704</v>
      </c>
      <c r="X220">
        <v>6.9247426034538337</v>
      </c>
      <c r="Y220">
        <v>2873.4414852325117</v>
      </c>
      <c r="Z220">
        <v>9.2140168610608288</v>
      </c>
      <c r="AA220">
        <v>2727.4901518007186</v>
      </c>
      <c r="AB220">
        <v>6.9407270577823814</v>
      </c>
      <c r="AC220">
        <v>2187.0881882880349</v>
      </c>
      <c r="AD220">
        <v>9.2049592435389123</v>
      </c>
      <c r="AE220">
        <v>2010.8836583431589</v>
      </c>
      <c r="AF220">
        <v>6.9347871055265591</v>
      </c>
      <c r="AG220">
        <v>2073.0648364827325</v>
      </c>
      <c r="AH220">
        <v>9.2022759435532731</v>
      </c>
      <c r="AI220">
        <v>1886.3405611758856</v>
      </c>
      <c r="AJ220">
        <v>6.9330252636678997</v>
      </c>
    </row>
    <row r="221" spans="4:36" x14ac:dyDescent="0.55000000000000004">
      <c r="D221">
        <v>214</v>
      </c>
      <c r="E221">
        <v>11.636137169387789</v>
      </c>
      <c r="F221">
        <v>0.44496302471184507</v>
      </c>
      <c r="G221">
        <v>0.17208822093258513</v>
      </c>
      <c r="H221">
        <v>17.746811584967777</v>
      </c>
      <c r="I221">
        <v>11.796580421669855</v>
      </c>
      <c r="J221">
        <v>0.30979003535774852</v>
      </c>
      <c r="K221">
        <v>0.11952249109874762</v>
      </c>
      <c r="L221">
        <v>17.774107051873646</v>
      </c>
      <c r="M221">
        <v>11.724190713282416</v>
      </c>
      <c r="N221">
        <v>0.37079059560206579</v>
      </c>
      <c r="O221">
        <v>0.14321251819905331</v>
      </c>
      <c r="P221">
        <v>17.761806172916451</v>
      </c>
      <c r="Q221">
        <v>11.691024819394013</v>
      </c>
      <c r="R221">
        <v>0.3987316503266774</v>
      </c>
      <c r="S221">
        <v>0.15408101519434314</v>
      </c>
      <c r="T221">
        <v>17.756162515084977</v>
      </c>
      <c r="U221">
        <v>1526.5094029485156</v>
      </c>
      <c r="V221">
        <v>9.2028090962611362</v>
      </c>
      <c r="W221">
        <v>1295.819392525254</v>
      </c>
      <c r="X221">
        <v>6.9306028778681377</v>
      </c>
      <c r="Y221">
        <v>2892.6447016493689</v>
      </c>
      <c r="Z221">
        <v>9.2180075486468489</v>
      </c>
      <c r="AA221">
        <v>2738.4428170985584</v>
      </c>
      <c r="AB221">
        <v>6.9411273222706331</v>
      </c>
      <c r="AC221">
        <v>2222.657129296445</v>
      </c>
      <c r="AD221">
        <v>9.2111418624918375</v>
      </c>
      <c r="AE221">
        <v>2033.847394906197</v>
      </c>
      <c r="AF221">
        <v>6.936379549724319</v>
      </c>
      <c r="AG221">
        <v>2113.6470022944964</v>
      </c>
      <c r="AH221">
        <v>9.2080008782463167</v>
      </c>
      <c r="AI221">
        <v>1912.0661801039464</v>
      </c>
      <c r="AJ221">
        <v>6.9342039352782061</v>
      </c>
    </row>
    <row r="222" spans="4:36" x14ac:dyDescent="0.55000000000000004">
      <c r="D222">
        <v>215</v>
      </c>
      <c r="E222">
        <v>13.694919102885471</v>
      </c>
      <c r="F222">
        <v>0.50800872358871396</v>
      </c>
      <c r="G222">
        <v>0.1737395669140322</v>
      </c>
      <c r="H222">
        <v>15.623332606611779</v>
      </c>
      <c r="I222">
        <v>13.968276647899334</v>
      </c>
      <c r="J222">
        <v>0.31436471332622479</v>
      </c>
      <c r="K222">
        <v>0.10712083486065987</v>
      </c>
      <c r="L222">
        <v>15.610237803913765</v>
      </c>
      <c r="M222">
        <v>13.841902970813736</v>
      </c>
      <c r="N222">
        <v>0.40394078631918479</v>
      </c>
      <c r="O222">
        <v>0.13787591421265652</v>
      </c>
      <c r="P222">
        <v>15.616280328654407</v>
      </c>
      <c r="Q222">
        <v>13.781885255541622</v>
      </c>
      <c r="R222">
        <v>0.44645000026863996</v>
      </c>
      <c r="S222">
        <v>0.15250794515864227</v>
      </c>
      <c r="T222">
        <v>15.619156799031115</v>
      </c>
      <c r="U222">
        <v>1601.5162787103195</v>
      </c>
      <c r="V222">
        <v>10.877003680784606</v>
      </c>
      <c r="W222">
        <v>1334.2581756083523</v>
      </c>
      <c r="X222">
        <v>7.9437119023556537</v>
      </c>
      <c r="Y222">
        <v>2911.6380786629506</v>
      </c>
      <c r="Z222">
        <v>10.938844445100331</v>
      </c>
      <c r="AA222">
        <v>2744.4679042763137</v>
      </c>
      <c r="AB222">
        <v>7.9796334635663424</v>
      </c>
      <c r="AC222">
        <v>2270.4665874111779</v>
      </c>
      <c r="AD222">
        <v>10.91026156016283</v>
      </c>
      <c r="AE222">
        <v>2056.8577055082042</v>
      </c>
      <c r="AF222">
        <v>7.9630460628390223</v>
      </c>
      <c r="AG222">
        <v>2210.5421903017127</v>
      </c>
      <c r="AH222">
        <v>10.896683174355642</v>
      </c>
      <c r="AI222">
        <v>1969.4471126292958</v>
      </c>
      <c r="AJ222">
        <v>7.9551568105310437</v>
      </c>
    </row>
    <row r="223" spans="4:36" x14ac:dyDescent="0.55000000000000004">
      <c r="D223">
        <v>216</v>
      </c>
      <c r="E223">
        <v>11.499521053631652</v>
      </c>
      <c r="F223">
        <v>0.42523542750043514</v>
      </c>
      <c r="G223">
        <v>0.12464307437715129</v>
      </c>
      <c r="H223">
        <v>17.950600444490764</v>
      </c>
      <c r="I223">
        <v>11.700264631722884</v>
      </c>
      <c r="J223">
        <v>0.2675835242105728</v>
      </c>
      <c r="K223">
        <v>7.8192512579530776E-2</v>
      </c>
      <c r="L223">
        <v>17.953959331487027</v>
      </c>
      <c r="M223">
        <v>11.615218437046645</v>
      </c>
      <c r="N223">
        <v>0.33439878349401991</v>
      </c>
      <c r="O223">
        <v>9.7843718330789323E-2</v>
      </c>
      <c r="P223">
        <v>17.952539061128554</v>
      </c>
      <c r="Q223">
        <v>11.583817233372997</v>
      </c>
      <c r="R223">
        <v>0.35905936573276043</v>
      </c>
      <c r="S223">
        <v>0.10510975460258347</v>
      </c>
      <c r="T223">
        <v>17.95201364629165</v>
      </c>
      <c r="U223">
        <v>1440.547778863451</v>
      </c>
      <c r="V223">
        <v>9.0802409543334051</v>
      </c>
      <c r="W223">
        <v>1242.3691561762132</v>
      </c>
      <c r="X223">
        <v>6.8624537236725542</v>
      </c>
      <c r="Y223">
        <v>2832.7340037149997</v>
      </c>
      <c r="Z223">
        <v>9.1164382491385592</v>
      </c>
      <c r="AA223">
        <v>2703.2931229757914</v>
      </c>
      <c r="AB223">
        <v>6.8847601136075376</v>
      </c>
      <c r="AC223">
        <v>2155.9856477631311</v>
      </c>
      <c r="AD223">
        <v>9.1011014771176981</v>
      </c>
      <c r="AE223">
        <v>1994.5379182567738</v>
      </c>
      <c r="AF223">
        <v>6.8753192994039605</v>
      </c>
      <c r="AG223">
        <v>2038.9700338352275</v>
      </c>
      <c r="AH223">
        <v>9.0954393368112196</v>
      </c>
      <c r="AI223">
        <v>1867.5465456882534</v>
      </c>
      <c r="AJ223">
        <v>6.8718300271254655</v>
      </c>
    </row>
    <row r="224" spans="4:36" x14ac:dyDescent="0.55000000000000004">
      <c r="D224">
        <v>217</v>
      </c>
      <c r="E224">
        <v>12.32962730873904</v>
      </c>
      <c r="F224">
        <v>0.41322204588035499</v>
      </c>
      <c r="G224">
        <v>0.16437818321260186</v>
      </c>
      <c r="H224">
        <v>17.092772462167996</v>
      </c>
      <c r="I224">
        <v>12.566710081213479</v>
      </c>
      <c r="J224">
        <v>0.25014710684251085</v>
      </c>
      <c r="K224">
        <v>9.9159461000792135E-2</v>
      </c>
      <c r="L224">
        <v>17.08398335094321</v>
      </c>
      <c r="M224">
        <v>12.426084368330491</v>
      </c>
      <c r="N224">
        <v>0.34691933385832846</v>
      </c>
      <c r="O224">
        <v>0.13780567708485875</v>
      </c>
      <c r="P224">
        <v>17.089190620726328</v>
      </c>
      <c r="Q224">
        <v>12.413640127680043</v>
      </c>
      <c r="R224">
        <v>0.35547669524786835</v>
      </c>
      <c r="S224">
        <v>0.14123091594779569</v>
      </c>
      <c r="T224">
        <v>17.089652261124282</v>
      </c>
      <c r="U224">
        <v>1514.3362543275362</v>
      </c>
      <c r="V224">
        <v>9.7339281220099974</v>
      </c>
      <c r="W224">
        <v>1288.3343328588592</v>
      </c>
      <c r="X224">
        <v>7.2591741549363071</v>
      </c>
      <c r="Y224">
        <v>2871.9973045743536</v>
      </c>
      <c r="Z224">
        <v>9.7848344431959688</v>
      </c>
      <c r="AA224">
        <v>2727.3867478324005</v>
      </c>
      <c r="AB224">
        <v>7.2895095514338895</v>
      </c>
      <c r="AC224">
        <v>2215.420214489729</v>
      </c>
      <c r="AD224">
        <v>9.7546424007317967</v>
      </c>
      <c r="AE224">
        <v>2029.6742410449697</v>
      </c>
      <c r="AF224">
        <v>7.2715314533277553</v>
      </c>
      <c r="AG224">
        <v>2113.7300572208801</v>
      </c>
      <c r="AH224">
        <v>9.7519702208417254</v>
      </c>
      <c r="AI224">
        <v>1914.9527763258948</v>
      </c>
      <c r="AJ224">
        <v>7.2699383895523679</v>
      </c>
    </row>
    <row r="225" spans="4:36" x14ac:dyDescent="0.55000000000000004">
      <c r="D225">
        <v>218</v>
      </c>
      <c r="E225">
        <v>12.551166531424805</v>
      </c>
      <c r="F225">
        <v>0.44724805233395087</v>
      </c>
      <c r="G225">
        <v>0.18098305524454747</v>
      </c>
      <c r="H225">
        <v>16.820602360996713</v>
      </c>
      <c r="I225">
        <v>12.762643364800663</v>
      </c>
      <c r="J225">
        <v>0.29211409080049333</v>
      </c>
      <c r="K225">
        <v>0.11783540082093356</v>
      </c>
      <c r="L225">
        <v>16.827407143577908</v>
      </c>
      <c r="M225">
        <v>12.692948273541068</v>
      </c>
      <c r="N225">
        <v>0.34326905182407408</v>
      </c>
      <c r="O225">
        <v>0.1386136734004727</v>
      </c>
      <c r="P225">
        <v>16.825169001234372</v>
      </c>
      <c r="Q225">
        <v>12.630770891581147</v>
      </c>
      <c r="R225">
        <v>0.38888261985867395</v>
      </c>
      <c r="S225">
        <v>0.15717790573904253</v>
      </c>
      <c r="T225">
        <v>16.82316858282114</v>
      </c>
      <c r="U225">
        <v>1555.5237277342742</v>
      </c>
      <c r="V225">
        <v>9.9528067823967579</v>
      </c>
      <c r="W225">
        <v>1314.2437374949141</v>
      </c>
      <c r="X225">
        <v>7.3907054018900267</v>
      </c>
      <c r="Y225">
        <v>2888.8392246400849</v>
      </c>
      <c r="Z225">
        <v>9.9875127171921108</v>
      </c>
      <c r="AA225">
        <v>2735.1747059080481</v>
      </c>
      <c r="AB225">
        <v>7.4117632690975803</v>
      </c>
      <c r="AC225">
        <v>2229.5966210095507</v>
      </c>
      <c r="AD225">
        <v>9.9760730804821698</v>
      </c>
      <c r="AE225">
        <v>2038.8168683437466</v>
      </c>
      <c r="AF225">
        <v>7.4048305361847957</v>
      </c>
      <c r="AG225">
        <v>2131.8427513172132</v>
      </c>
      <c r="AH225">
        <v>9.9658688931574098</v>
      </c>
      <c r="AI225">
        <v>1923.9080239081454</v>
      </c>
      <c r="AJ225">
        <v>7.3986396750074421</v>
      </c>
    </row>
    <row r="226" spans="4:36" x14ac:dyDescent="0.55000000000000004">
      <c r="D226">
        <v>219</v>
      </c>
      <c r="E226">
        <v>13.153783101965118</v>
      </c>
      <c r="F226">
        <v>0.46802197006397739</v>
      </c>
      <c r="G226">
        <v>0.17653964279637782</v>
      </c>
      <c r="H226">
        <v>16.201655285174525</v>
      </c>
      <c r="I226">
        <v>13.376305280407488</v>
      </c>
      <c r="J226">
        <v>0.3113287949675469</v>
      </c>
      <c r="K226">
        <v>0.11708034442083466</v>
      </c>
      <c r="L226">
        <v>16.195285580204132</v>
      </c>
      <c r="M226">
        <v>13.316973213974514</v>
      </c>
      <c r="N226">
        <v>0.35313783725091674</v>
      </c>
      <c r="O226">
        <v>0.1329097385608487</v>
      </c>
      <c r="P226">
        <v>16.196979210213726</v>
      </c>
      <c r="Q226">
        <v>13.242917759460449</v>
      </c>
      <c r="R226">
        <v>0.40529213853251977</v>
      </c>
      <c r="S226">
        <v>0.15269215299002575</v>
      </c>
      <c r="T226">
        <v>16.199097949017002</v>
      </c>
      <c r="U226">
        <v>1575.012465425443</v>
      </c>
      <c r="V226">
        <v>10.36207445963638</v>
      </c>
      <c r="W226">
        <v>1324.7065920498037</v>
      </c>
      <c r="X226">
        <v>7.6270694890432216</v>
      </c>
      <c r="Y226">
        <v>2922.0703383963091</v>
      </c>
      <c r="Z226">
        <v>10.406763779058091</v>
      </c>
      <c r="AA226">
        <v>2756.79945454986</v>
      </c>
      <c r="AB226">
        <v>7.6533017753101751</v>
      </c>
      <c r="AC226">
        <v>2223.4544147974202</v>
      </c>
      <c r="AD226">
        <v>10.394850667518286</v>
      </c>
      <c r="AE226">
        <v>2031.5055425909975</v>
      </c>
      <c r="AF226">
        <v>7.6463167190321846</v>
      </c>
      <c r="AG226">
        <v>2134.0453721370141</v>
      </c>
      <c r="AH226">
        <v>10.379978649306899</v>
      </c>
      <c r="AI226">
        <v>1922.2422861420082</v>
      </c>
      <c r="AJ226">
        <v>7.6375887801701063</v>
      </c>
    </row>
    <row r="227" spans="4:36" x14ac:dyDescent="0.55000000000000004">
      <c r="D227">
        <v>220</v>
      </c>
      <c r="E227">
        <v>13.541519461390234</v>
      </c>
      <c r="F227">
        <v>0.47451232178308073</v>
      </c>
      <c r="G227">
        <v>0.16162644862807929</v>
      </c>
      <c r="H227">
        <v>15.822341768198603</v>
      </c>
      <c r="I227">
        <v>13.763733511404959</v>
      </c>
      <c r="J227">
        <v>0.31801299385045018</v>
      </c>
      <c r="K227">
        <v>0.10798961872211776</v>
      </c>
      <c r="L227">
        <v>15.81026387602247</v>
      </c>
      <c r="M227">
        <v>13.649826709985092</v>
      </c>
      <c r="N227">
        <v>0.39827109074971334</v>
      </c>
      <c r="O227">
        <v>0.13545475456433234</v>
      </c>
      <c r="P227">
        <v>15.816447444700877</v>
      </c>
      <c r="Q227">
        <v>13.635948198095692</v>
      </c>
      <c r="R227">
        <v>0.40804456475132761</v>
      </c>
      <c r="S227">
        <v>0.13880529865266694</v>
      </c>
      <c r="T227">
        <v>15.8172019385003</v>
      </c>
      <c r="U227">
        <v>1604.5092238373873</v>
      </c>
      <c r="V227">
        <v>10.645836301270755</v>
      </c>
      <c r="W227">
        <v>1340.5731307149897</v>
      </c>
      <c r="X227">
        <v>7.7938524376765868</v>
      </c>
      <c r="Y227">
        <v>2939.1751394252383</v>
      </c>
      <c r="Z227">
        <v>10.693459619274625</v>
      </c>
      <c r="AA227">
        <v>2765.3515725376683</v>
      </c>
      <c r="AB227">
        <v>7.8215547803389409</v>
      </c>
      <c r="AC227">
        <v>2283.9365732459883</v>
      </c>
      <c r="AD227">
        <v>10.669052046215679</v>
      </c>
      <c r="AE227">
        <v>2068.4327197631037</v>
      </c>
      <c r="AF227">
        <v>7.8073669860674793</v>
      </c>
      <c r="AG227">
        <v>2156.9448533143986</v>
      </c>
      <c r="AH227">
        <v>10.66607761517534</v>
      </c>
      <c r="AI227">
        <v>1934.3450791729749</v>
      </c>
      <c r="AJ227">
        <v>7.8056365548823434</v>
      </c>
    </row>
    <row r="228" spans="4:36" x14ac:dyDescent="0.55000000000000004">
      <c r="D228">
        <v>221</v>
      </c>
      <c r="E228">
        <v>12.919351161491313</v>
      </c>
      <c r="F228">
        <v>0.41172430232526125</v>
      </c>
      <c r="G228">
        <v>0.17266868669411065</v>
      </c>
      <c r="H228">
        <v>16.496255849489312</v>
      </c>
      <c r="I228">
        <v>13.119912627663366</v>
      </c>
      <c r="J228">
        <v>0.27891746809842904</v>
      </c>
      <c r="K228">
        <v>0.11662130971100909</v>
      </c>
      <c r="L228">
        <v>16.484548594527194</v>
      </c>
      <c r="M228">
        <v>13.031195380692747</v>
      </c>
      <c r="N228">
        <v>0.33769707470031834</v>
      </c>
      <c r="O228">
        <v>0.14138541883019845</v>
      </c>
      <c r="P228">
        <v>16.489722125776741</v>
      </c>
      <c r="Q228">
        <v>12.996758573566721</v>
      </c>
      <c r="R228">
        <v>0.36049900854263356</v>
      </c>
      <c r="S228">
        <v>0.15100993790826236</v>
      </c>
      <c r="T228">
        <v>16.491732479982392</v>
      </c>
      <c r="U228">
        <v>1517.6720719851112</v>
      </c>
      <c r="V228">
        <v>10.143306340763468</v>
      </c>
      <c r="W228">
        <v>1288.6740456766538</v>
      </c>
      <c r="X228">
        <v>7.4960961943925426</v>
      </c>
      <c r="Y228">
        <v>2888.4200660988854</v>
      </c>
      <c r="Z228">
        <v>10.185979080305987</v>
      </c>
      <c r="AA228">
        <v>2735.8679587700617</v>
      </c>
      <c r="AB228">
        <v>7.5212386532389468</v>
      </c>
      <c r="AC228">
        <v>2192.6200206069689</v>
      </c>
      <c r="AD228">
        <v>10.167105491221799</v>
      </c>
      <c r="AE228">
        <v>2011.6590159718203</v>
      </c>
      <c r="AF228">
        <v>7.5101274432647607</v>
      </c>
      <c r="AG228">
        <v>2128.7726150467893</v>
      </c>
      <c r="AH228">
        <v>10.159778402089055</v>
      </c>
      <c r="AI228">
        <v>1923.7248846095779</v>
      </c>
      <c r="AJ228">
        <v>7.5058100390022409</v>
      </c>
    </row>
    <row r="229" spans="4:36" x14ac:dyDescent="0.55000000000000004">
      <c r="D229">
        <v>222</v>
      </c>
      <c r="E229">
        <v>11.664405316857247</v>
      </c>
      <c r="F229">
        <v>0.47513877504825835</v>
      </c>
      <c r="G229">
        <v>0.1811826247593486</v>
      </c>
      <c r="H229">
        <v>17.679273283335135</v>
      </c>
      <c r="I229">
        <v>11.89621066261274</v>
      </c>
      <c r="J229">
        <v>0.28264277708721086</v>
      </c>
      <c r="K229">
        <v>0.10738993350893246</v>
      </c>
      <c r="L229">
        <v>17.71375662679111</v>
      </c>
      <c r="M229">
        <v>11.805309146521989</v>
      </c>
      <c r="N229">
        <v>0.35815585013785733</v>
      </c>
      <c r="O229">
        <v>0.13627323098293215</v>
      </c>
      <c r="P229">
        <v>17.700261772357223</v>
      </c>
      <c r="Q229">
        <v>11.770625858207282</v>
      </c>
      <c r="R229">
        <v>0.38695871554436168</v>
      </c>
      <c r="S229">
        <v>0.14731194829817262</v>
      </c>
      <c r="T229">
        <v>17.695103477950187</v>
      </c>
      <c r="U229">
        <v>1491.1334166943025</v>
      </c>
      <c r="V229">
        <v>9.1881441782273647</v>
      </c>
      <c r="W229">
        <v>1269.9984126042652</v>
      </c>
      <c r="X229">
        <v>6.911888522950659</v>
      </c>
      <c r="Y229">
        <v>2880.1378271250892</v>
      </c>
      <c r="Z229">
        <v>9.2087192695591238</v>
      </c>
      <c r="AA229">
        <v>2733.7741137016023</v>
      </c>
      <c r="AB229">
        <v>6.9259855999133704</v>
      </c>
      <c r="AC229">
        <v>2204.9720090166779</v>
      </c>
      <c r="AD229">
        <v>9.2006360386043404</v>
      </c>
      <c r="AE229">
        <v>2024.4724494871814</v>
      </c>
      <c r="AF229">
        <v>6.9204590621721271</v>
      </c>
      <c r="AG229">
        <v>2088.0564692402322</v>
      </c>
      <c r="AH229">
        <v>9.1975569065629994</v>
      </c>
      <c r="AI229">
        <v>1896.851104907629</v>
      </c>
      <c r="AJ229">
        <v>6.9183498917984965</v>
      </c>
    </row>
    <row r="230" spans="4:36" x14ac:dyDescent="0.55000000000000004">
      <c r="D230">
        <v>223</v>
      </c>
      <c r="E230">
        <v>13.304405445038061</v>
      </c>
      <c r="F230">
        <v>0.51122594751092598</v>
      </c>
      <c r="G230">
        <v>0.18027509415133008</v>
      </c>
      <c r="H230">
        <v>16.004093513299683</v>
      </c>
      <c r="I230">
        <v>13.624237842791286</v>
      </c>
      <c r="J230">
        <v>0.29227381596050139</v>
      </c>
      <c r="K230">
        <v>0.10261280272597711</v>
      </c>
      <c r="L230">
        <v>15.980875538522234</v>
      </c>
      <c r="M230">
        <v>13.51200886823321</v>
      </c>
      <c r="N230">
        <v>0.36917701429392935</v>
      </c>
      <c r="O230">
        <v>0.12981132625595287</v>
      </c>
      <c r="P230">
        <v>15.989002791216917</v>
      </c>
      <c r="Q230">
        <v>13.447608551166754</v>
      </c>
      <c r="R230">
        <v>0.4132708678890436</v>
      </c>
      <c r="S230">
        <v>0.14544445732163933</v>
      </c>
      <c r="T230">
        <v>15.993676123622558</v>
      </c>
      <c r="U230">
        <v>1629.796013021577</v>
      </c>
      <c r="V230">
        <v>10.483882486965232</v>
      </c>
      <c r="W230">
        <v>1361.0825376819434</v>
      </c>
      <c r="X230">
        <v>7.6963047733628018</v>
      </c>
      <c r="Y230">
        <v>2920.222450696182</v>
      </c>
      <c r="Z230">
        <v>10.552767658777537</v>
      </c>
      <c r="AA230">
        <v>2756.0957462022088</v>
      </c>
      <c r="AB230">
        <v>7.7361567510923663</v>
      </c>
      <c r="AC230">
        <v>2246.0603474612358</v>
      </c>
      <c r="AD230">
        <v>10.528607636979862</v>
      </c>
      <c r="AE230">
        <v>2046.1527775336469</v>
      </c>
      <c r="AF230">
        <v>7.722198019076342</v>
      </c>
      <c r="AG230">
        <v>2164.627093149943</v>
      </c>
      <c r="AH230">
        <v>10.514738198358272</v>
      </c>
      <c r="AI230">
        <v>1943.3261092268933</v>
      </c>
      <c r="AJ230">
        <v>7.7141758086904488</v>
      </c>
    </row>
    <row r="231" spans="4:36" x14ac:dyDescent="0.55000000000000004">
      <c r="D231">
        <v>224</v>
      </c>
      <c r="E231">
        <v>12.029071629132023</v>
      </c>
      <c r="F231">
        <v>0.39272845682772001</v>
      </c>
      <c r="G231">
        <v>0.1400612388760861</v>
      </c>
      <c r="H231">
        <v>17.438138675164158</v>
      </c>
      <c r="I231">
        <v>12.192898748969894</v>
      </c>
      <c r="J231">
        <v>0.27225269539545138</v>
      </c>
      <c r="K231">
        <v>9.6857621054626683E-2</v>
      </c>
      <c r="L231">
        <v>17.437990934580025</v>
      </c>
      <c r="M231">
        <v>12.112569331849878</v>
      </c>
      <c r="N231">
        <v>0.33134532892089846</v>
      </c>
      <c r="O231">
        <v>0.11802192977764447</v>
      </c>
      <c r="P231">
        <v>17.438063409451587</v>
      </c>
      <c r="Q231">
        <v>12.067144535304612</v>
      </c>
      <c r="R231">
        <v>0.36474435937570371</v>
      </c>
      <c r="S231">
        <v>0.13000674082295116</v>
      </c>
      <c r="T231">
        <v>17.438104364496741</v>
      </c>
      <c r="U231">
        <v>1509.0864495199035</v>
      </c>
      <c r="V231">
        <v>9.510191904618452</v>
      </c>
      <c r="W231">
        <v>1287.3698972652135</v>
      </c>
      <c r="X231">
        <v>7.1279988208113867</v>
      </c>
      <c r="Y231">
        <v>2883.9124936265212</v>
      </c>
      <c r="Z231">
        <v>9.5403878114664575</v>
      </c>
      <c r="AA231">
        <v>2735.3652309957424</v>
      </c>
      <c r="AB231">
        <v>7.1462254766721625</v>
      </c>
      <c r="AC231">
        <v>2229.245255937707</v>
      </c>
      <c r="AD231">
        <v>9.5255822403799399</v>
      </c>
      <c r="AE231">
        <v>2042.4414814868221</v>
      </c>
      <c r="AF231">
        <v>7.1372949206078911</v>
      </c>
      <c r="AG231">
        <v>2079.1439585506346</v>
      </c>
      <c r="AH231">
        <v>9.5172096241363722</v>
      </c>
      <c r="AI231">
        <v>1889.2772750400777</v>
      </c>
      <c r="AJ231">
        <v>7.1322393078359356</v>
      </c>
    </row>
    <row r="232" spans="4:36" x14ac:dyDescent="0.55000000000000004">
      <c r="D232">
        <v>225</v>
      </c>
      <c r="E232">
        <v>12.439693290669439</v>
      </c>
      <c r="F232">
        <v>0.43219127318394435</v>
      </c>
      <c r="G232">
        <v>0.16589328350102361</v>
      </c>
      <c r="H232">
        <v>16.962222152645605</v>
      </c>
      <c r="I232">
        <v>12.656557274665296</v>
      </c>
      <c r="J232">
        <v>0.27911268648606757</v>
      </c>
      <c r="K232">
        <v>0.10678751524058154</v>
      </c>
      <c r="L232">
        <v>16.957542523608062</v>
      </c>
      <c r="M232">
        <v>12.58269052840213</v>
      </c>
      <c r="N232">
        <v>0.33128615933987876</v>
      </c>
      <c r="O232">
        <v>0.12688867103005322</v>
      </c>
      <c r="P232">
        <v>16.959134641227941</v>
      </c>
      <c r="Q232">
        <v>12.548429753935942</v>
      </c>
      <c r="R232">
        <v>0.35547370321704475</v>
      </c>
      <c r="S232">
        <v>0.13622280946320475</v>
      </c>
      <c r="T232">
        <v>16.959873733383809</v>
      </c>
      <c r="U232">
        <v>1515.871216533485</v>
      </c>
      <c r="V232">
        <v>9.8249105020165644</v>
      </c>
      <c r="W232">
        <v>1286.1844336845904</v>
      </c>
      <c r="X232">
        <v>7.3117291699294302</v>
      </c>
      <c r="Y232">
        <v>2903.1732331243702</v>
      </c>
      <c r="Z232">
        <v>9.8669300085169471</v>
      </c>
      <c r="AA232">
        <v>2747.1826021644588</v>
      </c>
      <c r="AB232">
        <v>7.3367711767639481</v>
      </c>
      <c r="AC232">
        <v>2249.7854250763044</v>
      </c>
      <c r="AD232">
        <v>9.852619271335179</v>
      </c>
      <c r="AE232">
        <v>2055.2286011708638</v>
      </c>
      <c r="AF232">
        <v>7.3282520119740413</v>
      </c>
      <c r="AG232">
        <v>2107.9192655899606</v>
      </c>
      <c r="AH232">
        <v>9.8459811031987261</v>
      </c>
      <c r="AI232">
        <v>1909.0840685117414</v>
      </c>
      <c r="AJ232">
        <v>7.3242970094031037</v>
      </c>
    </row>
    <row r="233" spans="4:36" x14ac:dyDescent="0.55000000000000004">
      <c r="D233">
        <v>226</v>
      </c>
      <c r="E233">
        <v>13.927104256106659</v>
      </c>
      <c r="F233">
        <v>0.47588267210554996</v>
      </c>
      <c r="G233">
        <v>0.16490496419411582</v>
      </c>
      <c r="H233">
        <v>15.432108107593685</v>
      </c>
      <c r="I233">
        <v>14.174425378905008</v>
      </c>
      <c r="J233">
        <v>0.31375048535666711</v>
      </c>
      <c r="K233">
        <v>0.10836157967971281</v>
      </c>
      <c r="L233">
        <v>15.403462556058599</v>
      </c>
      <c r="M233">
        <v>14.071760533372855</v>
      </c>
      <c r="N233">
        <v>0.38110082409496404</v>
      </c>
      <c r="O233">
        <v>0.13180356009760055</v>
      </c>
      <c r="P233">
        <v>15.415335082434568</v>
      </c>
      <c r="Q233">
        <v>14.044251174741072</v>
      </c>
      <c r="R233">
        <v>0.39913601003227944</v>
      </c>
      <c r="S233">
        <v>0.13809202109056778</v>
      </c>
      <c r="T233">
        <v>15.418520794136088</v>
      </c>
      <c r="U233">
        <v>1606.005803214859</v>
      </c>
      <c r="V233">
        <v>11.015545665544053</v>
      </c>
      <c r="W233">
        <v>1342.4035963857352</v>
      </c>
      <c r="X233">
        <v>8.023496673329138</v>
      </c>
      <c r="Y233">
        <v>2948.7193500479725</v>
      </c>
      <c r="Z233">
        <v>11.078881779235969</v>
      </c>
      <c r="AA233">
        <v>2773.1685509888343</v>
      </c>
      <c r="AB233">
        <v>8.0596458133334536</v>
      </c>
      <c r="AC233">
        <v>2285.4967331954917</v>
      </c>
      <c r="AD233">
        <v>11.052600979881571</v>
      </c>
      <c r="AE233">
        <v>2071.4957218464851</v>
      </c>
      <c r="AF233">
        <v>8.0446586072816544</v>
      </c>
      <c r="AG233">
        <v>2158.9618837984567</v>
      </c>
      <c r="AH233">
        <v>11.045556439349957</v>
      </c>
      <c r="AI233">
        <v>1937.1733610760416</v>
      </c>
      <c r="AJ233">
        <v>8.0406382830613659</v>
      </c>
    </row>
    <row r="234" spans="4:36" x14ac:dyDescent="0.55000000000000004">
      <c r="D234">
        <v>227</v>
      </c>
      <c r="E234">
        <v>12.459553693613046</v>
      </c>
      <c r="F234">
        <v>0.42885236302539026</v>
      </c>
      <c r="G234">
        <v>0.18626744928919517</v>
      </c>
      <c r="H234">
        <v>16.925326494072358</v>
      </c>
      <c r="I234">
        <v>12.66915460011589</v>
      </c>
      <c r="J234">
        <v>0.27828695026682626</v>
      </c>
      <c r="K234">
        <v>0.12049438114389974</v>
      </c>
      <c r="L234">
        <v>16.93206406847338</v>
      </c>
      <c r="M234">
        <v>12.566328527223746</v>
      </c>
      <c r="N234">
        <v>0.35218448509901806</v>
      </c>
      <c r="O234">
        <v>0.15272378372286935</v>
      </c>
      <c r="P234">
        <v>16.928763203954368</v>
      </c>
      <c r="Q234">
        <v>12.520518750017631</v>
      </c>
      <c r="R234">
        <v>0.38508589491817297</v>
      </c>
      <c r="S234">
        <v>0.16710546804425799</v>
      </c>
      <c r="T234">
        <v>16.927289887019938</v>
      </c>
      <c r="U234">
        <v>1520.768958368782</v>
      </c>
      <c r="V234">
        <v>9.8161150033341897</v>
      </c>
      <c r="W234">
        <v>1289.4514753072335</v>
      </c>
      <c r="X234">
        <v>7.2995297294567134</v>
      </c>
      <c r="Y234">
        <v>2904.9365562879893</v>
      </c>
      <c r="Z234">
        <v>9.8491676023002928</v>
      </c>
      <c r="AA234">
        <v>2748.1511882308801</v>
      </c>
      <c r="AB234">
        <v>7.3197787585490746</v>
      </c>
      <c r="AC234">
        <v>2210.786297608131</v>
      </c>
      <c r="AD234">
        <v>9.8329493780733692</v>
      </c>
      <c r="AE234">
        <v>2023.8081702194884</v>
      </c>
      <c r="AF234">
        <v>7.3098523374606268</v>
      </c>
      <c r="AG234">
        <v>2121.1714334518847</v>
      </c>
      <c r="AH234">
        <v>9.8257260627028202</v>
      </c>
      <c r="AI234">
        <v>1915.9848339271789</v>
      </c>
      <c r="AJ234">
        <v>7.3054254963680787</v>
      </c>
    </row>
    <row r="235" spans="4:36" x14ac:dyDescent="0.55000000000000004">
      <c r="D235">
        <v>228</v>
      </c>
      <c r="E235">
        <v>11.718037904038942</v>
      </c>
      <c r="F235">
        <v>0.43958708850668693</v>
      </c>
      <c r="G235">
        <v>0.16599150590039938</v>
      </c>
      <c r="H235">
        <v>17.676383501553978</v>
      </c>
      <c r="I235">
        <v>11.906564266334923</v>
      </c>
      <c r="J235">
        <v>0.28898348733347423</v>
      </c>
      <c r="K235">
        <v>0.10880770368717606</v>
      </c>
      <c r="L235">
        <v>17.69564454264443</v>
      </c>
      <c r="M235">
        <v>11.821554577858668</v>
      </c>
      <c r="N235">
        <v>0.35691424764075086</v>
      </c>
      <c r="O235">
        <v>0.13455941580464004</v>
      </c>
      <c r="P235">
        <v>17.686971758695936</v>
      </c>
      <c r="Q235">
        <v>11.784882807581274</v>
      </c>
      <c r="R235">
        <v>0.38620779015150597</v>
      </c>
      <c r="S235">
        <v>0.14568517983278129</v>
      </c>
      <c r="T235">
        <v>17.683224222434447</v>
      </c>
      <c r="U235">
        <v>1504.7751883630522</v>
      </c>
      <c r="V235">
        <v>9.2823354236528477</v>
      </c>
      <c r="W235">
        <v>1280.8239600709851</v>
      </c>
      <c r="X235">
        <v>6.983360756907758</v>
      </c>
      <c r="Y235">
        <v>2865.0976419844828</v>
      </c>
      <c r="Z235">
        <v>9.306396171426579</v>
      </c>
      <c r="AA235">
        <v>2720.1981665888907</v>
      </c>
      <c r="AB235">
        <v>6.9988486639174567</v>
      </c>
      <c r="AC235">
        <v>2204.5838693906016</v>
      </c>
      <c r="AD235">
        <v>9.2955401557212642</v>
      </c>
      <c r="AE235">
        <v>2022.2395179554251</v>
      </c>
      <c r="AF235">
        <v>6.9918689156520051</v>
      </c>
      <c r="AG235">
        <v>2121.044380019337</v>
      </c>
      <c r="AH235">
        <v>9.2908603993671548</v>
      </c>
      <c r="AI235">
        <v>1919.6961636509543</v>
      </c>
      <c r="AJ235">
        <v>6.9888559428950572</v>
      </c>
    </row>
    <row r="236" spans="4:36" x14ac:dyDescent="0.55000000000000004">
      <c r="D236">
        <v>229</v>
      </c>
      <c r="E236">
        <v>11.995867835825505</v>
      </c>
      <c r="F236">
        <v>0.49955441124938305</v>
      </c>
      <c r="G236">
        <v>0.17575159586509592</v>
      </c>
      <c r="H236">
        <v>17.328826157060011</v>
      </c>
      <c r="I236">
        <v>12.21948389730141</v>
      </c>
      <c r="J236">
        <v>0.31227733617744663</v>
      </c>
      <c r="K236">
        <v>0.1095055319382485</v>
      </c>
      <c r="L236">
        <v>17.358733234582889</v>
      </c>
      <c r="M236">
        <v>12.155369688007287</v>
      </c>
      <c r="N236">
        <v>0.36599268592789319</v>
      </c>
      <c r="O236">
        <v>0.12846156337437123</v>
      </c>
      <c r="P236">
        <v>17.350176062690426</v>
      </c>
      <c r="Q236">
        <v>12.097053998908351</v>
      </c>
      <c r="R236">
        <v>0.4148360190303696</v>
      </c>
      <c r="S236">
        <v>0.1457294519427319</v>
      </c>
      <c r="T236">
        <v>17.342380530118547</v>
      </c>
      <c r="U236">
        <v>1549.0685676211854</v>
      </c>
      <c r="V236">
        <v>9.5327221011721957</v>
      </c>
      <c r="W236">
        <v>1308.2917705485679</v>
      </c>
      <c r="X236">
        <v>7.1327087750596592</v>
      </c>
      <c r="Y236">
        <v>2889.58937195105</v>
      </c>
      <c r="Z236">
        <v>9.5565453417497501</v>
      </c>
      <c r="AA236">
        <v>2736.1150732416377</v>
      </c>
      <c r="AB236">
        <v>7.1485343572846061</v>
      </c>
      <c r="AC236">
        <v>2220.9317565210895</v>
      </c>
      <c r="AD236">
        <v>9.5497042391789204</v>
      </c>
      <c r="AE236">
        <v>2033.0716893436759</v>
      </c>
      <c r="AF236">
        <v>7.1439992028805062</v>
      </c>
      <c r="AG236">
        <v>2106.1781769135582</v>
      </c>
      <c r="AH236">
        <v>9.5434892258863471</v>
      </c>
      <c r="AI236">
        <v>1905.2222429052704</v>
      </c>
      <c r="AJ236">
        <v>7.139872623266216</v>
      </c>
    </row>
    <row r="237" spans="4:36" x14ac:dyDescent="0.55000000000000004">
      <c r="D237">
        <v>230</v>
      </c>
      <c r="E237">
        <v>13.126209211932174</v>
      </c>
      <c r="F237">
        <v>0.51735699353380848</v>
      </c>
      <c r="G237">
        <v>0.18393224350938472</v>
      </c>
      <c r="H237">
        <v>16.172501551024649</v>
      </c>
      <c r="I237">
        <v>13.362881768252706</v>
      </c>
      <c r="J237">
        <v>0.33985241345582762</v>
      </c>
      <c r="K237">
        <v>0.12041971330217896</v>
      </c>
      <c r="L237">
        <v>16.176846104989274</v>
      </c>
      <c r="M237">
        <v>13.279541356247597</v>
      </c>
      <c r="N237">
        <v>0.40239185092783886</v>
      </c>
      <c r="O237">
        <v>0.14274736867568524</v>
      </c>
      <c r="P237">
        <v>16.175319424148874</v>
      </c>
      <c r="Q237">
        <v>13.252281572929867</v>
      </c>
      <c r="R237">
        <v>0.42283984896942012</v>
      </c>
      <c r="S237">
        <v>0.15005926281948589</v>
      </c>
      <c r="T237">
        <v>16.174819315281241</v>
      </c>
      <c r="U237">
        <v>1590.5881920818822</v>
      </c>
      <c r="V237">
        <v>10.383559736807866</v>
      </c>
      <c r="W237">
        <v>1329.2243212953676</v>
      </c>
      <c r="X237">
        <v>7.6391134491227586</v>
      </c>
      <c r="Y237">
        <v>2926.4910252944587</v>
      </c>
      <c r="Z237">
        <v>10.423267284113248</v>
      </c>
      <c r="AA237">
        <v>2755.7503504778483</v>
      </c>
      <c r="AB237">
        <v>7.6629006839607277</v>
      </c>
      <c r="AC237">
        <v>2251.294712011621</v>
      </c>
      <c r="AD237">
        <v>10.409283389780727</v>
      </c>
      <c r="AE237">
        <v>2045.8399791649949</v>
      </c>
      <c r="AF237">
        <v>7.6545333605259342</v>
      </c>
      <c r="AG237">
        <v>2168.8097628386085</v>
      </c>
      <c r="AH237">
        <v>10.404709760904039</v>
      </c>
      <c r="AI237">
        <v>1943.9071532428411</v>
      </c>
      <c r="AJ237">
        <v>7.6517943923877674</v>
      </c>
    </row>
    <row r="238" spans="4:36" x14ac:dyDescent="0.55000000000000004">
      <c r="D238">
        <v>231</v>
      </c>
      <c r="E238">
        <v>12.047283294536694</v>
      </c>
      <c r="F238">
        <v>0.4607125297359303</v>
      </c>
      <c r="G238">
        <v>0.16187676424309963</v>
      </c>
      <c r="H238">
        <v>17.330127411484273</v>
      </c>
      <c r="I238">
        <v>12.246629572146142</v>
      </c>
      <c r="J238">
        <v>0.30332037525164657</v>
      </c>
      <c r="K238">
        <v>0.10625572722542458</v>
      </c>
      <c r="L238">
        <v>17.343794325376784</v>
      </c>
      <c r="M238">
        <v>12.178008484200433</v>
      </c>
      <c r="N238">
        <v>0.35752151552180106</v>
      </c>
      <c r="O238">
        <v>0.12537176842802117</v>
      </c>
      <c r="P238">
        <v>17.339098231849754</v>
      </c>
      <c r="Q238">
        <v>12.14344495427979</v>
      </c>
      <c r="R238">
        <v>0.38481321629849163</v>
      </c>
      <c r="S238">
        <v>0.1350123143011587</v>
      </c>
      <c r="T238">
        <v>17.33672951512057</v>
      </c>
      <c r="U238">
        <v>1554.95128022681</v>
      </c>
      <c r="V238">
        <v>9.6220355038866519</v>
      </c>
      <c r="W238">
        <v>1316.382828465669</v>
      </c>
      <c r="X238">
        <v>7.2012668098572279</v>
      </c>
      <c r="Y238">
        <v>2890.0914165778609</v>
      </c>
      <c r="Z238">
        <v>9.6538809381729891</v>
      </c>
      <c r="AA238">
        <v>2737.4774319016201</v>
      </c>
      <c r="AB238">
        <v>7.2211808809257745</v>
      </c>
      <c r="AC238">
        <v>2217.3970864335029</v>
      </c>
      <c r="AD238">
        <v>9.6429139229552518</v>
      </c>
      <c r="AE238">
        <v>2031.3995446169527</v>
      </c>
      <c r="AF238">
        <v>7.214331694228564</v>
      </c>
      <c r="AG238">
        <v>2094.3828569842003</v>
      </c>
      <c r="AH238">
        <v>9.6373919008547428</v>
      </c>
      <c r="AI238">
        <v>1899.1894167521818</v>
      </c>
      <c r="AJ238">
        <v>7.2108795369852841</v>
      </c>
    </row>
    <row r="239" spans="4:36" x14ac:dyDescent="0.55000000000000004">
      <c r="D239">
        <v>232</v>
      </c>
      <c r="E239">
        <v>12.749994904889657</v>
      </c>
      <c r="F239">
        <v>0.42067001292133382</v>
      </c>
      <c r="G239">
        <v>0.15610904842758333</v>
      </c>
      <c r="H239">
        <v>16.673226033761416</v>
      </c>
      <c r="I239">
        <v>12.948762888738891</v>
      </c>
      <c r="J239">
        <v>0.28526556088220628</v>
      </c>
      <c r="K239">
        <v>0.10553261302241079</v>
      </c>
      <c r="L239">
        <v>16.660438937356499</v>
      </c>
      <c r="M239">
        <v>12.867642758414288</v>
      </c>
      <c r="N239">
        <v>0.34055711034747038</v>
      </c>
      <c r="O239">
        <v>0.1261466684782534</v>
      </c>
      <c r="P239">
        <v>16.665653462759991</v>
      </c>
      <c r="Q239">
        <v>12.829273360848447</v>
      </c>
      <c r="R239">
        <v>0.36669487047117566</v>
      </c>
      <c r="S239">
        <v>0.135909908444073</v>
      </c>
      <c r="T239">
        <v>16.668121860236308</v>
      </c>
      <c r="U239">
        <v>1527.0901536179233</v>
      </c>
      <c r="V239">
        <v>10.038384761435989</v>
      </c>
      <c r="W239">
        <v>1296.6570268190465</v>
      </c>
      <c r="X239">
        <v>7.4379500367717508</v>
      </c>
      <c r="Y239">
        <v>2908.8423074715051</v>
      </c>
      <c r="Z239">
        <v>10.081538252580362</v>
      </c>
      <c r="AA239">
        <v>2751.6462883030586</v>
      </c>
      <c r="AB239">
        <v>7.4634090760400653</v>
      </c>
      <c r="AC239">
        <v>2213.7105360953051</v>
      </c>
      <c r="AD239">
        <v>10.063929153999478</v>
      </c>
      <c r="AE239">
        <v>2028.4141996296621</v>
      </c>
      <c r="AF239">
        <v>7.4530293444025748</v>
      </c>
      <c r="AG239">
        <v>2090.6475677180142</v>
      </c>
      <c r="AH239">
        <v>10.055598956265595</v>
      </c>
      <c r="AI239">
        <v>1896.3086994478624</v>
      </c>
      <c r="AJ239">
        <v>7.4481147708208173</v>
      </c>
    </row>
    <row r="240" spans="4:36" x14ac:dyDescent="0.55000000000000004">
      <c r="D240">
        <v>233</v>
      </c>
      <c r="E240">
        <v>12.251485092018129</v>
      </c>
      <c r="F240">
        <v>0.46249050682178583</v>
      </c>
      <c r="G240">
        <v>0.17772669904627889</v>
      </c>
      <c r="H240">
        <v>17.108297702113791</v>
      </c>
      <c r="I240">
        <v>12.455162928735689</v>
      </c>
      <c r="J240">
        <v>0.30509338638871014</v>
      </c>
      <c r="K240">
        <v>0.11688486253937309</v>
      </c>
      <c r="L240">
        <v>17.122858822336219</v>
      </c>
      <c r="M240">
        <v>12.34922256044675</v>
      </c>
      <c r="N240">
        <v>0.38698818017193815</v>
      </c>
      <c r="O240">
        <v>0.14849429978767836</v>
      </c>
      <c r="P240">
        <v>17.115294959593626</v>
      </c>
      <c r="Q240">
        <v>12.311786021528883</v>
      </c>
      <c r="R240">
        <v>0.41591381726149201</v>
      </c>
      <c r="S240">
        <v>0.15968319853632329</v>
      </c>
      <c r="T240">
        <v>17.112616962673307</v>
      </c>
      <c r="U240">
        <v>1528.8787245169185</v>
      </c>
      <c r="V240">
        <v>9.6228078328100946</v>
      </c>
      <c r="W240">
        <v>1295.0885171419363</v>
      </c>
      <c r="X240">
        <v>7.1756539177871401</v>
      </c>
      <c r="Y240">
        <v>2882.4384259536946</v>
      </c>
      <c r="Z240">
        <v>9.6498842264861349</v>
      </c>
      <c r="AA240">
        <v>2730.630113982711</v>
      </c>
      <c r="AB240">
        <v>7.1926061353467405</v>
      </c>
      <c r="AC240">
        <v>2247.3583916187158</v>
      </c>
      <c r="AD240">
        <v>9.635795496382352</v>
      </c>
      <c r="AE240">
        <v>2050.2452114298967</v>
      </c>
      <c r="AF240">
        <v>7.1837938672261537</v>
      </c>
      <c r="AG240">
        <v>2110.1914997491876</v>
      </c>
      <c r="AH240">
        <v>9.6308196492486182</v>
      </c>
      <c r="AI240">
        <v>1907.245144715773</v>
      </c>
      <c r="AJ240">
        <v>7.1806771526150985</v>
      </c>
    </row>
    <row r="241" spans="4:36" x14ac:dyDescent="0.55000000000000004">
      <c r="D241">
        <v>234</v>
      </c>
      <c r="E241">
        <v>11.724332008453244</v>
      </c>
      <c r="F241">
        <v>0.41542284668215668</v>
      </c>
      <c r="G241">
        <v>0.16766853744678259</v>
      </c>
      <c r="H241">
        <v>17.692576607417806</v>
      </c>
      <c r="I241">
        <v>11.946308614729901</v>
      </c>
      <c r="J241">
        <v>0.25466946311683752</v>
      </c>
      <c r="K241">
        <v>0.10240840836298401</v>
      </c>
      <c r="L241">
        <v>17.696613513790279</v>
      </c>
      <c r="M241">
        <v>11.854419295216955</v>
      </c>
      <c r="N241">
        <v>0.32125154365627467</v>
      </c>
      <c r="O241">
        <v>0.12937916115959719</v>
      </c>
      <c r="P241">
        <v>17.694949999967186</v>
      </c>
      <c r="Q241">
        <v>11.831985953133735</v>
      </c>
      <c r="R241">
        <v>0.33749867738659062</v>
      </c>
      <c r="S241">
        <v>0.13597311247171306</v>
      </c>
      <c r="T241">
        <v>17.694542257007953</v>
      </c>
      <c r="U241">
        <v>1467.5931207166147</v>
      </c>
      <c r="V241">
        <v>9.3064377830430107</v>
      </c>
      <c r="W241">
        <v>1259.2291135982869</v>
      </c>
      <c r="X241">
        <v>7.0039965794998178</v>
      </c>
      <c r="Y241">
        <v>2853.1795162772337</v>
      </c>
      <c r="Z241">
        <v>9.3455386683434067</v>
      </c>
      <c r="AA241">
        <v>2716.9278789401055</v>
      </c>
      <c r="AB241">
        <v>7.0281935511104603</v>
      </c>
      <c r="AC241">
        <v>2170.5797838858225</v>
      </c>
      <c r="AD241">
        <v>9.3293482554035876</v>
      </c>
      <c r="AE241">
        <v>2003.07447176805</v>
      </c>
      <c r="AF241">
        <v>7.0181870423593438</v>
      </c>
      <c r="AG241">
        <v>2062.6963251674642</v>
      </c>
      <c r="AH241">
        <v>9.3253965217118768</v>
      </c>
      <c r="AI241">
        <v>1883.4226691182441</v>
      </c>
      <c r="AJ241">
        <v>7.0157419632347242</v>
      </c>
    </row>
    <row r="242" spans="4:36" x14ac:dyDescent="0.55000000000000004">
      <c r="D242">
        <v>235</v>
      </c>
      <c r="E242">
        <v>13.376455480419315</v>
      </c>
      <c r="F242">
        <v>0.48735947472823721</v>
      </c>
      <c r="G242">
        <v>0.17454827941110349</v>
      </c>
      <c r="H242">
        <v>15.961636765441362</v>
      </c>
      <c r="I242">
        <v>13.636377007945576</v>
      </c>
      <c r="J242">
        <v>0.30256793458087078</v>
      </c>
      <c r="K242">
        <v>0.10796960721105259</v>
      </c>
      <c r="L242">
        <v>15.953085450262501</v>
      </c>
      <c r="M242">
        <v>13.491493110955064</v>
      </c>
      <c r="N242">
        <v>0.40562235643260836</v>
      </c>
      <c r="O242">
        <v>0.14503813580665198</v>
      </c>
      <c r="P242">
        <v>15.957846396805669</v>
      </c>
      <c r="Q242">
        <v>13.483744915177253</v>
      </c>
      <c r="R242">
        <v>0.41113010209211476</v>
      </c>
      <c r="S242">
        <v>0.14702357566382201</v>
      </c>
      <c r="T242">
        <v>15.958101407066826</v>
      </c>
      <c r="U242">
        <v>1608.0828462029708</v>
      </c>
      <c r="V242">
        <v>10.5909815239722</v>
      </c>
      <c r="W242">
        <v>1343.7372223662796</v>
      </c>
      <c r="X242">
        <v>7.7686656929565974</v>
      </c>
      <c r="Y242">
        <v>2933.9855753174679</v>
      </c>
      <c r="Z242">
        <v>10.642914182342096</v>
      </c>
      <c r="AA242">
        <v>2763.7136516098153</v>
      </c>
      <c r="AB242">
        <v>7.7991472917358458</v>
      </c>
      <c r="AC242">
        <v>2271.17211673256</v>
      </c>
      <c r="AD242">
        <v>10.613969166021143</v>
      </c>
      <c r="AE242">
        <v>2059.6619592575203</v>
      </c>
      <c r="AF242">
        <v>7.7821716128511342</v>
      </c>
      <c r="AG242">
        <v>2172.8109266153965</v>
      </c>
      <c r="AH242">
        <v>10.612421015265117</v>
      </c>
      <c r="AI242">
        <v>1947.0651970284052</v>
      </c>
      <c r="AJ242">
        <v>7.7812627035451243</v>
      </c>
    </row>
    <row r="243" spans="4:36" x14ac:dyDescent="0.55000000000000004">
      <c r="D243">
        <v>236</v>
      </c>
      <c r="E243">
        <v>13.420419668162143</v>
      </c>
      <c r="F243">
        <v>0.47575468753243738</v>
      </c>
      <c r="G243">
        <v>0.17459296385596615</v>
      </c>
      <c r="H243">
        <v>15.929232680449461</v>
      </c>
      <c r="I243">
        <v>13.653046455115716</v>
      </c>
      <c r="J243">
        <v>0.31349161740005649</v>
      </c>
      <c r="K243">
        <v>0.11467167578300023</v>
      </c>
      <c r="L243">
        <v>15.918790251701214</v>
      </c>
      <c r="M243">
        <v>13.556061804888509</v>
      </c>
      <c r="N243">
        <v>0.381180767292291</v>
      </c>
      <c r="O243">
        <v>0.13962010975074421</v>
      </c>
      <c r="P243">
        <v>15.923137318068443</v>
      </c>
      <c r="Q243">
        <v>13.512273600842965</v>
      </c>
      <c r="R243">
        <v>0.41172352533185486</v>
      </c>
      <c r="S243">
        <v>0.15089983768769719</v>
      </c>
      <c r="T243">
        <v>15.925103036137472</v>
      </c>
      <c r="U243">
        <v>1601.8284184920603</v>
      </c>
      <c r="V243">
        <v>10.539401363334219</v>
      </c>
      <c r="W243">
        <v>1339.8134505351225</v>
      </c>
      <c r="X243">
        <v>7.7281447052349694</v>
      </c>
      <c r="Y243">
        <v>2907.5690712865617</v>
      </c>
      <c r="Z243">
        <v>10.589962630169421</v>
      </c>
      <c r="AA243">
        <v>2743.2865864454848</v>
      </c>
      <c r="AB243">
        <v>7.757834560003162</v>
      </c>
      <c r="AC243">
        <v>2258.9139694704918</v>
      </c>
      <c r="AD243">
        <v>10.568885459192957</v>
      </c>
      <c r="AE243">
        <v>2052.3645722840201</v>
      </c>
      <c r="AF243">
        <v>7.7454694473164523</v>
      </c>
      <c r="AG243">
        <v>2194.5415507690486</v>
      </c>
      <c r="AH243">
        <v>10.559368087369037</v>
      </c>
      <c r="AI243">
        <v>1962.8794755731315</v>
      </c>
      <c r="AJ243">
        <v>7.7398806193501875</v>
      </c>
    </row>
    <row r="244" spans="4:36" x14ac:dyDescent="0.55000000000000004">
      <c r="D244">
        <v>237</v>
      </c>
      <c r="E244">
        <v>13.140612070285499</v>
      </c>
      <c r="F244">
        <v>0.43752974018867391</v>
      </c>
      <c r="G244">
        <v>0.15666282896110886</v>
      </c>
      <c r="H244">
        <v>16.265195360564729</v>
      </c>
      <c r="I244">
        <v>13.362322599291733</v>
      </c>
      <c r="J244">
        <v>0.2855829999354399</v>
      </c>
      <c r="K244">
        <v>0.10194377479129764</v>
      </c>
      <c r="L244">
        <v>16.250150625981522</v>
      </c>
      <c r="M244">
        <v>13.262255405408924</v>
      </c>
      <c r="N244">
        <v>0.35420134873700065</v>
      </c>
      <c r="O244">
        <v>0.1266124954673612</v>
      </c>
      <c r="P244">
        <v>16.256930750386729</v>
      </c>
      <c r="Q244">
        <v>13.20986540187792</v>
      </c>
      <c r="R244">
        <v>0.39010119053042103</v>
      </c>
      <c r="S244">
        <v>0.13954626554918517</v>
      </c>
      <c r="T244">
        <v>16.260487142042489</v>
      </c>
      <c r="U244">
        <v>1569.4937951714276</v>
      </c>
      <c r="V244">
        <v>10.326465328762788</v>
      </c>
      <c r="W244">
        <v>1321.0674601173837</v>
      </c>
      <c r="X244">
        <v>7.6072383560278602</v>
      </c>
      <c r="Y244">
        <v>2923.8409239139182</v>
      </c>
      <c r="Z244">
        <v>10.375681947233147</v>
      </c>
      <c r="AA244">
        <v>2758.8773478031676</v>
      </c>
      <c r="AB244">
        <v>7.6358447927574877</v>
      </c>
      <c r="AC244">
        <v>2232.6356155452427</v>
      </c>
      <c r="AD244">
        <v>10.353474444458925</v>
      </c>
      <c r="AE244">
        <v>2036.7838638365267</v>
      </c>
      <c r="AF244">
        <v>7.6229473781842492</v>
      </c>
      <c r="AG244">
        <v>2159.3553993992577</v>
      </c>
      <c r="AH244">
        <v>10.341843814349424</v>
      </c>
      <c r="AI244">
        <v>1940.5205870111379</v>
      </c>
      <c r="AJ244">
        <v>7.6161858916761656</v>
      </c>
    </row>
    <row r="245" spans="4:36" x14ac:dyDescent="0.55000000000000004">
      <c r="D245">
        <v>238</v>
      </c>
      <c r="E245">
        <v>15.664797305541624</v>
      </c>
      <c r="F245">
        <v>0.6183608657346491</v>
      </c>
      <c r="G245">
        <v>0.22206053208064883</v>
      </c>
      <c r="H245">
        <v>13.494781296643092</v>
      </c>
      <c r="I245">
        <v>16.032135144557603</v>
      </c>
      <c r="J245">
        <v>0.37227061462125177</v>
      </c>
      <c r="K245">
        <v>0.13309870342226854</v>
      </c>
      <c r="L245">
        <v>13.462495537398889</v>
      </c>
      <c r="M245">
        <v>15.905691237415454</v>
      </c>
      <c r="N245">
        <v>0.45706697781647421</v>
      </c>
      <c r="O245">
        <v>0.16366259284361859</v>
      </c>
      <c r="P245">
        <v>13.473579191924451</v>
      </c>
      <c r="Q245">
        <v>15.84018309319171</v>
      </c>
      <c r="R245">
        <v>0.50096223045249821</v>
      </c>
      <c r="S245">
        <v>0.17952108804984085</v>
      </c>
      <c r="T245">
        <v>13.479333588305952</v>
      </c>
      <c r="U245">
        <v>1779.1650022640572</v>
      </c>
      <c r="V245">
        <v>12.432402788454974</v>
      </c>
      <c r="W245">
        <v>1435.910717343085</v>
      </c>
      <c r="X245">
        <v>8.8408780269935399</v>
      </c>
      <c r="Y245">
        <v>3065.3149867906668</v>
      </c>
      <c r="Z245">
        <v>12.523223190052253</v>
      </c>
      <c r="AA245">
        <v>2839.0096077785834</v>
      </c>
      <c r="AB245">
        <v>8.8917776359911702</v>
      </c>
      <c r="AC245">
        <v>2414.1169606233598</v>
      </c>
      <c r="AD245">
        <v>12.49197873302351</v>
      </c>
      <c r="AE245">
        <v>2141.80984063306</v>
      </c>
      <c r="AF245">
        <v>8.8742871365149547</v>
      </c>
      <c r="AG245">
        <v>2328.3004125777038</v>
      </c>
      <c r="AH245">
        <v>12.475784416154681</v>
      </c>
      <c r="AI245">
        <v>2034.0261481944806</v>
      </c>
      <c r="AJ245">
        <v>8.865213338698144</v>
      </c>
    </row>
    <row r="246" spans="4:36" x14ac:dyDescent="0.55000000000000004">
      <c r="D246">
        <v>239</v>
      </c>
      <c r="E246">
        <v>12.833129245487951</v>
      </c>
      <c r="F246">
        <v>0.46042552991611635</v>
      </c>
      <c r="G246">
        <v>0.16923040503969788</v>
      </c>
      <c r="H246">
        <v>16.53721481955624</v>
      </c>
      <c r="I246">
        <v>13.034771091775481</v>
      </c>
      <c r="J246">
        <v>0.31120871298536462</v>
      </c>
      <c r="K246">
        <v>0.11405073174671281</v>
      </c>
      <c r="L246">
        <v>16.539969463492429</v>
      </c>
      <c r="M246">
        <v>12.975624973322027</v>
      </c>
      <c r="N246">
        <v>0.35500087017901633</v>
      </c>
      <c r="O246">
        <v>0.13021089498185442</v>
      </c>
      <c r="P246">
        <v>16.539163261517103</v>
      </c>
      <c r="Q246">
        <v>12.900624566932612</v>
      </c>
      <c r="R246">
        <v>0.41050367225324658</v>
      </c>
      <c r="S246">
        <v>0.1507329457981206</v>
      </c>
      <c r="T246">
        <v>16.538138815016037</v>
      </c>
      <c r="U246">
        <v>1538.3014258285184</v>
      </c>
      <c r="V246">
        <v>10.119542640258095</v>
      </c>
      <c r="W246">
        <v>1298.7426552833508</v>
      </c>
      <c r="X246">
        <v>7.4843031829916136</v>
      </c>
      <c r="Y246">
        <v>2919.8431244873123</v>
      </c>
      <c r="Z246">
        <v>10.158080383103366</v>
      </c>
      <c r="AA246">
        <v>2755.6842664378137</v>
      </c>
      <c r="AB246">
        <v>7.5075709673256634</v>
      </c>
      <c r="AC246">
        <v>2237.5472574528571</v>
      </c>
      <c r="AD246">
        <v>10.146774745573639</v>
      </c>
      <c r="AE246">
        <v>2042.4933287647541</v>
      </c>
      <c r="AF246">
        <v>7.5007528801123451</v>
      </c>
      <c r="AG246">
        <v>2126.1860867925816</v>
      </c>
      <c r="AH246">
        <v>10.132440557887938</v>
      </c>
      <c r="AI246">
        <v>1916.6132451134056</v>
      </c>
      <c r="AJ246">
        <v>7.4920989966792844</v>
      </c>
    </row>
    <row r="247" spans="4:36" x14ac:dyDescent="0.55000000000000004">
      <c r="D247">
        <v>240</v>
      </c>
      <c r="E247">
        <v>12.314379343008158</v>
      </c>
      <c r="F247">
        <v>0.41969981013822771</v>
      </c>
      <c r="G247">
        <v>0.16912554851983602</v>
      </c>
      <c r="H247">
        <v>17.096795298333792</v>
      </c>
      <c r="I247">
        <v>12.544703309674686</v>
      </c>
      <c r="J247">
        <v>0.26255150116190151</v>
      </c>
      <c r="K247">
        <v>0.1054552476883715</v>
      </c>
      <c r="L247">
        <v>17.087289941475042</v>
      </c>
      <c r="M247">
        <v>12.458465220005785</v>
      </c>
      <c r="N247">
        <v>0.3214321489688638</v>
      </c>
      <c r="O247">
        <v>0.12926203833080266</v>
      </c>
      <c r="P247">
        <v>17.090840592694558</v>
      </c>
      <c r="Q247">
        <v>12.398714634615111</v>
      </c>
      <c r="R247">
        <v>0.36219923504934243</v>
      </c>
      <c r="S247">
        <v>0.14577960473400803</v>
      </c>
      <c r="T247">
        <v>17.093306525601527</v>
      </c>
      <c r="U247">
        <v>1508.0064016346548</v>
      </c>
      <c r="V247">
        <v>9.6295297782585152</v>
      </c>
      <c r="W247">
        <v>1282.1416753300387</v>
      </c>
      <c r="X247">
        <v>7.1811811703223452</v>
      </c>
      <c r="Y247">
        <v>2887.4007885191872</v>
      </c>
      <c r="Z247">
        <v>9.6749293198926285</v>
      </c>
      <c r="AA247">
        <v>2737.3105197451173</v>
      </c>
      <c r="AB247">
        <v>7.2079661014885081</v>
      </c>
      <c r="AC247">
        <v>2221.4263655656446</v>
      </c>
      <c r="AD247">
        <v>9.6579360395046994</v>
      </c>
      <c r="AE247">
        <v>2035.5162824185431</v>
      </c>
      <c r="AF247">
        <v>7.1979510146997532</v>
      </c>
      <c r="AG247">
        <v>2086.7312254400413</v>
      </c>
      <c r="AH247">
        <v>9.6461584666931142</v>
      </c>
      <c r="AI247">
        <v>1893.3655222525219</v>
      </c>
      <c r="AJ247">
        <v>7.1910023871674094</v>
      </c>
    </row>
    <row r="248" spans="4:36" x14ac:dyDescent="0.55000000000000004">
      <c r="D248">
        <v>241</v>
      </c>
      <c r="E248">
        <v>14.090499071963228</v>
      </c>
      <c r="F248">
        <v>0.47073346029300317</v>
      </c>
      <c r="G248">
        <v>0.17850755637082086</v>
      </c>
      <c r="H248">
        <v>15.260259911372938</v>
      </c>
      <c r="I248">
        <v>14.381271574734148</v>
      </c>
      <c r="J248">
        <v>0.28914484508318461</v>
      </c>
      <c r="K248">
        <v>0.10922609808656188</v>
      </c>
      <c r="L248">
        <v>15.220357482096096</v>
      </c>
      <c r="M248">
        <v>14.253577723489984</v>
      </c>
      <c r="N248">
        <v>0.36896066680984346</v>
      </c>
      <c r="O248">
        <v>0.13961146552657028</v>
      </c>
      <c r="P248">
        <v>15.237850144173615</v>
      </c>
      <c r="Q248">
        <v>14.189705548727252</v>
      </c>
      <c r="R248">
        <v>0.40884307512836254</v>
      </c>
      <c r="S248">
        <v>0.15483349999740617</v>
      </c>
      <c r="T248">
        <v>15.246617876146983</v>
      </c>
      <c r="U248">
        <v>1633.1826242241211</v>
      </c>
      <c r="V248">
        <v>11.052597275722807</v>
      </c>
      <c r="W248">
        <v>1359.4279438789824</v>
      </c>
      <c r="X248">
        <v>8.0328523535409211</v>
      </c>
      <c r="Y248">
        <v>2925.4270783205457</v>
      </c>
      <c r="Z248">
        <v>11.130133017787275</v>
      </c>
      <c r="AA248">
        <v>2755.8499151834903</v>
      </c>
      <c r="AB248">
        <v>8.0767746373492919</v>
      </c>
      <c r="AC248">
        <v>2282.3087061526339</v>
      </c>
      <c r="AD248">
        <v>11.096100664431198</v>
      </c>
      <c r="AE248">
        <v>2067.4382446093723</v>
      </c>
      <c r="AF248">
        <v>8.0575134343489658</v>
      </c>
      <c r="AG248">
        <v>2204.4375415166865</v>
      </c>
      <c r="AH248">
        <v>11.079067357433463</v>
      </c>
      <c r="AI248">
        <v>1966.9857087181399</v>
      </c>
      <c r="AJ248">
        <v>8.0478629690120478</v>
      </c>
    </row>
    <row r="249" spans="4:36" x14ac:dyDescent="0.55000000000000004">
      <c r="D249">
        <v>242</v>
      </c>
      <c r="E249">
        <v>13.046952454062684</v>
      </c>
      <c r="F249">
        <v>0.43340267052332776</v>
      </c>
      <c r="G249">
        <v>0.18189621798671898</v>
      </c>
      <c r="H249">
        <v>16.33774865742728</v>
      </c>
      <c r="I249">
        <v>13.256073044038528</v>
      </c>
      <c r="J249">
        <v>0.29135531452551766</v>
      </c>
      <c r="K249">
        <v>0.12189344015987356</v>
      </c>
      <c r="L249">
        <v>16.330678201276061</v>
      </c>
      <c r="M249">
        <v>13.188022480960063</v>
      </c>
      <c r="N249">
        <v>0.33761023585637362</v>
      </c>
      <c r="O249">
        <v>0.14138987160612276</v>
      </c>
      <c r="P249">
        <v>16.332977411577438</v>
      </c>
      <c r="Q249">
        <v>13.104459047820326</v>
      </c>
      <c r="R249">
        <v>0.39436882396753936</v>
      </c>
      <c r="S249">
        <v>0.16536925593044138</v>
      </c>
      <c r="T249">
        <v>16.335802872281697</v>
      </c>
      <c r="U249">
        <v>1541.0023544370499</v>
      </c>
      <c r="V249">
        <v>10.256364087289562</v>
      </c>
      <c r="W249">
        <v>1299.3691765120793</v>
      </c>
      <c r="X249">
        <v>7.5633259144355263</v>
      </c>
      <c r="Y249">
        <v>2923.4978353600864</v>
      </c>
      <c r="Z249">
        <v>10.299952663999424</v>
      </c>
      <c r="AA249">
        <v>2757.5769138046062</v>
      </c>
      <c r="AB249">
        <v>7.5891192552740891</v>
      </c>
      <c r="AC249">
        <v>2241.7118298872788</v>
      </c>
      <c r="AD249">
        <v>10.285769396570682</v>
      </c>
      <c r="AE249">
        <v>2044.1412582909695</v>
      </c>
      <c r="AF249">
        <v>7.5807350537737488</v>
      </c>
      <c r="AG249">
        <v>2148.0196926665785</v>
      </c>
      <c r="AH249">
        <v>10.268351549592378</v>
      </c>
      <c r="AI249">
        <v>1930.9671505959604</v>
      </c>
      <c r="AJ249">
        <v>7.5704273559070066</v>
      </c>
    </row>
    <row r="250" spans="4:36" x14ac:dyDescent="0.55000000000000004">
      <c r="D250">
        <v>243</v>
      </c>
      <c r="E250">
        <v>12.864716909942183</v>
      </c>
      <c r="F250">
        <v>0.49425773276699425</v>
      </c>
      <c r="G250">
        <v>0.19145301649485724</v>
      </c>
      <c r="H250">
        <v>16.449572340795946</v>
      </c>
      <c r="I250">
        <v>13.10318628286938</v>
      </c>
      <c r="J250">
        <v>0.31220784107791638</v>
      </c>
      <c r="K250">
        <v>0.1205254512516034</v>
      </c>
      <c r="L250">
        <v>16.464080424801104</v>
      </c>
      <c r="M250">
        <v>12.969321912211003</v>
      </c>
      <c r="N250">
        <v>0.41443745726523956</v>
      </c>
      <c r="O250">
        <v>0.16029444216042515</v>
      </c>
      <c r="P250">
        <v>16.455946188363342</v>
      </c>
      <c r="Q250">
        <v>13.002426027004157</v>
      </c>
      <c r="R250">
        <v>0.38916507458491845</v>
      </c>
      <c r="S250">
        <v>0.15044881169802621</v>
      </c>
      <c r="T250">
        <v>16.457960086712902</v>
      </c>
      <c r="U250">
        <v>1595.7335990627053</v>
      </c>
      <c r="V250">
        <v>10.158497687777908</v>
      </c>
      <c r="W250">
        <v>1336.3628469844778</v>
      </c>
      <c r="X250">
        <v>7.5021013793857421</v>
      </c>
      <c r="Y250">
        <v>2922.2910866362167</v>
      </c>
      <c r="Z250">
        <v>10.192026676172242</v>
      </c>
      <c r="AA250">
        <v>2755.8554741286257</v>
      </c>
      <c r="AB250">
        <v>7.522679603427135</v>
      </c>
      <c r="AC250">
        <v>2269.8575602517722</v>
      </c>
      <c r="AD250">
        <v>10.173199939992369</v>
      </c>
      <c r="AE250">
        <v>2059.7615084190325</v>
      </c>
      <c r="AF250">
        <v>7.5111353587740775</v>
      </c>
      <c r="AG250">
        <v>2159.2661521310615</v>
      </c>
      <c r="AH250">
        <v>10.177854460114913</v>
      </c>
      <c r="AI250">
        <v>1940.8714353474022</v>
      </c>
      <c r="AJ250">
        <v>7.5139919325595139</v>
      </c>
    </row>
    <row r="251" spans="4:36" x14ac:dyDescent="0.55000000000000004">
      <c r="D251">
        <v>244</v>
      </c>
      <c r="E251">
        <v>12.694121099553222</v>
      </c>
      <c r="F251">
        <v>0.48009809802217374</v>
      </c>
      <c r="G251">
        <v>0.17189207194205336</v>
      </c>
      <c r="H251">
        <v>16.653888730482539</v>
      </c>
      <c r="I251">
        <v>12.920794774243804</v>
      </c>
      <c r="J251">
        <v>0.31046949160658455</v>
      </c>
      <c r="K251">
        <v>0.11080807527799026</v>
      </c>
      <c r="L251">
        <v>16.657927658871621</v>
      </c>
      <c r="M251">
        <v>12.837209145954969</v>
      </c>
      <c r="N251">
        <v>0.37305255461015685</v>
      </c>
      <c r="O251">
        <v>0.13329890977424599</v>
      </c>
      <c r="P251">
        <v>16.65643938966063</v>
      </c>
      <c r="Q251">
        <v>12.783858374045222</v>
      </c>
      <c r="R251">
        <v>0.41297794699027024</v>
      </c>
      <c r="S251">
        <v>0.14767487606409621</v>
      </c>
      <c r="T251">
        <v>16.655488802900429</v>
      </c>
      <c r="U251">
        <v>1575.7644395770735</v>
      </c>
      <c r="V251">
        <v>9.9181411528618693</v>
      </c>
      <c r="W251">
        <v>1326.4916868294029</v>
      </c>
      <c r="X251">
        <v>7.3465060447703863</v>
      </c>
      <c r="Y251">
        <v>2920.1596399675018</v>
      </c>
      <c r="Z251">
        <v>9.9536113536106487</v>
      </c>
      <c r="AA251">
        <v>2756.8582856349517</v>
      </c>
      <c r="AB251">
        <v>7.3677847667729877</v>
      </c>
      <c r="AC251">
        <v>2214.9238906637847</v>
      </c>
      <c r="AD251">
        <v>9.9405316006815045</v>
      </c>
      <c r="AE251">
        <v>2025.2808847927197</v>
      </c>
      <c r="AF251">
        <v>7.3599469630766228</v>
      </c>
      <c r="AG251">
        <v>2139.0191787869508</v>
      </c>
      <c r="AH251">
        <v>9.9321831961962666</v>
      </c>
      <c r="AI251">
        <v>1927.1198219724563</v>
      </c>
      <c r="AJ251">
        <v>7.3549389837164227</v>
      </c>
    </row>
    <row r="252" spans="4:36" x14ac:dyDescent="0.55000000000000004">
      <c r="D252">
        <v>245</v>
      </c>
      <c r="E252">
        <v>11.399699471184881</v>
      </c>
      <c r="F252">
        <v>0.39868096875807479</v>
      </c>
      <c r="G252">
        <v>0.15039283034477455</v>
      </c>
      <c r="H252">
        <v>18.051226729712269</v>
      </c>
      <c r="I252">
        <v>11.560672493083436</v>
      </c>
      <c r="J252">
        <v>0.27618317960192551</v>
      </c>
      <c r="K252">
        <v>0.10391352384721167</v>
      </c>
      <c r="L252">
        <v>18.059230803467429</v>
      </c>
      <c r="M252">
        <v>11.504579861461977</v>
      </c>
      <c r="N252">
        <v>0.31888518666568128</v>
      </c>
      <c r="O252">
        <v>0.12008821793638136</v>
      </c>
      <c r="P252">
        <v>18.05644673393595</v>
      </c>
      <c r="Q252">
        <v>11.461603083475746</v>
      </c>
      <c r="R252">
        <v>0.35159052539983809</v>
      </c>
      <c r="S252">
        <v>0.13249637124520569</v>
      </c>
      <c r="T252">
        <v>18.0543100198792</v>
      </c>
      <c r="U252">
        <v>1460.111066094888</v>
      </c>
      <c r="V252">
        <v>9.0266845995893483</v>
      </c>
      <c r="W252">
        <v>1257.6700843192159</v>
      </c>
      <c r="X252">
        <v>6.831907555127251</v>
      </c>
      <c r="Y252">
        <v>2836.9218053836216</v>
      </c>
      <c r="Z252">
        <v>9.0515196764268673</v>
      </c>
      <c r="AA252">
        <v>2704.7088413758265</v>
      </c>
      <c r="AB252">
        <v>6.8475348491696089</v>
      </c>
      <c r="AC252">
        <v>2143.2732671267336</v>
      </c>
      <c r="AD252">
        <v>9.042862949498307</v>
      </c>
      <c r="AE252">
        <v>1984.7841582889916</v>
      </c>
      <c r="AF252">
        <v>6.8420936949100559</v>
      </c>
      <c r="AG252">
        <v>2034.0095946461138</v>
      </c>
      <c r="AH252">
        <v>9.0362323296507832</v>
      </c>
      <c r="AI252">
        <v>1862.9364990878357</v>
      </c>
      <c r="AJ252">
        <v>6.8379216943425618</v>
      </c>
    </row>
    <row r="253" spans="4:36" x14ac:dyDescent="0.55000000000000004">
      <c r="D253">
        <v>246</v>
      </c>
      <c r="E253">
        <v>12.23838717696802</v>
      </c>
      <c r="F253">
        <v>0.44127201707878128</v>
      </c>
      <c r="G253">
        <v>0.14970370306102054</v>
      </c>
      <c r="H253">
        <v>17.170637102892183</v>
      </c>
      <c r="I253">
        <v>12.462426850130555</v>
      </c>
      <c r="J253">
        <v>0.27985771811592047</v>
      </c>
      <c r="K253">
        <v>9.4638746959057732E-2</v>
      </c>
      <c r="L253">
        <v>17.163076684794472</v>
      </c>
      <c r="M253">
        <v>12.36667062983744</v>
      </c>
      <c r="N253">
        <v>0.34888461033671048</v>
      </c>
      <c r="O253">
        <v>0.11814273234944293</v>
      </c>
      <c r="P253">
        <v>17.166302027476412</v>
      </c>
      <c r="Q253">
        <v>12.344392357607379</v>
      </c>
      <c r="R253">
        <v>0.36493620309216107</v>
      </c>
      <c r="S253">
        <v>0.12361772950815703</v>
      </c>
      <c r="T253">
        <v>17.167053709792295</v>
      </c>
      <c r="U253">
        <v>1523.6335120983663</v>
      </c>
      <c r="V253">
        <v>9.6394282749368152</v>
      </c>
      <c r="W253">
        <v>1294.787444404237</v>
      </c>
      <c r="X253">
        <v>7.197310785609611</v>
      </c>
      <c r="Y253">
        <v>2884.4918607637237</v>
      </c>
      <c r="Z253">
        <v>9.6849461796490761</v>
      </c>
      <c r="AA253">
        <v>2735.4090925060455</v>
      </c>
      <c r="AB253">
        <v>7.2243261849482279</v>
      </c>
      <c r="AC253">
        <v>2212.9067886411049</v>
      </c>
      <c r="AD253">
        <v>9.6654955860316552</v>
      </c>
      <c r="AE253">
        <v>2028.9944558474608</v>
      </c>
      <c r="AF253">
        <v>7.2127933679209244</v>
      </c>
      <c r="AG253">
        <v>2104.0467210677189</v>
      </c>
      <c r="AH253">
        <v>9.660969412782622</v>
      </c>
      <c r="AI253">
        <v>1908.3652573985414</v>
      </c>
      <c r="AJ253">
        <v>7.2101072553257044</v>
      </c>
    </row>
    <row r="254" spans="4:36" x14ac:dyDescent="0.55000000000000004">
      <c r="D254">
        <v>247</v>
      </c>
      <c r="E254">
        <v>12.667191100625805</v>
      </c>
      <c r="F254">
        <v>0.45212041323026264</v>
      </c>
      <c r="G254">
        <v>0.16936064626894032</v>
      </c>
      <c r="H254">
        <v>16.711327839875</v>
      </c>
      <c r="I254">
        <v>12.856798898424724</v>
      </c>
      <c r="J254">
        <v>0.31019521009265938</v>
      </c>
      <c r="K254">
        <v>0.11587476283176804</v>
      </c>
      <c r="L254">
        <v>16.717131128650845</v>
      </c>
      <c r="M254">
        <v>12.762455530978837</v>
      </c>
      <c r="N254">
        <v>0.38083774063200182</v>
      </c>
      <c r="O254">
        <v>0.14245945019712508</v>
      </c>
      <c r="P254">
        <v>16.714247278192033</v>
      </c>
      <c r="Q254">
        <v>12.761950255714373</v>
      </c>
      <c r="R254">
        <v>0.38121595023191451</v>
      </c>
      <c r="S254">
        <v>0.14260198056267998</v>
      </c>
      <c r="T254">
        <v>16.714231813491033</v>
      </c>
      <c r="U254">
        <v>1529.6401764474037</v>
      </c>
      <c r="V254">
        <v>10.000493834857123</v>
      </c>
      <c r="W254">
        <v>1293.0378451823312</v>
      </c>
      <c r="X254">
        <v>7.4148325895687872</v>
      </c>
      <c r="Y254">
        <v>2917.1990303017592</v>
      </c>
      <c r="Z254">
        <v>10.034409272164277</v>
      </c>
      <c r="AA254">
        <v>2753.8786499184757</v>
      </c>
      <c r="AB254">
        <v>7.4354207240712187</v>
      </c>
      <c r="AC254">
        <v>2266.8889080852455</v>
      </c>
      <c r="AD254">
        <v>10.017531831211699</v>
      </c>
      <c r="AE254">
        <v>2062.4075748455202</v>
      </c>
      <c r="AF254">
        <v>7.4251835779814943</v>
      </c>
      <c r="AG254">
        <v>2110.15733507195</v>
      </c>
      <c r="AH254">
        <v>10.017441451760103</v>
      </c>
      <c r="AI254">
        <v>1907.1027217899841</v>
      </c>
      <c r="AJ254">
        <v>7.4251287141333657</v>
      </c>
    </row>
    <row r="255" spans="4:36" x14ac:dyDescent="0.55000000000000004">
      <c r="D255">
        <v>248</v>
      </c>
      <c r="E255">
        <v>11.862713497542666</v>
      </c>
      <c r="F255">
        <v>0.39546977884246737</v>
      </c>
      <c r="G255">
        <v>0.13687267220807778</v>
      </c>
      <c r="H255">
        <v>17.604944051406786</v>
      </c>
      <c r="I255">
        <v>12.031086980457399</v>
      </c>
      <c r="J255">
        <v>0.27206276672001312</v>
      </c>
      <c r="K255">
        <v>9.3911116231028602E-2</v>
      </c>
      <c r="L255">
        <v>17.602939136591569</v>
      </c>
      <c r="M255">
        <v>11.952552867414916</v>
      </c>
      <c r="N255">
        <v>0.32964429451520244</v>
      </c>
      <c r="O255">
        <v>0.11392808268367871</v>
      </c>
      <c r="P255">
        <v>17.603874755386219</v>
      </c>
      <c r="Q255">
        <v>11.877891227866378</v>
      </c>
      <c r="R255">
        <v>0.38435242389528135</v>
      </c>
      <c r="S255">
        <v>0.13299287024012044</v>
      </c>
      <c r="T255">
        <v>17.604763477998226</v>
      </c>
      <c r="U255">
        <v>1482.1377324618416</v>
      </c>
      <c r="V255">
        <v>9.2996964811074285</v>
      </c>
      <c r="W255">
        <v>1269.5035043860421</v>
      </c>
      <c r="X255">
        <v>6.9891049861227952</v>
      </c>
      <c r="Y255">
        <v>2878.2498570745952</v>
      </c>
      <c r="Z255">
        <v>9.3333642946490301</v>
      </c>
      <c r="AA255">
        <v>2732.9350559651666</v>
      </c>
      <c r="AB255">
        <v>7.0096351303997002</v>
      </c>
      <c r="AC255">
        <v>2201.898855108273</v>
      </c>
      <c r="AD255">
        <v>9.3176599383213876</v>
      </c>
      <c r="AE255">
        <v>2024.2132646916641</v>
      </c>
      <c r="AF255">
        <v>7.0000665532123083</v>
      </c>
      <c r="AG255">
        <v>2097.0453679985371</v>
      </c>
      <c r="AH255">
        <v>9.3027311603971352</v>
      </c>
      <c r="AI255">
        <v>1903.6101193422708</v>
      </c>
      <c r="AJ255">
        <v>6.9909580403023472</v>
      </c>
    </row>
    <row r="256" spans="4:36" x14ac:dyDescent="0.55000000000000004">
      <c r="D256">
        <v>249</v>
      </c>
      <c r="E256">
        <v>13.339213720863162</v>
      </c>
      <c r="F256">
        <v>0.46443694185784379</v>
      </c>
      <c r="G256">
        <v>0.1636807538642662</v>
      </c>
      <c r="H256">
        <v>16.032668583414729</v>
      </c>
      <c r="I256">
        <v>13.565200937433376</v>
      </c>
      <c r="J256">
        <v>0.31099625995203539</v>
      </c>
      <c r="K256">
        <v>0.10926131778675044</v>
      </c>
      <c r="L256">
        <v>16.014541484827831</v>
      </c>
      <c r="M256">
        <v>13.488749314720664</v>
      </c>
      <c r="N256">
        <v>0.36294163230114518</v>
      </c>
      <c r="O256">
        <v>0.12764560211549086</v>
      </c>
      <c r="P256">
        <v>16.020663450862713</v>
      </c>
      <c r="Q256">
        <v>13.449282815839625</v>
      </c>
      <c r="R256">
        <v>0.38974284145578464</v>
      </c>
      <c r="S256">
        <v>0.1371463967264954</v>
      </c>
      <c r="T256">
        <v>16.023827945978091</v>
      </c>
      <c r="U256">
        <v>1584.7757918023722</v>
      </c>
      <c r="V256">
        <v>10.456446552630002</v>
      </c>
      <c r="W256">
        <v>1330.7181302676656</v>
      </c>
      <c r="X256">
        <v>7.6787918313988257</v>
      </c>
      <c r="Y256">
        <v>2933.8576445875578</v>
      </c>
      <c r="Z256">
        <v>10.509253571196426</v>
      </c>
      <c r="AA256">
        <v>2764.5339325227096</v>
      </c>
      <c r="AB256">
        <v>7.7094550201223226</v>
      </c>
      <c r="AC256">
        <v>2259.3913145704205</v>
      </c>
      <c r="AD256">
        <v>10.491394280836127</v>
      </c>
      <c r="AE256">
        <v>2056.1579588574473</v>
      </c>
      <c r="AF256">
        <v>7.6990948464846163</v>
      </c>
      <c r="AG256">
        <v>2149.8457946194603</v>
      </c>
      <c r="AH256">
        <v>10.482172672282999</v>
      </c>
      <c r="AI256">
        <v>1933.7998609313645</v>
      </c>
      <c r="AJ256">
        <v>7.6937413722619885</v>
      </c>
    </row>
    <row r="257" spans="4:36" x14ac:dyDescent="0.55000000000000004">
      <c r="D257">
        <v>250</v>
      </c>
      <c r="E257">
        <v>12.573344481617227</v>
      </c>
      <c r="F257">
        <v>0.45853138064425836</v>
      </c>
      <c r="G257">
        <v>0.15773125265881224</v>
      </c>
      <c r="H257">
        <v>16.810392885079693</v>
      </c>
      <c r="I257">
        <v>12.772468525183312</v>
      </c>
      <c r="J257">
        <v>0.30998367188370668</v>
      </c>
      <c r="K257">
        <v>0.10632298903071731</v>
      </c>
      <c r="L257">
        <v>16.811224813902275</v>
      </c>
      <c r="M257">
        <v>12.679909740016994</v>
      </c>
      <c r="N257">
        <v>0.37906045204555777</v>
      </c>
      <c r="O257">
        <v>0.13019090005845541</v>
      </c>
      <c r="P257">
        <v>16.810838907878978</v>
      </c>
      <c r="Q257">
        <v>12.63393784277096</v>
      </c>
      <c r="R257">
        <v>0.41335171761243744</v>
      </c>
      <c r="S257">
        <v>0.14206371739078666</v>
      </c>
      <c r="T257">
        <v>16.810646722225808</v>
      </c>
      <c r="U257">
        <v>1554.9650943593849</v>
      </c>
      <c r="V257">
        <v>9.9722164908128246</v>
      </c>
      <c r="W257">
        <v>1313.6333097312415</v>
      </c>
      <c r="X257">
        <v>7.404843280662087</v>
      </c>
      <c r="Y257">
        <v>2892.2597962604377</v>
      </c>
      <c r="Z257">
        <v>10.010036217789503</v>
      </c>
      <c r="AA257">
        <v>2736.7574078547336</v>
      </c>
      <c r="AB257">
        <v>7.4276254251620699</v>
      </c>
      <c r="AC257">
        <v>2233.8960125155427</v>
      </c>
      <c r="AD257">
        <v>9.992455749220138</v>
      </c>
      <c r="AE257">
        <v>2039.731220744043</v>
      </c>
      <c r="AF257">
        <v>7.4170443201436802</v>
      </c>
      <c r="AG257">
        <v>2144.804059186818</v>
      </c>
      <c r="AH257">
        <v>9.9837243923540484</v>
      </c>
      <c r="AI257">
        <v>1932.27482468006</v>
      </c>
      <c r="AJ257">
        <v>7.4117833093499232</v>
      </c>
    </row>
    <row r="258" spans="4:36" x14ac:dyDescent="0.55000000000000004">
      <c r="D258">
        <v>251</v>
      </c>
      <c r="E258">
        <v>13.536890555598857</v>
      </c>
      <c r="F258">
        <v>0.53131828091581468</v>
      </c>
      <c r="G258">
        <v>0.18318300757192771</v>
      </c>
      <c r="H258">
        <v>15.748608155913409</v>
      </c>
      <c r="I258">
        <v>13.792796793699209</v>
      </c>
      <c r="J258">
        <v>0.33965888846655423</v>
      </c>
      <c r="K258">
        <v>0.11669246131372223</v>
      </c>
      <c r="L258">
        <v>15.750851856520518</v>
      </c>
      <c r="M258">
        <v>13.680415667718794</v>
      </c>
      <c r="N258">
        <v>0.42386830175648038</v>
      </c>
      <c r="O258">
        <v>0.14584780632585118</v>
      </c>
      <c r="P258">
        <v>15.749868224198876</v>
      </c>
      <c r="Q258">
        <v>13.660494395948033</v>
      </c>
      <c r="R258">
        <v>0.43878883049349565</v>
      </c>
      <c r="S258">
        <v>0.15102318778090573</v>
      </c>
      <c r="T258">
        <v>15.749693585777552</v>
      </c>
      <c r="U258">
        <v>1634.2730838684204</v>
      </c>
      <c r="V258">
        <v>10.645100188429046</v>
      </c>
      <c r="W258">
        <v>1355.7839785055851</v>
      </c>
      <c r="X258">
        <v>7.7851442666074604</v>
      </c>
      <c r="Y258">
        <v>2962.105872026124</v>
      </c>
      <c r="Z258">
        <v>10.688983921399943</v>
      </c>
      <c r="AA258">
        <v>2779.0387120651071</v>
      </c>
      <c r="AB258">
        <v>7.8111899315565605</v>
      </c>
      <c r="AC258">
        <v>2315.797228831696</v>
      </c>
      <c r="AD258">
        <v>10.669711374610339</v>
      </c>
      <c r="AE258">
        <v>2088.0256092646177</v>
      </c>
      <c r="AF258">
        <v>7.7997632043649352</v>
      </c>
      <c r="AG258">
        <v>2169.4607433736851</v>
      </c>
      <c r="AH258">
        <v>10.666295187503751</v>
      </c>
      <c r="AI258">
        <v>1939.2434443154566</v>
      </c>
      <c r="AJ258">
        <v>7.7977358193980795</v>
      </c>
    </row>
    <row r="259" spans="4:36" x14ac:dyDescent="0.55000000000000004">
      <c r="D259">
        <v>252</v>
      </c>
      <c r="E259">
        <v>12.456168223578263</v>
      </c>
      <c r="F259">
        <v>0.46840555546439944</v>
      </c>
      <c r="G259">
        <v>0.16414438586023972</v>
      </c>
      <c r="H259">
        <v>16.911281835097103</v>
      </c>
      <c r="I259">
        <v>12.647179167743454</v>
      </c>
      <c r="J259">
        <v>0.31919070234512831</v>
      </c>
      <c r="K259">
        <v>0.11156038931069272</v>
      </c>
      <c r="L259">
        <v>16.922069740600719</v>
      </c>
      <c r="M259">
        <v>12.572321479497795</v>
      </c>
      <c r="N259">
        <v>0.37768993382779253</v>
      </c>
      <c r="O259">
        <v>0.13214231950962541</v>
      </c>
      <c r="P259">
        <v>16.917846267164784</v>
      </c>
      <c r="Q259">
        <v>12.55480587324446</v>
      </c>
      <c r="R259">
        <v>0.39137390631675151</v>
      </c>
      <c r="S259">
        <v>0.13696298848719723</v>
      </c>
      <c r="T259">
        <v>16.916857231951585</v>
      </c>
      <c r="U259">
        <v>1559.4823990245434</v>
      </c>
      <c r="V259">
        <v>9.8621074151134209</v>
      </c>
      <c r="W259">
        <v>1315.6976552106216</v>
      </c>
      <c r="X259">
        <v>7.3337356715295723</v>
      </c>
      <c r="Y259">
        <v>2927.3344802433548</v>
      </c>
      <c r="Z259">
        <v>9.8920883914327558</v>
      </c>
      <c r="AA259">
        <v>2761.8287714404819</v>
      </c>
      <c r="AB259">
        <v>7.3521066097128305</v>
      </c>
      <c r="AC259">
        <v>2230.4820440102703</v>
      </c>
      <c r="AD259">
        <v>9.8803363949141492</v>
      </c>
      <c r="AE259">
        <v>2036.8551466634972</v>
      </c>
      <c r="AF259">
        <v>7.34491284430979</v>
      </c>
      <c r="AG259">
        <v>2135.5854619474912</v>
      </c>
      <c r="AH259">
        <v>9.8775870395642364</v>
      </c>
      <c r="AI259">
        <v>1926.6953017624292</v>
      </c>
      <c r="AJ259">
        <v>7.3432285242909785</v>
      </c>
    </row>
    <row r="260" spans="4:36" x14ac:dyDescent="0.55000000000000004">
      <c r="D260">
        <v>253</v>
      </c>
      <c r="E260">
        <v>13.064479929010549</v>
      </c>
      <c r="F260">
        <v>0.4766129353431785</v>
      </c>
      <c r="G260">
        <v>0.17825284516656395</v>
      </c>
      <c r="H260">
        <v>16.280654290479699</v>
      </c>
      <c r="I260">
        <v>13.300955840187862</v>
      </c>
      <c r="J260">
        <v>0.30967063683062046</v>
      </c>
      <c r="K260">
        <v>0.11543429356010204</v>
      </c>
      <c r="L260">
        <v>16.273939229421426</v>
      </c>
      <c r="M260">
        <v>13.207850830684952</v>
      </c>
      <c r="N260">
        <v>0.37543931745737202</v>
      </c>
      <c r="O260">
        <v>0.14013199779889993</v>
      </c>
      <c r="P260">
        <v>16.276577854058772</v>
      </c>
      <c r="Q260">
        <v>13.185838253655106</v>
      </c>
      <c r="R260">
        <v>0.39098120746682907</v>
      </c>
      <c r="S260">
        <v>0.14597785516480025</v>
      </c>
      <c r="T260">
        <v>16.277202683713249</v>
      </c>
      <c r="U260">
        <v>1584.2760886283013</v>
      </c>
      <c r="V260">
        <v>10.333141846142439</v>
      </c>
      <c r="W260">
        <v>1328.4348910610729</v>
      </c>
      <c r="X260">
        <v>7.6157775243653791</v>
      </c>
      <c r="Y260">
        <v>2945.1567520043873</v>
      </c>
      <c r="Z260">
        <v>10.383921375268837</v>
      </c>
      <c r="AA260">
        <v>2772.3767309648679</v>
      </c>
      <c r="AB260">
        <v>7.6457312621506217</v>
      </c>
      <c r="AC260">
        <v>2263.7884663623395</v>
      </c>
      <c r="AD260">
        <v>10.363931191523811</v>
      </c>
      <c r="AE260">
        <v>2057.7380698855818</v>
      </c>
      <c r="AF260">
        <v>7.6339515220768224</v>
      </c>
      <c r="AG260">
        <v>2168.7339155836044</v>
      </c>
      <c r="AH260">
        <v>10.35920445937276</v>
      </c>
      <c r="AI260">
        <v>1946.9416182226169</v>
      </c>
      <c r="AJ260">
        <v>7.6311638990224804</v>
      </c>
    </row>
    <row r="261" spans="4:36" x14ac:dyDescent="0.55000000000000004">
      <c r="D261">
        <v>254</v>
      </c>
      <c r="E261">
        <v>12.754772781058685</v>
      </c>
      <c r="F261">
        <v>0.44749294149001623</v>
      </c>
      <c r="G261">
        <v>0.19149913058395626</v>
      </c>
      <c r="H261">
        <v>16.606235146867341</v>
      </c>
      <c r="I261">
        <v>12.973783564112523</v>
      </c>
      <c r="J261">
        <v>0.29060398902856788</v>
      </c>
      <c r="K261">
        <v>0.12393351562098064</v>
      </c>
      <c r="L261">
        <v>16.611678931237925</v>
      </c>
      <c r="M261">
        <v>12.871185392056814</v>
      </c>
      <c r="N261">
        <v>0.36413616272960958</v>
      </c>
      <c r="O261">
        <v>0.15554208669682409</v>
      </c>
      <c r="P261">
        <v>16.609136358516754</v>
      </c>
      <c r="Q261">
        <v>12.849404724321019</v>
      </c>
      <c r="R261">
        <v>0.37973831022647503</v>
      </c>
      <c r="S261">
        <v>0.16226209574565692</v>
      </c>
      <c r="T261">
        <v>16.608594869706845</v>
      </c>
      <c r="U261">
        <v>1535.086482911174</v>
      </c>
      <c r="V261">
        <v>10.090884837822955</v>
      </c>
      <c r="W261">
        <v>1299.0924138983842</v>
      </c>
      <c r="X261">
        <v>7.4702397436174053</v>
      </c>
      <c r="Y261">
        <v>2884.0892146777387</v>
      </c>
      <c r="Z261">
        <v>10.130486692005235</v>
      </c>
      <c r="AA261">
        <v>2731.8689990264584</v>
      </c>
      <c r="AB261">
        <v>7.4943214829333353</v>
      </c>
      <c r="AC261">
        <v>2205.8751590477559</v>
      </c>
      <c r="AD261">
        <v>10.111930769970103</v>
      </c>
      <c r="AE261">
        <v>2019.5959717721664</v>
      </c>
      <c r="AF261">
        <v>7.4830489162370633</v>
      </c>
      <c r="AG261">
        <v>2107.0732063372488</v>
      </c>
      <c r="AH261">
        <v>10.107992411028324</v>
      </c>
      <c r="AI261">
        <v>1906.2674622546697</v>
      </c>
      <c r="AJ261">
        <v>7.4806538629291044</v>
      </c>
    </row>
    <row r="262" spans="4:36" x14ac:dyDescent="0.55000000000000004">
      <c r="D262">
        <v>255</v>
      </c>
      <c r="E262">
        <v>12.171512885367868</v>
      </c>
      <c r="F262">
        <v>0.43300319558352551</v>
      </c>
      <c r="G262">
        <v>0.18973311216934</v>
      </c>
      <c r="H262">
        <v>17.20575080687928</v>
      </c>
      <c r="I262">
        <v>12.390011849452511</v>
      </c>
      <c r="J262">
        <v>0.2763206197579684</v>
      </c>
      <c r="K262">
        <v>0.12066365894779051</v>
      </c>
      <c r="L262">
        <v>17.213003871841728</v>
      </c>
      <c r="M262">
        <v>12.316376288022408</v>
      </c>
      <c r="N262">
        <v>0.32915634775398417</v>
      </c>
      <c r="O262">
        <v>0.14390130558948935</v>
      </c>
      <c r="P262">
        <v>17.210566058634114</v>
      </c>
      <c r="Q262">
        <v>12.288649866285295</v>
      </c>
      <c r="R262">
        <v>0.34904231300812566</v>
      </c>
      <c r="S262">
        <v>0.15266139391482964</v>
      </c>
      <c r="T262">
        <v>17.209646426791764</v>
      </c>
      <c r="U262">
        <v>1525.4194758639826</v>
      </c>
      <c r="V262">
        <v>9.6404959235777721</v>
      </c>
      <c r="W262">
        <v>1294.3617822533652</v>
      </c>
      <c r="X262">
        <v>7.1997808029057255</v>
      </c>
      <c r="Y262">
        <v>2899.2045623375711</v>
      </c>
      <c r="Z262">
        <v>9.674489997665642</v>
      </c>
      <c r="AA262">
        <v>2745.2171902080236</v>
      </c>
      <c r="AB262">
        <v>7.2207276493310273</v>
      </c>
      <c r="AC262">
        <v>2182.7640196034499</v>
      </c>
      <c r="AD262">
        <v>9.6630301447232121</v>
      </c>
      <c r="AE262">
        <v>2006.1195474316683</v>
      </c>
      <c r="AF262">
        <v>7.213675663384457</v>
      </c>
      <c r="AG262">
        <v>2082.1229309037276</v>
      </c>
      <c r="AH262">
        <v>9.658716051876338</v>
      </c>
      <c r="AI262">
        <v>1891.2410401635354</v>
      </c>
      <c r="AJ262">
        <v>7.2110184427227235</v>
      </c>
    </row>
    <row r="263" spans="4:36" x14ac:dyDescent="0.55000000000000004">
      <c r="D263">
        <v>256</v>
      </c>
      <c r="E263">
        <v>11.324406041479762</v>
      </c>
      <c r="F263">
        <v>0.47139584519560151</v>
      </c>
      <c r="G263">
        <v>0.15365822902014747</v>
      </c>
      <c r="H263">
        <v>18.050539884304484</v>
      </c>
      <c r="I263">
        <v>11.530208727407983</v>
      </c>
      <c r="J263">
        <v>0.28850835937653868</v>
      </c>
      <c r="K263">
        <v>9.3752265694260886E-2</v>
      </c>
      <c r="L263">
        <v>18.087530647521206</v>
      </c>
      <c r="M263">
        <v>11.441406602495196</v>
      </c>
      <c r="N263">
        <v>0.36743780059910619</v>
      </c>
      <c r="O263">
        <v>0.11956000661033474</v>
      </c>
      <c r="P263">
        <v>18.07159559029537</v>
      </c>
      <c r="Q263">
        <v>11.416443711297477</v>
      </c>
      <c r="R263">
        <v>0.38962131852842657</v>
      </c>
      <c r="S263">
        <v>0.12682595378867434</v>
      </c>
      <c r="T263">
        <v>18.067109016385416</v>
      </c>
      <c r="U263">
        <v>1452.6569122285953</v>
      </c>
      <c r="V263">
        <v>9.045034884486908</v>
      </c>
      <c r="W263">
        <v>1245.1742416315685</v>
      </c>
      <c r="X263">
        <v>6.8453509934237102</v>
      </c>
      <c r="Y263">
        <v>2853.9997801576565</v>
      </c>
      <c r="Z263">
        <v>9.0635188567495515</v>
      </c>
      <c r="AA263">
        <v>2716.1961226439048</v>
      </c>
      <c r="AB263">
        <v>6.8585257347317281</v>
      </c>
      <c r="AC263">
        <v>2192.4512050854837</v>
      </c>
      <c r="AD263">
        <v>9.0555274212577643</v>
      </c>
      <c r="AE263">
        <v>2017.6151678687754</v>
      </c>
      <c r="AF263">
        <v>6.8528414298994393</v>
      </c>
      <c r="AG263">
        <v>2070.1354863723059</v>
      </c>
      <c r="AH263">
        <v>9.0532852640541783</v>
      </c>
      <c r="AI263">
        <v>1886.6303059308334</v>
      </c>
      <c r="AJ263">
        <v>6.8512434015682135</v>
      </c>
    </row>
    <row r="264" spans="4:36" x14ac:dyDescent="0.55000000000000004">
      <c r="D264">
        <v>257</v>
      </c>
      <c r="E264">
        <v>12.826853551220299</v>
      </c>
      <c r="F264">
        <v>0.48068670886176995</v>
      </c>
      <c r="G264">
        <v>0.19312427743949864</v>
      </c>
      <c r="H264">
        <v>16.499335462478417</v>
      </c>
      <c r="I264">
        <v>13.070818117868425</v>
      </c>
      <c r="J264">
        <v>0.29942564404135341</v>
      </c>
      <c r="K264">
        <v>0.11987463866715013</v>
      </c>
      <c r="L264">
        <v>16.509881599423071</v>
      </c>
      <c r="M264">
        <v>12.929593494650698</v>
      </c>
      <c r="N264">
        <v>0.404393011085804</v>
      </c>
      <c r="O264">
        <v>0.16222896446356724</v>
      </c>
      <c r="P264">
        <v>16.503784529799926</v>
      </c>
      <c r="Q264">
        <v>12.925220434260021</v>
      </c>
      <c r="R264">
        <v>0.40764160009263395</v>
      </c>
      <c r="S264">
        <v>0.16354257474922707</v>
      </c>
      <c r="T264">
        <v>16.503595390898102</v>
      </c>
      <c r="U264">
        <v>1595.4530212027266</v>
      </c>
      <c r="V264">
        <v>10.193219051974705</v>
      </c>
      <c r="W264">
        <v>1335.6889067337668</v>
      </c>
      <c r="X264">
        <v>7.5342015846771107</v>
      </c>
      <c r="Y264">
        <v>2934.51664789594</v>
      </c>
      <c r="Z264">
        <v>10.232868104691429</v>
      </c>
      <c r="AA264">
        <v>2765.0139389052715</v>
      </c>
      <c r="AB264">
        <v>7.5583495459775003</v>
      </c>
      <c r="AC264">
        <v>2278.5857810092843</v>
      </c>
      <c r="AD264">
        <v>10.20991183294268</v>
      </c>
      <c r="AE264">
        <v>2065.7381380783781</v>
      </c>
      <c r="AF264">
        <v>7.5443803415376323</v>
      </c>
      <c r="AG264">
        <v>2157.0125860825542</v>
      </c>
      <c r="AH264">
        <v>10.209201181601596</v>
      </c>
      <c r="AI264">
        <v>1936.344845071359</v>
      </c>
      <c r="AJ264">
        <v>7.5439473701127318</v>
      </c>
    </row>
    <row r="265" spans="4:36" x14ac:dyDescent="0.55000000000000004">
      <c r="D265">
        <v>258</v>
      </c>
      <c r="E265">
        <v>13.871212474162867</v>
      </c>
      <c r="F265">
        <v>0.5041275260273208</v>
      </c>
      <c r="G265">
        <v>0.19421170020747783</v>
      </c>
      <c r="H265">
        <v>15.430448299602343</v>
      </c>
      <c r="I265">
        <v>14.123325254430604</v>
      </c>
      <c r="J265">
        <v>0.3261443668434017</v>
      </c>
      <c r="K265">
        <v>0.12522730611805205</v>
      </c>
      <c r="L265">
        <v>15.425303072607939</v>
      </c>
      <c r="M265">
        <v>14.029527310650465</v>
      </c>
      <c r="N265">
        <v>0.39240569867612773</v>
      </c>
      <c r="O265">
        <v>0.15085502489238878</v>
      </c>
      <c r="P265">
        <v>15.427211965781025</v>
      </c>
      <c r="Q265">
        <v>13.982675307593304</v>
      </c>
      <c r="R265">
        <v>0.42548411615477472</v>
      </c>
      <c r="S265">
        <v>0.16367274479957669</v>
      </c>
      <c r="T265">
        <v>15.428167831452342</v>
      </c>
      <c r="U265">
        <v>1626.9797767326272</v>
      </c>
      <c r="V265">
        <v>11.067277791212099</v>
      </c>
      <c r="W265">
        <v>1353.9649176506232</v>
      </c>
      <c r="X265">
        <v>8.0611104286661579</v>
      </c>
      <c r="Y265">
        <v>2952.8973184864353</v>
      </c>
      <c r="Z265">
        <v>11.120649558519242</v>
      </c>
      <c r="AA265">
        <v>2774.2101150291528</v>
      </c>
      <c r="AB265">
        <v>8.0922549259014271</v>
      </c>
      <c r="AC265">
        <v>2286.9635297241934</v>
      </c>
      <c r="AD265">
        <v>11.100795457185995</v>
      </c>
      <c r="AE265">
        <v>2070.3690335114616</v>
      </c>
      <c r="AF265">
        <v>8.0806811386900197</v>
      </c>
      <c r="AG265">
        <v>2168.2552293802801</v>
      </c>
      <c r="AH265">
        <v>11.090877140547068</v>
      </c>
      <c r="AI265">
        <v>1940.6072915308093</v>
      </c>
      <c r="AJ265">
        <v>8.0748941015851905</v>
      </c>
    </row>
    <row r="266" spans="4:36" x14ac:dyDescent="0.55000000000000004">
      <c r="D266">
        <v>259</v>
      </c>
      <c r="E266">
        <v>14.05173838167922</v>
      </c>
      <c r="F266">
        <v>0.4875422525210768</v>
      </c>
      <c r="G266">
        <v>0.18843555333549819</v>
      </c>
      <c r="H266">
        <v>15.272283812464211</v>
      </c>
      <c r="I266">
        <v>14.343927852337305</v>
      </c>
      <c r="J266">
        <v>0.302706953673965</v>
      </c>
      <c r="K266">
        <v>0.11652665429268881</v>
      </c>
      <c r="L266">
        <v>15.236838539696038</v>
      </c>
      <c r="M266">
        <v>14.220369409476369</v>
      </c>
      <c r="N266">
        <v>0.38093820853419613</v>
      </c>
      <c r="O266">
        <v>0.14689015375911393</v>
      </c>
      <c r="P266">
        <v>15.25180222823032</v>
      </c>
      <c r="Q266">
        <v>14.178719037109222</v>
      </c>
      <c r="R266">
        <v>0.40728627094463038</v>
      </c>
      <c r="S266">
        <v>0.15714009734404619</v>
      </c>
      <c r="T266">
        <v>15.256854594602089</v>
      </c>
      <c r="U266">
        <v>1640.4143237804869</v>
      </c>
      <c r="V266">
        <v>11.090642739587025</v>
      </c>
      <c r="W266">
        <v>1362.1520193341125</v>
      </c>
      <c r="X266">
        <v>8.0603713486101576</v>
      </c>
      <c r="Y266">
        <v>2963.2640871063018</v>
      </c>
      <c r="Z266">
        <v>11.162106980246751</v>
      </c>
      <c r="AA266">
        <v>2781.5986765665693</v>
      </c>
      <c r="AB266">
        <v>8.1010160893707557</v>
      </c>
      <c r="AC266">
        <v>2270.6361730859699</v>
      </c>
      <c r="AD266">
        <v>11.131901352415117</v>
      </c>
      <c r="AE266">
        <v>2056.9922329519836</v>
      </c>
      <c r="AF266">
        <v>8.0838533052699049</v>
      </c>
      <c r="AG266">
        <v>2160.53559869436</v>
      </c>
      <c r="AH266">
        <v>11.121714547372035</v>
      </c>
      <c r="AI266">
        <v>1933.8838656470982</v>
      </c>
      <c r="AJ266">
        <v>8.0780597804269672</v>
      </c>
    </row>
    <row r="267" spans="4:36" x14ac:dyDescent="0.55000000000000004">
      <c r="D267">
        <v>260</v>
      </c>
      <c r="E267">
        <v>11.460819041171808</v>
      </c>
      <c r="F267">
        <v>0.41275269188255226</v>
      </c>
      <c r="G267">
        <v>0.14233788000267203</v>
      </c>
      <c r="H267">
        <v>17.984090386942984</v>
      </c>
      <c r="I267">
        <v>11.656051805418574</v>
      </c>
      <c r="J267">
        <v>0.26200903255723323</v>
      </c>
      <c r="K267">
        <v>9.0074349940102272E-2</v>
      </c>
      <c r="L267">
        <v>17.991864812084078</v>
      </c>
      <c r="M267">
        <v>11.582073966971455</v>
      </c>
      <c r="N267">
        <v>0.3191530589822133</v>
      </c>
      <c r="O267">
        <v>0.10984787569209674</v>
      </c>
      <c r="P267">
        <v>17.988925098354244</v>
      </c>
      <c r="Q267">
        <v>11.524909047028098</v>
      </c>
      <c r="R267">
        <v>0.36328992783902142</v>
      </c>
      <c r="S267">
        <v>0.12515268368185931</v>
      </c>
      <c r="T267">
        <v>17.986648341450998</v>
      </c>
      <c r="U267">
        <v>1491.4625939497125</v>
      </c>
      <c r="V267">
        <v>8.9570104091726623</v>
      </c>
      <c r="W267">
        <v>1277.7256047126889</v>
      </c>
      <c r="X267">
        <v>6.771322495092174</v>
      </c>
      <c r="Y267">
        <v>2854.0598572419817</v>
      </c>
      <c r="Z267">
        <v>8.9865580221113408</v>
      </c>
      <c r="AA267">
        <v>2717.1721277551551</v>
      </c>
      <c r="AB267">
        <v>6.7898755181580244</v>
      </c>
      <c r="AC267">
        <v>2177.5469294810027</v>
      </c>
      <c r="AD267">
        <v>8.9753579188397659</v>
      </c>
      <c r="AE267">
        <v>2008.7316474517411</v>
      </c>
      <c r="AF267">
        <v>6.7828518115181105</v>
      </c>
      <c r="AG267">
        <v>2059.8649781445406</v>
      </c>
      <c r="AH267">
        <v>8.9667064973875217</v>
      </c>
      <c r="AI267">
        <v>1879.3254167861635</v>
      </c>
      <c r="AJ267">
        <v>6.7774190263003939</v>
      </c>
    </row>
    <row r="268" spans="4:36" x14ac:dyDescent="0.55000000000000004">
      <c r="D268">
        <v>261</v>
      </c>
      <c r="E268">
        <v>11.797952042294281</v>
      </c>
      <c r="F268">
        <v>0.40264864379324561</v>
      </c>
      <c r="G268">
        <v>0.15663370208757957</v>
      </c>
      <c r="H268">
        <v>17.642765611824906</v>
      </c>
      <c r="I268">
        <v>12.009912421629966</v>
      </c>
      <c r="J268">
        <v>0.25322129599147469</v>
      </c>
      <c r="K268">
        <v>9.8163204572100746E-2</v>
      </c>
      <c r="L268">
        <v>17.638703077806454</v>
      </c>
      <c r="M268">
        <v>11.916406279806882</v>
      </c>
      <c r="N268">
        <v>0.31917663700834487</v>
      </c>
      <c r="O268">
        <v>0.12392052082247718</v>
      </c>
      <c r="P268">
        <v>17.640496562362291</v>
      </c>
      <c r="Q268">
        <v>11.90497621289501</v>
      </c>
      <c r="R268">
        <v>0.32723509133898454</v>
      </c>
      <c r="S268">
        <v>0.12707303973943496</v>
      </c>
      <c r="T268">
        <v>17.640715656026565</v>
      </c>
      <c r="U268">
        <v>1462.3128477778037</v>
      </c>
      <c r="V268">
        <v>9.2151722560390787</v>
      </c>
      <c r="W268">
        <v>1252.7301113288802</v>
      </c>
      <c r="X268">
        <v>6.9306722285217459</v>
      </c>
      <c r="Y268">
        <v>2873.5723219537736</v>
      </c>
      <c r="Z268">
        <v>9.2581274667432201</v>
      </c>
      <c r="AA268">
        <v>2730.221661792978</v>
      </c>
      <c r="AB268">
        <v>6.9568075786334784</v>
      </c>
      <c r="AC268">
        <v>2209.932337371702</v>
      </c>
      <c r="AD268">
        <v>9.2391770918711309</v>
      </c>
      <c r="AE268">
        <v>2030.2053587133723</v>
      </c>
      <c r="AF268">
        <v>6.9452897693191309</v>
      </c>
      <c r="AG268">
        <v>2095.1411105790903</v>
      </c>
      <c r="AH268">
        <v>9.2368607003498493</v>
      </c>
      <c r="AI268">
        <v>1905.8864645528527</v>
      </c>
      <c r="AJ268">
        <v>6.9438805787237472</v>
      </c>
    </row>
    <row r="269" spans="4:36" x14ac:dyDescent="0.55000000000000004">
      <c r="D269">
        <v>262</v>
      </c>
      <c r="E269">
        <v>13.479270758210095</v>
      </c>
      <c r="F269">
        <v>0.44272063202653689</v>
      </c>
      <c r="G269">
        <v>0.18852459172426214</v>
      </c>
      <c r="H269">
        <v>15.889484018039111</v>
      </c>
      <c r="I269">
        <v>13.727800676667369</v>
      </c>
      <c r="J269">
        <v>0.286886741722292</v>
      </c>
      <c r="K269">
        <v>0.12173667614536995</v>
      </c>
      <c r="L269">
        <v>15.863575905464966</v>
      </c>
      <c r="M269">
        <v>13.685631231984274</v>
      </c>
      <c r="N269">
        <v>0.31335808872552595</v>
      </c>
      <c r="O269">
        <v>0.13304830786270935</v>
      </c>
      <c r="P269">
        <v>15.867962371427506</v>
      </c>
      <c r="Q269">
        <v>13.565169789201956</v>
      </c>
      <c r="R269">
        <v>0.38890858845511234</v>
      </c>
      <c r="S269">
        <v>0.1654075133569973</v>
      </c>
      <c r="T269">
        <v>15.880514108985933</v>
      </c>
      <c r="U269">
        <v>1592.2779859522425</v>
      </c>
      <c r="V269">
        <v>10.617682904074895</v>
      </c>
      <c r="W269">
        <v>1332.9559680361181</v>
      </c>
      <c r="X269">
        <v>7.7821892216852095</v>
      </c>
      <c r="Y269">
        <v>2916.7100776471511</v>
      </c>
      <c r="Z269">
        <v>10.679075711302392</v>
      </c>
      <c r="AA269">
        <v>2750.5201131720532</v>
      </c>
      <c r="AB269">
        <v>7.8175033740916007</v>
      </c>
      <c r="AC269">
        <v>2244.254566337288</v>
      </c>
      <c r="AD269">
        <v>10.668664484892409</v>
      </c>
      <c r="AE269">
        <v>2045.0574819879232</v>
      </c>
      <c r="AF269">
        <v>7.8115222955959975</v>
      </c>
      <c r="AG269">
        <v>2177.2029832827716</v>
      </c>
      <c r="AH269">
        <v>10.638911086976128</v>
      </c>
      <c r="AI269">
        <v>1949.7766977330766</v>
      </c>
      <c r="AJ269">
        <v>7.7944123378204573</v>
      </c>
    </row>
    <row r="270" spans="4:36" x14ac:dyDescent="0.55000000000000004">
      <c r="D270">
        <v>263</v>
      </c>
      <c r="E270">
        <v>13.114401220169974</v>
      </c>
      <c r="F270">
        <v>0.48115359273931452</v>
      </c>
      <c r="G270">
        <v>0.18623231966903622</v>
      </c>
      <c r="H270">
        <v>16.218212867421673</v>
      </c>
      <c r="I270">
        <v>13.367539807382885</v>
      </c>
      <c r="J270">
        <v>0.30735317759124547</v>
      </c>
      <c r="K270">
        <v>0.11851219232131274</v>
      </c>
      <c r="L270">
        <v>16.206594822704563</v>
      </c>
      <c r="M270">
        <v>13.269297033891569</v>
      </c>
      <c r="N270">
        <v>0.37485293696527278</v>
      </c>
      <c r="O270">
        <v>0.14475109795915597</v>
      </c>
      <c r="P270">
        <v>16.211098931184019</v>
      </c>
      <c r="Q270">
        <v>13.259784891506106</v>
      </c>
      <c r="R270">
        <v>0.38138523506954247</v>
      </c>
      <c r="S270">
        <v>0.14729451701918053</v>
      </c>
      <c r="T270">
        <v>16.211535356405186</v>
      </c>
      <c r="U270">
        <v>1548.1402212231349</v>
      </c>
      <c r="V270">
        <v>10.418326197691828</v>
      </c>
      <c r="W270">
        <v>1303.6690043894068</v>
      </c>
      <c r="X270">
        <v>7.670679372565381</v>
      </c>
      <c r="Y270">
        <v>2920.8014284215037</v>
      </c>
      <c r="Z270">
        <v>10.471665489671693</v>
      </c>
      <c r="AA270">
        <v>2756.0330554139182</v>
      </c>
      <c r="AB270">
        <v>7.7020544625008096</v>
      </c>
      <c r="AC270">
        <v>2221.3532646286371</v>
      </c>
      <c r="AD270">
        <v>10.450967653806178</v>
      </c>
      <c r="AE270">
        <v>2028.2013077407155</v>
      </c>
      <c r="AF270">
        <v>7.6898930118836439</v>
      </c>
      <c r="AG270">
        <v>2150.0296523757575</v>
      </c>
      <c r="AH270">
        <v>10.448963424516272</v>
      </c>
      <c r="AI270">
        <v>1935.6832936087792</v>
      </c>
      <c r="AJ270">
        <v>7.6887144897509119</v>
      </c>
    </row>
    <row r="271" spans="4:36" x14ac:dyDescent="0.55000000000000004">
      <c r="D271">
        <v>264</v>
      </c>
      <c r="E271">
        <v>13.062259518157196</v>
      </c>
      <c r="F271">
        <v>0.49778846253406639</v>
      </c>
      <c r="G271">
        <v>0.19787102745775059</v>
      </c>
      <c r="H271">
        <v>16.242080991850983</v>
      </c>
      <c r="I271">
        <v>13.343468547030692</v>
      </c>
      <c r="J271">
        <v>0.29670980505289346</v>
      </c>
      <c r="K271">
        <v>0.117491590740055</v>
      </c>
      <c r="L271">
        <v>16.24233005717636</v>
      </c>
      <c r="M271">
        <v>13.245209110873033</v>
      </c>
      <c r="N271">
        <v>0.36702329606526213</v>
      </c>
      <c r="O271">
        <v>0.14552783775615863</v>
      </c>
      <c r="P271">
        <v>16.242239755305533</v>
      </c>
      <c r="Q271">
        <v>13.19394489985781</v>
      </c>
      <c r="R271">
        <v>0.40368495571661334</v>
      </c>
      <c r="S271">
        <v>0.16017611513873875</v>
      </c>
      <c r="T271">
        <v>16.242194029286843</v>
      </c>
      <c r="U271">
        <v>1595.8076312434785</v>
      </c>
      <c r="V271">
        <v>10.232964833846875</v>
      </c>
      <c r="W271">
        <v>1337.0272891897955</v>
      </c>
      <c r="X271">
        <v>7.5370322916820678</v>
      </c>
      <c r="Y271">
        <v>2920.5569621684931</v>
      </c>
      <c r="Z271">
        <v>10.282456585920944</v>
      </c>
      <c r="AA271">
        <v>2756.2463066810815</v>
      </c>
      <c r="AB271">
        <v>7.5661286531738696</v>
      </c>
      <c r="AC271">
        <v>2231.2899137068562</v>
      </c>
      <c r="AD271">
        <v>10.265167363038206</v>
      </c>
      <c r="AE271">
        <v>2035.5993765658502</v>
      </c>
      <c r="AF271">
        <v>7.555977187779173</v>
      </c>
      <c r="AG271">
        <v>2152.9896267516747</v>
      </c>
      <c r="AH271">
        <v>10.256145449133237</v>
      </c>
      <c r="AI271">
        <v>1935.6372459442223</v>
      </c>
      <c r="AJ271">
        <v>7.5506744402591215</v>
      </c>
    </row>
    <row r="272" spans="4:36" x14ac:dyDescent="0.55000000000000004">
      <c r="D272">
        <v>265</v>
      </c>
      <c r="E272">
        <v>12.969216951503421</v>
      </c>
      <c r="F272">
        <v>0.43902376648144875</v>
      </c>
      <c r="G272">
        <v>0.17303677164158818</v>
      </c>
      <c r="H272">
        <v>16.418722510373527</v>
      </c>
      <c r="I272">
        <v>13.21043384244566</v>
      </c>
      <c r="J272">
        <v>0.27820395719374363</v>
      </c>
      <c r="K272">
        <v>0.10925956040244848</v>
      </c>
      <c r="L272">
        <v>16.402102639958144</v>
      </c>
      <c r="M272">
        <v>13.097295717235545</v>
      </c>
      <c r="N272">
        <v>0.35368138322014925</v>
      </c>
      <c r="O272">
        <v>0.13913433708040657</v>
      </c>
      <c r="P272">
        <v>16.409888562463898</v>
      </c>
      <c r="Q272">
        <v>13.051638774021383</v>
      </c>
      <c r="R272">
        <v>0.38411638665750836</v>
      </c>
      <c r="S272">
        <v>0.15120962059671686</v>
      </c>
      <c r="T272">
        <v>16.413035218724389</v>
      </c>
      <c r="U272">
        <v>1555.1067416744063</v>
      </c>
      <c r="V272">
        <v>10.181953626944177</v>
      </c>
      <c r="W272">
        <v>1313.0741049867668</v>
      </c>
      <c r="X272">
        <v>7.5178337854489099</v>
      </c>
      <c r="Y272">
        <v>2903.1731826120808</v>
      </c>
      <c r="Z272">
        <v>10.235934542127717</v>
      </c>
      <c r="AA272">
        <v>2745.9266092458556</v>
      </c>
      <c r="AB272">
        <v>7.5494401928740817</v>
      </c>
      <c r="AC272">
        <v>2232.9641951066196</v>
      </c>
      <c r="AD272">
        <v>10.210621221264203</v>
      </c>
      <c r="AE272">
        <v>2039.2651101636384</v>
      </c>
      <c r="AF272">
        <v>7.5346322016498064</v>
      </c>
      <c r="AG272">
        <v>2135.6316287027348</v>
      </c>
      <c r="AH272">
        <v>10.200403331933323</v>
      </c>
      <c r="AI272">
        <v>1925.8140967493202</v>
      </c>
      <c r="AJ272">
        <v>7.5286482623568878</v>
      </c>
    </row>
    <row r="273" spans="4:36" x14ac:dyDescent="0.55000000000000004">
      <c r="D273">
        <v>266</v>
      </c>
      <c r="E273">
        <v>12.559050655370859</v>
      </c>
      <c r="F273">
        <v>0.40405817009183731</v>
      </c>
      <c r="G273">
        <v>0.16744561693759819</v>
      </c>
      <c r="H273">
        <v>16.869445557599708</v>
      </c>
      <c r="I273">
        <v>12.740265051017166</v>
      </c>
      <c r="J273">
        <v>0.27513066733207464</v>
      </c>
      <c r="K273">
        <v>0.11371266432856565</v>
      </c>
      <c r="L273">
        <v>16.870891617322201</v>
      </c>
      <c r="M273">
        <v>12.664065056139894</v>
      </c>
      <c r="N273">
        <v>0.32936864684554923</v>
      </c>
      <c r="O273">
        <v>0.13628191103211978</v>
      </c>
      <c r="P273">
        <v>16.870284385982455</v>
      </c>
      <c r="Q273">
        <v>12.600746379483748</v>
      </c>
      <c r="R273">
        <v>0.37441096981059052</v>
      </c>
      <c r="S273">
        <v>0.15506376240155592</v>
      </c>
      <c r="T273">
        <v>16.869778888304115</v>
      </c>
      <c r="U273">
        <v>1510.3524650410438</v>
      </c>
      <c r="V273">
        <v>9.8661242126773185</v>
      </c>
      <c r="W273">
        <v>1283.0813638955037</v>
      </c>
      <c r="X273">
        <v>7.3312128609010863</v>
      </c>
      <c r="Y273">
        <v>2889.4284863097873</v>
      </c>
      <c r="Z273">
        <v>9.8992333299110982</v>
      </c>
      <c r="AA273">
        <v>2736.4293770044446</v>
      </c>
      <c r="AB273">
        <v>7.3511316211807873</v>
      </c>
      <c r="AC273">
        <v>2220.5106290390158</v>
      </c>
      <c r="AD273">
        <v>9.8853107468643042</v>
      </c>
      <c r="AE273">
        <v>2032.4858769640346</v>
      </c>
      <c r="AF273">
        <v>7.342762755920706</v>
      </c>
      <c r="AG273">
        <v>2112.9215054916176</v>
      </c>
      <c r="AH273">
        <v>9.8737420755174554</v>
      </c>
      <c r="AI273">
        <v>1910.1591727450311</v>
      </c>
      <c r="AJ273">
        <v>7.3358010116748735</v>
      </c>
    </row>
    <row r="274" spans="4:36" x14ac:dyDescent="0.55000000000000004">
      <c r="D274">
        <v>267</v>
      </c>
      <c r="E274">
        <v>12.290218186377881</v>
      </c>
      <c r="F274">
        <v>0.41765398109079177</v>
      </c>
      <c r="G274">
        <v>0.14911279999907082</v>
      </c>
      <c r="H274">
        <v>17.143015032532265</v>
      </c>
      <c r="I274">
        <v>12.478448279838121</v>
      </c>
      <c r="J274">
        <v>0.28040792987566815</v>
      </c>
      <c r="K274">
        <v>9.9827617083659004E-2</v>
      </c>
      <c r="L274">
        <v>17.141316173202554</v>
      </c>
      <c r="M274">
        <v>12.38867631850966</v>
      </c>
      <c r="N274">
        <v>0.34589034477843034</v>
      </c>
      <c r="O274">
        <v>0.12330687726817506</v>
      </c>
      <c r="P274">
        <v>17.142126459443737</v>
      </c>
      <c r="Q274">
        <v>12.358949371301224</v>
      </c>
      <c r="R274">
        <v>0.3675636238555875</v>
      </c>
      <c r="S274">
        <v>0.13109224999847396</v>
      </c>
      <c r="T274">
        <v>17.142394754844698</v>
      </c>
      <c r="U274">
        <v>1539.9822295704771</v>
      </c>
      <c r="V274">
        <v>9.6650206769386244</v>
      </c>
      <c r="W274">
        <v>1306.3736368874693</v>
      </c>
      <c r="X274">
        <v>7.2115658176201904</v>
      </c>
      <c r="Y274">
        <v>2884.8139958726924</v>
      </c>
      <c r="Z274">
        <v>9.7008425925034416</v>
      </c>
      <c r="AA274">
        <v>2733.958620146062</v>
      </c>
      <c r="AB274">
        <v>7.233194457851547</v>
      </c>
      <c r="AC274">
        <v>2210.1376981572894</v>
      </c>
      <c r="AD274">
        <v>9.6837578012103762</v>
      </c>
      <c r="AE274">
        <v>2025.1009058414199</v>
      </c>
      <c r="AF274">
        <v>7.2228874435743222</v>
      </c>
      <c r="AG274">
        <v>2097.4750440880061</v>
      </c>
      <c r="AH274">
        <v>9.6781005151536323</v>
      </c>
      <c r="AI274">
        <v>1901.042781302624</v>
      </c>
      <c r="AJ274">
        <v>7.2194710851732449</v>
      </c>
    </row>
    <row r="275" spans="4:36" x14ac:dyDescent="0.55000000000000004">
      <c r="D275">
        <v>268</v>
      </c>
      <c r="E275">
        <v>13.352416872160342</v>
      </c>
      <c r="F275">
        <v>0.45099175897091698</v>
      </c>
      <c r="G275">
        <v>0.14554931789724931</v>
      </c>
      <c r="H275">
        <v>16.051042050971493</v>
      </c>
      <c r="I275">
        <v>13.57368519421348</v>
      </c>
      <c r="J275">
        <v>0.30098855393698998</v>
      </c>
      <c r="K275">
        <v>9.6849065965668141E-2</v>
      </c>
      <c r="L275">
        <v>16.028477185883855</v>
      </c>
      <c r="M275">
        <v>13.493271178717361</v>
      </c>
      <c r="N275">
        <v>0.35553918118014421</v>
      </c>
      <c r="O275">
        <v>0.11452542254547168</v>
      </c>
      <c r="P275">
        <v>16.036664217557043</v>
      </c>
      <c r="Q275">
        <v>13.447819935993884</v>
      </c>
      <c r="R275">
        <v>0.38635391460966961</v>
      </c>
      <c r="S275">
        <v>0.12452766988256209</v>
      </c>
      <c r="T275">
        <v>16.041298479513877</v>
      </c>
      <c r="U275">
        <v>1543.5381876399817</v>
      </c>
      <c r="V275">
        <v>10.560762005801333</v>
      </c>
      <c r="W275">
        <v>1304.0702412438152</v>
      </c>
      <c r="X275">
        <v>7.7572771700305427</v>
      </c>
      <c r="Y275">
        <v>2913.8321222157447</v>
      </c>
      <c r="Z275">
        <v>10.615298788396339</v>
      </c>
      <c r="AA275">
        <v>2752.4162620662087</v>
      </c>
      <c r="AB275">
        <v>7.7886372889292961</v>
      </c>
      <c r="AC275">
        <v>2234.5569547892669</v>
      </c>
      <c r="AD275">
        <v>10.595486968926457</v>
      </c>
      <c r="AE275">
        <v>2040.6286885475338</v>
      </c>
      <c r="AF275">
        <v>7.7772548980367215</v>
      </c>
      <c r="AG275">
        <v>2134.4683890089082</v>
      </c>
      <c r="AH275">
        <v>10.584284942929932</v>
      </c>
      <c r="AI275">
        <v>1925.1451894689681</v>
      </c>
      <c r="AJ275">
        <v>7.7708140511988413</v>
      </c>
    </row>
    <row r="276" spans="4:36" x14ac:dyDescent="0.55000000000000004">
      <c r="D276">
        <v>269</v>
      </c>
      <c r="E276">
        <v>13.134003904128839</v>
      </c>
      <c r="F276">
        <v>0.46346395321913453</v>
      </c>
      <c r="G276">
        <v>0.19767649868559822</v>
      </c>
      <c r="H276">
        <v>16.204855643966436</v>
      </c>
      <c r="I276">
        <v>13.374194482294033</v>
      </c>
      <c r="J276">
        <v>0.29650615713803163</v>
      </c>
      <c r="K276">
        <v>0.1260214027408085</v>
      </c>
      <c r="L276">
        <v>16.20327795782713</v>
      </c>
      <c r="M276">
        <v>13.258394118156795</v>
      </c>
      <c r="N276">
        <v>0.37704418353619384</v>
      </c>
      <c r="O276">
        <v>0.16052283174958654</v>
      </c>
      <c r="P276">
        <v>16.204038866557401</v>
      </c>
      <c r="Q276">
        <v>13.212805360819122</v>
      </c>
      <c r="R276">
        <v>0.40872802557512133</v>
      </c>
      <c r="S276">
        <v>0.17412832957772825</v>
      </c>
      <c r="T276">
        <v>16.204338284028012</v>
      </c>
      <c r="U276">
        <v>1593.182351434134</v>
      </c>
      <c r="V276">
        <v>10.488676639924162</v>
      </c>
      <c r="W276">
        <v>1331.887758547284</v>
      </c>
      <c r="X276">
        <v>7.7203190168400049</v>
      </c>
      <c r="Y276">
        <v>2910.4453942400564</v>
      </c>
      <c r="Z276">
        <v>10.53506911445192</v>
      </c>
      <c r="AA276">
        <v>2745.1254193573363</v>
      </c>
      <c r="AB276">
        <v>7.74790460730223</v>
      </c>
      <c r="AC276">
        <v>2291.5374278707154</v>
      </c>
      <c r="AD276">
        <v>10.512702342062171</v>
      </c>
      <c r="AE276">
        <v>2074.7615470693381</v>
      </c>
      <c r="AF276">
        <v>7.7346173336281083</v>
      </c>
      <c r="AG276">
        <v>2188.6302597070053</v>
      </c>
      <c r="AH276">
        <v>10.503896947677177</v>
      </c>
      <c r="AI276">
        <v>1956.5888690978315</v>
      </c>
      <c r="AJ276">
        <v>7.729380108218713</v>
      </c>
    </row>
    <row r="277" spans="4:36" x14ac:dyDescent="0.55000000000000004">
      <c r="D277">
        <v>270</v>
      </c>
      <c r="E277">
        <v>12.800150979557866</v>
      </c>
      <c r="F277">
        <v>0.48731010502638494</v>
      </c>
      <c r="G277">
        <v>0.16350902477734866</v>
      </c>
      <c r="H277">
        <v>16.549029890638394</v>
      </c>
      <c r="I277">
        <v>13.021740615023859</v>
      </c>
      <c r="J277">
        <v>0.31687066225033977</v>
      </c>
      <c r="K277">
        <v>0.1059997313911257</v>
      </c>
      <c r="L277">
        <v>16.555388991334667</v>
      </c>
      <c r="M277">
        <v>12.917014126390942</v>
      </c>
      <c r="N277">
        <v>0.39745395109812859</v>
      </c>
      <c r="O277">
        <v>0.13314597541651141</v>
      </c>
      <c r="P277">
        <v>16.5523859470944</v>
      </c>
      <c r="Q277">
        <v>12.892187531759834</v>
      </c>
      <c r="R277">
        <v>0.41654897534993895</v>
      </c>
      <c r="S277">
        <v>0.13959006984663816</v>
      </c>
      <c r="T277">
        <v>16.551673423043585</v>
      </c>
      <c r="U277">
        <v>1562.8312908635173</v>
      </c>
      <c r="V277">
        <v>10.107266951119858</v>
      </c>
      <c r="W277">
        <v>1318.9179306012172</v>
      </c>
      <c r="X277">
        <v>7.4762404299378993</v>
      </c>
      <c r="Y277">
        <v>2895.5570678345575</v>
      </c>
      <c r="Z277">
        <v>10.14493906913316</v>
      </c>
      <c r="AA277">
        <v>2739.7907583324868</v>
      </c>
      <c r="AB277">
        <v>7.4989289083167137</v>
      </c>
      <c r="AC277">
        <v>2239.4131767012277</v>
      </c>
      <c r="AD277">
        <v>10.127133400788175</v>
      </c>
      <c r="AE277">
        <v>2043.7888925222285</v>
      </c>
      <c r="AF277">
        <v>7.4882151892606581</v>
      </c>
      <c r="AG277">
        <v>2123.8378195656414</v>
      </c>
      <c r="AH277">
        <v>10.122912701152345</v>
      </c>
      <c r="AI277">
        <v>1917.7974360358403</v>
      </c>
      <c r="AJ277">
        <v>7.4856729776220003</v>
      </c>
    </row>
    <row r="278" spans="4:36" x14ac:dyDescent="0.55000000000000004">
      <c r="D278">
        <v>271</v>
      </c>
      <c r="E278">
        <v>11.990036552980881</v>
      </c>
      <c r="F278">
        <v>0.39057686455101903</v>
      </c>
      <c r="G278">
        <v>0.16543003354011274</v>
      </c>
      <c r="H278">
        <v>17.453956548927977</v>
      </c>
      <c r="I278">
        <v>12.185402542308823</v>
      </c>
      <c r="J278">
        <v>0.25222526691605801</v>
      </c>
      <c r="K278">
        <v>0.10650289520705376</v>
      </c>
      <c r="L278">
        <v>17.455869295568068</v>
      </c>
      <c r="M278">
        <v>12.082173654673548</v>
      </c>
      <c r="N278">
        <v>0.325358552657464</v>
      </c>
      <c r="O278">
        <v>0.13760628276365836</v>
      </c>
      <c r="P278">
        <v>17.454861509905317</v>
      </c>
      <c r="Q278">
        <v>12.039000255033974</v>
      </c>
      <c r="R278">
        <v>0.35592512492062744</v>
      </c>
      <c r="S278">
        <v>0.1506365089046747</v>
      </c>
      <c r="T278">
        <v>17.454438111140732</v>
      </c>
      <c r="U278">
        <v>1463.7796817243532</v>
      </c>
      <c r="V278">
        <v>9.4489362059989297</v>
      </c>
      <c r="W278">
        <v>1254.3396090751094</v>
      </c>
      <c r="X278">
        <v>7.0838485468652097</v>
      </c>
      <c r="Y278">
        <v>2847.296749054326</v>
      </c>
      <c r="Z278">
        <v>9.4839549177198492</v>
      </c>
      <c r="AA278">
        <v>2710.147170367949</v>
      </c>
      <c r="AB278">
        <v>7.1052786243951775</v>
      </c>
      <c r="AC278">
        <v>2195.8145628228981</v>
      </c>
      <c r="AD278">
        <v>9.4654495626979092</v>
      </c>
      <c r="AE278">
        <v>2018.5559054790183</v>
      </c>
      <c r="AF278">
        <v>7.0939635135820254</v>
      </c>
      <c r="AG278">
        <v>2094.0982881499158</v>
      </c>
      <c r="AH278">
        <v>9.4577113416637584</v>
      </c>
      <c r="AI278">
        <v>1902.1716753850189</v>
      </c>
      <c r="AJ278">
        <v>7.089225715516033</v>
      </c>
    </row>
    <row r="279" spans="4:36" x14ac:dyDescent="0.55000000000000004">
      <c r="D279">
        <v>272</v>
      </c>
      <c r="E279">
        <v>14.051336547782791</v>
      </c>
      <c r="F279">
        <v>0.54679455273063815</v>
      </c>
      <c r="G279">
        <v>0.16714358905851354</v>
      </c>
      <c r="H279">
        <v>15.234725310428036</v>
      </c>
      <c r="I279">
        <v>14.346189404471788</v>
      </c>
      <c r="J279">
        <v>0.33342850489874226</v>
      </c>
      <c r="K279">
        <v>0.1015443809206229</v>
      </c>
      <c r="L279">
        <v>15.218837709708838</v>
      </c>
      <c r="M279">
        <v>14.217445260757565</v>
      </c>
      <c r="N279">
        <v>0.42665113445394703</v>
      </c>
      <c r="O279">
        <v>0.13014473173712204</v>
      </c>
      <c r="P279">
        <v>15.225758873051371</v>
      </c>
      <c r="Q279">
        <v>14.147802525687528</v>
      </c>
      <c r="R279">
        <v>0.47704104834315086</v>
      </c>
      <c r="S279">
        <v>0.14564334115252281</v>
      </c>
      <c r="T279">
        <v>15.229513084816787</v>
      </c>
      <c r="U279">
        <v>1647.4460201227444</v>
      </c>
      <c r="V279">
        <v>10.997352269724697</v>
      </c>
      <c r="W279">
        <v>1363.6247865954854</v>
      </c>
      <c r="X279">
        <v>7.9897135180730876</v>
      </c>
      <c r="Y279">
        <v>2956.2134760392282</v>
      </c>
      <c r="Z279">
        <v>11.062244537693267</v>
      </c>
      <c r="AA279">
        <v>2774.6751268012663</v>
      </c>
      <c r="AB279">
        <v>8.0271167203971743</v>
      </c>
      <c r="AC279">
        <v>2319.0114968324101</v>
      </c>
      <c r="AD279">
        <v>11.03391835291902</v>
      </c>
      <c r="AE279">
        <v>2089.5118123337238</v>
      </c>
      <c r="AF279">
        <v>8.0108060936616976</v>
      </c>
      <c r="AG279">
        <v>2230.3055261933146</v>
      </c>
      <c r="AH279">
        <v>11.018590280267899</v>
      </c>
      <c r="AI279">
        <v>1980.3307389653878</v>
      </c>
      <c r="AJ279">
        <v>8.0019694901374052</v>
      </c>
    </row>
    <row r="280" spans="4:36" x14ac:dyDescent="0.55000000000000004">
      <c r="D280">
        <v>273</v>
      </c>
      <c r="E280">
        <v>12.323441253826269</v>
      </c>
      <c r="F280">
        <v>0.40701843740267002</v>
      </c>
      <c r="G280">
        <v>0.14163035532609522</v>
      </c>
      <c r="H280">
        <v>17.127909953444949</v>
      </c>
      <c r="I280">
        <v>12.52815688066134</v>
      </c>
      <c r="J280">
        <v>0.26576515782329352</v>
      </c>
      <c r="K280">
        <v>9.2186970643222316E-2</v>
      </c>
      <c r="L280">
        <v>17.113890990872132</v>
      </c>
      <c r="M280">
        <v>12.428287286260064</v>
      </c>
      <c r="N280">
        <v>0.33470896697713343</v>
      </c>
      <c r="O280">
        <v>0.11628005797858372</v>
      </c>
      <c r="P280">
        <v>17.120723688784221</v>
      </c>
      <c r="Q280">
        <v>12.424468924361461</v>
      </c>
      <c r="R280">
        <v>0.33734364634129888</v>
      </c>
      <c r="S280">
        <v>0.11720226190568923</v>
      </c>
      <c r="T280">
        <v>17.120985167391549</v>
      </c>
      <c r="U280">
        <v>1535.9725454488494</v>
      </c>
      <c r="V280">
        <v>9.6276663072582149</v>
      </c>
      <c r="W280">
        <v>1303.26408318685</v>
      </c>
      <c r="X280">
        <v>7.1825496121405576</v>
      </c>
      <c r="Y280">
        <v>2884.0074621609219</v>
      </c>
      <c r="Z280">
        <v>9.6727024296906219</v>
      </c>
      <c r="AA280">
        <v>2733.9241723742434</v>
      </c>
      <c r="AB280">
        <v>7.2092453435896111</v>
      </c>
      <c r="AC280">
        <v>2236.0214216099494</v>
      </c>
      <c r="AD280">
        <v>9.6507351721517889</v>
      </c>
      <c r="AE280">
        <v>2044.6216270192144</v>
      </c>
      <c r="AF280">
        <v>7.1962344510614447</v>
      </c>
      <c r="AG280">
        <v>2130.0475743857828</v>
      </c>
      <c r="AH280">
        <v>9.6498951589327095</v>
      </c>
      <c r="AI280">
        <v>1927.1499750049741</v>
      </c>
      <c r="AJ280">
        <v>7.1957365289810316</v>
      </c>
    </row>
    <row r="281" spans="4:36" x14ac:dyDescent="0.55000000000000004">
      <c r="D281">
        <v>274</v>
      </c>
      <c r="E281">
        <v>14.02324809734051</v>
      </c>
      <c r="F281">
        <v>0.52481924843846994</v>
      </c>
      <c r="G281">
        <v>0.19793905246859544</v>
      </c>
      <c r="H281">
        <v>15.253993601752411</v>
      </c>
      <c r="I281">
        <v>14.316084763327641</v>
      </c>
      <c r="J281">
        <v>0.32186044792864699</v>
      </c>
      <c r="K281">
        <v>0.12090169399854336</v>
      </c>
      <c r="L281">
        <v>15.241153094745171</v>
      </c>
      <c r="M281">
        <v>14.184715965564573</v>
      </c>
      <c r="N281">
        <v>0.412972430125921</v>
      </c>
      <c r="O281">
        <v>0.15540683602863678</v>
      </c>
      <c r="P281">
        <v>15.246904768280876</v>
      </c>
      <c r="Q281">
        <v>14.160397442228071</v>
      </c>
      <c r="R281">
        <v>0.42982754584214206</v>
      </c>
      <c r="S281">
        <v>0.16180397251332751</v>
      </c>
      <c r="T281">
        <v>15.247971039416464</v>
      </c>
      <c r="U281">
        <v>1654.9717201965636</v>
      </c>
      <c r="V281">
        <v>11.139120207256271</v>
      </c>
      <c r="W281">
        <v>1368.0417486101665</v>
      </c>
      <c r="X281">
        <v>8.09458458463798</v>
      </c>
      <c r="Y281">
        <v>2959.7186763565837</v>
      </c>
      <c r="Z281">
        <v>11.204250953542374</v>
      </c>
      <c r="AA281">
        <v>2776.4400881518695</v>
      </c>
      <c r="AB281">
        <v>8.1325294594518134</v>
      </c>
      <c r="AC281">
        <v>2331.4770502236129</v>
      </c>
      <c r="AD281">
        <v>11.175036106015749</v>
      </c>
      <c r="AE281">
        <v>2097.5086642693736</v>
      </c>
      <c r="AF281">
        <v>8.1155266697688724</v>
      </c>
      <c r="AG281">
        <v>2205.4329662510459</v>
      </c>
      <c r="AH281">
        <v>11.169627369470451</v>
      </c>
      <c r="AI281">
        <v>1963.412578872623</v>
      </c>
      <c r="AJ281">
        <v>8.1123756998560257</v>
      </c>
    </row>
    <row r="282" spans="4:36" x14ac:dyDescent="0.55000000000000004">
      <c r="D282">
        <v>275</v>
      </c>
      <c r="E282">
        <v>12.514519808210627</v>
      </c>
      <c r="F282">
        <v>0.45690536304791723</v>
      </c>
      <c r="G282">
        <v>0.15694936214297209</v>
      </c>
      <c r="H282">
        <v>16.871625466598488</v>
      </c>
      <c r="I282">
        <v>12.726706394989938</v>
      </c>
      <c r="J282">
        <v>0.29273673713014775</v>
      </c>
      <c r="K282">
        <v>0.10024182989750649</v>
      </c>
      <c r="L282">
        <v>16.880315037982395</v>
      </c>
      <c r="M282">
        <v>12.636386242731902</v>
      </c>
      <c r="N282">
        <v>0.36264529075489982</v>
      </c>
      <c r="O282">
        <v>0.12434577265759238</v>
      </c>
      <c r="P282">
        <v>16.876622693855595</v>
      </c>
      <c r="Q282">
        <v>12.562174269279508</v>
      </c>
      <c r="R282">
        <v>0.42005507269983455</v>
      </c>
      <c r="S282">
        <v>0.14418898360668195</v>
      </c>
      <c r="T282">
        <v>16.873581674413973</v>
      </c>
      <c r="U282">
        <v>1552.625924647964</v>
      </c>
      <c r="V282">
        <v>9.8435043844306627</v>
      </c>
      <c r="W282">
        <v>1311.5324248962413</v>
      </c>
      <c r="X282">
        <v>7.3147187655317483</v>
      </c>
      <c r="Y282">
        <v>2903.0005258669394</v>
      </c>
      <c r="Z282">
        <v>9.8785042430818475</v>
      </c>
      <c r="AA282">
        <v>2745.8789662885047</v>
      </c>
      <c r="AB282">
        <v>7.3362253867859177</v>
      </c>
      <c r="AC282">
        <v>2234.6416111813169</v>
      </c>
      <c r="AD282">
        <v>9.863601812840983</v>
      </c>
      <c r="AE282">
        <v>2041.2326690282398</v>
      </c>
      <c r="AF282">
        <v>7.3270781753600218</v>
      </c>
      <c r="AG282">
        <v>2123.4699362610004</v>
      </c>
      <c r="AH282">
        <v>9.8513618748044323</v>
      </c>
      <c r="AI282">
        <v>1915.3402703925492</v>
      </c>
      <c r="AJ282">
        <v>7.3195541594798232</v>
      </c>
    </row>
    <row r="283" spans="4:36" x14ac:dyDescent="0.55000000000000004">
      <c r="D283">
        <v>276</v>
      </c>
      <c r="E283">
        <v>12.252529853762928</v>
      </c>
      <c r="F283">
        <v>0.47102147688792989</v>
      </c>
      <c r="G283">
        <v>0.18406758437113582</v>
      </c>
      <c r="H283">
        <v>17.092381084978008</v>
      </c>
      <c r="I283">
        <v>12.461556655854023</v>
      </c>
      <c r="J283">
        <v>0.30895383872845517</v>
      </c>
      <c r="K283">
        <v>0.12035769179445503</v>
      </c>
      <c r="L283">
        <v>17.109131813623073</v>
      </c>
      <c r="M283">
        <v>12.374143873397145</v>
      </c>
      <c r="N283">
        <v>0.37675597773700781</v>
      </c>
      <c r="O283">
        <v>0.14696208777275896</v>
      </c>
      <c r="P283">
        <v>17.102138061093083</v>
      </c>
      <c r="Q283">
        <v>12.382547421351502</v>
      </c>
      <c r="R283">
        <v>0.37023941524612941</v>
      </c>
      <c r="S283">
        <v>0.1444020509013024</v>
      </c>
      <c r="T283">
        <v>17.102811112501083</v>
      </c>
      <c r="U283">
        <v>1546.5091033204249</v>
      </c>
      <c r="V283">
        <v>9.7772400653275522</v>
      </c>
      <c r="W283">
        <v>1306.6974968569591</v>
      </c>
      <c r="X283">
        <v>7.2918119090874711</v>
      </c>
      <c r="Y283">
        <v>2907.7032896002629</v>
      </c>
      <c r="Z283">
        <v>9.8101678355702848</v>
      </c>
      <c r="AA283">
        <v>2748.6212854114965</v>
      </c>
      <c r="AB283">
        <v>7.3123113234491397</v>
      </c>
      <c r="AC283">
        <v>2219.6372378610336</v>
      </c>
      <c r="AD283">
        <v>9.7963923465435467</v>
      </c>
      <c r="AE283">
        <v>2029.532956372499</v>
      </c>
      <c r="AF283">
        <v>7.3037453231978029</v>
      </c>
      <c r="AG283">
        <v>2112.831586603816</v>
      </c>
      <c r="AH283">
        <v>9.7977163337199116</v>
      </c>
      <c r="AI283">
        <v>1912.2347169572697</v>
      </c>
      <c r="AJ283">
        <v>7.3045692392444694</v>
      </c>
    </row>
    <row r="284" spans="4:36" x14ac:dyDescent="0.55000000000000004">
      <c r="D284">
        <v>277</v>
      </c>
      <c r="E284">
        <v>10.880717130903868</v>
      </c>
      <c r="F284">
        <v>0.36820413179083622</v>
      </c>
      <c r="G284">
        <v>0.15315901302446325</v>
      </c>
      <c r="H284">
        <v>18.597919724280821</v>
      </c>
      <c r="I284">
        <v>11.059328370644891</v>
      </c>
      <c r="J284">
        <v>0.23454903361829638</v>
      </c>
      <c r="K284">
        <v>9.7271219427503081E-2</v>
      </c>
      <c r="L284">
        <v>18.608851376309303</v>
      </c>
      <c r="M284">
        <v>10.992385578333364</v>
      </c>
      <c r="N284">
        <v>0.28466465281565084</v>
      </c>
      <c r="O284">
        <v>0.11818728577539012</v>
      </c>
      <c r="P284">
        <v>18.6047624830756</v>
      </c>
      <c r="Q284">
        <v>10.940995034876604</v>
      </c>
      <c r="R284">
        <v>0.32311930896658403</v>
      </c>
      <c r="S284">
        <v>0.13426881893099729</v>
      </c>
      <c r="T284">
        <v>18.601616837225809</v>
      </c>
      <c r="U284">
        <v>1431.0273524385768</v>
      </c>
      <c r="V284">
        <v>8.598060740287643</v>
      </c>
      <c r="W284">
        <v>1238.707449526265</v>
      </c>
      <c r="X284">
        <v>6.5669091968471411</v>
      </c>
      <c r="Y284">
        <v>2822.5316485583444</v>
      </c>
      <c r="Z284">
        <v>8.6244114778100887</v>
      </c>
      <c r="AA284">
        <v>2697.6833464465981</v>
      </c>
      <c r="AB284">
        <v>6.5838257287800781</v>
      </c>
      <c r="AC284">
        <v>2109.8910810921334</v>
      </c>
      <c r="AD284">
        <v>8.6145306942463371</v>
      </c>
      <c r="AE284">
        <v>1962.6703387621355</v>
      </c>
      <c r="AF284">
        <v>6.5774908692643654</v>
      </c>
      <c r="AG284">
        <v>2053.9956867244387</v>
      </c>
      <c r="AH284">
        <v>8.606949185353848</v>
      </c>
      <c r="AI284">
        <v>1881.2263174380651</v>
      </c>
      <c r="AJ284">
        <v>6.5726233631016822</v>
      </c>
    </row>
    <row r="285" spans="4:36" x14ac:dyDescent="0.55000000000000004">
      <c r="D285">
        <v>278</v>
      </c>
      <c r="E285">
        <v>13.314075370027641</v>
      </c>
      <c r="F285">
        <v>0.44862023467975215</v>
      </c>
      <c r="G285">
        <v>0.15637665495009237</v>
      </c>
      <c r="H285">
        <v>16.080927740342506</v>
      </c>
      <c r="I285">
        <v>13.510175698655303</v>
      </c>
      <c r="J285">
        <v>0.31249115354477763</v>
      </c>
      <c r="K285">
        <v>0.10863077540401314</v>
      </c>
      <c r="L285">
        <v>16.068702372395915</v>
      </c>
      <c r="M285">
        <v>13.424556775812288</v>
      </c>
      <c r="N285">
        <v>0.37195525002487922</v>
      </c>
      <c r="O285">
        <v>0.12945485604056084</v>
      </c>
      <c r="P285">
        <v>16.074033118122284</v>
      </c>
      <c r="Q285">
        <v>13.36554071593857</v>
      </c>
      <c r="R285">
        <v>0.41291691440127704</v>
      </c>
      <c r="S285">
        <v>0.14382858000393836</v>
      </c>
      <c r="T285">
        <v>16.077713789656222</v>
      </c>
      <c r="U285">
        <v>1577.6391747874686</v>
      </c>
      <c r="V285">
        <v>10.508772758466481</v>
      </c>
      <c r="W285">
        <v>1327.0308234164575</v>
      </c>
      <c r="X285">
        <v>7.7208564262253647</v>
      </c>
      <c r="Y285">
        <v>2923.7812288383852</v>
      </c>
      <c r="Z285">
        <v>10.551139557411695</v>
      </c>
      <c r="AA285">
        <v>2757.3163451510159</v>
      </c>
      <c r="AB285">
        <v>7.7454632171010021</v>
      </c>
      <c r="AC285">
        <v>2255.8290028540869</v>
      </c>
      <c r="AD285">
        <v>10.53264606104195</v>
      </c>
      <c r="AE285">
        <v>2053.25502232493</v>
      </c>
      <c r="AF285">
        <v>7.7347298818057348</v>
      </c>
      <c r="AG285">
        <v>2172.7050393683744</v>
      </c>
      <c r="AH285">
        <v>10.519894962311639</v>
      </c>
      <c r="AI285">
        <v>1949.4146964702913</v>
      </c>
      <c r="AJ285">
        <v>7.7273223613450597</v>
      </c>
    </row>
    <row r="286" spans="4:36" x14ac:dyDescent="0.55000000000000004">
      <c r="D286">
        <v>279</v>
      </c>
      <c r="E286">
        <v>11.357679030279447</v>
      </c>
      <c r="F286">
        <v>0.41085502643479832</v>
      </c>
      <c r="G286">
        <v>0.15102005328837212</v>
      </c>
      <c r="H286">
        <v>18.080445889997385</v>
      </c>
      <c r="I286">
        <v>11.555352520998886</v>
      </c>
      <c r="J286">
        <v>0.25468454487502101</v>
      </c>
      <c r="K286">
        <v>9.332303366723653E-2</v>
      </c>
      <c r="L286">
        <v>18.096639900458854</v>
      </c>
      <c r="M286">
        <v>11.473464733570241</v>
      </c>
      <c r="N286">
        <v>0.31940328427570575</v>
      </c>
      <c r="O286">
        <v>0.1171889488917781</v>
      </c>
      <c r="P286">
        <v>18.089943033262276</v>
      </c>
      <c r="Q286">
        <v>11.438703711969973</v>
      </c>
      <c r="R286">
        <v>0.34686592901277336</v>
      </c>
      <c r="S286">
        <v>0.12733507345421402</v>
      </c>
      <c r="T286">
        <v>18.087095285563045</v>
      </c>
      <c r="U286">
        <v>1474.4137533501171</v>
      </c>
      <c r="V286">
        <v>8.9247747368440322</v>
      </c>
      <c r="W286">
        <v>1264.8515867977485</v>
      </c>
      <c r="X286">
        <v>6.7570165905663035</v>
      </c>
      <c r="Y286">
        <v>2842.1511321472303</v>
      </c>
      <c r="Z286">
        <v>8.9493480506702721</v>
      </c>
      <c r="AA286">
        <v>2708.7677030208565</v>
      </c>
      <c r="AB286">
        <v>6.7728270030740436</v>
      </c>
      <c r="AC286">
        <v>2168.1526144521181</v>
      </c>
      <c r="AD286">
        <v>8.9391621333655085</v>
      </c>
      <c r="AE286">
        <v>2001.5647487324088</v>
      </c>
      <c r="AF286">
        <v>6.766282222680795</v>
      </c>
      <c r="AG286">
        <v>2069.3374357541579</v>
      </c>
      <c r="AH286">
        <v>8.9348409094027623</v>
      </c>
      <c r="AI286">
        <v>1887.9120394994598</v>
      </c>
      <c r="AJ286">
        <v>6.7635019443359887</v>
      </c>
    </row>
    <row r="287" spans="4:36" x14ac:dyDescent="0.55000000000000004">
      <c r="D287">
        <v>280</v>
      </c>
      <c r="E287">
        <v>12.342252104762901</v>
      </c>
      <c r="F287">
        <v>0.43642709361448556</v>
      </c>
      <c r="G287">
        <v>0.16520268614105343</v>
      </c>
      <c r="H287">
        <v>17.056118115481556</v>
      </c>
      <c r="I287">
        <v>12.559441035111364</v>
      </c>
      <c r="J287">
        <v>0.28299610710413614</v>
      </c>
      <c r="K287">
        <v>0.10677768187426116</v>
      </c>
      <c r="L287">
        <v>17.050785175910232</v>
      </c>
      <c r="M287">
        <v>12.495951118487318</v>
      </c>
      <c r="N287">
        <v>0.32787840661588991</v>
      </c>
      <c r="O287">
        <v>0.12382877965565103</v>
      </c>
      <c r="P287">
        <v>17.052341695241154</v>
      </c>
      <c r="Q287">
        <v>12.438491412576729</v>
      </c>
      <c r="R287">
        <v>0.36847620290175065</v>
      </c>
      <c r="S287">
        <v>0.13928027750011332</v>
      </c>
      <c r="T287">
        <v>17.053752107021406</v>
      </c>
      <c r="U287">
        <v>1521.8315377274043</v>
      </c>
      <c r="V287">
        <v>9.7944415233708479</v>
      </c>
      <c r="W287">
        <v>1292.157335377972</v>
      </c>
      <c r="X287">
        <v>7.300970413142589</v>
      </c>
      <c r="Y287">
        <v>2887.5155803960588</v>
      </c>
      <c r="Z287">
        <v>9.8408310268490116</v>
      </c>
      <c r="AA287">
        <v>2736.3528542958811</v>
      </c>
      <c r="AB287">
        <v>7.3287444823263597</v>
      </c>
      <c r="AC287">
        <v>2210.3528064892721</v>
      </c>
      <c r="AD287">
        <v>9.8272713426881992</v>
      </c>
      <c r="AE287">
        <v>2027.4403787140373</v>
      </c>
      <c r="AF287">
        <v>7.3206360326221462</v>
      </c>
      <c r="AG287">
        <v>2109.8645554969835</v>
      </c>
      <c r="AH287">
        <v>9.814998719302233</v>
      </c>
      <c r="AI287">
        <v>1911.0467000098554</v>
      </c>
      <c r="AJ287">
        <v>7.3132901823327172</v>
      </c>
    </row>
    <row r="288" spans="4:36" x14ac:dyDescent="0.55000000000000004">
      <c r="D288">
        <v>281</v>
      </c>
      <c r="E288">
        <v>13.344436987538391</v>
      </c>
      <c r="F288">
        <v>0.4667757295534713</v>
      </c>
      <c r="G288">
        <v>0.16988331398721193</v>
      </c>
      <c r="H288">
        <v>16.018903968920938</v>
      </c>
      <c r="I288">
        <v>13.603902167166829</v>
      </c>
      <c r="J288">
        <v>0.2954489351114214</v>
      </c>
      <c r="K288">
        <v>0.1071473710717385</v>
      </c>
      <c r="L288">
        <v>15.993501526649998</v>
      </c>
      <c r="M288">
        <v>13.503528886594465</v>
      </c>
      <c r="N288">
        <v>0.36177877245778539</v>
      </c>
      <c r="O288">
        <v>0.13138212049634054</v>
      </c>
      <c r="P288">
        <v>16.003310220451407</v>
      </c>
      <c r="Q288">
        <v>13.447392625188872</v>
      </c>
      <c r="R288">
        <v>0.39884654391025692</v>
      </c>
      <c r="S288">
        <v>0.14495489964565048</v>
      </c>
      <c r="T288">
        <v>16.008805931255232</v>
      </c>
      <c r="U288">
        <v>1606.3218773033914</v>
      </c>
      <c r="V288">
        <v>10.595354010798802</v>
      </c>
      <c r="W288">
        <v>1344.5568738897539</v>
      </c>
      <c r="X288">
        <v>7.7799450463643698</v>
      </c>
      <c r="Y288">
        <v>2917.4951308620807</v>
      </c>
      <c r="Z288">
        <v>10.658394849168717</v>
      </c>
      <c r="AA288">
        <v>2752.3985476291373</v>
      </c>
      <c r="AB288">
        <v>7.8162684671521507</v>
      </c>
      <c r="AC288">
        <v>2238.6470727491132</v>
      </c>
      <c r="AD288">
        <v>10.634018177733973</v>
      </c>
      <c r="AE288">
        <v>2039.4407977973397</v>
      </c>
      <c r="AF288">
        <v>7.8022368780376521</v>
      </c>
      <c r="AG288">
        <v>2191.7482248304354</v>
      </c>
      <c r="AH288">
        <v>10.620379173576346</v>
      </c>
      <c r="AI288">
        <v>1962.4177541384806</v>
      </c>
      <c r="AJ288">
        <v>7.7943784006496397</v>
      </c>
    </row>
    <row r="289" spans="4:36" x14ac:dyDescent="0.55000000000000004">
      <c r="D289">
        <v>282</v>
      </c>
      <c r="E289">
        <v>12.290327923516884</v>
      </c>
      <c r="F289">
        <v>0.44311960034814013</v>
      </c>
      <c r="G289">
        <v>0.14267096441060267</v>
      </c>
      <c r="H289">
        <v>17.123881511724388</v>
      </c>
      <c r="I289">
        <v>12.506555698766563</v>
      </c>
      <c r="J289">
        <v>0.28026519514302306</v>
      </c>
      <c r="K289">
        <v>8.9964523162371843E-2</v>
      </c>
      <c r="L289">
        <v>17.123214582928043</v>
      </c>
      <c r="M289">
        <v>12.391299836181592</v>
      </c>
      <c r="N289">
        <v>0.36710346066003685</v>
      </c>
      <c r="O289">
        <v>0.11802877612049568</v>
      </c>
      <c r="P289">
        <v>17.123567927037875</v>
      </c>
      <c r="Q289">
        <v>12.40810584381709</v>
      </c>
      <c r="R289">
        <v>0.35444568881608268</v>
      </c>
      <c r="S289">
        <v>0.11393236680441451</v>
      </c>
      <c r="T289">
        <v>17.123516100562401</v>
      </c>
      <c r="U289">
        <v>1485.7032740028058</v>
      </c>
      <c r="V289">
        <v>9.6608984361123618</v>
      </c>
      <c r="W289">
        <v>1268.4555461274078</v>
      </c>
      <c r="X289">
        <v>7.206811445680696</v>
      </c>
      <c r="Y289">
        <v>2844.5657708848325</v>
      </c>
      <c r="Z289">
        <v>9.7002153631514521</v>
      </c>
      <c r="AA289">
        <v>2706.9692330759717</v>
      </c>
      <c r="AB289">
        <v>7.2304151358610591</v>
      </c>
      <c r="AC289">
        <v>2191.6650133250523</v>
      </c>
      <c r="AD289">
        <v>9.6792593316570077</v>
      </c>
      <c r="AE289">
        <v>2013.575475599129</v>
      </c>
      <c r="AF289">
        <v>7.2178445002150582</v>
      </c>
      <c r="AG289">
        <v>2083.5743451520639</v>
      </c>
      <c r="AH289">
        <v>9.6823151811265493</v>
      </c>
      <c r="AI289">
        <v>1895.6703643730273</v>
      </c>
      <c r="AJ289">
        <v>7.219679016537472</v>
      </c>
    </row>
    <row r="290" spans="4:36" x14ac:dyDescent="0.55000000000000004">
      <c r="D290">
        <v>283</v>
      </c>
      <c r="E290">
        <v>13.605437744798719</v>
      </c>
      <c r="F290">
        <v>0.49664860014575435</v>
      </c>
      <c r="G290">
        <v>0.17567393072366116</v>
      </c>
      <c r="H290">
        <v>15.722239724331855</v>
      </c>
      <c r="I290">
        <v>13.87796638193557</v>
      </c>
      <c r="J290">
        <v>0.30961779418867302</v>
      </c>
      <c r="K290">
        <v>0.10910895429512424</v>
      </c>
      <c r="L290">
        <v>15.703306869580645</v>
      </c>
      <c r="M290">
        <v>13.782790215855419</v>
      </c>
      <c r="N290">
        <v>0.37498724927019483</v>
      </c>
      <c r="O290">
        <v>0.13231677056725599</v>
      </c>
      <c r="P290">
        <v>15.709905764307109</v>
      </c>
      <c r="Q290">
        <v>13.742428794279135</v>
      </c>
      <c r="R290">
        <v>0.40269174224096849</v>
      </c>
      <c r="S290">
        <v>0.14217107831752421</v>
      </c>
      <c r="T290">
        <v>15.712708385162374</v>
      </c>
      <c r="U290">
        <v>1611.0711877913579</v>
      </c>
      <c r="V290">
        <v>10.683333974007766</v>
      </c>
      <c r="W290">
        <v>1344.2975218516301</v>
      </c>
      <c r="X290">
        <v>7.8116859667467828</v>
      </c>
      <c r="Y290">
        <v>2925.6193792679478</v>
      </c>
      <c r="Z290">
        <v>10.743214144988224</v>
      </c>
      <c r="AA290">
        <v>2756.3731393932862</v>
      </c>
      <c r="AB290">
        <v>7.8462720321155244</v>
      </c>
      <c r="AC290">
        <v>2242.9162985554467</v>
      </c>
      <c r="AD290">
        <v>10.722309716044824</v>
      </c>
      <c r="AE290">
        <v>2040.4704563419773</v>
      </c>
      <c r="AF290">
        <v>7.8342112678056033</v>
      </c>
      <c r="AG290">
        <v>2134.8143989138343</v>
      </c>
      <c r="AH290">
        <v>10.713442264246696</v>
      </c>
      <c r="AI290">
        <v>1918.9187466054152</v>
      </c>
      <c r="AJ290">
        <v>7.8290908989005983</v>
      </c>
    </row>
    <row r="291" spans="4:36" x14ac:dyDescent="0.55000000000000004">
      <c r="D291">
        <v>284</v>
      </c>
      <c r="E291">
        <v>13.518545324419174</v>
      </c>
      <c r="F291">
        <v>0.43565130827424892</v>
      </c>
      <c r="G291">
        <v>0.17630920407874079</v>
      </c>
      <c r="H291">
        <v>15.869494163227841</v>
      </c>
      <c r="I291">
        <v>13.723250458681685</v>
      </c>
      <c r="J291">
        <v>0.30176490414289792</v>
      </c>
      <c r="K291">
        <v>0.12177072160380686</v>
      </c>
      <c r="L291">
        <v>15.853213915571622</v>
      </c>
      <c r="M291">
        <v>13.630485096426305</v>
      </c>
      <c r="N291">
        <v>0.36247201733872991</v>
      </c>
      <c r="O291">
        <v>0.1464598029885025</v>
      </c>
      <c r="P291">
        <v>15.860583083246462</v>
      </c>
      <c r="Q291">
        <v>13.582224548381081</v>
      </c>
      <c r="R291">
        <v>0.39403199717478982</v>
      </c>
      <c r="S291">
        <v>0.15932106396951015</v>
      </c>
      <c r="T291">
        <v>15.864422390474628</v>
      </c>
      <c r="U291">
        <v>1554.5692822143426</v>
      </c>
      <c r="V291">
        <v>10.648250140796812</v>
      </c>
      <c r="W291">
        <v>1308.6577295153977</v>
      </c>
      <c r="X291">
        <v>7.8008956862316605</v>
      </c>
      <c r="Y291">
        <v>2920.9367382719879</v>
      </c>
      <c r="Z291">
        <v>10.695326740319802</v>
      </c>
      <c r="AA291">
        <v>2754.4729969132882</v>
      </c>
      <c r="AB291">
        <v>7.8280898805068357</v>
      </c>
      <c r="AC291">
        <v>2256.2958568456561</v>
      </c>
      <c r="AD291">
        <v>10.673998498232091</v>
      </c>
      <c r="AE291">
        <v>2052.4190436368031</v>
      </c>
      <c r="AF291">
        <v>7.8157781628726681</v>
      </c>
      <c r="AG291">
        <v>2141.1895156441155</v>
      </c>
      <c r="AH291">
        <v>10.662899184352021</v>
      </c>
      <c r="AI291">
        <v>1925.5170303550453</v>
      </c>
      <c r="AJ291">
        <v>7.8093653882678273</v>
      </c>
    </row>
    <row r="292" spans="4:36" x14ac:dyDescent="0.55000000000000004">
      <c r="D292">
        <v>285</v>
      </c>
      <c r="E292">
        <v>12.257640343190209</v>
      </c>
      <c r="F292">
        <v>0.43722903531235635</v>
      </c>
      <c r="G292">
        <v>0.1592441737192134</v>
      </c>
      <c r="H292">
        <v>17.145886447778228</v>
      </c>
      <c r="I292">
        <v>12.441994046221589</v>
      </c>
      <c r="J292">
        <v>0.30009959258404034</v>
      </c>
      <c r="K292">
        <v>0.10900442996015616</v>
      </c>
      <c r="L292">
        <v>17.148901931234221</v>
      </c>
      <c r="M292">
        <v>12.37280096989238</v>
      </c>
      <c r="N292">
        <v>0.35159068682955458</v>
      </c>
      <c r="O292">
        <v>0.12783675590910171</v>
      </c>
      <c r="P292">
        <v>17.147771587368972</v>
      </c>
      <c r="Q292">
        <v>12.341827982011269</v>
      </c>
      <c r="R292">
        <v>0.37463094219244147</v>
      </c>
      <c r="S292">
        <v>0.13627602893463192</v>
      </c>
      <c r="T292">
        <v>17.147265046861655</v>
      </c>
      <c r="U292">
        <v>1509.8056794072165</v>
      </c>
      <c r="V292">
        <v>9.6672241670321419</v>
      </c>
      <c r="W292">
        <v>1282.660829913227</v>
      </c>
      <c r="X292">
        <v>7.2144441950379132</v>
      </c>
      <c r="Y292">
        <v>2907.3384203731025</v>
      </c>
      <c r="Z292">
        <v>9.7005829432273138</v>
      </c>
      <c r="AA292">
        <v>2749.5630643761369</v>
      </c>
      <c r="AB292">
        <v>7.2346986255052439</v>
      </c>
      <c r="AC292">
        <v>2215.0466453261638</v>
      </c>
      <c r="AD292">
        <v>9.6880615588736667</v>
      </c>
      <c r="AE292">
        <v>2028.7765998415016</v>
      </c>
      <c r="AF292">
        <v>7.2271034872320721</v>
      </c>
      <c r="AG292">
        <v>2112.8159268918607</v>
      </c>
      <c r="AH292">
        <v>9.6824569471817714</v>
      </c>
      <c r="AI292">
        <v>1912.4666100395978</v>
      </c>
      <c r="AJ292">
        <v>7.2237009847509777</v>
      </c>
    </row>
    <row r="293" spans="4:36" x14ac:dyDescent="0.55000000000000004">
      <c r="D293">
        <v>286</v>
      </c>
      <c r="E293">
        <v>12.145742561023383</v>
      </c>
      <c r="F293">
        <v>0.43436318624177622</v>
      </c>
      <c r="G293">
        <v>0.17078224579459669</v>
      </c>
      <c r="H293">
        <v>17.249112006940248</v>
      </c>
      <c r="I293">
        <v>12.356644974245048</v>
      </c>
      <c r="J293">
        <v>0.28139591082572851</v>
      </c>
      <c r="K293">
        <v>0.1102790739047655</v>
      </c>
      <c r="L293">
        <v>17.251680041024464</v>
      </c>
      <c r="M293">
        <v>12.277766137352877</v>
      </c>
      <c r="N293">
        <v>0.33863792019705025</v>
      </c>
      <c r="O293">
        <v>0.13287325141024292</v>
      </c>
      <c r="P293">
        <v>17.250722691039847</v>
      </c>
      <c r="Q293">
        <v>12.229865667705877</v>
      </c>
      <c r="R293">
        <v>0.37338088600822988</v>
      </c>
      <c r="S293">
        <v>0.14661392876406354</v>
      </c>
      <c r="T293">
        <v>17.250139517521813</v>
      </c>
      <c r="U293">
        <v>1515.9234340411037</v>
      </c>
      <c r="V293">
        <v>9.5891415807874054</v>
      </c>
      <c r="W293">
        <v>1288.1790054969742</v>
      </c>
      <c r="X293">
        <v>7.1680387123766982</v>
      </c>
      <c r="Y293">
        <v>2884.2705547992377</v>
      </c>
      <c r="Z293">
        <v>9.6286711702356325</v>
      </c>
      <c r="AA293">
        <v>2734.2761285256265</v>
      </c>
      <c r="AB293">
        <v>7.1921352188097671</v>
      </c>
      <c r="AC293">
        <v>2202.7216521954397</v>
      </c>
      <c r="AD293">
        <v>9.6138849480823971</v>
      </c>
      <c r="AE293">
        <v>2021.1388069267937</v>
      </c>
      <c r="AF293">
        <v>7.1831322704706997</v>
      </c>
      <c r="AG293">
        <v>2121.0437228534834</v>
      </c>
      <c r="AH293">
        <v>9.6049068786723524</v>
      </c>
      <c r="AI293">
        <v>1919.3499140354627</v>
      </c>
      <c r="AJ293">
        <v>7.1776596823491632</v>
      </c>
    </row>
    <row r="294" spans="4:36" x14ac:dyDescent="0.55000000000000004">
      <c r="D294">
        <v>287</v>
      </c>
      <c r="E294">
        <v>12.74491041235458</v>
      </c>
      <c r="F294">
        <v>0.46159489748853344</v>
      </c>
      <c r="G294">
        <v>0.16280813225535573</v>
      </c>
      <c r="H294">
        <v>16.630686557901523</v>
      </c>
      <c r="I294">
        <v>12.991403164296175</v>
      </c>
      <c r="J294">
        <v>0.28172819393158771</v>
      </c>
      <c r="K294">
        <v>9.9017690746807982E-2</v>
      </c>
      <c r="L294">
        <v>16.627850951025447</v>
      </c>
      <c r="M294">
        <v>12.894286618429765</v>
      </c>
      <c r="N294">
        <v>0.35263629425573317</v>
      </c>
      <c r="O294">
        <v>0.12411104038881662</v>
      </c>
      <c r="P294">
        <v>16.628966046925683</v>
      </c>
      <c r="Q294">
        <v>12.833241274697505</v>
      </c>
      <c r="R294">
        <v>0.39717985828316765</v>
      </c>
      <c r="S294">
        <v>0.13991049239222667</v>
      </c>
      <c r="T294">
        <v>16.629668374627109</v>
      </c>
      <c r="U294">
        <v>1577.0312698653547</v>
      </c>
      <c r="V294">
        <v>9.9705651919822902</v>
      </c>
      <c r="W294">
        <v>1327.1822671158698</v>
      </c>
      <c r="X294">
        <v>7.3830296950743346</v>
      </c>
      <c r="Y294">
        <v>2893.0328360390517</v>
      </c>
      <c r="Z294">
        <v>10.014789717925529</v>
      </c>
      <c r="AA294">
        <v>2737.9243090528721</v>
      </c>
      <c r="AB294">
        <v>7.4093532356373668</v>
      </c>
      <c r="AC294">
        <v>2229.2013568353682</v>
      </c>
      <c r="AD294">
        <v>9.9973668472236454</v>
      </c>
      <c r="AE294">
        <v>2036.2233378301789</v>
      </c>
      <c r="AF294">
        <v>7.3989944366629281</v>
      </c>
      <c r="AG294">
        <v>2132.3424373769099</v>
      </c>
      <c r="AH294">
        <v>9.9864143444035331</v>
      </c>
      <c r="AI294">
        <v>1921.9349435583531</v>
      </c>
      <c r="AJ294">
        <v>7.3924748322631659</v>
      </c>
    </row>
    <row r="295" spans="4:36" x14ac:dyDescent="0.55000000000000004">
      <c r="D295">
        <v>288</v>
      </c>
      <c r="E295">
        <v>12.170131911032463</v>
      </c>
      <c r="F295">
        <v>0.44193840987515309</v>
      </c>
      <c r="G295">
        <v>0.1440171966960741</v>
      </c>
      <c r="H295">
        <v>17.243912482396318</v>
      </c>
      <c r="I295">
        <v>12.39854697095938</v>
      </c>
      <c r="J295">
        <v>0.27922600976446954</v>
      </c>
      <c r="K295">
        <v>9.0690026392703571E-2</v>
      </c>
      <c r="L295">
        <v>17.231536992883466</v>
      </c>
      <c r="M295">
        <v>12.329271202265735</v>
      </c>
      <c r="N295">
        <v>0.32860908054513743</v>
      </c>
      <c r="O295">
        <v>0.10683667704221105</v>
      </c>
      <c r="P295">
        <v>17.235283040146911</v>
      </c>
      <c r="Q295">
        <v>12.279484823722925</v>
      </c>
      <c r="R295">
        <v>0.36408087238795378</v>
      </c>
      <c r="S295">
        <v>0.11845518427240187</v>
      </c>
      <c r="T295">
        <v>17.237979119616728</v>
      </c>
      <c r="U295">
        <v>1515.8658056079159</v>
      </c>
      <c r="V295">
        <v>9.5868246849051637</v>
      </c>
      <c r="W295">
        <v>1292.7051922211547</v>
      </c>
      <c r="X295">
        <v>7.1667240059510018</v>
      </c>
      <c r="Y295">
        <v>2864.8072540575718</v>
      </c>
      <c r="Z295">
        <v>9.636979897583462</v>
      </c>
      <c r="AA295">
        <v>2723.076775636875</v>
      </c>
      <c r="AB295">
        <v>7.1964597954944338</v>
      </c>
      <c r="AC295">
        <v>2207.8334332678924</v>
      </c>
      <c r="AD295">
        <v>9.6217727626813758</v>
      </c>
      <c r="AE295">
        <v>2029.6090887565176</v>
      </c>
      <c r="AF295">
        <v>7.1874548452395617</v>
      </c>
      <c r="AG295">
        <v>2066.7184106622622</v>
      </c>
      <c r="AH295">
        <v>9.6108415099749624</v>
      </c>
      <c r="AI295">
        <v>1883.5225952637081</v>
      </c>
      <c r="AJ295">
        <v>7.1809759949608418</v>
      </c>
    </row>
    <row r="296" spans="4:36" x14ac:dyDescent="0.55000000000000004">
      <c r="D296">
        <v>289</v>
      </c>
      <c r="E296">
        <v>13.250328244104887</v>
      </c>
      <c r="F296">
        <v>0.49882357722935211</v>
      </c>
      <c r="G296">
        <v>0.17577466093524535</v>
      </c>
      <c r="H296">
        <v>16.075073517730509</v>
      </c>
      <c r="I296">
        <v>13.551183941165846</v>
      </c>
      <c r="J296">
        <v>0.29064149415221413</v>
      </c>
      <c r="K296">
        <v>0.10200309192624823</v>
      </c>
      <c r="L296">
        <v>16.056171472755686</v>
      </c>
      <c r="M296">
        <v>13.446938111754186</v>
      </c>
      <c r="N296">
        <v>0.36283948258818055</v>
      </c>
      <c r="O296">
        <v>0.12751878183025475</v>
      </c>
      <c r="P296">
        <v>16.062703623827382</v>
      </c>
      <c r="Q296">
        <v>13.391379274441864</v>
      </c>
      <c r="R296">
        <v>0.40129079559921804</v>
      </c>
      <c r="S296">
        <v>0.14113745044884088</v>
      </c>
      <c r="T296">
        <v>16.066192479510061</v>
      </c>
      <c r="U296">
        <v>1577.5784540490747</v>
      </c>
      <c r="V296">
        <v>10.496126377380916</v>
      </c>
      <c r="W296">
        <v>1323.2384671687457</v>
      </c>
      <c r="X296">
        <v>7.7146247872045608</v>
      </c>
      <c r="Y296">
        <v>2927.5603027129905</v>
      </c>
      <c r="Z296">
        <v>10.566781291268864</v>
      </c>
      <c r="AA296">
        <v>2761.6188693874301</v>
      </c>
      <c r="AB296">
        <v>7.7557924325253014</v>
      </c>
      <c r="AC296">
        <v>2229.6230045876628</v>
      </c>
      <c r="AD296">
        <v>10.542308269151173</v>
      </c>
      <c r="AE296">
        <v>2034.4531359868936</v>
      </c>
      <c r="AF296">
        <v>7.741551533701216</v>
      </c>
      <c r="AG296">
        <v>2160.7047885236789</v>
      </c>
      <c r="AH296">
        <v>10.529261363180284</v>
      </c>
      <c r="AI296">
        <v>1941.2535489836418</v>
      </c>
      <c r="AJ296">
        <v>7.733951547507167</v>
      </c>
    </row>
    <row r="297" spans="4:36" x14ac:dyDescent="0.55000000000000004">
      <c r="D297">
        <v>290</v>
      </c>
      <c r="E297">
        <v>12.465817399746404</v>
      </c>
      <c r="F297">
        <v>0.45982680542009924</v>
      </c>
      <c r="G297">
        <v>0.19684937532668359</v>
      </c>
      <c r="H297">
        <v>16.87750641950683</v>
      </c>
      <c r="I297">
        <v>12.696230796469074</v>
      </c>
      <c r="J297">
        <v>0.29406274263759319</v>
      </c>
      <c r="K297">
        <v>0.12544142118698606</v>
      </c>
      <c r="L297">
        <v>16.884265039706342</v>
      </c>
      <c r="M297">
        <v>12.601512293641843</v>
      </c>
      <c r="N297">
        <v>0.36224379923024741</v>
      </c>
      <c r="O297">
        <v>0.15475035039007881</v>
      </c>
      <c r="P297">
        <v>16.881493556737837</v>
      </c>
      <c r="Q297">
        <v>12.592453413967693</v>
      </c>
      <c r="R297">
        <v>0.36876182302509819</v>
      </c>
      <c r="S297">
        <v>0.15755676963834975</v>
      </c>
      <c r="T297">
        <v>16.881227993368853</v>
      </c>
      <c r="U297">
        <v>1536.3625357840197</v>
      </c>
      <c r="V297">
        <v>9.9183688553812512</v>
      </c>
      <c r="W297">
        <v>1299.3002074140716</v>
      </c>
      <c r="X297">
        <v>7.3725506361060198</v>
      </c>
      <c r="Y297">
        <v>2898.1788857361498</v>
      </c>
      <c r="Z297">
        <v>9.9573732221453408</v>
      </c>
      <c r="AA297">
        <v>2742.2199875613733</v>
      </c>
      <c r="AB297">
        <v>7.3962064391361055</v>
      </c>
      <c r="AC297">
        <v>2240.4635837446731</v>
      </c>
      <c r="AD297">
        <v>9.9413369966211054</v>
      </c>
      <c r="AE297">
        <v>2045.7148672626834</v>
      </c>
      <c r="AF297">
        <v>7.3864918076596888</v>
      </c>
      <c r="AG297">
        <v>2102.4609476098863</v>
      </c>
      <c r="AH297">
        <v>9.9398034576109016</v>
      </c>
      <c r="AI297">
        <v>1903.9034928752978</v>
      </c>
      <c r="AJ297">
        <v>7.3855619865797149</v>
      </c>
    </row>
    <row r="298" spans="4:36" x14ac:dyDescent="0.55000000000000004">
      <c r="D298">
        <v>291</v>
      </c>
      <c r="E298">
        <v>12.12167459264424</v>
      </c>
      <c r="F298">
        <v>0.41368656531162668</v>
      </c>
      <c r="G298">
        <v>0.14351369837337494</v>
      </c>
      <c r="H298">
        <v>17.321125143670759</v>
      </c>
      <c r="I298">
        <v>12.324606381422385</v>
      </c>
      <c r="J298">
        <v>0.27066833087501502</v>
      </c>
      <c r="K298">
        <v>9.3623330720668321E-2</v>
      </c>
      <c r="L298">
        <v>17.311101956981918</v>
      </c>
      <c r="M298">
        <v>12.245521915949549</v>
      </c>
      <c r="N298">
        <v>0.32643494866886247</v>
      </c>
      <c r="O298">
        <v>0.11304159360537372</v>
      </c>
      <c r="P298">
        <v>17.315001541776216</v>
      </c>
      <c r="Q298">
        <v>12.191157069498132</v>
      </c>
      <c r="R298">
        <v>0.36474752891059903</v>
      </c>
      <c r="S298">
        <v>0.12640834129924378</v>
      </c>
      <c r="T298">
        <v>17.317687060292016</v>
      </c>
      <c r="U298">
        <v>1473.8554082284643</v>
      </c>
      <c r="V298">
        <v>9.5919672497933419</v>
      </c>
      <c r="W298">
        <v>1265.9722903389954</v>
      </c>
      <c r="X298">
        <v>7.1788819664195058</v>
      </c>
      <c r="Y298">
        <v>2866.7979143250768</v>
      </c>
      <c r="Z298">
        <v>9.6377558660879217</v>
      </c>
      <c r="AA298">
        <v>2727.0717350053774</v>
      </c>
      <c r="AB298">
        <v>7.2061100494991921</v>
      </c>
      <c r="AC298">
        <v>2175.1002100533647</v>
      </c>
      <c r="AD298">
        <v>9.6199152775366983</v>
      </c>
      <c r="AE298">
        <v>2007.4748650938161</v>
      </c>
      <c r="AF298">
        <v>7.1955114065614723</v>
      </c>
      <c r="AG298">
        <v>2076.4416868711446</v>
      </c>
      <c r="AH298">
        <v>9.6076484497926256</v>
      </c>
      <c r="AI298">
        <v>1893.3308747534827</v>
      </c>
      <c r="AJ298">
        <v>7.1882164503815709</v>
      </c>
    </row>
    <row r="299" spans="4:36" x14ac:dyDescent="0.55000000000000004">
      <c r="D299">
        <v>292</v>
      </c>
      <c r="E299">
        <v>11.881210790612048</v>
      </c>
      <c r="F299">
        <v>0.40658096260819693</v>
      </c>
      <c r="G299">
        <v>0.14315815990926808</v>
      </c>
      <c r="H299">
        <v>17.569050086870494</v>
      </c>
      <c r="I299">
        <v>12.054691380428924</v>
      </c>
      <c r="J299">
        <v>0.2776746720761602</v>
      </c>
      <c r="K299">
        <v>9.7513843591292337E-2</v>
      </c>
      <c r="L299">
        <v>17.570120103903623</v>
      </c>
      <c r="M299">
        <v>11.977676169886207</v>
      </c>
      <c r="N299">
        <v>0.3349230003692098</v>
      </c>
      <c r="O299">
        <v>0.11775490762988224</v>
      </c>
      <c r="P299">
        <v>17.569645922114717</v>
      </c>
      <c r="Q299">
        <v>11.948822209381513</v>
      </c>
      <c r="R299">
        <v>0.35636242885616393</v>
      </c>
      <c r="S299">
        <v>0.12534743875150861</v>
      </c>
      <c r="T299">
        <v>17.569467923010798</v>
      </c>
      <c r="U299">
        <v>1497.5554079172598</v>
      </c>
      <c r="V299">
        <v>9.4400133499698669</v>
      </c>
      <c r="W299">
        <v>1280.4783248419858</v>
      </c>
      <c r="X299">
        <v>7.0903982394863148</v>
      </c>
      <c r="Y299">
        <v>2871.8405842591583</v>
      </c>
      <c r="Z299">
        <v>9.4719673922491463</v>
      </c>
      <c r="AA299">
        <v>2727.7929821750472</v>
      </c>
      <c r="AB299">
        <v>7.1098729997160319</v>
      </c>
      <c r="AC299">
        <v>2176.4657218895272</v>
      </c>
      <c r="AD299">
        <v>9.457781122543599</v>
      </c>
      <c r="AE299">
        <v>2004.7579907585944</v>
      </c>
      <c r="AF299">
        <v>7.1012344088276613</v>
      </c>
      <c r="AG299">
        <v>2067.056149881078</v>
      </c>
      <c r="AH299">
        <v>9.4524664224042922</v>
      </c>
      <c r="AI299">
        <v>1883.4289688994411</v>
      </c>
      <c r="AJ299">
        <v>7.097995043437626</v>
      </c>
    </row>
    <row r="300" spans="4:36" x14ac:dyDescent="0.55000000000000004">
      <c r="D300">
        <v>293</v>
      </c>
      <c r="E300">
        <v>11.704191162225289</v>
      </c>
      <c r="F300">
        <v>0.43962346927534091</v>
      </c>
      <c r="G300">
        <v>0.16476712097198168</v>
      </c>
      <c r="H300">
        <v>17.691418247527388</v>
      </c>
      <c r="I300">
        <v>11.888213954109659</v>
      </c>
      <c r="J300">
        <v>0.29578096043534502</v>
      </c>
      <c r="K300">
        <v>0.11055359114099013</v>
      </c>
      <c r="L300">
        <v>17.705451494313998</v>
      </c>
      <c r="M300">
        <v>11.818694780307723</v>
      </c>
      <c r="N300">
        <v>0.35014145491606063</v>
      </c>
      <c r="O300">
        <v>0.13100650886872514</v>
      </c>
      <c r="P300">
        <v>17.700157255907488</v>
      </c>
      <c r="Q300">
        <v>11.788309063518568</v>
      </c>
      <c r="R300">
        <v>0.37389379382518889</v>
      </c>
      <c r="S300">
        <v>0.13995663854849993</v>
      </c>
      <c r="T300">
        <v>17.697840504107745</v>
      </c>
      <c r="U300">
        <v>1479.1129639775402</v>
      </c>
      <c r="V300">
        <v>9.2783695177675476</v>
      </c>
      <c r="W300">
        <v>1264.0014199724715</v>
      </c>
      <c r="X300">
        <v>6.9823643761753429</v>
      </c>
      <c r="Y300">
        <v>2892.7372108569066</v>
      </c>
      <c r="Z300">
        <v>9.3043168119283788</v>
      </c>
      <c r="AA300">
        <v>2742.2164144070402</v>
      </c>
      <c r="AB300">
        <v>6.9988063802915033</v>
      </c>
      <c r="AC300">
        <v>2171.4214524944232</v>
      </c>
      <c r="AD300">
        <v>9.2945100696966243</v>
      </c>
      <c r="AE300">
        <v>1999.8242789058152</v>
      </c>
      <c r="AF300">
        <v>6.992599670382269</v>
      </c>
      <c r="AG300">
        <v>2098.6778311221597</v>
      </c>
      <c r="AH300">
        <v>9.2902254135877573</v>
      </c>
      <c r="AI300">
        <v>1906.086844023712</v>
      </c>
      <c r="AJ300">
        <v>6.9898850458757318</v>
      </c>
    </row>
    <row r="301" spans="4:36" x14ac:dyDescent="0.55000000000000004">
      <c r="D301">
        <v>294</v>
      </c>
      <c r="E301">
        <v>10.760171753647464</v>
      </c>
      <c r="F301">
        <v>0.38637961129229703</v>
      </c>
      <c r="G301">
        <v>0.13437664019341866</v>
      </c>
      <c r="H301">
        <v>18.719071994866805</v>
      </c>
      <c r="I301">
        <v>10.9336546089877</v>
      </c>
      <c r="J301">
        <v>0.2415186917702595</v>
      </c>
      <c r="K301">
        <v>8.3754261166653202E-2</v>
      </c>
      <c r="L301">
        <v>18.741072438075378</v>
      </c>
      <c r="M301">
        <v>10.829219685323192</v>
      </c>
      <c r="N301">
        <v>0.32873874652636431</v>
      </c>
      <c r="O301">
        <v>0.11419832323001648</v>
      </c>
      <c r="P301">
        <v>18.727843244920411</v>
      </c>
      <c r="Q301">
        <v>10.827789596902454</v>
      </c>
      <c r="R301">
        <v>0.32993278244313962</v>
      </c>
      <c r="S301">
        <v>0.11461584166479223</v>
      </c>
      <c r="T301">
        <v>18.727661778989617</v>
      </c>
      <c r="U301">
        <v>1448.8652803015611</v>
      </c>
      <c r="V301">
        <v>8.4895954718754929</v>
      </c>
      <c r="W301">
        <v>1251.2399602030137</v>
      </c>
      <c r="X301">
        <v>6.4963746198404095</v>
      </c>
      <c r="Y301">
        <v>2820.4632534398961</v>
      </c>
      <c r="Z301">
        <v>8.5085672261835619</v>
      </c>
      <c r="AA301">
        <v>2695.813438229422</v>
      </c>
      <c r="AB301">
        <v>6.5093030200121538</v>
      </c>
      <c r="AC301">
        <v>2157.3366993675604</v>
      </c>
      <c r="AD301">
        <v>8.4971379245412013</v>
      </c>
      <c r="AE301">
        <v>1995.4640229803642</v>
      </c>
      <c r="AF301">
        <v>6.5015226510737616</v>
      </c>
      <c r="AG301">
        <v>2012.3364126292158</v>
      </c>
      <c r="AH301">
        <v>8.4969815943049625</v>
      </c>
      <c r="AI301">
        <v>1848.9726339803103</v>
      </c>
      <c r="AJ301">
        <v>6.501416059816636</v>
      </c>
    </row>
    <row r="302" spans="4:36" x14ac:dyDescent="0.55000000000000004">
      <c r="D302">
        <v>295</v>
      </c>
      <c r="E302">
        <v>12.303551628621229</v>
      </c>
      <c r="F302">
        <v>0.41016710193893802</v>
      </c>
      <c r="G302">
        <v>0.14177999236467775</v>
      </c>
      <c r="H302">
        <v>17.144501277075147</v>
      </c>
      <c r="I302">
        <v>12.474650112033087</v>
      </c>
      <c r="J302">
        <v>0.28696998788408062</v>
      </c>
      <c r="K302">
        <v>9.8950155228592976E-2</v>
      </c>
      <c r="L302">
        <v>17.139429744854247</v>
      </c>
      <c r="M302">
        <v>12.409956257433461</v>
      </c>
      <c r="N302">
        <v>0.33357273423779477</v>
      </c>
      <c r="O302">
        <v>0.11512649074095553</v>
      </c>
      <c r="P302">
        <v>17.141344517587783</v>
      </c>
      <c r="Q302">
        <v>12.345508595292928</v>
      </c>
      <c r="R302">
        <v>0.37997299415221497</v>
      </c>
      <c r="S302">
        <v>0.13126300479292785</v>
      </c>
      <c r="T302">
        <v>17.143255405761927</v>
      </c>
      <c r="U302">
        <v>1486.7679305305503</v>
      </c>
      <c r="V302">
        <v>9.7942625926835749</v>
      </c>
      <c r="W302">
        <v>1272.0875802765702</v>
      </c>
      <c r="X302">
        <v>7.3098146173690219</v>
      </c>
      <c r="Y302">
        <v>2870.8488704020951</v>
      </c>
      <c r="Z302">
        <v>9.8318857615358066</v>
      </c>
      <c r="AA302">
        <v>2726.4447433534506</v>
      </c>
      <c r="AB302">
        <v>7.3322698270072584</v>
      </c>
      <c r="AC302">
        <v>2185.9514209411259</v>
      </c>
      <c r="AD302">
        <v>9.8176616484679506</v>
      </c>
      <c r="AE302">
        <v>2012.092818368938</v>
      </c>
      <c r="AF302">
        <v>7.3237873199454198</v>
      </c>
      <c r="AG302">
        <v>2093.6005909905775</v>
      </c>
      <c r="AH302">
        <v>9.8034898054019219</v>
      </c>
      <c r="AI302">
        <v>1901.7769606437628</v>
      </c>
      <c r="AJ302">
        <v>7.3153274314446568</v>
      </c>
    </row>
    <row r="303" spans="4:36" x14ac:dyDescent="0.55000000000000004">
      <c r="D303">
        <v>296</v>
      </c>
      <c r="E303">
        <v>12.870354129407358</v>
      </c>
      <c r="F303">
        <v>0.4116891411405183</v>
      </c>
      <c r="G303">
        <v>0.15412709391890667</v>
      </c>
      <c r="H303">
        <v>16.563829635533217</v>
      </c>
      <c r="I303">
        <v>13.076410196607943</v>
      </c>
      <c r="J303">
        <v>0.27393085908255799</v>
      </c>
      <c r="K303">
        <v>0.10223106107309689</v>
      </c>
      <c r="L303">
        <v>16.547427883236384</v>
      </c>
      <c r="M303">
        <v>12.981415389086015</v>
      </c>
      <c r="N303">
        <v>0.33747438433303734</v>
      </c>
      <c r="O303">
        <v>0.12612784017928549</v>
      </c>
      <c r="P303">
        <v>16.554982386401651</v>
      </c>
      <c r="Q303">
        <v>12.918507159715654</v>
      </c>
      <c r="R303">
        <v>0.37952181373899163</v>
      </c>
      <c r="S303">
        <v>0.14197931130283961</v>
      </c>
      <c r="T303">
        <v>16.559991715242521</v>
      </c>
      <c r="U303">
        <v>1522.6600911850273</v>
      </c>
      <c r="V303">
        <v>10.101831174509279</v>
      </c>
      <c r="W303">
        <v>1293.0770710665413</v>
      </c>
      <c r="X303">
        <v>7.4741674317966034</v>
      </c>
      <c r="Y303">
        <v>2887.1819742513921</v>
      </c>
      <c r="Z303">
        <v>10.151944457040802</v>
      </c>
      <c r="AA303">
        <v>2735.7759945995199</v>
      </c>
      <c r="AB303">
        <v>7.5036922146083214</v>
      </c>
      <c r="AC303">
        <v>2213.4302477120182</v>
      </c>
      <c r="AD303">
        <v>10.128844599626605</v>
      </c>
      <c r="AE303">
        <v>2027.6878876186709</v>
      </c>
      <c r="AF303">
        <v>7.4900936390517456</v>
      </c>
      <c r="AG303">
        <v>2121.8841772104838</v>
      </c>
      <c r="AH303">
        <v>10.113544324105078</v>
      </c>
      <c r="AI303">
        <v>1917.8359841083179</v>
      </c>
      <c r="AJ303">
        <v>7.481076279543883</v>
      </c>
    </row>
    <row r="304" spans="4:36" x14ac:dyDescent="0.55000000000000004">
      <c r="D304">
        <v>297</v>
      </c>
      <c r="E304">
        <v>13.973719815256388</v>
      </c>
      <c r="F304">
        <v>0.48330857794835036</v>
      </c>
      <c r="G304">
        <v>0.18648637414617919</v>
      </c>
      <c r="H304">
        <v>15.356485232649083</v>
      </c>
      <c r="I304">
        <v>14.23087953026528</v>
      </c>
      <c r="J304">
        <v>0.3167884603565857</v>
      </c>
      <c r="K304">
        <v>0.12181940288606508</v>
      </c>
      <c r="L304">
        <v>15.330512606492071</v>
      </c>
      <c r="M304">
        <v>14.144253885611743</v>
      </c>
      <c r="N304">
        <v>0.37293005330842627</v>
      </c>
      <c r="O304">
        <v>0.14357174083397006</v>
      </c>
      <c r="P304">
        <v>15.339244320245863</v>
      </c>
      <c r="Q304">
        <v>14.132899143093647</v>
      </c>
      <c r="R304">
        <v>0.3802853729785311</v>
      </c>
      <c r="S304">
        <v>0.14642532952968243</v>
      </c>
      <c r="T304">
        <v>15.340390154398138</v>
      </c>
      <c r="U304">
        <v>1634.1370127873918</v>
      </c>
      <c r="V304">
        <v>11.055725380541856</v>
      </c>
      <c r="W304">
        <v>1358.191789454952</v>
      </c>
      <c r="X304">
        <v>8.044973870949315</v>
      </c>
      <c r="Y304">
        <v>2955.1658178381167</v>
      </c>
      <c r="Z304">
        <v>11.118829822445488</v>
      </c>
      <c r="AA304">
        <v>2774.8504777789744</v>
      </c>
      <c r="AB304">
        <v>8.080980618667736</v>
      </c>
      <c r="AC304">
        <v>2298.7050193812952</v>
      </c>
      <c r="AD304">
        <v>11.097582731435942</v>
      </c>
      <c r="AE304">
        <v>2078.3645854861843</v>
      </c>
      <c r="AF304">
        <v>8.068869129115587</v>
      </c>
      <c r="AG304">
        <v>2186.6825838007267</v>
      </c>
      <c r="AH304">
        <v>11.094796951286748</v>
      </c>
      <c r="AI304">
        <v>1955.2967011646044</v>
      </c>
      <c r="AJ304">
        <v>8.0672802604107936</v>
      </c>
    </row>
    <row r="305" spans="4:36" x14ac:dyDescent="0.55000000000000004">
      <c r="D305">
        <v>298</v>
      </c>
      <c r="E305">
        <v>13.030668008252862</v>
      </c>
      <c r="F305">
        <v>0.47925098982737541</v>
      </c>
      <c r="G305">
        <v>0.17265734507225602</v>
      </c>
      <c r="H305">
        <v>16.31742365684752</v>
      </c>
      <c r="I305">
        <v>13.296799307528078</v>
      </c>
      <c r="J305">
        <v>0.29340275832104251</v>
      </c>
      <c r="K305">
        <v>0.10530100366428741</v>
      </c>
      <c r="L305">
        <v>16.3044969304866</v>
      </c>
      <c r="M305">
        <v>13.187170956556457</v>
      </c>
      <c r="N305">
        <v>0.37001272371368055</v>
      </c>
      <c r="O305">
        <v>0.1330034167174263</v>
      </c>
      <c r="P305">
        <v>16.309812903012443</v>
      </c>
      <c r="Q305">
        <v>13.166691275064625</v>
      </c>
      <c r="R305">
        <v>0.38431606358368825</v>
      </c>
      <c r="S305">
        <v>0.13818529371808305</v>
      </c>
      <c r="T305">
        <v>16.310807367633618</v>
      </c>
      <c r="U305">
        <v>1528.4548848017953</v>
      </c>
      <c r="V305">
        <v>10.253824486371926</v>
      </c>
      <c r="W305">
        <v>1290.139596394336</v>
      </c>
      <c r="X305">
        <v>7.560259480722328</v>
      </c>
      <c r="Y305">
        <v>2892.7694214765975</v>
      </c>
      <c r="Z305">
        <v>10.309435265456445</v>
      </c>
      <c r="AA305">
        <v>2736.9845014618422</v>
      </c>
      <c r="AB305">
        <v>7.5928483539390301</v>
      </c>
      <c r="AC305">
        <v>2222.7918860333752</v>
      </c>
      <c r="AD305">
        <v>10.286532802797758</v>
      </c>
      <c r="AE305">
        <v>2030.3798994792494</v>
      </c>
      <c r="AF305">
        <v>7.5794416822304651</v>
      </c>
      <c r="AG305">
        <v>2116.081765456076</v>
      </c>
      <c r="AH305">
        <v>10.282253546365602</v>
      </c>
      <c r="AI305">
        <v>1911.1435128702315</v>
      </c>
      <c r="AJ305">
        <v>7.5769344374205589</v>
      </c>
    </row>
    <row r="306" spans="4:36" x14ac:dyDescent="0.55000000000000004">
      <c r="D306">
        <v>299</v>
      </c>
      <c r="E306">
        <v>14.140983592262206</v>
      </c>
      <c r="F306">
        <v>0.51000156220115933</v>
      </c>
      <c r="G306">
        <v>0.18410663887865419</v>
      </c>
      <c r="H306">
        <v>15.164908206657968</v>
      </c>
      <c r="I306">
        <v>14.399308799665128</v>
      </c>
      <c r="J306">
        <v>0.33246911819972852</v>
      </c>
      <c r="K306">
        <v>0.11960212978680956</v>
      </c>
      <c r="L306">
        <v>15.148619952348321</v>
      </c>
      <c r="M306">
        <v>14.281291460762123</v>
      </c>
      <c r="N306">
        <v>0.41362549683901456</v>
      </c>
      <c r="O306">
        <v>0.14903283916618765</v>
      </c>
      <c r="P306">
        <v>15.156050203232667</v>
      </c>
      <c r="Q306">
        <v>14.2335807085519</v>
      </c>
      <c r="R306">
        <v>0.44641085897963151</v>
      </c>
      <c r="S306">
        <v>0.16094911115361707</v>
      </c>
      <c r="T306">
        <v>15.159059321314842</v>
      </c>
      <c r="U306">
        <v>1688.870354621065</v>
      </c>
      <c r="V306">
        <v>11.196964207796492</v>
      </c>
      <c r="W306">
        <v>1394.4863303120599</v>
      </c>
      <c r="X306">
        <v>8.1262502109566697</v>
      </c>
      <c r="Y306">
        <v>2982.2069930981975</v>
      </c>
      <c r="Z306">
        <v>11.254747224955217</v>
      </c>
      <c r="AA306">
        <v>2792.3075192051911</v>
      </c>
      <c r="AB306">
        <v>8.1594685940345428</v>
      </c>
      <c r="AC306">
        <v>2313.9583208663848</v>
      </c>
      <c r="AD306">
        <v>11.228355470333968</v>
      </c>
      <c r="AE306">
        <v>2085.0899876822141</v>
      </c>
      <c r="AF306">
        <v>8.1443091428955654</v>
      </c>
      <c r="AG306">
        <v>2204.7516841126353</v>
      </c>
      <c r="AH306">
        <v>11.217682891392673</v>
      </c>
      <c r="AI306">
        <v>1962.0894875542133</v>
      </c>
      <c r="AJ306">
        <v>8.1381727709302503</v>
      </c>
    </row>
    <row r="307" spans="4:36" x14ac:dyDescent="0.55000000000000004">
      <c r="D307">
        <v>300</v>
      </c>
      <c r="E307">
        <v>12.357208576816502</v>
      </c>
      <c r="F307">
        <v>0.47406497166586675</v>
      </c>
      <c r="G307">
        <v>0.16211399628250805</v>
      </c>
      <c r="H307">
        <v>17.006612455235107</v>
      </c>
      <c r="I307">
        <v>12.557734525692567</v>
      </c>
      <c r="J307">
        <v>0.31203907771709416</v>
      </c>
      <c r="K307">
        <v>0.10641567519391276</v>
      </c>
      <c r="L307">
        <v>17.023810721396437</v>
      </c>
      <c r="M307">
        <v>12.466014751522504</v>
      </c>
      <c r="N307">
        <v>0.3861713498229653</v>
      </c>
      <c r="O307">
        <v>0.13186126309851048</v>
      </c>
      <c r="P307">
        <v>17.015952635556026</v>
      </c>
      <c r="Q307">
        <v>12.438985203703503</v>
      </c>
      <c r="R307">
        <v>0.40801077164709382</v>
      </c>
      <c r="S307">
        <v>0.13936981648785071</v>
      </c>
      <c r="T307">
        <v>17.013634208161545</v>
      </c>
      <c r="U307">
        <v>1518.8646269726426</v>
      </c>
      <c r="V307">
        <v>9.7579506983705144</v>
      </c>
      <c r="W307">
        <v>1287.8886992808993</v>
      </c>
      <c r="X307">
        <v>7.2655275772619117</v>
      </c>
      <c r="Y307">
        <v>2905.8286157646444</v>
      </c>
      <c r="Z307">
        <v>9.7842268834276176</v>
      </c>
      <c r="AA307">
        <v>2748.4176042857089</v>
      </c>
      <c r="AB307">
        <v>7.2819597347089715</v>
      </c>
      <c r="AC307">
        <v>2211.0216066069506</v>
      </c>
      <c r="AD307">
        <v>9.7722035456379004</v>
      </c>
      <c r="AE307">
        <v>2024.1070442083101</v>
      </c>
      <c r="AF307">
        <v>7.274448647820134</v>
      </c>
      <c r="AG307">
        <v>2104.1842028454275</v>
      </c>
      <c r="AH307">
        <v>9.7686618155398808</v>
      </c>
      <c r="AI307">
        <v>1904.4940554640896</v>
      </c>
      <c r="AJ307">
        <v>7.2722335778452081</v>
      </c>
    </row>
    <row r="308" spans="4:36" x14ac:dyDescent="0.55000000000000004">
      <c r="D308">
        <v>301</v>
      </c>
      <c r="E308">
        <v>12.996512171370336</v>
      </c>
      <c r="F308">
        <v>0.5084661992337991</v>
      </c>
      <c r="G308">
        <v>0.17643422988547117</v>
      </c>
      <c r="H308">
        <v>16.318587399510402</v>
      </c>
      <c r="I308">
        <v>13.223339984783902</v>
      </c>
      <c r="J308">
        <v>0.33489501183616177</v>
      </c>
      <c r="K308">
        <v>0.11583938084235325</v>
      </c>
      <c r="L308">
        <v>16.325925622537593</v>
      </c>
      <c r="M308">
        <v>13.162042599731279</v>
      </c>
      <c r="N308">
        <v>0.38182633727777526</v>
      </c>
      <c r="O308">
        <v>0.13218511655472026</v>
      </c>
      <c r="P308">
        <v>16.323945946436222</v>
      </c>
      <c r="Q308">
        <v>13.086524236204351</v>
      </c>
      <c r="R308">
        <v>0.43961945220936594</v>
      </c>
      <c r="S308">
        <v>0.15235276372374704</v>
      </c>
      <c r="T308">
        <v>16.321503547862541</v>
      </c>
      <c r="U308">
        <v>1555.4790766138535</v>
      </c>
      <c r="V308">
        <v>10.260527722917246</v>
      </c>
      <c r="W308">
        <v>1307.806119225726</v>
      </c>
      <c r="X308">
        <v>7.5641278092893769</v>
      </c>
      <c r="Y308">
        <v>2933.4474531172023</v>
      </c>
      <c r="Z308">
        <v>10.297330313523233</v>
      </c>
      <c r="AA308">
        <v>2763.8854870384384</v>
      </c>
      <c r="AB308">
        <v>7.5863304512896717</v>
      </c>
      <c r="AC308">
        <v>2259.8606066817792</v>
      </c>
      <c r="AD308">
        <v>10.287382991127528</v>
      </c>
      <c r="AE308">
        <v>2056.8487149337434</v>
      </c>
      <c r="AF308">
        <v>7.5803372394634456</v>
      </c>
      <c r="AG308">
        <v>2150.7253412398754</v>
      </c>
      <c r="AH308">
        <v>10.275129802398016</v>
      </c>
      <c r="AI308">
        <v>1932.5727838152422</v>
      </c>
      <c r="AJ308">
        <v>7.5729467336206788</v>
      </c>
    </row>
    <row r="309" spans="4:36" x14ac:dyDescent="0.55000000000000004">
      <c r="D309">
        <v>302</v>
      </c>
      <c r="E309">
        <v>11.459272046873243</v>
      </c>
      <c r="F309">
        <v>0.40373921899555576</v>
      </c>
      <c r="G309">
        <v>0.14766446481053522</v>
      </c>
      <c r="H309">
        <v>17.989324269320658</v>
      </c>
      <c r="I309">
        <v>11.630877505941998</v>
      </c>
      <c r="J309">
        <v>0.27123653850160911</v>
      </c>
      <c r="K309">
        <v>9.8946568971610652E-2</v>
      </c>
      <c r="L309">
        <v>17.998939386584787</v>
      </c>
      <c r="M309">
        <v>11.553127010251197</v>
      </c>
      <c r="N309">
        <v>0.33129005395170696</v>
      </c>
      <c r="O309">
        <v>0.12099513398773824</v>
      </c>
      <c r="P309">
        <v>17.99458780180937</v>
      </c>
      <c r="Q309">
        <v>11.544266546677008</v>
      </c>
      <c r="R309">
        <v>0.33813171213272308</v>
      </c>
      <c r="S309">
        <v>0.12351035053372295</v>
      </c>
      <c r="T309">
        <v>17.994091390656543</v>
      </c>
      <c r="U309">
        <v>1457.4283913621114</v>
      </c>
      <c r="V309">
        <v>9.1018665186597492</v>
      </c>
      <c r="W309">
        <v>1254.2696090394481</v>
      </c>
      <c r="X309">
        <v>6.8823972967357436</v>
      </c>
      <c r="Y309">
        <v>2846.7991284692612</v>
      </c>
      <c r="Z309">
        <v>9.1282641394741653</v>
      </c>
      <c r="AA309">
        <v>2712.004022382861</v>
      </c>
      <c r="AB309">
        <v>6.8988736694603778</v>
      </c>
      <c r="AC309">
        <v>2160.3348609272671</v>
      </c>
      <c r="AD309">
        <v>9.1163017260996924</v>
      </c>
      <c r="AE309">
        <v>1996.0116531810772</v>
      </c>
      <c r="AF309">
        <v>6.891414220048742</v>
      </c>
      <c r="AG309">
        <v>2021.5573452769622</v>
      </c>
      <c r="AH309">
        <v>9.1149387234432275</v>
      </c>
      <c r="AI309">
        <v>1853.7509377347085</v>
      </c>
      <c r="AJ309">
        <v>6.8905635514743215</v>
      </c>
    </row>
    <row r="310" spans="4:36" x14ac:dyDescent="0.55000000000000004">
      <c r="D310">
        <v>303</v>
      </c>
      <c r="E310">
        <v>12.287080854448186</v>
      </c>
      <c r="F310">
        <v>0.40057422373980023</v>
      </c>
      <c r="G310">
        <v>0.15368548341126073</v>
      </c>
      <c r="H310">
        <v>17.158659438400768</v>
      </c>
      <c r="I310">
        <v>12.489152629884316</v>
      </c>
      <c r="J310">
        <v>0.26063328713258987</v>
      </c>
      <c r="K310">
        <v>9.9696020105932093E-2</v>
      </c>
      <c r="L310">
        <v>17.150518062877151</v>
      </c>
      <c r="M310">
        <v>12.411676443443456</v>
      </c>
      <c r="N310">
        <v>0.31431915271515781</v>
      </c>
      <c r="O310">
        <v>0.12036934778239591</v>
      </c>
      <c r="P310">
        <v>17.153635056058992</v>
      </c>
      <c r="Q310">
        <v>12.343633657516294</v>
      </c>
      <c r="R310">
        <v>0.36143634167949901</v>
      </c>
      <c r="S310">
        <v>0.13855288157805365</v>
      </c>
      <c r="T310">
        <v>17.156377119226153</v>
      </c>
      <c r="U310">
        <v>1521.0887437701874</v>
      </c>
      <c r="V310">
        <v>9.7107296772198879</v>
      </c>
      <c r="W310">
        <v>1297.1285960529817</v>
      </c>
      <c r="X310">
        <v>7.2486198055609892</v>
      </c>
      <c r="Y310">
        <v>2868.5581866464263</v>
      </c>
      <c r="Z310">
        <v>9.7541433923967027</v>
      </c>
      <c r="AA310">
        <v>2725.6975108383995</v>
      </c>
      <c r="AB310">
        <v>7.2744294282118833</v>
      </c>
      <c r="AC310">
        <v>2194.9001412724574</v>
      </c>
      <c r="AD310">
        <v>9.7375009889480459</v>
      </c>
      <c r="AE310">
        <v>2019.0523766957706</v>
      </c>
      <c r="AF310">
        <v>7.2645449819213539</v>
      </c>
      <c r="AG310">
        <v>2068.1398961931272</v>
      </c>
      <c r="AH310">
        <v>9.72288206051992</v>
      </c>
      <c r="AI310">
        <v>1882.6918967300355</v>
      </c>
      <c r="AJ310">
        <v>7.2558525939028247</v>
      </c>
    </row>
    <row r="311" spans="4:36" x14ac:dyDescent="0.55000000000000004">
      <c r="D311">
        <v>304</v>
      </c>
      <c r="E311">
        <v>11.962617499415286</v>
      </c>
      <c r="F311">
        <v>0.42440954947644216</v>
      </c>
      <c r="G311">
        <v>0.16682668837838066</v>
      </c>
      <c r="H311">
        <v>17.446146262729886</v>
      </c>
      <c r="I311">
        <v>12.154927270876286</v>
      </c>
      <c r="J311">
        <v>0.27987347687536884</v>
      </c>
      <c r="K311">
        <v>0.10968635349934398</v>
      </c>
      <c r="L311">
        <v>17.455512898748996</v>
      </c>
      <c r="M311">
        <v>12.053373188767074</v>
      </c>
      <c r="N311">
        <v>0.35622532745765273</v>
      </c>
      <c r="O311">
        <v>0.13982812179726542</v>
      </c>
      <c r="P311">
        <v>17.450573361978019</v>
      </c>
      <c r="Q311">
        <v>12.028484777697496</v>
      </c>
      <c r="R311">
        <v>0.37492847262682349</v>
      </c>
      <c r="S311">
        <v>0.1472262466985142</v>
      </c>
      <c r="T311">
        <v>17.449360502977157</v>
      </c>
      <c r="U311">
        <v>1537.514241247939</v>
      </c>
      <c r="V311">
        <v>9.5205512030080079</v>
      </c>
      <c r="W311">
        <v>1304.8583966966676</v>
      </c>
      <c r="X311">
        <v>7.1378977561970647</v>
      </c>
      <c r="Y311">
        <v>2880.2909326346057</v>
      </c>
      <c r="Z311">
        <v>9.553907670866689</v>
      </c>
      <c r="AA311">
        <v>2731.137044361627</v>
      </c>
      <c r="AB311">
        <v>7.158667464251228</v>
      </c>
      <c r="AC311">
        <v>2213.063275760228</v>
      </c>
      <c r="AD311">
        <v>9.5362884527741603</v>
      </c>
      <c r="AE311">
        <v>2027.0291194133392</v>
      </c>
      <c r="AF311">
        <v>7.1477064269282371</v>
      </c>
      <c r="AG311">
        <v>2098.2599004444564</v>
      </c>
      <c r="AH311">
        <v>9.531971942076245</v>
      </c>
      <c r="AI311">
        <v>1901.6626484332753</v>
      </c>
      <c r="AJ311">
        <v>7.1450177851345327</v>
      </c>
    </row>
    <row r="312" spans="4:36" x14ac:dyDescent="0.55000000000000004">
      <c r="D312">
        <v>305</v>
      </c>
      <c r="E312">
        <v>11.752940669144113</v>
      </c>
      <c r="F312">
        <v>0.42564904279381383</v>
      </c>
      <c r="G312">
        <v>0.16851647327033226</v>
      </c>
      <c r="H312">
        <v>17.65289381479176</v>
      </c>
      <c r="I312">
        <v>11.95519438664483</v>
      </c>
      <c r="J312">
        <v>0.2715760128079967</v>
      </c>
      <c r="K312">
        <v>0.1071681130298569</v>
      </c>
      <c r="L312">
        <v>17.666061487517315</v>
      </c>
      <c r="M312">
        <v>11.8479030077795</v>
      </c>
      <c r="N312">
        <v>0.35333650191467314</v>
      </c>
      <c r="O312">
        <v>0.13967274001923774</v>
      </c>
      <c r="P312">
        <v>17.659087750286595</v>
      </c>
      <c r="Q312">
        <v>11.841692667882199</v>
      </c>
      <c r="R312">
        <v>0.35806711107929423</v>
      </c>
      <c r="S312">
        <v>0.14155691938003148</v>
      </c>
      <c r="T312">
        <v>17.658683301658481</v>
      </c>
      <c r="U312">
        <v>1507.5662225091296</v>
      </c>
      <c r="V312">
        <v>9.2648528702690864</v>
      </c>
      <c r="W312">
        <v>1285.3880574191198</v>
      </c>
      <c r="X312">
        <v>6.9676901948846499</v>
      </c>
      <c r="Y312">
        <v>2881.1497089305353</v>
      </c>
      <c r="Z312">
        <v>9.2955199647274593</v>
      </c>
      <c r="AA312">
        <v>2734.6346714957394</v>
      </c>
      <c r="AB312">
        <v>6.9871630058751082</v>
      </c>
      <c r="AC312">
        <v>2196.8172551612597</v>
      </c>
      <c r="AD312">
        <v>9.2792444889070484</v>
      </c>
      <c r="AE312">
        <v>2017.6675964656388</v>
      </c>
      <c r="AF312">
        <v>6.9768391558232068</v>
      </c>
      <c r="AG312">
        <v>2077.360946742946</v>
      </c>
      <c r="AH312">
        <v>9.2783029142900642</v>
      </c>
      <c r="AI312">
        <v>1890.1283794209276</v>
      </c>
      <c r="AJ312">
        <v>6.9762411630389751</v>
      </c>
    </row>
    <row r="313" spans="4:36" x14ac:dyDescent="0.55000000000000004">
      <c r="D313">
        <v>306</v>
      </c>
      <c r="E313">
        <v>11.574243664946959</v>
      </c>
      <c r="F313">
        <v>0.45360493666388607</v>
      </c>
      <c r="G313">
        <v>0.17465268546100832</v>
      </c>
      <c r="H313">
        <v>17.79749871292816</v>
      </c>
      <c r="I313">
        <v>11.757910770577247</v>
      </c>
      <c r="J313">
        <v>0.30145080137421693</v>
      </c>
      <c r="K313">
        <v>0.11573714020826581</v>
      </c>
      <c r="L313">
        <v>17.824901287840255</v>
      </c>
      <c r="M313">
        <v>11.69021635153533</v>
      </c>
      <c r="N313">
        <v>0.357546983757771</v>
      </c>
      <c r="O313">
        <v>0.1374184523062052</v>
      </c>
      <c r="P313">
        <v>17.814818212400681</v>
      </c>
      <c r="Q313">
        <v>11.668006728128624</v>
      </c>
      <c r="R313">
        <v>0.37594719140772243</v>
      </c>
      <c r="S313">
        <v>0.14454022634813207</v>
      </c>
      <c r="T313">
        <v>17.811505854115513</v>
      </c>
      <c r="U313">
        <v>1498.6185627114553</v>
      </c>
      <c r="V313">
        <v>9.252844881218584</v>
      </c>
      <c r="W313">
        <v>1277.8308269243353</v>
      </c>
      <c r="X313">
        <v>6.9749085811868214</v>
      </c>
      <c r="Y313">
        <v>2848.1657882909958</v>
      </c>
      <c r="Z313">
        <v>9.2734991718918582</v>
      </c>
      <c r="AA313">
        <v>2708.1585061491087</v>
      </c>
      <c r="AB313">
        <v>6.9888383892360961</v>
      </c>
      <c r="AC313">
        <v>2168.8249612499421</v>
      </c>
      <c r="AD313">
        <v>9.2658769721314886</v>
      </c>
      <c r="AE313">
        <v>1997.4022585990654</v>
      </c>
      <c r="AF313">
        <v>6.983706152861278</v>
      </c>
      <c r="AG313">
        <v>2092.9287212672871</v>
      </c>
      <c r="AH313">
        <v>9.263378669054438</v>
      </c>
      <c r="AI313">
        <v>1901.7996210342419</v>
      </c>
      <c r="AJ313">
        <v>6.9820218573925628</v>
      </c>
    </row>
    <row r="314" spans="4:36" x14ac:dyDescent="0.55000000000000004">
      <c r="D314">
        <v>307</v>
      </c>
      <c r="E314">
        <v>14.081037642557689</v>
      </c>
      <c r="F314">
        <v>0.53901875631598273</v>
      </c>
      <c r="G314">
        <v>0.18352008109682977</v>
      </c>
      <c r="H314">
        <v>15.196423520029501</v>
      </c>
      <c r="I314">
        <v>14.35503799254834</v>
      </c>
      <c r="J314">
        <v>0.34365090314197033</v>
      </c>
      <c r="K314">
        <v>0.1165854574797142</v>
      </c>
      <c r="L314">
        <v>15.184725646829966</v>
      </c>
      <c r="M314">
        <v>14.244230013492754</v>
      </c>
      <c r="N314">
        <v>0.42271033989689699</v>
      </c>
      <c r="O314">
        <v>0.14361329318043911</v>
      </c>
      <c r="P314">
        <v>15.189446353429924</v>
      </c>
      <c r="Q314">
        <v>14.214265159607729</v>
      </c>
      <c r="R314">
        <v>0.44407784458093152</v>
      </c>
      <c r="S314">
        <v>0.15093173881309185</v>
      </c>
      <c r="T314">
        <v>15.190725256998268</v>
      </c>
      <c r="U314">
        <v>1681.7763143990669</v>
      </c>
      <c r="V314">
        <v>11.144388504850875</v>
      </c>
      <c r="W314">
        <v>1388.325929803759</v>
      </c>
      <c r="X314">
        <v>8.0925110114359349</v>
      </c>
      <c r="Y314">
        <v>2979.2661719094313</v>
      </c>
      <c r="Z314">
        <v>11.20447963053279</v>
      </c>
      <c r="AA314">
        <v>2790.0874765423014</v>
      </c>
      <c r="AB314">
        <v>8.1272918472469069</v>
      </c>
      <c r="AC314">
        <v>2303.6101484088122</v>
      </c>
      <c r="AD314">
        <v>11.180183510536828</v>
      </c>
      <c r="AE314">
        <v>2077.7922028420194</v>
      </c>
      <c r="AF314">
        <v>8.1132433256284013</v>
      </c>
      <c r="AG314">
        <v>2212.5270399159517</v>
      </c>
      <c r="AH314">
        <v>11.173612106577448</v>
      </c>
      <c r="AI314">
        <v>1968.9348479139494</v>
      </c>
      <c r="AJ314">
        <v>8.1094403296856363</v>
      </c>
    </row>
    <row r="315" spans="4:36" x14ac:dyDescent="0.55000000000000004">
      <c r="D315">
        <v>308</v>
      </c>
      <c r="E315">
        <v>11.98689187612038</v>
      </c>
      <c r="F315">
        <v>0.45683820055166563</v>
      </c>
      <c r="G315">
        <v>0.15720321145828306</v>
      </c>
      <c r="H315">
        <v>17.399066711869668</v>
      </c>
      <c r="I315">
        <v>12.209813303336853</v>
      </c>
      <c r="J315">
        <v>0.2900446070736763</v>
      </c>
      <c r="K315">
        <v>9.9469617957767098E-2</v>
      </c>
      <c r="L315">
        <v>17.400672471631697</v>
      </c>
      <c r="M315">
        <v>12.122421484647207</v>
      </c>
      <c r="N315">
        <v>0.35546621127588929</v>
      </c>
      <c r="O315">
        <v>0.12206718885290622</v>
      </c>
      <c r="P315">
        <v>17.400045115224</v>
      </c>
      <c r="Q315">
        <v>12.114633225114199</v>
      </c>
      <c r="R315">
        <v>0.36129441964639758</v>
      </c>
      <c r="S315">
        <v>0.12408328299595889</v>
      </c>
      <c r="T315">
        <v>17.399989072243439</v>
      </c>
      <c r="U315">
        <v>1534.5843999601177</v>
      </c>
      <c r="V315">
        <v>9.4264629535508231</v>
      </c>
      <c r="W315">
        <v>1303.7939898120478</v>
      </c>
      <c r="X315">
        <v>7.0635685282482417</v>
      </c>
      <c r="Y315">
        <v>2882.5953358525667</v>
      </c>
      <c r="Z315">
        <v>9.4686581492314996</v>
      </c>
      <c r="AA315">
        <v>2734.4528747498271</v>
      </c>
      <c r="AB315">
        <v>7.0892263098736006</v>
      </c>
      <c r="AC315">
        <v>2209.0833110478052</v>
      </c>
      <c r="AD315">
        <v>9.4521154044920479</v>
      </c>
      <c r="AE315">
        <v>2027.1728343887673</v>
      </c>
      <c r="AF315">
        <v>7.0791790131744108</v>
      </c>
      <c r="AG315">
        <v>2073.8240990476093</v>
      </c>
      <c r="AH315">
        <v>9.4506411945289663</v>
      </c>
      <c r="AI315">
        <v>1887.5700801953951</v>
      </c>
      <c r="AJ315">
        <v>7.0782829057061125</v>
      </c>
    </row>
    <row r="316" spans="4:36" x14ac:dyDescent="0.55000000000000004">
      <c r="D316">
        <v>309</v>
      </c>
      <c r="E316">
        <v>14.065292060655944</v>
      </c>
      <c r="F316">
        <v>0.47398919620030816</v>
      </c>
      <c r="G316">
        <v>0.18472381014386879</v>
      </c>
      <c r="H316">
        <v>15.275994932999872</v>
      </c>
      <c r="I316">
        <v>14.349149960681428</v>
      </c>
      <c r="J316">
        <v>0.29581159452754874</v>
      </c>
      <c r="K316">
        <v>0.11482504411509836</v>
      </c>
      <c r="L316">
        <v>15.240213400675927</v>
      </c>
      <c r="M316">
        <v>14.250988626795944</v>
      </c>
      <c r="N316">
        <v>0.35748889685278695</v>
      </c>
      <c r="O316">
        <v>0.13895682710834137</v>
      </c>
      <c r="P316">
        <v>15.252565649242907</v>
      </c>
      <c r="Q316">
        <v>14.158588405860437</v>
      </c>
      <c r="R316">
        <v>0.41548718030997156</v>
      </c>
      <c r="S316">
        <v>0.16171084736018293</v>
      </c>
      <c r="T316">
        <v>15.264213566469419</v>
      </c>
      <c r="U316">
        <v>1611.7799218595346</v>
      </c>
      <c r="V316">
        <v>11.206349731169565</v>
      </c>
      <c r="W316">
        <v>1342.5315773275206</v>
      </c>
      <c r="X316">
        <v>8.1453490528115893</v>
      </c>
      <c r="Y316">
        <v>2967.8190950026492</v>
      </c>
      <c r="Z316">
        <v>11.279631951453137</v>
      </c>
      <c r="AA316">
        <v>2785.6396168429255</v>
      </c>
      <c r="AB316">
        <v>8.1870396407036719</v>
      </c>
      <c r="AC316">
        <v>2284.7504568001755</v>
      </c>
      <c r="AD316">
        <v>11.254303172422887</v>
      </c>
      <c r="AE316">
        <v>2069.2951638298318</v>
      </c>
      <c r="AF316">
        <v>8.1726452226640376</v>
      </c>
      <c r="AG316">
        <v>2192.3207995133785</v>
      </c>
      <c r="AH316">
        <v>11.230448371397999</v>
      </c>
      <c r="AI316">
        <v>1956.7814094173475</v>
      </c>
      <c r="AJ316">
        <v>8.1590738026364935</v>
      </c>
    </row>
    <row r="317" spans="4:36" x14ac:dyDescent="0.55000000000000004">
      <c r="D317">
        <v>310</v>
      </c>
      <c r="E317">
        <v>11.457771778359593</v>
      </c>
      <c r="F317">
        <v>0.46418021604813903</v>
      </c>
      <c r="G317">
        <v>0.15799977472449067</v>
      </c>
      <c r="H317">
        <v>17.920048230867785</v>
      </c>
      <c r="I317">
        <v>11.666527679716975</v>
      </c>
      <c r="J317">
        <v>0.29399850280646289</v>
      </c>
      <c r="K317">
        <v>9.975110634098848E-2</v>
      </c>
      <c r="L317">
        <v>17.939722711135563</v>
      </c>
      <c r="M317">
        <v>11.603436655271103</v>
      </c>
      <c r="N317">
        <v>0.34545221977608775</v>
      </c>
      <c r="O317">
        <v>0.11732234826800998</v>
      </c>
      <c r="P317">
        <v>17.933788776684807</v>
      </c>
      <c r="Q317">
        <v>11.56306009209433</v>
      </c>
      <c r="R317">
        <v>0.37837183140393627</v>
      </c>
      <c r="S317">
        <v>0.12858236405124937</v>
      </c>
      <c r="T317">
        <v>17.929985712450474</v>
      </c>
      <c r="U317">
        <v>1491.856385328693</v>
      </c>
      <c r="V317">
        <v>9.0782379676544949</v>
      </c>
      <c r="W317">
        <v>1274.721649305608</v>
      </c>
      <c r="X317">
        <v>6.8566746241594254</v>
      </c>
      <c r="Y317">
        <v>2879.7659668672322</v>
      </c>
      <c r="Z317">
        <v>9.1044314912800761</v>
      </c>
      <c r="AA317">
        <v>2734.6050551091062</v>
      </c>
      <c r="AB317">
        <v>6.8736325254915265</v>
      </c>
      <c r="AC317">
        <v>2167.1489616298977</v>
      </c>
      <c r="AD317">
        <v>9.0965081802262358</v>
      </c>
      <c r="AE317">
        <v>1999.3572785025742</v>
      </c>
      <c r="AF317">
        <v>6.8685117394205699</v>
      </c>
      <c r="AG317">
        <v>2064.3991760156941</v>
      </c>
      <c r="AH317">
        <v>9.091440642784308</v>
      </c>
      <c r="AI317">
        <v>1882.3265816792273</v>
      </c>
      <c r="AJ317">
        <v>6.8652326315311853</v>
      </c>
    </row>
    <row r="318" spans="4:36" x14ac:dyDescent="0.55000000000000004">
      <c r="D318">
        <v>311</v>
      </c>
      <c r="E318">
        <v>12.913846178459526</v>
      </c>
      <c r="F318">
        <v>0.47035237216057391</v>
      </c>
      <c r="G318">
        <v>0.17153425097998301</v>
      </c>
      <c r="H318">
        <v>16.444267198399906</v>
      </c>
      <c r="I318">
        <v>13.148446844455938</v>
      </c>
      <c r="J318">
        <v>0.30018897476806783</v>
      </c>
      <c r="K318">
        <v>0.10911227206242091</v>
      </c>
      <c r="L318">
        <v>16.442251908713573</v>
      </c>
      <c r="M318">
        <v>13.057299535806626</v>
      </c>
      <c r="N318">
        <v>0.36633888731792669</v>
      </c>
      <c r="O318">
        <v>0.13332823312927963</v>
      </c>
      <c r="P318">
        <v>16.443033343746183</v>
      </c>
      <c r="Q318">
        <v>13.017184763628583</v>
      </c>
      <c r="R318">
        <v>0.39543689127099813</v>
      </c>
      <c r="S318">
        <v>0.14400046391649818</v>
      </c>
      <c r="T318">
        <v>16.443377881183928</v>
      </c>
      <c r="U318">
        <v>1567.4250475642052</v>
      </c>
      <c r="V318">
        <v>10.15150000346838</v>
      </c>
      <c r="W318">
        <v>1320.9319895670017</v>
      </c>
      <c r="X318">
        <v>7.4971332152605834</v>
      </c>
      <c r="Y318">
        <v>2902.8467767386242</v>
      </c>
      <c r="Z318">
        <v>10.194319937087533</v>
      </c>
      <c r="AA318">
        <v>2744.7217274350478</v>
      </c>
      <c r="AB318">
        <v>7.5225763434704351</v>
      </c>
      <c r="AC318">
        <v>2219.2568615177183</v>
      </c>
      <c r="AD318">
        <v>10.177684514480301</v>
      </c>
      <c r="AE318">
        <v>2028.9767418219765</v>
      </c>
      <c r="AF318">
        <v>7.5127023179092935</v>
      </c>
      <c r="AG318">
        <v>2132.5111307634575</v>
      </c>
      <c r="AH318">
        <v>10.170362700236849</v>
      </c>
      <c r="AI318">
        <v>1923.5398097188818</v>
      </c>
      <c r="AJ318">
        <v>7.5083521922867229</v>
      </c>
    </row>
    <row r="319" spans="4:36" x14ac:dyDescent="0.55000000000000004">
      <c r="D319">
        <v>312</v>
      </c>
      <c r="E319">
        <v>11.766854529528777</v>
      </c>
      <c r="F319">
        <v>0.4855063558978559</v>
      </c>
      <c r="G319">
        <v>0.17092918895603365</v>
      </c>
      <c r="H319">
        <v>17.576709925617322</v>
      </c>
      <c r="I319">
        <v>11.983761270617521</v>
      </c>
      <c r="J319">
        <v>0.30081802221339066</v>
      </c>
      <c r="K319">
        <v>0.10556962616783398</v>
      </c>
      <c r="L319">
        <v>17.60985108100126</v>
      </c>
      <c r="M319">
        <v>11.899063291677454</v>
      </c>
      <c r="N319">
        <v>0.37295589364884019</v>
      </c>
      <c r="O319">
        <v>0.13104831802704492</v>
      </c>
      <c r="P319">
        <v>17.596932496646655</v>
      </c>
      <c r="Q319">
        <v>11.84594159593831</v>
      </c>
      <c r="R319">
        <v>0.41818661184895445</v>
      </c>
      <c r="S319">
        <v>0.14705630338402256</v>
      </c>
      <c r="T319">
        <v>17.588815488828708</v>
      </c>
      <c r="U319">
        <v>1523.888966799869</v>
      </c>
      <c r="V319">
        <v>9.2699773785668356</v>
      </c>
      <c r="W319">
        <v>1292.5965518528451</v>
      </c>
      <c r="X319">
        <v>6.9622544887835733</v>
      </c>
      <c r="Y319">
        <v>2877.2694351913224</v>
      </c>
      <c r="Z319">
        <v>9.2898319978817216</v>
      </c>
      <c r="AA319">
        <v>2729.197701177437</v>
      </c>
      <c r="AB319">
        <v>6.9758673444502142</v>
      </c>
      <c r="AC319">
        <v>2174.3288240110487</v>
      </c>
      <c r="AD319">
        <v>9.282065890228024</v>
      </c>
      <c r="AE319">
        <v>1998.9816804723907</v>
      </c>
      <c r="AF319">
        <v>6.9705531180693914</v>
      </c>
      <c r="AG319">
        <v>2100.758103925788</v>
      </c>
      <c r="AH319">
        <v>9.2772037063500061</v>
      </c>
      <c r="AI319">
        <v>1902.6621116527076</v>
      </c>
      <c r="AJ319">
        <v>6.9672192217998372</v>
      </c>
    </row>
    <row r="320" spans="4:36" x14ac:dyDescent="0.55000000000000004">
      <c r="D320">
        <v>313</v>
      </c>
      <c r="E320">
        <v>13.056298871696907</v>
      </c>
      <c r="F320">
        <v>0.50730795437968657</v>
      </c>
      <c r="G320">
        <v>0.1904129064939192</v>
      </c>
      <c r="H320">
        <v>16.245980267429495</v>
      </c>
      <c r="I320">
        <v>13.306770777849703</v>
      </c>
      <c r="J320">
        <v>0.3205448590813712</v>
      </c>
      <c r="K320">
        <v>0.11989207477546122</v>
      </c>
      <c r="L320">
        <v>16.252792288293449</v>
      </c>
      <c r="M320">
        <v>13.210156604410555</v>
      </c>
      <c r="N320">
        <v>0.39262501071678363</v>
      </c>
      <c r="O320">
        <v>0.14704972662190646</v>
      </c>
      <c r="P320">
        <v>16.250168658250765</v>
      </c>
      <c r="Q320">
        <v>13.175897519683193</v>
      </c>
      <c r="R320">
        <v>0.41817230780282849</v>
      </c>
      <c r="S320">
        <v>0.15669303518112163</v>
      </c>
      <c r="T320">
        <v>16.249237137332852</v>
      </c>
      <c r="U320">
        <v>1579.1322665977561</v>
      </c>
      <c r="V320">
        <v>10.369776822247614</v>
      </c>
      <c r="W320">
        <v>1322.6843145186274</v>
      </c>
      <c r="X320">
        <v>7.6381182604941964</v>
      </c>
      <c r="Y320">
        <v>2927.357555725052</v>
      </c>
      <c r="Z320">
        <v>10.413970812314481</v>
      </c>
      <c r="AA320">
        <v>2758.693125151512</v>
      </c>
      <c r="AB320">
        <v>7.6646561364980155</v>
      </c>
      <c r="AC320">
        <v>2258.6130793737193</v>
      </c>
      <c r="AD320">
        <v>10.396921851108896</v>
      </c>
      <c r="AE320">
        <v>2052.9443991985522</v>
      </c>
      <c r="AF320">
        <v>7.6544307090201498</v>
      </c>
      <c r="AG320">
        <v>2148.5391645753143</v>
      </c>
      <c r="AH320">
        <v>10.390876966245076</v>
      </c>
      <c r="AI320">
        <v>1930.2423733196754</v>
      </c>
      <c r="AJ320">
        <v>7.6508015075604021</v>
      </c>
    </row>
    <row r="321" spans="4:36" x14ac:dyDescent="0.55000000000000004">
      <c r="D321">
        <v>314</v>
      </c>
      <c r="E321">
        <v>12.869444578253525</v>
      </c>
      <c r="F321">
        <v>0.47867248372511678</v>
      </c>
      <c r="G321">
        <v>0.17935734219376173</v>
      </c>
      <c r="H321">
        <v>16.472525595827602</v>
      </c>
      <c r="I321">
        <v>13.059876013127058</v>
      </c>
      <c r="J321">
        <v>0.33586750486187289</v>
      </c>
      <c r="K321">
        <v>0.1255143065787708</v>
      </c>
      <c r="L321">
        <v>16.478742175432302</v>
      </c>
      <c r="M321">
        <v>12.99393281064895</v>
      </c>
      <c r="N321">
        <v>0.38534065817048951</v>
      </c>
      <c r="O321">
        <v>0.14413471489458504</v>
      </c>
      <c r="P321">
        <v>16.476591816285978</v>
      </c>
      <c r="Q321">
        <v>12.950969525289677</v>
      </c>
      <c r="R321">
        <v>0.4175607732214216</v>
      </c>
      <c r="S321">
        <v>0.15628021520858418</v>
      </c>
      <c r="T321">
        <v>16.475189486280332</v>
      </c>
      <c r="U321">
        <v>1561.2747092526556</v>
      </c>
      <c r="V321">
        <v>10.246633628401513</v>
      </c>
      <c r="W321">
        <v>1314.0238185842682</v>
      </c>
      <c r="X321">
        <v>7.5716654722009542</v>
      </c>
      <c r="Y321">
        <v>2937.1164184287454</v>
      </c>
      <c r="Z321">
        <v>10.280511243641811</v>
      </c>
      <c r="AA321">
        <v>2766.2808943064947</v>
      </c>
      <c r="AB321">
        <v>7.5920819913794571</v>
      </c>
      <c r="AC321">
        <v>2254.4784355719594</v>
      </c>
      <c r="AD321">
        <v>10.268778832670254</v>
      </c>
      <c r="AE321">
        <v>2052.365679152625</v>
      </c>
      <c r="AF321">
        <v>7.5850184033578323</v>
      </c>
      <c r="AG321">
        <v>2157.1164159494942</v>
      </c>
      <c r="AH321">
        <v>10.261135598597415</v>
      </c>
      <c r="AI321">
        <v>1938.7136336684043</v>
      </c>
      <c r="AJ321">
        <v>7.5804127553009417</v>
      </c>
    </row>
    <row r="322" spans="4:36" x14ac:dyDescent="0.55000000000000004">
      <c r="D322">
        <v>315</v>
      </c>
      <c r="E322">
        <v>13.051187422499396</v>
      </c>
      <c r="F322">
        <v>0.45343544275531844</v>
      </c>
      <c r="G322">
        <v>0.17174755078042483</v>
      </c>
      <c r="H322">
        <v>16.323629583964856</v>
      </c>
      <c r="I322">
        <v>13.291010630109897</v>
      </c>
      <c r="J322">
        <v>0.29153827149171241</v>
      </c>
      <c r="K322">
        <v>0.11003579018859581</v>
      </c>
      <c r="L322">
        <v>16.307415308209805</v>
      </c>
      <c r="M322">
        <v>13.226407595525826</v>
      </c>
      <c r="N322">
        <v>0.33518644769098327</v>
      </c>
      <c r="O322">
        <v>0.12662996057599876</v>
      </c>
      <c r="P322">
        <v>16.311775996207185</v>
      </c>
      <c r="Q322">
        <v>13.165579981446504</v>
      </c>
      <c r="R322">
        <v>0.37625918579415429</v>
      </c>
      <c r="S322">
        <v>0.14227423665886046</v>
      </c>
      <c r="T322">
        <v>16.315886596100491</v>
      </c>
      <c r="U322">
        <v>1570.6640078886785</v>
      </c>
      <c r="V322">
        <v>10.369561062582656</v>
      </c>
      <c r="W322">
        <v>1319.8018194367903</v>
      </c>
      <c r="X322">
        <v>7.6461845995131554</v>
      </c>
      <c r="Y322">
        <v>2929.4653237221992</v>
      </c>
      <c r="Z322">
        <v>10.423953231931883</v>
      </c>
      <c r="AA322">
        <v>2761.9797292274234</v>
      </c>
      <c r="AB322">
        <v>7.6780113894618367</v>
      </c>
      <c r="AC322">
        <v>2253.7386489702367</v>
      </c>
      <c r="AD322">
        <v>10.409305300293807</v>
      </c>
      <c r="AE322">
        <v>2053.242499145354</v>
      </c>
      <c r="AF322">
        <v>7.6694507325832886</v>
      </c>
      <c r="AG322">
        <v>2170.388756993912</v>
      </c>
      <c r="AH322">
        <v>10.395510639701822</v>
      </c>
      <c r="AI322">
        <v>1949.0356546454091</v>
      </c>
      <c r="AJ322">
        <v>7.6613817977580068</v>
      </c>
    </row>
    <row r="323" spans="4:36" x14ac:dyDescent="0.55000000000000004">
      <c r="D323">
        <v>316</v>
      </c>
      <c r="E323">
        <v>13.891140219621937</v>
      </c>
      <c r="F323">
        <v>0.52800423542867281</v>
      </c>
      <c r="G323">
        <v>0.18752726808343706</v>
      </c>
      <c r="H323">
        <v>15.393328276865947</v>
      </c>
      <c r="I323">
        <v>14.168508958095689</v>
      </c>
      <c r="J323">
        <v>0.3241755296777542</v>
      </c>
      <c r="K323">
        <v>0.11471868825975313</v>
      </c>
      <c r="L323">
        <v>15.392596823966807</v>
      </c>
      <c r="M323">
        <v>14.031355609503947</v>
      </c>
      <c r="N323">
        <v>0.42501641268909757</v>
      </c>
      <c r="O323">
        <v>0.1506725623877502</v>
      </c>
      <c r="P323">
        <v>15.392955415419198</v>
      </c>
      <c r="Q323">
        <v>13.985876780509622</v>
      </c>
      <c r="R323">
        <v>0.45843212705857017</v>
      </c>
      <c r="S323">
        <v>0.16261543930713246</v>
      </c>
      <c r="T323">
        <v>15.39307565312469</v>
      </c>
      <c r="U323">
        <v>1578.6343794883689</v>
      </c>
      <c r="V323">
        <v>11.043631759946033</v>
      </c>
      <c r="W323">
        <v>1316.660796266947</v>
      </c>
      <c r="X323">
        <v>8.0402247388761605</v>
      </c>
      <c r="Y323">
        <v>2948.1988917930175</v>
      </c>
      <c r="Z323">
        <v>11.100568021395253</v>
      </c>
      <c r="AA323">
        <v>2770.8706145961401</v>
      </c>
      <c r="AB323">
        <v>8.0736460963254846</v>
      </c>
      <c r="AC323">
        <v>2290.6546158731617</v>
      </c>
      <c r="AD323">
        <v>11.072415259179333</v>
      </c>
      <c r="AE323">
        <v>2070.6141973194317</v>
      </c>
      <c r="AF323">
        <v>8.0571359673707885</v>
      </c>
      <c r="AG323">
        <v>2196.74919390991</v>
      </c>
      <c r="AH323">
        <v>11.063079584873561</v>
      </c>
      <c r="AI323">
        <v>1958.9934663689435</v>
      </c>
      <c r="AJ323">
        <v>8.0516544428505377</v>
      </c>
    </row>
    <row r="324" spans="4:36" x14ac:dyDescent="0.55000000000000004">
      <c r="D324">
        <v>317</v>
      </c>
      <c r="E324">
        <v>12.618133465799765</v>
      </c>
      <c r="F324">
        <v>0.46710155759126992</v>
      </c>
      <c r="G324">
        <v>0.18758920604538004</v>
      </c>
      <c r="H324">
        <v>16.727175770563598</v>
      </c>
      <c r="I324">
        <v>12.858876542443545</v>
      </c>
      <c r="J324">
        <v>0.29193704057975695</v>
      </c>
      <c r="K324">
        <v>0.11684466488366234</v>
      </c>
      <c r="L324">
        <v>16.732341752093024</v>
      </c>
      <c r="M324">
        <v>12.744220350505177</v>
      </c>
      <c r="N324">
        <v>0.37540302648297191</v>
      </c>
      <c r="O324">
        <v>0.15049357233973987</v>
      </c>
      <c r="P324">
        <v>16.729883050672115</v>
      </c>
      <c r="Q324">
        <v>12.748939590398143</v>
      </c>
      <c r="R324">
        <v>0.37196908072973822</v>
      </c>
      <c r="S324">
        <v>0.14910701929272771</v>
      </c>
      <c r="T324">
        <v>16.729984309579404</v>
      </c>
      <c r="U324">
        <v>1571.7410228548847</v>
      </c>
      <c r="V324">
        <v>10.004378697840991</v>
      </c>
      <c r="W324">
        <v>1322.296620909493</v>
      </c>
      <c r="X324">
        <v>7.4197370003715095</v>
      </c>
      <c r="Y324">
        <v>2916.7580439951716</v>
      </c>
      <c r="Z324">
        <v>10.046101633602262</v>
      </c>
      <c r="AA324">
        <v>2754.4291406918805</v>
      </c>
      <c r="AB324">
        <v>7.4449240195768676</v>
      </c>
      <c r="AC324">
        <v>2253.0384445421455</v>
      </c>
      <c r="AD324">
        <v>10.026229232395384</v>
      </c>
      <c r="AE324">
        <v>2051.7188475403109</v>
      </c>
      <c r="AF324">
        <v>7.4329398313967623</v>
      </c>
      <c r="AG324">
        <v>2138.0732363225611</v>
      </c>
      <c r="AH324">
        <v>10.027047126857109</v>
      </c>
      <c r="AI324">
        <v>1927.884234225485</v>
      </c>
      <c r="AJ324">
        <v>7.433433505183574</v>
      </c>
    </row>
    <row r="325" spans="4:36" x14ac:dyDescent="0.55000000000000004">
      <c r="D325">
        <v>318</v>
      </c>
      <c r="E325">
        <v>12.57794701261354</v>
      </c>
      <c r="F325">
        <v>0.43244330789484947</v>
      </c>
      <c r="G325">
        <v>0.1532947022200809</v>
      </c>
      <c r="H325">
        <v>16.836314977271542</v>
      </c>
      <c r="I325">
        <v>12.796874528315083</v>
      </c>
      <c r="J325">
        <v>0.28401275245466562</v>
      </c>
      <c r="K325">
        <v>0.10035499779237583</v>
      </c>
      <c r="L325">
        <v>16.81875772143788</v>
      </c>
      <c r="M325">
        <v>12.706847411546455</v>
      </c>
      <c r="N325">
        <v>0.34508846491328349</v>
      </c>
      <c r="O325">
        <v>0.12209660726544463</v>
      </c>
      <c r="P325">
        <v>16.825967516274805</v>
      </c>
      <c r="Q325">
        <v>12.69534927447382</v>
      </c>
      <c r="R325">
        <v>0.35288513514317432</v>
      </c>
      <c r="S325">
        <v>0.12487623961582754</v>
      </c>
      <c r="T325">
        <v>16.826889350767175</v>
      </c>
      <c r="U325">
        <v>1515.0200038078151</v>
      </c>
      <c r="V325">
        <v>9.8729797146736544</v>
      </c>
      <c r="W325">
        <v>1288.4655060271873</v>
      </c>
      <c r="X325">
        <v>7.3344299898345771</v>
      </c>
      <c r="Y325">
        <v>2887.0873025136016</v>
      </c>
      <c r="Z325">
        <v>9.9222606818300321</v>
      </c>
      <c r="AA325">
        <v>2736.628723233815</v>
      </c>
      <c r="AB325">
        <v>7.3632727489536283</v>
      </c>
      <c r="AC325">
        <v>2207.9911929807263</v>
      </c>
      <c r="AD325">
        <v>9.9020015651360538</v>
      </c>
      <c r="AE325">
        <v>2025.1354025327616</v>
      </c>
      <c r="AF325">
        <v>7.3514264841017569</v>
      </c>
      <c r="AG325">
        <v>2081.9546045237735</v>
      </c>
      <c r="AH325">
        <v>9.8994134836510455</v>
      </c>
      <c r="AI325">
        <v>1892.2044521452635</v>
      </c>
      <c r="AJ325">
        <v>7.3499120528454807</v>
      </c>
    </row>
    <row r="326" spans="4:36" x14ac:dyDescent="0.55000000000000004">
      <c r="D326">
        <v>319</v>
      </c>
      <c r="E326">
        <v>11.735808265428357</v>
      </c>
      <c r="F326">
        <v>0.44880197348071693</v>
      </c>
      <c r="G326">
        <v>0.18027980490977075</v>
      </c>
      <c r="H326">
        <v>17.635109956181168</v>
      </c>
      <c r="I326">
        <v>11.932397916811659</v>
      </c>
      <c r="J326">
        <v>0.29222387907238523</v>
      </c>
      <c r="K326">
        <v>0.11700318004676616</v>
      </c>
      <c r="L326">
        <v>17.658375024069176</v>
      </c>
      <c r="M326">
        <v>11.844966743277057</v>
      </c>
      <c r="N326">
        <v>0.36188340292772442</v>
      </c>
      <c r="O326">
        <v>0.14510269394296102</v>
      </c>
      <c r="P326">
        <v>17.648047159852265</v>
      </c>
      <c r="Q326">
        <v>11.83901463344715</v>
      </c>
      <c r="R326">
        <v>0.36662432222835611</v>
      </c>
      <c r="S326">
        <v>0.14701808452905396</v>
      </c>
      <c r="T326">
        <v>17.647342959795427</v>
      </c>
      <c r="U326">
        <v>1520.7577096795314</v>
      </c>
      <c r="V326">
        <v>9.367305539685912</v>
      </c>
      <c r="W326">
        <v>1287.2875691596178</v>
      </c>
      <c r="X326">
        <v>7.0422108157730978</v>
      </c>
      <c r="Y326">
        <v>2904.3338089095637</v>
      </c>
      <c r="Z326">
        <v>9.390299228926974</v>
      </c>
      <c r="AA326">
        <v>2746.4411209807963</v>
      </c>
      <c r="AB326">
        <v>7.0573817419430327</v>
      </c>
      <c r="AC326">
        <v>2216.255444007938</v>
      </c>
      <c r="AD326">
        <v>9.3800628935319086</v>
      </c>
      <c r="AE326">
        <v>2026.7499503810075</v>
      </c>
      <c r="AF326">
        <v>7.0506375138255493</v>
      </c>
      <c r="AG326">
        <v>2121.3174123854901</v>
      </c>
      <c r="AH326">
        <v>9.3793666152887347</v>
      </c>
      <c r="AI326">
        <v>1917.6996833912265</v>
      </c>
      <c r="AJ326">
        <v>7.050178215659809</v>
      </c>
    </row>
    <row r="327" spans="4:36" x14ac:dyDescent="0.55000000000000004">
      <c r="D327">
        <v>320</v>
      </c>
      <c r="E327">
        <v>13.660909159597232</v>
      </c>
      <c r="F327">
        <v>0.48055002528039653</v>
      </c>
      <c r="G327">
        <v>0.16010819516670852</v>
      </c>
      <c r="H327">
        <v>15.69843261995565</v>
      </c>
      <c r="I327">
        <v>13.945982306884419</v>
      </c>
      <c r="J327">
        <v>0.2963588548824504</v>
      </c>
      <c r="K327">
        <v>9.8378936856315519E-2</v>
      </c>
      <c r="L327">
        <v>15.659279901376811</v>
      </c>
      <c r="M327">
        <v>13.82980235676091</v>
      </c>
      <c r="N327">
        <v>0.37149030267056199</v>
      </c>
      <c r="O327">
        <v>0.12350276772980408</v>
      </c>
      <c r="P327">
        <v>15.675204572838727</v>
      </c>
      <c r="Q327">
        <v>13.775648240988472</v>
      </c>
      <c r="R327">
        <v>0.40648016238844703</v>
      </c>
      <c r="S327">
        <v>0.13522928664684067</v>
      </c>
      <c r="T327">
        <v>15.682642309976234</v>
      </c>
      <c r="U327">
        <v>1588.984916874306</v>
      </c>
      <c r="V327">
        <v>10.792213246195958</v>
      </c>
      <c r="W327">
        <v>1331.8280941516341</v>
      </c>
      <c r="X327">
        <v>7.890017494962497</v>
      </c>
      <c r="Y327">
        <v>2926.175577299593</v>
      </c>
      <c r="Z327">
        <v>10.866717146698269</v>
      </c>
      <c r="AA327">
        <v>2759.2934448522833</v>
      </c>
      <c r="AB327">
        <v>7.9323364853257079</v>
      </c>
      <c r="AC327">
        <v>2247.316568849983</v>
      </c>
      <c r="AD327">
        <v>10.836371845613881</v>
      </c>
      <c r="AE327">
        <v>2045.9147424444132</v>
      </c>
      <c r="AF327">
        <v>7.9151166429641142</v>
      </c>
      <c r="AG327">
        <v>2159.0123085607611</v>
      </c>
      <c r="AH327">
        <v>10.822218624145986</v>
      </c>
      <c r="AI327">
        <v>1938.5793914237879</v>
      </c>
      <c r="AJ327">
        <v>7.9070774405811655</v>
      </c>
    </row>
    <row r="328" spans="4:36" x14ac:dyDescent="0.55000000000000004">
      <c r="D328">
        <v>321</v>
      </c>
      <c r="E328">
        <v>12.480069000884965</v>
      </c>
      <c r="F328">
        <v>0.49158718468390022</v>
      </c>
      <c r="G328">
        <v>0.15600908676999836</v>
      </c>
      <c r="H328">
        <v>16.872334727661144</v>
      </c>
      <c r="I328">
        <v>12.724744935979905</v>
      </c>
      <c r="J328">
        <v>0.30206758162615049</v>
      </c>
      <c r="K328">
        <v>9.5521593077071282E-2</v>
      </c>
      <c r="L328">
        <v>16.877665889316891</v>
      </c>
      <c r="M328">
        <v>12.647261348508595</v>
      </c>
      <c r="N328">
        <v>0.36211712757418446</v>
      </c>
      <c r="O328">
        <v>0.11463975634563617</v>
      </c>
      <c r="P328">
        <v>16.875981767571577</v>
      </c>
      <c r="Q328">
        <v>12.589739123113034</v>
      </c>
      <c r="R328">
        <v>0.40667710828299408</v>
      </c>
      <c r="S328">
        <v>0.12885473034809181</v>
      </c>
      <c r="T328">
        <v>16.874729038255872</v>
      </c>
      <c r="U328">
        <v>1539.3986015823907</v>
      </c>
      <c r="V328">
        <v>9.9105971622261286</v>
      </c>
      <c r="W328">
        <v>1300.4447684674058</v>
      </c>
      <c r="X328">
        <v>7.3662696163629287</v>
      </c>
      <c r="Y328">
        <v>2905.804507507612</v>
      </c>
      <c r="Z328">
        <v>9.9537849543244299</v>
      </c>
      <c r="AA328">
        <v>2748.1664486763852</v>
      </c>
      <c r="AB328">
        <v>7.3924302282873029</v>
      </c>
      <c r="AC328">
        <v>2219.207682498999</v>
      </c>
      <c r="AD328">
        <v>9.9401063573765338</v>
      </c>
      <c r="AE328">
        <v>2030.9049139702668</v>
      </c>
      <c r="AF328">
        <v>7.3841561186124327</v>
      </c>
      <c r="AG328">
        <v>2119.2316073395996</v>
      </c>
      <c r="AH328">
        <v>9.9299528144960902</v>
      </c>
      <c r="AI328">
        <v>1914.5681271883336</v>
      </c>
      <c r="AJ328">
        <v>7.3780073922655198</v>
      </c>
    </row>
    <row r="329" spans="4:36" x14ac:dyDescent="0.55000000000000004">
      <c r="D329">
        <v>322</v>
      </c>
      <c r="E329">
        <v>12.18684493981994</v>
      </c>
      <c r="F329">
        <v>0.44036533743733164</v>
      </c>
      <c r="G329">
        <v>0.17369224170410758</v>
      </c>
      <c r="H329">
        <v>17.199097481038631</v>
      </c>
      <c r="I329">
        <v>12.418691012277549</v>
      </c>
      <c r="J329">
        <v>0.27464730597933368</v>
      </c>
      <c r="K329">
        <v>0.10795069797325871</v>
      </c>
      <c r="L329">
        <v>17.198710983769871</v>
      </c>
      <c r="M329">
        <v>12.316422647894862</v>
      </c>
      <c r="N329">
        <v>0.34778713842831138</v>
      </c>
      <c r="O329">
        <v>0.13690836551845434</v>
      </c>
      <c r="P329">
        <v>17.198881848158358</v>
      </c>
      <c r="Q329">
        <v>12.276059990751499</v>
      </c>
      <c r="R329">
        <v>0.3766358346606461</v>
      </c>
      <c r="S329">
        <v>0.14835505424854564</v>
      </c>
      <c r="T329">
        <v>17.198949120339318</v>
      </c>
      <c r="U329">
        <v>1504.452372081832</v>
      </c>
      <c r="V329">
        <v>9.6550008158020297</v>
      </c>
      <c r="W329">
        <v>1278.852534511765</v>
      </c>
      <c r="X329">
        <v>7.2121191176784443</v>
      </c>
      <c r="Y329">
        <v>2872.4296998630089</v>
      </c>
      <c r="Z329">
        <v>9.6994499290601706</v>
      </c>
      <c r="AA329">
        <v>2725.8191521940794</v>
      </c>
      <c r="AB329">
        <v>7.2389525473763552</v>
      </c>
      <c r="AC329">
        <v>2201.7693895425341</v>
      </c>
      <c r="AD329">
        <v>9.6798431561900582</v>
      </c>
      <c r="AE329">
        <v>2019.4872740069325</v>
      </c>
      <c r="AF329">
        <v>7.2271289670727299</v>
      </c>
      <c r="AG329">
        <v>2089.6165579459107</v>
      </c>
      <c r="AH329">
        <v>9.6721049022038486</v>
      </c>
      <c r="AI329">
        <v>1895.2725331050997</v>
      </c>
      <c r="AJ329">
        <v>7.2224569848648921</v>
      </c>
    </row>
    <row r="330" spans="4:36" x14ac:dyDescent="0.55000000000000004">
      <c r="D330">
        <v>323</v>
      </c>
      <c r="E330">
        <v>12.580432464316061</v>
      </c>
      <c r="F330">
        <v>0.42630662190654356</v>
      </c>
      <c r="G330">
        <v>0.16484792723952485</v>
      </c>
      <c r="H330">
        <v>16.828412986537874</v>
      </c>
      <c r="I330">
        <v>12.746274482490515</v>
      </c>
      <c r="J330">
        <v>0.30013425238374886</v>
      </c>
      <c r="K330">
        <v>0.11577415321681724</v>
      </c>
      <c r="L330">
        <v>16.837817111908915</v>
      </c>
      <c r="M330">
        <v>12.639831767515213</v>
      </c>
      <c r="N330">
        <v>0.38113246151238389</v>
      </c>
      <c r="O330">
        <v>0.14724970496003376</v>
      </c>
      <c r="P330">
        <v>16.83178606601237</v>
      </c>
      <c r="Q330">
        <v>12.612974463442203</v>
      </c>
      <c r="R330">
        <v>0.40156021492039939</v>
      </c>
      <c r="S330">
        <v>0.1552037181651246</v>
      </c>
      <c r="T330">
        <v>16.83026160347228</v>
      </c>
      <c r="U330">
        <v>1517.6959565607069</v>
      </c>
      <c r="V330">
        <v>9.9565234988948426</v>
      </c>
      <c r="W330">
        <v>1289.2245754410208</v>
      </c>
      <c r="X330">
        <v>7.3936925093953239</v>
      </c>
      <c r="Y330">
        <v>2915.6655235521225</v>
      </c>
      <c r="Z330">
        <v>9.9838773260284128</v>
      </c>
      <c r="AA330">
        <v>2755.6769059194198</v>
      </c>
      <c r="AB330">
        <v>7.4105763992655787</v>
      </c>
      <c r="AC330">
        <v>2219.5588293808951</v>
      </c>
      <c r="AD330">
        <v>9.9663177875008842</v>
      </c>
      <c r="AE330">
        <v>2029.7015379154629</v>
      </c>
      <c r="AF330">
        <v>7.3997438239197226</v>
      </c>
      <c r="AG330">
        <v>2101.0725657674607</v>
      </c>
      <c r="AH330">
        <v>9.9618889012327134</v>
      </c>
      <c r="AI330">
        <v>1901.4125708903146</v>
      </c>
      <c r="AJ330">
        <v>7.3970082941252659</v>
      </c>
    </row>
    <row r="331" spans="4:36" x14ac:dyDescent="0.55000000000000004">
      <c r="D331">
        <v>324</v>
      </c>
      <c r="E331">
        <v>13.155587378083311</v>
      </c>
      <c r="F331">
        <v>0.49871087554207244</v>
      </c>
      <c r="G331">
        <v>0.17909209060321005</v>
      </c>
      <c r="H331">
        <v>16.166609655771396</v>
      </c>
      <c r="I331">
        <v>13.386385472677777</v>
      </c>
      <c r="J331">
        <v>0.32381600308902192</v>
      </c>
      <c r="K331">
        <v>0.11591083563311499</v>
      </c>
      <c r="L331">
        <v>16.173887688600075</v>
      </c>
      <c r="M331">
        <v>13.285912724206863</v>
      </c>
      <c r="N331">
        <v>0.39998653347073176</v>
      </c>
      <c r="O331">
        <v>0.14337678003492846</v>
      </c>
      <c r="P331">
        <v>16.170723962287486</v>
      </c>
      <c r="Q331">
        <v>13.237841107708663</v>
      </c>
      <c r="R331">
        <v>0.43641216810133476</v>
      </c>
      <c r="S331">
        <v>0.15653896205947382</v>
      </c>
      <c r="T331">
        <v>16.169207762130515</v>
      </c>
      <c r="U331">
        <v>1638.7128000248179</v>
      </c>
      <c r="V331">
        <v>10.374433827717118</v>
      </c>
      <c r="W331">
        <v>1362.3355532817714</v>
      </c>
      <c r="X331">
        <v>7.6307395595477949</v>
      </c>
      <c r="Y331">
        <v>2969.0965387439132</v>
      </c>
      <c r="Z331">
        <v>10.410612859916935</v>
      </c>
      <c r="AA331">
        <v>2785.9474753394784</v>
      </c>
      <c r="AB331">
        <v>7.6524776800109766</v>
      </c>
      <c r="AC331">
        <v>2278.3056666168418</v>
      </c>
      <c r="AD331">
        <v>10.394861072357129</v>
      </c>
      <c r="AE331">
        <v>2062.8092653978347</v>
      </c>
      <c r="AF331">
        <v>7.6430228380568455</v>
      </c>
      <c r="AG331">
        <v>2184.1481657175218</v>
      </c>
      <c r="AH331">
        <v>10.3873256829522</v>
      </c>
      <c r="AI331">
        <v>1950.6707186248539</v>
      </c>
      <c r="AJ331">
        <v>7.6384945870174192</v>
      </c>
    </row>
    <row r="332" spans="4:36" x14ac:dyDescent="0.55000000000000004">
      <c r="D332">
        <v>325</v>
      </c>
      <c r="E332">
        <v>12.480744427019092</v>
      </c>
      <c r="F332">
        <v>0.48935813237507458</v>
      </c>
      <c r="G332">
        <v>0.19131584809324259</v>
      </c>
      <c r="H332">
        <v>16.838581592512604</v>
      </c>
      <c r="I332">
        <v>12.661289521978416</v>
      </c>
      <c r="J332">
        <v>0.34217240250936337</v>
      </c>
      <c r="K332">
        <v>0.13342968351210621</v>
      </c>
      <c r="L332">
        <v>16.863108392000104</v>
      </c>
      <c r="M332">
        <v>12.599251718017129</v>
      </c>
      <c r="N332">
        <v>0.39276325263662737</v>
      </c>
      <c r="O332">
        <v>0.15329236633714502</v>
      </c>
      <c r="P332">
        <v>16.854692663009079</v>
      </c>
      <c r="Q332">
        <v>12.568256793373022</v>
      </c>
      <c r="R332">
        <v>0.41803295264751555</v>
      </c>
      <c r="S332">
        <v>0.16322690167334117</v>
      </c>
      <c r="T332">
        <v>16.850483352306135</v>
      </c>
      <c r="U332">
        <v>1558.7601060800741</v>
      </c>
      <c r="V332">
        <v>9.8758841192665088</v>
      </c>
      <c r="W332">
        <v>1311.2156522805781</v>
      </c>
      <c r="X332">
        <v>7.3355997669616571</v>
      </c>
      <c r="Y332">
        <v>2927.833704996719</v>
      </c>
      <c r="Z332">
        <v>9.8976632743121868</v>
      </c>
      <c r="AA332">
        <v>2758.7858631773147</v>
      </c>
      <c r="AB332">
        <v>7.3497818563182991</v>
      </c>
      <c r="AC332">
        <v>2232.6333829246105</v>
      </c>
      <c r="AD332">
        <v>9.8901723820613849</v>
      </c>
      <c r="AE332">
        <v>2035.4687073508153</v>
      </c>
      <c r="AF332">
        <v>7.3449106619716096</v>
      </c>
      <c r="AG332">
        <v>2142.2277350160866</v>
      </c>
      <c r="AH332">
        <v>9.8864326738077377</v>
      </c>
      <c r="AI332">
        <v>1927.5952569860347</v>
      </c>
      <c r="AJ332">
        <v>7.3424761791228281</v>
      </c>
    </row>
    <row r="333" spans="4:36" x14ac:dyDescent="0.55000000000000004">
      <c r="D333">
        <v>326</v>
      </c>
      <c r="E333">
        <v>12.484162576492187</v>
      </c>
      <c r="F333">
        <v>0.44855920209725875</v>
      </c>
      <c r="G333">
        <v>0.16832575168089778</v>
      </c>
      <c r="H333">
        <v>16.89895246972965</v>
      </c>
      <c r="I333">
        <v>12.753843171692461</v>
      </c>
      <c r="J333">
        <v>0.26461832189379902</v>
      </c>
      <c r="K333">
        <v>9.8876209325637884E-2</v>
      </c>
      <c r="L333">
        <v>16.882662297088086</v>
      </c>
      <c r="M333">
        <v>12.651806560387184</v>
      </c>
      <c r="N333">
        <v>0.33427044875269474</v>
      </c>
      <c r="O333">
        <v>0.1251034521833298</v>
      </c>
      <c r="P333">
        <v>16.888819538676799</v>
      </c>
      <c r="Q333">
        <v>12.607872757918363</v>
      </c>
      <c r="R333">
        <v>0.3642395647176761</v>
      </c>
      <c r="S333">
        <v>0.13641465719697091</v>
      </c>
      <c r="T333">
        <v>16.891473020166995</v>
      </c>
      <c r="U333">
        <v>1480.009749011685</v>
      </c>
      <c r="V333">
        <v>9.8555331785393054</v>
      </c>
      <c r="W333">
        <v>1263.5126112368268</v>
      </c>
      <c r="X333">
        <v>7.3287532725074902</v>
      </c>
      <c r="Y333">
        <v>2871.5433980396151</v>
      </c>
      <c r="Z333">
        <v>9.9147415028231016</v>
      </c>
      <c r="AA333">
        <v>2727.919613557277</v>
      </c>
      <c r="AB333">
        <v>7.3638436018720963</v>
      </c>
      <c r="AC333">
        <v>2180.9537914942948</v>
      </c>
      <c r="AD333">
        <v>9.8923435239719044</v>
      </c>
      <c r="AE333">
        <v>2007.5493251678697</v>
      </c>
      <c r="AF333">
        <v>7.3505862204364201</v>
      </c>
      <c r="AG333">
        <v>2085.6682770203352</v>
      </c>
      <c r="AH333">
        <v>9.8826981010525987</v>
      </c>
      <c r="AI333">
        <v>1896.1290795110931</v>
      </c>
      <c r="AJ333">
        <v>7.3448707594890692</v>
      </c>
    </row>
    <row r="334" spans="4:36" x14ac:dyDescent="0.55000000000000004">
      <c r="D334">
        <v>327</v>
      </c>
      <c r="E334">
        <v>12.562862947014494</v>
      </c>
      <c r="F334">
        <v>0.44701212319549344</v>
      </c>
      <c r="G334">
        <v>0.15985583947042073</v>
      </c>
      <c r="H334">
        <v>16.830269090319593</v>
      </c>
      <c r="I334">
        <v>12.748557280552836</v>
      </c>
      <c r="J334">
        <v>0.30585128814092871</v>
      </c>
      <c r="K334">
        <v>0.10908506457538845</v>
      </c>
      <c r="L334">
        <v>16.836506366730848</v>
      </c>
      <c r="M334">
        <v>12.686834584733811</v>
      </c>
      <c r="N334">
        <v>0.35279184130537011</v>
      </c>
      <c r="O334">
        <v>0.12593765769326207</v>
      </c>
      <c r="P334">
        <v>16.834435916267548</v>
      </c>
      <c r="Q334">
        <v>12.630081416160005</v>
      </c>
      <c r="R334">
        <v>0.3959352491935606</v>
      </c>
      <c r="S334">
        <v>0.14145357940273082</v>
      </c>
      <c r="T334">
        <v>16.832529755243698</v>
      </c>
      <c r="U334">
        <v>1543.7455054219402</v>
      </c>
      <c r="V334">
        <v>9.8792114101528092</v>
      </c>
      <c r="W334">
        <v>1303.7363353521314</v>
      </c>
      <c r="X334">
        <v>7.336625127925771</v>
      </c>
      <c r="Y334">
        <v>2911.142567599547</v>
      </c>
      <c r="Z334">
        <v>9.9095266295322162</v>
      </c>
      <c r="AA334">
        <v>2749.5500827311653</v>
      </c>
      <c r="AB334">
        <v>7.3550402496508491</v>
      </c>
      <c r="AC334">
        <v>2238.2595422439681</v>
      </c>
      <c r="AD334">
        <v>9.8994487629672197</v>
      </c>
      <c r="AE334">
        <v>2043.1933296428167</v>
      </c>
      <c r="AF334">
        <v>7.3489247840333114</v>
      </c>
      <c r="AG334">
        <v>2136.4423784768173</v>
      </c>
      <c r="AH334">
        <v>9.8901835575325823</v>
      </c>
      <c r="AI334">
        <v>1925.2800283320862</v>
      </c>
      <c r="AJ334">
        <v>7.3432968691369984</v>
      </c>
    </row>
    <row r="335" spans="4:36" x14ac:dyDescent="0.55000000000000004">
      <c r="D335">
        <v>328</v>
      </c>
      <c r="E335">
        <v>12.809940531362146</v>
      </c>
      <c r="F335">
        <v>0.4635974513542826</v>
      </c>
      <c r="G335">
        <v>0.16981105998643467</v>
      </c>
      <c r="H335">
        <v>16.55665095729713</v>
      </c>
      <c r="I335">
        <v>13.02680875227302</v>
      </c>
      <c r="J335">
        <v>0.30605482934369871</v>
      </c>
      <c r="K335">
        <v>0.1117646383906684</v>
      </c>
      <c r="L335">
        <v>16.555371779992608</v>
      </c>
      <c r="M335">
        <v>12.943099843800638</v>
      </c>
      <c r="N335">
        <v>0.36689700998655533</v>
      </c>
      <c r="O335">
        <v>0.13413947103233445</v>
      </c>
      <c r="P335">
        <v>16.555863675180476</v>
      </c>
      <c r="Q335">
        <v>12.893959182021518</v>
      </c>
      <c r="R335">
        <v>0.40259505089996728</v>
      </c>
      <c r="S335">
        <v>0.14729224694007101</v>
      </c>
      <c r="T335">
        <v>16.55615352013843</v>
      </c>
      <c r="U335">
        <v>1587.5048781636485</v>
      </c>
      <c r="V335">
        <v>10.175139893197448</v>
      </c>
      <c r="W335">
        <v>1332.920108746225</v>
      </c>
      <c r="X335">
        <v>7.5268996697530213</v>
      </c>
      <c r="Y335">
        <v>2921.4253072841261</v>
      </c>
      <c r="Z335">
        <v>10.214961372794779</v>
      </c>
      <c r="AA335">
        <v>2755.7894988663247</v>
      </c>
      <c r="AB335">
        <v>7.5505935873634353</v>
      </c>
      <c r="AC335">
        <v>2261.0160313112187</v>
      </c>
      <c r="AD335">
        <v>10.199591753566018</v>
      </c>
      <c r="AE335">
        <v>2057.2380773019745</v>
      </c>
      <c r="AF335">
        <v>7.5414577499754918</v>
      </c>
      <c r="AG335">
        <v>2167.6423977977129</v>
      </c>
      <c r="AH335">
        <v>10.190568518105151</v>
      </c>
      <c r="AI335">
        <v>1946.1375257889226</v>
      </c>
      <c r="AJ335">
        <v>7.5360889269304439</v>
      </c>
    </row>
    <row r="336" spans="4:36" x14ac:dyDescent="0.55000000000000004">
      <c r="D336">
        <v>329</v>
      </c>
      <c r="E336">
        <v>12.186084941975963</v>
      </c>
      <c r="F336">
        <v>0.5260637730813259</v>
      </c>
      <c r="G336">
        <v>0.1698811746712133</v>
      </c>
      <c r="H336">
        <v>17.117970110271493</v>
      </c>
      <c r="I336">
        <v>12.405843159483274</v>
      </c>
      <c r="J336">
        <v>0.34045223375191586</v>
      </c>
      <c r="K336">
        <v>0.10960020920628838</v>
      </c>
      <c r="L336">
        <v>17.144104397558518</v>
      </c>
      <c r="M336">
        <v>12.35540640363137</v>
      </c>
      <c r="N336">
        <v>0.38306796137949967</v>
      </c>
      <c r="O336">
        <v>0.12340691717361421</v>
      </c>
      <c r="P336">
        <v>17.138118717815505</v>
      </c>
      <c r="Q336">
        <v>12.285475862494186</v>
      </c>
      <c r="R336">
        <v>0.44213895625770583</v>
      </c>
      <c r="S336">
        <v>0.14257778717213176</v>
      </c>
      <c r="T336">
        <v>17.129807394075979</v>
      </c>
      <c r="U336">
        <v>1560.8552992296948</v>
      </c>
      <c r="V336">
        <v>9.6686848110693102</v>
      </c>
      <c r="W336">
        <v>1313.0166959556364</v>
      </c>
      <c r="X336">
        <v>7.2119850680456397</v>
      </c>
      <c r="Y336">
        <v>2900.962609617578</v>
      </c>
      <c r="Z336">
        <v>9.6942175931788395</v>
      </c>
      <c r="AA336">
        <v>2741.0268197517698</v>
      </c>
      <c r="AB336">
        <v>7.2285165056653806</v>
      </c>
      <c r="AC336">
        <v>2218.0358136123978</v>
      </c>
      <c r="AD336">
        <v>9.688350448335294</v>
      </c>
      <c r="AE336">
        <v>2027.9531924091182</v>
      </c>
      <c r="AF336">
        <v>7.2247251019942951</v>
      </c>
      <c r="AG336">
        <v>2133.3681233486514</v>
      </c>
      <c r="AH336">
        <v>9.6802226360472154</v>
      </c>
      <c r="AI336">
        <v>1921.7499035497729</v>
      </c>
      <c r="AJ336">
        <v>7.2194656460569258</v>
      </c>
    </row>
    <row r="337" spans="4:36" x14ac:dyDescent="0.55000000000000004">
      <c r="D337">
        <v>330</v>
      </c>
      <c r="E337">
        <v>12.475517856204183</v>
      </c>
      <c r="F337">
        <v>0.47074583517422036</v>
      </c>
      <c r="G337">
        <v>0.16491580471436582</v>
      </c>
      <c r="H337">
        <v>16.888820503907226</v>
      </c>
      <c r="I337">
        <v>12.698704457956767</v>
      </c>
      <c r="J337">
        <v>0.29786451321706625</v>
      </c>
      <c r="K337">
        <v>0.10401986135697033</v>
      </c>
      <c r="L337">
        <v>16.899411167469207</v>
      </c>
      <c r="M337">
        <v>12.61027636711181</v>
      </c>
      <c r="N337">
        <v>0.36639147650082071</v>
      </c>
      <c r="O337">
        <v>0.12811103722657544</v>
      </c>
      <c r="P337">
        <v>16.895221119160791</v>
      </c>
      <c r="Q337">
        <v>12.566214367222415</v>
      </c>
      <c r="R337">
        <v>0.40052239766397374</v>
      </c>
      <c r="S337">
        <v>0.14013288813647096</v>
      </c>
      <c r="T337">
        <v>16.893130346977159</v>
      </c>
      <c r="U337">
        <v>1570.7156429673396</v>
      </c>
      <c r="V337">
        <v>9.9027330143820258</v>
      </c>
      <c r="W337">
        <v>1321.9395688800812</v>
      </c>
      <c r="X337">
        <v>7.360935486129943</v>
      </c>
      <c r="Y337">
        <v>2910.2324074417188</v>
      </c>
      <c r="Z337">
        <v>9.938004752385714</v>
      </c>
      <c r="AA337">
        <v>2749.5823936197366</v>
      </c>
      <c r="AB337">
        <v>7.3826004058486712</v>
      </c>
      <c r="AC337">
        <v>2253.6438235494493</v>
      </c>
      <c r="AD337">
        <v>9.9240258449217347</v>
      </c>
      <c r="AE337">
        <v>2053.5604958916306</v>
      </c>
      <c r="AF337">
        <v>7.374024423604002</v>
      </c>
      <c r="AG337">
        <v>2107.9397619549759</v>
      </c>
      <c r="AH337">
        <v>9.9170623792828021</v>
      </c>
      <c r="AI337">
        <v>1903.5852091537035</v>
      </c>
      <c r="AJ337">
        <v>7.3697473688933854</v>
      </c>
    </row>
    <row r="338" spans="4:36" x14ac:dyDescent="0.55000000000000004">
      <c r="D338">
        <v>331</v>
      </c>
      <c r="E338">
        <v>11.49482567919585</v>
      </c>
      <c r="F338">
        <v>0.4427144663732841</v>
      </c>
      <c r="G338">
        <v>0.15649674654629112</v>
      </c>
      <c r="H338">
        <v>17.905963107884567</v>
      </c>
      <c r="I338">
        <v>11.697846405825654</v>
      </c>
      <c r="J338">
        <v>0.28173200084381056</v>
      </c>
      <c r="K338">
        <v>9.9273896100132958E-2</v>
      </c>
      <c r="L338">
        <v>17.921147697230413</v>
      </c>
      <c r="M338">
        <v>11.63054789207399</v>
      </c>
      <c r="N338">
        <v>0.33511805276238571</v>
      </c>
      <c r="O338">
        <v>0.11820964458099603</v>
      </c>
      <c r="P338">
        <v>17.91612441058264</v>
      </c>
      <c r="Q338">
        <v>11.604216944942042</v>
      </c>
      <c r="R338">
        <v>0.35599958330095927</v>
      </c>
      <c r="S338">
        <v>0.1256271901408467</v>
      </c>
      <c r="T338">
        <v>17.914156281616162</v>
      </c>
      <c r="U338">
        <v>1486.6248202014206</v>
      </c>
      <c r="V338">
        <v>8.9998890243296827</v>
      </c>
      <c r="W338">
        <v>1270.9706200102166</v>
      </c>
      <c r="X338">
        <v>6.7957618003672051</v>
      </c>
      <c r="Y338">
        <v>2867.3758960254099</v>
      </c>
      <c r="Z338">
        <v>9.0273625094253021</v>
      </c>
      <c r="AA338">
        <v>2725.248111765176</v>
      </c>
      <c r="AB338">
        <v>6.8133101545894927</v>
      </c>
      <c r="AC338">
        <v>2179.3381113299451</v>
      </c>
      <c r="AD338">
        <v>9.0182495895487076</v>
      </c>
      <c r="AE338">
        <v>2008.3124182083448</v>
      </c>
      <c r="AF338">
        <v>6.8074982111165987</v>
      </c>
      <c r="AG338">
        <v>2068.0290683572121</v>
      </c>
      <c r="AH338">
        <v>9.0146856756416565</v>
      </c>
      <c r="AI338">
        <v>1885.6902083694956</v>
      </c>
      <c r="AJ338">
        <v>6.805222887736778</v>
      </c>
    </row>
    <row r="339" spans="4:36" x14ac:dyDescent="0.55000000000000004">
      <c r="D339">
        <v>332</v>
      </c>
      <c r="E339">
        <v>11.94903247389488</v>
      </c>
      <c r="F339">
        <v>0.42439540927855413</v>
      </c>
      <c r="G339">
        <v>0.16068196661221978</v>
      </c>
      <c r="H339">
        <v>17.465890150214356</v>
      </c>
      <c r="I339">
        <v>12.185704959905523</v>
      </c>
      <c r="J339">
        <v>0.25816457807684939</v>
      </c>
      <c r="K339">
        <v>9.7383536514399446E-2</v>
      </c>
      <c r="L339">
        <v>17.458746925503227</v>
      </c>
      <c r="M339">
        <v>12.088764081280514</v>
      </c>
      <c r="N339">
        <v>0.32629610198287984</v>
      </c>
      <c r="O339">
        <v>0.12326964278624916</v>
      </c>
      <c r="P339">
        <v>17.461670173950345</v>
      </c>
      <c r="Q339">
        <v>12.077153499693017</v>
      </c>
      <c r="R339">
        <v>0.33445216718996645</v>
      </c>
      <c r="S339">
        <v>0.12637380029921269</v>
      </c>
      <c r="T339">
        <v>17.46202053281781</v>
      </c>
      <c r="U339">
        <v>1514.7900820183297</v>
      </c>
      <c r="V339">
        <v>9.4080876365789727</v>
      </c>
      <c r="W339">
        <v>1290.7064085451368</v>
      </c>
      <c r="X339">
        <v>7.0557819693648014</v>
      </c>
      <c r="Y339">
        <v>2878.199300212766</v>
      </c>
      <c r="Z339">
        <v>9.4536255351131224</v>
      </c>
      <c r="AA339">
        <v>2733.2642223598891</v>
      </c>
      <c r="AB339">
        <v>7.0830936252386554</v>
      </c>
      <c r="AC339">
        <v>2181.4856626339811</v>
      </c>
      <c r="AD339">
        <v>9.4349756547644894</v>
      </c>
      <c r="AE339">
        <v>2008.1481183781734</v>
      </c>
      <c r="AF339">
        <v>7.0719211377895563</v>
      </c>
      <c r="AG339">
        <v>2066.672317827336</v>
      </c>
      <c r="AH339">
        <v>9.4327417404688028</v>
      </c>
      <c r="AI339">
        <v>1883.7562614038955</v>
      </c>
      <c r="AJ339">
        <v>7.0705816853946937</v>
      </c>
    </row>
    <row r="340" spans="4:36" x14ac:dyDescent="0.55000000000000004">
      <c r="D340">
        <v>333</v>
      </c>
      <c r="E340">
        <v>11.766228313840717</v>
      </c>
      <c r="F340">
        <v>0.45566587322349045</v>
      </c>
      <c r="G340">
        <v>0.160065343494078</v>
      </c>
      <c r="H340">
        <v>17.618040469441727</v>
      </c>
      <c r="I340">
        <v>12.010403648173623</v>
      </c>
      <c r="J340">
        <v>0.26762399408937321</v>
      </c>
      <c r="K340">
        <v>9.3647904780045491E-2</v>
      </c>
      <c r="L340">
        <v>17.628324452956953</v>
      </c>
      <c r="M340">
        <v>11.908360654847542</v>
      </c>
      <c r="N340">
        <v>0.34624693931964073</v>
      </c>
      <c r="O340">
        <v>0.12135472833554434</v>
      </c>
      <c r="P340">
        <v>17.62403767749727</v>
      </c>
      <c r="Q340">
        <v>11.876947328186123</v>
      </c>
      <c r="R340">
        <v>0.3704394301261722</v>
      </c>
      <c r="S340">
        <v>0.12989838358583825</v>
      </c>
      <c r="T340">
        <v>17.622714858101876</v>
      </c>
      <c r="U340">
        <v>1511.381428767615</v>
      </c>
      <c r="V340">
        <v>9.3047573141132389</v>
      </c>
      <c r="W340">
        <v>1288.6963195574492</v>
      </c>
      <c r="X340">
        <v>6.9943601282964583</v>
      </c>
      <c r="Y340">
        <v>2860.6817020633025</v>
      </c>
      <c r="Z340">
        <v>9.3433290111907432</v>
      </c>
      <c r="AA340">
        <v>2721.2311040786858</v>
      </c>
      <c r="AB340">
        <v>7.0184872731251531</v>
      </c>
      <c r="AC340">
        <v>2203.2718800899179</v>
      </c>
      <c r="AD340">
        <v>9.3272024866863728</v>
      </c>
      <c r="AE340">
        <v>2025.3865335571454</v>
      </c>
      <c r="AF340">
        <v>7.0084143806240089</v>
      </c>
      <c r="AG340">
        <v>2064.0109534674939</v>
      </c>
      <c r="AH340">
        <v>9.3222400680425768</v>
      </c>
      <c r="AI340">
        <v>1881.360021826209</v>
      </c>
      <c r="AJ340">
        <v>7.0053106116808941</v>
      </c>
    </row>
    <row r="341" spans="4:36" x14ac:dyDescent="0.55000000000000004">
      <c r="D341">
        <v>334</v>
      </c>
      <c r="E341">
        <v>11.437114084967538</v>
      </c>
      <c r="F341">
        <v>0.4224789437265708</v>
      </c>
      <c r="G341">
        <v>0.158426835665992</v>
      </c>
      <c r="H341">
        <v>17.981980135639887</v>
      </c>
      <c r="I341">
        <v>11.650552088664297</v>
      </c>
      <c r="J341">
        <v>0.25779340367670189</v>
      </c>
      <c r="K341">
        <v>9.6332940876969142E-2</v>
      </c>
      <c r="L341">
        <v>17.995321566782032</v>
      </c>
      <c r="M341">
        <v>11.577233839204558</v>
      </c>
      <c r="N341">
        <v>0.31439227234420586</v>
      </c>
      <c r="O341">
        <v>0.11762365920996985</v>
      </c>
      <c r="P341">
        <v>17.990750229241264</v>
      </c>
      <c r="Q341">
        <v>11.534639512998206</v>
      </c>
      <c r="R341">
        <v>0.34726023213069357</v>
      </c>
      <c r="S341">
        <v>0.13001129391926269</v>
      </c>
      <c r="T341">
        <v>17.988088960951835</v>
      </c>
      <c r="U341">
        <v>1452.3946114136111</v>
      </c>
      <c r="V341">
        <v>9.0119348596154047</v>
      </c>
      <c r="W341">
        <v>1245.2288488800111</v>
      </c>
      <c r="X341">
        <v>6.8115704822837175</v>
      </c>
      <c r="Y341">
        <v>2859.392276676509</v>
      </c>
      <c r="Z341">
        <v>9.0390434884983577</v>
      </c>
      <c r="AA341">
        <v>2720.4332424361887</v>
      </c>
      <c r="AB341">
        <v>6.8289705325641039</v>
      </c>
      <c r="AC341">
        <v>2173.0303369371431</v>
      </c>
      <c r="AD341">
        <v>9.0297243838829697</v>
      </c>
      <c r="AE341">
        <v>2004.2935907503527</v>
      </c>
      <c r="AF341">
        <v>6.8229986198677093</v>
      </c>
      <c r="AG341">
        <v>2075.4207030181647</v>
      </c>
      <c r="AH341">
        <v>9.0243137875444415</v>
      </c>
      <c r="AI341">
        <v>1890.9487775959788</v>
      </c>
      <c r="AJ341">
        <v>6.8195267475704524</v>
      </c>
    </row>
    <row r="342" spans="4:36" x14ac:dyDescent="0.55000000000000004">
      <c r="D342">
        <v>335</v>
      </c>
      <c r="E342">
        <v>13.062678899212838</v>
      </c>
      <c r="F342">
        <v>0.46338543565283891</v>
      </c>
      <c r="G342">
        <v>0.20197055161421126</v>
      </c>
      <c r="H342">
        <v>16.271965113520114</v>
      </c>
      <c r="I342">
        <v>13.270106335483032</v>
      </c>
      <c r="J342">
        <v>0.3115350400786262</v>
      </c>
      <c r="K342">
        <v>0.13536972868877264</v>
      </c>
      <c r="L342">
        <v>16.282988895749561</v>
      </c>
      <c r="M342">
        <v>13.17543525727101</v>
      </c>
      <c r="N342">
        <v>0.38087056548087339</v>
      </c>
      <c r="O342">
        <v>0.16572855147588467</v>
      </c>
      <c r="P342">
        <v>16.277965625772232</v>
      </c>
      <c r="Q342">
        <v>13.086938640745331</v>
      </c>
      <c r="R342">
        <v>0.44563830584529379</v>
      </c>
      <c r="S342">
        <v>0.19416528806898672</v>
      </c>
      <c r="T342">
        <v>16.273257765340389</v>
      </c>
      <c r="U342">
        <v>1599.0411389576057</v>
      </c>
      <c r="V342">
        <v>10.379110853056055</v>
      </c>
      <c r="W342">
        <v>1337.8033846357714</v>
      </c>
      <c r="X342">
        <v>7.64675143821243</v>
      </c>
      <c r="Y342">
        <v>2929.2348411496773</v>
      </c>
      <c r="Z342">
        <v>10.414147136901738</v>
      </c>
      <c r="AA342">
        <v>2758.7347730124534</v>
      </c>
      <c r="AB342">
        <v>7.6681146807175757</v>
      </c>
      <c r="AC342">
        <v>2261.7862121412995</v>
      </c>
      <c r="AD342">
        <v>10.398152038215576</v>
      </c>
      <c r="AE342">
        <v>2053.6917323715056</v>
      </c>
      <c r="AF342">
        <v>7.6583710296936403</v>
      </c>
      <c r="AG342">
        <v>2174.4274880701082</v>
      </c>
      <c r="AH342">
        <v>10.383206721110838</v>
      </c>
      <c r="AI342">
        <v>1944.2666451301807</v>
      </c>
      <c r="AJ342">
        <v>7.6492527649717514</v>
      </c>
    </row>
    <row r="343" spans="4:36" x14ac:dyDescent="0.55000000000000004">
      <c r="D343">
        <v>336</v>
      </c>
      <c r="E343">
        <v>12.779731335989519</v>
      </c>
      <c r="F343">
        <v>0.42568856975330738</v>
      </c>
      <c r="G343">
        <v>0.1725028168279254</v>
      </c>
      <c r="H343">
        <v>16.622077277429266</v>
      </c>
      <c r="I343">
        <v>13.01761895377205</v>
      </c>
      <c r="J343">
        <v>0.27024127115447993</v>
      </c>
      <c r="K343">
        <v>0.10913068868961967</v>
      </c>
      <c r="L343">
        <v>16.603009086383853</v>
      </c>
      <c r="M343">
        <v>12.921161811620156</v>
      </c>
      <c r="N343">
        <v>0.33331777409997609</v>
      </c>
      <c r="O343">
        <v>0.13479158179226144</v>
      </c>
      <c r="P343">
        <v>16.610728832487588</v>
      </c>
      <c r="Q343">
        <v>12.866511618795013</v>
      </c>
      <c r="R343">
        <v>0.36902713239439744</v>
      </c>
      <c r="S343">
        <v>0.14935142044443986</v>
      </c>
      <c r="T343">
        <v>16.615109828366172</v>
      </c>
      <c r="U343">
        <v>1542.8759443193644</v>
      </c>
      <c r="V343">
        <v>10.071519306543236</v>
      </c>
      <c r="W343">
        <v>1304.4720564921518</v>
      </c>
      <c r="X343">
        <v>7.4581438647693918</v>
      </c>
      <c r="Y343">
        <v>2906.3892282474681</v>
      </c>
      <c r="Z343">
        <v>10.125466581598014</v>
      </c>
      <c r="AA343">
        <v>2748.6231958941744</v>
      </c>
      <c r="AB343">
        <v>7.4897107271267283</v>
      </c>
      <c r="AC343">
        <v>2216.5348265445905</v>
      </c>
      <c r="AD343">
        <v>10.103598771408775</v>
      </c>
      <c r="AE343">
        <v>2028.2133860212589</v>
      </c>
      <c r="AF343">
        <v>7.4769275690223838</v>
      </c>
      <c r="AG343">
        <v>2149.4428965721504</v>
      </c>
      <c r="AH343">
        <v>10.091205167331074</v>
      </c>
      <c r="AI343">
        <v>1936.7991715450717</v>
      </c>
      <c r="AJ343">
        <v>7.4696750818977353</v>
      </c>
    </row>
    <row r="344" spans="4:36" x14ac:dyDescent="0.55000000000000004">
      <c r="D344">
        <v>337</v>
      </c>
      <c r="E344">
        <v>11.836152128851939</v>
      </c>
      <c r="F344">
        <v>0.46364139962865208</v>
      </c>
      <c r="G344">
        <v>0.15941634388409856</v>
      </c>
      <c r="H344">
        <v>17.540790127635315</v>
      </c>
      <c r="I344">
        <v>12.058138344787904</v>
      </c>
      <c r="J344">
        <v>0.28712766686861491</v>
      </c>
      <c r="K344">
        <v>9.8391166251249371E-2</v>
      </c>
      <c r="L344">
        <v>17.556342822092219</v>
      </c>
      <c r="M344">
        <v>11.965173888180761</v>
      </c>
      <c r="N344">
        <v>0.36107792142710282</v>
      </c>
      <c r="O344">
        <v>0.12390668319463684</v>
      </c>
      <c r="P344">
        <v>17.549841507197488</v>
      </c>
      <c r="Q344">
        <v>11.931725064500874</v>
      </c>
      <c r="R344">
        <v>0.38767521149326728</v>
      </c>
      <c r="S344">
        <v>0.13310158941101027</v>
      </c>
      <c r="T344">
        <v>17.547498134594846</v>
      </c>
      <c r="U344">
        <v>1559.9546333908036</v>
      </c>
      <c r="V344">
        <v>9.3143176696904977</v>
      </c>
      <c r="W344">
        <v>1317.3078023149396</v>
      </c>
      <c r="X344">
        <v>6.9924522891738814</v>
      </c>
      <c r="Y344">
        <v>2889.5754784959354</v>
      </c>
      <c r="Z344">
        <v>9.3450762043760847</v>
      </c>
      <c r="AA344">
        <v>2736.8728463129728</v>
      </c>
      <c r="AB344">
        <v>7.0119374219765955</v>
      </c>
      <c r="AC344">
        <v>2207.7587539557176</v>
      </c>
      <c r="AD344">
        <v>9.332187643348778</v>
      </c>
      <c r="AE344">
        <v>2021.7881411585963</v>
      </c>
      <c r="AF344">
        <v>7.0037838499205121</v>
      </c>
      <c r="AG344">
        <v>2110.1972027214397</v>
      </c>
      <c r="AH344">
        <v>9.3275528918969126</v>
      </c>
      <c r="AI344">
        <v>1908.6661138238301</v>
      </c>
      <c r="AJ344">
        <v>7.0008478939535319</v>
      </c>
    </row>
    <row r="345" spans="4:36" x14ac:dyDescent="0.55000000000000004">
      <c r="D345">
        <v>338</v>
      </c>
      <c r="E345">
        <v>11.333766849800741</v>
      </c>
      <c r="F345">
        <v>0.41784874654467064</v>
      </c>
      <c r="G345">
        <v>0.15389345117864572</v>
      </c>
      <c r="H345">
        <v>18.09449095247594</v>
      </c>
      <c r="I345">
        <v>11.531105694563262</v>
      </c>
      <c r="J345">
        <v>0.25947870522944727</v>
      </c>
      <c r="K345">
        <v>9.5276525348285415E-2</v>
      </c>
      <c r="L345">
        <v>18.114139074858997</v>
      </c>
      <c r="M345">
        <v>11.430506873120132</v>
      </c>
      <c r="N345">
        <v>0.34023548418300875</v>
      </c>
      <c r="O345">
        <v>0.12512176204742942</v>
      </c>
      <c r="P345">
        <v>18.104135880649441</v>
      </c>
      <c r="Q345">
        <v>11.417432947003073</v>
      </c>
      <c r="R345">
        <v>0.35072716230036016</v>
      </c>
      <c r="S345">
        <v>0.12900600908832505</v>
      </c>
      <c r="T345">
        <v>18.102833881608248</v>
      </c>
      <c r="U345">
        <v>1475.3587364128887</v>
      </c>
      <c r="V345">
        <v>9.002504517264212</v>
      </c>
      <c r="W345">
        <v>1265.4031658598121</v>
      </c>
      <c r="X345">
        <v>6.8183308864826442</v>
      </c>
      <c r="Y345">
        <v>2838.7205043311483</v>
      </c>
      <c r="Z345">
        <v>9.0276619267944564</v>
      </c>
      <c r="AA345">
        <v>2706.0136122489985</v>
      </c>
      <c r="AB345">
        <v>6.8346347296798724</v>
      </c>
      <c r="AC345">
        <v>2162.3002881288394</v>
      </c>
      <c r="AD345">
        <v>9.0148299635473528</v>
      </c>
      <c r="AE345">
        <v>1995.6342451261753</v>
      </c>
      <c r="AF345">
        <v>6.8263282607198148</v>
      </c>
      <c r="AG345">
        <v>2074.8009203201018</v>
      </c>
      <c r="AH345">
        <v>9.01316341823693</v>
      </c>
      <c r="AI345">
        <v>1892.1134665787383</v>
      </c>
      <c r="AJ345">
        <v>6.8252480052700317</v>
      </c>
    </row>
    <row r="346" spans="4:36" x14ac:dyDescent="0.55000000000000004">
      <c r="D346">
        <v>339</v>
      </c>
      <c r="E346">
        <v>12.69016161512349</v>
      </c>
      <c r="F346">
        <v>0.48072428428525255</v>
      </c>
      <c r="G346">
        <v>0.17874284632130194</v>
      </c>
      <c r="H346">
        <v>16.650371254269952</v>
      </c>
      <c r="I346">
        <v>12.8903646643365</v>
      </c>
      <c r="J346">
        <v>0.32513522361897146</v>
      </c>
      <c r="K346">
        <v>0.12055405200889964</v>
      </c>
      <c r="L346">
        <v>16.663946060035641</v>
      </c>
      <c r="M346">
        <v>12.80519782180477</v>
      </c>
      <c r="N346">
        <v>0.39134752575921922</v>
      </c>
      <c r="O346">
        <v>0.14527645841342637</v>
      </c>
      <c r="P346">
        <v>16.658178194022575</v>
      </c>
      <c r="Q346">
        <v>12.754604270071674</v>
      </c>
      <c r="R346">
        <v>0.43066405705422389</v>
      </c>
      <c r="S346">
        <v>0.15998471037770295</v>
      </c>
      <c r="T346">
        <v>16.65474696249639</v>
      </c>
      <c r="U346">
        <v>1596.2465137557381</v>
      </c>
      <c r="V346">
        <v>10.090976803534193</v>
      </c>
      <c r="W346">
        <v>1339.8150742763785</v>
      </c>
      <c r="X346">
        <v>7.4750301623210982</v>
      </c>
      <c r="Y346">
        <v>2945.595198550453</v>
      </c>
      <c r="Z346">
        <v>10.121656265190804</v>
      </c>
      <c r="AA346">
        <v>2773.3754119849573</v>
      </c>
      <c r="AB346">
        <v>7.4939155376821081</v>
      </c>
      <c r="AC346">
        <v>2272.5711954528347</v>
      </c>
      <c r="AD346">
        <v>10.108601210109095</v>
      </c>
      <c r="AE346">
        <v>2065.2696436791985</v>
      </c>
      <c r="AF346">
        <v>7.4858874311094397</v>
      </c>
      <c r="AG346">
        <v>2143.592956803132</v>
      </c>
      <c r="AH346">
        <v>10.100848582152038</v>
      </c>
      <c r="AI346">
        <v>1927.4538000949665</v>
      </c>
      <c r="AJ346">
        <v>7.4811142798362864</v>
      </c>
    </row>
    <row r="347" spans="4:36" x14ac:dyDescent="0.55000000000000004">
      <c r="D347">
        <v>340</v>
      </c>
      <c r="E347">
        <v>12.648198360961899</v>
      </c>
      <c r="F347">
        <v>0.4760591598056314</v>
      </c>
      <c r="G347">
        <v>0.18758015831542346</v>
      </c>
      <c r="H347">
        <v>16.688162320917048</v>
      </c>
      <c r="I347">
        <v>12.891082370668936</v>
      </c>
      <c r="J347">
        <v>0.29478949444814023</v>
      </c>
      <c r="K347">
        <v>0.11573084159667571</v>
      </c>
      <c r="L347">
        <v>16.698397293286241</v>
      </c>
      <c r="M347">
        <v>12.786232876395466</v>
      </c>
      <c r="N347">
        <v>0.37308090335332261</v>
      </c>
      <c r="O347">
        <v>0.14669756213747015</v>
      </c>
      <c r="P347">
        <v>16.693988658113739</v>
      </c>
      <c r="Q347">
        <v>12.763752270518713</v>
      </c>
      <c r="R347">
        <v>0.38985936972430474</v>
      </c>
      <c r="S347">
        <v>0.15334684989279285</v>
      </c>
      <c r="T347">
        <v>16.693041509864184</v>
      </c>
      <c r="U347">
        <v>1558.5356401894176</v>
      </c>
      <c r="V347">
        <v>10.015501864134961</v>
      </c>
      <c r="W347">
        <v>1312.2692541005206</v>
      </c>
      <c r="X347">
        <v>7.4229558029798985</v>
      </c>
      <c r="Y347">
        <v>2901.9902134260196</v>
      </c>
      <c r="Z347">
        <v>10.054970631655134</v>
      </c>
      <c r="AA347">
        <v>2743.5759756467637</v>
      </c>
      <c r="AB347">
        <v>7.4472042604225974</v>
      </c>
      <c r="AC347">
        <v>2206.7696441667408</v>
      </c>
      <c r="AD347">
        <v>10.037926405929662</v>
      </c>
      <c r="AE347">
        <v>2017.8951898674482</v>
      </c>
      <c r="AF347">
        <v>7.4367456846150954</v>
      </c>
      <c r="AG347">
        <v>2094.5204468280831</v>
      </c>
      <c r="AH347">
        <v>10.034273189000336</v>
      </c>
      <c r="AI347">
        <v>1894.3940306191346</v>
      </c>
      <c r="AJ347">
        <v>7.4345014826962919</v>
      </c>
    </row>
    <row r="348" spans="4:36" x14ac:dyDescent="0.55000000000000004">
      <c r="D348">
        <v>341</v>
      </c>
      <c r="E348">
        <v>13.239375113033679</v>
      </c>
      <c r="F348">
        <v>0.47502914842008631</v>
      </c>
      <c r="G348">
        <v>0.16738912851641424</v>
      </c>
      <c r="H348">
        <v>16.118206610029834</v>
      </c>
      <c r="I348">
        <v>13.457453347152329</v>
      </c>
      <c r="J348">
        <v>0.31792484793886311</v>
      </c>
      <c r="K348">
        <v>0.1116931686373392</v>
      </c>
      <c r="L348">
        <v>16.112928636271484</v>
      </c>
      <c r="M348">
        <v>13.377007864513047</v>
      </c>
      <c r="N348">
        <v>0.37591002557554487</v>
      </c>
      <c r="O348">
        <v>0.13221030242829135</v>
      </c>
      <c r="P348">
        <v>16.11487180748313</v>
      </c>
      <c r="Q348">
        <v>13.314211703715904</v>
      </c>
      <c r="R348">
        <v>0.42114764391670323</v>
      </c>
      <c r="S348">
        <v>0.14824892800999692</v>
      </c>
      <c r="T348">
        <v>16.11639172435741</v>
      </c>
      <c r="U348">
        <v>1578.0990441918425</v>
      </c>
      <c r="V348">
        <v>10.474219280383265</v>
      </c>
      <c r="W348">
        <v>1324.8958038765406</v>
      </c>
      <c r="X348">
        <v>7.7008327045115212</v>
      </c>
      <c r="Y348">
        <v>2912.650257611635</v>
      </c>
      <c r="Z348">
        <v>10.518937776414743</v>
      </c>
      <c r="AA348">
        <v>2748.3394489932825</v>
      </c>
      <c r="AB348">
        <v>7.7270672823838673</v>
      </c>
      <c r="AC348">
        <v>2252.0102060027198</v>
      </c>
      <c r="AD348">
        <v>10.50244459609022</v>
      </c>
      <c r="AE348">
        <v>2049.7126787228549</v>
      </c>
      <c r="AF348">
        <v>7.7174005395035872</v>
      </c>
      <c r="AG348">
        <v>2185.9713491622629</v>
      </c>
      <c r="AH348">
        <v>10.489567715043563</v>
      </c>
      <c r="AI348">
        <v>1958.1239277307359</v>
      </c>
      <c r="AJ348">
        <v>7.7098459151366594</v>
      </c>
    </row>
    <row r="349" spans="4:36" x14ac:dyDescent="0.55000000000000004">
      <c r="D349">
        <v>342</v>
      </c>
      <c r="E349">
        <v>13.212793358231144</v>
      </c>
      <c r="F349">
        <v>0.47339050425053664</v>
      </c>
      <c r="G349">
        <v>0.15350725787677094</v>
      </c>
      <c r="H349">
        <v>16.160308879641555</v>
      </c>
      <c r="I349">
        <v>13.456245797871846</v>
      </c>
      <c r="J349">
        <v>0.29982959866475173</v>
      </c>
      <c r="K349">
        <v>9.6890883978230397E-2</v>
      </c>
      <c r="L349">
        <v>16.147033719485169</v>
      </c>
      <c r="M349">
        <v>13.314120791498222</v>
      </c>
      <c r="N349">
        <v>0.40119516034202352</v>
      </c>
      <c r="O349">
        <v>0.12990848548664372</v>
      </c>
      <c r="P349">
        <v>16.154775562673102</v>
      </c>
      <c r="Q349">
        <v>13.293851016856493</v>
      </c>
      <c r="R349">
        <v>0.41564216146696542</v>
      </c>
      <c r="S349">
        <v>0.1346252859399574</v>
      </c>
      <c r="T349">
        <v>16.155881535736576</v>
      </c>
      <c r="U349">
        <v>1573.082493765957</v>
      </c>
      <c r="V349">
        <v>10.462093937555842</v>
      </c>
      <c r="W349">
        <v>1322.166800411261</v>
      </c>
      <c r="X349">
        <v>7.6965360824626714</v>
      </c>
      <c r="Y349">
        <v>2910.1319888419521</v>
      </c>
      <c r="Z349">
        <v>10.516185316372225</v>
      </c>
      <c r="AA349">
        <v>2748.3969582754567</v>
      </c>
      <c r="AB349">
        <v>7.7281313886046297</v>
      </c>
      <c r="AC349">
        <v>2292.004251827334</v>
      </c>
      <c r="AD349">
        <v>10.484612369860205</v>
      </c>
      <c r="AE349">
        <v>2078.0905870926867</v>
      </c>
      <c r="AF349">
        <v>7.7097020020919755</v>
      </c>
      <c r="AG349">
        <v>2148.8039701740513</v>
      </c>
      <c r="AH349">
        <v>10.480108308596412</v>
      </c>
      <c r="AI349">
        <v>1931.7964633180313</v>
      </c>
      <c r="AJ349">
        <v>7.7070700563155183</v>
      </c>
    </row>
    <row r="350" spans="4:36" x14ac:dyDescent="0.55000000000000004">
      <c r="D350">
        <v>343</v>
      </c>
      <c r="E350">
        <v>13.526726567879333</v>
      </c>
      <c r="F350">
        <v>0.45449451769331456</v>
      </c>
      <c r="G350">
        <v>0.17071063706721032</v>
      </c>
      <c r="H350">
        <v>15.848068277360161</v>
      </c>
      <c r="I350">
        <v>13.796707634345962</v>
      </c>
      <c r="J350">
        <v>0.28151221234952778</v>
      </c>
      <c r="K350">
        <v>0.10533186415781948</v>
      </c>
      <c r="L350">
        <v>15.81644828914669</v>
      </c>
      <c r="M350">
        <v>13.667143472587973</v>
      </c>
      <c r="N350">
        <v>0.36458817082880834</v>
      </c>
      <c r="O350">
        <v>0.13666671180697368</v>
      </c>
      <c r="P350">
        <v>15.831601644776226</v>
      </c>
      <c r="Q350">
        <v>13.652958164041879</v>
      </c>
      <c r="R350">
        <v>0.37367685278267326</v>
      </c>
      <c r="S350">
        <v>0.14010192065776558</v>
      </c>
      <c r="T350">
        <v>15.833263062517682</v>
      </c>
      <c r="U350">
        <v>1584.7382390078685</v>
      </c>
      <c r="V350">
        <v>10.692940917012569</v>
      </c>
      <c r="W350">
        <v>1327.8851299065939</v>
      </c>
      <c r="X350">
        <v>7.8323148347755103</v>
      </c>
      <c r="Y350">
        <v>2924.662137028366</v>
      </c>
      <c r="Z350">
        <v>10.760636933594713</v>
      </c>
      <c r="AA350">
        <v>2757.6876064232633</v>
      </c>
      <c r="AB350">
        <v>7.8711765537795557</v>
      </c>
      <c r="AC350">
        <v>2264.9541652792745</v>
      </c>
      <c r="AD350">
        <v>10.728161873732924</v>
      </c>
      <c r="AE350">
        <v>2057.2996775399138</v>
      </c>
      <c r="AF350">
        <v>7.8525499022378824</v>
      </c>
      <c r="AG350">
        <v>2148.1208652103742</v>
      </c>
      <c r="AH350">
        <v>10.724604972774914</v>
      </c>
      <c r="AI350">
        <v>1930.7440041020404</v>
      </c>
      <c r="AJ350">
        <v>7.8505079887448259</v>
      </c>
    </row>
    <row r="351" spans="4:36" x14ac:dyDescent="0.55000000000000004">
      <c r="D351">
        <v>344</v>
      </c>
      <c r="E351">
        <v>12.769319284522252</v>
      </c>
      <c r="F351">
        <v>0.47111279699437891</v>
      </c>
      <c r="G351">
        <v>0.21311761304858262</v>
      </c>
      <c r="H351">
        <v>16.546450305434799</v>
      </c>
      <c r="I351">
        <v>13.035628784503617</v>
      </c>
      <c r="J351">
        <v>0.28494034404034496</v>
      </c>
      <c r="K351">
        <v>0.1283571134892392</v>
      </c>
      <c r="L351">
        <v>16.551073757966794</v>
      </c>
      <c r="M351">
        <v>12.933526261206854</v>
      </c>
      <c r="N351">
        <v>0.35637070517190456</v>
      </c>
      <c r="O351">
        <v>0.16079228693403644</v>
      </c>
      <c r="P351">
        <v>16.549310746687208</v>
      </c>
      <c r="Q351">
        <v>12.904930258255906</v>
      </c>
      <c r="R351">
        <v>0.37636472592128789</v>
      </c>
      <c r="S351">
        <v>0.16989016698993134</v>
      </c>
      <c r="T351">
        <v>16.548814848832887</v>
      </c>
      <c r="U351">
        <v>1583.1362331358484</v>
      </c>
      <c r="V351">
        <v>10.079323344022132</v>
      </c>
      <c r="W351">
        <v>1326.6564086073945</v>
      </c>
      <c r="X351">
        <v>7.4546721791895827</v>
      </c>
      <c r="Y351">
        <v>2911.3745499991633</v>
      </c>
      <c r="Z351">
        <v>10.123612131457932</v>
      </c>
      <c r="AA351">
        <v>2748.6579419877207</v>
      </c>
      <c r="AB351">
        <v>7.4815620570118879</v>
      </c>
      <c r="AC351">
        <v>2244.1522377639558</v>
      </c>
      <c r="AD351">
        <v>10.10662693274868</v>
      </c>
      <c r="AE351">
        <v>2043.7624637634187</v>
      </c>
      <c r="AF351">
        <v>7.4712638791831312</v>
      </c>
      <c r="AG351">
        <v>2145.9013783836604</v>
      </c>
      <c r="AH351">
        <v>10.101870963286306</v>
      </c>
      <c r="AI351">
        <v>1930.2282310506243</v>
      </c>
      <c r="AJ351">
        <v>7.4683771394400784</v>
      </c>
    </row>
    <row r="352" spans="4:36" x14ac:dyDescent="0.55000000000000004">
      <c r="D352">
        <v>345</v>
      </c>
      <c r="E352">
        <v>12.692594003275225</v>
      </c>
      <c r="F352">
        <v>0.4747436028285198</v>
      </c>
      <c r="G352">
        <v>0.17652829777081527</v>
      </c>
      <c r="H352">
        <v>16.656134096125452</v>
      </c>
      <c r="I352">
        <v>12.9208814562691</v>
      </c>
      <c r="J352">
        <v>0.30575767127058717</v>
      </c>
      <c r="K352">
        <v>0.11330375214378853</v>
      </c>
      <c r="L352">
        <v>16.66005712031652</v>
      </c>
      <c r="M352">
        <v>12.839461683526599</v>
      </c>
      <c r="N352">
        <v>0.36606081821744529</v>
      </c>
      <c r="O352">
        <v>0.1358152125572509</v>
      </c>
      <c r="P352">
        <v>16.658662285698696</v>
      </c>
      <c r="Q352">
        <v>12.800080470499079</v>
      </c>
      <c r="R352">
        <v>0.39521502664804226</v>
      </c>
      <c r="S352">
        <v>0.14671858684428729</v>
      </c>
      <c r="T352">
        <v>16.657985916008606</v>
      </c>
      <c r="U352">
        <v>1571.4633919027644</v>
      </c>
      <c r="V352">
        <v>10.066411221838697</v>
      </c>
      <c r="W352">
        <v>1321.0249097571445</v>
      </c>
      <c r="X352">
        <v>7.4589708337730913</v>
      </c>
      <c r="Y352">
        <v>2920.1901983378998</v>
      </c>
      <c r="Z352">
        <v>10.110359569488427</v>
      </c>
      <c r="AA352">
        <v>2755.5468378632449</v>
      </c>
      <c r="AB352">
        <v>7.4855568516864537</v>
      </c>
      <c r="AC352">
        <v>2250.9358316394837</v>
      </c>
      <c r="AD352">
        <v>10.094682666416448</v>
      </c>
      <c r="AE352">
        <v>2050.6019406953624</v>
      </c>
      <c r="AF352">
        <v>7.4760848113434895</v>
      </c>
      <c r="AG352">
        <v>2144.6057636062546</v>
      </c>
      <c r="AH352">
        <v>10.08710104186382</v>
      </c>
      <c r="AI352">
        <v>1930.4498460044035</v>
      </c>
      <c r="AJ352">
        <v>7.4714994106521946</v>
      </c>
    </row>
    <row r="353" spans="4:36" x14ac:dyDescent="0.55000000000000004">
      <c r="D353">
        <v>346</v>
      </c>
      <c r="E353">
        <v>12.040289442428232</v>
      </c>
      <c r="F353">
        <v>0.47210813224040821</v>
      </c>
      <c r="G353">
        <v>0.16183874725173295</v>
      </c>
      <c r="H353">
        <v>17.325763678079628</v>
      </c>
      <c r="I353">
        <v>12.277207160445089</v>
      </c>
      <c r="J353">
        <v>0.29303356136215475</v>
      </c>
      <c r="K353">
        <v>0.10011071212761059</v>
      </c>
      <c r="L353">
        <v>17.32964856606516</v>
      </c>
      <c r="M353">
        <v>12.204009442633536</v>
      </c>
      <c r="N353">
        <v>0.34839319301496818</v>
      </c>
      <c r="O353">
        <v>0.11914805921376891</v>
      </c>
      <c r="P353">
        <v>17.328449305137738</v>
      </c>
      <c r="Q353">
        <v>12.168631635687669</v>
      </c>
      <c r="R353">
        <v>0.37513898439360871</v>
      </c>
      <c r="S353">
        <v>0.1283600220838339</v>
      </c>
      <c r="T353">
        <v>17.327869357834867</v>
      </c>
      <c r="U353">
        <v>1531.7452211421387</v>
      </c>
      <c r="V353">
        <v>9.5151509555757947</v>
      </c>
      <c r="W353">
        <v>1301.176027933247</v>
      </c>
      <c r="X353">
        <v>7.1218090974728865</v>
      </c>
      <c r="Y353">
        <v>2870.6714542811656</v>
      </c>
      <c r="Z353">
        <v>9.5576460775403902</v>
      </c>
      <c r="AA353">
        <v>2725.6863581674356</v>
      </c>
      <c r="AB353">
        <v>7.147656606123391</v>
      </c>
      <c r="AC353">
        <v>2206.6591087107936</v>
      </c>
      <c r="AD353">
        <v>9.5445159614266863</v>
      </c>
      <c r="AE353">
        <v>2026.4015336313921</v>
      </c>
      <c r="AF353">
        <v>7.1396815337255903</v>
      </c>
      <c r="AG353">
        <v>2111.2691010212102</v>
      </c>
      <c r="AH353">
        <v>9.5381702190434723</v>
      </c>
      <c r="AI353">
        <v>1915.2190589387405</v>
      </c>
      <c r="AJ353">
        <v>7.1358236158608062</v>
      </c>
    </row>
    <row r="354" spans="4:36" x14ac:dyDescent="0.55000000000000004">
      <c r="D354">
        <v>347</v>
      </c>
      <c r="E354">
        <v>13.399706037488178</v>
      </c>
      <c r="F354">
        <v>0.50504133979596444</v>
      </c>
      <c r="G354">
        <v>0.17562101569968436</v>
      </c>
      <c r="H354">
        <v>15.919631607016164</v>
      </c>
      <c r="I354">
        <v>13.643706483269781</v>
      </c>
      <c r="J354">
        <v>0.33023298881822677</v>
      </c>
      <c r="K354">
        <v>0.11446523914142087</v>
      </c>
      <c r="L354">
        <v>15.911595288770572</v>
      </c>
      <c r="M354">
        <v>13.520367259993405</v>
      </c>
      <c r="N354">
        <v>0.41863961684882545</v>
      </c>
      <c r="O354">
        <v>0.14534386634404298</v>
      </c>
      <c r="P354">
        <v>15.915649256813714</v>
      </c>
      <c r="Q354">
        <v>13.498322769967523</v>
      </c>
      <c r="R354">
        <v>0.43443132197057588</v>
      </c>
      <c r="S354">
        <v>0.15087030469973631</v>
      </c>
      <c r="T354">
        <v>15.916375603362166</v>
      </c>
      <c r="U354">
        <v>1558.8494435986765</v>
      </c>
      <c r="V354">
        <v>10.700155186697689</v>
      </c>
      <c r="W354">
        <v>1310.3983162712441</v>
      </c>
      <c r="X354">
        <v>7.8460581700699326</v>
      </c>
      <c r="Y354">
        <v>2932.8525623825112</v>
      </c>
      <c r="Z354">
        <v>10.751611935742609</v>
      </c>
      <c r="AA354">
        <v>2763.5433760464143</v>
      </c>
      <c r="AB354">
        <v>7.8760798145496151</v>
      </c>
      <c r="AC354">
        <v>2237.8962508692871</v>
      </c>
      <c r="AD354">
        <v>10.725606050976255</v>
      </c>
      <c r="AE354">
        <v>2037.7366830454937</v>
      </c>
      <c r="AF354">
        <v>7.8609191670814811</v>
      </c>
      <c r="AG354">
        <v>2155.0174265358319</v>
      </c>
      <c r="AH354">
        <v>10.720956959993542</v>
      </c>
      <c r="AI354">
        <v>1935.8942931399897</v>
      </c>
      <c r="AJ354">
        <v>7.8582062957542016</v>
      </c>
    </row>
    <row r="355" spans="4:36" x14ac:dyDescent="0.55000000000000004">
      <c r="D355">
        <v>348</v>
      </c>
      <c r="E355">
        <v>13.027278039590087</v>
      </c>
      <c r="F355">
        <v>0.4329956895691367</v>
      </c>
      <c r="G355">
        <v>0.16984911040388798</v>
      </c>
      <c r="H355">
        <v>16.369877160436896</v>
      </c>
      <c r="I355">
        <v>13.214234322199484</v>
      </c>
      <c r="J355">
        <v>0.30340022492596891</v>
      </c>
      <c r="K355">
        <v>0.11870335307652125</v>
      </c>
      <c r="L355">
        <v>16.363662099798031</v>
      </c>
      <c r="M355">
        <v>13.137524399512722</v>
      </c>
      <c r="N355">
        <v>0.35660088444984134</v>
      </c>
      <c r="O355">
        <v>0.13966661358117832</v>
      </c>
      <c r="P355">
        <v>16.366208102456259</v>
      </c>
      <c r="Q355">
        <v>13.095804533441932</v>
      </c>
      <c r="R355">
        <v>0.38551947903757733</v>
      </c>
      <c r="S355">
        <v>0.15108081648813726</v>
      </c>
      <c r="T355">
        <v>16.367595171032356</v>
      </c>
      <c r="U355">
        <v>1541.7597563638908</v>
      </c>
      <c r="V355">
        <v>10.293532953497929</v>
      </c>
      <c r="W355">
        <v>1300.8322137057251</v>
      </c>
      <c r="X355">
        <v>7.5941593657247664</v>
      </c>
      <c r="Y355">
        <v>2924.001796379901</v>
      </c>
      <c r="Z355">
        <v>10.332034958848164</v>
      </c>
      <c r="AA355">
        <v>2757.5582577413224</v>
      </c>
      <c r="AB355">
        <v>7.6167922100967393</v>
      </c>
      <c r="AC355">
        <v>2214.723679492768</v>
      </c>
      <c r="AD355">
        <v>10.316239614345827</v>
      </c>
      <c r="AE355">
        <v>2023.2874428619698</v>
      </c>
      <c r="AF355">
        <v>7.6075143232374529</v>
      </c>
      <c r="AG355">
        <v>2165.5050463583557</v>
      </c>
      <c r="AH355">
        <v>10.30764768142752</v>
      </c>
      <c r="AI355">
        <v>1945.442071408231</v>
      </c>
      <c r="AJ355">
        <v>7.6024634037727354</v>
      </c>
    </row>
    <row r="356" spans="4:36" x14ac:dyDescent="0.55000000000000004">
      <c r="D356">
        <v>349</v>
      </c>
      <c r="E356">
        <v>12.503409273814484</v>
      </c>
      <c r="F356">
        <v>0.44830806407288037</v>
      </c>
      <c r="G356">
        <v>0.17229730001801638</v>
      </c>
      <c r="H356">
        <v>16.875985362094625</v>
      </c>
      <c r="I356">
        <v>12.7177941392784</v>
      </c>
      <c r="J356">
        <v>0.29193580929518537</v>
      </c>
      <c r="K356">
        <v>0.11183520951203738</v>
      </c>
      <c r="L356">
        <v>16.878434841914387</v>
      </c>
      <c r="M356">
        <v>12.628900931004788</v>
      </c>
      <c r="N356">
        <v>0.35680707001738465</v>
      </c>
      <c r="O356">
        <v>0.1368696511551685</v>
      </c>
      <c r="P356">
        <v>16.877422347822659</v>
      </c>
      <c r="Q356">
        <v>12.566446614507585</v>
      </c>
      <c r="R356">
        <v>0.40235657586295742</v>
      </c>
      <c r="S356">
        <v>0.15448849149469071</v>
      </c>
      <c r="T356">
        <v>16.87670831813476</v>
      </c>
      <c r="U356">
        <v>1540.5416073235642</v>
      </c>
      <c r="V356">
        <v>9.8776733917918396</v>
      </c>
      <c r="W356">
        <v>1302.291810903972</v>
      </c>
      <c r="X356">
        <v>7.3426468022970992</v>
      </c>
      <c r="Y356">
        <v>2904.4447154975328</v>
      </c>
      <c r="Z356">
        <v>9.9195004647201781</v>
      </c>
      <c r="AA356">
        <v>2746.3990695276434</v>
      </c>
      <c r="AB356">
        <v>7.3679628476865746</v>
      </c>
      <c r="AC356">
        <v>2220.0408151288611</v>
      </c>
      <c r="AD356">
        <v>9.9021553341198221</v>
      </c>
      <c r="AE356">
        <v>2030.0609989653585</v>
      </c>
      <c r="AF356">
        <v>7.3574756351766792</v>
      </c>
      <c r="AG356">
        <v>2137.9236682773594</v>
      </c>
      <c r="AH356">
        <v>9.8899705857375668</v>
      </c>
      <c r="AI356">
        <v>1926.7697508636418</v>
      </c>
      <c r="AJ356">
        <v>7.3500991882709439</v>
      </c>
    </row>
    <row r="357" spans="4:36" x14ac:dyDescent="0.55000000000000004">
      <c r="D357">
        <v>350</v>
      </c>
      <c r="E357">
        <v>12.619064035241282</v>
      </c>
      <c r="F357">
        <v>0.47535805679341392</v>
      </c>
      <c r="G357">
        <v>0.18504318761564112</v>
      </c>
      <c r="H357">
        <v>16.720534720349683</v>
      </c>
      <c r="I357">
        <v>12.868170775600122</v>
      </c>
      <c r="J357">
        <v>0.29109517684641045</v>
      </c>
      <c r="K357">
        <v>0.11290466611078988</v>
      </c>
      <c r="L357">
        <v>16.727829381442682</v>
      </c>
      <c r="M357">
        <v>12.74842953401126</v>
      </c>
      <c r="N357">
        <v>0.37971078960738147</v>
      </c>
      <c r="O357">
        <v>0.14753119772657849</v>
      </c>
      <c r="P357">
        <v>16.724328478654794</v>
      </c>
      <c r="Q357">
        <v>12.719829715551114</v>
      </c>
      <c r="R357">
        <v>0.40086443074899453</v>
      </c>
      <c r="S357">
        <v>0.15581505873740645</v>
      </c>
      <c r="T357">
        <v>16.723490794962494</v>
      </c>
      <c r="U357">
        <v>1586.8260017613243</v>
      </c>
      <c r="V357">
        <v>9.9691967834578961</v>
      </c>
      <c r="W357">
        <v>1332.851204881083</v>
      </c>
      <c r="X357">
        <v>7.3934296591276212</v>
      </c>
      <c r="Y357">
        <v>2889.5244439042499</v>
      </c>
      <c r="Z357">
        <v>10.01368833758827</v>
      </c>
      <c r="AA357">
        <v>2734.2234691665726</v>
      </c>
      <c r="AB357">
        <v>7.4205155550620843</v>
      </c>
      <c r="AC357">
        <v>2246.4615334142395</v>
      </c>
      <c r="AD357">
        <v>9.9922978035989427</v>
      </c>
      <c r="AE357">
        <v>2046.4367989941181</v>
      </c>
      <c r="AF357">
        <v>7.4075075684575893</v>
      </c>
      <c r="AG357">
        <v>2151.7381208200059</v>
      </c>
      <c r="AH357">
        <v>9.9871898944535058</v>
      </c>
      <c r="AI357">
        <v>1935.6409225305306</v>
      </c>
      <c r="AJ357">
        <v>7.4043974548998319</v>
      </c>
    </row>
    <row r="358" spans="4:36" x14ac:dyDescent="0.55000000000000004">
      <c r="D358">
        <v>351</v>
      </c>
      <c r="E358">
        <v>12.306669222867018</v>
      </c>
      <c r="F358">
        <v>0.40581009028639525</v>
      </c>
      <c r="G358">
        <v>0.15649670752046732</v>
      </c>
      <c r="H358">
        <v>17.13102397932612</v>
      </c>
      <c r="I358">
        <v>12.489894817835358</v>
      </c>
      <c r="J358">
        <v>0.27486849622707621</v>
      </c>
      <c r="K358">
        <v>0.10571088980326375</v>
      </c>
      <c r="L358">
        <v>17.129525796134313</v>
      </c>
      <c r="M358">
        <v>12.384355865160058</v>
      </c>
      <c r="N358">
        <v>0.35031674009656766</v>
      </c>
      <c r="O358">
        <v>0.13493914719541469</v>
      </c>
      <c r="P358">
        <v>17.130388247547955</v>
      </c>
      <c r="Q358">
        <v>12.354709211711919</v>
      </c>
      <c r="R358">
        <v>0.37149841718171894</v>
      </c>
      <c r="S358">
        <v>0.14316160560440663</v>
      </c>
      <c r="T358">
        <v>17.130630765501962</v>
      </c>
      <c r="U358">
        <v>1522.769090756424</v>
      </c>
      <c r="V358">
        <v>9.7429636367949772</v>
      </c>
      <c r="W358">
        <v>1296.7701773064366</v>
      </c>
      <c r="X358">
        <v>7.269550837830641</v>
      </c>
      <c r="Y358">
        <v>2869.0167812483842</v>
      </c>
      <c r="Z358">
        <v>9.7801998338125316</v>
      </c>
      <c r="AA358">
        <v>2724.1633099948572</v>
      </c>
      <c r="AB358">
        <v>7.2919246213705247</v>
      </c>
      <c r="AC358">
        <v>2226.4466409928764</v>
      </c>
      <c r="AD358">
        <v>9.7587520621608572</v>
      </c>
      <c r="AE358">
        <v>2038.9755865585209</v>
      </c>
      <c r="AF358">
        <v>7.2790456360448728</v>
      </c>
      <c r="AG358">
        <v>2091.0398493610769</v>
      </c>
      <c r="AH358">
        <v>9.7527269925446411</v>
      </c>
      <c r="AI358">
        <v>1898.0258882409096</v>
      </c>
      <c r="AJ358">
        <v>7.2754237212187078</v>
      </c>
    </row>
    <row r="359" spans="4:36" x14ac:dyDescent="0.55000000000000004">
      <c r="D359">
        <v>352</v>
      </c>
      <c r="E359">
        <v>12.346245439727936</v>
      </c>
      <c r="F359">
        <v>0.46435035777822026</v>
      </c>
      <c r="G359">
        <v>0.16984920318312957</v>
      </c>
      <c r="H359">
        <v>17.019554999310721</v>
      </c>
      <c r="I359">
        <v>12.586037204684086</v>
      </c>
      <c r="J359">
        <v>0.28341192534475201</v>
      </c>
      <c r="K359">
        <v>0.10329362309950764</v>
      </c>
      <c r="L359">
        <v>17.027257246871663</v>
      </c>
      <c r="M359">
        <v>12.481109763704417</v>
      </c>
      <c r="N359">
        <v>0.36262508605871369</v>
      </c>
      <c r="O359">
        <v>0.13237129407886322</v>
      </c>
      <c r="P359">
        <v>17.023893856157997</v>
      </c>
      <c r="Q359">
        <v>12.440334164568496</v>
      </c>
      <c r="R359">
        <v>0.39339176953650373</v>
      </c>
      <c r="S359">
        <v>0.14369015040507546</v>
      </c>
      <c r="T359">
        <v>17.022583915489907</v>
      </c>
      <c r="U359">
        <v>1524.4635757887445</v>
      </c>
      <c r="V359">
        <v>9.8063097941302999</v>
      </c>
      <c r="W359">
        <v>1289.7588573069227</v>
      </c>
      <c r="X359">
        <v>7.3041502117808639</v>
      </c>
      <c r="Y359">
        <v>2907.4923325528671</v>
      </c>
      <c r="Z359">
        <v>9.8466655055558885</v>
      </c>
      <c r="AA359">
        <v>2750.0017227791077</v>
      </c>
      <c r="AB359">
        <v>7.3288240779607294</v>
      </c>
      <c r="AC359">
        <v>2241.6912453546402</v>
      </c>
      <c r="AD359">
        <v>9.829002938594618</v>
      </c>
      <c r="AE359">
        <v>2046.4866582816819</v>
      </c>
      <c r="AF359">
        <v>7.3180378542794493</v>
      </c>
      <c r="AG359">
        <v>2113.6350738917722</v>
      </c>
      <c r="AH359">
        <v>9.8221407296256444</v>
      </c>
      <c r="AI359">
        <v>1910.0855274545061</v>
      </c>
      <c r="AJ359">
        <v>7.3138418571477528</v>
      </c>
    </row>
    <row r="360" spans="4:36" x14ac:dyDescent="0.55000000000000004">
      <c r="D360">
        <v>353</v>
      </c>
      <c r="E360">
        <v>12.627032812114047</v>
      </c>
      <c r="F360">
        <v>0.42287826769138159</v>
      </c>
      <c r="G360">
        <v>0.13128835240258147</v>
      </c>
      <c r="H360">
        <v>16.818800567791978</v>
      </c>
      <c r="I360">
        <v>12.818296239884393</v>
      </c>
      <c r="J360">
        <v>0.28806900180294503</v>
      </c>
      <c r="K360">
        <v>8.9194878864965424E-2</v>
      </c>
      <c r="L360">
        <v>16.804439879447688</v>
      </c>
      <c r="M360">
        <v>12.750136632276771</v>
      </c>
      <c r="N360">
        <v>0.3361362853360001</v>
      </c>
      <c r="O360">
        <v>0.10417731937364713</v>
      </c>
      <c r="P360">
        <v>16.809549763013578</v>
      </c>
      <c r="Q360">
        <v>12.684459687323857</v>
      </c>
      <c r="R360">
        <v>0.38242560612466131</v>
      </c>
      <c r="S360">
        <v>0.11863306770341223</v>
      </c>
      <c r="T360">
        <v>16.814481638848054</v>
      </c>
      <c r="U360">
        <v>1504.5980755420569</v>
      </c>
      <c r="V360">
        <v>9.9099379975908803</v>
      </c>
      <c r="W360">
        <v>1283.968301584129</v>
      </c>
      <c r="X360">
        <v>7.3594015620742468</v>
      </c>
      <c r="Y360">
        <v>2855.4959534382106</v>
      </c>
      <c r="Z360">
        <v>9.9533934937871855</v>
      </c>
      <c r="AA360">
        <v>2714.5974606754949</v>
      </c>
      <c r="AB360">
        <v>7.3848338404438509</v>
      </c>
      <c r="AC360">
        <v>2196.0065180865126</v>
      </c>
      <c r="AD360">
        <v>9.9379119804170273</v>
      </c>
      <c r="AE360">
        <v>2018.9341305286127</v>
      </c>
      <c r="AF360">
        <v>7.375781140075647</v>
      </c>
      <c r="AG360">
        <v>2095.227490804758</v>
      </c>
      <c r="AH360">
        <v>9.9229896572129679</v>
      </c>
      <c r="AI360">
        <v>1902.3698879846468</v>
      </c>
      <c r="AJ360">
        <v>7.3670472321723111</v>
      </c>
    </row>
    <row r="361" spans="4:36" x14ac:dyDescent="0.55000000000000004">
      <c r="D361">
        <v>354</v>
      </c>
      <c r="E361">
        <v>12.75582440210313</v>
      </c>
      <c r="F361">
        <v>0.44573080183921115</v>
      </c>
      <c r="G361">
        <v>0.13907125504174161</v>
      </c>
      <c r="H361">
        <v>16.659373541015928</v>
      </c>
      <c r="I361">
        <v>12.979191189129933</v>
      </c>
      <c r="J361">
        <v>0.28601410126367943</v>
      </c>
      <c r="K361">
        <v>8.8957052857613031E-2</v>
      </c>
      <c r="L361">
        <v>16.645837656748792</v>
      </c>
      <c r="M361">
        <v>12.859108430903527</v>
      </c>
      <c r="N361">
        <v>0.37191556152948668</v>
      </c>
      <c r="O361">
        <v>0.11587034981902292</v>
      </c>
      <c r="P361">
        <v>16.653105657747972</v>
      </c>
      <c r="Q361">
        <v>12.835184936965282</v>
      </c>
      <c r="R361">
        <v>0.38901897812776348</v>
      </c>
      <c r="S361">
        <v>0.12123998413356001</v>
      </c>
      <c r="T361">
        <v>16.654556100773394</v>
      </c>
      <c r="U361">
        <v>1550.1952115335457</v>
      </c>
      <c r="V361">
        <v>10.007850025836868</v>
      </c>
      <c r="W361">
        <v>1313.2510791347509</v>
      </c>
      <c r="X361">
        <v>7.4143119092881333</v>
      </c>
      <c r="Y361">
        <v>2898.6625153769983</v>
      </c>
      <c r="Z361">
        <v>10.055042558780677</v>
      </c>
      <c r="AA361">
        <v>2744.7937098927787</v>
      </c>
      <c r="AB361">
        <v>7.4419350356167469</v>
      </c>
      <c r="AC361">
        <v>2240.9041658387373</v>
      </c>
      <c r="AD361">
        <v>10.029677221318121</v>
      </c>
      <c r="AE361">
        <v>2047.361125646521</v>
      </c>
      <c r="AF361">
        <v>7.4270987158868351</v>
      </c>
      <c r="AG361">
        <v>2113.0549310014821</v>
      </c>
      <c r="AH361">
        <v>10.024622278611611</v>
      </c>
      <c r="AI361">
        <v>1912.4069853820995</v>
      </c>
      <c r="AJ361">
        <v>7.424139083076267</v>
      </c>
    </row>
    <row r="362" spans="4:36" x14ac:dyDescent="0.55000000000000004">
      <c r="D362">
        <v>355</v>
      </c>
      <c r="E362">
        <v>12.660019777958455</v>
      </c>
      <c r="F362">
        <v>0.43535600193185864</v>
      </c>
      <c r="G362">
        <v>0.15464922074813914</v>
      </c>
      <c r="H362">
        <v>16.749974999361534</v>
      </c>
      <c r="I362">
        <v>12.850344189716596</v>
      </c>
      <c r="J362">
        <v>0.29693634734984398</v>
      </c>
      <c r="K362">
        <v>0.10520310098958231</v>
      </c>
      <c r="L362">
        <v>16.74751636194399</v>
      </c>
      <c r="M362">
        <v>12.770452374445123</v>
      </c>
      <c r="N362">
        <v>0.35506601609909033</v>
      </c>
      <c r="O362">
        <v>0.12593611742834215</v>
      </c>
      <c r="P362">
        <v>16.748545492027432</v>
      </c>
      <c r="Q362">
        <v>12.711810520103445</v>
      </c>
      <c r="R362">
        <v>0.39771046089730427</v>
      </c>
      <c r="S362">
        <v>0.14117544357727582</v>
      </c>
      <c r="T362">
        <v>16.749303575421973</v>
      </c>
      <c r="U362">
        <v>1517.1340120396608</v>
      </c>
      <c r="V362">
        <v>10.029920898375369</v>
      </c>
      <c r="W362">
        <v>1287.7638130352784</v>
      </c>
      <c r="X362">
        <v>7.4410297835038088</v>
      </c>
      <c r="Y362">
        <v>2892.7727032147063</v>
      </c>
      <c r="Z362">
        <v>10.067899137781229</v>
      </c>
      <c r="AA362">
        <v>2738.5901542875699</v>
      </c>
      <c r="AB362">
        <v>7.4635979846437612</v>
      </c>
      <c r="AC362">
        <v>2220.9742033206153</v>
      </c>
      <c r="AD362">
        <v>10.051958792589465</v>
      </c>
      <c r="AE362">
        <v>2032.4644616560752</v>
      </c>
      <c r="AF362">
        <v>7.4541334324291251</v>
      </c>
      <c r="AG362">
        <v>2136.6464928253449</v>
      </c>
      <c r="AH362">
        <v>10.040256813511364</v>
      </c>
      <c r="AI362">
        <v>1927.9668887668847</v>
      </c>
      <c r="AJ362">
        <v>7.4471781970806559</v>
      </c>
    </row>
    <row r="363" spans="4:36" x14ac:dyDescent="0.55000000000000004">
      <c r="D363">
        <v>356</v>
      </c>
      <c r="E363">
        <v>12.278160463252691</v>
      </c>
      <c r="F363">
        <v>0.45689796381109088</v>
      </c>
      <c r="G363">
        <v>0.15877629897976323</v>
      </c>
      <c r="H363">
        <v>17.106165273956449</v>
      </c>
      <c r="I363">
        <v>12.497489346751649</v>
      </c>
      <c r="J363">
        <v>0.28819054394868843</v>
      </c>
      <c r="K363">
        <v>9.984011197518286E-2</v>
      </c>
      <c r="L363">
        <v>17.114479997324494</v>
      </c>
      <c r="M363">
        <v>12.410293787097002</v>
      </c>
      <c r="N363">
        <v>0.35529125467617317</v>
      </c>
      <c r="O363">
        <v>0.1232368857113027</v>
      </c>
      <c r="P363">
        <v>17.111178072515528</v>
      </c>
      <c r="Q363">
        <v>12.352690021822941</v>
      </c>
      <c r="R363">
        <v>0.39959813561645041</v>
      </c>
      <c r="S363">
        <v>0.13871774442893273</v>
      </c>
      <c r="T363">
        <v>17.108994098131664</v>
      </c>
      <c r="U363">
        <v>1571.2627312377513</v>
      </c>
      <c r="V363">
        <v>9.6094587739523583</v>
      </c>
      <c r="W363">
        <v>1324.2248182064473</v>
      </c>
      <c r="X363">
        <v>7.166717839902347</v>
      </c>
      <c r="Y363">
        <v>2888.2918316121559</v>
      </c>
      <c r="Z363">
        <v>9.6450809198690362</v>
      </c>
      <c r="AA363">
        <v>2734.441830228609</v>
      </c>
      <c r="AB363">
        <v>7.1884792725058002</v>
      </c>
      <c r="AC363">
        <v>2233.6738067209449</v>
      </c>
      <c r="AD363">
        <v>9.6309168636530895</v>
      </c>
      <c r="AE363">
        <v>2040.1270050248461</v>
      </c>
      <c r="AF363">
        <v>7.1798364464883626</v>
      </c>
      <c r="AG363">
        <v>2114.4617756573098</v>
      </c>
      <c r="AH363">
        <v>9.6215613274671465</v>
      </c>
      <c r="AI363">
        <v>1909.0352834812243</v>
      </c>
      <c r="AJ363">
        <v>7.1741205806937147</v>
      </c>
    </row>
    <row r="364" spans="4:36" x14ac:dyDescent="0.55000000000000004">
      <c r="D364">
        <v>357</v>
      </c>
      <c r="E364">
        <v>12.295098051301999</v>
      </c>
      <c r="F364">
        <v>0.41171470595997239</v>
      </c>
      <c r="G364">
        <v>0.16130763325081199</v>
      </c>
      <c r="H364">
        <v>17.131879609487203</v>
      </c>
      <c r="I364">
        <v>12.508522530279132</v>
      </c>
      <c r="J364">
        <v>0.26369537424258727</v>
      </c>
      <c r="K364">
        <v>0.10297847044233338</v>
      </c>
      <c r="L364">
        <v>17.124803625035931</v>
      </c>
      <c r="M364">
        <v>12.419905740878333</v>
      </c>
      <c r="N364">
        <v>0.32519072771820468</v>
      </c>
      <c r="O364">
        <v>0.12716483107931165</v>
      </c>
      <c r="P364">
        <v>17.127738700324141</v>
      </c>
      <c r="Q364">
        <v>12.355399215724592</v>
      </c>
      <c r="R364">
        <v>0.36992303687869837</v>
      </c>
      <c r="S364">
        <v>0.14479987892643459</v>
      </c>
      <c r="T364">
        <v>17.12987786847027</v>
      </c>
      <c r="U364">
        <v>1506.7646999350609</v>
      </c>
      <c r="V364">
        <v>9.676402381487053</v>
      </c>
      <c r="W364">
        <v>1282.2158584090698</v>
      </c>
      <c r="X364">
        <v>7.2193302347714212</v>
      </c>
      <c r="Y364">
        <v>2888.9232879336942</v>
      </c>
      <c r="Z364">
        <v>9.7190137076919001</v>
      </c>
      <c r="AA364">
        <v>2738.6064288718071</v>
      </c>
      <c r="AB364">
        <v>7.2447682891606506</v>
      </c>
      <c r="AC364">
        <v>2193.958152209907</v>
      </c>
      <c r="AD364">
        <v>9.7013227997768841</v>
      </c>
      <c r="AE364">
        <v>2014.9181986364451</v>
      </c>
      <c r="AF364">
        <v>7.2342176283314581</v>
      </c>
      <c r="AG364">
        <v>2119.3311946816502</v>
      </c>
      <c r="AH364">
        <v>9.6884434197382596</v>
      </c>
      <c r="AI364">
        <v>1917.5026117737325</v>
      </c>
      <c r="AJ364">
        <v>7.2265272167854127</v>
      </c>
    </row>
    <row r="365" spans="4:36" x14ac:dyDescent="0.55000000000000004">
      <c r="D365">
        <v>358</v>
      </c>
      <c r="E365">
        <v>11.40514099452805</v>
      </c>
      <c r="F365">
        <v>0.45232138684110679</v>
      </c>
      <c r="G365">
        <v>0.14736110765462837</v>
      </c>
      <c r="H365">
        <v>17.995176510976219</v>
      </c>
      <c r="I365">
        <v>11.583770649178232</v>
      </c>
      <c r="J365">
        <v>0.30389300012887366</v>
      </c>
      <c r="K365">
        <v>9.8735410959990805E-2</v>
      </c>
      <c r="L365">
        <v>18.013600939732907</v>
      </c>
      <c r="M365">
        <v>11.512792124250627</v>
      </c>
      <c r="N365">
        <v>0.36288707996386077</v>
      </c>
      <c r="O365">
        <v>0.11802996214065638</v>
      </c>
      <c r="P365">
        <v>18.006290833644879</v>
      </c>
      <c r="Q365">
        <v>11.481188908904624</v>
      </c>
      <c r="R365">
        <v>0.38914743382399458</v>
      </c>
      <c r="S365">
        <v>0.12663223768238241</v>
      </c>
      <c r="T365">
        <v>18.003031419589011</v>
      </c>
      <c r="U365">
        <v>1498.880051098442</v>
      </c>
      <c r="V365">
        <v>8.9547847774456013</v>
      </c>
      <c r="W365">
        <v>1281.4920872829587</v>
      </c>
      <c r="X365">
        <v>6.7718079946455578</v>
      </c>
      <c r="Y365">
        <v>2875.6090593728127</v>
      </c>
      <c r="Z365">
        <v>8.9770882493208024</v>
      </c>
      <c r="AA365">
        <v>2730.9401245753393</v>
      </c>
      <c r="AB365">
        <v>6.7862448456065554</v>
      </c>
      <c r="AC365">
        <v>2176.6351104025025</v>
      </c>
      <c r="AD365">
        <v>8.9682203255589474</v>
      </c>
      <c r="AE365">
        <v>2005.4947944410499</v>
      </c>
      <c r="AF365">
        <v>6.7805120283177791</v>
      </c>
      <c r="AG365">
        <v>2072.0683985281421</v>
      </c>
      <c r="AH365">
        <v>8.9642742625677556</v>
      </c>
      <c r="AI365">
        <v>1887.6679505470272</v>
      </c>
      <c r="AJ365">
        <v>6.7779579394654377</v>
      </c>
    </row>
    <row r="366" spans="4:36" x14ac:dyDescent="0.55000000000000004">
      <c r="D366">
        <v>359</v>
      </c>
      <c r="E366">
        <v>12.992727481577107</v>
      </c>
      <c r="F366">
        <v>0.4248488514264353</v>
      </c>
      <c r="G366">
        <v>0.15453270890366133</v>
      </c>
      <c r="H366">
        <v>16.427890958092803</v>
      </c>
      <c r="I366">
        <v>13.179899067093842</v>
      </c>
      <c r="J366">
        <v>0.29705752781905248</v>
      </c>
      <c r="K366">
        <v>0.10774481521054262</v>
      </c>
      <c r="L366">
        <v>16.415298589876553</v>
      </c>
      <c r="M366">
        <v>13.105007698381376</v>
      </c>
      <c r="N366">
        <v>0.34821650781758889</v>
      </c>
      <c r="O366">
        <v>0.12644323326268123</v>
      </c>
      <c r="P366">
        <v>16.420332560538345</v>
      </c>
      <c r="Q366">
        <v>13.058249581337618</v>
      </c>
      <c r="R366">
        <v>0.38013923186001758</v>
      </c>
      <c r="S366">
        <v>0.13813264536688571</v>
      </c>
      <c r="T366">
        <v>16.42347854143549</v>
      </c>
      <c r="U366">
        <v>1540.2622177510236</v>
      </c>
      <c r="V366">
        <v>10.175126708338022</v>
      </c>
      <c r="W366">
        <v>1302.4909847274826</v>
      </c>
      <c r="X366">
        <v>7.5125822720274051</v>
      </c>
      <c r="Y366">
        <v>2914.7556310661498</v>
      </c>
      <c r="Z366">
        <v>10.216370434132973</v>
      </c>
      <c r="AA366">
        <v>2752.6772348401923</v>
      </c>
      <c r="AB366">
        <v>7.536750908066991</v>
      </c>
      <c r="AC366">
        <v>2236.8158765355683</v>
      </c>
      <c r="AD366">
        <v>10.199870775305282</v>
      </c>
      <c r="AE366">
        <v>2042.0646110688194</v>
      </c>
      <c r="AF366">
        <v>7.5270898109506277</v>
      </c>
      <c r="AG366">
        <v>2152.1686741416474</v>
      </c>
      <c r="AH366">
        <v>10.189567363433886</v>
      </c>
      <c r="AI366">
        <v>1937.8680037987758</v>
      </c>
      <c r="AJ366">
        <v>7.5210516767922222</v>
      </c>
    </row>
    <row r="367" spans="4:36" x14ac:dyDescent="0.55000000000000004">
      <c r="D367">
        <v>360</v>
      </c>
      <c r="E367">
        <v>11.508487646166667</v>
      </c>
      <c r="F367">
        <v>0.40300681085648105</v>
      </c>
      <c r="G367">
        <v>0.17270319763370459</v>
      </c>
      <c r="H367">
        <v>17.915802345343156</v>
      </c>
      <c r="I367">
        <v>11.686038575806466</v>
      </c>
      <c r="J367">
        <v>0.26656696163500804</v>
      </c>
      <c r="K367">
        <v>0.11390192855612317</v>
      </c>
      <c r="L367">
        <v>17.933492534002387</v>
      </c>
      <c r="M367">
        <v>11.595548711667472</v>
      </c>
      <c r="N367">
        <v>0.33612570052949337</v>
      </c>
      <c r="O367">
        <v>0.14383624418828789</v>
      </c>
      <c r="P367">
        <v>17.924489343614763</v>
      </c>
      <c r="Q367">
        <v>11.542291817169755</v>
      </c>
      <c r="R367">
        <v>0.37704304776167075</v>
      </c>
      <c r="S367">
        <v>0.16148686759178166</v>
      </c>
      <c r="T367">
        <v>17.919178267476806</v>
      </c>
      <c r="U367">
        <v>1437.5663112599098</v>
      </c>
      <c r="V367">
        <v>9.1187740235511932</v>
      </c>
      <c r="W367">
        <v>1237.1107774069162</v>
      </c>
      <c r="X367">
        <v>6.8856741104513448</v>
      </c>
      <c r="Y367">
        <v>2839.0253162969175</v>
      </c>
      <c r="Z367">
        <v>9.1412410331077414</v>
      </c>
      <c r="AA367">
        <v>2705.1171820611221</v>
      </c>
      <c r="AB367">
        <v>6.9003499027077781</v>
      </c>
      <c r="AC367">
        <v>2181.7476198171703</v>
      </c>
      <c r="AD367">
        <v>9.1297832522144198</v>
      </c>
      <c r="AE367">
        <v>2010.1586001082151</v>
      </c>
      <c r="AF367">
        <v>6.8928736087974771</v>
      </c>
      <c r="AG367">
        <v>2056.9387722699748</v>
      </c>
      <c r="AH367">
        <v>9.1230470119482092</v>
      </c>
      <c r="AI367">
        <v>1875.5830815555657</v>
      </c>
      <c r="AJ367">
        <v>6.8884703020195781</v>
      </c>
    </row>
    <row r="368" spans="4:36" x14ac:dyDescent="0.55000000000000004">
      <c r="D368">
        <v>361</v>
      </c>
      <c r="E368">
        <v>11.13030425673959</v>
      </c>
      <c r="F368">
        <v>0.41355992829876886</v>
      </c>
      <c r="G368">
        <v>0.17340470263540456</v>
      </c>
      <c r="H368">
        <v>18.282731112326235</v>
      </c>
      <c r="I368">
        <v>11.328004137767637</v>
      </c>
      <c r="J368">
        <v>0.2557903093468899</v>
      </c>
      <c r="K368">
        <v>0.10690203150304775</v>
      </c>
      <c r="L368">
        <v>18.309303521382418</v>
      </c>
      <c r="M368">
        <v>11.227506797134044</v>
      </c>
      <c r="N368">
        <v>0.33601390827711852</v>
      </c>
      <c r="O368">
        <v>0.14066263473587837</v>
      </c>
      <c r="P368">
        <v>18.295816659852946</v>
      </c>
      <c r="Q368">
        <v>11.216959319610854</v>
      </c>
      <c r="R368">
        <v>0.34443071741243009</v>
      </c>
      <c r="S368">
        <v>0.14421126746131102</v>
      </c>
      <c r="T368">
        <v>18.294398695515401</v>
      </c>
      <c r="U368">
        <v>1488.1611340598972</v>
      </c>
      <c r="V368">
        <v>8.7728976861408405</v>
      </c>
      <c r="W368">
        <v>1277.9643154221358</v>
      </c>
      <c r="X368">
        <v>6.6639613674603293</v>
      </c>
      <c r="Y368">
        <v>2838.9696071300523</v>
      </c>
      <c r="Z368">
        <v>8.7925335785381993</v>
      </c>
      <c r="AA368">
        <v>2708.0038398669958</v>
      </c>
      <c r="AB368">
        <v>6.6774469382109833</v>
      </c>
      <c r="AC368">
        <v>2159.5704645602023</v>
      </c>
      <c r="AD368">
        <v>8.7825399320117441</v>
      </c>
      <c r="AE368">
        <v>1995.7880443552951</v>
      </c>
      <c r="AF368">
        <v>6.6705938293232991</v>
      </c>
      <c r="AG368">
        <v>2031.7226129612754</v>
      </c>
      <c r="AH368">
        <v>8.7814925134136512</v>
      </c>
      <c r="AI368">
        <v>1861.7684976152532</v>
      </c>
      <c r="AJ368">
        <v>6.6698743319596012</v>
      </c>
    </row>
    <row r="369" spans="4:36" x14ac:dyDescent="0.55000000000000004">
      <c r="D369">
        <v>362</v>
      </c>
      <c r="E369">
        <v>11.729195216449972</v>
      </c>
      <c r="F369">
        <v>0.41636447889677669</v>
      </c>
      <c r="G369">
        <v>0.14627552824862178</v>
      </c>
      <c r="H369">
        <v>17.708164776404619</v>
      </c>
      <c r="I369">
        <v>11.943486078274685</v>
      </c>
      <c r="J369">
        <v>0.25514192479887909</v>
      </c>
      <c r="K369">
        <v>8.9352353929992148E-2</v>
      </c>
      <c r="L369">
        <v>17.712019642996442</v>
      </c>
      <c r="M369">
        <v>11.84228998641019</v>
      </c>
      <c r="N369">
        <v>0.33130956523236976</v>
      </c>
      <c r="O369">
        <v>0.11619955429087447</v>
      </c>
      <c r="P369">
        <v>17.71020089406656</v>
      </c>
      <c r="Q369">
        <v>11.81688640615001</v>
      </c>
      <c r="R369">
        <v>0.35042110613244976</v>
      </c>
      <c r="S369">
        <v>0.12294862586843217</v>
      </c>
      <c r="T369">
        <v>17.70974386184912</v>
      </c>
      <c r="U369">
        <v>1493.9529194254567</v>
      </c>
      <c r="V369">
        <v>9.2153844776599634</v>
      </c>
      <c r="W369">
        <v>1281.9780640626861</v>
      </c>
      <c r="X369">
        <v>6.9365054587546044</v>
      </c>
      <c r="Y369">
        <v>2830.2678084702684</v>
      </c>
      <c r="Z369">
        <v>9.2504890059756768</v>
      </c>
      <c r="AA369">
        <v>2701.3326437950641</v>
      </c>
      <c r="AB369">
        <v>6.9579872474851543</v>
      </c>
      <c r="AC369">
        <v>2165.8945346645269</v>
      </c>
      <c r="AD369">
        <v>9.2339104290064871</v>
      </c>
      <c r="AE369">
        <v>2001.0005051789767</v>
      </c>
      <c r="AF369">
        <v>6.9478525602781085</v>
      </c>
      <c r="AG369">
        <v>2056.361589889194</v>
      </c>
      <c r="AH369">
        <v>9.2297489125166372</v>
      </c>
      <c r="AI369">
        <v>1880.0075943363177</v>
      </c>
      <c r="AJ369">
        <v>6.9453056726269686</v>
      </c>
    </row>
    <row r="370" spans="4:36" x14ac:dyDescent="0.55000000000000004">
      <c r="D370">
        <v>363</v>
      </c>
      <c r="E370">
        <v>11.371851720138311</v>
      </c>
      <c r="F370">
        <v>0.44273977144145865</v>
      </c>
      <c r="G370">
        <v>0.17418465114224241</v>
      </c>
      <c r="H370">
        <v>18.011223857277983</v>
      </c>
      <c r="I370">
        <v>11.590957730589247</v>
      </c>
      <c r="J370">
        <v>0.27017575333681781</v>
      </c>
      <c r="K370">
        <v>0.10590084003503697</v>
      </c>
      <c r="L370">
        <v>18.032965676038902</v>
      </c>
      <c r="M370">
        <v>11.542744412494493</v>
      </c>
      <c r="N370">
        <v>0.30816864653946252</v>
      </c>
      <c r="O370">
        <v>0.1208907985078488</v>
      </c>
      <c r="P370">
        <v>18.028196142458189</v>
      </c>
      <c r="Q370">
        <v>11.49743885837618</v>
      </c>
      <c r="R370">
        <v>0.34385945924376837</v>
      </c>
      <c r="S370">
        <v>0.13499491591916868</v>
      </c>
      <c r="T370">
        <v>18.023706766460883</v>
      </c>
      <c r="U370">
        <v>1473.604598771615</v>
      </c>
      <c r="V370">
        <v>8.9935936969553918</v>
      </c>
      <c r="W370">
        <v>1263.2323767785533</v>
      </c>
      <c r="X370">
        <v>6.802320944439745</v>
      </c>
      <c r="Y370">
        <v>2842.4987854430774</v>
      </c>
      <c r="Z370">
        <v>9.0202947082265545</v>
      </c>
      <c r="AA370">
        <v>2708.7094539123391</v>
      </c>
      <c r="AB370">
        <v>6.8198473982484984</v>
      </c>
      <c r="AC370">
        <v>2142.2192472999386</v>
      </c>
      <c r="AD370">
        <v>9.0144113571917455</v>
      </c>
      <c r="AE370">
        <v>1983.9916795173397</v>
      </c>
      <c r="AF370">
        <v>6.8159940519922664</v>
      </c>
      <c r="AG370">
        <v>2032.1395161474861</v>
      </c>
      <c r="AH370">
        <v>9.0088868777694149</v>
      </c>
      <c r="AI370">
        <v>1861.1748992801763</v>
      </c>
      <c r="AJ370">
        <v>6.8123714305877572</v>
      </c>
    </row>
    <row r="371" spans="4:36" x14ac:dyDescent="0.55000000000000004">
      <c r="D371">
        <v>364</v>
      </c>
      <c r="E371">
        <v>11.770511333522993</v>
      </c>
      <c r="F371">
        <v>0.41681163061880577</v>
      </c>
      <c r="G371">
        <v>0.12848206096521908</v>
      </c>
      <c r="H371">
        <v>17.684194974892979</v>
      </c>
      <c r="I371">
        <v>11.917013574086571</v>
      </c>
      <c r="J371">
        <v>0.29848404705888093</v>
      </c>
      <c r="K371">
        <v>9.1808628140175152E-2</v>
      </c>
      <c r="L371">
        <v>17.692693750714376</v>
      </c>
      <c r="M371">
        <v>11.822715211769872</v>
      </c>
      <c r="N371">
        <v>0.37465871332966971</v>
      </c>
      <c r="O371">
        <v>0.11539908714519589</v>
      </c>
      <c r="P371">
        <v>17.68722698775526</v>
      </c>
      <c r="Q371">
        <v>11.817343545233086</v>
      </c>
      <c r="R371">
        <v>0.37899673958617602</v>
      </c>
      <c r="S371">
        <v>0.1167445302471519</v>
      </c>
      <c r="T371">
        <v>17.686915184933568</v>
      </c>
      <c r="U371">
        <v>1470.7045762909545</v>
      </c>
      <c r="V371">
        <v>9.3057105763674741</v>
      </c>
      <c r="W371">
        <v>1263.9270569949583</v>
      </c>
      <c r="X371">
        <v>7.0009562515863983</v>
      </c>
      <c r="Y371">
        <v>2855.9903123809713</v>
      </c>
      <c r="Z371">
        <v>9.3274587211902737</v>
      </c>
      <c r="AA371">
        <v>2717.3737812073009</v>
      </c>
      <c r="AB371">
        <v>7.0145519157618725</v>
      </c>
      <c r="AC371">
        <v>2188.5882701349506</v>
      </c>
      <c r="AD371">
        <v>9.3134581866416681</v>
      </c>
      <c r="AE371">
        <v>2014.7396817131466</v>
      </c>
      <c r="AF371">
        <v>7.0058041705251402</v>
      </c>
      <c r="AG371">
        <v>2040.9678808059568</v>
      </c>
      <c r="AH371">
        <v>9.3126608708560479</v>
      </c>
      <c r="AI371">
        <v>1865.9812433296349</v>
      </c>
      <c r="AJ371">
        <v>7.0053055000192543</v>
      </c>
    </row>
    <row r="372" spans="4:36" x14ac:dyDescent="0.55000000000000004">
      <c r="D372">
        <v>365</v>
      </c>
      <c r="E372">
        <v>13.21975280286941</v>
      </c>
      <c r="F372">
        <v>0.47374108271933696</v>
      </c>
      <c r="G372">
        <v>0.14567252704584119</v>
      </c>
      <c r="H372">
        <v>16.160833587365403</v>
      </c>
      <c r="I372">
        <v>13.41298840314902</v>
      </c>
      <c r="J372">
        <v>0.33556265287365666</v>
      </c>
      <c r="K372">
        <v>0.1029198102176155</v>
      </c>
      <c r="L372">
        <v>16.148529133759698</v>
      </c>
      <c r="M372">
        <v>13.358378007852417</v>
      </c>
      <c r="N372">
        <v>0.37463553079242862</v>
      </c>
      <c r="O372">
        <v>0.11498654264704095</v>
      </c>
      <c r="P372">
        <v>16.151999918708128</v>
      </c>
      <c r="Q372">
        <v>13.29882350428829</v>
      </c>
      <c r="R372">
        <v>0.41722594581623379</v>
      </c>
      <c r="S372">
        <v>0.1281597283389205</v>
      </c>
      <c r="T372">
        <v>16.155790821556543</v>
      </c>
      <c r="U372">
        <v>1601.026236779707</v>
      </c>
      <c r="V372">
        <v>10.411915581421276</v>
      </c>
      <c r="W372">
        <v>1342.0345433441958</v>
      </c>
      <c r="X372">
        <v>7.660682536769257</v>
      </c>
      <c r="Y372">
        <v>2948.3761767900528</v>
      </c>
      <c r="Z372">
        <v>10.457247554561702</v>
      </c>
      <c r="AA372">
        <v>2773.3892979916241</v>
      </c>
      <c r="AB372">
        <v>7.6870618048410577</v>
      </c>
      <c r="AC372">
        <v>2265.8564721891912</v>
      </c>
      <c r="AD372">
        <v>10.444439917142768</v>
      </c>
      <c r="AE372">
        <v>2060.0844432811045</v>
      </c>
      <c r="AF372">
        <v>7.6796156797211879</v>
      </c>
      <c r="AG372">
        <v>2149.2612862219594</v>
      </c>
      <c r="AH372">
        <v>10.430469481791654</v>
      </c>
      <c r="AI372">
        <v>1931.3172673837139</v>
      </c>
      <c r="AJ372">
        <v>7.6714874324860203</v>
      </c>
    </row>
    <row r="373" spans="4:36" x14ac:dyDescent="0.55000000000000004">
      <c r="D373">
        <v>366</v>
      </c>
      <c r="E373">
        <v>13.954670505040706</v>
      </c>
      <c r="F373">
        <v>0.49829763673733457</v>
      </c>
      <c r="G373">
        <v>0.17405348967556344</v>
      </c>
      <c r="H373">
        <v>15.372978368546402</v>
      </c>
      <c r="I373">
        <v>14.173811966297466</v>
      </c>
      <c r="J373">
        <v>0.34337676869357586</v>
      </c>
      <c r="K373">
        <v>0.11958661746843888</v>
      </c>
      <c r="L373">
        <v>15.363224647540523</v>
      </c>
      <c r="M373">
        <v>14.081678141928576</v>
      </c>
      <c r="N373">
        <v>0.40854409297142441</v>
      </c>
      <c r="O373">
        <v>0.14245824969547755</v>
      </c>
      <c r="P373">
        <v>15.367319515404514</v>
      </c>
      <c r="Q373">
        <v>14.029347296836004</v>
      </c>
      <c r="R373">
        <v>0.44553651532186073</v>
      </c>
      <c r="S373">
        <v>0.15546703968032696</v>
      </c>
      <c r="T373">
        <v>15.36964914816182</v>
      </c>
      <c r="U373">
        <v>1654.8135389003819</v>
      </c>
      <c r="V373">
        <v>10.924731635842715</v>
      </c>
      <c r="W373">
        <v>1370.3613177001698</v>
      </c>
      <c r="X373">
        <v>7.948411193308119</v>
      </c>
      <c r="Y373">
        <v>2972.9219937092025</v>
      </c>
      <c r="Z373">
        <v>10.967950541188372</v>
      </c>
      <c r="AA373">
        <v>2784.5814349580519</v>
      </c>
      <c r="AB373">
        <v>7.9734455160703392</v>
      </c>
      <c r="AC373">
        <v>2338.1181961626849</v>
      </c>
      <c r="AD373">
        <v>10.949783229106322</v>
      </c>
      <c r="AE373">
        <v>2103.0326323668301</v>
      </c>
      <c r="AF373">
        <v>7.9629305378588926</v>
      </c>
      <c r="AG373">
        <v>2233.041513050287</v>
      </c>
      <c r="AH373">
        <v>10.939462333364217</v>
      </c>
      <c r="AI373">
        <v>1982.6820952751268</v>
      </c>
      <c r="AJ373">
        <v>7.9569515796089476</v>
      </c>
    </row>
    <row r="374" spans="4:36" x14ac:dyDescent="0.55000000000000004">
      <c r="D374">
        <v>367</v>
      </c>
      <c r="E374">
        <v>13.476746599481354</v>
      </c>
      <c r="F374">
        <v>0.45112709278832458</v>
      </c>
      <c r="G374">
        <v>0.1721501376186709</v>
      </c>
      <c r="H374">
        <v>15.899976170111644</v>
      </c>
      <c r="I374">
        <v>13.70170287800938</v>
      </c>
      <c r="J374">
        <v>0.30101545191795614</v>
      </c>
      <c r="K374">
        <v>0.1145100807690262</v>
      </c>
      <c r="L374">
        <v>15.882771589303641</v>
      </c>
      <c r="M374">
        <v>13.613227531751448</v>
      </c>
      <c r="N374">
        <v>0.36009339607311203</v>
      </c>
      <c r="O374">
        <v>0.13715137712692796</v>
      </c>
      <c r="P374">
        <v>15.889527695048509</v>
      </c>
      <c r="Q374">
        <v>13.576167051371757</v>
      </c>
      <c r="R374">
        <v>0.38482493833827408</v>
      </c>
      <c r="S374">
        <v>0.14664630795072706</v>
      </c>
      <c r="T374">
        <v>15.892361702339228</v>
      </c>
      <c r="U374">
        <v>1565.2095183186436</v>
      </c>
      <c r="V374">
        <v>10.639327685613988</v>
      </c>
      <c r="W374">
        <v>1316.7652753338161</v>
      </c>
      <c r="X374">
        <v>7.7974109841064214</v>
      </c>
      <c r="Y374">
        <v>2905.0431693947071</v>
      </c>
      <c r="Z374">
        <v>10.689349821582368</v>
      </c>
      <c r="AA374">
        <v>2743.77311527756</v>
      </c>
      <c r="AB374">
        <v>7.826304357772532</v>
      </c>
      <c r="AC374">
        <v>2253.8415644724487</v>
      </c>
      <c r="AD374">
        <v>10.669682276524329</v>
      </c>
      <c r="AE374">
        <v>2051.9022528077421</v>
      </c>
      <c r="AF374">
        <v>7.8149539227705658</v>
      </c>
      <c r="AG374">
        <v>2158.6123602023808</v>
      </c>
      <c r="AH374">
        <v>10.661441582592646</v>
      </c>
      <c r="AI374">
        <v>1940.2180047300926</v>
      </c>
      <c r="AJ374">
        <v>7.8101943462009675</v>
      </c>
    </row>
    <row r="375" spans="4:36" x14ac:dyDescent="0.55000000000000004">
      <c r="D375">
        <v>368</v>
      </c>
      <c r="E375">
        <v>11.912078709479005</v>
      </c>
      <c r="F375">
        <v>0.4707876142667628</v>
      </c>
      <c r="G375">
        <v>0.18612577491394994</v>
      </c>
      <c r="H375">
        <v>17.431007901340273</v>
      </c>
      <c r="I375">
        <v>12.136361180899694</v>
      </c>
      <c r="J375">
        <v>0.2902371542652934</v>
      </c>
      <c r="K375">
        <v>0.11435141884146416</v>
      </c>
      <c r="L375">
        <v>17.459050245993549</v>
      </c>
      <c r="M375">
        <v>12.031399538476883</v>
      </c>
      <c r="N375">
        <v>0.37476165335625333</v>
      </c>
      <c r="O375">
        <v>0.14789024663991349</v>
      </c>
      <c r="P375">
        <v>17.445948561526933</v>
      </c>
      <c r="Q375">
        <v>12.009390389951131</v>
      </c>
      <c r="R375">
        <v>0.39247895410642375</v>
      </c>
      <c r="S375">
        <v>0.15493420229757415</v>
      </c>
      <c r="T375">
        <v>17.44319645364488</v>
      </c>
      <c r="U375">
        <v>1484.7247474098015</v>
      </c>
      <c r="V375">
        <v>9.4743431527667941</v>
      </c>
      <c r="W375">
        <v>1264.3355208120486</v>
      </c>
      <c r="X375">
        <v>7.0989446059084589</v>
      </c>
      <c r="Y375">
        <v>2879.3021372044145</v>
      </c>
      <c r="Z375">
        <v>9.4957017301821658</v>
      </c>
      <c r="AA375">
        <v>2731.6269921075423</v>
      </c>
      <c r="AB375">
        <v>7.1131687888327004</v>
      </c>
      <c r="AC375">
        <v>2207.7287640934351</v>
      </c>
      <c r="AD375">
        <v>9.485694136453116</v>
      </c>
      <c r="AE375">
        <v>2024.1233011628008</v>
      </c>
      <c r="AF375">
        <v>7.1065145172304494</v>
      </c>
      <c r="AG375">
        <v>2096.0675561214293</v>
      </c>
      <c r="AH375">
        <v>9.4835983406892428</v>
      </c>
      <c r="AI375">
        <v>1901.3461444033246</v>
      </c>
      <c r="AJ375">
        <v>7.1051186482759299</v>
      </c>
    </row>
    <row r="376" spans="4:36" x14ac:dyDescent="0.55000000000000004">
      <c r="D376">
        <v>369</v>
      </c>
      <c r="E376">
        <v>11.867061395093264</v>
      </c>
      <c r="F376">
        <v>0.45370864818520529</v>
      </c>
      <c r="G376">
        <v>0.15985287035027165</v>
      </c>
      <c r="H376">
        <v>17.51937708637125</v>
      </c>
      <c r="I376">
        <v>12.10112354277801</v>
      </c>
      <c r="J376">
        <v>0.26871990717764721</v>
      </c>
      <c r="K376">
        <v>9.4350174001324755E-2</v>
      </c>
      <c r="L376">
        <v>17.535806376043002</v>
      </c>
      <c r="M376">
        <v>11.974668131790919</v>
      </c>
      <c r="N376">
        <v>0.36869618129278153</v>
      </c>
      <c r="O376">
        <v>0.12969380836892858</v>
      </c>
      <c r="P376">
        <v>17.526941878547358</v>
      </c>
      <c r="Q376">
        <v>11.961712382514204</v>
      </c>
      <c r="R376">
        <v>0.37893463410415196</v>
      </c>
      <c r="S376">
        <v>0.13332084218144902</v>
      </c>
      <c r="T376">
        <v>17.526032141200183</v>
      </c>
      <c r="U376">
        <v>1531.4683028518957</v>
      </c>
      <c r="V376">
        <v>9.4803908604872547</v>
      </c>
      <c r="W376">
        <v>1299.4022406564484</v>
      </c>
      <c r="X376">
        <v>7.1159731105643127</v>
      </c>
      <c r="Y376">
        <v>2867.2240607465765</v>
      </c>
      <c r="Z376">
        <v>9.5163628416829535</v>
      </c>
      <c r="AA376">
        <v>2723.3543147944902</v>
      </c>
      <c r="AB376">
        <v>7.1384963116601297</v>
      </c>
      <c r="AC376">
        <v>2212.4203949734642</v>
      </c>
      <c r="AD376">
        <v>9.4969218894055114</v>
      </c>
      <c r="AE376">
        <v>2026.8041384992296</v>
      </c>
      <c r="AF376">
        <v>7.1263367944708325</v>
      </c>
      <c r="AG376">
        <v>2092.7293406309882</v>
      </c>
      <c r="AH376">
        <v>9.4949309732847986</v>
      </c>
      <c r="AI376">
        <v>1898.5551506882396</v>
      </c>
      <c r="AJ376">
        <v>7.1250898302585934</v>
      </c>
    </row>
    <row r="377" spans="4:36" x14ac:dyDescent="0.55000000000000004">
      <c r="D377">
        <v>370</v>
      </c>
      <c r="E377">
        <v>11.752809381212401</v>
      </c>
      <c r="F377">
        <v>0.42708021282641995</v>
      </c>
      <c r="G377">
        <v>0.16603987331990247</v>
      </c>
      <c r="H377">
        <v>17.654070532641271</v>
      </c>
      <c r="I377">
        <v>11.967009550477371</v>
      </c>
      <c r="J377">
        <v>0.26308368619479655</v>
      </c>
      <c r="K377">
        <v>0.10193746439170627</v>
      </c>
      <c r="L377">
        <v>17.667969298936125</v>
      </c>
      <c r="M377">
        <v>11.873487716626689</v>
      </c>
      <c r="N377">
        <v>0.33471666627289148</v>
      </c>
      <c r="O377">
        <v>0.12988331947515114</v>
      </c>
      <c r="P377">
        <v>17.661912297625268</v>
      </c>
      <c r="Q377">
        <v>11.812417616148291</v>
      </c>
      <c r="R377">
        <v>0.38146777977644863</v>
      </c>
      <c r="S377">
        <v>0.14816700610581587</v>
      </c>
      <c r="T377">
        <v>17.657947597969457</v>
      </c>
      <c r="U377">
        <v>1458.3969168699814</v>
      </c>
      <c r="V377">
        <v>9.2876444268446434</v>
      </c>
      <c r="W377">
        <v>1248.8810491965035</v>
      </c>
      <c r="X377">
        <v>6.9855682057700159</v>
      </c>
      <c r="Y377">
        <v>2860.3479535129218</v>
      </c>
      <c r="Z377">
        <v>9.3212008933158241</v>
      </c>
      <c r="AA377">
        <v>2720.1987152571164</v>
      </c>
      <c r="AB377">
        <v>7.0067416164204364</v>
      </c>
      <c r="AC377">
        <v>2195.021211050765</v>
      </c>
      <c r="AD377">
        <v>9.3065429121430387</v>
      </c>
      <c r="AE377">
        <v>2018.5980111329063</v>
      </c>
      <c r="AF377">
        <v>6.9975044464114209</v>
      </c>
      <c r="AG377">
        <v>2085.8264065325488</v>
      </c>
      <c r="AH377">
        <v>9.2969769609753037</v>
      </c>
      <c r="AI377">
        <v>1895.3042108581908</v>
      </c>
      <c r="AJ377">
        <v>6.9914664170091454</v>
      </c>
    </row>
    <row r="378" spans="4:36" x14ac:dyDescent="0.55000000000000004">
      <c r="D378">
        <v>371</v>
      </c>
      <c r="E378">
        <v>12.453586457716668</v>
      </c>
      <c r="F378">
        <v>0.47613622614380685</v>
      </c>
      <c r="G378">
        <v>0.15566299257391672</v>
      </c>
      <c r="H378">
        <v>16.914614323565615</v>
      </c>
      <c r="I378">
        <v>12.672316487432534</v>
      </c>
      <c r="J378">
        <v>0.30371039265001137</v>
      </c>
      <c r="K378">
        <v>9.8985168724174746E-2</v>
      </c>
      <c r="L378">
        <v>16.924987951193277</v>
      </c>
      <c r="M378">
        <v>12.58484934494982</v>
      </c>
      <c r="N378">
        <v>0.37268877242139598</v>
      </c>
      <c r="O378">
        <v>0.12161630167665276</v>
      </c>
      <c r="P378">
        <v>16.920845580952147</v>
      </c>
      <c r="Q378">
        <v>12.525384113356239</v>
      </c>
      <c r="R378">
        <v>0.41956328500269835</v>
      </c>
      <c r="S378">
        <v>0.13702772332274057</v>
      </c>
      <c r="T378">
        <v>16.918024878318313</v>
      </c>
      <c r="U378">
        <v>1560.797655229625</v>
      </c>
      <c r="V378">
        <v>9.7810151959949057</v>
      </c>
      <c r="W378">
        <v>1316.6915584525545</v>
      </c>
      <c r="X378">
        <v>7.2718420241475297</v>
      </c>
      <c r="Y378">
        <v>2905.63246768112</v>
      </c>
      <c r="Z378">
        <v>9.8110929950351924</v>
      </c>
      <c r="AA378">
        <v>2747.3214948205004</v>
      </c>
      <c r="AB378">
        <v>7.2902807911463343</v>
      </c>
      <c r="AC378">
        <v>2230.7526523986317</v>
      </c>
      <c r="AD378">
        <v>9.7990623024214987</v>
      </c>
      <c r="AE378">
        <v>2037.9718781217919</v>
      </c>
      <c r="AF378">
        <v>7.2829140709640487</v>
      </c>
      <c r="AG378">
        <v>2116.2375166224806</v>
      </c>
      <c r="AH378">
        <v>9.7908854121557738</v>
      </c>
      <c r="AI378">
        <v>1910.4677773323162</v>
      </c>
      <c r="AJ378">
        <v>7.277900674163174</v>
      </c>
    </row>
    <row r="379" spans="4:36" x14ac:dyDescent="0.55000000000000004">
      <c r="D379">
        <v>372</v>
      </c>
      <c r="E379">
        <v>13.512445900117504</v>
      </c>
      <c r="F379">
        <v>0.4838156378464798</v>
      </c>
      <c r="G379">
        <v>0.1996512388466421</v>
      </c>
      <c r="H379">
        <v>15.804087223189381</v>
      </c>
      <c r="I379">
        <v>13.800198273433992</v>
      </c>
      <c r="J379">
        <v>0.29367432622914391</v>
      </c>
      <c r="K379">
        <v>0.12069901157832137</v>
      </c>
      <c r="L379">
        <v>15.785428388758547</v>
      </c>
      <c r="M379">
        <v>13.683519523668476</v>
      </c>
      <c r="N379">
        <v>0.37083858541023335</v>
      </c>
      <c r="O379">
        <v>0.1526617475160485</v>
      </c>
      <c r="P379">
        <v>15.792980143405234</v>
      </c>
      <c r="Q379">
        <v>13.649525415575599</v>
      </c>
      <c r="R379">
        <v>0.39330358851307656</v>
      </c>
      <c r="S379">
        <v>0.16198706701455834</v>
      </c>
      <c r="T379">
        <v>15.795183928896767</v>
      </c>
      <c r="U379">
        <v>1629.6789936811911</v>
      </c>
      <c r="V379">
        <v>10.766474713900369</v>
      </c>
      <c r="W379">
        <v>1357.4423711172017</v>
      </c>
      <c r="X379">
        <v>7.881505670749311</v>
      </c>
      <c r="Y379">
        <v>2931.10773800687</v>
      </c>
      <c r="Z379">
        <v>10.829603925697526</v>
      </c>
      <c r="AA379">
        <v>2760.6811603396213</v>
      </c>
      <c r="AB379">
        <v>7.9180847705293198</v>
      </c>
      <c r="AC379">
        <v>2267.9827919900185</v>
      </c>
      <c r="AD379">
        <v>10.804014408324644</v>
      </c>
      <c r="AE379">
        <v>2058.0241064068859</v>
      </c>
      <c r="AF379">
        <v>7.9032735823906348</v>
      </c>
      <c r="AG379">
        <v>2170.5454797908228</v>
      </c>
      <c r="AH379">
        <v>10.796556832614963</v>
      </c>
      <c r="AI379">
        <v>1944.6551365713403</v>
      </c>
      <c r="AJ379">
        <v>7.898953011106336</v>
      </c>
    </row>
    <row r="380" spans="4:36" x14ac:dyDescent="0.55000000000000004">
      <c r="D380">
        <v>373</v>
      </c>
      <c r="E380">
        <v>11.678697968944938</v>
      </c>
      <c r="F380">
        <v>0.45239497415210822</v>
      </c>
      <c r="G380">
        <v>0.14242997933669643</v>
      </c>
      <c r="H380">
        <v>17.726477077566265</v>
      </c>
      <c r="I380">
        <v>11.891248649537355</v>
      </c>
      <c r="J380">
        <v>0.28071440761425492</v>
      </c>
      <c r="K380">
        <v>8.8093194100431121E-2</v>
      </c>
      <c r="L380">
        <v>17.739943748747958</v>
      </c>
      <c r="M380">
        <v>11.793161638132116</v>
      </c>
      <c r="N380">
        <v>0.35996677682071759</v>
      </c>
      <c r="O380">
        <v>0.11313223331606172</v>
      </c>
      <c r="P380">
        <v>17.733739351731092</v>
      </c>
      <c r="Q380">
        <v>11.757532162334803</v>
      </c>
      <c r="R380">
        <v>0.38874372044606142</v>
      </c>
      <c r="S380">
        <v>0.12224276443248816</v>
      </c>
      <c r="T380">
        <v>17.731481352786641</v>
      </c>
      <c r="U380">
        <v>1513.9097651531713</v>
      </c>
      <c r="V380">
        <v>9.2480015769051711</v>
      </c>
      <c r="W380">
        <v>1289.5900687330384</v>
      </c>
      <c r="X380">
        <v>6.9641998256818889</v>
      </c>
      <c r="Y380">
        <v>2852.0217948254217</v>
      </c>
      <c r="Z380">
        <v>9.2817793521752261</v>
      </c>
      <c r="AA380">
        <v>2712.8981846767474</v>
      </c>
      <c r="AB380">
        <v>6.9854508835513824</v>
      </c>
      <c r="AC380">
        <v>2197.6548163407524</v>
      </c>
      <c r="AD380">
        <v>9.2661856570366599</v>
      </c>
      <c r="AE380">
        <v>2019.0752625568168</v>
      </c>
      <c r="AF380">
        <v>6.9756518328580146</v>
      </c>
      <c r="AG380">
        <v>2092.8733766296673</v>
      </c>
      <c r="AH380">
        <v>9.2605239135735715</v>
      </c>
      <c r="AI380">
        <v>1900.6782687874781</v>
      </c>
      <c r="AJ380">
        <v>6.9720890944224481</v>
      </c>
    </row>
    <row r="381" spans="4:36" x14ac:dyDescent="0.55000000000000004">
      <c r="D381">
        <v>374</v>
      </c>
      <c r="E381">
        <v>11.556293172007029</v>
      </c>
      <c r="F381">
        <v>0.44350786617799637</v>
      </c>
      <c r="G381">
        <v>0.13384803756968025</v>
      </c>
      <c r="H381">
        <v>17.866350924245278</v>
      </c>
      <c r="I381">
        <v>11.74288365918046</v>
      </c>
      <c r="J381">
        <v>0.29233368900959961</v>
      </c>
      <c r="K381">
        <v>8.7976258283160316E-2</v>
      </c>
      <c r="L381">
        <v>17.876806393526774</v>
      </c>
      <c r="M381">
        <v>11.674276557755189</v>
      </c>
      <c r="N381">
        <v>0.34793723912501162</v>
      </c>
      <c r="O381">
        <v>0.10481798083342929</v>
      </c>
      <c r="P381">
        <v>17.872968222286364</v>
      </c>
      <c r="Q381">
        <v>11.639342690898655</v>
      </c>
      <c r="R381">
        <v>0.37624157558291366</v>
      </c>
      <c r="S381">
        <v>0.11340461179229382</v>
      </c>
      <c r="T381">
        <v>17.871011121726141</v>
      </c>
      <c r="U381">
        <v>1488.8348719361759</v>
      </c>
      <c r="V381">
        <v>9.1415545340815303</v>
      </c>
      <c r="W381">
        <v>1274.7452293154731</v>
      </c>
      <c r="X381">
        <v>6.8988650664604956</v>
      </c>
      <c r="Y381">
        <v>2840.139300600395</v>
      </c>
      <c r="Z381">
        <v>9.1701868886484057</v>
      </c>
      <c r="AA381">
        <v>2705.11925451051</v>
      </c>
      <c r="AB381">
        <v>6.9168079371535933</v>
      </c>
      <c r="AC381">
        <v>2157.7293700987766</v>
      </c>
      <c r="AD381">
        <v>9.1596557533921814</v>
      </c>
      <c r="AE381">
        <v>1992.5154998831301</v>
      </c>
      <c r="AF381">
        <v>6.9102163916790804</v>
      </c>
      <c r="AG381">
        <v>2086.7518733090874</v>
      </c>
      <c r="AH381">
        <v>9.1542949287465252</v>
      </c>
      <c r="AI381">
        <v>1900.0251237717673</v>
      </c>
      <c r="AJ381">
        <v>6.9068574642633171</v>
      </c>
    </row>
    <row r="382" spans="4:36" x14ac:dyDescent="0.55000000000000004">
      <c r="D382">
        <v>375</v>
      </c>
      <c r="E382">
        <v>12.909032957089565</v>
      </c>
      <c r="F382">
        <v>0.43601197649491064</v>
      </c>
      <c r="G382">
        <v>0.14121865349977702</v>
      </c>
      <c r="H382">
        <v>16.513736412915765</v>
      </c>
      <c r="I382">
        <v>13.121040505986315</v>
      </c>
      <c r="J382">
        <v>0.29309107240435051</v>
      </c>
      <c r="K382">
        <v>9.4646199134005571E-2</v>
      </c>
      <c r="L382">
        <v>16.49122222247534</v>
      </c>
      <c r="M382">
        <v>13.050042786954199</v>
      </c>
      <c r="N382">
        <v>0.34098561083813617</v>
      </c>
      <c r="O382">
        <v>0.1102218579151914</v>
      </c>
      <c r="P382">
        <v>16.498749744292482</v>
      </c>
      <c r="Q382">
        <v>13.006377745217296</v>
      </c>
      <c r="R382">
        <v>0.37042539823060067</v>
      </c>
      <c r="S382">
        <v>0.11981150491170757</v>
      </c>
      <c r="T382">
        <v>16.503385351640397</v>
      </c>
      <c r="U382">
        <v>1529.4162501639248</v>
      </c>
      <c r="V382">
        <v>10.233308098697044</v>
      </c>
      <c r="W382">
        <v>1299.7500695486376</v>
      </c>
      <c r="X382">
        <v>7.5676151575514101</v>
      </c>
      <c r="Y382">
        <v>2878.3577422099211</v>
      </c>
      <c r="Z382">
        <v>10.288470223230059</v>
      </c>
      <c r="AA382">
        <v>2730.0787760125113</v>
      </c>
      <c r="AB382">
        <v>7.5996325567067533</v>
      </c>
      <c r="AC382">
        <v>2195.3198897678267</v>
      </c>
      <c r="AD382">
        <v>10.270004307826435</v>
      </c>
      <c r="AE382">
        <v>2016.6068568210935</v>
      </c>
      <c r="AF382">
        <v>7.5889245683652211</v>
      </c>
      <c r="AG382">
        <v>2081.7697538851071</v>
      </c>
      <c r="AH382">
        <v>10.258643935294263</v>
      </c>
      <c r="AI382">
        <v>1891.5389007622493</v>
      </c>
      <c r="AJ382">
        <v>7.5823319198073289</v>
      </c>
    </row>
    <row r="383" spans="4:36" x14ac:dyDescent="0.55000000000000004">
      <c r="D383">
        <v>376</v>
      </c>
      <c r="E383">
        <v>14.154263043704844</v>
      </c>
      <c r="F383">
        <v>0.47545802393904757</v>
      </c>
      <c r="G383">
        <v>0.16221026539643302</v>
      </c>
      <c r="H383">
        <v>15.20806866695966</v>
      </c>
      <c r="I383">
        <v>14.387781110470501</v>
      </c>
      <c r="J383">
        <v>0.3190474697502334</v>
      </c>
      <c r="K383">
        <v>0.1085273348343064</v>
      </c>
      <c r="L383">
        <v>15.184644084944978</v>
      </c>
      <c r="M383">
        <v>14.269481323003362</v>
      </c>
      <c r="N383">
        <v>0.39832718355455821</v>
      </c>
      <c r="O383">
        <v>0.13569728852483046</v>
      </c>
      <c r="P383">
        <v>15.196494204917251</v>
      </c>
      <c r="Q383">
        <v>14.210565410078871</v>
      </c>
      <c r="R383">
        <v>0.43777778851088461</v>
      </c>
      <c r="S383">
        <v>0.14924818796488909</v>
      </c>
      <c r="T383">
        <v>15.202408613445348</v>
      </c>
      <c r="U383">
        <v>1597.459715325653</v>
      </c>
      <c r="V383">
        <v>11.187367859423018</v>
      </c>
      <c r="W383">
        <v>1331.2441305365021</v>
      </c>
      <c r="X383">
        <v>8.1231023621693641</v>
      </c>
      <c r="Y383">
        <v>2959.721068353198</v>
      </c>
      <c r="Z383">
        <v>11.242853682060691</v>
      </c>
      <c r="AA383">
        <v>2777.5829348227844</v>
      </c>
      <c r="AB383">
        <v>8.1545416147398537</v>
      </c>
      <c r="AC383">
        <v>2293.3818559935153</v>
      </c>
      <c r="AD383">
        <v>11.214755023814265</v>
      </c>
      <c r="AE383">
        <v>2072.0317444973298</v>
      </c>
      <c r="AF383">
        <v>8.1386304866027057</v>
      </c>
      <c r="AG383">
        <v>2213.160449374258</v>
      </c>
      <c r="AH383">
        <v>11.200753358736723</v>
      </c>
      <c r="AI383">
        <v>1969.752777657395</v>
      </c>
      <c r="AJ383">
        <v>8.1306942147118306</v>
      </c>
    </row>
    <row r="384" spans="4:36" x14ac:dyDescent="0.55000000000000004">
      <c r="D384">
        <v>377</v>
      </c>
      <c r="E384">
        <v>11.715584946898598</v>
      </c>
      <c r="F384">
        <v>0.44998408130501694</v>
      </c>
      <c r="G384">
        <v>0.16221758568972983</v>
      </c>
      <c r="H384">
        <v>17.672213386106652</v>
      </c>
      <c r="I384">
        <v>11.937788515835136</v>
      </c>
      <c r="J384">
        <v>0.27326581373427644</v>
      </c>
      <c r="K384">
        <v>9.8184411634233554E-2</v>
      </c>
      <c r="L384">
        <v>17.690761258796346</v>
      </c>
      <c r="M384">
        <v>11.849415608598667</v>
      </c>
      <c r="N384">
        <v>0.34357740271619924</v>
      </c>
      <c r="O384">
        <v>0.12360992425113025</v>
      </c>
      <c r="P384">
        <v>17.683397064434015</v>
      </c>
      <c r="Q384">
        <v>11.824798123813876</v>
      </c>
      <c r="R384">
        <v>0.36315693624310752</v>
      </c>
      <c r="S384">
        <v>0.13070220167726193</v>
      </c>
      <c r="T384">
        <v>17.681342738265744</v>
      </c>
      <c r="U384">
        <v>1495.7589139365941</v>
      </c>
      <c r="V384">
        <v>9.2496635919214665</v>
      </c>
      <c r="W384">
        <v>1274.3666119205564</v>
      </c>
      <c r="X384">
        <v>6.958074629259567</v>
      </c>
      <c r="Y384">
        <v>2877.0937885202657</v>
      </c>
      <c r="Z384">
        <v>9.277911299478566</v>
      </c>
      <c r="AA384">
        <v>2731.4658814129994</v>
      </c>
      <c r="AB384">
        <v>6.9760344452673149</v>
      </c>
      <c r="AC384">
        <v>2192.8920413774854</v>
      </c>
      <c r="AD384">
        <v>9.2666701024192299</v>
      </c>
      <c r="AE384">
        <v>2015.5706223884226</v>
      </c>
      <c r="AF384">
        <v>6.9688976116671366</v>
      </c>
      <c r="AG384">
        <v>2085.0215208460763</v>
      </c>
      <c r="AH384">
        <v>9.2635402958458926</v>
      </c>
      <c r="AI384">
        <v>1895.5154077242296</v>
      </c>
      <c r="AJ384">
        <v>6.966908147930658</v>
      </c>
    </row>
    <row r="385" spans="4:36" x14ac:dyDescent="0.55000000000000004">
      <c r="D385">
        <v>378</v>
      </c>
      <c r="E385">
        <v>10.688445318815841</v>
      </c>
      <c r="F385">
        <v>0.39427672222086629</v>
      </c>
      <c r="G385">
        <v>0.13582706872010078</v>
      </c>
      <c r="H385">
        <v>18.781450890243203</v>
      </c>
      <c r="I385">
        <v>10.860970790710367</v>
      </c>
      <c r="J385">
        <v>0.25357537837510685</v>
      </c>
      <c r="K385">
        <v>8.7103793964917631E-2</v>
      </c>
      <c r="L385">
        <v>18.798350036949607</v>
      </c>
      <c r="M385">
        <v>10.76730500880767</v>
      </c>
      <c r="N385">
        <v>0.32998077624068567</v>
      </c>
      <c r="O385">
        <v>0.11352673817848012</v>
      </c>
      <c r="P385">
        <v>18.789187476773161</v>
      </c>
      <c r="Q385">
        <v>10.775755344508097</v>
      </c>
      <c r="R385">
        <v>0.32308931296559201</v>
      </c>
      <c r="S385">
        <v>0.11114005811904021</v>
      </c>
      <c r="T385">
        <v>18.790015284407275</v>
      </c>
      <c r="U385">
        <v>1429.3415885530637</v>
      </c>
      <c r="V385">
        <v>8.4783625441363455</v>
      </c>
      <c r="W385">
        <v>1239.5092447632028</v>
      </c>
      <c r="X385">
        <v>6.4967828325160424</v>
      </c>
      <c r="Y385">
        <v>2837.2998559241178</v>
      </c>
      <c r="Z385">
        <v>8.5034671118636602</v>
      </c>
      <c r="AA385">
        <v>2710.1929628338385</v>
      </c>
      <c r="AB385">
        <v>6.5133568044289794</v>
      </c>
      <c r="AC385">
        <v>2124.1513011712127</v>
      </c>
      <c r="AD385">
        <v>8.4898301767074251</v>
      </c>
      <c r="AE385">
        <v>1973.1255578687435</v>
      </c>
      <c r="AF385">
        <v>6.5043632373913853</v>
      </c>
      <c r="AG385">
        <v>2018.817472166925</v>
      </c>
      <c r="AH385">
        <v>8.4910597528768736</v>
      </c>
      <c r="AI385">
        <v>1857.9077196133917</v>
      </c>
      <c r="AJ385">
        <v>6.5051750654335549</v>
      </c>
    </row>
    <row r="386" spans="4:36" x14ac:dyDescent="0.55000000000000004">
      <c r="D386">
        <v>379</v>
      </c>
      <c r="E386">
        <v>12.656061797108221</v>
      </c>
      <c r="F386">
        <v>0.45718382065521096</v>
      </c>
      <c r="G386">
        <v>0.17691664106765873</v>
      </c>
      <c r="H386">
        <v>16.709837741168904</v>
      </c>
      <c r="I386">
        <v>12.86239884119462</v>
      </c>
      <c r="J386">
        <v>0.30242805376011989</v>
      </c>
      <c r="K386">
        <v>0.11667048746069</v>
      </c>
      <c r="L386">
        <v>16.718502617584562</v>
      </c>
      <c r="M386">
        <v>12.762525869523316</v>
      </c>
      <c r="N386">
        <v>0.37736324688068268</v>
      </c>
      <c r="O386">
        <v>0.14579557012100475</v>
      </c>
      <c r="P386">
        <v>16.714315313474994</v>
      </c>
      <c r="Q386">
        <v>12.719532466451685</v>
      </c>
      <c r="R386">
        <v>0.40960468806972017</v>
      </c>
      <c r="S386">
        <v>0.15835397045646671</v>
      </c>
      <c r="T386">
        <v>16.712508875022124</v>
      </c>
      <c r="U386">
        <v>1516.1923276557361</v>
      </c>
      <c r="V386">
        <v>10.043907276691838</v>
      </c>
      <c r="W386">
        <v>1286.3428333785666</v>
      </c>
      <c r="X386">
        <v>7.4453729654628233</v>
      </c>
      <c r="Y386">
        <v>2873.4508490342146</v>
      </c>
      <c r="Z386">
        <v>10.076881752841203</v>
      </c>
      <c r="AA386">
        <v>2724.4147027619847</v>
      </c>
      <c r="AB386">
        <v>7.4656567551654289</v>
      </c>
      <c r="AC386">
        <v>2201.8885665044486</v>
      </c>
      <c r="AD386">
        <v>10.060916593870402</v>
      </c>
      <c r="AE386">
        <v>2017.3108086632847</v>
      </c>
      <c r="AF386">
        <v>7.4558453897271963</v>
      </c>
      <c r="AG386">
        <v>2097.2962567388236</v>
      </c>
      <c r="AH386">
        <v>10.05404653672808</v>
      </c>
      <c r="AI386">
        <v>1898.5373194957999</v>
      </c>
      <c r="AJ386">
        <v>7.4516180047344278</v>
      </c>
    </row>
    <row r="387" spans="4:36" x14ac:dyDescent="0.55000000000000004">
      <c r="D387">
        <v>380</v>
      </c>
      <c r="E387">
        <v>12.948417914521514</v>
      </c>
      <c r="F387">
        <v>0.44366333663359986</v>
      </c>
      <c r="G387">
        <v>0.15918877315519256</v>
      </c>
      <c r="H387">
        <v>16.448729975689698</v>
      </c>
      <c r="I387">
        <v>13.172342048758091</v>
      </c>
      <c r="J387">
        <v>0.28698270912611745</v>
      </c>
      <c r="K387">
        <v>0.10263844940910667</v>
      </c>
      <c r="L387">
        <v>16.438036792706697</v>
      </c>
      <c r="M387">
        <v>13.036709459172185</v>
      </c>
      <c r="N387">
        <v>0.38192237994571926</v>
      </c>
      <c r="O387">
        <v>0.13686039450923337</v>
      </c>
      <c r="P387">
        <v>16.444507766372855</v>
      </c>
      <c r="Q387">
        <v>13.000448099728192</v>
      </c>
      <c r="R387">
        <v>0.4072852703069873</v>
      </c>
      <c r="S387">
        <v>0.1460257475431028</v>
      </c>
      <c r="T387">
        <v>16.446240882421726</v>
      </c>
      <c r="U387">
        <v>1551.9807001074628</v>
      </c>
      <c r="V387">
        <v>10.163901828668086</v>
      </c>
      <c r="W387">
        <v>1311.6207184911041</v>
      </c>
      <c r="X387">
        <v>7.5069918486289335</v>
      </c>
      <c r="Y387">
        <v>2894.4429795382866</v>
      </c>
      <c r="Z387">
        <v>10.210441611653003</v>
      </c>
      <c r="AA387">
        <v>2739.6065516526701</v>
      </c>
      <c r="AB387">
        <v>7.5342832165152567</v>
      </c>
      <c r="AC387">
        <v>2239.802344142101</v>
      </c>
      <c r="AD387">
        <v>10.18225609351876</v>
      </c>
      <c r="AE387">
        <v>2043.2663429374409</v>
      </c>
      <c r="AF387">
        <v>7.5177652028565065</v>
      </c>
      <c r="AG387">
        <v>2136.2245664050861</v>
      </c>
      <c r="AH387">
        <v>10.174718624867902</v>
      </c>
      <c r="AI387">
        <v>1925.6383956743457</v>
      </c>
      <c r="AJ387">
        <v>7.5133425807659098</v>
      </c>
    </row>
    <row r="388" spans="4:36" x14ac:dyDescent="0.55000000000000004">
      <c r="D388">
        <v>381</v>
      </c>
      <c r="E388">
        <v>11.421980747549801</v>
      </c>
      <c r="F388">
        <v>0.44330487470868885</v>
      </c>
      <c r="G388">
        <v>0.1761345671570938</v>
      </c>
      <c r="H388">
        <v>17.958579810584418</v>
      </c>
      <c r="I388">
        <v>11.636107966368385</v>
      </c>
      <c r="J388">
        <v>0.2699058892019266</v>
      </c>
      <c r="K388">
        <v>0.10686431625874414</v>
      </c>
      <c r="L388">
        <v>17.987121828170931</v>
      </c>
      <c r="M388">
        <v>11.545736122302522</v>
      </c>
      <c r="N388">
        <v>0.34311438313441861</v>
      </c>
      <c r="O388">
        <v>0.13605005544750462</v>
      </c>
      <c r="P388">
        <v>17.975099439115557</v>
      </c>
      <c r="Q388">
        <v>11.500595633946471</v>
      </c>
      <c r="R388">
        <v>0.37966770434566049</v>
      </c>
      <c r="S388">
        <v>0.15065528924548086</v>
      </c>
      <c r="T388">
        <v>17.969081372462401</v>
      </c>
      <c r="U388">
        <v>1490.2469251505697</v>
      </c>
      <c r="V388">
        <v>9.050808792015097</v>
      </c>
      <c r="W388">
        <v>1275.079120354085</v>
      </c>
      <c r="X388">
        <v>6.8388542043727529</v>
      </c>
      <c r="Y388">
        <v>2832.036213836514</v>
      </c>
      <c r="Z388">
        <v>9.0722341701400246</v>
      </c>
      <c r="AA388">
        <v>2700.3271864575763</v>
      </c>
      <c r="AB388">
        <v>6.8534340044656687</v>
      </c>
      <c r="AC388">
        <v>2164.062478557637</v>
      </c>
      <c r="AD388">
        <v>9.0631782427514782</v>
      </c>
      <c r="AE388">
        <v>1997.122113634076</v>
      </c>
      <c r="AF388">
        <v>6.847282825078425</v>
      </c>
      <c r="AG388">
        <v>2069.7635122800248</v>
      </c>
      <c r="AH388">
        <v>9.0586621365891933</v>
      </c>
      <c r="AI388">
        <v>1886.2051498607116</v>
      </c>
      <c r="AJ388">
        <v>6.8442091368694129</v>
      </c>
    </row>
    <row r="389" spans="4:36" x14ac:dyDescent="0.55000000000000004">
      <c r="D389">
        <v>382</v>
      </c>
      <c r="E389">
        <v>11.856316249504088</v>
      </c>
      <c r="F389">
        <v>0.46087917907820719</v>
      </c>
      <c r="G389">
        <v>0.15094970557047294</v>
      </c>
      <c r="H389">
        <v>17.531854865847237</v>
      </c>
      <c r="I389">
        <v>12.053020119690524</v>
      </c>
      <c r="J389">
        <v>0.30231205631481428</v>
      </c>
      <c r="K389">
        <v>9.8721242269858525E-2</v>
      </c>
      <c r="L389">
        <v>17.545946581724795</v>
      </c>
      <c r="M389">
        <v>11.98399460573434</v>
      </c>
      <c r="N389">
        <v>0.35797529575590176</v>
      </c>
      <c r="O389">
        <v>0.11701968525217338</v>
      </c>
      <c r="P389">
        <v>17.541010413257588</v>
      </c>
      <c r="Q389">
        <v>11.955808025217783</v>
      </c>
      <c r="R389">
        <v>0.38069909473756475</v>
      </c>
      <c r="S389">
        <v>0.12450086668816622</v>
      </c>
      <c r="T389">
        <v>17.538992013356491</v>
      </c>
      <c r="U389">
        <v>1504.5386888237413</v>
      </c>
      <c r="V389">
        <v>9.3233266788505667</v>
      </c>
      <c r="W389">
        <v>1280.3705965902805</v>
      </c>
      <c r="X389">
        <v>6.9976928461867809</v>
      </c>
      <c r="Y389">
        <v>2884.7463851971816</v>
      </c>
      <c r="Z389">
        <v>9.3496142674641618</v>
      </c>
      <c r="AA389">
        <v>2734.8844971411618</v>
      </c>
      <c r="AB389">
        <v>7.0143518791783848</v>
      </c>
      <c r="AC389">
        <v>2183.2334683568629</v>
      </c>
      <c r="AD389">
        <v>9.3403844135171319</v>
      </c>
      <c r="AE389">
        <v>2007.2286654140792</v>
      </c>
      <c r="AF389">
        <v>7.0085106294793027</v>
      </c>
      <c r="AG389">
        <v>2063.048131828763</v>
      </c>
      <c r="AH389">
        <v>9.3366170282727765</v>
      </c>
      <c r="AI389">
        <v>1877.6032327150497</v>
      </c>
      <c r="AJ389">
        <v>7.0061239359504306</v>
      </c>
    </row>
    <row r="390" spans="4:36" x14ac:dyDescent="0.55000000000000004">
      <c r="D390">
        <v>383</v>
      </c>
      <c r="E390">
        <v>13.365520704377346</v>
      </c>
      <c r="F390">
        <v>0.53939283953282158</v>
      </c>
      <c r="G390">
        <v>0.21502623733130077</v>
      </c>
      <c r="H390">
        <v>15.880060218758546</v>
      </c>
      <c r="I390">
        <v>13.622380811941444</v>
      </c>
      <c r="J390">
        <v>0.34240464624715283</v>
      </c>
      <c r="K390">
        <v>0.13602865578629547</v>
      </c>
      <c r="L390">
        <v>15.89918588602511</v>
      </c>
      <c r="M390">
        <v>13.501405402894854</v>
      </c>
      <c r="N390">
        <v>0.43522267124911429</v>
      </c>
      <c r="O390">
        <v>0.17318234874963137</v>
      </c>
      <c r="P390">
        <v>15.890189577106399</v>
      </c>
      <c r="Q390">
        <v>13.476258644902291</v>
      </c>
      <c r="R390">
        <v>0.45450732748837086</v>
      </c>
      <c r="S390">
        <v>0.18091703474144685</v>
      </c>
      <c r="T390">
        <v>15.888316992867914</v>
      </c>
      <c r="U390">
        <v>1631.2584121393995</v>
      </c>
      <c r="V390">
        <v>10.613717247905115</v>
      </c>
      <c r="W390">
        <v>1353.5241508472568</v>
      </c>
      <c r="X390">
        <v>7.7778027030811314</v>
      </c>
      <c r="Y390">
        <v>2943.7789550025395</v>
      </c>
      <c r="Z390">
        <v>10.65298767231277</v>
      </c>
      <c r="AA390">
        <v>2765.7619237766639</v>
      </c>
      <c r="AB390">
        <v>7.8017685042213349</v>
      </c>
      <c r="AC390">
        <v>2284.9382933909901</v>
      </c>
      <c r="AD390">
        <v>10.634485331548163</v>
      </c>
      <c r="AE390">
        <v>2064.8709621644189</v>
      </c>
      <c r="AF390">
        <v>7.7904896234845324</v>
      </c>
      <c r="AG390">
        <v>2192.1130430634139</v>
      </c>
      <c r="AH390">
        <v>10.630640835053898</v>
      </c>
      <c r="AI390">
        <v>1955.1754687790333</v>
      </c>
      <c r="AJ390">
        <v>7.7881432341865349</v>
      </c>
    </row>
    <row r="391" spans="4:36" x14ac:dyDescent="0.55000000000000004">
      <c r="D391">
        <v>384</v>
      </c>
      <c r="E391">
        <v>14.215300523036762</v>
      </c>
      <c r="F391">
        <v>0.45509965733146834</v>
      </c>
      <c r="G391">
        <v>0.16306532793095588</v>
      </c>
      <c r="H391">
        <v>15.166534491700817</v>
      </c>
      <c r="I391">
        <v>14.447591954606676</v>
      </c>
      <c r="J391">
        <v>0.30313339521193217</v>
      </c>
      <c r="K391">
        <v>0.10829624377758469</v>
      </c>
      <c r="L391">
        <v>15.140978406403809</v>
      </c>
      <c r="M391">
        <v>14.329326205051649</v>
      </c>
      <c r="N391">
        <v>0.38054660784760619</v>
      </c>
      <c r="O391">
        <v>0.13615533502791513</v>
      </c>
      <c r="P391">
        <v>15.153971852072827</v>
      </c>
      <c r="Q391">
        <v>14.273976954071141</v>
      </c>
      <c r="R391">
        <v>0.41674588248246891</v>
      </c>
      <c r="S391">
        <v>0.14921159819311292</v>
      </c>
      <c r="T391">
        <v>15.160065565253275</v>
      </c>
      <c r="U391">
        <v>1644.1182448718198</v>
      </c>
      <c r="V391">
        <v>11.242883350650848</v>
      </c>
      <c r="W391">
        <v>1367.0946003588592</v>
      </c>
      <c r="X391">
        <v>8.1587570380693251</v>
      </c>
      <c r="Y391">
        <v>2929.3263134824592</v>
      </c>
      <c r="Z391">
        <v>11.300346528108717</v>
      </c>
      <c r="AA391">
        <v>2756.8362126002712</v>
      </c>
      <c r="AB391">
        <v>8.1913054273495316</v>
      </c>
      <c r="AC391">
        <v>2308.1653019872683</v>
      </c>
      <c r="AD391">
        <v>11.271101001256026</v>
      </c>
      <c r="AE391">
        <v>2084.37005621344</v>
      </c>
      <c r="AF391">
        <v>8.1747504455322062</v>
      </c>
      <c r="AG391">
        <v>2188.530271357879</v>
      </c>
      <c r="AH391">
        <v>11.257406406371709</v>
      </c>
      <c r="AI391">
        <v>1953.6052253007213</v>
      </c>
      <c r="AJ391">
        <v>8.166991025186519</v>
      </c>
    </row>
    <row r="392" spans="4:36" x14ac:dyDescent="0.55000000000000004">
      <c r="D392">
        <v>385</v>
      </c>
      <c r="E392">
        <v>14.176624221438425</v>
      </c>
      <c r="F392">
        <v>0.53285315155325752</v>
      </c>
      <c r="G392">
        <v>0.19717426229867882</v>
      </c>
      <c r="H392">
        <v>15.093348364709639</v>
      </c>
      <c r="I392">
        <v>14.425237805831763</v>
      </c>
      <c r="J392">
        <v>0.35584274528186527</v>
      </c>
      <c r="K392">
        <v>0.13125140847165886</v>
      </c>
      <c r="L392">
        <v>15.087668040414705</v>
      </c>
      <c r="M392">
        <v>14.333923435441392</v>
      </c>
      <c r="N392">
        <v>0.42089818092951248</v>
      </c>
      <c r="O392">
        <v>0.15542952773842592</v>
      </c>
      <c r="P392">
        <v>15.089748855890676</v>
      </c>
      <c r="Q392">
        <v>14.292578155667973</v>
      </c>
      <c r="R392">
        <v>0.45033854317056671</v>
      </c>
      <c r="S392">
        <v>0.16639019037963371</v>
      </c>
      <c r="T392">
        <v>15.090693110781821</v>
      </c>
      <c r="U392">
        <v>1689.2072816893287</v>
      </c>
      <c r="V392">
        <v>11.175859769881722</v>
      </c>
      <c r="W392">
        <v>1392.4012559125806</v>
      </c>
      <c r="X392">
        <v>8.1028145061924182</v>
      </c>
      <c r="Y392">
        <v>2975.7791003842694</v>
      </c>
      <c r="Z392">
        <v>11.224242903056842</v>
      </c>
      <c r="AA392">
        <v>2785.4628945314234</v>
      </c>
      <c r="AB392">
        <v>8.1308355931280545</v>
      </c>
      <c r="AC392">
        <v>2325.2765002954288</v>
      </c>
      <c r="AD392">
        <v>11.206475364801406</v>
      </c>
      <c r="AE392">
        <v>2092.3318520232692</v>
      </c>
      <c r="AF392">
        <v>8.1205554389575898</v>
      </c>
      <c r="AG392">
        <v>2196.5161841255749</v>
      </c>
      <c r="AH392">
        <v>11.198429326942003</v>
      </c>
      <c r="AI392">
        <v>1955.295857105124</v>
      </c>
      <c r="AJ392">
        <v>8.115896298429794</v>
      </c>
    </row>
    <row r="393" spans="4:36" x14ac:dyDescent="0.55000000000000004">
      <c r="D393">
        <v>386</v>
      </c>
      <c r="E393">
        <v>13.136031396906626</v>
      </c>
      <c r="F393">
        <v>0.44100289230440359</v>
      </c>
      <c r="G393">
        <v>0.16184873090271734</v>
      </c>
      <c r="H393">
        <v>16.26111697988626</v>
      </c>
      <c r="I393">
        <v>13.392246265632563</v>
      </c>
      <c r="J393">
        <v>0.27200299963411201</v>
      </c>
      <c r="K393">
        <v>9.9464556668650478E-2</v>
      </c>
      <c r="L393">
        <v>16.236286178064688</v>
      </c>
      <c r="M393">
        <v>13.267635633016088</v>
      </c>
      <c r="N393">
        <v>0.3542510730191023</v>
      </c>
      <c r="O393">
        <v>0.12976805220478599</v>
      </c>
      <c r="P393">
        <v>16.248345241760006</v>
      </c>
      <c r="Q393">
        <v>13.226708504000896</v>
      </c>
      <c r="R393">
        <v>0.38124214186734506</v>
      </c>
      <c r="S393">
        <v>0.13973624750102012</v>
      </c>
      <c r="T393">
        <v>16.252313106630719</v>
      </c>
      <c r="U393">
        <v>1581.9941592870559</v>
      </c>
      <c r="V393">
        <v>10.442654683273487</v>
      </c>
      <c r="W393">
        <v>1328.9105529905598</v>
      </c>
      <c r="X393">
        <v>7.6946294282191277</v>
      </c>
      <c r="Y393">
        <v>2907.5122077896954</v>
      </c>
      <c r="Z393">
        <v>10.508889801392007</v>
      </c>
      <c r="AA393">
        <v>2747.1377993459732</v>
      </c>
      <c r="AB393">
        <v>7.7331015369037006</v>
      </c>
      <c r="AC393">
        <v>2257.0880549081362</v>
      </c>
      <c r="AD393">
        <v>10.476685647224361</v>
      </c>
      <c r="AE393">
        <v>2053.9211353725805</v>
      </c>
      <c r="AF393">
        <v>7.7144122887256765</v>
      </c>
      <c r="AG393">
        <v>2172.1296445781104</v>
      </c>
      <c r="AH393">
        <v>10.466104627337705</v>
      </c>
      <c r="AI393">
        <v>1949.6468839188792</v>
      </c>
      <c r="AJ393">
        <v>7.7082650437139053</v>
      </c>
    </row>
    <row r="394" spans="4:36" x14ac:dyDescent="0.55000000000000004">
      <c r="D394">
        <v>387</v>
      </c>
      <c r="E394">
        <v>12.78848690009877</v>
      </c>
      <c r="F394">
        <v>0.47959771626997061</v>
      </c>
      <c r="G394">
        <v>0.14511921135550598</v>
      </c>
      <c r="H394">
        <v>16.586796172275761</v>
      </c>
      <c r="I394">
        <v>13.007464125138545</v>
      </c>
      <c r="J394">
        <v>0.31421108495720079</v>
      </c>
      <c r="K394">
        <v>9.4802742911789667E-2</v>
      </c>
      <c r="L394">
        <v>16.583522046992474</v>
      </c>
      <c r="M394">
        <v>12.916101205837096</v>
      </c>
      <c r="N394">
        <v>0.38324571399031088</v>
      </c>
      <c r="O394">
        <v>0.11576985045919369</v>
      </c>
      <c r="P394">
        <v>16.584883229713405</v>
      </c>
      <c r="Q394">
        <v>12.870385768496407</v>
      </c>
      <c r="R394">
        <v>0.41777204636728155</v>
      </c>
      <c r="S394">
        <v>0.12627525206097023</v>
      </c>
      <c r="T394">
        <v>16.585566933075338</v>
      </c>
      <c r="U394">
        <v>1602.1540634815567</v>
      </c>
      <c r="V394">
        <v>10.145431740884851</v>
      </c>
      <c r="W394">
        <v>1345.4849026206407</v>
      </c>
      <c r="X394">
        <v>7.5086198187530382</v>
      </c>
      <c r="Y394">
        <v>2935.2860570140128</v>
      </c>
      <c r="Z394">
        <v>10.186758876484694</v>
      </c>
      <c r="AA394">
        <v>2767.348295535689</v>
      </c>
      <c r="AB394">
        <v>7.5330143048086162</v>
      </c>
      <c r="AC394">
        <v>2226.8317826339044</v>
      </c>
      <c r="AD394">
        <v>10.16951922568524</v>
      </c>
      <c r="AE394">
        <v>2032.8169296762901</v>
      </c>
      <c r="AF394">
        <v>7.5228474484492027</v>
      </c>
      <c r="AG394">
        <v>2144.135873048539</v>
      </c>
      <c r="AH394">
        <v>10.160891333645926</v>
      </c>
      <c r="AI394">
        <v>1929.9624772650673</v>
      </c>
      <c r="AJ394">
        <v>7.5177542692780195</v>
      </c>
    </row>
    <row r="395" spans="4:36" x14ac:dyDescent="0.55000000000000004">
      <c r="D395">
        <v>388</v>
      </c>
      <c r="E395">
        <v>13.174969754814178</v>
      </c>
      <c r="F395">
        <v>0.49394873630079172</v>
      </c>
      <c r="G395">
        <v>0.18785452957375695</v>
      </c>
      <c r="H395">
        <v>16.143226979311265</v>
      </c>
      <c r="I395">
        <v>13.408819760013253</v>
      </c>
      <c r="J395">
        <v>0.32582478282621979</v>
      </c>
      <c r="K395">
        <v>0.12351281669081189</v>
      </c>
      <c r="L395">
        <v>16.141842640469708</v>
      </c>
      <c r="M395">
        <v>13.30628720778464</v>
      </c>
      <c r="N395">
        <v>0.3995786636633597</v>
      </c>
      <c r="O395">
        <v>0.15168641051075599</v>
      </c>
      <c r="P395">
        <v>16.142447718041257</v>
      </c>
      <c r="Q395">
        <v>13.302077243456178</v>
      </c>
      <c r="R395">
        <v>0.40260567942900499</v>
      </c>
      <c r="S395">
        <v>0.15284445193165566</v>
      </c>
      <c r="T395">
        <v>16.142472625183181</v>
      </c>
      <c r="U395">
        <v>1559.733923250707</v>
      </c>
      <c r="V395">
        <v>10.415488165180841</v>
      </c>
      <c r="W395">
        <v>1308.6760212375011</v>
      </c>
      <c r="X395">
        <v>7.6604550312230666</v>
      </c>
      <c r="Y395">
        <v>2929.4659107777106</v>
      </c>
      <c r="Z395">
        <v>10.460422934245821</v>
      </c>
      <c r="AA395">
        <v>2759.3566043487026</v>
      </c>
      <c r="AB395">
        <v>7.6871229426364307</v>
      </c>
      <c r="AC395">
        <v>2249.481695580665</v>
      </c>
      <c r="AD395">
        <v>10.440721617450796</v>
      </c>
      <c r="AE395">
        <v>2045.0795887024422</v>
      </c>
      <c r="AF395">
        <v>7.6754417901223775</v>
      </c>
      <c r="AG395">
        <v>2149.4304200166021</v>
      </c>
      <c r="AH395">
        <v>10.439912668152319</v>
      </c>
      <c r="AI395">
        <v>1931.5247800056914</v>
      </c>
      <c r="AJ395">
        <v>7.674961782590076</v>
      </c>
    </row>
    <row r="396" spans="4:36" x14ac:dyDescent="0.55000000000000004">
      <c r="D396">
        <v>389</v>
      </c>
      <c r="E396">
        <v>13.891665448424957</v>
      </c>
      <c r="F396">
        <v>0.46073722720814042</v>
      </c>
      <c r="G396">
        <v>0.16597387264220112</v>
      </c>
      <c r="H396">
        <v>15.481623451724694</v>
      </c>
      <c r="I396">
        <v>14.13127705611787</v>
      </c>
      <c r="J396">
        <v>0.3040676160090337</v>
      </c>
      <c r="K396">
        <v>0.10918402308127734</v>
      </c>
      <c r="L396">
        <v>15.455471304791825</v>
      </c>
      <c r="M396">
        <v>14.009433835650714</v>
      </c>
      <c r="N396">
        <v>0.38378125955324977</v>
      </c>
      <c r="O396">
        <v>0.13803231509791303</v>
      </c>
      <c r="P396">
        <v>15.468752589698134</v>
      </c>
      <c r="Q396">
        <v>13.973251544292062</v>
      </c>
      <c r="R396">
        <v>0.4074342967852963</v>
      </c>
      <c r="S396">
        <v>0.14661077036186154</v>
      </c>
      <c r="T396">
        <v>15.472703388560783</v>
      </c>
      <c r="U396">
        <v>1579.2639259221521</v>
      </c>
      <c r="V396">
        <v>10.902870374721633</v>
      </c>
      <c r="W396">
        <v>1324.179207359595</v>
      </c>
      <c r="X396">
        <v>7.9462451619155701</v>
      </c>
      <c r="Y396">
        <v>2934.9761763871288</v>
      </c>
      <c r="Z396">
        <v>10.962609536963226</v>
      </c>
      <c r="AA396">
        <v>2764.0427135336231</v>
      </c>
      <c r="AB396">
        <v>7.9803356478776379</v>
      </c>
      <c r="AC396">
        <v>2265.8367972826359</v>
      </c>
      <c r="AD396">
        <v>10.932242129382987</v>
      </c>
      <c r="AE396">
        <v>2057.2252710401895</v>
      </c>
      <c r="AF396">
        <v>7.963018171531929</v>
      </c>
      <c r="AG396">
        <v>2153.2169360449893</v>
      </c>
      <c r="AH396">
        <v>10.923220264633605</v>
      </c>
      <c r="AI396">
        <v>1932.7177344336296</v>
      </c>
      <c r="AJ396">
        <v>7.9578686078913439</v>
      </c>
    </row>
    <row r="397" spans="4:36" x14ac:dyDescent="0.55000000000000004">
      <c r="D397">
        <v>390</v>
      </c>
      <c r="E397">
        <v>12.921796954886247</v>
      </c>
      <c r="F397">
        <v>0.44752282333480553</v>
      </c>
      <c r="G397">
        <v>0.15653756818343753</v>
      </c>
      <c r="H397">
        <v>16.474142653595504</v>
      </c>
      <c r="I397">
        <v>13.125018643912874</v>
      </c>
      <c r="J397">
        <v>0.30457292211514747</v>
      </c>
      <c r="K397">
        <v>0.10622228203134654</v>
      </c>
      <c r="L397">
        <v>16.464186151940627</v>
      </c>
      <c r="M397">
        <v>13.043935595984648</v>
      </c>
      <c r="N397">
        <v>0.36163858833347057</v>
      </c>
      <c r="O397">
        <v>0.12627210649522311</v>
      </c>
      <c r="P397">
        <v>16.468153709186662</v>
      </c>
      <c r="Q397">
        <v>12.984493997132244</v>
      </c>
      <c r="R397">
        <v>0.40344761784468736</v>
      </c>
      <c r="S397">
        <v>0.14099189648903315</v>
      </c>
      <c r="T397">
        <v>16.471066488534042</v>
      </c>
      <c r="U397">
        <v>1561.5359398818698</v>
      </c>
      <c r="V397">
        <v>10.13713536292528</v>
      </c>
      <c r="W397">
        <v>1316.8680463700741</v>
      </c>
      <c r="X397">
        <v>7.4901759038168549</v>
      </c>
      <c r="Y397">
        <v>2913.8224832703791</v>
      </c>
      <c r="Z397">
        <v>10.180263416353542</v>
      </c>
      <c r="AA397">
        <v>2751.5973385898055</v>
      </c>
      <c r="AB397">
        <v>7.5155609677094732</v>
      </c>
      <c r="AC397">
        <v>2259.0818444979695</v>
      </c>
      <c r="AD397">
        <v>10.163058570253508</v>
      </c>
      <c r="AE397">
        <v>2057.796397983207</v>
      </c>
      <c r="AF397">
        <v>7.5054430740914793</v>
      </c>
      <c r="AG397">
        <v>2165.4329503043068</v>
      </c>
      <c r="AH397">
        <v>10.150443475857056</v>
      </c>
      <c r="AI397">
        <v>1946.195692639747</v>
      </c>
      <c r="AJ397">
        <v>7.4980169079113823</v>
      </c>
    </row>
    <row r="398" spans="4:36" x14ac:dyDescent="0.55000000000000004">
      <c r="D398">
        <v>391</v>
      </c>
      <c r="E398">
        <v>14.022783147017286</v>
      </c>
      <c r="F398">
        <v>0.44896841366485901</v>
      </c>
      <c r="G398">
        <v>0.16803423745505081</v>
      </c>
      <c r="H398">
        <v>15.360214201862815</v>
      </c>
      <c r="I398">
        <v>14.286296693996102</v>
      </c>
      <c r="J398">
        <v>0.29020600994607865</v>
      </c>
      <c r="K398">
        <v>0.10823609376957426</v>
      </c>
      <c r="L398">
        <v>15.315261202288243</v>
      </c>
      <c r="M398">
        <v>14.178000002674576</v>
      </c>
      <c r="N398">
        <v>0.35551191986128761</v>
      </c>
      <c r="O398">
        <v>0.13278228169148448</v>
      </c>
      <c r="P398">
        <v>15.333705795772643</v>
      </c>
      <c r="Q398">
        <v>14.160999550000358</v>
      </c>
      <c r="R398">
        <v>0.36575622059269031</v>
      </c>
      <c r="S398">
        <v>0.13663923265471306</v>
      </c>
      <c r="T398">
        <v>15.336604996752227</v>
      </c>
      <c r="U398">
        <v>1542.4607849614492</v>
      </c>
      <c r="V398">
        <v>11.065765528946132</v>
      </c>
      <c r="W398">
        <v>1299.6569018466191</v>
      </c>
      <c r="X398">
        <v>8.0532099874607823</v>
      </c>
      <c r="Y398">
        <v>2921.7929856088258</v>
      </c>
      <c r="Z398">
        <v>11.142088302395734</v>
      </c>
      <c r="AA398">
        <v>2756.3254532186943</v>
      </c>
      <c r="AB398">
        <v>8.0963696677493466</v>
      </c>
      <c r="AC398">
        <v>2265.6566763633646</v>
      </c>
      <c r="AD398">
        <v>11.110738550547783</v>
      </c>
      <c r="AE398">
        <v>2060.2251662372382</v>
      </c>
      <c r="AF398">
        <v>8.0786568865627437</v>
      </c>
      <c r="AG398">
        <v>2117.2646426874308</v>
      </c>
      <c r="AH398">
        <v>11.10581514031235</v>
      </c>
      <c r="AI398">
        <v>1910.4986962087353</v>
      </c>
      <c r="AJ398">
        <v>8.0758732231420307</v>
      </c>
    </row>
    <row r="399" spans="4:36" x14ac:dyDescent="0.55000000000000004">
      <c r="D399">
        <v>392</v>
      </c>
      <c r="E399">
        <v>12.790777884781591</v>
      </c>
      <c r="F399">
        <v>0.46080950301996632</v>
      </c>
      <c r="G399">
        <v>0.14460746226157586</v>
      </c>
      <c r="H399">
        <v>16.603805149936861</v>
      </c>
      <c r="I399">
        <v>13.01013089151949</v>
      </c>
      <c r="J399">
        <v>0.29827581366352313</v>
      </c>
      <c r="K399">
        <v>9.3320869233598835E-2</v>
      </c>
      <c r="L399">
        <v>16.598272425583382</v>
      </c>
      <c r="M399">
        <v>12.922055632351107</v>
      </c>
      <c r="N399">
        <v>0.36356901000714104</v>
      </c>
      <c r="O399">
        <v>0.1138861205494911</v>
      </c>
      <c r="P399">
        <v>16.600489237092258</v>
      </c>
      <c r="Q399">
        <v>12.87355079513609</v>
      </c>
      <c r="R399">
        <v>0.39950890989231908</v>
      </c>
      <c r="S399">
        <v>0.12522752862059963</v>
      </c>
      <c r="T399">
        <v>16.601712766351</v>
      </c>
      <c r="U399">
        <v>1547.2993816829094</v>
      </c>
      <c r="V399">
        <v>10.17654696128699</v>
      </c>
      <c r="W399">
        <v>1309.1412208208171</v>
      </c>
      <c r="X399">
        <v>7.5335744376746838</v>
      </c>
      <c r="Y399">
        <v>2901.3803326210768</v>
      </c>
      <c r="Z399">
        <v>10.221001398617627</v>
      </c>
      <c r="AA399">
        <v>2745.3893034484931</v>
      </c>
      <c r="AB399">
        <v>7.5598671571047262</v>
      </c>
      <c r="AC399">
        <v>2223.5128129088789</v>
      </c>
      <c r="AD399">
        <v>10.20315456378432</v>
      </c>
      <c r="AE399">
        <v>2034.3048788262602</v>
      </c>
      <c r="AF399">
        <v>7.5493217009001814</v>
      </c>
      <c r="AG399">
        <v>2108.4117279911238</v>
      </c>
      <c r="AH399">
        <v>10.193324441007229</v>
      </c>
      <c r="AI399">
        <v>1907.4561806004044</v>
      </c>
      <c r="AJ399">
        <v>7.5435074406319185</v>
      </c>
    </row>
    <row r="400" spans="4:36" x14ac:dyDescent="0.55000000000000004">
      <c r="D400">
        <v>393</v>
      </c>
      <c r="E400">
        <v>12.072240838892943</v>
      </c>
      <c r="F400">
        <v>0.47466853527986674</v>
      </c>
      <c r="G400">
        <v>0.17369804616006809</v>
      </c>
      <c r="H400">
        <v>17.279392579667121</v>
      </c>
      <c r="I400">
        <v>12.307187532894918</v>
      </c>
      <c r="J400">
        <v>0.29216226465670264</v>
      </c>
      <c r="K400">
        <v>0.10655589319139994</v>
      </c>
      <c r="L400">
        <v>17.294094309256995</v>
      </c>
      <c r="M400">
        <v>12.217950700631622</v>
      </c>
      <c r="N400">
        <v>0.36151463680314005</v>
      </c>
      <c r="O400">
        <v>0.13201635973164327</v>
      </c>
      <c r="P400">
        <v>17.288518302833577</v>
      </c>
      <c r="Q400">
        <v>12.203467405831082</v>
      </c>
      <c r="R400">
        <v>0.37276681785328453</v>
      </c>
      <c r="S400">
        <v>0.13615338525415888</v>
      </c>
      <c r="T400">
        <v>17.287612391061487</v>
      </c>
      <c r="U400">
        <v>1549.8660226793702</v>
      </c>
      <c r="V400">
        <v>9.6021933146457386</v>
      </c>
      <c r="W400">
        <v>1308.9931163464657</v>
      </c>
      <c r="X400">
        <v>7.1802155924027433</v>
      </c>
      <c r="Y400">
        <v>2879.2716446626409</v>
      </c>
      <c r="Z400">
        <v>9.6358920050345791</v>
      </c>
      <c r="AA400">
        <v>2728.805094964046</v>
      </c>
      <c r="AB400">
        <v>7.2011450828015331</v>
      </c>
      <c r="AC400">
        <v>2200.385594714643</v>
      </c>
      <c r="AD400">
        <v>9.6230879516994605</v>
      </c>
      <c r="AE400">
        <v>2016.4287134183057</v>
      </c>
      <c r="AF400">
        <v>7.1932037240559517</v>
      </c>
      <c r="AG400">
        <v>2106.6457192443099</v>
      </c>
      <c r="AH400">
        <v>9.6210103725395335</v>
      </c>
      <c r="AI400">
        <v>1907.5127985445649</v>
      </c>
      <c r="AJ400">
        <v>7.1919139066154916</v>
      </c>
    </row>
    <row r="401" spans="4:36" x14ac:dyDescent="0.55000000000000004">
      <c r="D401">
        <v>394</v>
      </c>
      <c r="E401">
        <v>11.955253951870301</v>
      </c>
      <c r="F401">
        <v>0.45146130030414711</v>
      </c>
      <c r="G401">
        <v>0.17687659480776491</v>
      </c>
      <c r="H401">
        <v>17.416408153017777</v>
      </c>
      <c r="I401">
        <v>12.163328547299564</v>
      </c>
      <c r="J401">
        <v>0.29031282309290951</v>
      </c>
      <c r="K401">
        <v>0.11338136663629826</v>
      </c>
      <c r="L401">
        <v>17.432977262971242</v>
      </c>
      <c r="M401">
        <v>12.110569555112615</v>
      </c>
      <c r="N401">
        <v>0.3311946030527575</v>
      </c>
      <c r="O401">
        <v>0.12945098975279329</v>
      </c>
      <c r="P401">
        <v>17.42878485208184</v>
      </c>
      <c r="Q401">
        <v>12.019096190449483</v>
      </c>
      <c r="R401">
        <v>0.40204111098379852</v>
      </c>
      <c r="S401">
        <v>0.15736079968146771</v>
      </c>
      <c r="T401">
        <v>17.421501898885264</v>
      </c>
      <c r="U401">
        <v>1532.7734394689849</v>
      </c>
      <c r="V401">
        <v>9.5008978880278789</v>
      </c>
      <c r="W401">
        <v>1298.4819383999402</v>
      </c>
      <c r="X401">
        <v>7.1187546488710103</v>
      </c>
      <c r="Y401">
        <v>2891.8144590091092</v>
      </c>
      <c r="Z401">
        <v>9.5299788546612465</v>
      </c>
      <c r="AA401">
        <v>2738.628585791867</v>
      </c>
      <c r="AB401">
        <v>7.1372666762254138</v>
      </c>
      <c r="AC401">
        <v>2204.6675699252969</v>
      </c>
      <c r="AD401">
        <v>9.5225993216748357</v>
      </c>
      <c r="AE401">
        <v>2022.6395361700552</v>
      </c>
      <c r="AF401">
        <v>7.1325769322649295</v>
      </c>
      <c r="AG401">
        <v>2135.8614198825521</v>
      </c>
      <c r="AH401">
        <v>9.5098140574933172</v>
      </c>
      <c r="AI401">
        <v>1927.266305564875</v>
      </c>
      <c r="AJ401">
        <v>7.1244392424887222</v>
      </c>
    </row>
    <row r="402" spans="4:36" x14ac:dyDescent="0.55000000000000004">
      <c r="D402">
        <v>395</v>
      </c>
      <c r="E402">
        <v>13.305403626382631</v>
      </c>
      <c r="F402">
        <v>0.51520280772972238</v>
      </c>
      <c r="G402">
        <v>0.16429863528480398</v>
      </c>
      <c r="H402">
        <v>16.015094930602835</v>
      </c>
      <c r="I402">
        <v>13.557798549237114</v>
      </c>
      <c r="J402">
        <v>0.33291089105119159</v>
      </c>
      <c r="K402">
        <v>0.10581545795244043</v>
      </c>
      <c r="L402">
        <v>16.003475101759243</v>
      </c>
      <c r="M402">
        <v>13.477012158939358</v>
      </c>
      <c r="N402">
        <v>0.39129846894956843</v>
      </c>
      <c r="O402">
        <v>0.12450477663635531</v>
      </c>
      <c r="P402">
        <v>16.007184595474712</v>
      </c>
      <c r="Q402">
        <v>13.410611836149744</v>
      </c>
      <c r="R402">
        <v>0.43926076644988388</v>
      </c>
      <c r="S402">
        <v>0.13988701710864074</v>
      </c>
      <c r="T402">
        <v>16.010240380291734</v>
      </c>
      <c r="U402">
        <v>1624.5124037175697</v>
      </c>
      <c r="V402">
        <v>10.6257934535956</v>
      </c>
      <c r="W402">
        <v>1356.0133609288503</v>
      </c>
      <c r="X402">
        <v>7.8026070290990743</v>
      </c>
      <c r="Y402">
        <v>2929.8556591839724</v>
      </c>
      <c r="Z402">
        <v>10.681464930654254</v>
      </c>
      <c r="AA402">
        <v>2759.7282810889665</v>
      </c>
      <c r="AB402">
        <v>7.8350272271408858</v>
      </c>
      <c r="AC402">
        <v>2267.2635665493826</v>
      </c>
      <c r="AD402">
        <v>10.663651286107484</v>
      </c>
      <c r="AE402">
        <v>2059.5914237207626</v>
      </c>
      <c r="AF402">
        <v>7.8246651544707868</v>
      </c>
      <c r="AG402">
        <v>2175.8957582623311</v>
      </c>
      <c r="AH402">
        <v>10.649005851855554</v>
      </c>
      <c r="AI402">
        <v>1949.0829658785613</v>
      </c>
      <c r="AJ402">
        <v>7.8161378132843184</v>
      </c>
    </row>
    <row r="403" spans="4:36" x14ac:dyDescent="0.55000000000000004">
      <c r="D403">
        <v>396</v>
      </c>
      <c r="E403">
        <v>12.027695327568892</v>
      </c>
      <c r="F403">
        <v>0.36809750559365689</v>
      </c>
      <c r="G403">
        <v>0.13065797685407657</v>
      </c>
      <c r="H403">
        <v>17.473549189983387</v>
      </c>
      <c r="I403">
        <v>12.199505365969628</v>
      </c>
      <c r="J403">
        <v>0.25091382048521166</v>
      </c>
      <c r="K403">
        <v>8.8829291391249052E-2</v>
      </c>
      <c r="L403">
        <v>17.460751522153927</v>
      </c>
      <c r="M403">
        <v>12.077608893484479</v>
      </c>
      <c r="N403">
        <v>0.33407418233095021</v>
      </c>
      <c r="O403">
        <v>0.11849035904249558</v>
      </c>
      <c r="P403">
        <v>17.469826565142068</v>
      </c>
      <c r="Q403">
        <v>12.059455756569275</v>
      </c>
      <c r="R403">
        <v>0.34645011805884951</v>
      </c>
      <c r="S403">
        <v>0.12291412079560422</v>
      </c>
      <c r="T403">
        <v>17.471180004576283</v>
      </c>
      <c r="U403">
        <v>1451.1974303869611</v>
      </c>
      <c r="V403">
        <v>9.4860051802975125</v>
      </c>
      <c r="W403">
        <v>1251.5474179715975</v>
      </c>
      <c r="X403">
        <v>7.1143020603374785</v>
      </c>
      <c r="Y403">
        <v>2844.6925520979225</v>
      </c>
      <c r="Z403">
        <v>9.5255524429115948</v>
      </c>
      <c r="AA403">
        <v>2711.548457965253</v>
      </c>
      <c r="AB403">
        <v>7.1378150849859647</v>
      </c>
      <c r="AC403">
        <v>2164.6910545439137</v>
      </c>
      <c r="AD403">
        <v>9.4974967606480423</v>
      </c>
      <c r="AE403">
        <v>1998.7499340584411</v>
      </c>
      <c r="AF403">
        <v>7.1211410165165825</v>
      </c>
      <c r="AG403">
        <v>2041.6420604539053</v>
      </c>
      <c r="AH403">
        <v>9.4933176061901445</v>
      </c>
      <c r="AI403">
        <v>1867.956007733</v>
      </c>
      <c r="AJ403">
        <v>7.1186545142173259</v>
      </c>
    </row>
    <row r="404" spans="4:36" x14ac:dyDescent="0.55000000000000004">
      <c r="D404">
        <v>397</v>
      </c>
      <c r="E404">
        <v>11.03967968129615</v>
      </c>
      <c r="F404">
        <v>0.37821455563957229</v>
      </c>
      <c r="G404">
        <v>0.15671544529787959</v>
      </c>
      <c r="H404">
        <v>18.425390317766393</v>
      </c>
      <c r="I404">
        <v>11.206379648898462</v>
      </c>
      <c r="J404">
        <v>0.24879278026376087</v>
      </c>
      <c r="K404">
        <v>0.10279515809242369</v>
      </c>
      <c r="L404">
        <v>18.442032412745341</v>
      </c>
      <c r="M404">
        <v>11.120384574325909</v>
      </c>
      <c r="N404">
        <v>0.31557594783281595</v>
      </c>
      <c r="O404">
        <v>0.13057977904811927</v>
      </c>
      <c r="P404">
        <v>18.433459698793154</v>
      </c>
      <c r="Q404">
        <v>11.102227843556777</v>
      </c>
      <c r="R404">
        <v>0.3296712547645721</v>
      </c>
      <c r="S404">
        <v>0.13645458785840764</v>
      </c>
      <c r="T404">
        <v>18.431646313820249</v>
      </c>
      <c r="U404">
        <v>1462.8248256911077</v>
      </c>
      <c r="V404">
        <v>8.7383041765537577</v>
      </c>
      <c r="W404">
        <v>1260.0278095193096</v>
      </c>
      <c r="X404">
        <v>6.6544096677195625</v>
      </c>
      <c r="Y404">
        <v>2852.2595040833521</v>
      </c>
      <c r="Z404">
        <v>8.7607951842882379</v>
      </c>
      <c r="AA404">
        <v>2717.7416933523909</v>
      </c>
      <c r="AB404">
        <v>6.6691952066625104</v>
      </c>
      <c r="AC404">
        <v>2163.1917529759339</v>
      </c>
      <c r="AD404">
        <v>8.7491859644099215</v>
      </c>
      <c r="AE404">
        <v>1998.9961124098593</v>
      </c>
      <c r="AF404">
        <v>6.661571386807049</v>
      </c>
      <c r="AG404">
        <v>2058.1233613508693</v>
      </c>
      <c r="AH404">
        <v>8.7467366892066885</v>
      </c>
      <c r="AI404">
        <v>1881.8809079675527</v>
      </c>
      <c r="AJ404">
        <v>6.659960751404352</v>
      </c>
    </row>
    <row r="405" spans="4:36" x14ac:dyDescent="0.55000000000000004">
      <c r="D405">
        <v>398</v>
      </c>
      <c r="E405">
        <v>12.20443972484677</v>
      </c>
      <c r="F405">
        <v>0.43889519385125936</v>
      </c>
      <c r="G405">
        <v>0.17030297756528751</v>
      </c>
      <c r="H405">
        <v>17.186362103736695</v>
      </c>
      <c r="I405">
        <v>12.412954977545786</v>
      </c>
      <c r="J405">
        <v>0.2867049078959516</v>
      </c>
      <c r="K405">
        <v>0.11089058506199119</v>
      </c>
      <c r="L405">
        <v>17.18944952949629</v>
      </c>
      <c r="M405">
        <v>12.322238437482367</v>
      </c>
      <c r="N405">
        <v>0.35294836661758994</v>
      </c>
      <c r="O405">
        <v>0.13670305156034321</v>
      </c>
      <c r="P405">
        <v>17.188110144339703</v>
      </c>
      <c r="Q405">
        <v>12.316380207933836</v>
      </c>
      <c r="R405">
        <v>0.35722452285248069</v>
      </c>
      <c r="S405">
        <v>0.13837182039928475</v>
      </c>
      <c r="T405">
        <v>17.188023448814409</v>
      </c>
      <c r="U405">
        <v>1496.0698872863213</v>
      </c>
      <c r="V405">
        <v>9.5967648523841671</v>
      </c>
      <c r="W405">
        <v>1273.7827362111543</v>
      </c>
      <c r="X405">
        <v>7.165806476085506</v>
      </c>
      <c r="Y405">
        <v>2892.8344088197014</v>
      </c>
      <c r="Z405">
        <v>9.6330227899960246</v>
      </c>
      <c r="AA405">
        <v>2740.8444461872582</v>
      </c>
      <c r="AB405">
        <v>7.1879301720948314</v>
      </c>
      <c r="AC405">
        <v>2197.70640684506</v>
      </c>
      <c r="AD405">
        <v>9.6172461987937456</v>
      </c>
      <c r="AE405">
        <v>2016.913951431223</v>
      </c>
      <c r="AF405">
        <v>7.178313698463179</v>
      </c>
      <c r="AG405">
        <v>2052.1979909724387</v>
      </c>
      <c r="AH405">
        <v>9.6162275065868048</v>
      </c>
      <c r="AI405">
        <v>1869.6929915185235</v>
      </c>
      <c r="AJ405">
        <v>7.1776922370084906</v>
      </c>
    </row>
    <row r="406" spans="4:36" x14ac:dyDescent="0.55000000000000004">
      <c r="D406">
        <v>399</v>
      </c>
      <c r="E406">
        <v>12.964777151672346</v>
      </c>
      <c r="F406">
        <v>0.50036944137703832</v>
      </c>
      <c r="G406">
        <v>0.18444771540585325</v>
      </c>
      <c r="H406">
        <v>16.350405691544765</v>
      </c>
      <c r="I406">
        <v>13.203631363975932</v>
      </c>
      <c r="J406">
        <v>0.32800551384468662</v>
      </c>
      <c r="K406">
        <v>0.12049825905932171</v>
      </c>
      <c r="L406">
        <v>16.347864863120066</v>
      </c>
      <c r="M406">
        <v>13.115902477874078</v>
      </c>
      <c r="N406">
        <v>0.3913518620680107</v>
      </c>
      <c r="O406">
        <v>0.14394912782104757</v>
      </c>
      <c r="P406">
        <v>16.348796532236847</v>
      </c>
      <c r="Q406">
        <v>13.085654662023352</v>
      </c>
      <c r="R406">
        <v>0.4131825103717684</v>
      </c>
      <c r="S406">
        <v>0.15204465138985263</v>
      </c>
      <c r="T406">
        <v>16.349118176215029</v>
      </c>
      <c r="U406">
        <v>1559.4025393129521</v>
      </c>
      <c r="V406">
        <v>10.313534521012755</v>
      </c>
      <c r="W406">
        <v>1309.1156605050921</v>
      </c>
      <c r="X406">
        <v>7.6088315485393192</v>
      </c>
      <c r="Y406">
        <v>2933.5771512793599</v>
      </c>
      <c r="Z406">
        <v>10.361136797641668</v>
      </c>
      <c r="AA406">
        <v>2763.0232131821926</v>
      </c>
      <c r="AB406">
        <v>7.6370985614601725</v>
      </c>
      <c r="AC406">
        <v>2266.9478359824393</v>
      </c>
      <c r="AD406">
        <v>10.343653978353935</v>
      </c>
      <c r="AE406">
        <v>2059.647717453739</v>
      </c>
      <c r="AF406">
        <v>7.6267286044281581</v>
      </c>
      <c r="AG406">
        <v>2161.4018081197091</v>
      </c>
      <c r="AH406">
        <v>10.337625842160318</v>
      </c>
      <c r="AI406">
        <v>1940.6363014939066</v>
      </c>
      <c r="AJ406">
        <v>7.6231498948537579</v>
      </c>
    </row>
    <row r="407" spans="4:36" x14ac:dyDescent="0.55000000000000004">
      <c r="D407">
        <v>400</v>
      </c>
      <c r="E407">
        <v>13.486053244234631</v>
      </c>
      <c r="F407">
        <v>0.51532039311138789</v>
      </c>
      <c r="G407">
        <v>0.146590954719133</v>
      </c>
      <c r="H407">
        <v>15.852035407934855</v>
      </c>
      <c r="I407">
        <v>13.710568416363076</v>
      </c>
      <c r="J407">
        <v>0.34204666939927919</v>
      </c>
      <c r="K407">
        <v>9.7016629792481393E-2</v>
      </c>
      <c r="L407">
        <v>15.850368284445159</v>
      </c>
      <c r="M407">
        <v>13.615608509231004</v>
      </c>
      <c r="N407">
        <v>0.41536366576846362</v>
      </c>
      <c r="O407">
        <v>0.11795705145542204</v>
      </c>
      <c r="P407">
        <v>15.851070773545123</v>
      </c>
      <c r="Q407">
        <v>13.574239333256699</v>
      </c>
      <c r="R407">
        <v>0.44729045084879576</v>
      </c>
      <c r="S407">
        <v>0.12709220293437054</v>
      </c>
      <c r="T407">
        <v>15.851378012960156</v>
      </c>
      <c r="U407">
        <v>1596.3694284810456</v>
      </c>
      <c r="V407">
        <v>10.712415812180248</v>
      </c>
      <c r="W407">
        <v>1336.5794301348938</v>
      </c>
      <c r="X407">
        <v>7.8460288242614107</v>
      </c>
      <c r="Y407">
        <v>2936.1497871432116</v>
      </c>
      <c r="Z407">
        <v>10.755276172793154</v>
      </c>
      <c r="AA407">
        <v>2764.6847280608599</v>
      </c>
      <c r="AB407">
        <v>7.8711696349890694</v>
      </c>
      <c r="AC407">
        <v>2259.6512963729124</v>
      </c>
      <c r="AD407">
        <v>10.737150299004638</v>
      </c>
      <c r="AE407">
        <v>2053.3916271852436</v>
      </c>
      <c r="AF407">
        <v>7.8605467710100401</v>
      </c>
      <c r="AG407">
        <v>2175.9188292880999</v>
      </c>
      <c r="AH407">
        <v>10.729252801677561</v>
      </c>
      <c r="AI407">
        <v>1949.7515600918241</v>
      </c>
      <c r="AJ407">
        <v>7.8559141017923766</v>
      </c>
    </row>
    <row r="408" spans="4:36" x14ac:dyDescent="0.55000000000000004">
      <c r="D408">
        <v>401</v>
      </c>
      <c r="E408">
        <v>12.581569788693441</v>
      </c>
      <c r="F408">
        <v>0.41636112126582353</v>
      </c>
      <c r="G408">
        <v>0.16315303030882902</v>
      </c>
      <c r="H408">
        <v>16.838916059731908</v>
      </c>
      <c r="I408">
        <v>12.792298870787043</v>
      </c>
      <c r="J408">
        <v>0.27503006538031055</v>
      </c>
      <c r="K408">
        <v>0.10744107235915744</v>
      </c>
      <c r="L408">
        <v>16.825229991473485</v>
      </c>
      <c r="M408">
        <v>12.693555471488226</v>
      </c>
      <c r="N408">
        <v>0.34129196517700483</v>
      </c>
      <c r="O408">
        <v>0.13351787987316399</v>
      </c>
      <c r="P408">
        <v>16.831634683461594</v>
      </c>
      <c r="Q408">
        <v>12.68946453918994</v>
      </c>
      <c r="R408">
        <v>0.34403578825459463</v>
      </c>
      <c r="S408">
        <v>0.13459932774922465</v>
      </c>
      <c r="T408">
        <v>16.83190034480624</v>
      </c>
      <c r="U408">
        <v>1560.4369448741868</v>
      </c>
      <c r="V408">
        <v>9.7563035399725369</v>
      </c>
      <c r="W408">
        <v>1320.6734355194435</v>
      </c>
      <c r="X408">
        <v>7.2471194196418907</v>
      </c>
      <c r="Y408">
        <v>2897.2956620265113</v>
      </c>
      <c r="Z408">
        <v>9.800861408709844</v>
      </c>
      <c r="AA408">
        <v>2742.9986259529987</v>
      </c>
      <c r="AB408">
        <v>7.2733461421665062</v>
      </c>
      <c r="AC408">
        <v>2234.623821790336</v>
      </c>
      <c r="AD408">
        <v>9.7799868297107402</v>
      </c>
      <c r="AE408">
        <v>2042.925126723535</v>
      </c>
      <c r="AF408">
        <v>7.2610693641641015</v>
      </c>
      <c r="AG408">
        <v>2080.1449421994457</v>
      </c>
      <c r="AH408">
        <v>9.7791218328860676</v>
      </c>
      <c r="AI408">
        <v>1889.1103113072002</v>
      </c>
      <c r="AJ408">
        <v>7.2605602635437556</v>
      </c>
    </row>
    <row r="409" spans="4:36" x14ac:dyDescent="0.55000000000000004">
      <c r="D409">
        <v>402</v>
      </c>
      <c r="E409">
        <v>13.039359650306423</v>
      </c>
      <c r="F409">
        <v>0.48455131774132398</v>
      </c>
      <c r="G409">
        <v>0.19146179204328995</v>
      </c>
      <c r="H409">
        <v>16.284627239908982</v>
      </c>
      <c r="I409">
        <v>13.300625466588542</v>
      </c>
      <c r="J409">
        <v>0.30286393287723201</v>
      </c>
      <c r="K409">
        <v>0.11921351653394671</v>
      </c>
      <c r="L409">
        <v>16.277297084000292</v>
      </c>
      <c r="M409">
        <v>13.213782595980783</v>
      </c>
      <c r="N409">
        <v>0.36330249518859703</v>
      </c>
      <c r="O409">
        <v>0.14318464907598819</v>
      </c>
      <c r="P409">
        <v>16.279730259754626</v>
      </c>
      <c r="Q409">
        <v>13.193234060026096</v>
      </c>
      <c r="R409">
        <v>0.37759650325958549</v>
      </c>
      <c r="S409">
        <v>0.14886296444944783</v>
      </c>
      <c r="T409">
        <v>16.280306472264879</v>
      </c>
      <c r="U409">
        <v>1586.8941840752423</v>
      </c>
      <c r="V409">
        <v>10.323490944891606</v>
      </c>
      <c r="W409">
        <v>1329.3055387975535</v>
      </c>
      <c r="X409">
        <v>7.6080304520464122</v>
      </c>
      <c r="Y409">
        <v>2923.2085357381097</v>
      </c>
      <c r="Z409">
        <v>10.376065666459064</v>
      </c>
      <c r="AA409">
        <v>2756.4106275479594</v>
      </c>
      <c r="AB409">
        <v>7.6391769953074933</v>
      </c>
      <c r="AC409">
        <v>2263.4499069847529</v>
      </c>
      <c r="AD409">
        <v>10.358591560744172</v>
      </c>
      <c r="AE409">
        <v>2058.1227726872748</v>
      </c>
      <c r="AF409">
        <v>7.6288381348802572</v>
      </c>
      <c r="AG409">
        <v>2149.5218736553779</v>
      </c>
      <c r="AH409">
        <v>10.354456686804587</v>
      </c>
      <c r="AI409">
        <v>1933.4261143897231</v>
      </c>
      <c r="AJ409">
        <v>7.6263897510419989</v>
      </c>
    </row>
    <row r="410" spans="4:36" x14ac:dyDescent="0.55000000000000004">
      <c r="D410">
        <v>403</v>
      </c>
      <c r="E410">
        <v>12.87766637225802</v>
      </c>
      <c r="F410">
        <v>0.47607434561249562</v>
      </c>
      <c r="G410">
        <v>0.17714326137271691</v>
      </c>
      <c r="H410">
        <v>16.469116020756772</v>
      </c>
      <c r="I410">
        <v>13.128075779856411</v>
      </c>
      <c r="J410">
        <v>0.29636653102249072</v>
      </c>
      <c r="K410">
        <v>0.10986582705507188</v>
      </c>
      <c r="L410">
        <v>16.465691862066038</v>
      </c>
      <c r="M410">
        <v>13.033338429204646</v>
      </c>
      <c r="N410">
        <v>0.36439899639016399</v>
      </c>
      <c r="O410">
        <v>0.13527547866456308</v>
      </c>
      <c r="P410">
        <v>16.466987095740624</v>
      </c>
      <c r="Q410">
        <v>12.970474150378161</v>
      </c>
      <c r="R410">
        <v>0.40951366120263039</v>
      </c>
      <c r="S410">
        <v>0.1521654680026493</v>
      </c>
      <c r="T410">
        <v>16.467846720416581</v>
      </c>
      <c r="U410">
        <v>1552.8440847066936</v>
      </c>
      <c r="V410">
        <v>10.240963582687662</v>
      </c>
      <c r="W410">
        <v>1306.3464428722468</v>
      </c>
      <c r="X410">
        <v>7.5659536712440776</v>
      </c>
      <c r="Y410">
        <v>2930.2132340830481</v>
      </c>
      <c r="Z410">
        <v>10.287584894733611</v>
      </c>
      <c r="AA410">
        <v>2763.2547287487491</v>
      </c>
      <c r="AB410">
        <v>7.5937351744558033</v>
      </c>
      <c r="AC410">
        <v>2269.8208472431979</v>
      </c>
      <c r="AD410">
        <v>10.269946898571908</v>
      </c>
      <c r="AE410">
        <v>2064.1417760648278</v>
      </c>
      <c r="AF410">
        <v>7.5832372154458882</v>
      </c>
      <c r="AG410">
        <v>2170.9135166432707</v>
      </c>
      <c r="AH410">
        <v>10.258242802325547</v>
      </c>
      <c r="AI410">
        <v>1948.198469053892</v>
      </c>
      <c r="AJ410">
        <v>7.5762627119795685</v>
      </c>
    </row>
    <row r="411" spans="4:36" x14ac:dyDescent="0.55000000000000004">
      <c r="D411">
        <v>404</v>
      </c>
      <c r="E411">
        <v>12.896691941335163</v>
      </c>
      <c r="F411">
        <v>0.51437762510976182</v>
      </c>
      <c r="G411">
        <v>0.18233807827204729</v>
      </c>
      <c r="H411">
        <v>16.406592355283017</v>
      </c>
      <c r="I411">
        <v>13.159296851562535</v>
      </c>
      <c r="J411">
        <v>0.32231238642338816</v>
      </c>
      <c r="K411">
        <v>0.11382880486443686</v>
      </c>
      <c r="L411">
        <v>16.404561957149657</v>
      </c>
      <c r="M411">
        <v>13.088493749775061</v>
      </c>
      <c r="N411">
        <v>0.37413536780386453</v>
      </c>
      <c r="O411">
        <v>0.1322629097544577</v>
      </c>
      <c r="P411">
        <v>16.405107972666602</v>
      </c>
      <c r="Q411">
        <v>13.023879351656197</v>
      </c>
      <c r="R411">
        <v>0.42140384317181562</v>
      </c>
      <c r="S411">
        <v>0.14910963420095227</v>
      </c>
      <c r="T411">
        <v>16.405607170971038</v>
      </c>
      <c r="U411">
        <v>1577.9563712332351</v>
      </c>
      <c r="V411">
        <v>10.178564321649819</v>
      </c>
      <c r="W411">
        <v>1325.4029603767153</v>
      </c>
      <c r="X411">
        <v>7.5157588315933852</v>
      </c>
      <c r="Y411">
        <v>2915.8064464613499</v>
      </c>
      <c r="Z411">
        <v>10.229355335228897</v>
      </c>
      <c r="AA411">
        <v>2752.5655883168647</v>
      </c>
      <c r="AB411">
        <v>7.5458427926700304</v>
      </c>
      <c r="AC411">
        <v>2218.9191274214145</v>
      </c>
      <c r="AD411">
        <v>10.21566305763076</v>
      </c>
      <c r="AE411">
        <v>2028.0203384300989</v>
      </c>
      <c r="AF411">
        <v>7.5377441363056112</v>
      </c>
      <c r="AG411">
        <v>2125.4086599202483</v>
      </c>
      <c r="AH411">
        <v>10.2031663584002</v>
      </c>
      <c r="AI411">
        <v>1916.2107112103665</v>
      </c>
      <c r="AJ411">
        <v>7.5303453332122601</v>
      </c>
    </row>
    <row r="412" spans="4:36" x14ac:dyDescent="0.55000000000000004">
      <c r="D412">
        <v>405</v>
      </c>
      <c r="E412">
        <v>13.333189836126305</v>
      </c>
      <c r="F412">
        <v>0.48836402818611463</v>
      </c>
      <c r="G412">
        <v>0.17397688053663882</v>
      </c>
      <c r="H412">
        <v>16.004469255150934</v>
      </c>
      <c r="I412">
        <v>13.5644886429978</v>
      </c>
      <c r="J412">
        <v>0.32189546881315484</v>
      </c>
      <c r="K412">
        <v>0.11431959758923019</v>
      </c>
      <c r="L412">
        <v>15.999296290599817</v>
      </c>
      <c r="M412">
        <v>13.486773739394792</v>
      </c>
      <c r="N412">
        <v>0.3778621958520777</v>
      </c>
      <c r="O412">
        <v>0.1343346448258029</v>
      </c>
      <c r="P412">
        <v>16.00102941992732</v>
      </c>
      <c r="Q412">
        <v>13.441996955120498</v>
      </c>
      <c r="R412">
        <v>0.41009265966580599</v>
      </c>
      <c r="S412">
        <v>0.14588012702144101</v>
      </c>
      <c r="T412">
        <v>16.002030258192267</v>
      </c>
      <c r="U412">
        <v>1582.4324766328516</v>
      </c>
      <c r="V412">
        <v>10.560016387463317</v>
      </c>
      <c r="W412">
        <v>1325.4824329020194</v>
      </c>
      <c r="X412">
        <v>7.7508223639069165</v>
      </c>
      <c r="Y412">
        <v>2949.420821073812</v>
      </c>
      <c r="Z412">
        <v>10.604453464343349</v>
      </c>
      <c r="AA412">
        <v>2774.0860433835492</v>
      </c>
      <c r="AB412">
        <v>7.7768085436448704</v>
      </c>
      <c r="AC412">
        <v>2276.4292188581176</v>
      </c>
      <c r="AD412">
        <v>10.589526166785399</v>
      </c>
      <c r="AE412">
        <v>2066.3045054326949</v>
      </c>
      <c r="AF412">
        <v>7.768088243874204</v>
      </c>
      <c r="AG412">
        <v>2139.1022160030107</v>
      </c>
      <c r="AH412">
        <v>10.580924049082991</v>
      </c>
      <c r="AI412">
        <v>1922.9302702567529</v>
      </c>
      <c r="AJ412">
        <v>7.7630589128597514</v>
      </c>
    </row>
    <row r="413" spans="4:36" x14ac:dyDescent="0.55000000000000004">
      <c r="D413">
        <v>406</v>
      </c>
      <c r="E413">
        <v>13.867378958780199</v>
      </c>
      <c r="F413">
        <v>0.49846010537560315</v>
      </c>
      <c r="G413">
        <v>0.17867228166604204</v>
      </c>
      <c r="H413">
        <v>15.455488654178161</v>
      </c>
      <c r="I413">
        <v>14.122035345441693</v>
      </c>
      <c r="J413">
        <v>0.3243646047309563</v>
      </c>
      <c r="K413">
        <v>0.11587753749447383</v>
      </c>
      <c r="L413">
        <v>15.437722512332853</v>
      </c>
      <c r="M413">
        <v>14.039072798935678</v>
      </c>
      <c r="N413">
        <v>0.38112544661626158</v>
      </c>
      <c r="O413">
        <v>0.13630356768763321</v>
      </c>
      <c r="P413">
        <v>15.443498186760404</v>
      </c>
      <c r="Q413">
        <v>13.992526308790714</v>
      </c>
      <c r="R413">
        <v>0.41295298157958071</v>
      </c>
      <c r="S413">
        <v>0.14777690814795694</v>
      </c>
      <c r="T413">
        <v>15.446743801481738</v>
      </c>
      <c r="U413">
        <v>1630.8034642859025</v>
      </c>
      <c r="V413">
        <v>10.907284447364828</v>
      </c>
      <c r="W413">
        <v>1356.5714482769608</v>
      </c>
      <c r="X413">
        <v>7.9450647029410799</v>
      </c>
      <c r="Y413">
        <v>2962.5764608157151</v>
      </c>
      <c r="Z413">
        <v>10.95921748468678</v>
      </c>
      <c r="AA413">
        <v>2780.9933459067229</v>
      </c>
      <c r="AB413">
        <v>7.9747507749523017</v>
      </c>
      <c r="AC413">
        <v>2279.9625873067876</v>
      </c>
      <c r="AD413">
        <v>10.942306586695731</v>
      </c>
      <c r="AE413">
        <v>2065.5814491606757</v>
      </c>
      <c r="AF413">
        <v>7.9650938009583765</v>
      </c>
      <c r="AG413">
        <v>2197.5249462825741</v>
      </c>
      <c r="AH413">
        <v>10.932815298992484</v>
      </c>
      <c r="AI413">
        <v>1962.4327742073071</v>
      </c>
      <c r="AJ413">
        <v>7.9596697265507999</v>
      </c>
    </row>
    <row r="414" spans="4:36" x14ac:dyDescent="0.55000000000000004">
      <c r="D414">
        <v>407</v>
      </c>
      <c r="E414">
        <v>12.334215286872043</v>
      </c>
      <c r="F414">
        <v>0.40599515278992715</v>
      </c>
      <c r="G414">
        <v>0.17081180074974409</v>
      </c>
      <c r="H414">
        <v>17.088977759588278</v>
      </c>
      <c r="I414">
        <v>12.531882431780586</v>
      </c>
      <c r="J414">
        <v>0.26884357017119309</v>
      </c>
      <c r="K414">
        <v>0.11275934528768576</v>
      </c>
      <c r="L414">
        <v>17.086514652760528</v>
      </c>
      <c r="M414">
        <v>12.442890423480343</v>
      </c>
      <c r="N414">
        <v>0.3306219236041954</v>
      </c>
      <c r="O414">
        <v>0.13886330224863602</v>
      </c>
      <c r="P414">
        <v>17.087624350666815</v>
      </c>
      <c r="Q414">
        <v>12.405814871060356</v>
      </c>
      <c r="R414">
        <v>0.35634480181867589</v>
      </c>
      <c r="S414">
        <v>0.1497540320712489</v>
      </c>
      <c r="T414">
        <v>17.088086295049703</v>
      </c>
      <c r="U414">
        <v>1504.4657798904575</v>
      </c>
      <c r="V414">
        <v>9.723133827273239</v>
      </c>
      <c r="W414">
        <v>1282.6081683618847</v>
      </c>
      <c r="X414">
        <v>7.2488744400710869</v>
      </c>
      <c r="Y414">
        <v>2883.5161128328186</v>
      </c>
      <c r="Z414">
        <v>9.7598280656079837</v>
      </c>
      <c r="AA414">
        <v>2735.2116289146493</v>
      </c>
      <c r="AB414">
        <v>7.2709051200677228</v>
      </c>
      <c r="AC414">
        <v>2176.2614692514417</v>
      </c>
      <c r="AD414">
        <v>9.7433082042784225</v>
      </c>
      <c r="AE414">
        <v>2002.5499443746201</v>
      </c>
      <c r="AF414">
        <v>7.2609956421446418</v>
      </c>
      <c r="AG414">
        <v>2097.4548323931708</v>
      </c>
      <c r="AH414">
        <v>9.7364256075880071</v>
      </c>
      <c r="AI414">
        <v>1903.6564713026357</v>
      </c>
      <c r="AJ414">
        <v>7.2568628602395702</v>
      </c>
    </row>
    <row r="415" spans="4:36" x14ac:dyDescent="0.55000000000000004">
      <c r="D415">
        <v>408</v>
      </c>
      <c r="E415">
        <v>13.510176752423048</v>
      </c>
      <c r="F415">
        <v>0.47088188980838991</v>
      </c>
      <c r="G415">
        <v>0.17205752290948959</v>
      </c>
      <c r="H415">
        <v>15.846883834859064</v>
      </c>
      <c r="I415">
        <v>13.737211545949505</v>
      </c>
      <c r="J415">
        <v>0.31339978589888068</v>
      </c>
      <c r="K415">
        <v>0.11416337329617995</v>
      </c>
      <c r="L415">
        <v>15.835225294855448</v>
      </c>
      <c r="M415">
        <v>13.670988064754287</v>
      </c>
      <c r="N415">
        <v>0.35936795741431049</v>
      </c>
      <c r="O415">
        <v>0.13102510074508195</v>
      </c>
      <c r="P415">
        <v>15.838618877086311</v>
      </c>
      <c r="Q415">
        <v>13.583054517642989</v>
      </c>
      <c r="R415">
        <v>0.42036472212502785</v>
      </c>
      <c r="S415">
        <v>0.15344679197601752</v>
      </c>
      <c r="T415">
        <v>15.843133968255961</v>
      </c>
      <c r="U415">
        <v>1603.8640233122928</v>
      </c>
      <c r="V415">
        <v>10.625097123423064</v>
      </c>
      <c r="W415">
        <v>1343.0334023892533</v>
      </c>
      <c r="X415">
        <v>7.7807966953699683</v>
      </c>
      <c r="Y415">
        <v>2923.2739580884536</v>
      </c>
      <c r="Z415">
        <v>10.670346322196316</v>
      </c>
      <c r="AA415">
        <v>2755.7586493215845</v>
      </c>
      <c r="AB415">
        <v>7.8069138443966892</v>
      </c>
      <c r="AC415">
        <v>2231.5162707140007</v>
      </c>
      <c r="AD415">
        <v>10.657152633902664</v>
      </c>
      <c r="AE415">
        <v>2034.8944151193894</v>
      </c>
      <c r="AF415">
        <v>7.7993062901314554</v>
      </c>
      <c r="AG415">
        <v>2144.3057996436651</v>
      </c>
      <c r="AH415">
        <v>10.639627318399258</v>
      </c>
      <c r="AI415">
        <v>1926.4232492683154</v>
      </c>
      <c r="AJ415">
        <v>7.7891913964776496</v>
      </c>
    </row>
    <row r="416" spans="4:36" x14ac:dyDescent="0.55000000000000004">
      <c r="D416">
        <v>409</v>
      </c>
      <c r="E416">
        <v>11.851627511722358</v>
      </c>
      <c r="F416">
        <v>0.42025867240637227</v>
      </c>
      <c r="G416">
        <v>0.16317041723621739</v>
      </c>
      <c r="H416">
        <v>17.564943398635045</v>
      </c>
      <c r="I416">
        <v>12.06518781912947</v>
      </c>
      <c r="J416">
        <v>0.26264148224452899</v>
      </c>
      <c r="K416">
        <v>0.10162702138097995</v>
      </c>
      <c r="L416">
        <v>17.570543677245034</v>
      </c>
      <c r="M416">
        <v>11.938761940936786</v>
      </c>
      <c r="N416">
        <v>0.35598190850748934</v>
      </c>
      <c r="O416">
        <v>0.13802147604014814</v>
      </c>
      <c r="P416">
        <v>17.567234674515586</v>
      </c>
      <c r="Q416">
        <v>11.927849963161815</v>
      </c>
      <c r="R416">
        <v>0.36403384437178232</v>
      </c>
      <c r="S416">
        <v>0.14116797812609169</v>
      </c>
      <c r="T416">
        <v>17.5669482143403</v>
      </c>
      <c r="U416">
        <v>1533.4879994226924</v>
      </c>
      <c r="V416">
        <v>9.4138026988332761</v>
      </c>
      <c r="W416">
        <v>1304.0800449885905</v>
      </c>
      <c r="X416">
        <v>7.0703009308681901</v>
      </c>
      <c r="Y416">
        <v>2881.085438812765</v>
      </c>
      <c r="Z416">
        <v>9.4508880948042915</v>
      </c>
      <c r="AA416">
        <v>2734.4534241736001</v>
      </c>
      <c r="AB416">
        <v>7.0932886776969086</v>
      </c>
      <c r="AC416">
        <v>2210.4492945913698</v>
      </c>
      <c r="AD416">
        <v>9.4289295207284933</v>
      </c>
      <c r="AE416">
        <v>2026.6041725475766</v>
      </c>
      <c r="AF416">
        <v>7.0796889239661027</v>
      </c>
      <c r="AG416">
        <v>2100.7080240212099</v>
      </c>
      <c r="AH416">
        <v>9.4270348362530143</v>
      </c>
      <c r="AI416">
        <v>1906.0780598677366</v>
      </c>
      <c r="AJ416">
        <v>7.0785139198844957</v>
      </c>
    </row>
    <row r="417" spans="4:36" x14ac:dyDescent="0.55000000000000004">
      <c r="D417">
        <v>410</v>
      </c>
      <c r="E417">
        <v>11.724130548094616</v>
      </c>
      <c r="F417">
        <v>0.43344524070658508</v>
      </c>
      <c r="G417">
        <v>0.15909556639831124</v>
      </c>
      <c r="H417">
        <v>17.68332864480049</v>
      </c>
      <c r="I417">
        <v>11.93240487233161</v>
      </c>
      <c r="J417">
        <v>0.27352561272821502</v>
      </c>
      <c r="K417">
        <v>0.10006777657250641</v>
      </c>
      <c r="L417">
        <v>17.694001738367664</v>
      </c>
      <c r="M417">
        <v>11.859831174144196</v>
      </c>
      <c r="N417">
        <v>0.32927647813362404</v>
      </c>
      <c r="O417">
        <v>0.12060132765418329</v>
      </c>
      <c r="P417">
        <v>17.690291020067995</v>
      </c>
      <c r="Q417">
        <v>11.819019754987607</v>
      </c>
      <c r="R417">
        <v>0.36061527273211952</v>
      </c>
      <c r="S417">
        <v>0.13216456008495095</v>
      </c>
      <c r="T417">
        <v>17.688200412195339</v>
      </c>
      <c r="U417">
        <v>1482.068108451178</v>
      </c>
      <c r="V417">
        <v>9.2163972852717571</v>
      </c>
      <c r="W417">
        <v>1267.6398895384361</v>
      </c>
      <c r="X417">
        <v>6.9345795512464941</v>
      </c>
      <c r="Y417">
        <v>2863.0696578287125</v>
      </c>
      <c r="Z417">
        <v>9.2473303860788931</v>
      </c>
      <c r="AA417">
        <v>2722.2150452630995</v>
      </c>
      <c r="AB417">
        <v>6.9539121144718621</v>
      </c>
      <c r="AC417">
        <v>2165.052295113363</v>
      </c>
      <c r="AD417">
        <v>9.2365474493633304</v>
      </c>
      <c r="AE417">
        <v>1997.4171554581176</v>
      </c>
      <c r="AF417">
        <v>6.9471822119994942</v>
      </c>
      <c r="AG417">
        <v>2052.6271237013643</v>
      </c>
      <c r="AH417">
        <v>9.2304856997835163</v>
      </c>
      <c r="AI417">
        <v>1873.0489657262501</v>
      </c>
      <c r="AJ417">
        <v>6.9433946131124209</v>
      </c>
    </row>
    <row r="418" spans="4:36" x14ac:dyDescent="0.55000000000000004">
      <c r="D418">
        <v>411</v>
      </c>
      <c r="E418">
        <v>13.170591614803548</v>
      </c>
      <c r="F418">
        <v>0.46790314721233922</v>
      </c>
      <c r="G418">
        <v>0.18398999544403669</v>
      </c>
      <c r="H418">
        <v>16.177515242540071</v>
      </c>
      <c r="I418">
        <v>13.403400555127533</v>
      </c>
      <c r="J418">
        <v>0.30239031476609618</v>
      </c>
      <c r="K418">
        <v>0.11851417153328368</v>
      </c>
      <c r="L418">
        <v>16.175694958573107</v>
      </c>
      <c r="M418">
        <v>13.29098349503119</v>
      </c>
      <c r="N418">
        <v>0.38235213840509408</v>
      </c>
      <c r="O418">
        <v>0.15009167390481526</v>
      </c>
      <c r="P418">
        <v>16.176572692658912</v>
      </c>
      <c r="Q418">
        <v>13.227947235534641</v>
      </c>
      <c r="R418">
        <v>0.42715679435561549</v>
      </c>
      <c r="S418">
        <v>0.16783009663287182</v>
      </c>
      <c r="T418">
        <v>16.177065873476877</v>
      </c>
      <c r="U418">
        <v>1556.0246829025159</v>
      </c>
      <c r="V418">
        <v>10.404359050858481</v>
      </c>
      <c r="W418">
        <v>1308.2370361726689</v>
      </c>
      <c r="X418">
        <v>7.6545239752794076</v>
      </c>
      <c r="Y418">
        <v>2932.0668305809186</v>
      </c>
      <c r="Z418">
        <v>10.446683273730491</v>
      </c>
      <c r="AA418">
        <v>2763.3249194794889</v>
      </c>
      <c r="AB418">
        <v>7.6795099499325401</v>
      </c>
      <c r="AC418">
        <v>2263.9642096143275</v>
      </c>
      <c r="AD418">
        <v>10.426247692231158</v>
      </c>
      <c r="AE418">
        <v>2057.3771888987358</v>
      </c>
      <c r="AF418">
        <v>7.6674562417522445</v>
      </c>
      <c r="AG418">
        <v>2174.7161894608953</v>
      </c>
      <c r="AH418">
        <v>10.414787405708248</v>
      </c>
      <c r="AI418">
        <v>1948.5770706913715</v>
      </c>
      <c r="AJ418">
        <v>7.6606880582930046</v>
      </c>
    </row>
    <row r="419" spans="4:36" x14ac:dyDescent="0.55000000000000004">
      <c r="D419">
        <v>412</v>
      </c>
      <c r="E419">
        <v>11.63894314049266</v>
      </c>
      <c r="F419">
        <v>0.48186805666290661</v>
      </c>
      <c r="G419">
        <v>0.17122094342236571</v>
      </c>
      <c r="H419">
        <v>17.707967859422048</v>
      </c>
      <c r="I419">
        <v>11.858066080183768</v>
      </c>
      <c r="J419">
        <v>0.29384597004220209</v>
      </c>
      <c r="K419">
        <v>0.10406144933640803</v>
      </c>
      <c r="L419">
        <v>17.74402650043762</v>
      </c>
      <c r="M419">
        <v>11.754597587391395</v>
      </c>
      <c r="N419">
        <v>0.38265008815578194</v>
      </c>
      <c r="O419">
        <v>0.13572440418642356</v>
      </c>
      <c r="P419">
        <v>17.727027920266391</v>
      </c>
      <c r="Q419">
        <v>11.730220310262744</v>
      </c>
      <c r="R419">
        <v>0.40356690858087013</v>
      </c>
      <c r="S419">
        <v>0.14319702983082519</v>
      </c>
      <c r="T419">
        <v>17.723015751325562</v>
      </c>
      <c r="U419">
        <v>1524.3353584665531</v>
      </c>
      <c r="V419">
        <v>9.2484437164919129</v>
      </c>
      <c r="W419">
        <v>1292.1607820152792</v>
      </c>
      <c r="X419">
        <v>6.9615081046936096</v>
      </c>
      <c r="Y419">
        <v>2880.2982518073891</v>
      </c>
      <c r="Z419">
        <v>9.2706369937383872</v>
      </c>
      <c r="AA419">
        <v>2731.4804380379114</v>
      </c>
      <c r="AB419">
        <v>6.9767894118041172</v>
      </c>
      <c r="AC419">
        <v>2215.2810858468647</v>
      </c>
      <c r="AD419">
        <v>9.2601411525484494</v>
      </c>
      <c r="AE419">
        <v>2028.2731030619611</v>
      </c>
      <c r="AF419">
        <v>6.9695752173756444</v>
      </c>
      <c r="AG419">
        <v>2090.9757914203469</v>
      </c>
      <c r="AH419">
        <v>9.2576725546846301</v>
      </c>
      <c r="AI419">
        <v>1895.6132568903995</v>
      </c>
      <c r="AJ419">
        <v>6.967875146715043</v>
      </c>
    </row>
    <row r="420" spans="4:36" x14ac:dyDescent="0.55000000000000004">
      <c r="D420">
        <v>413</v>
      </c>
      <c r="E420">
        <v>11.845776510087148</v>
      </c>
      <c r="F420">
        <v>0.39844566366370388</v>
      </c>
      <c r="G420">
        <v>0.16164076767915303</v>
      </c>
      <c r="H420">
        <v>17.594137058569991</v>
      </c>
      <c r="I420">
        <v>12.053923332361983</v>
      </c>
      <c r="J420">
        <v>0.25328641553560538</v>
      </c>
      <c r="K420">
        <v>0.10242626970344879</v>
      </c>
      <c r="L420">
        <v>17.590363982398951</v>
      </c>
      <c r="M420">
        <v>11.986577719042241</v>
      </c>
      <c r="N420">
        <v>0.30028341584746404</v>
      </c>
      <c r="O420">
        <v>0.12155587547263647</v>
      </c>
      <c r="P420">
        <v>17.591582989637676</v>
      </c>
      <c r="Q420">
        <v>11.925989528671634</v>
      </c>
      <c r="R420">
        <v>0.34253955403972891</v>
      </c>
      <c r="S420">
        <v>0.13878979524249696</v>
      </c>
      <c r="T420">
        <v>17.59268112204612</v>
      </c>
      <c r="U420">
        <v>1483.5823741083245</v>
      </c>
      <c r="V420">
        <v>9.3606727845204265</v>
      </c>
      <c r="W420">
        <v>1270.5385192450292</v>
      </c>
      <c r="X420">
        <v>7.0339703865471757</v>
      </c>
      <c r="Y420">
        <v>2867.183489144692</v>
      </c>
      <c r="Z420">
        <v>9.3996571348149409</v>
      </c>
      <c r="AA420">
        <v>2726.2248811155368</v>
      </c>
      <c r="AB420">
        <v>7.0573970097313499</v>
      </c>
      <c r="AC420">
        <v>2174.3106302222768</v>
      </c>
      <c r="AD420">
        <v>9.3870456225321828</v>
      </c>
      <c r="AE420">
        <v>2005.8959003339937</v>
      </c>
      <c r="AF420">
        <v>7.0498273328572978</v>
      </c>
      <c r="AG420">
        <v>2065.4492056932895</v>
      </c>
      <c r="AH420">
        <v>9.3756980594330006</v>
      </c>
      <c r="AI420">
        <v>1883.2827639228069</v>
      </c>
      <c r="AJ420">
        <v>7.043009071724911</v>
      </c>
    </row>
    <row r="421" spans="4:36" x14ac:dyDescent="0.55000000000000004">
      <c r="D421">
        <v>414</v>
      </c>
      <c r="E421">
        <v>12.498758306544488</v>
      </c>
      <c r="F421">
        <v>0.46367315176795387</v>
      </c>
      <c r="G421">
        <v>0.15309321404824444</v>
      </c>
      <c r="H421">
        <v>16.884475327639301</v>
      </c>
      <c r="I421">
        <v>12.711314514361051</v>
      </c>
      <c r="J421">
        <v>0.30295123731657209</v>
      </c>
      <c r="K421">
        <v>9.9719485628707E-2</v>
      </c>
      <c r="L421">
        <v>16.886014762693673</v>
      </c>
      <c r="M421">
        <v>12.640768206594368</v>
      </c>
      <c r="N421">
        <v>0.3563210051110422</v>
      </c>
      <c r="O421">
        <v>0.1174060024724974</v>
      </c>
      <c r="P421">
        <v>16.885504785822096</v>
      </c>
      <c r="Q421">
        <v>12.590381423922222</v>
      </c>
      <c r="R421">
        <v>0.39442330377492441</v>
      </c>
      <c r="S421">
        <v>0.13005530879209906</v>
      </c>
      <c r="T421">
        <v>16.88513996351076</v>
      </c>
      <c r="U421">
        <v>1490.2271287956678</v>
      </c>
      <c r="V421">
        <v>9.845957583554652</v>
      </c>
      <c r="W421">
        <v>1267.5557545412876</v>
      </c>
      <c r="X421">
        <v>7.3186633555876632</v>
      </c>
      <c r="Y421">
        <v>2899.6374151733917</v>
      </c>
      <c r="Z421">
        <v>9.884155697043429</v>
      </c>
      <c r="AA421">
        <v>2744.6245193780633</v>
      </c>
      <c r="AB421">
        <v>7.3417036071441544</v>
      </c>
      <c r="AC421">
        <v>2221.1302319019019</v>
      </c>
      <c r="AD421">
        <v>9.8714772194852003</v>
      </c>
      <c r="AE421">
        <v>2034.13883711209</v>
      </c>
      <c r="AF421">
        <v>7.3340651051207351</v>
      </c>
      <c r="AG421">
        <v>2099.8265464012015</v>
      </c>
      <c r="AH421">
        <v>9.8624222187524087</v>
      </c>
      <c r="AI421">
        <v>1902.5094852118477</v>
      </c>
      <c r="AJ421">
        <v>7.3286042940072473</v>
      </c>
    </row>
    <row r="422" spans="4:36" x14ac:dyDescent="0.55000000000000004">
      <c r="D422">
        <v>415</v>
      </c>
      <c r="E422">
        <v>11.845622796375025</v>
      </c>
      <c r="F422">
        <v>0.38371051711287946</v>
      </c>
      <c r="G422">
        <v>0.16158342611373916</v>
      </c>
      <c r="H422">
        <v>17.609083260398346</v>
      </c>
      <c r="I422">
        <v>12.0653533677682</v>
      </c>
      <c r="J422">
        <v>0.23741741937409225</v>
      </c>
      <c r="K422">
        <v>9.9613034920155469E-2</v>
      </c>
      <c r="L422">
        <v>17.597616177937546</v>
      </c>
      <c r="M422">
        <v>11.992742989238113</v>
      </c>
      <c r="N422">
        <v>0.28579747097825048</v>
      </c>
      <c r="O422">
        <v>0.12005620048988251</v>
      </c>
      <c r="P422">
        <v>17.601403339293764</v>
      </c>
      <c r="Q422">
        <v>11.936911462553033</v>
      </c>
      <c r="R422">
        <v>0.32297292388186272</v>
      </c>
      <c r="S422">
        <v>0.13579880448954301</v>
      </c>
      <c r="T422">
        <v>17.604316809075549</v>
      </c>
      <c r="U422">
        <v>1494.9820300993538</v>
      </c>
      <c r="V422">
        <v>9.275262853158841</v>
      </c>
      <c r="W422">
        <v>1280.3798059598812</v>
      </c>
      <c r="X422">
        <v>6.9711494937136411</v>
      </c>
      <c r="Y422">
        <v>2861.6523778180758</v>
      </c>
      <c r="Z422">
        <v>9.3206031433025611</v>
      </c>
      <c r="AA422">
        <v>2723.3464769604061</v>
      </c>
      <c r="AB422">
        <v>6.9984148143816398</v>
      </c>
      <c r="AC422">
        <v>2181.0774486943214</v>
      </c>
      <c r="AD422">
        <v>9.3056219096345121</v>
      </c>
      <c r="AE422">
        <v>2012.1807706294687</v>
      </c>
      <c r="AF422">
        <v>6.9894171184840017</v>
      </c>
      <c r="AG422">
        <v>2054.553601894389</v>
      </c>
      <c r="AH422">
        <v>9.2941015091384251</v>
      </c>
      <c r="AI422">
        <v>1876.6461241636293</v>
      </c>
      <c r="AJ422">
        <v>6.9824904746543508</v>
      </c>
    </row>
    <row r="423" spans="4:36" x14ac:dyDescent="0.55000000000000004">
      <c r="D423">
        <v>416</v>
      </c>
      <c r="E423">
        <v>10.879137659035216</v>
      </c>
      <c r="F423">
        <v>0.39290317928150897</v>
      </c>
      <c r="G423">
        <v>0.14627321911524405</v>
      </c>
      <c r="H423">
        <v>18.581685942568015</v>
      </c>
      <c r="I423">
        <v>11.013850325074355</v>
      </c>
      <c r="J423">
        <v>0.27783178313926304</v>
      </c>
      <c r="K423">
        <v>0.10320106490727056</v>
      </c>
      <c r="L423">
        <v>18.605116826879115</v>
      </c>
      <c r="M423">
        <v>10.957162753797446</v>
      </c>
      <c r="N423">
        <v>0.32626258865408464</v>
      </c>
      <c r="O423">
        <v>0.12130522511667914</v>
      </c>
      <c r="P423">
        <v>18.595269432431788</v>
      </c>
      <c r="Q423">
        <v>10.920599429073924</v>
      </c>
      <c r="R423">
        <v>0.35749389597543835</v>
      </c>
      <c r="S423">
        <v>0.13299832958765637</v>
      </c>
      <c r="T423">
        <v>18.588908345362988</v>
      </c>
      <c r="U423">
        <v>1436.3016017618231</v>
      </c>
      <c r="V423">
        <v>8.5537950493252648</v>
      </c>
      <c r="W423">
        <v>1242.5206940337216</v>
      </c>
      <c r="X423">
        <v>6.5291184084583929</v>
      </c>
      <c r="Y423">
        <v>2845.7946495003175</v>
      </c>
      <c r="Z423">
        <v>8.5641075809462386</v>
      </c>
      <c r="AA423">
        <v>2713.0201964027142</v>
      </c>
      <c r="AB423">
        <v>6.5366998864700374</v>
      </c>
      <c r="AC423">
        <v>2129.4729383506397</v>
      </c>
      <c r="AD423">
        <v>8.559761121361916</v>
      </c>
      <c r="AE423">
        <v>1975.6058250942638</v>
      </c>
      <c r="AF423">
        <v>6.5335095751895764</v>
      </c>
      <c r="AG423">
        <v>2037.3419897777455</v>
      </c>
      <c r="AH423">
        <v>8.5569629834790124</v>
      </c>
      <c r="AI423">
        <v>1867.1434043803847</v>
      </c>
      <c r="AJ423">
        <v>6.5314518324394015</v>
      </c>
    </row>
    <row r="424" spans="4:36" x14ac:dyDescent="0.55000000000000004">
      <c r="D424">
        <v>417</v>
      </c>
      <c r="E424">
        <v>12.544062667702248</v>
      </c>
      <c r="F424">
        <v>0.44087791002558691</v>
      </c>
      <c r="G424">
        <v>0.18680588538336465</v>
      </c>
      <c r="H424">
        <v>16.828253536888802</v>
      </c>
      <c r="I424">
        <v>12.756029853982065</v>
      </c>
      <c r="J424">
        <v>0.28962425554144472</v>
      </c>
      <c r="K424">
        <v>0.12231782623300651</v>
      </c>
      <c r="L424">
        <v>16.832028064243492</v>
      </c>
      <c r="M424">
        <v>12.669326834188631</v>
      </c>
      <c r="N424">
        <v>0.35152605099153317</v>
      </c>
      <c r="O424">
        <v>0.14865848534891232</v>
      </c>
      <c r="P424">
        <v>16.830488629470917</v>
      </c>
      <c r="Q424">
        <v>12.647063998010632</v>
      </c>
      <c r="R424">
        <v>0.36741329781101156</v>
      </c>
      <c r="S424">
        <v>0.15543035697641053</v>
      </c>
      <c r="T424">
        <v>16.830092347201948</v>
      </c>
      <c r="U424">
        <v>1552.3246008037543</v>
      </c>
      <c r="V424">
        <v>9.949937786949036</v>
      </c>
      <c r="W424">
        <v>1310.8298670429144</v>
      </c>
      <c r="X424">
        <v>7.389531706413579</v>
      </c>
      <c r="Y424">
        <v>2906.2066978263106</v>
      </c>
      <c r="Z424">
        <v>9.9871330145200172</v>
      </c>
      <c r="AA424">
        <v>2747.3118250681791</v>
      </c>
      <c r="AB424">
        <v>7.41212991852841</v>
      </c>
      <c r="AC424">
        <v>2254.9331307418515</v>
      </c>
      <c r="AD424">
        <v>9.9719161522554955</v>
      </c>
      <c r="AE424">
        <v>2055.8425155468008</v>
      </c>
      <c r="AF424">
        <v>7.4028946850878166</v>
      </c>
      <c r="AG424">
        <v>2130.734780133801</v>
      </c>
      <c r="AH424">
        <v>9.968009463789377</v>
      </c>
      <c r="AI424">
        <v>1923.5268359392385</v>
      </c>
      <c r="AJ424">
        <v>7.4005214905171242</v>
      </c>
    </row>
    <row r="425" spans="4:36" x14ac:dyDescent="0.55000000000000004">
      <c r="D425">
        <v>418</v>
      </c>
      <c r="E425">
        <v>11.438142176774981</v>
      </c>
      <c r="F425">
        <v>0.44185085885203024</v>
      </c>
      <c r="G425">
        <v>0.16299553921398111</v>
      </c>
      <c r="H425">
        <v>17.957011425159003</v>
      </c>
      <c r="I425">
        <v>11.649758012616036</v>
      </c>
      <c r="J425">
        <v>0.27296247460849044</v>
      </c>
      <c r="K425">
        <v>0.10036449527194215</v>
      </c>
      <c r="L425">
        <v>17.976915017503519</v>
      </c>
      <c r="M425">
        <v>11.549732812541635</v>
      </c>
      <c r="N425">
        <v>0.35281871141013066</v>
      </c>
      <c r="O425">
        <v>0.12992679497907056</v>
      </c>
      <c r="P425">
        <v>17.967521681069176</v>
      </c>
      <c r="Q425">
        <v>11.534932733809205</v>
      </c>
      <c r="R425">
        <v>0.3646303983000132</v>
      </c>
      <c r="S425">
        <v>0.13430726639069446</v>
      </c>
      <c r="T425">
        <v>17.966129601500086</v>
      </c>
      <c r="U425">
        <v>1494.6740234897941</v>
      </c>
      <c r="V425">
        <v>9.0963970589099272</v>
      </c>
      <c r="W425">
        <v>1278.0606876220616</v>
      </c>
      <c r="X425">
        <v>6.8742286221600342</v>
      </c>
      <c r="Y425">
        <v>2854.6219494945012</v>
      </c>
      <c r="Z425">
        <v>9.1227169682464879</v>
      </c>
      <c r="AA425">
        <v>2716.8848891182843</v>
      </c>
      <c r="AB425">
        <v>6.8912079059054188</v>
      </c>
      <c r="AC425">
        <v>2184.6526497496957</v>
      </c>
      <c r="AD425">
        <v>9.1102684014721813</v>
      </c>
      <c r="AE425">
        <v>2011.5517580289727</v>
      </c>
      <c r="AF425">
        <v>6.8831876396818812</v>
      </c>
      <c r="AG425">
        <v>2076.5389342812273</v>
      </c>
      <c r="AH425">
        <v>9.1084276572665548</v>
      </c>
      <c r="AI425">
        <v>1892.1753041069983</v>
      </c>
      <c r="AJ425">
        <v>6.8820001164789524</v>
      </c>
    </row>
    <row r="426" spans="4:36" x14ac:dyDescent="0.55000000000000004">
      <c r="D426">
        <v>419</v>
      </c>
      <c r="E426">
        <v>12.459640726210427</v>
      </c>
      <c r="F426">
        <v>0.45957878853049072</v>
      </c>
      <c r="G426">
        <v>0.16128058359555392</v>
      </c>
      <c r="H426">
        <v>16.919499901663546</v>
      </c>
      <c r="I426">
        <v>12.695458372554398</v>
      </c>
      <c r="J426">
        <v>0.28521236086619933</v>
      </c>
      <c r="K426">
        <v>9.9754077548759354E-2</v>
      </c>
      <c r="L426">
        <v>16.919575189030656</v>
      </c>
      <c r="M426">
        <v>12.575482073198787</v>
      </c>
      <c r="N426">
        <v>0.37396382709658982</v>
      </c>
      <c r="O426">
        <v>0.13101825233908357</v>
      </c>
      <c r="P426">
        <v>16.919535847365523</v>
      </c>
      <c r="Q426">
        <v>12.573737317221978</v>
      </c>
      <c r="R426">
        <v>0.3752538941519864</v>
      </c>
      <c r="S426">
        <v>0.13147349762498226</v>
      </c>
      <c r="T426">
        <v>16.919535291001051</v>
      </c>
      <c r="U426">
        <v>1566.396238227404</v>
      </c>
      <c r="V426">
        <v>9.784820929188081</v>
      </c>
      <c r="W426">
        <v>1323.4929701287854</v>
      </c>
      <c r="X426">
        <v>7.2772553084350537</v>
      </c>
      <c r="Y426">
        <v>2880.807165608539</v>
      </c>
      <c r="Z426">
        <v>9.8273809354370965</v>
      </c>
      <c r="AA426">
        <v>2731.0317041318099</v>
      </c>
      <c r="AB426">
        <v>7.3028183558868971</v>
      </c>
      <c r="AC426">
        <v>2210.4424524540209</v>
      </c>
      <c r="AD426">
        <v>9.8057280986316062</v>
      </c>
      <c r="AE426">
        <v>2023.6790947763882</v>
      </c>
      <c r="AF426">
        <v>7.2898249455820938</v>
      </c>
      <c r="AG426">
        <v>2099.3518213606558</v>
      </c>
      <c r="AH426">
        <v>9.805413207570961</v>
      </c>
      <c r="AI426">
        <v>1902.4249642610425</v>
      </c>
      <c r="AJ426">
        <v>7.2896358029464237</v>
      </c>
    </row>
    <row r="427" spans="4:36" x14ac:dyDescent="0.55000000000000004">
      <c r="D427">
        <v>420</v>
      </c>
      <c r="E427">
        <v>13.216415452123737</v>
      </c>
      <c r="F427">
        <v>0.4872118988088403</v>
      </c>
      <c r="G427">
        <v>0.14695890179613466</v>
      </c>
      <c r="H427">
        <v>16.149413747271289</v>
      </c>
      <c r="I427">
        <v>13.446471068683373</v>
      </c>
      <c r="J427">
        <v>0.319216723363345</v>
      </c>
      <c r="K427">
        <v>9.5993184222563394E-2</v>
      </c>
      <c r="L427">
        <v>16.138319023730709</v>
      </c>
      <c r="M427">
        <v>13.333025632699997</v>
      </c>
      <c r="N427">
        <v>0.40209606479370125</v>
      </c>
      <c r="O427">
        <v>0.12109737555094002</v>
      </c>
      <c r="P427">
        <v>16.143780926955351</v>
      </c>
      <c r="Q427">
        <v>13.305279911246764</v>
      </c>
      <c r="R427">
        <v>0.42235513700061478</v>
      </c>
      <c r="S427">
        <v>0.12724549014723668</v>
      </c>
      <c r="T427">
        <v>16.145119461605393</v>
      </c>
      <c r="U427">
        <v>1584.7706403647253</v>
      </c>
      <c r="V427">
        <v>10.41158340108103</v>
      </c>
      <c r="W427">
        <v>1327.9985649972848</v>
      </c>
      <c r="X427">
        <v>7.6575805745834744</v>
      </c>
      <c r="Y427">
        <v>2930.0802307043286</v>
      </c>
      <c r="Z427">
        <v>10.459604030227588</v>
      </c>
      <c r="AA427">
        <v>2760.5054746228807</v>
      </c>
      <c r="AB427">
        <v>7.6856003565962281</v>
      </c>
      <c r="AC427">
        <v>2288.3256920739641</v>
      </c>
      <c r="AD427">
        <v>10.435928967783958</v>
      </c>
      <c r="AE427">
        <v>2073.8190404108459</v>
      </c>
      <c r="AF427">
        <v>7.6717968388555429</v>
      </c>
      <c r="AG427">
        <v>2178.7936366606682</v>
      </c>
      <c r="AH427">
        <v>10.430137217909653</v>
      </c>
      <c r="AI427">
        <v>1951.9225953053924</v>
      </c>
      <c r="AJ427">
        <v>7.6684168419196226</v>
      </c>
    </row>
    <row r="428" spans="4:36" x14ac:dyDescent="0.55000000000000004">
      <c r="D428">
        <v>421</v>
      </c>
      <c r="E428">
        <v>11.692618835636088</v>
      </c>
      <c r="F428">
        <v>0.42650456355055516</v>
      </c>
      <c r="G428">
        <v>0.15480044469341758</v>
      </c>
      <c r="H428">
        <v>17.726076156119959</v>
      </c>
      <c r="I428">
        <v>11.887314980908618</v>
      </c>
      <c r="J428">
        <v>0.27724223815288973</v>
      </c>
      <c r="K428">
        <v>0.10031962611554801</v>
      </c>
      <c r="L428">
        <v>17.735123154822933</v>
      </c>
      <c r="M428">
        <v>11.836922600398603</v>
      </c>
      <c r="N428">
        <v>0.31589483058702578</v>
      </c>
      <c r="O428">
        <v>0.11439564981760879</v>
      </c>
      <c r="P428">
        <v>17.732786919196752</v>
      </c>
      <c r="Q428">
        <v>11.775448839655727</v>
      </c>
      <c r="R428">
        <v>0.3630286718975389</v>
      </c>
      <c r="S428">
        <v>0.13159059907481541</v>
      </c>
      <c r="T428">
        <v>17.729931889371912</v>
      </c>
      <c r="U428">
        <v>1511.7054953680436</v>
      </c>
      <c r="V428">
        <v>9.318855356636405</v>
      </c>
      <c r="W428">
        <v>1290.8833561302392</v>
      </c>
      <c r="X428">
        <v>7.0170729763839548</v>
      </c>
      <c r="Y428">
        <v>2878.6507380477251</v>
      </c>
      <c r="Z428">
        <v>9.3508445668325404</v>
      </c>
      <c r="AA428">
        <v>2733.8180618397055</v>
      </c>
      <c r="AB428">
        <v>7.0370439821703297</v>
      </c>
      <c r="AC428">
        <v>2174.214256546355</v>
      </c>
      <c r="AD428">
        <v>9.3425617788212492</v>
      </c>
      <c r="AE428">
        <v>2005.605026636556</v>
      </c>
      <c r="AF428">
        <v>7.0318804632311016</v>
      </c>
      <c r="AG428">
        <v>2070.7949667965108</v>
      </c>
      <c r="AH428">
        <v>9.3324605638597369</v>
      </c>
      <c r="AI428">
        <v>1886.7788313643002</v>
      </c>
      <c r="AJ428">
        <v>7.0255763047323647</v>
      </c>
    </row>
    <row r="429" spans="4:36" x14ac:dyDescent="0.55000000000000004">
      <c r="D429">
        <v>422</v>
      </c>
      <c r="E429">
        <v>12.520961904924704</v>
      </c>
      <c r="F429">
        <v>0.43859032248334612</v>
      </c>
      <c r="G429">
        <v>0.15032204106857275</v>
      </c>
      <c r="H429">
        <v>16.89012573152338</v>
      </c>
      <c r="I429">
        <v>12.725524324621801</v>
      </c>
      <c r="J429">
        <v>0.28724064859807208</v>
      </c>
      <c r="K429">
        <v>9.8164532759168741E-2</v>
      </c>
      <c r="L429">
        <v>16.889070494020952</v>
      </c>
      <c r="M429">
        <v>12.643236319068315</v>
      </c>
      <c r="N429">
        <v>0.34815158538455315</v>
      </c>
      <c r="O429">
        <v>0.1191186838787946</v>
      </c>
      <c r="P429">
        <v>16.889493411668347</v>
      </c>
      <c r="Q429">
        <v>12.582548937006143</v>
      </c>
      <c r="R429">
        <v>0.39304888055322512</v>
      </c>
      <c r="S429">
        <v>0.13459552264683269</v>
      </c>
      <c r="T429">
        <v>16.889806659793795</v>
      </c>
      <c r="U429">
        <v>1529.535898179299</v>
      </c>
      <c r="V429">
        <v>9.9474979967371162</v>
      </c>
      <c r="W429">
        <v>1296.2168887297601</v>
      </c>
      <c r="X429">
        <v>7.3951045250065732</v>
      </c>
      <c r="Y429">
        <v>2885.2914722264818</v>
      </c>
      <c r="Z429">
        <v>9.9872044001725424</v>
      </c>
      <c r="AA429">
        <v>2733.4010344418703</v>
      </c>
      <c r="AB429">
        <v>7.4188240451969429</v>
      </c>
      <c r="AC429">
        <v>2229.2892177232088</v>
      </c>
      <c r="AD429">
        <v>9.971233095445962</v>
      </c>
      <c r="AE429">
        <v>2038.7779848790542</v>
      </c>
      <c r="AF429">
        <v>7.4092922878158962</v>
      </c>
      <c r="AG429">
        <v>2109.5211811356221</v>
      </c>
      <c r="AH429">
        <v>9.959453287141935</v>
      </c>
      <c r="AI429">
        <v>1907.5283799939077</v>
      </c>
      <c r="AJ429">
        <v>7.4022542433153946</v>
      </c>
    </row>
    <row r="430" spans="4:36" x14ac:dyDescent="0.55000000000000004">
      <c r="D430">
        <v>423</v>
      </c>
      <c r="E430">
        <v>12.803932033356606</v>
      </c>
      <c r="F430">
        <v>0.44521600365517483</v>
      </c>
      <c r="G430">
        <v>0.17575318426771488</v>
      </c>
      <c r="H430">
        <v>16.575098778720498</v>
      </c>
      <c r="I430">
        <v>13.006472908818543</v>
      </c>
      <c r="J430">
        <v>0.30192953723262311</v>
      </c>
      <c r="K430">
        <v>0.11883796043891939</v>
      </c>
      <c r="L430">
        <v>16.572759593509915</v>
      </c>
      <c r="M430">
        <v>12.926000892459871</v>
      </c>
      <c r="N430">
        <v>0.35888901160986569</v>
      </c>
      <c r="O430">
        <v>0.14142214748590443</v>
      </c>
      <c r="P430">
        <v>16.57368794844437</v>
      </c>
      <c r="Q430">
        <v>12.862183283671785</v>
      </c>
      <c r="R430">
        <v>0.40403217104616407</v>
      </c>
      <c r="S430">
        <v>0.1593594072767493</v>
      </c>
      <c r="T430">
        <v>16.574425138005299</v>
      </c>
      <c r="U430">
        <v>1542.9308613035676</v>
      </c>
      <c r="V430">
        <v>10.070493660700379</v>
      </c>
      <c r="W430">
        <v>1301.5955000960341</v>
      </c>
      <c r="X430">
        <v>7.4525387010321484</v>
      </c>
      <c r="Y430">
        <v>2910.6554905035659</v>
      </c>
      <c r="Z430">
        <v>10.111563542741333</v>
      </c>
      <c r="AA430">
        <v>2748.3677668408163</v>
      </c>
      <c r="AB430">
        <v>7.4770678570675582</v>
      </c>
      <c r="AC430">
        <v>2234.5474662953438</v>
      </c>
      <c r="AD430">
        <v>10.095246157067679</v>
      </c>
      <c r="AE430">
        <v>2038.5109161088928</v>
      </c>
      <c r="AF430">
        <v>7.4673313855915859</v>
      </c>
      <c r="AG430">
        <v>2132.2353609025672</v>
      </c>
      <c r="AH430">
        <v>10.082305622579122</v>
      </c>
      <c r="AI430">
        <v>1919.9879679826906</v>
      </c>
      <c r="AJ430">
        <v>7.4596012996315171</v>
      </c>
    </row>
    <row r="431" spans="4:36" x14ac:dyDescent="0.55000000000000004">
      <c r="D431">
        <v>424</v>
      </c>
      <c r="E431">
        <v>12.833433044521525</v>
      </c>
      <c r="F431">
        <v>0.52863823842013824</v>
      </c>
      <c r="G431">
        <v>0.20676757109607746</v>
      </c>
      <c r="H431">
        <v>16.431161145962268</v>
      </c>
      <c r="I431">
        <v>13.113403791328594</v>
      </c>
      <c r="J431">
        <v>0.30412817538470482</v>
      </c>
      <c r="K431">
        <v>0.11850308768929688</v>
      </c>
      <c r="L431">
        <v>16.463964945597397</v>
      </c>
      <c r="M431">
        <v>12.985946177954967</v>
      </c>
      <c r="N431">
        <v>0.40638053346773123</v>
      </c>
      <c r="O431">
        <v>0.15861847960153347</v>
      </c>
      <c r="P431">
        <v>16.449054808975774</v>
      </c>
      <c r="Q431">
        <v>12.933340317690506</v>
      </c>
      <c r="R431">
        <v>0.44856229986918511</v>
      </c>
      <c r="S431">
        <v>0.17520807290081991</v>
      </c>
      <c r="T431">
        <v>16.442889309539503</v>
      </c>
      <c r="U431">
        <v>1568.2296570840188</v>
      </c>
      <c r="V431">
        <v>10.270051497813494</v>
      </c>
      <c r="W431">
        <v>1316.5702726862739</v>
      </c>
      <c r="X431">
        <v>7.5832115491270029</v>
      </c>
      <c r="Y431">
        <v>2887.6466854345254</v>
      </c>
      <c r="Z431">
        <v>10.302987917795507</v>
      </c>
      <c r="AA431">
        <v>2732.8738736774021</v>
      </c>
      <c r="AB431">
        <v>7.6041165787533052</v>
      </c>
      <c r="AC431">
        <v>2232.9267025724876</v>
      </c>
      <c r="AD431">
        <v>10.287979925452186</v>
      </c>
      <c r="AE431">
        <v>2035.6874098753779</v>
      </c>
      <c r="AF431">
        <v>7.5946055620040527</v>
      </c>
      <c r="AG431">
        <v>2159.1728161608776</v>
      </c>
      <c r="AH431">
        <v>10.281792236678879</v>
      </c>
      <c r="AI431">
        <v>1938.8976308137503</v>
      </c>
      <c r="AJ431">
        <v>7.5906771179911825</v>
      </c>
    </row>
    <row r="432" spans="4:36" x14ac:dyDescent="0.55000000000000004">
      <c r="D432">
        <v>425</v>
      </c>
      <c r="E432">
        <v>14.063719329286108</v>
      </c>
      <c r="F432">
        <v>0.49653473299740197</v>
      </c>
      <c r="G432">
        <v>0.18261530834780998</v>
      </c>
      <c r="H432">
        <v>15.257130629368683</v>
      </c>
      <c r="I432">
        <v>14.322623245315341</v>
      </c>
      <c r="J432">
        <v>0.32078605320229114</v>
      </c>
      <c r="K432">
        <v>0.11756702342320538</v>
      </c>
      <c r="L432">
        <v>15.239023678059166</v>
      </c>
      <c r="M432">
        <v>14.21397695928029</v>
      </c>
      <c r="N432">
        <v>0.39458717234393609</v>
      </c>
      <c r="O432">
        <v>0.14482612272255319</v>
      </c>
      <c r="P432">
        <v>15.246609745653231</v>
      </c>
      <c r="Q432">
        <v>14.146395012054114</v>
      </c>
      <c r="R432">
        <v>0.44045774510517821</v>
      </c>
      <c r="S432">
        <v>0.1618097227653531</v>
      </c>
      <c r="T432">
        <v>15.251337520075349</v>
      </c>
      <c r="U432">
        <v>1578.5064991186719</v>
      </c>
      <c r="V432">
        <v>11.191424246337695</v>
      </c>
      <c r="W432">
        <v>1320.1350125216863</v>
      </c>
      <c r="X432">
        <v>8.1319209670272716</v>
      </c>
      <c r="Y432">
        <v>2926.259371349744</v>
      </c>
      <c r="Z432">
        <v>11.25024692347205</v>
      </c>
      <c r="AA432">
        <v>2755.8408025487388</v>
      </c>
      <c r="AB432">
        <v>8.1656946937544976</v>
      </c>
      <c r="AC432">
        <v>2278.1808720461572</v>
      </c>
      <c r="AD432">
        <v>11.225570156825011</v>
      </c>
      <c r="AE432">
        <v>2064.6386820130538</v>
      </c>
      <c r="AF432">
        <v>8.1515388765629808</v>
      </c>
      <c r="AG432">
        <v>2183.4811820496798</v>
      </c>
      <c r="AH432">
        <v>11.21021481927685</v>
      </c>
      <c r="AI432">
        <v>1951.6894454599267</v>
      </c>
      <c r="AJ432">
        <v>8.1427211046018417</v>
      </c>
    </row>
    <row r="433" spans="4:36" x14ac:dyDescent="0.55000000000000004">
      <c r="D433">
        <v>426</v>
      </c>
      <c r="E433">
        <v>12.387586387374293</v>
      </c>
      <c r="F433">
        <v>0.46487756772880057</v>
      </c>
      <c r="G433">
        <v>0.17428098873851344</v>
      </c>
      <c r="H433">
        <v>16.973255056158401</v>
      </c>
      <c r="I433">
        <v>12.590755021464926</v>
      </c>
      <c r="J433">
        <v>0.31236158330474456</v>
      </c>
      <c r="K433">
        <v>0.11674126317995875</v>
      </c>
      <c r="L433">
        <v>16.980142132050375</v>
      </c>
      <c r="M433">
        <v>12.521694480426612</v>
      </c>
      <c r="N433">
        <v>0.36422996613238173</v>
      </c>
      <c r="O433">
        <v>0.13626912689206816</v>
      </c>
      <c r="P433">
        <v>16.977806426548941</v>
      </c>
      <c r="Q433">
        <v>12.487350640515226</v>
      </c>
      <c r="R433">
        <v>0.39001437428857222</v>
      </c>
      <c r="S433">
        <v>0.14599214150008313</v>
      </c>
      <c r="T433">
        <v>16.976642843696144</v>
      </c>
      <c r="U433">
        <v>1591.5086953749442</v>
      </c>
      <c r="V433">
        <v>9.7645422397613864</v>
      </c>
      <c r="W433">
        <v>1339.7074376658077</v>
      </c>
      <c r="X433">
        <v>7.2679603001598583</v>
      </c>
      <c r="Y433">
        <v>2906.9473471215983</v>
      </c>
      <c r="Z433">
        <v>9.7978623791333792</v>
      </c>
      <c r="AA433">
        <v>2746.922234747417</v>
      </c>
      <c r="AB433">
        <v>7.2882943636643978</v>
      </c>
      <c r="AC433">
        <v>2218.1451163970819</v>
      </c>
      <c r="AD433">
        <v>9.7865339937490692</v>
      </c>
      <c r="AE433">
        <v>2028.4752563007628</v>
      </c>
      <c r="AF433">
        <v>7.2813891818741672</v>
      </c>
      <c r="AG433">
        <v>2110.2904220190085</v>
      </c>
      <c r="AH433">
        <v>9.7809012573752625</v>
      </c>
      <c r="AI433">
        <v>1907.6060182274405</v>
      </c>
      <c r="AJ433">
        <v>7.2779526675048842</v>
      </c>
    </row>
    <row r="434" spans="4:36" x14ac:dyDescent="0.55000000000000004">
      <c r="D434">
        <v>427</v>
      </c>
      <c r="E434">
        <v>13.058582938787366</v>
      </c>
      <c r="F434">
        <v>0.45518074433830513</v>
      </c>
      <c r="G434">
        <v>0.17327302607939035</v>
      </c>
      <c r="H434">
        <v>16.312963290794933</v>
      </c>
      <c r="I434">
        <v>13.276332293205618</v>
      </c>
      <c r="J434">
        <v>0.30472341197996389</v>
      </c>
      <c r="K434">
        <v>0.11563268753961657</v>
      </c>
      <c r="L434">
        <v>16.303311607274818</v>
      </c>
      <c r="M434">
        <v>13.201030049090273</v>
      </c>
      <c r="N434">
        <v>0.35678828820239983</v>
      </c>
      <c r="O434">
        <v>0.13553697487815122</v>
      </c>
      <c r="P434">
        <v>16.306644687829184</v>
      </c>
      <c r="Q434">
        <v>13.155903254461943</v>
      </c>
      <c r="R434">
        <v>0.38797252593537479</v>
      </c>
      <c r="S434">
        <v>0.14747973900488481</v>
      </c>
      <c r="T434">
        <v>16.308644480597788</v>
      </c>
      <c r="U434">
        <v>1559.0381680965249</v>
      </c>
      <c r="V434">
        <v>10.266698161034341</v>
      </c>
      <c r="W434">
        <v>1314.7936603785779</v>
      </c>
      <c r="X434">
        <v>7.5686914727936632</v>
      </c>
      <c r="Y434">
        <v>2922.2154950874219</v>
      </c>
      <c r="Z434">
        <v>10.312847896967352</v>
      </c>
      <c r="AA434">
        <v>2758.0414225490294</v>
      </c>
      <c r="AB434">
        <v>7.5958835245161316</v>
      </c>
      <c r="AC434">
        <v>2228.2366076107683</v>
      </c>
      <c r="AD434">
        <v>10.29689060809744</v>
      </c>
      <c r="AE434">
        <v>2035.539682091224</v>
      </c>
      <c r="AF434">
        <v>7.5864908148974752</v>
      </c>
      <c r="AG434">
        <v>2108.2581993569383</v>
      </c>
      <c r="AH434">
        <v>10.287326660099968</v>
      </c>
      <c r="AI434">
        <v>1905.2385166208765</v>
      </c>
      <c r="AJ434">
        <v>7.5808565121305209</v>
      </c>
    </row>
    <row r="435" spans="4:36" x14ac:dyDescent="0.55000000000000004">
      <c r="D435">
        <v>428</v>
      </c>
      <c r="E435">
        <v>12.90606750898205</v>
      </c>
      <c r="F435">
        <v>0.45312463427492927</v>
      </c>
      <c r="G435">
        <v>0.14743398203678496</v>
      </c>
      <c r="H435">
        <v>16.493373874706243</v>
      </c>
      <c r="I435">
        <v>13.094353593093299</v>
      </c>
      <c r="J435">
        <v>0.31545652796426016</v>
      </c>
      <c r="K435">
        <v>0.10235933375318586</v>
      </c>
      <c r="L435">
        <v>16.487830545189265</v>
      </c>
      <c r="M435">
        <v>13.051297210808112</v>
      </c>
      <c r="N435">
        <v>0.34695564187458361</v>
      </c>
      <c r="O435">
        <v>0.11265051567683478</v>
      </c>
      <c r="P435">
        <v>16.489096631640457</v>
      </c>
      <c r="Q435">
        <v>12.981685688536237</v>
      </c>
      <c r="R435">
        <v>0.39785963569582034</v>
      </c>
      <c r="S435">
        <v>0.12930917312149123</v>
      </c>
      <c r="T435">
        <v>16.491145502646468</v>
      </c>
      <c r="U435">
        <v>1509.0010540605022</v>
      </c>
      <c r="V435">
        <v>10.184771594327906</v>
      </c>
      <c r="W435">
        <v>1282.8635403024819</v>
      </c>
      <c r="X435">
        <v>7.5271244678156908</v>
      </c>
      <c r="Y435">
        <v>2888.7775935977093</v>
      </c>
      <c r="Z435">
        <v>10.223370520893482</v>
      </c>
      <c r="AA435">
        <v>2735.990619478071</v>
      </c>
      <c r="AB435">
        <v>7.5499999100392117</v>
      </c>
      <c r="AC435">
        <v>2204.9288593429592</v>
      </c>
      <c r="AD435">
        <v>10.214544742001905</v>
      </c>
      <c r="AE435">
        <v>2022.9427750291402</v>
      </c>
      <c r="AF435">
        <v>7.5447749779079709</v>
      </c>
      <c r="AG435">
        <v>2081.1461056115163</v>
      </c>
      <c r="AH435">
        <v>10.200274584850536</v>
      </c>
      <c r="AI435">
        <v>1888.8176242464144</v>
      </c>
      <c r="AJ435">
        <v>7.5363199083462264</v>
      </c>
    </row>
    <row r="436" spans="4:36" x14ac:dyDescent="0.55000000000000004">
      <c r="D436">
        <v>429</v>
      </c>
      <c r="E436">
        <v>12.039700464243971</v>
      </c>
      <c r="F436">
        <v>0.41918910287711619</v>
      </c>
      <c r="G436">
        <v>0.16009029343908096</v>
      </c>
      <c r="H436">
        <v>17.381020139439816</v>
      </c>
      <c r="I436">
        <v>12.219665519683213</v>
      </c>
      <c r="J436">
        <v>0.2862162738554786</v>
      </c>
      <c r="K436">
        <v>0.1090195886105888</v>
      </c>
      <c r="L436">
        <v>17.38509861785073</v>
      </c>
      <c r="M436">
        <v>12.140737582758387</v>
      </c>
      <c r="N436">
        <v>0.34455784779596293</v>
      </c>
      <c r="O436">
        <v>0.13139316039855278</v>
      </c>
      <c r="P436">
        <v>17.383311409047103</v>
      </c>
      <c r="Q436">
        <v>12.098894504573918</v>
      </c>
      <c r="R436">
        <v>0.3754725502110382</v>
      </c>
      <c r="S436">
        <v>0.14326996369404643</v>
      </c>
      <c r="T436">
        <v>17.382362981520998</v>
      </c>
      <c r="U436">
        <v>1524.1264473521867</v>
      </c>
      <c r="V436">
        <v>9.4229442417490628</v>
      </c>
      <c r="W436">
        <v>1296.2270678007321</v>
      </c>
      <c r="X436">
        <v>7.056764072615672</v>
      </c>
      <c r="Y436">
        <v>2894.4818503969327</v>
      </c>
      <c r="Z436">
        <v>9.4532206601936704</v>
      </c>
      <c r="AA436">
        <v>2741.9393592257597</v>
      </c>
      <c r="AB436">
        <v>7.0752598508982594</v>
      </c>
      <c r="AC436">
        <v>2233.0913709834999</v>
      </c>
      <c r="AD436">
        <v>9.4399411240010185</v>
      </c>
      <c r="AE436">
        <v>2043.9910538745646</v>
      </c>
      <c r="AF436">
        <v>7.0671546593904466</v>
      </c>
      <c r="AG436">
        <v>2095.8559873808094</v>
      </c>
      <c r="AH436">
        <v>9.4329017665120727</v>
      </c>
      <c r="AI436">
        <v>1900.7397644825999</v>
      </c>
      <c r="AJ436">
        <v>7.0628535992476769</v>
      </c>
    </row>
    <row r="437" spans="4:36" x14ac:dyDescent="0.55000000000000004">
      <c r="D437">
        <v>430</v>
      </c>
      <c r="E437">
        <v>11.445365379845121</v>
      </c>
      <c r="F437">
        <v>0.40295173258537376</v>
      </c>
      <c r="G437">
        <v>0.15266601465605856</v>
      </c>
      <c r="H437">
        <v>17.999016872913447</v>
      </c>
      <c r="I437">
        <v>11.633389009321775</v>
      </c>
      <c r="J437">
        <v>0.26064909528379543</v>
      </c>
      <c r="K437">
        <v>9.8454973174991967E-2</v>
      </c>
      <c r="L437">
        <v>18.007506922219445</v>
      </c>
      <c r="M437">
        <v>11.537168767487035</v>
      </c>
      <c r="N437">
        <v>0.33349680771834045</v>
      </c>
      <c r="O437">
        <v>0.12616541015498162</v>
      </c>
      <c r="P437">
        <v>18.003169014639642</v>
      </c>
      <c r="Q437">
        <v>11.51084085449544</v>
      </c>
      <c r="R437">
        <v>0.35342039557089222</v>
      </c>
      <c r="S437">
        <v>0.13375916933307397</v>
      </c>
      <c r="T437">
        <v>18.001979580600604</v>
      </c>
      <c r="U437">
        <v>1479.6505772996995</v>
      </c>
      <c r="V437">
        <v>8.9993161079279353</v>
      </c>
      <c r="W437">
        <v>1269.9587081778661</v>
      </c>
      <c r="X437">
        <v>6.8051148659945477</v>
      </c>
      <c r="Y437">
        <v>2847.6812442794276</v>
      </c>
      <c r="Z437">
        <v>9.0281066084039168</v>
      </c>
      <c r="AA437">
        <v>2712.6935322790255</v>
      </c>
      <c r="AB437">
        <v>6.823265529827113</v>
      </c>
      <c r="AC437">
        <v>2169.4768573632464</v>
      </c>
      <c r="AD437">
        <v>9.0133687877613369</v>
      </c>
      <c r="AE437">
        <v>2001.6995354720325</v>
      </c>
      <c r="AF437">
        <v>6.8139832788493226</v>
      </c>
      <c r="AG437">
        <v>2074.7570375130217</v>
      </c>
      <c r="AH437">
        <v>9.0093378122697185</v>
      </c>
      <c r="AI437">
        <v>1891.8377505193798</v>
      </c>
      <c r="AJ437">
        <v>6.8114411747111845</v>
      </c>
    </row>
    <row r="438" spans="4:36" x14ac:dyDescent="0.55000000000000004">
      <c r="D438">
        <v>431</v>
      </c>
      <c r="E438">
        <v>11.213000066991389</v>
      </c>
      <c r="F438">
        <v>0.37256441095551157</v>
      </c>
      <c r="G438">
        <v>0.14766345737481698</v>
      </c>
      <c r="H438">
        <v>18.266772064678282</v>
      </c>
      <c r="I438">
        <v>11.373165845444483</v>
      </c>
      <c r="J438">
        <v>0.25132718070734023</v>
      </c>
      <c r="K438">
        <v>9.935934026999442E-2</v>
      </c>
      <c r="L438">
        <v>18.276147633578187</v>
      </c>
      <c r="M438">
        <v>11.292725050945371</v>
      </c>
      <c r="N438">
        <v>0.31223502440084744</v>
      </c>
      <c r="O438">
        <v>0.12359559893765966</v>
      </c>
      <c r="P438">
        <v>18.271444325716118</v>
      </c>
      <c r="Q438">
        <v>11.250847261413391</v>
      </c>
      <c r="R438">
        <v>0.34392927805800166</v>
      </c>
      <c r="S438">
        <v>0.1362320231022128</v>
      </c>
      <c r="T438">
        <v>18.268991437426394</v>
      </c>
      <c r="U438">
        <v>1468.2008783552349</v>
      </c>
      <c r="V438">
        <v>8.858191276400067</v>
      </c>
      <c r="W438">
        <v>1264.4394582593263</v>
      </c>
      <c r="X438">
        <v>6.7285338808401276</v>
      </c>
      <c r="Y438">
        <v>2844.0230433709303</v>
      </c>
      <c r="Z438">
        <v>8.8832137548980654</v>
      </c>
      <c r="AA438">
        <v>2711.0853027369744</v>
      </c>
      <c r="AB438">
        <v>6.7442781899461339</v>
      </c>
      <c r="AC438">
        <v>2148.4061607901108</v>
      </c>
      <c r="AD438">
        <v>8.8706440914907958</v>
      </c>
      <c r="AE438">
        <v>1987.8824645158004</v>
      </c>
      <c r="AF438">
        <v>6.7363759518644706</v>
      </c>
      <c r="AG438">
        <v>2043.0274662370493</v>
      </c>
      <c r="AH438">
        <v>8.864102276853334</v>
      </c>
      <c r="AI438">
        <v>1868.9087488605428</v>
      </c>
      <c r="AJ438">
        <v>6.7322579518145593</v>
      </c>
    </row>
    <row r="439" spans="4:36" x14ac:dyDescent="0.55000000000000004">
      <c r="D439">
        <v>432</v>
      </c>
      <c r="E439">
        <v>13.12855629338145</v>
      </c>
      <c r="F439">
        <v>0.4506466338760915</v>
      </c>
      <c r="G439">
        <v>0.18407299467827984</v>
      </c>
      <c r="H439">
        <v>16.236724078064174</v>
      </c>
      <c r="I439">
        <v>13.314220850493262</v>
      </c>
      <c r="J439">
        <v>0.31842043037888756</v>
      </c>
      <c r="K439">
        <v>0.12970384876266719</v>
      </c>
      <c r="L439">
        <v>16.237654870365191</v>
      </c>
      <c r="M439">
        <v>13.214696835015273</v>
      </c>
      <c r="N439">
        <v>0.38932472196975687</v>
      </c>
      <c r="O439">
        <v>0.15882046153255469</v>
      </c>
      <c r="P439">
        <v>16.237157981482408</v>
      </c>
      <c r="Q439">
        <v>13.205594779918373</v>
      </c>
      <c r="R439">
        <v>0.39580640450860199</v>
      </c>
      <c r="S439">
        <v>0.16148651361223851</v>
      </c>
      <c r="T439">
        <v>16.237112301960785</v>
      </c>
      <c r="U439">
        <v>1559.5442713609391</v>
      </c>
      <c r="V439">
        <v>10.399900025803721</v>
      </c>
      <c r="W439">
        <v>1311.3621865099863</v>
      </c>
      <c r="X439">
        <v>7.6570486849777293</v>
      </c>
      <c r="Y439">
        <v>2921.0836271796584</v>
      </c>
      <c r="Z439">
        <v>10.433713414019316</v>
      </c>
      <c r="AA439">
        <v>2753.3435041739003</v>
      </c>
      <c r="AB439">
        <v>7.6773087211099353</v>
      </c>
      <c r="AC439">
        <v>2270.2392851535701</v>
      </c>
      <c r="AD439">
        <v>10.415586783564711</v>
      </c>
      <c r="AE439">
        <v>2060.7572709999267</v>
      </c>
      <c r="AF439">
        <v>7.6664550258933755</v>
      </c>
      <c r="AG439">
        <v>2151.5572017209729</v>
      </c>
      <c r="AH439">
        <v>10.41392913836963</v>
      </c>
      <c r="AI439">
        <v>1933.1663072560902</v>
      </c>
      <c r="AJ439">
        <v>7.6654616405018174</v>
      </c>
    </row>
    <row r="440" spans="4:36" x14ac:dyDescent="0.55000000000000004">
      <c r="D440">
        <v>433</v>
      </c>
      <c r="E440">
        <v>13.980911315344953</v>
      </c>
      <c r="F440">
        <v>0.48606247377574696</v>
      </c>
      <c r="G440">
        <v>0.13965031191090335</v>
      </c>
      <c r="H440">
        <v>15.393375898968394</v>
      </c>
      <c r="I440">
        <v>14.263393782932569</v>
      </c>
      <c r="J440">
        <v>0.29882162869316309</v>
      </c>
      <c r="K440">
        <v>8.5542021743726701E-2</v>
      </c>
      <c r="L440">
        <v>15.352242566630544</v>
      </c>
      <c r="M440">
        <v>14.128888360486018</v>
      </c>
      <c r="N440">
        <v>0.38804057277974741</v>
      </c>
      <c r="O440">
        <v>0.11127425761045949</v>
      </c>
      <c r="P440">
        <v>15.371796809123767</v>
      </c>
      <c r="Q440">
        <v>14.083664181737666</v>
      </c>
      <c r="R440">
        <v>0.4180125159332268</v>
      </c>
      <c r="S440">
        <v>0.11993899771117603</v>
      </c>
      <c r="T440">
        <v>15.378384304617942</v>
      </c>
      <c r="U440">
        <v>1618.8307067233372</v>
      </c>
      <c r="V440">
        <v>11.072560173663918</v>
      </c>
      <c r="W440">
        <v>1352.6290687253193</v>
      </c>
      <c r="X440">
        <v>8.0612166908561793</v>
      </c>
      <c r="Y440">
        <v>2944.5467763044867</v>
      </c>
      <c r="Z440">
        <v>11.149392215787774</v>
      </c>
      <c r="AA440">
        <v>2772.0565171452272</v>
      </c>
      <c r="AB440">
        <v>8.1046993361047317</v>
      </c>
      <c r="AC440">
        <v>2261.6136021460788</v>
      </c>
      <c r="AD440">
        <v>11.112826871654097</v>
      </c>
      <c r="AE440">
        <v>2054.7644262859658</v>
      </c>
      <c r="AF440">
        <v>8.0840223320561009</v>
      </c>
      <c r="AG440">
        <v>2183.4311074218972</v>
      </c>
      <c r="AH440">
        <v>11.100525090134633</v>
      </c>
      <c r="AI440">
        <v>1955.0999563017579</v>
      </c>
      <c r="AJ440">
        <v>8.0770590202203572</v>
      </c>
    </row>
    <row r="441" spans="4:36" x14ac:dyDescent="0.55000000000000004">
      <c r="D441">
        <v>434</v>
      </c>
      <c r="E441">
        <v>14.688692663882954</v>
      </c>
      <c r="F441">
        <v>0.51630592741043146</v>
      </c>
      <c r="G441">
        <v>0.20711569029242655</v>
      </c>
      <c r="H441">
        <v>14.587885718414183</v>
      </c>
      <c r="I441">
        <v>14.972843508010442</v>
      </c>
      <c r="J441">
        <v>0.33073620844801116</v>
      </c>
      <c r="K441">
        <v>0.13218088344228093</v>
      </c>
      <c r="L441">
        <v>14.564239400099252</v>
      </c>
      <c r="M441">
        <v>14.880456711376452</v>
      </c>
      <c r="N441">
        <v>0.39112650158840601</v>
      </c>
      <c r="O441">
        <v>0.15650476454898596</v>
      </c>
      <c r="P441">
        <v>14.571912022486165</v>
      </c>
      <c r="Q441">
        <v>14.821237780474373</v>
      </c>
      <c r="R441">
        <v>0.42980803316107713</v>
      </c>
      <c r="S441">
        <v>0.17211623956096211</v>
      </c>
      <c r="T441">
        <v>14.576837946803597</v>
      </c>
      <c r="U441">
        <v>1688.3996169145771</v>
      </c>
      <c r="V441">
        <v>11.6138739065166</v>
      </c>
      <c r="W441">
        <v>1389.4413520749208</v>
      </c>
      <c r="X441">
        <v>8.3672108295821115</v>
      </c>
      <c r="Y441">
        <v>2994.8756865981873</v>
      </c>
      <c r="Z441">
        <v>11.681317287310732</v>
      </c>
      <c r="AA441">
        <v>2798.8881702246103</v>
      </c>
      <c r="AB441">
        <v>8.4054635903399433</v>
      </c>
      <c r="AC441">
        <v>2313.0777921013505</v>
      </c>
      <c r="AD441">
        <v>11.659399121423485</v>
      </c>
      <c r="AE441">
        <v>2082.8972624504668</v>
      </c>
      <c r="AF441">
        <v>8.3930448239849209</v>
      </c>
      <c r="AG441">
        <v>2222.1258798116082</v>
      </c>
      <c r="AH441">
        <v>11.645344822159897</v>
      </c>
      <c r="AI441">
        <v>1972.5002639266204</v>
      </c>
      <c r="AJ441">
        <v>8.3850752207853301</v>
      </c>
    </row>
    <row r="442" spans="4:36" x14ac:dyDescent="0.55000000000000004">
      <c r="D442">
        <v>435</v>
      </c>
      <c r="E442">
        <v>12.4912768207026</v>
      </c>
      <c r="F442">
        <v>0.44219782248429107</v>
      </c>
      <c r="G442">
        <v>0.17204400595752267</v>
      </c>
      <c r="H442">
        <v>16.894481350855596</v>
      </c>
      <c r="I442">
        <v>12.698350749918246</v>
      </c>
      <c r="J442">
        <v>0.29276056104052234</v>
      </c>
      <c r="K442">
        <v>0.11356478759082272</v>
      </c>
      <c r="L442">
        <v>16.895323901450411</v>
      </c>
      <c r="M442">
        <v>12.587111539238833</v>
      </c>
      <c r="N442">
        <v>0.37306946226005355</v>
      </c>
      <c r="O442">
        <v>0.14494813104872009</v>
      </c>
      <c r="P442">
        <v>16.89487086745239</v>
      </c>
      <c r="Q442">
        <v>12.589450684984694</v>
      </c>
      <c r="R442">
        <v>0.37138147969647517</v>
      </c>
      <c r="S442">
        <v>0.14428745138921242</v>
      </c>
      <c r="T442">
        <v>16.894880383929614</v>
      </c>
      <c r="U442">
        <v>1579.6364949805463</v>
      </c>
      <c r="V442">
        <v>9.8717068336823743</v>
      </c>
      <c r="W442">
        <v>1330.6131202443246</v>
      </c>
      <c r="X442">
        <v>7.3397367366595994</v>
      </c>
      <c r="Y442">
        <v>2915.7367582166926</v>
      </c>
      <c r="Z442">
        <v>9.9106580284649972</v>
      </c>
      <c r="AA442">
        <v>2753.791206661122</v>
      </c>
      <c r="AB442">
        <v>7.3631031783259422</v>
      </c>
      <c r="AC442">
        <v>2261.5711225250911</v>
      </c>
      <c r="AD442">
        <v>9.889734042050037</v>
      </c>
      <c r="AE442">
        <v>2058.5171336520762</v>
      </c>
      <c r="AF442">
        <v>7.3505606446132559</v>
      </c>
      <c r="AG442">
        <v>2135.848477739823</v>
      </c>
      <c r="AH442">
        <v>9.8901740431780709</v>
      </c>
      <c r="AI442">
        <v>1926.5628083252111</v>
      </c>
      <c r="AJ442">
        <v>7.3508246233553747</v>
      </c>
    </row>
    <row r="443" spans="4:36" x14ac:dyDescent="0.55000000000000004">
      <c r="D443">
        <v>436</v>
      </c>
      <c r="E443">
        <v>11.360941987546715</v>
      </c>
      <c r="F443">
        <v>0.42353522944805549</v>
      </c>
      <c r="G443">
        <v>0.16547465893064034</v>
      </c>
      <c r="H443">
        <v>18.050048124074593</v>
      </c>
      <c r="I443">
        <v>11.573093222094583</v>
      </c>
      <c r="J443">
        <v>0.26233868296001872</v>
      </c>
      <c r="K443">
        <v>0.10214449278249733</v>
      </c>
      <c r="L443">
        <v>18.062423602162916</v>
      </c>
      <c r="M443">
        <v>11.505278840613963</v>
      </c>
      <c r="N443">
        <v>0.31389282532125334</v>
      </c>
      <c r="O443">
        <v>0.12235104706564112</v>
      </c>
      <c r="P443">
        <v>18.05847728699915</v>
      </c>
      <c r="Q443">
        <v>11.476863062199874</v>
      </c>
      <c r="R443">
        <v>0.33548754698350175</v>
      </c>
      <c r="S443">
        <v>0.13082834625197087</v>
      </c>
      <c r="T443">
        <v>18.056821044564675</v>
      </c>
      <c r="U443">
        <v>1481.7700072822615</v>
      </c>
      <c r="V443">
        <v>8.9609222204679302</v>
      </c>
      <c r="W443">
        <v>1273.2101814307812</v>
      </c>
      <c r="X443">
        <v>6.7813267753918041</v>
      </c>
      <c r="Y443">
        <v>2834.5626400933793</v>
      </c>
      <c r="Z443">
        <v>8.9888074633502111</v>
      </c>
      <c r="AA443">
        <v>2704.638748403017</v>
      </c>
      <c r="AB443">
        <v>6.7990657160336552</v>
      </c>
      <c r="AC443">
        <v>2139.1411578150919</v>
      </c>
      <c r="AD443">
        <v>8.9798885854259147</v>
      </c>
      <c r="AE443">
        <v>1982.7575835886864</v>
      </c>
      <c r="AF443">
        <v>6.7934011293256615</v>
      </c>
      <c r="AG443">
        <v>2031.9133602216505</v>
      </c>
      <c r="AH443">
        <v>8.9761528523249012</v>
      </c>
      <c r="AI443">
        <v>1863.3946125279081</v>
      </c>
      <c r="AJ443">
        <v>6.7910259590719111</v>
      </c>
    </row>
    <row r="444" spans="4:36" x14ac:dyDescent="0.55000000000000004">
      <c r="D444">
        <v>437</v>
      </c>
      <c r="E444">
        <v>11.798450125786591</v>
      </c>
      <c r="F444">
        <v>0.41335538588244475</v>
      </c>
      <c r="G444">
        <v>0.18856000637018361</v>
      </c>
      <c r="H444">
        <v>17.599634481960784</v>
      </c>
      <c r="I444">
        <v>12.025817839869715</v>
      </c>
      <c r="J444">
        <v>0.25365515531448418</v>
      </c>
      <c r="K444">
        <v>0.11525748441390159</v>
      </c>
      <c r="L444">
        <v>17.605269520401915</v>
      </c>
      <c r="M444">
        <v>11.952056352126906</v>
      </c>
      <c r="N444">
        <v>0.30550089993569107</v>
      </c>
      <c r="O444">
        <v>0.13899099736936499</v>
      </c>
      <c r="P444">
        <v>17.603451750568048</v>
      </c>
      <c r="Q444">
        <v>11.917775369405048</v>
      </c>
      <c r="R444">
        <v>0.32958453030470553</v>
      </c>
      <c r="S444">
        <v>0.15003651975443269</v>
      </c>
      <c r="T444">
        <v>17.602603580535796</v>
      </c>
      <c r="U444">
        <v>1496.3119751255663</v>
      </c>
      <c r="V444">
        <v>9.2894267445630092</v>
      </c>
      <c r="W444">
        <v>1277.0624293207325</v>
      </c>
      <c r="X444">
        <v>6.981963977667041</v>
      </c>
      <c r="Y444">
        <v>2853.4561219608072</v>
      </c>
      <c r="Z444">
        <v>9.3316486386208872</v>
      </c>
      <c r="AA444">
        <v>2714.6967290068806</v>
      </c>
      <c r="AB444">
        <v>7.0082516089007232</v>
      </c>
      <c r="AC444">
        <v>2171.5997578418924</v>
      </c>
      <c r="AD444">
        <v>9.317945170917687</v>
      </c>
      <c r="AE444">
        <v>2002.0374309612241</v>
      </c>
      <c r="AF444">
        <v>6.9997328563092234</v>
      </c>
      <c r="AG444">
        <v>2059.3601584126304</v>
      </c>
      <c r="AH444">
        <v>9.3115783897580187</v>
      </c>
      <c r="AI444">
        <v>1878.2322937262495</v>
      </c>
      <c r="AJ444">
        <v>6.9957706895583067</v>
      </c>
    </row>
    <row r="445" spans="4:36" x14ac:dyDescent="0.55000000000000004">
      <c r="D445">
        <v>438</v>
      </c>
      <c r="E445">
        <v>13.017617791611251</v>
      </c>
      <c r="F445">
        <v>0.50220704901218127</v>
      </c>
      <c r="G445">
        <v>0.18161644751284406</v>
      </c>
      <c r="H445">
        <v>16.298558711863731</v>
      </c>
      <c r="I445">
        <v>13.274453365828231</v>
      </c>
      <c r="J445">
        <v>0.31403110452068228</v>
      </c>
      <c r="K445">
        <v>0.11315862412153453</v>
      </c>
      <c r="L445">
        <v>16.298356905529555</v>
      </c>
      <c r="M445">
        <v>13.183119345839627</v>
      </c>
      <c r="N445">
        <v>0.38099151975692069</v>
      </c>
      <c r="O445">
        <v>0.13746154034961119</v>
      </c>
      <c r="P445">
        <v>16.298427594053848</v>
      </c>
      <c r="Q445">
        <v>13.133856939469544</v>
      </c>
      <c r="R445">
        <v>0.41708819144745862</v>
      </c>
      <c r="S445">
        <v>0.15058865772983968</v>
      </c>
      <c r="T445">
        <v>16.298466211353173</v>
      </c>
      <c r="U445">
        <v>1598.8919004457948</v>
      </c>
      <c r="V445">
        <v>10.304062268689531</v>
      </c>
      <c r="W445">
        <v>1335.3431055894052</v>
      </c>
      <c r="X445">
        <v>7.5968369841574335</v>
      </c>
      <c r="Y445">
        <v>2937.1968303367448</v>
      </c>
      <c r="Z445">
        <v>10.356203720930097</v>
      </c>
      <c r="AA445">
        <v>2764.992194058826</v>
      </c>
      <c r="AB445">
        <v>7.6278704337567103</v>
      </c>
      <c r="AC445">
        <v>2257.8019740606746</v>
      </c>
      <c r="AD445">
        <v>10.337661940398206</v>
      </c>
      <c r="AE445">
        <v>2051.4452211980729</v>
      </c>
      <c r="AF445">
        <v>7.6168483712334512</v>
      </c>
      <c r="AG445">
        <v>2164.0813062736947</v>
      </c>
      <c r="AH445">
        <v>10.327660969824271</v>
      </c>
      <c r="AI445">
        <v>1939.8511801195657</v>
      </c>
      <c r="AJ445">
        <v>7.6108971490953961</v>
      </c>
    </row>
    <row r="446" spans="4:36" x14ac:dyDescent="0.55000000000000004">
      <c r="D446">
        <v>439</v>
      </c>
      <c r="E446">
        <v>11.351555084956638</v>
      </c>
      <c r="F446">
        <v>0.45804168720353783</v>
      </c>
      <c r="G446">
        <v>0.14476892878546349</v>
      </c>
      <c r="H446">
        <v>18.045634299054363</v>
      </c>
      <c r="I446">
        <v>11.549840889925902</v>
      </c>
      <c r="J446">
        <v>0.286322262618598</v>
      </c>
      <c r="K446">
        <v>9.0218366800956448E-2</v>
      </c>
      <c r="L446">
        <v>18.073618480654538</v>
      </c>
      <c r="M446">
        <v>11.449988968061202</v>
      </c>
      <c r="N446">
        <v>0.37281282106020641</v>
      </c>
      <c r="O446">
        <v>0.11765175010743738</v>
      </c>
      <c r="P446">
        <v>18.059546460771159</v>
      </c>
      <c r="Q446">
        <v>11.411897378151815</v>
      </c>
      <c r="R446">
        <v>0.40579833636541424</v>
      </c>
      <c r="S446">
        <v>0.12813676688383949</v>
      </c>
      <c r="T446">
        <v>18.054167518598938</v>
      </c>
      <c r="U446">
        <v>1472.5575604763494</v>
      </c>
      <c r="V446">
        <v>8.9889623724682313</v>
      </c>
      <c r="W446">
        <v>1259.2230225725257</v>
      </c>
      <c r="X446">
        <v>6.8001781027433141</v>
      </c>
      <c r="Y446">
        <v>2858.2393231802348</v>
      </c>
      <c r="Z446">
        <v>9.0042530741130395</v>
      </c>
      <c r="AA446">
        <v>2718.1873091214038</v>
      </c>
      <c r="AB446">
        <v>6.8109029443973172</v>
      </c>
      <c r="AC446">
        <v>2186.326451212401</v>
      </c>
      <c r="AD446">
        <v>8.9965415571288609</v>
      </c>
      <c r="AE446">
        <v>2010.6687407569161</v>
      </c>
      <c r="AF446">
        <v>6.8055029630262105</v>
      </c>
      <c r="AG446">
        <v>2091.4284779003306</v>
      </c>
      <c r="AH446">
        <v>8.9936058887484229</v>
      </c>
      <c r="AI446">
        <v>1899.528039982006</v>
      </c>
      <c r="AJ446">
        <v>6.8034425543422472</v>
      </c>
    </row>
    <row r="447" spans="4:36" x14ac:dyDescent="0.55000000000000004">
      <c r="D447">
        <v>440</v>
      </c>
      <c r="E447">
        <v>11.58471183323287</v>
      </c>
      <c r="F447">
        <v>0.39655107098646364</v>
      </c>
      <c r="G447">
        <v>0.14019694004391584</v>
      </c>
      <c r="H447">
        <v>17.878540155736733</v>
      </c>
      <c r="I447">
        <v>11.770857283460018</v>
      </c>
      <c r="J447">
        <v>0.25554879016087706</v>
      </c>
      <c r="K447">
        <v>9.007966056481316E-2</v>
      </c>
      <c r="L447">
        <v>17.883514265814288</v>
      </c>
      <c r="M447">
        <v>11.666148146280978</v>
      </c>
      <c r="N447">
        <v>0.33488823917928151</v>
      </c>
      <c r="O447">
        <v>0.11824272916531203</v>
      </c>
      <c r="P447">
        <v>17.880720885374437</v>
      </c>
      <c r="Q447">
        <v>11.641925371329723</v>
      </c>
      <c r="R447">
        <v>0.35323340749137733</v>
      </c>
      <c r="S447">
        <v>0.12476822649893513</v>
      </c>
      <c r="T447">
        <v>17.88007299467996</v>
      </c>
      <c r="U447">
        <v>1444.1898322001914</v>
      </c>
      <c r="V447">
        <v>9.0345389383660475</v>
      </c>
      <c r="W447">
        <v>1244.6493758772704</v>
      </c>
      <c r="X447">
        <v>6.8189452821849512</v>
      </c>
      <c r="Y447">
        <v>2836.6118111075175</v>
      </c>
      <c r="Z447">
        <v>9.0659790521387968</v>
      </c>
      <c r="AA447">
        <v>2705.4660263595679</v>
      </c>
      <c r="AB447">
        <v>6.8384099790033535</v>
      </c>
      <c r="AC447">
        <v>2176.8926424362326</v>
      </c>
      <c r="AD447">
        <v>9.0482912604853567</v>
      </c>
      <c r="AE447">
        <v>2008.2120393603871</v>
      </c>
      <c r="AF447">
        <v>6.8274680853935541</v>
      </c>
      <c r="AG447">
        <v>2065.2304277906428</v>
      </c>
      <c r="AH447">
        <v>9.0442003274326677</v>
      </c>
      <c r="AI447">
        <v>1885.6358056418183</v>
      </c>
      <c r="AJ447">
        <v>6.8249342098572621</v>
      </c>
    </row>
    <row r="448" spans="4:36" x14ac:dyDescent="0.55000000000000004">
      <c r="D448">
        <v>441</v>
      </c>
      <c r="E448">
        <v>12.898590475814943</v>
      </c>
      <c r="F448">
        <v>0.46026969337409929</v>
      </c>
      <c r="G448">
        <v>0.18690588923537002</v>
      </c>
      <c r="H448">
        <v>16.454233941575581</v>
      </c>
      <c r="I448">
        <v>13.122959004288424</v>
      </c>
      <c r="J448">
        <v>0.30024996214541227</v>
      </c>
      <c r="K448">
        <v>0.12153938341155464</v>
      </c>
      <c r="L448">
        <v>16.455251650154626</v>
      </c>
      <c r="M448">
        <v>13.054232163913627</v>
      </c>
      <c r="N448">
        <v>0.34929795757858445</v>
      </c>
      <c r="O448">
        <v>0.14153037792333054</v>
      </c>
      <c r="P448">
        <v>16.454939500584452</v>
      </c>
      <c r="Q448">
        <v>13.003514931610637</v>
      </c>
      <c r="R448">
        <v>0.38547506597459341</v>
      </c>
      <c r="S448">
        <v>0.15630062170470352</v>
      </c>
      <c r="T448">
        <v>16.454709380710064</v>
      </c>
      <c r="U448">
        <v>1553.5732328747279</v>
      </c>
      <c r="V448">
        <v>10.189586934998919</v>
      </c>
      <c r="W448">
        <v>1310.2734871534253</v>
      </c>
      <c r="X448">
        <v>7.5260729419246024</v>
      </c>
      <c r="Y448">
        <v>2897.6876986341026</v>
      </c>
      <c r="Z448">
        <v>10.228718092293681</v>
      </c>
      <c r="AA448">
        <v>2740.175974122214</v>
      </c>
      <c r="AB448">
        <v>7.5494373018595642</v>
      </c>
      <c r="AC448">
        <v>2223.2433537222291</v>
      </c>
      <c r="AD448">
        <v>10.216731820808478</v>
      </c>
      <c r="AE448">
        <v>2032.3764118371014</v>
      </c>
      <c r="AF448">
        <v>7.542289016790467</v>
      </c>
      <c r="AG448">
        <v>2144.3792033558389</v>
      </c>
      <c r="AH448">
        <v>10.207886459825522</v>
      </c>
      <c r="AI448">
        <v>1932.1825999990324</v>
      </c>
      <c r="AJ448">
        <v>7.5370091188465009</v>
      </c>
    </row>
    <row r="449" spans="4:36" x14ac:dyDescent="0.55000000000000004">
      <c r="D449">
        <v>442</v>
      </c>
      <c r="E449">
        <v>12.596386398476461</v>
      </c>
      <c r="F449">
        <v>0.46018353578250926</v>
      </c>
      <c r="G449">
        <v>0.1450313077192503</v>
      </c>
      <c r="H449">
        <v>16.798398758021772</v>
      </c>
      <c r="I449">
        <v>12.791424369543369</v>
      </c>
      <c r="J449">
        <v>0.31158292816107902</v>
      </c>
      <c r="K449">
        <v>9.7930121363666051E-2</v>
      </c>
      <c r="L449">
        <v>16.799062580931878</v>
      </c>
      <c r="M449">
        <v>12.723649417587266</v>
      </c>
      <c r="N449">
        <v>0.3632437788615428</v>
      </c>
      <c r="O449">
        <v>0.1142751927727416</v>
      </c>
      <c r="P449">
        <v>16.798831610778461</v>
      </c>
      <c r="Q449">
        <v>12.673798219884258</v>
      </c>
      <c r="R449">
        <v>0.40122701567008018</v>
      </c>
      <c r="S449">
        <v>0.12631284257239847</v>
      </c>
      <c r="T449">
        <v>16.798661921873272</v>
      </c>
      <c r="U449">
        <v>1552.0353949515543</v>
      </c>
      <c r="V449">
        <v>9.9235824873819531</v>
      </c>
      <c r="W449">
        <v>1310.7809482691805</v>
      </c>
      <c r="X449">
        <v>7.3666758850490206</v>
      </c>
      <c r="Y449">
        <v>2893.7180518538757</v>
      </c>
      <c r="Z449">
        <v>9.9590770883288311</v>
      </c>
      <c r="AA449">
        <v>2737.3827255418969</v>
      </c>
      <c r="AB449">
        <v>7.3879886817541891</v>
      </c>
      <c r="AC449">
        <v>2232.7243371947043</v>
      </c>
      <c r="AD449">
        <v>9.9467427933993271</v>
      </c>
      <c r="AE449">
        <v>2039.6954807138281</v>
      </c>
      <c r="AF449">
        <v>7.3805900080150373</v>
      </c>
      <c r="AG449">
        <v>2143.0918907010559</v>
      </c>
      <c r="AH449">
        <v>9.9376704628656523</v>
      </c>
      <c r="AI449">
        <v>1931.4888332037835</v>
      </c>
      <c r="AJ449">
        <v>7.3751429455481876</v>
      </c>
    </row>
    <row r="450" spans="4:36" x14ac:dyDescent="0.55000000000000004">
      <c r="D450">
        <v>443</v>
      </c>
      <c r="E450">
        <v>11.550323463223732</v>
      </c>
      <c r="F450">
        <v>0.40924234749722882</v>
      </c>
      <c r="G450">
        <v>0.15247925216148689</v>
      </c>
      <c r="H450">
        <v>17.887954937117538</v>
      </c>
      <c r="I450">
        <v>11.741284146773479</v>
      </c>
      <c r="J450">
        <v>0.26555152185782255</v>
      </c>
      <c r="K450">
        <v>9.8651081628017889E-2</v>
      </c>
      <c r="L450">
        <v>17.894513249740676</v>
      </c>
      <c r="M450">
        <v>11.678297849149301</v>
      </c>
      <c r="N450">
        <v>0.31296935172004803</v>
      </c>
      <c r="O450">
        <v>0.116378908243583</v>
      </c>
      <c r="P450">
        <v>17.892353890887083</v>
      </c>
      <c r="Q450">
        <v>11.614605497382518</v>
      </c>
      <c r="R450">
        <v>0.36089577325466482</v>
      </c>
      <c r="S450">
        <v>0.13433222557017988</v>
      </c>
      <c r="T450">
        <v>17.890166503792642</v>
      </c>
      <c r="U450">
        <v>1500.0205514152713</v>
      </c>
      <c r="V450">
        <v>9.1375693730128287</v>
      </c>
      <c r="W450">
        <v>1282.3541236343631</v>
      </c>
      <c r="X450">
        <v>6.8985718517040073</v>
      </c>
      <c r="Y450">
        <v>2851.0994280467785</v>
      </c>
      <c r="Z450">
        <v>9.1690957765945562</v>
      </c>
      <c r="AA450">
        <v>2713.2235031297664</v>
      </c>
      <c r="AB450">
        <v>6.918010598534571</v>
      </c>
      <c r="AC450">
        <v>2175.4403433439525</v>
      </c>
      <c r="AD450">
        <v>9.1586957743482245</v>
      </c>
      <c r="AE450">
        <v>2005.9749358696993</v>
      </c>
      <c r="AF450">
        <v>6.9116058895742682</v>
      </c>
      <c r="AG450">
        <v>2066.0452923156558</v>
      </c>
      <c r="AH450">
        <v>9.148180551366071</v>
      </c>
      <c r="AI450">
        <v>1882.3457592449122</v>
      </c>
      <c r="AJ450">
        <v>6.9051224525415762</v>
      </c>
    </row>
    <row r="451" spans="4:36" x14ac:dyDescent="0.55000000000000004">
      <c r="D451">
        <v>444</v>
      </c>
      <c r="E451">
        <v>13.445201141847276</v>
      </c>
      <c r="F451">
        <v>0.52403919147448608</v>
      </c>
      <c r="G451">
        <v>0.17922120821009707</v>
      </c>
      <c r="H451">
        <v>15.851538458468132</v>
      </c>
      <c r="I451">
        <v>13.688891432464688</v>
      </c>
      <c r="J451">
        <v>0.34288812017042586</v>
      </c>
      <c r="K451">
        <v>0.11688863289525631</v>
      </c>
      <c r="L451">
        <v>15.851331814469633</v>
      </c>
      <c r="M451">
        <v>13.611540844246795</v>
      </c>
      <c r="N451">
        <v>0.40042235787023234</v>
      </c>
      <c r="O451">
        <v>0.13664132702837845</v>
      </c>
      <c r="P451">
        <v>15.851395470854577</v>
      </c>
      <c r="Q451">
        <v>13.568460273156727</v>
      </c>
      <c r="R451">
        <v>0.43245234281534173</v>
      </c>
      <c r="S451">
        <v>0.14765568398601261</v>
      </c>
      <c r="T451">
        <v>15.85143170004193</v>
      </c>
      <c r="U451">
        <v>1624.4041855167713</v>
      </c>
      <c r="V451">
        <v>10.675758706935989</v>
      </c>
      <c r="W451">
        <v>1350.5087877634808</v>
      </c>
      <c r="X451">
        <v>7.8200815040040661</v>
      </c>
      <c r="Y451">
        <v>2953.6965720992016</v>
      </c>
      <c r="Z451">
        <v>10.721383413638291</v>
      </c>
      <c r="AA451">
        <v>2773.4964157123636</v>
      </c>
      <c r="AB451">
        <v>7.846930880440806</v>
      </c>
      <c r="AC451">
        <v>2274.46998665398</v>
      </c>
      <c r="AD451">
        <v>10.706903100269168</v>
      </c>
      <c r="AE451">
        <v>2060.6176437956401</v>
      </c>
      <c r="AF451">
        <v>7.8384192010891152</v>
      </c>
      <c r="AG451">
        <v>2173.8479973930594</v>
      </c>
      <c r="AH451">
        <v>10.698837624192391</v>
      </c>
      <c r="AI451">
        <v>1944.1497857517807</v>
      </c>
      <c r="AJ451">
        <v>7.8336743221843435</v>
      </c>
    </row>
    <row r="452" spans="4:36" x14ac:dyDescent="0.55000000000000004">
      <c r="D452">
        <v>445</v>
      </c>
      <c r="E452">
        <v>12.748749492997183</v>
      </c>
      <c r="F452">
        <v>0.47589113130959237</v>
      </c>
      <c r="G452">
        <v>0.16007411829033918</v>
      </c>
      <c r="H452">
        <v>16.615285257402867</v>
      </c>
      <c r="I452">
        <v>12.966847121029373</v>
      </c>
      <c r="J452">
        <v>0.30588392436021622</v>
      </c>
      <c r="K452">
        <v>0.10256908819468816</v>
      </c>
      <c r="L452">
        <v>16.624699866415739</v>
      </c>
      <c r="M452">
        <v>12.853405222865447</v>
      </c>
      <c r="N452">
        <v>0.39434109619943719</v>
      </c>
      <c r="O452">
        <v>0.13244439395191659</v>
      </c>
      <c r="P452">
        <v>16.619809286983184</v>
      </c>
      <c r="Q452">
        <v>12.783243483851592</v>
      </c>
      <c r="R452">
        <v>0.44901864230215444</v>
      </c>
      <c r="S452">
        <v>0.15096021371498014</v>
      </c>
      <c r="T452">
        <v>16.61677766013127</v>
      </c>
      <c r="U452">
        <v>1539.5533463605148</v>
      </c>
      <c r="V452">
        <v>10.137111576071685</v>
      </c>
      <c r="W452">
        <v>1299.500164740665</v>
      </c>
      <c r="X452">
        <v>7.5039444134269804</v>
      </c>
      <c r="Y452">
        <v>2891.2525269924122</v>
      </c>
      <c r="Z452">
        <v>10.170857024345707</v>
      </c>
      <c r="AA452">
        <v>2735.5805004795152</v>
      </c>
      <c r="AB452">
        <v>7.5245388729382157</v>
      </c>
      <c r="AC452">
        <v>2234.5343627690859</v>
      </c>
      <c r="AD452">
        <v>10.153300958788972</v>
      </c>
      <c r="AE452">
        <v>2038.0196937648361</v>
      </c>
      <c r="AF452">
        <v>7.5138342089730781</v>
      </c>
      <c r="AG452">
        <v>2146.4999323101247</v>
      </c>
      <c r="AH452">
        <v>10.142446771216012</v>
      </c>
      <c r="AI452">
        <v>1929.6558784527451</v>
      </c>
      <c r="AJ452">
        <v>7.5072055596700995</v>
      </c>
    </row>
    <row r="453" spans="4:36" x14ac:dyDescent="0.55000000000000004">
      <c r="D453">
        <v>446</v>
      </c>
      <c r="E453">
        <v>12.258519833835877</v>
      </c>
      <c r="F453">
        <v>0.45226609553162878</v>
      </c>
      <c r="G453">
        <v>0.14926458770537454</v>
      </c>
      <c r="H453">
        <v>17.139949482927133</v>
      </c>
      <c r="I453">
        <v>12.459041893214268</v>
      </c>
      <c r="J453">
        <v>0.30250999342518542</v>
      </c>
      <c r="K453">
        <v>9.9555492357992478E-2</v>
      </c>
      <c r="L453">
        <v>17.138892621002551</v>
      </c>
      <c r="M453">
        <v>12.388051572804974</v>
      </c>
      <c r="N453">
        <v>0.35555360501401873</v>
      </c>
      <c r="O453">
        <v>0.11712962445994712</v>
      </c>
      <c r="P453">
        <v>17.13926519772107</v>
      </c>
      <c r="Q453">
        <v>12.340125610418978</v>
      </c>
      <c r="R453">
        <v>0.39134767979362589</v>
      </c>
      <c r="S453">
        <v>0.12900900715294952</v>
      </c>
      <c r="T453">
        <v>17.139517702634429</v>
      </c>
      <c r="U453">
        <v>1548.3223926775834</v>
      </c>
      <c r="V453">
        <v>9.6942991790093487</v>
      </c>
      <c r="W453">
        <v>1313.4008843719075</v>
      </c>
      <c r="X453">
        <v>7.2345399519369948</v>
      </c>
      <c r="Y453">
        <v>2872.8716631803409</v>
      </c>
      <c r="Z453">
        <v>9.732003147127088</v>
      </c>
      <c r="AA453">
        <v>2725.5402691429936</v>
      </c>
      <c r="AB453">
        <v>7.2571032763905725</v>
      </c>
      <c r="AC453">
        <v>2216.2056879640099</v>
      </c>
      <c r="AD453">
        <v>9.7186563602076941</v>
      </c>
      <c r="AE453">
        <v>2031.6754014428029</v>
      </c>
      <c r="AF453">
        <v>7.2491243176269107</v>
      </c>
      <c r="AG453">
        <v>2107.9862650872078</v>
      </c>
      <c r="AH453">
        <v>9.7096449717097624</v>
      </c>
      <c r="AI453">
        <v>1910.0641422829931</v>
      </c>
      <c r="AJ453">
        <v>7.2437320733550763</v>
      </c>
    </row>
    <row r="454" spans="4:36" x14ac:dyDescent="0.55000000000000004">
      <c r="D454">
        <v>447</v>
      </c>
      <c r="E454">
        <v>11.840354479314513</v>
      </c>
      <c r="F454">
        <v>0.43168893544783471</v>
      </c>
      <c r="G454">
        <v>0.16953087876746781</v>
      </c>
      <c r="H454">
        <v>17.558425706470178</v>
      </c>
      <c r="I454">
        <v>12.087679040200028</v>
      </c>
      <c r="J454">
        <v>0.25919565922930682</v>
      </c>
      <c r="K454">
        <v>0.10139614107579967</v>
      </c>
      <c r="L454">
        <v>17.551729159494865</v>
      </c>
      <c r="M454">
        <v>11.997965685151694</v>
      </c>
      <c r="N454">
        <v>0.32181121533400087</v>
      </c>
      <c r="O454">
        <v>0.1260673283125005</v>
      </c>
      <c r="P454">
        <v>17.554155771201792</v>
      </c>
      <c r="Q454">
        <v>12.000883196476209</v>
      </c>
      <c r="R454">
        <v>0.31977575608107484</v>
      </c>
      <c r="S454">
        <v>0.12526423447957771</v>
      </c>
      <c r="T454">
        <v>17.554076812963146</v>
      </c>
      <c r="U454">
        <v>1506.6549229410139</v>
      </c>
      <c r="V454">
        <v>9.3720060013214503</v>
      </c>
      <c r="W454">
        <v>1284.8492847827163</v>
      </c>
      <c r="X454">
        <v>7.0404628049070119</v>
      </c>
      <c r="Y454">
        <v>2871.1487836289953</v>
      </c>
      <c r="Z454">
        <v>9.4225599356294438</v>
      </c>
      <c r="AA454">
        <v>2728.4171143575581</v>
      </c>
      <c r="AB454">
        <v>7.0709292294685868</v>
      </c>
      <c r="AC454">
        <v>2167.4992757508412</v>
      </c>
      <c r="AD454">
        <v>9.4042241183724364</v>
      </c>
      <c r="AE454">
        <v>1998.6234838414041</v>
      </c>
      <c r="AF454">
        <v>7.0598938555615538</v>
      </c>
      <c r="AG454">
        <v>2034.4440192408904</v>
      </c>
      <c r="AH454">
        <v>9.4048204394311075</v>
      </c>
      <c r="AI454">
        <v>1861.3342924080087</v>
      </c>
      <c r="AJ454">
        <v>7.0602530120728186</v>
      </c>
    </row>
    <row r="455" spans="4:36" x14ac:dyDescent="0.55000000000000004">
      <c r="D455">
        <v>448</v>
      </c>
      <c r="E455">
        <v>12.363236334322865</v>
      </c>
      <c r="F455">
        <v>0.46481536056044853</v>
      </c>
      <c r="G455">
        <v>0.1774353523041185</v>
      </c>
      <c r="H455">
        <v>16.994512952812567</v>
      </c>
      <c r="I455">
        <v>12.648491510321415</v>
      </c>
      <c r="J455">
        <v>0.26145001593415279</v>
      </c>
      <c r="K455">
        <v>9.939217621971104E-2</v>
      </c>
      <c r="L455">
        <v>16.990666297524744</v>
      </c>
      <c r="M455">
        <v>12.530667769922921</v>
      </c>
      <c r="N455">
        <v>0.34550992155892146</v>
      </c>
      <c r="O455">
        <v>0.13157152002503378</v>
      </c>
      <c r="P455">
        <v>16.992250788493131</v>
      </c>
      <c r="Q455">
        <v>12.47499584611176</v>
      </c>
      <c r="R455">
        <v>0.38519887279764969</v>
      </c>
      <c r="S455">
        <v>0.14680369429337684</v>
      </c>
      <c r="T455">
        <v>16.993001586797231</v>
      </c>
      <c r="U455">
        <v>1494.107060871846</v>
      </c>
      <c r="V455">
        <v>9.7685792777492946</v>
      </c>
      <c r="W455">
        <v>1271.4014688734146</v>
      </c>
      <c r="X455">
        <v>7.2755281696216452</v>
      </c>
      <c r="Y455">
        <v>2893.7490500282775</v>
      </c>
      <c r="Z455">
        <v>9.8266183052298111</v>
      </c>
      <c r="AA455">
        <v>2743.9824309247247</v>
      </c>
      <c r="AB455">
        <v>7.3103447741222363</v>
      </c>
      <c r="AC455">
        <v>2209.3846743830572</v>
      </c>
      <c r="AD455">
        <v>9.802646852182642</v>
      </c>
      <c r="AE455">
        <v>2026.9658434880337</v>
      </c>
      <c r="AF455">
        <v>7.2959839238650748</v>
      </c>
      <c r="AG455">
        <v>2096.6584510894304</v>
      </c>
      <c r="AH455">
        <v>9.7913196254867554</v>
      </c>
      <c r="AI455">
        <v>1901.6902187459978</v>
      </c>
      <c r="AJ455">
        <v>7.2891886384204199</v>
      </c>
    </row>
    <row r="456" spans="4:36" x14ac:dyDescent="0.55000000000000004">
      <c r="D456">
        <v>449</v>
      </c>
      <c r="E456">
        <v>12.913420653720751</v>
      </c>
      <c r="F456">
        <v>0.43266514206941081</v>
      </c>
      <c r="G456">
        <v>0.16125712217377269</v>
      </c>
      <c r="H456">
        <v>16.492657082036072</v>
      </c>
      <c r="I456">
        <v>13.140532466775166</v>
      </c>
      <c r="J456">
        <v>0.28013045298308292</v>
      </c>
      <c r="K456">
        <v>0.10407056643010659</v>
      </c>
      <c r="L456">
        <v>16.475266513811643</v>
      </c>
      <c r="M456">
        <v>13.052685689009769</v>
      </c>
      <c r="N456">
        <v>0.33917103431242707</v>
      </c>
      <c r="O456">
        <v>0.12616103454020558</v>
      </c>
      <c r="P456">
        <v>16.481982242137583</v>
      </c>
      <c r="Q456">
        <v>13.026419478154789</v>
      </c>
      <c r="R456">
        <v>0.35681437138285116</v>
      </c>
      <c r="S456">
        <v>0.13277323514436548</v>
      </c>
      <c r="T456">
        <v>16.483992915317977</v>
      </c>
      <c r="U456">
        <v>1533.1754092276403</v>
      </c>
      <c r="V456">
        <v>10.136720238616025</v>
      </c>
      <c r="W456">
        <v>1298.457418580356</v>
      </c>
      <c r="X456">
        <v>7.4922264526170883</v>
      </c>
      <c r="Y456">
        <v>2891.1668374573933</v>
      </c>
      <c r="Z456">
        <v>10.188164772061668</v>
      </c>
      <c r="AA456">
        <v>2737.6679329728686</v>
      </c>
      <c r="AB456">
        <v>7.522258460455479</v>
      </c>
      <c r="AC456">
        <v>2221.1666351226941</v>
      </c>
      <c r="AD456">
        <v>10.16827192996127</v>
      </c>
      <c r="AE456">
        <v>2032.5641798319691</v>
      </c>
      <c r="AF456">
        <v>7.5106565802347358</v>
      </c>
      <c r="AG456">
        <v>2088.8481540882781</v>
      </c>
      <c r="AH456">
        <v>10.16232252838781</v>
      </c>
      <c r="AI456">
        <v>1894.1366356472902</v>
      </c>
      <c r="AJ456">
        <v>7.5071840824594958</v>
      </c>
    </row>
    <row r="457" spans="4:36" x14ac:dyDescent="0.55000000000000004">
      <c r="D457">
        <v>450</v>
      </c>
      <c r="E457">
        <v>13.137227112987659</v>
      </c>
      <c r="F457">
        <v>0.40935907905469143</v>
      </c>
      <c r="G457">
        <v>0.18754117966125766</v>
      </c>
      <c r="H457">
        <v>16.265872628296375</v>
      </c>
      <c r="I457">
        <v>13.367546536051421</v>
      </c>
      <c r="J457">
        <v>0.26506394639673153</v>
      </c>
      <c r="K457">
        <v>0.12100057324768866</v>
      </c>
      <c r="L457">
        <v>16.246388944304172</v>
      </c>
      <c r="M457">
        <v>13.227159454541578</v>
      </c>
      <c r="N457">
        <v>0.35306105487477912</v>
      </c>
      <c r="O457">
        <v>0.16152209061936604</v>
      </c>
      <c r="P457">
        <v>16.258257399964286</v>
      </c>
      <c r="Q457">
        <v>13.212405055586965</v>
      </c>
      <c r="R457">
        <v>0.36230130905221986</v>
      </c>
      <c r="S457">
        <v>0.16578753222698736</v>
      </c>
      <c r="T457">
        <v>16.259506103133834</v>
      </c>
      <c r="U457">
        <v>1571.6429616450366</v>
      </c>
      <c r="V457">
        <v>10.386402756564923</v>
      </c>
      <c r="W457">
        <v>1322.1116101482096</v>
      </c>
      <c r="X457">
        <v>7.6511092036415569</v>
      </c>
      <c r="Y457">
        <v>2900.6805229814845</v>
      </c>
      <c r="Z457">
        <v>10.440358592291986</v>
      </c>
      <c r="AA457">
        <v>2741.5765191492351</v>
      </c>
      <c r="AB457">
        <v>7.6827113554798148</v>
      </c>
      <c r="AC457">
        <v>2278.3392078964766</v>
      </c>
      <c r="AD457">
        <v>10.407474599691058</v>
      </c>
      <c r="AE457">
        <v>2068.3231008753337</v>
      </c>
      <c r="AF457">
        <v>7.6634631797260964</v>
      </c>
      <c r="AG457">
        <v>2160.8389443454771</v>
      </c>
      <c r="AH457">
        <v>10.404017867033096</v>
      </c>
      <c r="AI457">
        <v>1941.3503954334569</v>
      </c>
      <c r="AJ457">
        <v>7.6614376420180443</v>
      </c>
    </row>
    <row r="458" spans="4:36" x14ac:dyDescent="0.55000000000000004">
      <c r="D458">
        <v>451</v>
      </c>
      <c r="E458">
        <v>12.163720609025177</v>
      </c>
      <c r="F458">
        <v>0.42977868238093708</v>
      </c>
      <c r="G458">
        <v>0.17940661920894296</v>
      </c>
      <c r="H458">
        <v>17.227094089384934</v>
      </c>
      <c r="I458">
        <v>12.37130924942673</v>
      </c>
      <c r="J458">
        <v>0.27867771358921056</v>
      </c>
      <c r="K458">
        <v>0.11597453986936745</v>
      </c>
      <c r="L458">
        <v>17.234038497114689</v>
      </c>
      <c r="M458">
        <v>12.255396289676218</v>
      </c>
      <c r="N458">
        <v>0.36308089699729529</v>
      </c>
      <c r="O458">
        <v>0.15135820629707553</v>
      </c>
      <c r="P458">
        <v>17.230164607029405</v>
      </c>
      <c r="Q458">
        <v>12.257396049383921</v>
      </c>
      <c r="R458">
        <v>0.36162542924968061</v>
      </c>
      <c r="S458">
        <v>0.15074700162441365</v>
      </c>
      <c r="T458">
        <v>17.230231519741977</v>
      </c>
      <c r="U458">
        <v>1532.3694364733306</v>
      </c>
      <c r="V458">
        <v>9.579128219774093</v>
      </c>
      <c r="W458">
        <v>1301.8993654081053</v>
      </c>
      <c r="X458">
        <v>7.1577892881494734</v>
      </c>
      <c r="Y458">
        <v>2866.5252105276581</v>
      </c>
      <c r="Z458">
        <v>9.614645947830013</v>
      </c>
      <c r="AA458">
        <v>2721.8172306245729</v>
      </c>
      <c r="AB458">
        <v>7.1794976330798352</v>
      </c>
      <c r="AC458">
        <v>2185.4889952106173</v>
      </c>
      <c r="AD458">
        <v>9.5948115738975268</v>
      </c>
      <c r="AE458">
        <v>2006.9554994628131</v>
      </c>
      <c r="AF458">
        <v>7.1673847183524959</v>
      </c>
      <c r="AG458">
        <v>2054.4877490010026</v>
      </c>
      <c r="AH458">
        <v>9.5951537177174888</v>
      </c>
      <c r="AI458">
        <v>1871.1059322983165</v>
      </c>
      <c r="AJ458">
        <v>7.1675938758808702</v>
      </c>
    </row>
    <row r="459" spans="4:36" x14ac:dyDescent="0.55000000000000004">
      <c r="D459">
        <v>452</v>
      </c>
      <c r="E459">
        <v>11.031794548029065</v>
      </c>
      <c r="F459">
        <v>0.41009186330392067</v>
      </c>
      <c r="G459">
        <v>0.15550494082155408</v>
      </c>
      <c r="H459">
        <v>18.402608647845454</v>
      </c>
      <c r="I459">
        <v>11.218632200486471</v>
      </c>
      <c r="J459">
        <v>0.25914899876671194</v>
      </c>
      <c r="K459">
        <v>9.7965819561934037E-2</v>
      </c>
      <c r="L459">
        <v>18.424252981184882</v>
      </c>
      <c r="M459">
        <v>11.165330408229634</v>
      </c>
      <c r="N459">
        <v>0.3022274912833644</v>
      </c>
      <c r="O459">
        <v>0.11435072128847829</v>
      </c>
      <c r="P459">
        <v>18.418091379198529</v>
      </c>
      <c r="Q459">
        <v>11.100690410532636</v>
      </c>
      <c r="R459">
        <v>0.35445145596268568</v>
      </c>
      <c r="S459">
        <v>0.13425310884386008</v>
      </c>
      <c r="T459">
        <v>18.410605024660821</v>
      </c>
      <c r="U459">
        <v>1460.5241379930037</v>
      </c>
      <c r="V459">
        <v>8.7161241287638092</v>
      </c>
      <c r="W459">
        <v>1255.6103111202356</v>
      </c>
      <c r="X459">
        <v>6.6344754741351233</v>
      </c>
      <c r="Y459">
        <v>2846.3145328144433</v>
      </c>
      <c r="Z459">
        <v>8.7369466327671095</v>
      </c>
      <c r="AA459">
        <v>2712.4167207065566</v>
      </c>
      <c r="AB459">
        <v>6.6484135711369881</v>
      </c>
      <c r="AC459">
        <v>2140.7706658993966</v>
      </c>
      <c r="AD459">
        <v>8.7309989917996287</v>
      </c>
      <c r="AE459">
        <v>1983.2823703601739</v>
      </c>
      <c r="AF459">
        <v>6.6444397884730515</v>
      </c>
      <c r="AG459">
        <v>2066.0798753318754</v>
      </c>
      <c r="AH459">
        <v>8.7237939955072807</v>
      </c>
      <c r="AI459">
        <v>1885.9314279886105</v>
      </c>
      <c r="AJ459">
        <v>6.6396180114614403</v>
      </c>
    </row>
    <row r="460" spans="4:36" x14ac:dyDescent="0.55000000000000004">
      <c r="D460">
        <v>453</v>
      </c>
      <c r="E460">
        <v>12.597728886738176</v>
      </c>
      <c r="F460">
        <v>0.42914066146208468</v>
      </c>
      <c r="G460">
        <v>0.14521848668357829</v>
      </c>
      <c r="H460">
        <v>16.827911965116154</v>
      </c>
      <c r="I460">
        <v>12.782117867625761</v>
      </c>
      <c r="J460">
        <v>0.29827209322710396</v>
      </c>
      <c r="K460">
        <v>0.10067076441905878</v>
      </c>
      <c r="L460">
        <v>16.818939274728084</v>
      </c>
      <c r="M460">
        <v>12.703962080310774</v>
      </c>
      <c r="N460">
        <v>0.3537679719278915</v>
      </c>
      <c r="O460">
        <v>0.1195328332633268</v>
      </c>
      <c r="P460">
        <v>16.822737114498008</v>
      </c>
      <c r="Q460">
        <v>12.684126008296209</v>
      </c>
      <c r="R460">
        <v>0.36784698100910118</v>
      </c>
      <c r="S460">
        <v>0.12432474796998236</v>
      </c>
      <c r="T460">
        <v>16.823702262724705</v>
      </c>
      <c r="U460">
        <v>1503.6148303738862</v>
      </c>
      <c r="V460">
        <v>9.913255786228035</v>
      </c>
      <c r="W460">
        <v>1281.1123432300715</v>
      </c>
      <c r="X460">
        <v>7.3634051287216602</v>
      </c>
      <c r="Y460">
        <v>2908.003521035941</v>
      </c>
      <c r="Z460">
        <v>9.9539379840329527</v>
      </c>
      <c r="AA460">
        <v>2751.8601988548703</v>
      </c>
      <c r="AB460">
        <v>7.3874434456218934</v>
      </c>
      <c r="AC460">
        <v>2197.2026545426497</v>
      </c>
      <c r="AD460">
        <v>9.9366970655158102</v>
      </c>
      <c r="AE460">
        <v>2017.2547700165853</v>
      </c>
      <c r="AF460">
        <v>7.3772640886100014</v>
      </c>
      <c r="AG460">
        <v>2099.0754308758715</v>
      </c>
      <c r="AH460">
        <v>9.9323206408873208</v>
      </c>
      <c r="AI460">
        <v>1904.7345844259994</v>
      </c>
      <c r="AJ460">
        <v>7.3746783091739809</v>
      </c>
    </row>
    <row r="461" spans="4:36" x14ac:dyDescent="0.55000000000000004">
      <c r="D461">
        <v>454</v>
      </c>
      <c r="E461">
        <v>12.947601578182002</v>
      </c>
      <c r="F461">
        <v>0.49665498015149556</v>
      </c>
      <c r="G461">
        <v>0.17433543599471157</v>
      </c>
      <c r="H461">
        <v>16.381408005671798</v>
      </c>
      <c r="I461">
        <v>13.203429670097023</v>
      </c>
      <c r="J461">
        <v>0.31377791753787776</v>
      </c>
      <c r="K461">
        <v>0.10974046488924473</v>
      </c>
      <c r="L461">
        <v>16.373051947475869</v>
      </c>
      <c r="M461">
        <v>13.108996923105707</v>
      </c>
      <c r="N461">
        <v>0.3813278674394916</v>
      </c>
      <c r="O461">
        <v>0.13354435611675386</v>
      </c>
      <c r="P461">
        <v>16.376130853338037</v>
      </c>
      <c r="Q461">
        <v>13.061286279253263</v>
      </c>
      <c r="R461">
        <v>0.41543632538854686</v>
      </c>
      <c r="S461">
        <v>0.14558852296947536</v>
      </c>
      <c r="T461">
        <v>16.37768887238872</v>
      </c>
      <c r="U461">
        <v>1547.512228656673</v>
      </c>
      <c r="V461">
        <v>10.182738142774745</v>
      </c>
      <c r="W461">
        <v>1306.6497480743069</v>
      </c>
      <c r="X461">
        <v>7.5152206698896569</v>
      </c>
      <c r="Y461">
        <v>2906.9593601621286</v>
      </c>
      <c r="Z461">
        <v>10.234099004683131</v>
      </c>
      <c r="AA461">
        <v>2748.2475117504232</v>
      </c>
      <c r="AB461">
        <v>7.54544248698374</v>
      </c>
      <c r="AC461">
        <v>2239.8880960921069</v>
      </c>
      <c r="AD461">
        <v>10.215144283690288</v>
      </c>
      <c r="AE461">
        <v>2045.0101403956883</v>
      </c>
      <c r="AF461">
        <v>7.5343019055030043</v>
      </c>
      <c r="AG461">
        <v>2103.6424840964078</v>
      </c>
      <c r="AH461">
        <v>10.205565985031244</v>
      </c>
      <c r="AI461">
        <v>1902.6469367993698</v>
      </c>
      <c r="AJ461">
        <v>7.5286666319449553</v>
      </c>
    </row>
    <row r="462" spans="4:36" x14ac:dyDescent="0.55000000000000004">
      <c r="D462">
        <v>455</v>
      </c>
      <c r="E462">
        <v>11.224143542586734</v>
      </c>
      <c r="F462">
        <v>0.42150740214733151</v>
      </c>
      <c r="G462">
        <v>0.15418335823315973</v>
      </c>
      <c r="H462">
        <v>18.20016569703278</v>
      </c>
      <c r="I462">
        <v>11.413036592566453</v>
      </c>
      <c r="J462">
        <v>0.26860211111725396</v>
      </c>
      <c r="K462">
        <v>9.7959045200780553E-2</v>
      </c>
      <c r="L462">
        <v>18.220402251115509</v>
      </c>
      <c r="M462">
        <v>11.347420096954187</v>
      </c>
      <c r="N462">
        <v>0.32173632940667962</v>
      </c>
      <c r="O462">
        <v>0.1174583483103419</v>
      </c>
      <c r="P462">
        <v>18.213385225328789</v>
      </c>
      <c r="Q462">
        <v>11.300629386964502</v>
      </c>
      <c r="R462">
        <v>0.35961373599395002</v>
      </c>
      <c r="S462">
        <v>0.13138362970068757</v>
      </c>
      <c r="T462">
        <v>18.208373247340869</v>
      </c>
      <c r="U462">
        <v>1504.7142588344343</v>
      </c>
      <c r="V462">
        <v>8.875348923446948</v>
      </c>
      <c r="W462">
        <v>1287.0360556220467</v>
      </c>
      <c r="X462">
        <v>6.733657775273322</v>
      </c>
      <c r="Y462">
        <v>2841.7381752105953</v>
      </c>
      <c r="Z462">
        <v>8.8989782255397039</v>
      </c>
      <c r="AA462">
        <v>2707.1920848058412</v>
      </c>
      <c r="AB462">
        <v>6.7492131052997948</v>
      </c>
      <c r="AC462">
        <v>2167.4277095346906</v>
      </c>
      <c r="AD462">
        <v>8.8907624347458682</v>
      </c>
      <c r="AE462">
        <v>2000.8087505518865</v>
      </c>
      <c r="AF462">
        <v>6.743813152865159</v>
      </c>
      <c r="AG462">
        <v>2053.7943850659526</v>
      </c>
      <c r="AH462">
        <v>8.8849087255944621</v>
      </c>
      <c r="AI462">
        <v>1874.902384079541</v>
      </c>
      <c r="AJ462">
        <v>6.7399601750431124</v>
      </c>
    </row>
    <row r="463" spans="4:36" x14ac:dyDescent="0.55000000000000004">
      <c r="D463">
        <v>456</v>
      </c>
      <c r="E463">
        <v>11.293228565562586</v>
      </c>
      <c r="F463">
        <v>0.42950613195791359</v>
      </c>
      <c r="G463">
        <v>0.15177422588771708</v>
      </c>
      <c r="H463">
        <v>18.125491076591771</v>
      </c>
      <c r="I463">
        <v>11.488886177545204</v>
      </c>
      <c r="J463">
        <v>0.27180005488565856</v>
      </c>
      <c r="K463">
        <v>9.5752644018287716E-2</v>
      </c>
      <c r="L463">
        <v>18.143561123550857</v>
      </c>
      <c r="M463">
        <v>11.383956500019549</v>
      </c>
      <c r="N463">
        <v>0.35639919128032055</v>
      </c>
      <c r="O463">
        <v>0.12576146474617378</v>
      </c>
      <c r="P463">
        <v>18.133882843953948</v>
      </c>
      <c r="Q463">
        <v>11.388901546872415</v>
      </c>
      <c r="R463">
        <v>0.35241343500556399</v>
      </c>
      <c r="S463">
        <v>0.1243454144075809</v>
      </c>
      <c r="T463">
        <v>18.134339603714455</v>
      </c>
      <c r="U463">
        <v>1450.4099525187169</v>
      </c>
      <c r="V463">
        <v>8.9750997673260571</v>
      </c>
      <c r="W463">
        <v>1249.5930093145453</v>
      </c>
      <c r="X463">
        <v>6.8024775580566095</v>
      </c>
      <c r="Y463">
        <v>2849.8410969963329</v>
      </c>
      <c r="Z463">
        <v>9.0033389179389509</v>
      </c>
      <c r="AA463">
        <v>2716.0539684700125</v>
      </c>
      <c r="AB463">
        <v>6.8205946620855045</v>
      </c>
      <c r="AC463">
        <v>2140.4345396089857</v>
      </c>
      <c r="AD463">
        <v>8.9881879048536018</v>
      </c>
      <c r="AE463">
        <v>1981.0446764906353</v>
      </c>
      <c r="AF463">
        <v>6.8108845022486673</v>
      </c>
      <c r="AG463">
        <v>2042.690553472411</v>
      </c>
      <c r="AH463">
        <v>8.9889015903873535</v>
      </c>
      <c r="AI463">
        <v>1870.9652927637705</v>
      </c>
      <c r="AJ463">
        <v>6.8113424204001669</v>
      </c>
    </row>
    <row r="464" spans="4:36" x14ac:dyDescent="0.55000000000000004">
      <c r="D464">
        <v>457</v>
      </c>
      <c r="E464">
        <v>12.476526782556364</v>
      </c>
      <c r="F464">
        <v>0.40577849063996718</v>
      </c>
      <c r="G464">
        <v>0.16245267727206814</v>
      </c>
      <c r="H464">
        <v>16.955242049531609</v>
      </c>
      <c r="I464">
        <v>12.651375237919153</v>
      </c>
      <c r="J464">
        <v>0.28207810898626312</v>
      </c>
      <c r="K464">
        <v>0.11262707256364785</v>
      </c>
      <c r="L464">
        <v>16.953919580530936</v>
      </c>
      <c r="M464">
        <v>12.564320388897324</v>
      </c>
      <c r="N464">
        <v>0.34369066372734675</v>
      </c>
      <c r="O464">
        <v>0.1374102784004371</v>
      </c>
      <c r="P464">
        <v>16.9545786689749</v>
      </c>
      <c r="Q464">
        <v>12.50148522118052</v>
      </c>
      <c r="R464">
        <v>0.38813271633271224</v>
      </c>
      <c r="S464">
        <v>0.15532846802111522</v>
      </c>
      <c r="T464">
        <v>16.95505359446565</v>
      </c>
      <c r="U464">
        <v>1526.7877087331051</v>
      </c>
      <c r="V464">
        <v>9.8473786187933143</v>
      </c>
      <c r="W464">
        <v>1296.8170141016772</v>
      </c>
      <c r="X464">
        <v>7.3267323818104959</v>
      </c>
      <c r="Y464">
        <v>2896.0427905671327</v>
      </c>
      <c r="Z464">
        <v>9.8811828524831089</v>
      </c>
      <c r="AA464">
        <v>2741.8341950994923</v>
      </c>
      <c r="AB464">
        <v>7.3471096515465728</v>
      </c>
      <c r="AC464">
        <v>2213.0268489418349</v>
      </c>
      <c r="AD464">
        <v>9.864351586066455</v>
      </c>
      <c r="AE464">
        <v>2026.9926862658363</v>
      </c>
      <c r="AF464">
        <v>7.3369710645877806</v>
      </c>
      <c r="AG464">
        <v>2096.7989439235116</v>
      </c>
      <c r="AH464">
        <v>9.8522036686292669</v>
      </c>
      <c r="AI464">
        <v>1898.3864628865288</v>
      </c>
      <c r="AJ464">
        <v>7.329644535965711</v>
      </c>
    </row>
    <row r="465" spans="4:36" x14ac:dyDescent="0.55000000000000004">
      <c r="D465">
        <v>458</v>
      </c>
      <c r="E465">
        <v>12.920994042229079</v>
      </c>
      <c r="F465">
        <v>0.47527846480831759</v>
      </c>
      <c r="G465">
        <v>0.16831447115938467</v>
      </c>
      <c r="H465">
        <v>16.43541302180321</v>
      </c>
      <c r="I465">
        <v>13.191377701873025</v>
      </c>
      <c r="J465">
        <v>0.28912931399379882</v>
      </c>
      <c r="K465">
        <v>0.10200773678136368</v>
      </c>
      <c r="L465">
        <v>16.417485247351831</v>
      </c>
      <c r="M465">
        <v>13.10600830962527</v>
      </c>
      <c r="N465">
        <v>0.34795300860870465</v>
      </c>
      <c r="O465">
        <v>0.1229062441825557</v>
      </c>
      <c r="P465">
        <v>16.423132437583469</v>
      </c>
      <c r="Q465">
        <v>13.046657268620887</v>
      </c>
      <c r="R465">
        <v>0.38882169960941299</v>
      </c>
      <c r="S465">
        <v>0.13745536308817707</v>
      </c>
      <c r="T465">
        <v>16.427065668681525</v>
      </c>
      <c r="U465">
        <v>1585.9011685562382</v>
      </c>
      <c r="V465">
        <v>10.125076673516126</v>
      </c>
      <c r="W465">
        <v>1333.2479291400603</v>
      </c>
      <c r="X465">
        <v>7.4776541784334887</v>
      </c>
      <c r="Y465">
        <v>2915.3132475394814</v>
      </c>
      <c r="Z465">
        <v>10.181229293676921</v>
      </c>
      <c r="AA465">
        <v>2754.0785212761152</v>
      </c>
      <c r="AB465">
        <v>7.5103248530988802</v>
      </c>
      <c r="AC465">
        <v>2242.6353684450078</v>
      </c>
      <c r="AD465">
        <v>10.16350793540447</v>
      </c>
      <c r="AE465">
        <v>2046.8481267198367</v>
      </c>
      <c r="AF465">
        <v>7.5000269890670364</v>
      </c>
      <c r="AG465">
        <v>2143.8396775266906</v>
      </c>
      <c r="AH465">
        <v>10.151183279992312</v>
      </c>
      <c r="AI465">
        <v>1931.5230704641476</v>
      </c>
      <c r="AJ465">
        <v>7.4928582408377826</v>
      </c>
    </row>
    <row r="466" spans="4:36" x14ac:dyDescent="0.55000000000000004">
      <c r="D466">
        <v>459</v>
      </c>
      <c r="E466">
        <v>13.345225312215748</v>
      </c>
      <c r="F466">
        <v>0.45699160229360308</v>
      </c>
      <c r="G466">
        <v>0.17797678137559267</v>
      </c>
      <c r="H466">
        <v>16.01980630411505</v>
      </c>
      <c r="I466">
        <v>13.581546096084748</v>
      </c>
      <c r="J466">
        <v>0.2956973885683114</v>
      </c>
      <c r="K466">
        <v>0.11477071424651517</v>
      </c>
      <c r="L466">
        <v>16.007985801100435</v>
      </c>
      <c r="M466">
        <v>13.492044451286986</v>
      </c>
      <c r="N466">
        <v>0.35682561203978841</v>
      </c>
      <c r="O466">
        <v>0.13867377689182786</v>
      </c>
      <c r="P466">
        <v>16.012456159781387</v>
      </c>
      <c r="Q466">
        <v>13.453700557347826</v>
      </c>
      <c r="R466">
        <v>0.38299852303546572</v>
      </c>
      <c r="S466">
        <v>0.14892720483301974</v>
      </c>
      <c r="T466">
        <v>16.01437371478368</v>
      </c>
      <c r="U466">
        <v>1605.9666740770199</v>
      </c>
      <c r="V466">
        <v>10.488657972235242</v>
      </c>
      <c r="W466">
        <v>1345.3693818161971</v>
      </c>
      <c r="X466">
        <v>7.7006726464010766</v>
      </c>
      <c r="Y466">
        <v>2952.047883075471</v>
      </c>
      <c r="Z466">
        <v>10.540753670792332</v>
      </c>
      <c r="AA466">
        <v>2778.0876808825037</v>
      </c>
      <c r="AB466">
        <v>7.7311890149022942</v>
      </c>
      <c r="AC466">
        <v>2255.276196459829</v>
      </c>
      <c r="AD466">
        <v>10.521026740579284</v>
      </c>
      <c r="AE466">
        <v>2052.379792178042</v>
      </c>
      <c r="AF466">
        <v>7.7196450463287896</v>
      </c>
      <c r="AG466">
        <v>2140.6969808183781</v>
      </c>
      <c r="AH466">
        <v>10.512574211012582</v>
      </c>
      <c r="AI466">
        <v>1926.2564269698717</v>
      </c>
      <c r="AJ466">
        <v>7.7146944261246926</v>
      </c>
    </row>
    <row r="467" spans="4:36" x14ac:dyDescent="0.55000000000000004">
      <c r="D467">
        <v>460</v>
      </c>
      <c r="E467">
        <v>12.167466708840221</v>
      </c>
      <c r="F467">
        <v>0.40736948366828224</v>
      </c>
      <c r="G467">
        <v>0.14314781512958935</v>
      </c>
      <c r="H467">
        <v>17.282015992361917</v>
      </c>
      <c r="I467">
        <v>12.361323641789877</v>
      </c>
      <c r="J467">
        <v>0.26919390345209421</v>
      </c>
      <c r="K467">
        <v>9.4320280830085923E-2</v>
      </c>
      <c r="L467">
        <v>17.275162173927956</v>
      </c>
      <c r="M467">
        <v>12.28915037880706</v>
      </c>
      <c r="N467">
        <v>0.32066412320509347</v>
      </c>
      <c r="O467">
        <v>0.11247502581513824</v>
      </c>
      <c r="P467">
        <v>17.277710472172704</v>
      </c>
      <c r="Q467">
        <v>12.235424786039889</v>
      </c>
      <c r="R467">
        <v>0.35895751228013045</v>
      </c>
      <c r="S467">
        <v>0.12600767844520983</v>
      </c>
      <c r="T467">
        <v>17.279610023234781</v>
      </c>
      <c r="U467">
        <v>1483.7008221806157</v>
      </c>
      <c r="V467">
        <v>9.5653567915347963</v>
      </c>
      <c r="W467">
        <v>1269.5111140429112</v>
      </c>
      <c r="X467">
        <v>7.1533548911123619</v>
      </c>
      <c r="Y467">
        <v>2875.3397995370278</v>
      </c>
      <c r="Z467">
        <v>9.6061763388938584</v>
      </c>
      <c r="AA467">
        <v>2730.7933350843068</v>
      </c>
      <c r="AB467">
        <v>7.1777759558783432</v>
      </c>
      <c r="AC467">
        <v>2200.2904347142194</v>
      </c>
      <c r="AD467">
        <v>9.5909808888442054</v>
      </c>
      <c r="AE467">
        <v>2023.4375400576162</v>
      </c>
      <c r="AF467">
        <v>7.1686938571058709</v>
      </c>
      <c r="AG467">
        <v>2098.5044056054903</v>
      </c>
      <c r="AH467">
        <v>9.5796681007071314</v>
      </c>
      <c r="AI467">
        <v>1906.5490274736551</v>
      </c>
      <c r="AJ467">
        <v>7.161925562126167</v>
      </c>
    </row>
    <row r="468" spans="4:36" x14ac:dyDescent="0.55000000000000004">
      <c r="D468">
        <v>461</v>
      </c>
      <c r="E468">
        <v>12.40192223139543</v>
      </c>
      <c r="F468">
        <v>0.47369076199453181</v>
      </c>
      <c r="G468">
        <v>0.1583860181066164</v>
      </c>
      <c r="H468">
        <v>16.966000988503431</v>
      </c>
      <c r="I468">
        <v>12.661062325269388</v>
      </c>
      <c r="J468">
        <v>0.28504937396826907</v>
      </c>
      <c r="K468">
        <v>9.4949308650333269E-2</v>
      </c>
      <c r="L468">
        <v>16.958938992112003</v>
      </c>
      <c r="M468">
        <v>12.568152942306225</v>
      </c>
      <c r="N468">
        <v>0.35272835257605351</v>
      </c>
      <c r="O468">
        <v>0.11765232351758163</v>
      </c>
      <c r="P468">
        <v>16.961466381600136</v>
      </c>
      <c r="Q468">
        <v>12.514665511893453</v>
      </c>
      <c r="R468">
        <v>0.39166781853912319</v>
      </c>
      <c r="S468">
        <v>0.13074298859093875</v>
      </c>
      <c r="T468">
        <v>16.962923680976495</v>
      </c>
      <c r="U468">
        <v>1543.7323781861751</v>
      </c>
      <c r="V468">
        <v>9.8402811811188595</v>
      </c>
      <c r="W468">
        <v>1305.6332190573416</v>
      </c>
      <c r="X468">
        <v>7.3246746302406507</v>
      </c>
      <c r="Y468">
        <v>2880.425094931818</v>
      </c>
      <c r="Z468">
        <v>9.8916853629872872</v>
      </c>
      <c r="AA468">
        <v>2730.868028568043</v>
      </c>
      <c r="AB468">
        <v>7.3552818266991675</v>
      </c>
      <c r="AC468">
        <v>2182.2874546002718</v>
      </c>
      <c r="AD468">
        <v>9.8732584069830356</v>
      </c>
      <c r="AE468">
        <v>2004.4261107588702</v>
      </c>
      <c r="AF468">
        <v>7.3443240969789141</v>
      </c>
      <c r="AG468">
        <v>2118.3293999498646</v>
      </c>
      <c r="AH468">
        <v>9.8626486119734551</v>
      </c>
      <c r="AI468">
        <v>1915.5082990048747</v>
      </c>
      <c r="AJ468">
        <v>7.3380077948700828</v>
      </c>
    </row>
    <row r="469" spans="4:36" x14ac:dyDescent="0.55000000000000004">
      <c r="D469">
        <v>462</v>
      </c>
      <c r="E469">
        <v>13.118653745771207</v>
      </c>
      <c r="F469">
        <v>0.47356300709923965</v>
      </c>
      <c r="G469">
        <v>0.1629748998497243</v>
      </c>
      <c r="H469">
        <v>16.244808347279832</v>
      </c>
      <c r="I469">
        <v>13.345951058851236</v>
      </c>
      <c r="J469">
        <v>0.31134388280098929</v>
      </c>
      <c r="K469">
        <v>0.10681575512119615</v>
      </c>
      <c r="L469">
        <v>16.235889303226593</v>
      </c>
      <c r="M469">
        <v>13.263984780893907</v>
      </c>
      <c r="N469">
        <v>0.36987736354112583</v>
      </c>
      <c r="O469">
        <v>0.1270388645078851</v>
      </c>
      <c r="P469">
        <v>16.239098991057073</v>
      </c>
      <c r="Q469">
        <v>13.211254837466452</v>
      </c>
      <c r="R469">
        <v>0.40751176182272375</v>
      </c>
      <c r="S469">
        <v>0.14006563708109585</v>
      </c>
      <c r="T469">
        <v>16.241167763629726</v>
      </c>
      <c r="U469">
        <v>1605.0669887906001</v>
      </c>
      <c r="V469">
        <v>10.256064311571622</v>
      </c>
      <c r="W469">
        <v>1345.4129187397605</v>
      </c>
      <c r="X469">
        <v>7.5547462378928145</v>
      </c>
      <c r="Y469">
        <v>2917.9587225837004</v>
      </c>
      <c r="Z469">
        <v>10.305546052071103</v>
      </c>
      <c r="AA469">
        <v>2752.9984333907537</v>
      </c>
      <c r="AB469">
        <v>7.583811706363071</v>
      </c>
      <c r="AC469">
        <v>2258.8940467408315</v>
      </c>
      <c r="AD469">
        <v>10.287705640142194</v>
      </c>
      <c r="AE469">
        <v>2055.5823359847918</v>
      </c>
      <c r="AF469">
        <v>7.5733428556873772</v>
      </c>
      <c r="AG469">
        <v>2179.084352428777</v>
      </c>
      <c r="AH469">
        <v>10.276226700663136</v>
      </c>
      <c r="AI469">
        <v>1954.422255485923</v>
      </c>
      <c r="AJ469">
        <v>7.5666006752547865</v>
      </c>
    </row>
    <row r="470" spans="4:36" x14ac:dyDescent="0.55000000000000004">
      <c r="D470">
        <v>463</v>
      </c>
      <c r="E470">
        <v>13.511936890367187</v>
      </c>
      <c r="F470">
        <v>0.51457825195946083</v>
      </c>
      <c r="G470">
        <v>0.19765412804644375</v>
      </c>
      <c r="H470">
        <v>15.775830729626884</v>
      </c>
      <c r="I470">
        <v>13.711483651854961</v>
      </c>
      <c r="J470">
        <v>0.36202429723816593</v>
      </c>
      <c r="K470">
        <v>0.13869208475801034</v>
      </c>
      <c r="L470">
        <v>15.787799966148848</v>
      </c>
      <c r="M470">
        <v>13.633746929467133</v>
      </c>
      <c r="N470">
        <v>0.42147782921322374</v>
      </c>
      <c r="O470">
        <v>0.16163347651112389</v>
      </c>
      <c r="P470">
        <v>15.783141764808517</v>
      </c>
      <c r="Q470">
        <v>13.591643680699004</v>
      </c>
      <c r="R470">
        <v>0.45366610128761631</v>
      </c>
      <c r="S470">
        <v>0.17407384866485578</v>
      </c>
      <c r="T470">
        <v>15.780616369348511</v>
      </c>
      <c r="U470">
        <v>1638.4784594215107</v>
      </c>
      <c r="V470">
        <v>10.764237829398045</v>
      </c>
      <c r="W470">
        <v>1361.721468206631</v>
      </c>
      <c r="X470">
        <v>7.8753174625954783</v>
      </c>
      <c r="Y470">
        <v>2963.902353438049</v>
      </c>
      <c r="Z470">
        <v>10.794658827280674</v>
      </c>
      <c r="AA470">
        <v>2779.5523599345302</v>
      </c>
      <c r="AB470">
        <v>7.8936334365793828</v>
      </c>
      <c r="AC470">
        <v>2303.4314733654642</v>
      </c>
      <c r="AD470">
        <v>10.782805611220327</v>
      </c>
      <c r="AE470">
        <v>2080.3485885470991</v>
      </c>
      <c r="AF470">
        <v>7.8865034737610413</v>
      </c>
      <c r="AG470">
        <v>2214.7083743462331</v>
      </c>
      <c r="AH470">
        <v>10.776386928875592</v>
      </c>
      <c r="AI470">
        <v>1972.6547142323943</v>
      </c>
      <c r="AJ470">
        <v>7.8826389627747089</v>
      </c>
    </row>
    <row r="471" spans="4:36" x14ac:dyDescent="0.55000000000000004">
      <c r="D471">
        <v>464</v>
      </c>
      <c r="E471">
        <v>12.385796565063183</v>
      </c>
      <c r="F471">
        <v>0.42328715405655826</v>
      </c>
      <c r="G471">
        <v>0.1511146625189918</v>
      </c>
      <c r="H471">
        <v>17.039801618361274</v>
      </c>
      <c r="I471">
        <v>12.630215907801835</v>
      </c>
      <c r="J471">
        <v>0.25968348416027487</v>
      </c>
      <c r="K471">
        <v>9.2367898896504666E-2</v>
      </c>
      <c r="L471">
        <v>17.017732709141381</v>
      </c>
      <c r="M471">
        <v>12.542470637613896</v>
      </c>
      <c r="N471">
        <v>0.31846282670074239</v>
      </c>
      <c r="O471">
        <v>0.11342402753759624</v>
      </c>
      <c r="P471">
        <v>17.025642508147744</v>
      </c>
      <c r="Q471">
        <v>12.516785754533011</v>
      </c>
      <c r="R471">
        <v>0.33565897037361864</v>
      </c>
      <c r="S471">
        <v>0.11959469753435972</v>
      </c>
      <c r="T471">
        <v>17.027960577559014</v>
      </c>
      <c r="U471">
        <v>1519.3903410686332</v>
      </c>
      <c r="V471">
        <v>9.7263181908733145</v>
      </c>
      <c r="W471">
        <v>1295.5872646531409</v>
      </c>
      <c r="X471">
        <v>7.248518144337913</v>
      </c>
      <c r="Y471">
        <v>2876.0926247691759</v>
      </c>
      <c r="Z471">
        <v>9.7857397866114848</v>
      </c>
      <c r="AA471">
        <v>2732.1981708668736</v>
      </c>
      <c r="AB471">
        <v>7.2835148220113668</v>
      </c>
      <c r="AC471">
        <v>2189.3487444066786</v>
      </c>
      <c r="AD471">
        <v>9.7644144940473261</v>
      </c>
      <c r="AE471">
        <v>2015.5730870873017</v>
      </c>
      <c r="AF471">
        <v>7.2709696819094285</v>
      </c>
      <c r="AG471">
        <v>2075.8753702804051</v>
      </c>
      <c r="AH471">
        <v>9.7581707091622594</v>
      </c>
      <c r="AI471">
        <v>1891.4766538121082</v>
      </c>
      <c r="AJ471">
        <v>7.2672935621671515</v>
      </c>
    </row>
    <row r="472" spans="4:36" x14ac:dyDescent="0.55000000000000004">
      <c r="D472">
        <v>465</v>
      </c>
      <c r="E472">
        <v>12.104897618241862</v>
      </c>
      <c r="F472">
        <v>0.44169404586543221</v>
      </c>
      <c r="G472">
        <v>0.16862801301907351</v>
      </c>
      <c r="H472">
        <v>17.284780322873619</v>
      </c>
      <c r="I472">
        <v>12.310955390683128</v>
      </c>
      <c r="J472">
        <v>0.28549898876620139</v>
      </c>
      <c r="K472">
        <v>0.10865338930752086</v>
      </c>
      <c r="L472">
        <v>17.294892231243161</v>
      </c>
      <c r="M472">
        <v>12.208625449729665</v>
      </c>
      <c r="N472">
        <v>0.36309570898244464</v>
      </c>
      <c r="O472">
        <v>0.13840046061359479</v>
      </c>
      <c r="P472">
        <v>17.289878380674295</v>
      </c>
      <c r="Q472">
        <v>12.193449656739041</v>
      </c>
      <c r="R472">
        <v>0.37459864528980608</v>
      </c>
      <c r="S472">
        <v>0.14281819047496602</v>
      </c>
      <c r="T472">
        <v>17.289133507496171</v>
      </c>
      <c r="U472">
        <v>1528.8507916318388</v>
      </c>
      <c r="V472">
        <v>9.6479611820278475</v>
      </c>
      <c r="W472">
        <v>1299.5866851790768</v>
      </c>
      <c r="X472">
        <v>7.2147173591596632</v>
      </c>
      <c r="Y472">
        <v>2882.6213179178008</v>
      </c>
      <c r="Z472">
        <v>9.6803943546531013</v>
      </c>
      <c r="AA472">
        <v>2734.1872497927134</v>
      </c>
      <c r="AB472">
        <v>7.2347559731790421</v>
      </c>
      <c r="AC472">
        <v>2204.337139460155</v>
      </c>
      <c r="AD472">
        <v>9.6642839676952228</v>
      </c>
      <c r="AE472">
        <v>2022.1789975285967</v>
      </c>
      <c r="AF472">
        <v>7.2248119700249305</v>
      </c>
      <c r="AG472">
        <v>2093.1979966628669</v>
      </c>
      <c r="AH472">
        <v>9.6618953942159269</v>
      </c>
      <c r="AI472">
        <v>1900.2520143292272</v>
      </c>
      <c r="AJ472">
        <v>7.2233360221917913</v>
      </c>
    </row>
    <row r="473" spans="4:36" x14ac:dyDescent="0.55000000000000004">
      <c r="D473">
        <v>466</v>
      </c>
      <c r="E473">
        <v>11.834189956474493</v>
      </c>
      <c r="F473">
        <v>0.42958008150961596</v>
      </c>
      <c r="G473">
        <v>0.16991188844322466</v>
      </c>
      <c r="H473">
        <v>17.566318073572667</v>
      </c>
      <c r="I473">
        <v>12.043586471622197</v>
      </c>
      <c r="J473">
        <v>0.27377630639112455</v>
      </c>
      <c r="K473">
        <v>0.10792217378180527</v>
      </c>
      <c r="L473">
        <v>17.57471504820488</v>
      </c>
      <c r="M473">
        <v>11.961844562927542</v>
      </c>
      <c r="N473">
        <v>0.3346274129780798</v>
      </c>
      <c r="O473">
        <v>0.13208261233011059</v>
      </c>
      <c r="P473">
        <v>17.571445411764273</v>
      </c>
      <c r="Q473">
        <v>11.924959329400156</v>
      </c>
      <c r="R473">
        <v>0.36207328046325832</v>
      </c>
      <c r="S473">
        <v>0.14300082825636287</v>
      </c>
      <c r="T473">
        <v>17.569966561880229</v>
      </c>
      <c r="U473">
        <v>1531.1746895858755</v>
      </c>
      <c r="V473">
        <v>9.4055077029102083</v>
      </c>
      <c r="W473">
        <v>1300.7551779325868</v>
      </c>
      <c r="X473">
        <v>7.0644680525648553</v>
      </c>
      <c r="Y473">
        <v>2862.0940450048511</v>
      </c>
      <c r="Z473">
        <v>9.4401564502370672</v>
      </c>
      <c r="AA473">
        <v>2718.6677417075603</v>
      </c>
      <c r="AB473">
        <v>7.086040064343579</v>
      </c>
      <c r="AC473">
        <v>2189.9372333204892</v>
      </c>
      <c r="AD473">
        <v>9.4266259311113139</v>
      </c>
      <c r="AE473">
        <v>2012.3789604131591</v>
      </c>
      <c r="AF473">
        <v>7.0776267185563357</v>
      </c>
      <c r="AG473">
        <v>2076.5505349660739</v>
      </c>
      <c r="AH473">
        <v>9.4205223891657859</v>
      </c>
      <c r="AI473">
        <v>1887.3452524623449</v>
      </c>
      <c r="AJ473">
        <v>7.0738270650230595</v>
      </c>
    </row>
    <row r="474" spans="4:36" x14ac:dyDescent="0.55000000000000004">
      <c r="D474">
        <v>467</v>
      </c>
      <c r="E474">
        <v>13.533706966916574</v>
      </c>
      <c r="F474">
        <v>0.47332414776091514</v>
      </c>
      <c r="G474">
        <v>0.18216072939662997</v>
      </c>
      <c r="H474">
        <v>15.810808155925892</v>
      </c>
      <c r="I474">
        <v>13.736682871230384</v>
      </c>
      <c r="J474">
        <v>0.33143030152602393</v>
      </c>
      <c r="K474">
        <v>0.12719102306867747</v>
      </c>
      <c r="L474">
        <v>15.804695804174917</v>
      </c>
      <c r="M474">
        <v>13.639802406527112</v>
      </c>
      <c r="N474">
        <v>0.39918721702412552</v>
      </c>
      <c r="O474">
        <v>0.15340053791521588</v>
      </c>
      <c r="P474">
        <v>15.807609838533544</v>
      </c>
      <c r="Q474">
        <v>13.586211397542838</v>
      </c>
      <c r="R474">
        <v>0.43664383253034089</v>
      </c>
      <c r="S474">
        <v>0.16792032874265156</v>
      </c>
      <c r="T474">
        <v>15.809224441184176</v>
      </c>
      <c r="U474">
        <v>1613.5815557353151</v>
      </c>
      <c r="V474">
        <v>10.64418327493577</v>
      </c>
      <c r="W474">
        <v>1347.5913958005806</v>
      </c>
      <c r="X474">
        <v>7.7913540486493984</v>
      </c>
      <c r="Y474">
        <v>2944.9760776525845</v>
      </c>
      <c r="Z474">
        <v>10.684920069495913</v>
      </c>
      <c r="AA474">
        <v>2768.7156554632134</v>
      </c>
      <c r="AB474">
        <v>7.8152131871161208</v>
      </c>
      <c r="AC474">
        <v>2262.4065246927594</v>
      </c>
      <c r="AD474">
        <v>10.665478301190589</v>
      </c>
      <c r="AE474">
        <v>2052.7110000485077</v>
      </c>
      <c r="AF474">
        <v>7.8038344915714131</v>
      </c>
      <c r="AG474">
        <v>2195.0144482402502</v>
      </c>
      <c r="AH474">
        <v>10.654722268940631</v>
      </c>
      <c r="AI474">
        <v>1960.3824309475835</v>
      </c>
      <c r="AJ474">
        <v>7.7975329173822585</v>
      </c>
    </row>
    <row r="475" spans="4:36" x14ac:dyDescent="0.55000000000000004">
      <c r="D475">
        <v>468</v>
      </c>
      <c r="E475">
        <v>11.290314624312378</v>
      </c>
      <c r="F475">
        <v>0.44636024769165378</v>
      </c>
      <c r="G475">
        <v>0.15381278442504467</v>
      </c>
      <c r="H475">
        <v>18.10951234357093</v>
      </c>
      <c r="I475">
        <v>11.495768933969785</v>
      </c>
      <c r="J475">
        <v>0.27375166195970541</v>
      </c>
      <c r="K475">
        <v>9.402671527349149E-2</v>
      </c>
      <c r="L475">
        <v>18.136452688797007</v>
      </c>
      <c r="M475">
        <v>11.409843186838138</v>
      </c>
      <c r="N475">
        <v>0.34596117451022301</v>
      </c>
      <c r="O475">
        <v>0.1189898985591963</v>
      </c>
      <c r="P475">
        <v>18.125205740092436</v>
      </c>
      <c r="Q475">
        <v>11.36211409920138</v>
      </c>
      <c r="R475">
        <v>0.38605855593031069</v>
      </c>
      <c r="S475">
        <v>0.13288139895012147</v>
      </c>
      <c r="T475">
        <v>18.118945945918185</v>
      </c>
      <c r="U475">
        <v>1514.7105154895437</v>
      </c>
      <c r="V475">
        <v>8.938879356283767</v>
      </c>
      <c r="W475">
        <v>1294.1208331535634</v>
      </c>
      <c r="X475">
        <v>6.7723987625422692</v>
      </c>
      <c r="Y475">
        <v>2869.2778884417285</v>
      </c>
      <c r="Z475">
        <v>8.9630669383325863</v>
      </c>
      <c r="AA475">
        <v>2728.7281118584028</v>
      </c>
      <c r="AB475">
        <v>6.7884959924735497</v>
      </c>
      <c r="AC475">
        <v>2177.9812186361496</v>
      </c>
      <c r="AD475">
        <v>8.952940294582346</v>
      </c>
      <c r="AE475">
        <v>2007.9729038110622</v>
      </c>
      <c r="AF475">
        <v>6.7817673925180779</v>
      </c>
      <c r="AG475">
        <v>2080.9953468803983</v>
      </c>
      <c r="AH475">
        <v>8.9473219685002725</v>
      </c>
      <c r="AI475">
        <v>1894.7557552114861</v>
      </c>
      <c r="AJ475">
        <v>6.7780276160602373</v>
      </c>
    </row>
    <row r="476" spans="4:36" x14ac:dyDescent="0.55000000000000004">
      <c r="D476">
        <v>469</v>
      </c>
      <c r="E476">
        <v>12.53443529358265</v>
      </c>
      <c r="F476">
        <v>0.47518232331368521</v>
      </c>
      <c r="G476">
        <v>0.13883836685168918</v>
      </c>
      <c r="H476">
        <v>16.851544016251985</v>
      </c>
      <c r="I476">
        <v>12.742201205741639</v>
      </c>
      <c r="J476">
        <v>0.31428130209104604</v>
      </c>
      <c r="K476">
        <v>9.1557530495633879E-2</v>
      </c>
      <c r="L476">
        <v>16.851959961671682</v>
      </c>
      <c r="M476">
        <v>12.659387647395313</v>
      </c>
      <c r="N476">
        <v>0.37844111830791927</v>
      </c>
      <c r="O476">
        <v>0.11037722175901919</v>
      </c>
      <c r="P476">
        <v>16.851794012537738</v>
      </c>
      <c r="Q476">
        <v>12.657335329174902</v>
      </c>
      <c r="R476">
        <v>0.38003071369120939</v>
      </c>
      <c r="S476">
        <v>0.1108440545930789</v>
      </c>
      <c r="T476">
        <v>16.851789902540816</v>
      </c>
      <c r="U476">
        <v>1539.1233156857445</v>
      </c>
      <c r="V476">
        <v>9.9358589424183368</v>
      </c>
      <c r="W476">
        <v>1304.8593361599078</v>
      </c>
      <c r="X476">
        <v>7.3818901535202892</v>
      </c>
      <c r="Y476">
        <v>2892.5318185256619</v>
      </c>
      <c r="Z476">
        <v>9.9735000449358875</v>
      </c>
      <c r="AA476">
        <v>2739.4981499458936</v>
      </c>
      <c r="AB476">
        <v>7.404444796400254</v>
      </c>
      <c r="AC476">
        <v>2209.5184600201906</v>
      </c>
      <c r="AD476">
        <v>9.958497075394801</v>
      </c>
      <c r="AE476">
        <v>2025.0520879807254</v>
      </c>
      <c r="AF476">
        <v>7.395463848332879</v>
      </c>
      <c r="AG476">
        <v>2106.72004159889</v>
      </c>
      <c r="AH476">
        <v>9.9581252588061808</v>
      </c>
      <c r="AI476">
        <v>1909.9415681856697</v>
      </c>
      <c r="AJ476">
        <v>7.3952411262726097</v>
      </c>
    </row>
    <row r="477" spans="4:36" x14ac:dyDescent="0.55000000000000004">
      <c r="D477">
        <v>470</v>
      </c>
      <c r="E477">
        <v>13.375994898061906</v>
      </c>
      <c r="F477">
        <v>0.50550342367258616</v>
      </c>
      <c r="G477">
        <v>0.17550443189615134</v>
      </c>
      <c r="H477">
        <v>15.94299724636935</v>
      </c>
      <c r="I477">
        <v>13.714268550828706</v>
      </c>
      <c r="J477">
        <v>0.28500864780798313</v>
      </c>
      <c r="K477">
        <v>9.8477091981776205E-2</v>
      </c>
      <c r="L477">
        <v>15.902245709381539</v>
      </c>
      <c r="M477">
        <v>13.60308221478795</v>
      </c>
      <c r="N477">
        <v>0.35756678170704975</v>
      </c>
      <c r="O477">
        <v>0.12374150185943275</v>
      </c>
      <c r="P477">
        <v>15.915609501645552</v>
      </c>
      <c r="Q477">
        <v>13.557102487053719</v>
      </c>
      <c r="R477">
        <v>0.38754833172130332</v>
      </c>
      <c r="S477">
        <v>0.13420450921202787</v>
      </c>
      <c r="T477">
        <v>15.921144672012955</v>
      </c>
      <c r="U477">
        <v>1577.9252837630461</v>
      </c>
      <c r="V477">
        <v>10.654993638696636</v>
      </c>
      <c r="W477">
        <v>1321.780234443421</v>
      </c>
      <c r="X477">
        <v>7.8179197244336054</v>
      </c>
      <c r="Y477">
        <v>2905.7492687315039</v>
      </c>
      <c r="Z477">
        <v>10.743989796221561</v>
      </c>
      <c r="AA477">
        <v>2745.121504236733</v>
      </c>
      <c r="AB477">
        <v>7.8690461939353362</v>
      </c>
      <c r="AC477">
        <v>2227.5702949378042</v>
      </c>
      <c r="AD477">
        <v>10.714756439354915</v>
      </c>
      <c r="AE477">
        <v>2032.3275681876146</v>
      </c>
      <c r="AF477">
        <v>7.8522757831782837</v>
      </c>
      <c r="AG477">
        <v>2144.090777838197</v>
      </c>
      <c r="AH477">
        <v>10.702662065800707</v>
      </c>
      <c r="AI477">
        <v>1928.8875117117902</v>
      </c>
      <c r="AJ477">
        <v>7.8453308684269283</v>
      </c>
    </row>
    <row r="478" spans="4:36" x14ac:dyDescent="0.55000000000000004">
      <c r="D478">
        <v>471</v>
      </c>
      <c r="E478">
        <v>13.151329585889666</v>
      </c>
      <c r="F478">
        <v>0.48502943674790638</v>
      </c>
      <c r="G478">
        <v>0.17538253873047049</v>
      </c>
      <c r="H478">
        <v>16.188258438631962</v>
      </c>
      <c r="I478">
        <v>13.392452037567981</v>
      </c>
      <c r="J478">
        <v>0.31115089968550402</v>
      </c>
      <c r="K478">
        <v>0.11213475006201812</v>
      </c>
      <c r="L478">
        <v>16.184262312684496</v>
      </c>
      <c r="M478">
        <v>13.301913399254614</v>
      </c>
      <c r="N478">
        <v>0.37647969611811838</v>
      </c>
      <c r="O478">
        <v>0.13584768638596276</v>
      </c>
      <c r="P478">
        <v>16.185759218241301</v>
      </c>
      <c r="Q478">
        <v>13.238857887457243</v>
      </c>
      <c r="R478">
        <v>0.42194990603763682</v>
      </c>
      <c r="S478">
        <v>0.15238792739966581</v>
      </c>
      <c r="T478">
        <v>16.186804279105441</v>
      </c>
      <c r="U478">
        <v>1559.2903638932758</v>
      </c>
      <c r="V478">
        <v>10.399265899974369</v>
      </c>
      <c r="W478">
        <v>1311.8327816544904</v>
      </c>
      <c r="X478">
        <v>7.652721566655428</v>
      </c>
      <c r="Y478">
        <v>2933.3794785824871</v>
      </c>
      <c r="Z478">
        <v>10.445186463380827</v>
      </c>
      <c r="AA478">
        <v>2765.1917633145245</v>
      </c>
      <c r="AB478">
        <v>7.6797637860625825</v>
      </c>
      <c r="AC478">
        <v>2254.421273441807</v>
      </c>
      <c r="AD478">
        <v>10.42794634250742</v>
      </c>
      <c r="AE478">
        <v>2052.7107098177539</v>
      </c>
      <c r="AF478">
        <v>7.6696219687732503</v>
      </c>
      <c r="AG478">
        <v>2176.156183728373</v>
      </c>
      <c r="AH478">
        <v>10.415937707312404</v>
      </c>
      <c r="AI478">
        <v>1952.2177295372448</v>
      </c>
      <c r="AJ478">
        <v>7.6625500688492325</v>
      </c>
    </row>
    <row r="479" spans="4:36" x14ac:dyDescent="0.55000000000000004">
      <c r="D479">
        <v>472</v>
      </c>
      <c r="E479">
        <v>12.49955864025347</v>
      </c>
      <c r="F479">
        <v>0.45954392288581075</v>
      </c>
      <c r="G479">
        <v>0.16996846906033614</v>
      </c>
      <c r="H479">
        <v>16.870928967800399</v>
      </c>
      <c r="I479">
        <v>12.717972625279836</v>
      </c>
      <c r="J479">
        <v>0.29578213285209692</v>
      </c>
      <c r="K479">
        <v>0.10905707027652288</v>
      </c>
      <c r="L479">
        <v>16.877188171591555</v>
      </c>
      <c r="M479">
        <v>12.624843794265331</v>
      </c>
      <c r="N479">
        <v>0.36564008462145658</v>
      </c>
      <c r="O479">
        <v>0.13499353478379925</v>
      </c>
      <c r="P479">
        <v>16.874522586329416</v>
      </c>
      <c r="Q479">
        <v>12.571197266672391</v>
      </c>
      <c r="R479">
        <v>0.40585990459338844</v>
      </c>
      <c r="S479">
        <v>0.14995793535446794</v>
      </c>
      <c r="T479">
        <v>16.872984893379758</v>
      </c>
      <c r="U479">
        <v>1559.3235613923157</v>
      </c>
      <c r="V479">
        <v>9.7528980187425773</v>
      </c>
      <c r="W479">
        <v>1319.8412402351451</v>
      </c>
      <c r="X479">
        <v>7.2480990349604735</v>
      </c>
      <c r="Y479">
        <v>2890.506670713527</v>
      </c>
      <c r="Z479">
        <v>9.7892213997930657</v>
      </c>
      <c r="AA479">
        <v>2738.5051813026516</v>
      </c>
      <c r="AB479">
        <v>7.2701258133008944</v>
      </c>
      <c r="AC479">
        <v>2208.1203024543565</v>
      </c>
      <c r="AD479">
        <v>9.7737318735782299</v>
      </c>
      <c r="AE479">
        <v>2023.9193749313745</v>
      </c>
      <c r="AF479">
        <v>7.2607426772559673</v>
      </c>
      <c r="AG479">
        <v>2091.4159400153535</v>
      </c>
      <c r="AH479">
        <v>9.7648103440489358</v>
      </c>
      <c r="AI479">
        <v>1895.5871252488118</v>
      </c>
      <c r="AJ479">
        <v>7.2553316434582689</v>
      </c>
    </row>
    <row r="480" spans="4:36" x14ac:dyDescent="0.55000000000000004">
      <c r="D480">
        <v>473</v>
      </c>
      <c r="E480">
        <v>12.139842110433483</v>
      </c>
      <c r="F480">
        <v>0.44158984314633126</v>
      </c>
      <c r="G480">
        <v>0.16294257668712955</v>
      </c>
      <c r="H480">
        <v>17.255625469733083</v>
      </c>
      <c r="I480">
        <v>12.378432184634354</v>
      </c>
      <c r="J480">
        <v>0.26947379331660209</v>
      </c>
      <c r="K480">
        <v>9.9080571260348027E-2</v>
      </c>
      <c r="L480">
        <v>17.253013450788707</v>
      </c>
      <c r="M480">
        <v>12.314352509072172</v>
      </c>
      <c r="N480">
        <v>0.31573400476870034</v>
      </c>
      <c r="O480">
        <v>0.11619982874938825</v>
      </c>
      <c r="P480">
        <v>17.253713657409726</v>
      </c>
      <c r="Q480">
        <v>12.267400759859479</v>
      </c>
      <c r="R480">
        <v>0.34961354694672564</v>
      </c>
      <c r="S480">
        <v>0.12875837557486722</v>
      </c>
      <c r="T480">
        <v>17.254227317618952</v>
      </c>
      <c r="U480">
        <v>1520.6745436830101</v>
      </c>
      <c r="V480">
        <v>9.5987186830813087</v>
      </c>
      <c r="W480">
        <v>1293.6096678157189</v>
      </c>
      <c r="X480">
        <v>7.1763108205274255</v>
      </c>
      <c r="Y480">
        <v>2894.6009522459935</v>
      </c>
      <c r="Z480">
        <v>9.6459410305915512</v>
      </c>
      <c r="AA480">
        <v>2744.5034236343517</v>
      </c>
      <c r="AB480">
        <v>7.2048038270171624</v>
      </c>
      <c r="AC480">
        <v>2185.662007640894</v>
      </c>
      <c r="AD480">
        <v>9.6332585006488554</v>
      </c>
      <c r="AE480">
        <v>2011.9682192054067</v>
      </c>
      <c r="AF480">
        <v>7.1971625504247418</v>
      </c>
      <c r="AG480">
        <v>2071.504082322429</v>
      </c>
      <c r="AH480">
        <v>9.6239657677557418</v>
      </c>
      <c r="AI480">
        <v>1886.0070230179413</v>
      </c>
      <c r="AJ480">
        <v>7.1915584954437985</v>
      </c>
    </row>
    <row r="481" spans="4:36" x14ac:dyDescent="0.55000000000000004">
      <c r="D481">
        <v>474</v>
      </c>
      <c r="E481">
        <v>12.929651100638694</v>
      </c>
      <c r="F481">
        <v>0.49891378058803809</v>
      </c>
      <c r="G481">
        <v>0.16838423701716626</v>
      </c>
      <c r="H481">
        <v>16.403050881756116</v>
      </c>
      <c r="I481">
        <v>13.171928654060565</v>
      </c>
      <c r="J481">
        <v>0.31600021622269603</v>
      </c>
      <c r="K481">
        <v>0.10627685553487974</v>
      </c>
      <c r="L481">
        <v>16.405794274181865</v>
      </c>
      <c r="M481">
        <v>13.071450918767221</v>
      </c>
      <c r="N481">
        <v>0.39189616113840331</v>
      </c>
      <c r="O481">
        <v>0.13199324755362846</v>
      </c>
      <c r="P481">
        <v>16.404659672540735</v>
      </c>
      <c r="Q481">
        <v>13.033055097171253</v>
      </c>
      <c r="R481">
        <v>0.42088440745082945</v>
      </c>
      <c r="S481">
        <v>0.14183556194665572</v>
      </c>
      <c r="T481">
        <v>16.404224933431241</v>
      </c>
      <c r="U481">
        <v>1573.5609840041209</v>
      </c>
      <c r="V481">
        <v>10.177297336234361</v>
      </c>
      <c r="W481">
        <v>1322.4225748913955</v>
      </c>
      <c r="X481">
        <v>7.5116931892633234</v>
      </c>
      <c r="Y481">
        <v>2901.1428593482051</v>
      </c>
      <c r="Z481">
        <v>10.219032685752016</v>
      </c>
      <c r="AA481">
        <v>2741.6883041309079</v>
      </c>
      <c r="AB481">
        <v>7.536756945185406</v>
      </c>
      <c r="AC481">
        <v>2249.1760973453652</v>
      </c>
      <c r="AD481">
        <v>10.201722400905268</v>
      </c>
      <c r="AE481">
        <v>2048.5434338711812</v>
      </c>
      <c r="AF481">
        <v>7.5263730353917282</v>
      </c>
      <c r="AG481">
        <v>2147.3099314981364</v>
      </c>
      <c r="AH481">
        <v>10.195108222113959</v>
      </c>
      <c r="AI481">
        <v>1931.8401026632246</v>
      </c>
      <c r="AJ481">
        <v>7.5224010669020922</v>
      </c>
    </row>
    <row r="482" spans="4:36" x14ac:dyDescent="0.55000000000000004">
      <c r="D482">
        <v>475</v>
      </c>
      <c r="E482">
        <v>12.621711821564407</v>
      </c>
      <c r="F482">
        <v>0.43212167072639918</v>
      </c>
      <c r="G482">
        <v>0.17500549529036405</v>
      </c>
      <c r="H482">
        <v>16.771161012418812</v>
      </c>
      <c r="I482">
        <v>12.856995386780529</v>
      </c>
      <c r="J482">
        <v>0.26675029391468824</v>
      </c>
      <c r="K482">
        <v>0.10766220147990337</v>
      </c>
      <c r="L482">
        <v>16.768592117824877</v>
      </c>
      <c r="M482">
        <v>12.743551613988027</v>
      </c>
      <c r="N482">
        <v>0.3465283390880175</v>
      </c>
      <c r="O482">
        <v>0.1400913686744682</v>
      </c>
      <c r="P482">
        <v>16.769828678249489</v>
      </c>
      <c r="Q482">
        <v>12.712187068927932</v>
      </c>
      <c r="R482">
        <v>0.36857102526444163</v>
      </c>
      <c r="S482">
        <v>0.14907067578447317</v>
      </c>
      <c r="T482">
        <v>16.770171230023138</v>
      </c>
      <c r="U482">
        <v>1541.1886632666544</v>
      </c>
      <c r="V482">
        <v>9.87514512926262</v>
      </c>
      <c r="W482">
        <v>1305.4011689181307</v>
      </c>
      <c r="X482">
        <v>7.3286232933203141</v>
      </c>
      <c r="Y482">
        <v>2887.7419262030762</v>
      </c>
      <c r="Z482">
        <v>9.9214482454273956</v>
      </c>
      <c r="AA482">
        <v>2736.8014798632944</v>
      </c>
      <c r="AB482">
        <v>7.3563344333337648</v>
      </c>
      <c r="AC482">
        <v>2195.006381561097</v>
      </c>
      <c r="AD482">
        <v>9.8991233388911599</v>
      </c>
      <c r="AE482">
        <v>2013.2662204697817</v>
      </c>
      <c r="AF482">
        <v>7.342986322085487</v>
      </c>
      <c r="AG482">
        <v>2120.7539008944627</v>
      </c>
      <c r="AH482">
        <v>9.8929508631709062</v>
      </c>
      <c r="AI482">
        <v>1917.8101979272708</v>
      </c>
      <c r="AJ482">
        <v>7.3392916194380744</v>
      </c>
    </row>
    <row r="483" spans="4:36" x14ac:dyDescent="0.55000000000000004">
      <c r="D483">
        <v>476</v>
      </c>
      <c r="E483">
        <v>12.281844798639932</v>
      </c>
      <c r="F483">
        <v>0.4613959673463412</v>
      </c>
      <c r="G483">
        <v>0.16074026639229883</v>
      </c>
      <c r="H483">
        <v>17.096018967621436</v>
      </c>
      <c r="I483">
        <v>12.531315282266567</v>
      </c>
      <c r="J483">
        <v>0.27952344405547191</v>
      </c>
      <c r="K483">
        <v>9.7031353095416481E-2</v>
      </c>
      <c r="L483">
        <v>17.092129920582551</v>
      </c>
      <c r="M483">
        <v>12.420868896760068</v>
      </c>
      <c r="N483">
        <v>0.36008799706364897</v>
      </c>
      <c r="O483">
        <v>0.1251954934331321</v>
      </c>
      <c r="P483">
        <v>17.093847612743154</v>
      </c>
      <c r="Q483">
        <v>12.40437036860734</v>
      </c>
      <c r="R483">
        <v>0.3721166052618663</v>
      </c>
      <c r="S483">
        <v>0.12940827027721283</v>
      </c>
      <c r="T483">
        <v>17.094104755853589</v>
      </c>
      <c r="U483">
        <v>1521.8354601608373</v>
      </c>
      <c r="V483">
        <v>9.6738381304578311</v>
      </c>
      <c r="W483">
        <v>1290.8246431834705</v>
      </c>
      <c r="X483">
        <v>7.2141370964655209</v>
      </c>
      <c r="Y483">
        <v>2890.6161490773611</v>
      </c>
      <c r="Z483">
        <v>9.7191050590966679</v>
      </c>
      <c r="AA483">
        <v>2739.3726778642176</v>
      </c>
      <c r="AB483">
        <v>7.2410993923234015</v>
      </c>
      <c r="AC483">
        <v>2211.800063447557</v>
      </c>
      <c r="AD483">
        <v>9.6990676896065189</v>
      </c>
      <c r="AE483">
        <v>2026.4608072231681</v>
      </c>
      <c r="AF483">
        <v>7.2291774268799189</v>
      </c>
      <c r="AG483">
        <v>2109.6145789472162</v>
      </c>
      <c r="AH483">
        <v>9.6960740437874904</v>
      </c>
      <c r="AI483">
        <v>1911.1077146385953</v>
      </c>
      <c r="AJ483">
        <v>7.2273945020536656</v>
      </c>
    </row>
    <row r="484" spans="4:36" x14ac:dyDescent="0.55000000000000004">
      <c r="D484">
        <v>477</v>
      </c>
      <c r="E484">
        <v>14.199354864600698</v>
      </c>
      <c r="F484">
        <v>0.47193607497940054</v>
      </c>
      <c r="G484">
        <v>0.15061565831362847</v>
      </c>
      <c r="H484">
        <v>15.178093402106274</v>
      </c>
      <c r="I484">
        <v>14.424307426051014</v>
      </c>
      <c r="J484">
        <v>0.32164529878515713</v>
      </c>
      <c r="K484">
        <v>0.1023549580537442</v>
      </c>
      <c r="L484">
        <v>15.151692317110093</v>
      </c>
      <c r="M484">
        <v>14.320696770556626</v>
      </c>
      <c r="N484">
        <v>0.39090675272745701</v>
      </c>
      <c r="O484">
        <v>0.12456066501051956</v>
      </c>
      <c r="P484">
        <v>15.163835811705406</v>
      </c>
      <c r="Q484">
        <v>14.286833881960805</v>
      </c>
      <c r="R484">
        <v>0.41352888312898906</v>
      </c>
      <c r="S484">
        <v>0.13182647607060255</v>
      </c>
      <c r="T484">
        <v>15.16781075883959</v>
      </c>
      <c r="U484">
        <v>1631.1817586480693</v>
      </c>
      <c r="V484">
        <v>11.152371829604933</v>
      </c>
      <c r="W484">
        <v>1358.5729022356454</v>
      </c>
      <c r="X484">
        <v>8.0949617794773854</v>
      </c>
      <c r="Y484">
        <v>2943.4860136313123</v>
      </c>
      <c r="Z484">
        <v>11.210241915759234</v>
      </c>
      <c r="AA484">
        <v>2767.2172578580767</v>
      </c>
      <c r="AB484">
        <v>8.1278795023601393</v>
      </c>
      <c r="AC484">
        <v>2269.3369496009473</v>
      </c>
      <c r="AD484">
        <v>11.183596536549068</v>
      </c>
      <c r="AE484">
        <v>2057.071843608142</v>
      </c>
      <c r="AF484">
        <v>8.1127333580425365</v>
      </c>
      <c r="AG484">
        <v>2188.6335330612524</v>
      </c>
      <c r="AH484">
        <v>11.174884773718453</v>
      </c>
      <c r="AI484">
        <v>1955.7793675502949</v>
      </c>
      <c r="AJ484">
        <v>8.1077774905461624</v>
      </c>
    </row>
    <row r="485" spans="4:36" x14ac:dyDescent="0.55000000000000004">
      <c r="D485">
        <v>478</v>
      </c>
      <c r="E485">
        <v>12.82576271839941</v>
      </c>
      <c r="F485">
        <v>0.45811365838521728</v>
      </c>
      <c r="G485">
        <v>0.16091136735046413</v>
      </c>
      <c r="H485">
        <v>16.555212255864898</v>
      </c>
      <c r="I485">
        <v>13.04387094399835</v>
      </c>
      <c r="J485">
        <v>0.30094871680719393</v>
      </c>
      <c r="K485">
        <v>0.10538458852773054</v>
      </c>
      <c r="L485">
        <v>16.549795750666732</v>
      </c>
      <c r="M485">
        <v>12.965014044083198</v>
      </c>
      <c r="N485">
        <v>0.35780394439572838</v>
      </c>
      <c r="O485">
        <v>0.12543191260113445</v>
      </c>
      <c r="P485">
        <v>16.551750098919932</v>
      </c>
      <c r="Q485">
        <v>12.920935629119013</v>
      </c>
      <c r="R485">
        <v>0.38956824492511682</v>
      </c>
      <c r="S485">
        <v>0.13665165114622152</v>
      </c>
      <c r="T485">
        <v>16.552844474809643</v>
      </c>
      <c r="U485">
        <v>1564.2443056732329</v>
      </c>
      <c r="V485">
        <v>10.091929686477387</v>
      </c>
      <c r="W485">
        <v>1321.0220694324385</v>
      </c>
      <c r="X485">
        <v>7.4654612418241326</v>
      </c>
      <c r="Y485">
        <v>2902.9894486499056</v>
      </c>
      <c r="Z485">
        <v>10.134504151847267</v>
      </c>
      <c r="AA485">
        <v>2745.7605465224092</v>
      </c>
      <c r="AB485">
        <v>7.490633421248563</v>
      </c>
      <c r="AC485">
        <v>2216.4472022574573</v>
      </c>
      <c r="AD485">
        <v>10.119113703627654</v>
      </c>
      <c r="AE485">
        <v>2028.718165589057</v>
      </c>
      <c r="AF485">
        <v>7.4815430371881124</v>
      </c>
      <c r="AG485">
        <v>2114.8163066418956</v>
      </c>
      <c r="AH485">
        <v>10.110509806252447</v>
      </c>
      <c r="AI485">
        <v>1912.128729749714</v>
      </c>
      <c r="AJ485">
        <v>7.4764566019227034</v>
      </c>
    </row>
    <row r="486" spans="4:36" x14ac:dyDescent="0.55000000000000004">
      <c r="D486">
        <v>479</v>
      </c>
      <c r="E486">
        <v>12.523509810090188</v>
      </c>
      <c r="F486">
        <v>0.44503149791564139</v>
      </c>
      <c r="G486">
        <v>0.16900300778616204</v>
      </c>
      <c r="H486">
        <v>16.862455684208015</v>
      </c>
      <c r="I486">
        <v>12.737372364429135</v>
      </c>
      <c r="J486">
        <v>0.28806168852037056</v>
      </c>
      <c r="K486">
        <v>0.1090454951619083</v>
      </c>
      <c r="L486">
        <v>16.865520451888571</v>
      </c>
      <c r="M486">
        <v>12.639472624483512</v>
      </c>
      <c r="N486">
        <v>0.35995037027996496</v>
      </c>
      <c r="O486">
        <v>0.13645668800548788</v>
      </c>
      <c r="P486">
        <v>16.86412031723102</v>
      </c>
      <c r="Q486">
        <v>12.609098780313623</v>
      </c>
      <c r="R486">
        <v>0.38224297613050645</v>
      </c>
      <c r="S486">
        <v>0.14497328957769468</v>
      </c>
      <c r="T486">
        <v>16.863684953978179</v>
      </c>
      <c r="U486">
        <v>1542.1842240770391</v>
      </c>
      <c r="V486">
        <v>9.8556423850060657</v>
      </c>
      <c r="W486">
        <v>1304.648974725927</v>
      </c>
      <c r="X486">
        <v>7.323655734597855</v>
      </c>
      <c r="Y486">
        <v>2878.4570918610043</v>
      </c>
      <c r="Z486">
        <v>9.8945008526168508</v>
      </c>
      <c r="AA486">
        <v>2727.8946334758848</v>
      </c>
      <c r="AB486">
        <v>7.3471707709283702</v>
      </c>
      <c r="AC486">
        <v>2236.162900498804</v>
      </c>
      <c r="AD486">
        <v>9.8767109615893141</v>
      </c>
      <c r="AE486">
        <v>2042.5409933544938</v>
      </c>
      <c r="AF486">
        <v>7.3364156878377251</v>
      </c>
      <c r="AG486">
        <v>2118.2169083201561</v>
      </c>
      <c r="AH486">
        <v>9.8711921380143295</v>
      </c>
      <c r="AI486">
        <v>1914.4394049960338</v>
      </c>
      <c r="AJ486">
        <v>7.3330756671041941</v>
      </c>
    </row>
    <row r="487" spans="4:36" x14ac:dyDescent="0.55000000000000004">
      <c r="D487">
        <v>480</v>
      </c>
      <c r="E487">
        <v>12.418667129669634</v>
      </c>
      <c r="F487">
        <v>0.44750270338665432</v>
      </c>
      <c r="G487">
        <v>0.16045398265393421</v>
      </c>
      <c r="H487">
        <v>16.973376184289776</v>
      </c>
      <c r="I487">
        <v>12.635313272046767</v>
      </c>
      <c r="J487">
        <v>0.2865160674148502</v>
      </c>
      <c r="K487">
        <v>0.10240864745972568</v>
      </c>
      <c r="L487">
        <v>16.975762013078665</v>
      </c>
      <c r="M487">
        <v>12.543200332155198</v>
      </c>
      <c r="N487">
        <v>0.35499619362771812</v>
      </c>
      <c r="O487">
        <v>0.12705456307563226</v>
      </c>
      <c r="P487">
        <v>16.97474891114145</v>
      </c>
      <c r="Q487">
        <v>12.498801485656625</v>
      </c>
      <c r="R487">
        <v>0.38798688998427022</v>
      </c>
      <c r="S487">
        <v>0.13895171641783088</v>
      </c>
      <c r="T487">
        <v>16.974259907941278</v>
      </c>
      <c r="U487">
        <v>1545.1588258471008</v>
      </c>
      <c r="V487">
        <v>9.8635635500176875</v>
      </c>
      <c r="W487">
        <v>1310.4237018819904</v>
      </c>
      <c r="X487">
        <v>7.3410528586101842</v>
      </c>
      <c r="Y487">
        <v>2890.1269612611482</v>
      </c>
      <c r="Z487">
        <v>9.9008041307128298</v>
      </c>
      <c r="AA487">
        <v>2739.1057744365726</v>
      </c>
      <c r="AB487">
        <v>7.3634619515124342</v>
      </c>
      <c r="AC487">
        <v>2184.6012242394636</v>
      </c>
      <c r="AD487">
        <v>9.8849702355839959</v>
      </c>
      <c r="AE487">
        <v>2007.3362325157523</v>
      </c>
      <c r="AF487">
        <v>7.3539437103284095</v>
      </c>
      <c r="AG487">
        <v>2101.5825478398729</v>
      </c>
      <c r="AH487">
        <v>9.8773382592179022</v>
      </c>
      <c r="AI487">
        <v>1904.7443737025658</v>
      </c>
      <c r="AJ487">
        <v>7.3493508290074692</v>
      </c>
    </row>
    <row r="488" spans="4:36" x14ac:dyDescent="0.55000000000000004">
      <c r="D488">
        <v>481</v>
      </c>
      <c r="E488">
        <v>12.726404189157394</v>
      </c>
      <c r="F488">
        <v>0.45680442326554366</v>
      </c>
      <c r="G488">
        <v>0.15331148105263628</v>
      </c>
      <c r="H488">
        <v>16.663479906524429</v>
      </c>
      <c r="I488">
        <v>12.94263944291121</v>
      </c>
      <c r="J488">
        <v>0.29951166715129757</v>
      </c>
      <c r="K488">
        <v>0.1002159546571621</v>
      </c>
      <c r="L488">
        <v>16.657632935280326</v>
      </c>
      <c r="M488">
        <v>12.86216126165324</v>
      </c>
      <c r="N488">
        <v>0.35808443489981384</v>
      </c>
      <c r="O488">
        <v>0.1199494229402788</v>
      </c>
      <c r="P488">
        <v>16.659804880506677</v>
      </c>
      <c r="Q488">
        <v>12.838889249287282</v>
      </c>
      <c r="R488">
        <v>0.37501503649965701</v>
      </c>
      <c r="S488">
        <v>0.12566185040645125</v>
      </c>
      <c r="T488">
        <v>16.660433863806588</v>
      </c>
      <c r="U488">
        <v>1554.7992571885854</v>
      </c>
      <c r="V488">
        <v>10.101124670249465</v>
      </c>
      <c r="W488">
        <v>1314.6741397426517</v>
      </c>
      <c r="X488">
        <v>7.4848116935637909</v>
      </c>
      <c r="Y488">
        <v>2903.7693428542675</v>
      </c>
      <c r="Z488">
        <v>10.145535402012607</v>
      </c>
      <c r="AA488">
        <v>2746.8333157324846</v>
      </c>
      <c r="AB488">
        <v>7.5110725819906241</v>
      </c>
      <c r="AC488">
        <v>2230.2965453221409</v>
      </c>
      <c r="AD488">
        <v>10.129009396791592</v>
      </c>
      <c r="AE488">
        <v>2039.471482292591</v>
      </c>
      <c r="AF488">
        <v>7.5013101747556359</v>
      </c>
      <c r="AG488">
        <v>2098.8613531994301</v>
      </c>
      <c r="AH488">
        <v>10.124229943487963</v>
      </c>
      <c r="AI488">
        <v>1901.802341199623</v>
      </c>
      <c r="AJ488">
        <v>7.4984846698567607</v>
      </c>
    </row>
    <row r="489" spans="4:36" x14ac:dyDescent="0.55000000000000004">
      <c r="D489">
        <v>482</v>
      </c>
      <c r="E489">
        <v>11.520423232886424</v>
      </c>
      <c r="F489">
        <v>0.4396614148033387</v>
      </c>
      <c r="G489">
        <v>0.15323613114803064</v>
      </c>
      <c r="H489">
        <v>17.886679221162211</v>
      </c>
      <c r="I489">
        <v>11.722757288544686</v>
      </c>
      <c r="J489">
        <v>0.27477498490117463</v>
      </c>
      <c r="K489">
        <v>9.5474826655738337E-2</v>
      </c>
      <c r="L489">
        <v>17.906992899898388</v>
      </c>
      <c r="M489">
        <v>11.620993374079646</v>
      </c>
      <c r="N489">
        <v>0.35772767885326345</v>
      </c>
      <c r="O489">
        <v>0.12448912569021846</v>
      </c>
      <c r="P489">
        <v>17.89678982137686</v>
      </c>
      <c r="Q489">
        <v>11.588881605795585</v>
      </c>
      <c r="R489">
        <v>0.38389387401978253</v>
      </c>
      <c r="S489">
        <v>0.13366002983084677</v>
      </c>
      <c r="T489">
        <v>17.893564490353775</v>
      </c>
      <c r="U489">
        <v>1448.1143416013585</v>
      </c>
      <c r="V489">
        <v>9.1831120300866989</v>
      </c>
      <c r="W489">
        <v>1244.0936205492724</v>
      </c>
      <c r="X489">
        <v>6.9325061773998433</v>
      </c>
      <c r="Y489">
        <v>2850.7674542224026</v>
      </c>
      <c r="Z489">
        <v>9.210248197673474</v>
      </c>
      <c r="AA489">
        <v>2714.6118159881962</v>
      </c>
      <c r="AB489">
        <v>6.9499372499968723</v>
      </c>
      <c r="AC489">
        <v>2173.649785990272</v>
      </c>
      <c r="AD489">
        <v>9.1965928200878775</v>
      </c>
      <c r="AE489">
        <v>2003.8405811484306</v>
      </c>
      <c r="AF489">
        <v>6.9411756839407648</v>
      </c>
      <c r="AG489">
        <v>2068.537561231838</v>
      </c>
      <c r="AH489">
        <v>9.1922868770866835</v>
      </c>
      <c r="AI489">
        <v>1885.6140279588674</v>
      </c>
      <c r="AJ489">
        <v>6.9384087010371243</v>
      </c>
    </row>
    <row r="490" spans="4:36" x14ac:dyDescent="0.55000000000000004">
      <c r="D490">
        <v>483</v>
      </c>
      <c r="E490">
        <v>13.612637526562724</v>
      </c>
      <c r="F490">
        <v>0.46159065385020481</v>
      </c>
      <c r="G490">
        <v>0.18125913190843393</v>
      </c>
      <c r="H490">
        <v>15.74451268767864</v>
      </c>
      <c r="I490">
        <v>13.871763514940271</v>
      </c>
      <c r="J490">
        <v>0.29476240073423765</v>
      </c>
      <c r="K490">
        <v>0.11532525312082137</v>
      </c>
      <c r="L490">
        <v>15.718148831204685</v>
      </c>
      <c r="M490">
        <v>13.754664610792121</v>
      </c>
      <c r="N490">
        <v>0.37020780487869842</v>
      </c>
      <c r="O490">
        <v>0.14508199014439235</v>
      </c>
      <c r="P490">
        <v>15.730045594184787</v>
      </c>
      <c r="Q490">
        <v>13.743554429700499</v>
      </c>
      <c r="R490">
        <v>0.3773612015897192</v>
      </c>
      <c r="S490">
        <v>0.14790857244790134</v>
      </c>
      <c r="T490">
        <v>15.731175796261887</v>
      </c>
      <c r="U490">
        <v>1646.3231927048471</v>
      </c>
      <c r="V490">
        <v>10.708143304695376</v>
      </c>
      <c r="W490">
        <v>1368.674684629382</v>
      </c>
      <c r="X490">
        <v>7.8318008095378184</v>
      </c>
      <c r="Y490">
        <v>2940.3296607345483</v>
      </c>
      <c r="Z490">
        <v>10.768743544976006</v>
      </c>
      <c r="AA490">
        <v>2765.6100669061861</v>
      </c>
      <c r="AB490">
        <v>7.8665269850663337</v>
      </c>
      <c r="AC490">
        <v>2299.689994191579</v>
      </c>
      <c r="AD490">
        <v>10.741369067239544</v>
      </c>
      <c r="AE490">
        <v>2079.1906144589634</v>
      </c>
      <c r="AF490">
        <v>7.8508538649661963</v>
      </c>
      <c r="AG490">
        <v>2159.5554190768507</v>
      </c>
      <c r="AH490">
        <v>10.738770899120791</v>
      </c>
      <c r="AI490">
        <v>1935.5792060688075</v>
      </c>
      <c r="AJ490">
        <v>7.849365149824088</v>
      </c>
    </row>
    <row r="491" spans="4:36" x14ac:dyDescent="0.55000000000000004">
      <c r="D491">
        <v>484</v>
      </c>
      <c r="E491">
        <v>11.90393547424846</v>
      </c>
      <c r="F491">
        <v>0.41298251331536995</v>
      </c>
      <c r="G491">
        <v>0.1463801351968412</v>
      </c>
      <c r="H491">
        <v>17.536701877239338</v>
      </c>
      <c r="I491">
        <v>12.113427082565096</v>
      </c>
      <c r="J491">
        <v>0.26174641085104788</v>
      </c>
      <c r="K491">
        <v>9.2480024938041361E-2</v>
      </c>
      <c r="L491">
        <v>17.532346481645796</v>
      </c>
      <c r="M491">
        <v>12.019539952912369</v>
      </c>
      <c r="N491">
        <v>0.32955863518885709</v>
      </c>
      <c r="O491">
        <v>0.1166050701759609</v>
      </c>
      <c r="P491">
        <v>17.534296341722808</v>
      </c>
      <c r="Q491">
        <v>12.004800649970438</v>
      </c>
      <c r="R491">
        <v>0.34019956063723511</v>
      </c>
      <c r="S491">
        <v>0.12039703374786417</v>
      </c>
      <c r="T491">
        <v>17.534602755644464</v>
      </c>
      <c r="U491">
        <v>1509.2311586071528</v>
      </c>
      <c r="V491">
        <v>9.4352678323416566</v>
      </c>
      <c r="W491">
        <v>1287.7000562457608</v>
      </c>
      <c r="X491">
        <v>7.0843269422699562</v>
      </c>
      <c r="Y491">
        <v>2862.2016517175744</v>
      </c>
      <c r="Z491">
        <v>9.4776862109773088</v>
      </c>
      <c r="AA491">
        <v>2721.1207502397137</v>
      </c>
      <c r="AB491">
        <v>7.1099083091988788</v>
      </c>
      <c r="AC491">
        <v>2186.2670931264984</v>
      </c>
      <c r="AD491">
        <v>9.4586769580995576</v>
      </c>
      <c r="AE491">
        <v>2011.7082686519616</v>
      </c>
      <c r="AF491">
        <v>7.098455537755771</v>
      </c>
      <c r="AG491">
        <v>2059.3883834897515</v>
      </c>
      <c r="AH491">
        <v>9.4556925200278421</v>
      </c>
      <c r="AI491">
        <v>1878.0299647009676</v>
      </c>
      <c r="AJ491">
        <v>7.0966558188765863</v>
      </c>
    </row>
    <row r="492" spans="4:36" x14ac:dyDescent="0.55000000000000004">
      <c r="D492">
        <v>485</v>
      </c>
      <c r="E492">
        <v>14.489405631767635</v>
      </c>
      <c r="F492">
        <v>0.49503026757741075</v>
      </c>
      <c r="G492">
        <v>0.1444512388674819</v>
      </c>
      <c r="H492">
        <v>14.871112861787465</v>
      </c>
      <c r="I492">
        <v>14.733166287391125</v>
      </c>
      <c r="J492">
        <v>0.32884271434196144</v>
      </c>
      <c r="K492">
        <v>9.5674671463754718E-2</v>
      </c>
      <c r="L492">
        <v>14.842316326803159</v>
      </c>
      <c r="M492">
        <v>14.589745657652578</v>
      </c>
      <c r="N492">
        <v>0.42666491214519453</v>
      </c>
      <c r="O492">
        <v>0.12435035602625441</v>
      </c>
      <c r="P492">
        <v>14.859239074175978</v>
      </c>
      <c r="Q492">
        <v>14.585857811079714</v>
      </c>
      <c r="R492">
        <v>0.4293149708511167</v>
      </c>
      <c r="S492">
        <v>0.12512860198777975</v>
      </c>
      <c r="T492">
        <v>14.859698616081383</v>
      </c>
      <c r="U492">
        <v>1628.3263204909977</v>
      </c>
      <c r="V492">
        <v>11.388456782535266</v>
      </c>
      <c r="W492">
        <v>1353.6218399018585</v>
      </c>
      <c r="X492">
        <v>8.2325237043664909</v>
      </c>
      <c r="Y492">
        <v>2944.0156621342767</v>
      </c>
      <c r="Z492">
        <v>11.448384148493773</v>
      </c>
      <c r="AA492">
        <v>2766.330175067787</v>
      </c>
      <c r="AB492">
        <v>8.2662933371196914</v>
      </c>
      <c r="AC492">
        <v>2311.3726562411657</v>
      </c>
      <c r="AD492">
        <v>11.413136457305395</v>
      </c>
      <c r="AE492">
        <v>2084.2692383568478</v>
      </c>
      <c r="AF492">
        <v>8.2464413741294322</v>
      </c>
      <c r="AG492">
        <v>2188.2177480141554</v>
      </c>
      <c r="AH492">
        <v>11.412180503990969</v>
      </c>
      <c r="AI492">
        <v>1953.3205949959279</v>
      </c>
      <c r="AJ492">
        <v>8.2459025546842071</v>
      </c>
    </row>
    <row r="493" spans="4:36" x14ac:dyDescent="0.55000000000000004">
      <c r="D493">
        <v>486</v>
      </c>
      <c r="E493">
        <v>12.952661466736336</v>
      </c>
      <c r="F493">
        <v>0.49394829566354631</v>
      </c>
      <c r="G493">
        <v>0.15713021176737324</v>
      </c>
      <c r="H493">
        <v>16.396260025832738</v>
      </c>
      <c r="I493">
        <v>13.222680685300773</v>
      </c>
      <c r="J493">
        <v>0.29196608597476353</v>
      </c>
      <c r="K493">
        <v>9.252806707058793E-2</v>
      </c>
      <c r="L493">
        <v>16.392825161653878</v>
      </c>
      <c r="M493">
        <v>13.114869749153664</v>
      </c>
      <c r="N493">
        <v>0.37265901795428574</v>
      </c>
      <c r="O493">
        <v>0.11827773068589804</v>
      </c>
      <c r="P493">
        <v>16.394193502206161</v>
      </c>
      <c r="Q493">
        <v>13.053093473993197</v>
      </c>
      <c r="R493">
        <v>0.4188683348486692</v>
      </c>
      <c r="S493">
        <v>0.13305877097447963</v>
      </c>
      <c r="T493">
        <v>16.394979420183656</v>
      </c>
      <c r="U493">
        <v>1605.2884023025072</v>
      </c>
      <c r="V493">
        <v>10.192719047167918</v>
      </c>
      <c r="W493">
        <v>1341.9884519604298</v>
      </c>
      <c r="X493">
        <v>7.5231322580698317</v>
      </c>
      <c r="Y493">
        <v>2916.7276782917538</v>
      </c>
      <c r="Z493">
        <v>10.244103182197557</v>
      </c>
      <c r="AA493">
        <v>2752.4839757569093</v>
      </c>
      <c r="AB493">
        <v>7.5535941423855615</v>
      </c>
      <c r="AC493">
        <v>2248.9259292531601</v>
      </c>
      <c r="AD493">
        <v>10.22358888088308</v>
      </c>
      <c r="AE493">
        <v>2046.5001356589046</v>
      </c>
      <c r="AF493">
        <v>7.541447194196552</v>
      </c>
      <c r="AG493">
        <v>2169.5177683497641</v>
      </c>
      <c r="AH493">
        <v>10.211832929899279</v>
      </c>
      <c r="AI493">
        <v>1944.7618020926263</v>
      </c>
      <c r="AJ493">
        <v>7.5344776156213884</v>
      </c>
    </row>
    <row r="494" spans="4:36" x14ac:dyDescent="0.55000000000000004">
      <c r="D494">
        <v>487</v>
      </c>
      <c r="E494">
        <v>12.252183682420981</v>
      </c>
      <c r="F494">
        <v>0.48146686480593892</v>
      </c>
      <c r="G494">
        <v>0.16644113025661941</v>
      </c>
      <c r="H494">
        <v>17.099908322516466</v>
      </c>
      <c r="I494">
        <v>12.46888139391605</v>
      </c>
      <c r="J494">
        <v>0.30911124832703812</v>
      </c>
      <c r="K494">
        <v>0.10652052662841797</v>
      </c>
      <c r="L494">
        <v>17.1154868311285</v>
      </c>
      <c r="M494">
        <v>12.421714350271014</v>
      </c>
      <c r="N494">
        <v>0.34664555742271969</v>
      </c>
      <c r="O494">
        <v>0.11953687540030331</v>
      </c>
      <c r="P494">
        <v>17.112103216905982</v>
      </c>
      <c r="Q494">
        <v>12.343349578564569</v>
      </c>
      <c r="R494">
        <v>0.40898304574149996</v>
      </c>
      <c r="S494">
        <v>0.14119468485163983</v>
      </c>
      <c r="T494">
        <v>17.106472690842292</v>
      </c>
      <c r="U494">
        <v>1495.2888834264461</v>
      </c>
      <c r="V494">
        <v>9.7662427858798573</v>
      </c>
      <c r="W494">
        <v>1273.1148941494441</v>
      </c>
      <c r="X494">
        <v>7.2833501004404066</v>
      </c>
      <c r="Y494">
        <v>2878.353220942824</v>
      </c>
      <c r="Z494">
        <v>9.7995726870666431</v>
      </c>
      <c r="AA494">
        <v>2730.321148633599</v>
      </c>
      <c r="AB494">
        <v>7.3041798981602399</v>
      </c>
      <c r="AC494">
        <v>2176.3707731098107</v>
      </c>
      <c r="AD494">
        <v>9.7923135755302422</v>
      </c>
      <c r="AE494">
        <v>2003.7865736662918</v>
      </c>
      <c r="AF494">
        <v>7.2996507424196704</v>
      </c>
      <c r="AG494">
        <v>2084.9701663713017</v>
      </c>
      <c r="AH494">
        <v>9.7802584956965894</v>
      </c>
      <c r="AI494">
        <v>1892.9752475828784</v>
      </c>
      <c r="AJ494">
        <v>7.2921200869546263</v>
      </c>
    </row>
    <row r="495" spans="4:36" x14ac:dyDescent="0.55000000000000004">
      <c r="D495">
        <v>488</v>
      </c>
      <c r="E495">
        <v>13.269568633643678</v>
      </c>
      <c r="F495">
        <v>0.50464256431044019</v>
      </c>
      <c r="G495">
        <v>0.20806234873705773</v>
      </c>
      <c r="H495">
        <v>16.017726453308825</v>
      </c>
      <c r="I495">
        <v>13.51266243779393</v>
      </c>
      <c r="J495">
        <v>0.32230364749165424</v>
      </c>
      <c r="K495">
        <v>0.1324374537831691</v>
      </c>
      <c r="L495">
        <v>16.032596460931249</v>
      </c>
      <c r="M495">
        <v>13.428279830659495</v>
      </c>
      <c r="N495">
        <v>0.38563244696876642</v>
      </c>
      <c r="O495">
        <v>0.15864442250106542</v>
      </c>
      <c r="P495">
        <v>16.027443299870683</v>
      </c>
      <c r="Q495">
        <v>13.382851344959349</v>
      </c>
      <c r="R495">
        <v>0.41971081306304769</v>
      </c>
      <c r="S495">
        <v>0.17277254601391884</v>
      </c>
      <c r="T495">
        <v>16.024665295963676</v>
      </c>
      <c r="U495">
        <v>1607.1218967199738</v>
      </c>
      <c r="V495">
        <v>10.512708608033092</v>
      </c>
      <c r="W495">
        <v>1337.4698621128343</v>
      </c>
      <c r="X495">
        <v>7.7169128059511953</v>
      </c>
      <c r="Y495">
        <v>2936.5281410268121</v>
      </c>
      <c r="Z495">
        <v>10.548993533226657</v>
      </c>
      <c r="AA495">
        <v>2761.4246810147665</v>
      </c>
      <c r="AB495">
        <v>7.7390160277297584</v>
      </c>
      <c r="AC495">
        <v>2283.9783670119855</v>
      </c>
      <c r="AD495">
        <v>10.53639339599841</v>
      </c>
      <c r="AE495">
        <v>2067.5132649762295</v>
      </c>
      <c r="AF495">
        <v>7.7313505996348892</v>
      </c>
      <c r="AG495">
        <v>2163.6745602000597</v>
      </c>
      <c r="AH495">
        <v>10.529612109176497</v>
      </c>
      <c r="AI495">
        <v>1936.1981958878955</v>
      </c>
      <c r="AJ495">
        <v>7.7272207354591185</v>
      </c>
    </row>
    <row r="496" spans="4:36" x14ac:dyDescent="0.55000000000000004">
      <c r="D496">
        <v>489</v>
      </c>
      <c r="E496">
        <v>13.283981482430116</v>
      </c>
      <c r="F496">
        <v>0.43653479803502876</v>
      </c>
      <c r="G496">
        <v>0.17482893956172901</v>
      </c>
      <c r="H496">
        <v>16.104654779973131</v>
      </c>
      <c r="I496">
        <v>13.539339089111492</v>
      </c>
      <c r="J496">
        <v>0.27380208232583375</v>
      </c>
      <c r="K496">
        <v>0.10924180722729587</v>
      </c>
      <c r="L496">
        <v>16.077617021335374</v>
      </c>
      <c r="M496">
        <v>13.438841914772595</v>
      </c>
      <c r="N496">
        <v>0.33789986150233936</v>
      </c>
      <c r="O496">
        <v>0.1350154026143118</v>
      </c>
      <c r="P496">
        <v>16.08824282111074</v>
      </c>
      <c r="Q496">
        <v>13.40989123498704</v>
      </c>
      <c r="R496">
        <v>0.35635195846796014</v>
      </c>
      <c r="S496">
        <v>0.14244935720642363</v>
      </c>
      <c r="T496">
        <v>16.091307449338579</v>
      </c>
      <c r="U496">
        <v>1542.0600877548354</v>
      </c>
      <c r="V496">
        <v>10.468561642010629</v>
      </c>
      <c r="W496">
        <v>1302.7320452419044</v>
      </c>
      <c r="X496">
        <v>7.6947636624969142</v>
      </c>
      <c r="Y496">
        <v>2916.5329936430185</v>
      </c>
      <c r="Z496">
        <v>10.53058512360391</v>
      </c>
      <c r="AA496">
        <v>2755.4767935307373</v>
      </c>
      <c r="AB496">
        <v>7.7307087359231446</v>
      </c>
      <c r="AC496">
        <v>2223.4382759400446</v>
      </c>
      <c r="AD496">
        <v>10.506183559412323</v>
      </c>
      <c r="AE496">
        <v>2032.660450277099</v>
      </c>
      <c r="AF496">
        <v>7.7165813539143473</v>
      </c>
      <c r="AG496">
        <v>2126.6963320633076</v>
      </c>
      <c r="AH496">
        <v>10.499152155297342</v>
      </c>
      <c r="AI496">
        <v>1920.4228466489044</v>
      </c>
      <c r="AJ496">
        <v>7.7125070713570629</v>
      </c>
    </row>
    <row r="497" spans="4:36" x14ac:dyDescent="0.55000000000000004">
      <c r="D497">
        <v>490</v>
      </c>
      <c r="E497">
        <v>11.879719600694402</v>
      </c>
      <c r="F497">
        <v>0.4474168136635821</v>
      </c>
      <c r="G497">
        <v>0.16821354776903713</v>
      </c>
      <c r="H497">
        <v>17.50465003787297</v>
      </c>
      <c r="I497">
        <v>12.099307634687381</v>
      </c>
      <c r="J497">
        <v>0.27769327658498094</v>
      </c>
      <c r="K497">
        <v>0.10406712249229214</v>
      </c>
      <c r="L497">
        <v>17.518931966235357</v>
      </c>
      <c r="M497">
        <v>11.997408978490734</v>
      </c>
      <c r="N497">
        <v>0.35648404707824793</v>
      </c>
      <c r="O497">
        <v>0.13379368310585937</v>
      </c>
      <c r="P497">
        <v>17.512313291325153</v>
      </c>
      <c r="Q497">
        <v>11.976455997665335</v>
      </c>
      <c r="R497">
        <v>0.37267872324019063</v>
      </c>
      <c r="S497">
        <v>0.13991483465260141</v>
      </c>
      <c r="T497">
        <v>17.510950444441871</v>
      </c>
      <c r="U497">
        <v>1504.0429582912443</v>
      </c>
      <c r="V497">
        <v>9.3305170385141487</v>
      </c>
      <c r="W497">
        <v>1282.8496902301331</v>
      </c>
      <c r="X497">
        <v>7.0019195500691351</v>
      </c>
      <c r="Y497">
        <v>2860.6160359623036</v>
      </c>
      <c r="Z497">
        <v>9.3640116993803009</v>
      </c>
      <c r="AA497">
        <v>2719.803437950904</v>
      </c>
      <c r="AB497">
        <v>7.0228210611666579</v>
      </c>
      <c r="AC497">
        <v>2179.3420969338968</v>
      </c>
      <c r="AD497">
        <v>9.3484636455366648</v>
      </c>
      <c r="AE497">
        <v>2005.7788598176917</v>
      </c>
      <c r="AF497">
        <v>7.0131298703635254</v>
      </c>
      <c r="AG497">
        <v>2094.6050941457797</v>
      </c>
      <c r="AH497">
        <v>9.3452676432059434</v>
      </c>
      <c r="AI497">
        <v>1903.5275169966524</v>
      </c>
      <c r="AJ497">
        <v>7.0111353946033041</v>
      </c>
    </row>
    <row r="498" spans="4:36" x14ac:dyDescent="0.55000000000000004">
      <c r="D498">
        <v>491</v>
      </c>
      <c r="E498">
        <v>12.587878632557256</v>
      </c>
      <c r="F498">
        <v>0.45332925036029553</v>
      </c>
      <c r="G498">
        <v>0.15134857590631579</v>
      </c>
      <c r="H498">
        <v>16.807443541176127</v>
      </c>
      <c r="I498">
        <v>12.795221735427715</v>
      </c>
      <c r="J498">
        <v>0.29924424771677838</v>
      </c>
      <c r="K498">
        <v>9.9605951211330604E-2</v>
      </c>
      <c r="L498">
        <v>16.805928065644185</v>
      </c>
      <c r="M498">
        <v>12.720349092094242</v>
      </c>
      <c r="N498">
        <v>0.35491283765792392</v>
      </c>
      <c r="O498">
        <v>0.11826341966443008</v>
      </c>
      <c r="P498">
        <v>16.806474650583404</v>
      </c>
      <c r="Q498">
        <v>12.646448006872408</v>
      </c>
      <c r="R498">
        <v>0.40982840625583045</v>
      </c>
      <c r="S498">
        <v>0.13670871267813905</v>
      </c>
      <c r="T498">
        <v>16.807014874193637</v>
      </c>
      <c r="U498">
        <v>1539.6241837024647</v>
      </c>
      <c r="V498">
        <v>9.9867419745885098</v>
      </c>
      <c r="W498">
        <v>1305.0033609226828</v>
      </c>
      <c r="X498">
        <v>7.4156416030223156</v>
      </c>
      <c r="Y498">
        <v>2888.9888901102036</v>
      </c>
      <c r="Z498">
        <v>10.027894911218405</v>
      </c>
      <c r="AA498">
        <v>2736.7688515015725</v>
      </c>
      <c r="AB498">
        <v>7.4402418846900327</v>
      </c>
      <c r="AC498">
        <v>2201.7688226894034</v>
      </c>
      <c r="AD498">
        <v>10.013035038599103</v>
      </c>
      <c r="AE498">
        <v>2019.5519580803877</v>
      </c>
      <c r="AF498">
        <v>7.4313681797512992</v>
      </c>
      <c r="AG498">
        <v>2123.1326605257286</v>
      </c>
      <c r="AH498">
        <v>9.9983672585951311</v>
      </c>
      <c r="AI498">
        <v>1918.5596784355903</v>
      </c>
      <c r="AJ498">
        <v>7.4225990294161015</v>
      </c>
    </row>
    <row r="499" spans="4:36" x14ac:dyDescent="0.55000000000000004">
      <c r="D499">
        <v>492</v>
      </c>
      <c r="E499">
        <v>12.066279092726795</v>
      </c>
      <c r="F499">
        <v>0.41663044189475246</v>
      </c>
      <c r="G499">
        <v>0.14185257391877545</v>
      </c>
      <c r="H499">
        <v>17.375237891459676</v>
      </c>
      <c r="I499">
        <v>12.220120828067584</v>
      </c>
      <c r="J499">
        <v>0.29649741632007115</v>
      </c>
      <c r="K499">
        <v>0.10071227959247817</v>
      </c>
      <c r="L499">
        <v>17.382669476019871</v>
      </c>
      <c r="M499">
        <v>12.137070294250822</v>
      </c>
      <c r="N499">
        <v>0.36136537862575174</v>
      </c>
      <c r="O499">
        <v>0.1229022716153029</v>
      </c>
      <c r="P499">
        <v>17.378662055508109</v>
      </c>
      <c r="Q499">
        <v>12.12233729527599</v>
      </c>
      <c r="R499">
        <v>0.37286918907288125</v>
      </c>
      <c r="S499">
        <v>0.12684346263427351</v>
      </c>
      <c r="T499">
        <v>17.377950053016846</v>
      </c>
      <c r="U499">
        <v>1524.7267357375713</v>
      </c>
      <c r="V499">
        <v>9.5293275254256162</v>
      </c>
      <c r="W499">
        <v>1297.8761229865363</v>
      </c>
      <c r="X499">
        <v>7.1344407847230409</v>
      </c>
      <c r="Y499">
        <v>2875.4854771724467</v>
      </c>
      <c r="Z499">
        <v>9.5530517155036687</v>
      </c>
      <c r="AA499">
        <v>2727.5137813201704</v>
      </c>
      <c r="AB499">
        <v>7.1491736034044262</v>
      </c>
      <c r="AC499">
        <v>2197.8252781846431</v>
      </c>
      <c r="AD499">
        <v>9.5402418830330955</v>
      </c>
      <c r="AE499">
        <v>2016.8907656976628</v>
      </c>
      <c r="AF499">
        <v>7.1412240804174294</v>
      </c>
      <c r="AG499">
        <v>2092.6756074912391</v>
      </c>
      <c r="AH499">
        <v>9.5379700484554863</v>
      </c>
      <c r="AI499">
        <v>1899.4725390886881</v>
      </c>
      <c r="AJ499">
        <v>7.1398128977961974</v>
      </c>
    </row>
    <row r="500" spans="4:36" x14ac:dyDescent="0.55000000000000004">
      <c r="D500">
        <v>493</v>
      </c>
      <c r="E500">
        <v>12.73670646286717</v>
      </c>
      <c r="F500">
        <v>0.48376455007811742</v>
      </c>
      <c r="G500">
        <v>0.18393386483801225</v>
      </c>
      <c r="H500">
        <v>16.595595122216714</v>
      </c>
      <c r="I500">
        <v>12.995494550023588</v>
      </c>
      <c r="J500">
        <v>0.29069012777481179</v>
      </c>
      <c r="K500">
        <v>0.11010745134033745</v>
      </c>
      <c r="L500">
        <v>16.603707870861278</v>
      </c>
      <c r="M500">
        <v>12.897368771123226</v>
      </c>
      <c r="N500">
        <v>0.36394227601943063</v>
      </c>
      <c r="O500">
        <v>0.13805050170923175</v>
      </c>
      <c r="P500">
        <v>16.600638451148114</v>
      </c>
      <c r="Q500">
        <v>12.815805411958481</v>
      </c>
      <c r="R500">
        <v>0.42479022833941249</v>
      </c>
      <c r="S500">
        <v>0.16132348106875721</v>
      </c>
      <c r="T500">
        <v>16.598080878633365</v>
      </c>
      <c r="U500">
        <v>1598.8109543196726</v>
      </c>
      <c r="V500">
        <v>10.116742011078093</v>
      </c>
      <c r="W500">
        <v>1342.1364336145625</v>
      </c>
      <c r="X500">
        <v>7.4884974562995712</v>
      </c>
      <c r="Y500">
        <v>2907.0165935889477</v>
      </c>
      <c r="Z500">
        <v>10.160816146865569</v>
      </c>
      <c r="AA500">
        <v>2747.8802834593362</v>
      </c>
      <c r="AB500">
        <v>7.515240924309861</v>
      </c>
      <c r="AC500">
        <v>2234.1460480186474</v>
      </c>
      <c r="AD500">
        <v>10.144100538265267</v>
      </c>
      <c r="AE500">
        <v>2039.3533592230051</v>
      </c>
      <c r="AF500">
        <v>7.5051117350624867</v>
      </c>
      <c r="AG500">
        <v>2160.3992825202795</v>
      </c>
      <c r="AH500">
        <v>10.130209868503318</v>
      </c>
      <c r="AI500">
        <v>1941.0376787952798</v>
      </c>
      <c r="AJ500">
        <v>7.4966818123196068</v>
      </c>
    </row>
    <row r="501" spans="4:36" x14ac:dyDescent="0.55000000000000004">
      <c r="D501">
        <v>494</v>
      </c>
      <c r="E501">
        <v>13.453569512145531</v>
      </c>
      <c r="F501">
        <v>0.48873161251739583</v>
      </c>
      <c r="G501">
        <v>0.18716578124234826</v>
      </c>
      <c r="H501">
        <v>15.87053309409473</v>
      </c>
      <c r="I501">
        <v>13.676037968880223</v>
      </c>
      <c r="J501">
        <v>0.32607902336970379</v>
      </c>
      <c r="K501">
        <v>0.12449151543886464</v>
      </c>
      <c r="L501">
        <v>15.873391492311214</v>
      </c>
      <c r="M501">
        <v>13.569072839039379</v>
      </c>
      <c r="N501">
        <v>0.4043183701107656</v>
      </c>
      <c r="O501">
        <v>0.1545901774849002</v>
      </c>
      <c r="P501">
        <v>15.87201861336497</v>
      </c>
      <c r="Q501">
        <v>13.544489502715715</v>
      </c>
      <c r="R501">
        <v>0.42229083256795846</v>
      </c>
      <c r="S501">
        <v>0.16151695742817881</v>
      </c>
      <c r="T501">
        <v>15.871702707288156</v>
      </c>
      <c r="U501">
        <v>1602.9815684233854</v>
      </c>
      <c r="V501">
        <v>10.699987496162292</v>
      </c>
      <c r="W501">
        <v>1337.4741436462389</v>
      </c>
      <c r="X501">
        <v>7.8384223657545338</v>
      </c>
      <c r="Y501">
        <v>2931.2492627628822</v>
      </c>
      <c r="Z501">
        <v>10.73981635754828</v>
      </c>
      <c r="AA501">
        <v>2758.3257615592679</v>
      </c>
      <c r="AB501">
        <v>7.8620915361071271</v>
      </c>
      <c r="AC501">
        <v>2285.475202862101</v>
      </c>
      <c r="AD501">
        <v>10.720665485527306</v>
      </c>
      <c r="AE501">
        <v>2068.3777478991633</v>
      </c>
      <c r="AF501">
        <v>7.8507202708556116</v>
      </c>
      <c r="AG501">
        <v>2158.9903615666494</v>
      </c>
      <c r="AH501">
        <v>10.716264317150403</v>
      </c>
      <c r="AI501">
        <v>1933.9874662726215</v>
      </c>
      <c r="AJ501">
        <v>7.8481044851918709</v>
      </c>
    </row>
    <row r="502" spans="4:36" x14ac:dyDescent="0.55000000000000004">
      <c r="D502">
        <v>495</v>
      </c>
      <c r="E502">
        <v>11.130940748356242</v>
      </c>
      <c r="F502">
        <v>0.39700169398650553</v>
      </c>
      <c r="G502">
        <v>0.17765405101476828</v>
      </c>
      <c r="H502">
        <v>18.294403506642492</v>
      </c>
      <c r="I502">
        <v>11.294460296867742</v>
      </c>
      <c r="J502">
        <v>0.27203870222159487</v>
      </c>
      <c r="K502">
        <v>0.12139899212942012</v>
      </c>
      <c r="L502">
        <v>18.312102008781249</v>
      </c>
      <c r="M502">
        <v>11.242638634838599</v>
      </c>
      <c r="N502">
        <v>0.31165744854713501</v>
      </c>
      <c r="O502">
        <v>0.13920030111301523</v>
      </c>
      <c r="P502">
        <v>18.306503615501253</v>
      </c>
      <c r="Q502">
        <v>11.22408003969163</v>
      </c>
      <c r="R502">
        <v>0.32584224007482721</v>
      </c>
      <c r="S502">
        <v>0.14558138763601103</v>
      </c>
      <c r="T502">
        <v>18.304496332597516</v>
      </c>
      <c r="U502">
        <v>1426.9673066434677</v>
      </c>
      <c r="V502">
        <v>8.7920661511164848</v>
      </c>
      <c r="W502">
        <v>1232.6592104916297</v>
      </c>
      <c r="X502">
        <v>6.6803086837989021</v>
      </c>
      <c r="Y502">
        <v>2834.6780336612269</v>
      </c>
      <c r="Z502">
        <v>8.8120234305287042</v>
      </c>
      <c r="AA502">
        <v>2703.3866474220326</v>
      </c>
      <c r="AB502">
        <v>6.6936709307390894</v>
      </c>
      <c r="AC502">
        <v>2122.2383253247012</v>
      </c>
      <c r="AD502">
        <v>8.8056920010351991</v>
      </c>
      <c r="AE502">
        <v>1969.4515858493801</v>
      </c>
      <c r="AF502">
        <v>6.6894383894015688</v>
      </c>
      <c r="AG502">
        <v>2029.6264146792655</v>
      </c>
      <c r="AH502">
        <v>8.8034260646662688</v>
      </c>
      <c r="AI502">
        <v>1861.8748199459437</v>
      </c>
      <c r="AJ502">
        <v>6.687922132382309</v>
      </c>
    </row>
    <row r="503" spans="4:36" x14ac:dyDescent="0.55000000000000004">
      <c r="D503">
        <v>496</v>
      </c>
      <c r="E503">
        <v>11.218711243436509</v>
      </c>
      <c r="F503">
        <v>0.37664093775513507</v>
      </c>
      <c r="G503">
        <v>0.13667841279357479</v>
      </c>
      <c r="H503">
        <v>18.26796940601476</v>
      </c>
      <c r="I503">
        <v>11.402526398580486</v>
      </c>
      <c r="J503">
        <v>0.24419852084444979</v>
      </c>
      <c r="K503">
        <v>8.8351731963531258E-2</v>
      </c>
      <c r="L503">
        <v>18.264923348611529</v>
      </c>
      <c r="M503">
        <v>11.319190814622271</v>
      </c>
      <c r="N503">
        <v>0.30426998974093539</v>
      </c>
      <c r="O503">
        <v>0.11023478209106721</v>
      </c>
      <c r="P503">
        <v>18.266304413545729</v>
      </c>
      <c r="Q503">
        <v>11.294843643486935</v>
      </c>
      <c r="R503">
        <v>0.32181207078893581</v>
      </c>
      <c r="S503">
        <v>0.11663640860311569</v>
      </c>
      <c r="T503">
        <v>18.266707877121018</v>
      </c>
      <c r="U503">
        <v>1452.4892518130985</v>
      </c>
      <c r="V503">
        <v>8.8798499289852426</v>
      </c>
      <c r="W503">
        <v>1251.9093701286611</v>
      </c>
      <c r="X503">
        <v>6.7462843908237078</v>
      </c>
      <c r="Y503">
        <v>2861.4364224257251</v>
      </c>
      <c r="Z503">
        <v>8.9171988196069254</v>
      </c>
      <c r="AA503">
        <v>2724.8608196338746</v>
      </c>
      <c r="AB503">
        <v>6.7692154117316159</v>
      </c>
      <c r="AC503">
        <v>2150.6943827296436</v>
      </c>
      <c r="AD503">
        <v>8.9002659887988873</v>
      </c>
      <c r="AE503">
        <v>1990.1907898820459</v>
      </c>
      <c r="AF503">
        <v>6.7588291745942826</v>
      </c>
      <c r="AG503">
        <v>2050.2455248148144</v>
      </c>
      <c r="AH503">
        <v>8.8953189563752826</v>
      </c>
      <c r="AI503">
        <v>1876.2337476030234</v>
      </c>
      <c r="AJ503">
        <v>6.755791658820149</v>
      </c>
    </row>
    <row r="504" spans="4:36" x14ac:dyDescent="0.55000000000000004">
      <c r="D504">
        <v>497</v>
      </c>
      <c r="E504">
        <v>11.577259171479744</v>
      </c>
      <c r="F504">
        <v>0.40813384613457532</v>
      </c>
      <c r="G504">
        <v>0.16023853043069006</v>
      </c>
      <c r="H504">
        <v>17.854368451954972</v>
      </c>
      <c r="I504">
        <v>11.77134241657725</v>
      </c>
      <c r="J504">
        <v>0.26131075089255756</v>
      </c>
      <c r="K504">
        <v>0.102266803314824</v>
      </c>
      <c r="L504">
        <v>17.86508002921537</v>
      </c>
      <c r="M504">
        <v>11.688261426144877</v>
      </c>
      <c r="N504">
        <v>0.32418707627039495</v>
      </c>
      <c r="O504">
        <v>0.12704702810715007</v>
      </c>
      <c r="P504">
        <v>17.860504469477558</v>
      </c>
      <c r="Q504">
        <v>11.661134993996656</v>
      </c>
      <c r="R504">
        <v>0.344708186532725</v>
      </c>
      <c r="S504">
        <v>0.13514944008296192</v>
      </c>
      <c r="T504">
        <v>17.859007379387641</v>
      </c>
      <c r="U504">
        <v>1491.2433508816316</v>
      </c>
      <c r="V504">
        <v>9.1708444045926196</v>
      </c>
      <c r="W504">
        <v>1276.507870545666</v>
      </c>
      <c r="X504">
        <v>6.9189823426578858</v>
      </c>
      <c r="Y504">
        <v>2863.9885755659411</v>
      </c>
      <c r="Z504">
        <v>9.2012739027204962</v>
      </c>
      <c r="AA504">
        <v>2723.842102537235</v>
      </c>
      <c r="AB504">
        <v>6.9382584296622412</v>
      </c>
      <c r="AC504">
        <v>2166.1866545711268</v>
      </c>
      <c r="AD504">
        <v>9.1882419854332014</v>
      </c>
      <c r="AE504">
        <v>1998.553386070874</v>
      </c>
      <c r="AF504">
        <v>6.9300130741105406</v>
      </c>
      <c r="AG504">
        <v>2083.0452306852139</v>
      </c>
      <c r="AH504">
        <v>9.1839889244607384</v>
      </c>
      <c r="AI504">
        <v>1897.291158790382</v>
      </c>
      <c r="AJ504">
        <v>6.9273189362088088</v>
      </c>
    </row>
    <row r="505" spans="4:36" x14ac:dyDescent="0.55000000000000004">
      <c r="D505">
        <v>498</v>
      </c>
      <c r="E505">
        <v>11.939305511691098</v>
      </c>
      <c r="F505">
        <v>0.44077342155322857</v>
      </c>
      <c r="G505">
        <v>0.16774715332230453</v>
      </c>
      <c r="H505">
        <v>17.452173913433356</v>
      </c>
      <c r="I505">
        <v>12.166394493580839</v>
      </c>
      <c r="J505">
        <v>0.26877371963251678</v>
      </c>
      <c r="K505">
        <v>0.10193435239213508</v>
      </c>
      <c r="L505">
        <v>17.462897434394517</v>
      </c>
      <c r="M505">
        <v>12.053086875527018</v>
      </c>
      <c r="N505">
        <v>0.35462971156977774</v>
      </c>
      <c r="O505">
        <v>0.13472786359855152</v>
      </c>
      <c r="P505">
        <v>17.457555549304647</v>
      </c>
      <c r="Q505">
        <v>12.03206304127052</v>
      </c>
      <c r="R505">
        <v>0.37055223136439508</v>
      </c>
      <c r="S505">
        <v>0.14082224256238657</v>
      </c>
      <c r="T505">
        <v>17.456562484802696</v>
      </c>
      <c r="U505">
        <v>1534.2024652607588</v>
      </c>
      <c r="V505">
        <v>9.4249011255992734</v>
      </c>
      <c r="W505">
        <v>1302.2609672226456</v>
      </c>
      <c r="X505">
        <v>7.0654216302554431</v>
      </c>
      <c r="Y505">
        <v>2871.0049169346148</v>
      </c>
      <c r="Z505">
        <v>9.4578917752083296</v>
      </c>
      <c r="AA505">
        <v>2725.9622431253242</v>
      </c>
      <c r="AB505">
        <v>7.0858988368690197</v>
      </c>
      <c r="AC505">
        <v>2231.5681703721834</v>
      </c>
      <c r="AD505">
        <v>9.4414262487459908</v>
      </c>
      <c r="AE505">
        <v>2042.19975606598</v>
      </c>
      <c r="AF505">
        <v>7.0756899274167671</v>
      </c>
      <c r="AG505">
        <v>2102.3690750695164</v>
      </c>
      <c r="AH505">
        <v>9.4383721343763192</v>
      </c>
      <c r="AI505">
        <v>1906.2742725261705</v>
      </c>
      <c r="AJ505">
        <v>7.0737938825246696</v>
      </c>
    </row>
    <row r="506" spans="4:36" x14ac:dyDescent="0.55000000000000004">
      <c r="D506">
        <v>499</v>
      </c>
      <c r="E506">
        <v>12.44237794006045</v>
      </c>
      <c r="F506">
        <v>0.43617814237935365</v>
      </c>
      <c r="G506">
        <v>0.16904830358838166</v>
      </c>
      <c r="H506">
        <v>16.952395613971813</v>
      </c>
      <c r="I506">
        <v>12.638114989952008</v>
      </c>
      <c r="J506">
        <v>0.29407167247586996</v>
      </c>
      <c r="K506">
        <v>0.11363526720404026</v>
      </c>
      <c r="L506">
        <v>16.954178070368069</v>
      </c>
      <c r="M506">
        <v>12.556434016200306</v>
      </c>
      <c r="N506">
        <v>0.35340019025934732</v>
      </c>
      <c r="O506">
        <v>0.13672934998939076</v>
      </c>
      <c r="P506">
        <v>16.953436443550959</v>
      </c>
      <c r="Q506">
        <v>12.528716607190429</v>
      </c>
      <c r="R506">
        <v>0.37352363341078754</v>
      </c>
      <c r="S506">
        <v>0.14457568793352307</v>
      </c>
      <c r="T506">
        <v>16.953184071465259</v>
      </c>
      <c r="U506">
        <v>1559.1172273373791</v>
      </c>
      <c r="V506">
        <v>9.7853650901364446</v>
      </c>
      <c r="W506">
        <v>1317.0665746838865</v>
      </c>
      <c r="X506">
        <v>7.2802804219583042</v>
      </c>
      <c r="Y506">
        <v>2894.5942095539222</v>
      </c>
      <c r="Z506">
        <v>9.8192457976473992</v>
      </c>
      <c r="AA506">
        <v>2738.7508236521935</v>
      </c>
      <c r="AB506">
        <v>7.300772266118587</v>
      </c>
      <c r="AC506">
        <v>2221.4859474618788</v>
      </c>
      <c r="AD506">
        <v>9.8051063337550737</v>
      </c>
      <c r="AE506">
        <v>2031.2983803396305</v>
      </c>
      <c r="AF506">
        <v>7.2922285445176138</v>
      </c>
      <c r="AG506">
        <v>2092.8579222912549</v>
      </c>
      <c r="AH506">
        <v>9.8003086289232169</v>
      </c>
      <c r="AI506">
        <v>1895.3231609964519</v>
      </c>
      <c r="AJ506">
        <v>7.2893269042685551</v>
      </c>
    </row>
    <row r="507" spans="4:36" x14ac:dyDescent="0.55000000000000004">
      <c r="D507">
        <v>500</v>
      </c>
      <c r="E507">
        <v>12.256658892018011</v>
      </c>
      <c r="F507">
        <v>0.44416923806324426</v>
      </c>
      <c r="G507">
        <v>0.14374633226188668</v>
      </c>
      <c r="H507">
        <v>17.155425537656868</v>
      </c>
      <c r="I507">
        <v>12.470333471541778</v>
      </c>
      <c r="J507">
        <v>0.29041944732587588</v>
      </c>
      <c r="K507">
        <v>9.3690104561133442E-2</v>
      </c>
      <c r="L507">
        <v>17.145556976571203</v>
      </c>
      <c r="M507">
        <v>12.372043366563265</v>
      </c>
      <c r="N507">
        <v>0.36117865739667354</v>
      </c>
      <c r="O507">
        <v>0.11668703578666781</v>
      </c>
      <c r="P507">
        <v>17.15009094025341</v>
      </c>
      <c r="Q507">
        <v>12.35194057252788</v>
      </c>
      <c r="R507">
        <v>0.37564348745985709</v>
      </c>
      <c r="S507">
        <v>0.12139652649447465</v>
      </c>
      <c r="T507">
        <v>17.151019413517808</v>
      </c>
      <c r="U507">
        <v>1541.4687919012208</v>
      </c>
      <c r="V507">
        <v>9.6834325116413797</v>
      </c>
      <c r="W507">
        <v>1309.0151215613837</v>
      </c>
      <c r="X507">
        <v>7.2285316179270662</v>
      </c>
      <c r="Y507">
        <v>2885.9436755503152</v>
      </c>
      <c r="Z507">
        <v>9.7289115110751698</v>
      </c>
      <c r="AA507">
        <v>2736.3353142237875</v>
      </c>
      <c r="AB507">
        <v>7.2555407996556189</v>
      </c>
      <c r="AC507">
        <v>2198.8254387636948</v>
      </c>
      <c r="AD507">
        <v>9.7079947724341995</v>
      </c>
      <c r="AE507">
        <v>2018.3146174805095</v>
      </c>
      <c r="AF507">
        <v>7.2431297833871158</v>
      </c>
      <c r="AG507">
        <v>2109.6273505862737</v>
      </c>
      <c r="AH507">
        <v>9.7037160301244416</v>
      </c>
      <c r="AI507">
        <v>1912.5980247287994</v>
      </c>
      <c r="AJ507">
        <v>7.2405886650335569</v>
      </c>
    </row>
    <row r="508" spans="4:36" x14ac:dyDescent="0.55000000000000004">
      <c r="D508">
        <v>501</v>
      </c>
      <c r="E508">
        <v>11.788126233581409</v>
      </c>
      <c r="F508">
        <v>0.39555708548144969</v>
      </c>
      <c r="G508">
        <v>0.14069759392692077</v>
      </c>
      <c r="H508">
        <v>17.675619087010208</v>
      </c>
      <c r="I508">
        <v>11.959525494888121</v>
      </c>
      <c r="J508">
        <v>0.26660669093238842</v>
      </c>
      <c r="K508">
        <v>9.4582390891988596E-2</v>
      </c>
      <c r="L508">
        <v>17.679285423287496</v>
      </c>
      <c r="M508">
        <v>11.857637074971171</v>
      </c>
      <c r="N508">
        <v>0.34328135802235527</v>
      </c>
      <c r="O508">
        <v>0.12197322522693836</v>
      </c>
      <c r="P508">
        <v>17.677108341779547</v>
      </c>
      <c r="Q508">
        <v>11.830766350733116</v>
      </c>
      <c r="R508">
        <v>0.36349277703844124</v>
      </c>
      <c r="S508">
        <v>0.12920784359948365</v>
      </c>
      <c r="T508">
        <v>17.676533028628949</v>
      </c>
      <c r="U508">
        <v>1479.2387686611867</v>
      </c>
      <c r="V508">
        <v>9.2865118887653413</v>
      </c>
      <c r="W508">
        <v>1267.5623280277875</v>
      </c>
      <c r="X508">
        <v>6.9860425413786835</v>
      </c>
      <c r="Y508">
        <v>2869.4201255179032</v>
      </c>
      <c r="Z508">
        <v>9.3154917020668346</v>
      </c>
      <c r="AA508">
        <v>2726.9166726308194</v>
      </c>
      <c r="AB508">
        <v>7.003825703761219</v>
      </c>
      <c r="AC508">
        <v>2195.3511691941389</v>
      </c>
      <c r="AD508">
        <v>9.2982634821559547</v>
      </c>
      <c r="AE508">
        <v>2018.3531367233891</v>
      </c>
      <c r="AF508">
        <v>6.9932605582739855</v>
      </c>
      <c r="AG508">
        <v>2095.5687496753171</v>
      </c>
      <c r="AH508">
        <v>9.2937204957349042</v>
      </c>
      <c r="AI508">
        <v>1904.4280015981869</v>
      </c>
      <c r="AJ508">
        <v>6.990471286078499</v>
      </c>
    </row>
    <row r="509" spans="4:36" x14ac:dyDescent="0.55000000000000004">
      <c r="D509">
        <v>502</v>
      </c>
      <c r="E509">
        <v>11.457369495272042</v>
      </c>
      <c r="F509">
        <v>0.44488928475671685</v>
      </c>
      <c r="G509">
        <v>0.14877286456580888</v>
      </c>
      <c r="H509">
        <v>17.948968355405437</v>
      </c>
      <c r="I509">
        <v>11.685934042618277</v>
      </c>
      <c r="J509">
        <v>0.26703720696792332</v>
      </c>
      <c r="K509">
        <v>8.8973696977959982E-2</v>
      </c>
      <c r="L509">
        <v>17.958055053435828</v>
      </c>
      <c r="M509">
        <v>11.615672336745224</v>
      </c>
      <c r="N509">
        <v>0.32173886667355017</v>
      </c>
      <c r="O509">
        <v>0.10731909694359811</v>
      </c>
      <c r="P509">
        <v>17.955269699637629</v>
      </c>
      <c r="Q509">
        <v>11.571915288851159</v>
      </c>
      <c r="R509">
        <v>0.35579251610477064</v>
      </c>
      <c r="S509">
        <v>0.11876067787495061</v>
      </c>
      <c r="T509">
        <v>17.953531517169107</v>
      </c>
      <c r="U509">
        <v>1514.7307031151504</v>
      </c>
      <c r="V509">
        <v>9.1164020795130831</v>
      </c>
      <c r="W509">
        <v>1293.0903549010823</v>
      </c>
      <c r="X509">
        <v>6.8903537596664979</v>
      </c>
      <c r="Y509">
        <v>2836.8367927746658</v>
      </c>
      <c r="Z509">
        <v>9.1559681724783353</v>
      </c>
      <c r="AA509">
        <v>2703.8674002425178</v>
      </c>
      <c r="AB509">
        <v>6.9151117732977259</v>
      </c>
      <c r="AC509">
        <v>2172.0341895312149</v>
      </c>
      <c r="AD509">
        <v>9.143800528882803</v>
      </c>
      <c r="AE509">
        <v>2004.5469049132323</v>
      </c>
      <c r="AF509">
        <v>6.9075103404895035</v>
      </c>
      <c r="AG509">
        <v>2060.0246618979945</v>
      </c>
      <c r="AH509">
        <v>9.1362250255525908</v>
      </c>
      <c r="AI509">
        <v>1880.3371747588653</v>
      </c>
      <c r="AJ509">
        <v>6.9027722379365972</v>
      </c>
    </row>
    <row r="510" spans="4:36" x14ac:dyDescent="0.55000000000000004">
      <c r="D510">
        <v>503</v>
      </c>
      <c r="E510">
        <v>13.450125062130745</v>
      </c>
      <c r="F510">
        <v>0.46586883451078126</v>
      </c>
      <c r="G510">
        <v>0.1579681787337632</v>
      </c>
      <c r="H510">
        <v>15.926037924624696</v>
      </c>
      <c r="I510">
        <v>13.680759017839447</v>
      </c>
      <c r="J510">
        <v>0.30790872675444497</v>
      </c>
      <c r="K510">
        <v>0.10408269637354367</v>
      </c>
      <c r="L510">
        <v>15.907249559032566</v>
      </c>
      <c r="M510">
        <v>13.582127716704102</v>
      </c>
      <c r="N510">
        <v>0.37550143023849036</v>
      </c>
      <c r="O510">
        <v>0.12709921094257773</v>
      </c>
      <c r="P510">
        <v>15.915271642114826</v>
      </c>
      <c r="Q510">
        <v>13.534898011127845</v>
      </c>
      <c r="R510">
        <v>0.4078468544625658</v>
      </c>
      <c r="S510">
        <v>0.13813534825724208</v>
      </c>
      <c r="T510">
        <v>15.919119786152349</v>
      </c>
      <c r="U510">
        <v>1580.5958243440839</v>
      </c>
      <c r="V510">
        <v>10.594083278347751</v>
      </c>
      <c r="W510">
        <v>1327.5460224344883</v>
      </c>
      <c r="X510">
        <v>7.7680650417916626</v>
      </c>
      <c r="Y510">
        <v>2931.174720546886</v>
      </c>
      <c r="Z510">
        <v>10.648250448813236</v>
      </c>
      <c r="AA510">
        <v>2762.8103468446229</v>
      </c>
      <c r="AB510">
        <v>7.799416424207811</v>
      </c>
      <c r="AC510">
        <v>2267.3823774330449</v>
      </c>
      <c r="AD510">
        <v>10.625092360251722</v>
      </c>
      <c r="AE510">
        <v>2061.1568552159715</v>
      </c>
      <c r="AF510">
        <v>7.7860240116340549</v>
      </c>
      <c r="AG510">
        <v>2154.2110093472911</v>
      </c>
      <c r="AH510">
        <v>10.613999569543338</v>
      </c>
      <c r="AI510">
        <v>1935.7507122739621</v>
      </c>
      <c r="AJ510">
        <v>7.779603079813235</v>
      </c>
    </row>
    <row r="511" spans="4:36" x14ac:dyDescent="0.55000000000000004">
      <c r="D511">
        <v>504</v>
      </c>
      <c r="E511">
        <v>13.988782333955692</v>
      </c>
      <c r="F511">
        <v>0.46461792931652462</v>
      </c>
      <c r="G511">
        <v>0.1940414597201838</v>
      </c>
      <c r="H511">
        <v>15.352558277007587</v>
      </c>
      <c r="I511">
        <v>14.253591660092731</v>
      </c>
      <c r="J511">
        <v>0.29548789125355351</v>
      </c>
      <c r="K511">
        <v>0.12294994072847462</v>
      </c>
      <c r="L511">
        <v>15.327970507925256</v>
      </c>
      <c r="M511">
        <v>14.162396884290095</v>
      </c>
      <c r="N511">
        <v>0.35378530997922436</v>
      </c>
      <c r="O511">
        <v>0.14739403774683671</v>
      </c>
      <c r="P511">
        <v>15.336423767983858</v>
      </c>
      <c r="Q511">
        <v>14.070520562899329</v>
      </c>
      <c r="R511">
        <v>0.41246270475795105</v>
      </c>
      <c r="S511">
        <v>0.17206143005489186</v>
      </c>
      <c r="T511">
        <v>15.34495530228782</v>
      </c>
      <c r="U511">
        <v>1650.184247861476</v>
      </c>
      <c r="V511">
        <v>11.124161142479705</v>
      </c>
      <c r="W511">
        <v>1369.5666407693227</v>
      </c>
      <c r="X511">
        <v>8.094340580357235</v>
      </c>
      <c r="Y511">
        <v>2957.6144625653369</v>
      </c>
      <c r="Z511">
        <v>11.190649931023389</v>
      </c>
      <c r="AA511">
        <v>2777.1580158487259</v>
      </c>
      <c r="AB511">
        <v>8.1324965501951425</v>
      </c>
      <c r="AC511">
        <v>2290.0319080116751</v>
      </c>
      <c r="AD511">
        <v>11.167761049541459</v>
      </c>
      <c r="AE511">
        <v>2072.1376473119039</v>
      </c>
      <c r="AF511">
        <v>8.1193748869325475</v>
      </c>
      <c r="AG511">
        <v>2235.3982570301109</v>
      </c>
      <c r="AH511">
        <v>11.144692142469969</v>
      </c>
      <c r="AI511">
        <v>1986.9454507575747</v>
      </c>
      <c r="AJ511">
        <v>8.106135621759023</v>
      </c>
    </row>
    <row r="512" spans="4:36" x14ac:dyDescent="0.55000000000000004">
      <c r="D512">
        <v>505</v>
      </c>
      <c r="E512">
        <v>13.251595470392203</v>
      </c>
      <c r="F512">
        <v>0.46979365755854052</v>
      </c>
      <c r="G512">
        <v>0.17088159313675194</v>
      </c>
      <c r="H512">
        <v>16.107729278912508</v>
      </c>
      <c r="I512">
        <v>13.512657887361282</v>
      </c>
      <c r="J512">
        <v>0.29195953624760806</v>
      </c>
      <c r="K512">
        <v>0.10578752059511888</v>
      </c>
      <c r="L512">
        <v>16.089595055795996</v>
      </c>
      <c r="M512">
        <v>13.381809934272402</v>
      </c>
      <c r="N512">
        <v>0.38114642042192681</v>
      </c>
      <c r="O512">
        <v>0.13836948931759815</v>
      </c>
      <c r="P512">
        <v>16.098674155988085</v>
      </c>
      <c r="Q512">
        <v>13.386037382441511</v>
      </c>
      <c r="R512">
        <v>0.37826665252406455</v>
      </c>
      <c r="S512">
        <v>0.13731545073388277</v>
      </c>
      <c r="T512">
        <v>16.098380514300558</v>
      </c>
      <c r="U512">
        <v>1553.7929163527654</v>
      </c>
      <c r="V512">
        <v>10.559132040558929</v>
      </c>
      <c r="W512">
        <v>1304.751785502069</v>
      </c>
      <c r="X512">
        <v>7.7623897970245874</v>
      </c>
      <c r="Y512">
        <v>2943.6000649472958</v>
      </c>
      <c r="Z512">
        <v>10.619474705597916</v>
      </c>
      <c r="AA512">
        <v>2771.5297619035123</v>
      </c>
      <c r="AB512">
        <v>7.7976331350415622</v>
      </c>
      <c r="AC512">
        <v>2265.3255640751063</v>
      </c>
      <c r="AD512">
        <v>10.589235867438996</v>
      </c>
      <c r="AE512">
        <v>2057.0724575492914</v>
      </c>
      <c r="AF512">
        <v>7.779987676904554</v>
      </c>
      <c r="AG512">
        <v>2152.9676647520514</v>
      </c>
      <c r="AH512">
        <v>10.59021300526191</v>
      </c>
      <c r="AI512">
        <v>1934.8492474103523</v>
      </c>
      <c r="AJ512">
        <v>7.7805583606069195</v>
      </c>
    </row>
    <row r="513" spans="4:36" x14ac:dyDescent="0.55000000000000004">
      <c r="D513">
        <v>506</v>
      </c>
      <c r="E513">
        <v>13.493112326665289</v>
      </c>
      <c r="F513">
        <v>0.48684080538251412</v>
      </c>
      <c r="G513">
        <v>0.17471724644340372</v>
      </c>
      <c r="H513">
        <v>15.845329621508805</v>
      </c>
      <c r="I513">
        <v>13.764251040630118</v>
      </c>
      <c r="J513">
        <v>0.30292625489222663</v>
      </c>
      <c r="K513">
        <v>0.10831396240675122</v>
      </c>
      <c r="L513">
        <v>15.824508742070904</v>
      </c>
      <c r="M513">
        <v>13.653537287665996</v>
      </c>
      <c r="N513">
        <v>0.37807988417644639</v>
      </c>
      <c r="O513">
        <v>0.13538847563471029</v>
      </c>
      <c r="P513">
        <v>15.83299435252284</v>
      </c>
      <c r="Q513">
        <v>13.591487272278403</v>
      </c>
      <c r="R513">
        <v>0.42016637399433887</v>
      </c>
      <c r="S513">
        <v>0.15058648787847123</v>
      </c>
      <c r="T513">
        <v>15.837759865848772</v>
      </c>
      <c r="U513">
        <v>1585.6058798451008</v>
      </c>
      <c r="V513">
        <v>10.634016343318814</v>
      </c>
      <c r="W513">
        <v>1326.7605825885475</v>
      </c>
      <c r="X513">
        <v>7.7885943177719437</v>
      </c>
      <c r="Y513">
        <v>2941.2173391948086</v>
      </c>
      <c r="Z513">
        <v>10.693665776043472</v>
      </c>
      <c r="AA513">
        <v>2768.6564708368196</v>
      </c>
      <c r="AB513">
        <v>7.8229597500129584</v>
      </c>
      <c r="AC513">
        <v>2277.9981776845589</v>
      </c>
      <c r="AD513">
        <v>10.669318965270378</v>
      </c>
      <c r="AE513">
        <v>2066.425154345628</v>
      </c>
      <c r="AF513">
        <v>7.8089469275862298</v>
      </c>
      <c r="AG513">
        <v>2182.5079851266546</v>
      </c>
      <c r="AH513">
        <v>10.655667810036316</v>
      </c>
      <c r="AI513">
        <v>1953.1230940914115</v>
      </c>
      <c r="AJ513">
        <v>7.8010816143308501</v>
      </c>
    </row>
    <row r="514" spans="4:36" x14ac:dyDescent="0.55000000000000004">
      <c r="D514">
        <v>507</v>
      </c>
      <c r="E514">
        <v>12.79485535068369</v>
      </c>
      <c r="F514">
        <v>0.4931843770486401</v>
      </c>
      <c r="G514">
        <v>0.18536252887214538</v>
      </c>
      <c r="H514">
        <v>16.526597743395531</v>
      </c>
      <c r="I514">
        <v>13.027256961551799</v>
      </c>
      <c r="J514">
        <v>0.3128341856256624</v>
      </c>
      <c r="K514">
        <v>0.11719170014289011</v>
      </c>
      <c r="L514">
        <v>16.542717152679636</v>
      </c>
      <c r="M514">
        <v>12.930503286086145</v>
      </c>
      <c r="N514">
        <v>0.38795031215045872</v>
      </c>
      <c r="O514">
        <v>0.14552964571784546</v>
      </c>
      <c r="P514">
        <v>16.536016756045559</v>
      </c>
      <c r="Q514">
        <v>12.922582871391473</v>
      </c>
      <c r="R514">
        <v>0.39409739488658002</v>
      </c>
      <c r="S514">
        <v>0.1478521402924407</v>
      </c>
      <c r="T514">
        <v>16.535467593429498</v>
      </c>
      <c r="U514">
        <v>1598.8007789754238</v>
      </c>
      <c r="V514">
        <v>10.121144520398394</v>
      </c>
      <c r="W514">
        <v>1335.4098326680071</v>
      </c>
      <c r="X514">
        <v>7.4819929739425941</v>
      </c>
      <c r="Y514">
        <v>2935.6556576921171</v>
      </c>
      <c r="Z514">
        <v>10.150652652030873</v>
      </c>
      <c r="AA514">
        <v>2763.660810372744</v>
      </c>
      <c r="AB514">
        <v>7.5001903678474307</v>
      </c>
      <c r="AC514">
        <v>2278.4324812434174</v>
      </c>
      <c r="AD514">
        <v>10.138362706828952</v>
      </c>
      <c r="AE514">
        <v>2065.749539162096</v>
      </c>
      <c r="AF514">
        <v>7.4926204648297361</v>
      </c>
      <c r="AG514">
        <v>2145.8510354082291</v>
      </c>
      <c r="AH514">
        <v>10.137356951737761</v>
      </c>
      <c r="AI514">
        <v>1927.8926373170723</v>
      </c>
      <c r="AJ514">
        <v>7.4920004000130485</v>
      </c>
    </row>
    <row r="515" spans="4:36" x14ac:dyDescent="0.55000000000000004">
      <c r="D515">
        <v>508</v>
      </c>
      <c r="E515">
        <v>12.347626774939517</v>
      </c>
      <c r="F515">
        <v>0.48312499797990155</v>
      </c>
      <c r="G515">
        <v>0.16754280072340061</v>
      </c>
      <c r="H515">
        <v>17.001705426357194</v>
      </c>
      <c r="I515">
        <v>12.573126137708035</v>
      </c>
      <c r="J515">
        <v>0.30294036538574365</v>
      </c>
      <c r="K515">
        <v>0.10470546074795978</v>
      </c>
      <c r="L515">
        <v>17.019228036158271</v>
      </c>
      <c r="M515">
        <v>12.458347832082726</v>
      </c>
      <c r="N515">
        <v>0.39468313395777799</v>
      </c>
      <c r="O515">
        <v>0.13664638229385334</v>
      </c>
      <c r="P515">
        <v>17.010322651665625</v>
      </c>
      <c r="Q515">
        <v>12.442390135623123</v>
      </c>
      <c r="R515">
        <v>0.4074333625949918</v>
      </c>
      <c r="S515">
        <v>0.1410941880174513</v>
      </c>
      <c r="T515">
        <v>17.009082313764438</v>
      </c>
      <c r="U515">
        <v>1564.8458787158318</v>
      </c>
      <c r="V515">
        <v>9.7241654059858185</v>
      </c>
      <c r="W515">
        <v>1319.7667723918973</v>
      </c>
      <c r="X515">
        <v>7.2408201518565649</v>
      </c>
      <c r="Y515">
        <v>2894.0786424892844</v>
      </c>
      <c r="Z515">
        <v>9.7581433377131432</v>
      </c>
      <c r="AA515">
        <v>2739.1402214969453</v>
      </c>
      <c r="AB515">
        <v>7.2622146569773722</v>
      </c>
      <c r="AC515">
        <v>2219.4110153065194</v>
      </c>
      <c r="AD515">
        <v>9.7408398545200399</v>
      </c>
      <c r="AE515">
        <v>2028.1510828302453</v>
      </c>
      <c r="AF515">
        <v>7.251331558941259</v>
      </c>
      <c r="AG515">
        <v>2105.1509478909761</v>
      </c>
      <c r="AH515">
        <v>9.7384355877729565</v>
      </c>
      <c r="AI515">
        <v>1903.6356391631132</v>
      </c>
      <c r="AJ515">
        <v>7.2498173932788177</v>
      </c>
    </row>
    <row r="516" spans="4:36" x14ac:dyDescent="0.55000000000000004">
      <c r="D516">
        <v>509</v>
      </c>
      <c r="E516">
        <v>13.323277333376174</v>
      </c>
      <c r="F516">
        <v>0.50875750717990387</v>
      </c>
      <c r="G516">
        <v>0.17311582022199659</v>
      </c>
      <c r="H516">
        <v>15.994849339221924</v>
      </c>
      <c r="I516">
        <v>13.532950662011878</v>
      </c>
      <c r="J516">
        <v>0.34886321754970778</v>
      </c>
      <c r="K516">
        <v>0.1183740937350236</v>
      </c>
      <c r="L516">
        <v>15.999812026703385</v>
      </c>
      <c r="M516">
        <v>13.44090898235749</v>
      </c>
      <c r="N516">
        <v>0.41908052038300836</v>
      </c>
      <c r="O516">
        <v>0.14237524205711113</v>
      </c>
      <c r="P516">
        <v>15.997635255202388</v>
      </c>
      <c r="Q516">
        <v>13.417660819349775</v>
      </c>
      <c r="R516">
        <v>0.43680944300162833</v>
      </c>
      <c r="S516">
        <v>0.14844472561201488</v>
      </c>
      <c r="T516">
        <v>15.997085012036592</v>
      </c>
      <c r="U516">
        <v>1610.7512724861704</v>
      </c>
      <c r="V516">
        <v>10.525125183065514</v>
      </c>
      <c r="W516">
        <v>1344.9579981874117</v>
      </c>
      <c r="X516">
        <v>7.7231510379470745</v>
      </c>
      <c r="Y516">
        <v>2959.7742928868133</v>
      </c>
      <c r="Z516">
        <v>10.558811921682585</v>
      </c>
      <c r="AA516">
        <v>2779.7326320606398</v>
      </c>
      <c r="AB516">
        <v>7.7431729576335977</v>
      </c>
      <c r="AC516">
        <v>2258.6298847898397</v>
      </c>
      <c r="AD516">
        <v>10.544024048088012</v>
      </c>
      <c r="AE516">
        <v>2050.1101237654466</v>
      </c>
      <c r="AF516">
        <v>7.7343912266173325</v>
      </c>
      <c r="AG516">
        <v>2165.4890038419012</v>
      </c>
      <c r="AH516">
        <v>10.540288928415315</v>
      </c>
      <c r="AI516">
        <v>1940.4652021510421</v>
      </c>
      <c r="AJ516">
        <v>7.7321712809220546</v>
      </c>
    </row>
    <row r="517" spans="4:36" x14ac:dyDescent="0.55000000000000004">
      <c r="D517">
        <v>510</v>
      </c>
      <c r="E517">
        <v>12.962330753226297</v>
      </c>
      <c r="F517">
        <v>0.46370639479480008</v>
      </c>
      <c r="G517">
        <v>0.14696647487550588</v>
      </c>
      <c r="H517">
        <v>16.426996377103407</v>
      </c>
      <c r="I517">
        <v>13.170597101380299</v>
      </c>
      <c r="J517">
        <v>0.31160880973217742</v>
      </c>
      <c r="K517">
        <v>9.847748490374425E-2</v>
      </c>
      <c r="L517">
        <v>16.419316603983777</v>
      </c>
      <c r="M517">
        <v>13.093430294351224</v>
      </c>
      <c r="N517">
        <v>0.36799280278968588</v>
      </c>
      <c r="O517">
        <v>0.1164198447205734</v>
      </c>
      <c r="P517">
        <v>16.422157058138531</v>
      </c>
      <c r="Q517">
        <v>13.020312358949871</v>
      </c>
      <c r="R517">
        <v>0.42138713425862279</v>
      </c>
      <c r="S517">
        <v>0.13344655347677942</v>
      </c>
      <c r="T517">
        <v>16.424853953314742</v>
      </c>
      <c r="U517">
        <v>1570.6283517744869</v>
      </c>
      <c r="V517">
        <v>10.224785134423229</v>
      </c>
      <c r="W517">
        <v>1322.8706944191231</v>
      </c>
      <c r="X517">
        <v>7.5488673145919494</v>
      </c>
      <c r="Y517">
        <v>2921.0802527238729</v>
      </c>
      <c r="Z517">
        <v>10.265131923938226</v>
      </c>
      <c r="AA517">
        <v>2756.7800973309504</v>
      </c>
      <c r="AB517">
        <v>7.5725313056291839</v>
      </c>
      <c r="AC517">
        <v>2243.8497471623941</v>
      </c>
      <c r="AD517">
        <v>10.250185878126223</v>
      </c>
      <c r="AE517">
        <v>2046.3870949505172</v>
      </c>
      <c r="AF517">
        <v>7.5637732253535335</v>
      </c>
      <c r="AG517">
        <v>2168.7169010487196</v>
      </c>
      <c r="AH517">
        <v>10.236020527555691</v>
      </c>
      <c r="AI517">
        <v>1947.7082456791327</v>
      </c>
      <c r="AJ517">
        <v>7.5554639513522046</v>
      </c>
    </row>
    <row r="518" spans="4:36" x14ac:dyDescent="0.55000000000000004">
      <c r="D518">
        <v>511</v>
      </c>
      <c r="E518">
        <v>13.121659496916664</v>
      </c>
      <c r="F518">
        <v>0.45939849871532407</v>
      </c>
      <c r="G518">
        <v>0.17410239835492</v>
      </c>
      <c r="H518">
        <v>16.244839606013088</v>
      </c>
      <c r="I518">
        <v>13.353594224121164</v>
      </c>
      <c r="J518">
        <v>0.29650568311098091</v>
      </c>
      <c r="K518">
        <v>0.11199440971771113</v>
      </c>
      <c r="L518">
        <v>16.237905683050133</v>
      </c>
      <c r="M518">
        <v>13.246224304572852</v>
      </c>
      <c r="N518">
        <v>0.37195459953926263</v>
      </c>
      <c r="O518">
        <v>0.14070926477348061</v>
      </c>
      <c r="P518">
        <v>16.241111831114409</v>
      </c>
      <c r="Q518">
        <v>13.227500232189215</v>
      </c>
      <c r="R518">
        <v>0.38510486326632909</v>
      </c>
      <c r="S518">
        <v>0.14572329264949038</v>
      </c>
      <c r="T518">
        <v>16.241671611894962</v>
      </c>
      <c r="U518">
        <v>1573.8552479104408</v>
      </c>
      <c r="V518">
        <v>10.367703248449525</v>
      </c>
      <c r="W518">
        <v>1325.4728010874658</v>
      </c>
      <c r="X518">
        <v>7.6362597616075103</v>
      </c>
      <c r="Y518">
        <v>2900.4399339960246</v>
      </c>
      <c r="Z518">
        <v>10.417229640467138</v>
      </c>
      <c r="AA518">
        <v>2742.5605743552887</v>
      </c>
      <c r="AB518">
        <v>7.6655266547777767</v>
      </c>
      <c r="AC518">
        <v>2243.1304961633809</v>
      </c>
      <c r="AD518">
        <v>10.394304064035888</v>
      </c>
      <c r="AE518">
        <v>2045.4711033564367</v>
      </c>
      <c r="AF518">
        <v>7.6519912833519257</v>
      </c>
      <c r="AG518">
        <v>2133.7452303627806</v>
      </c>
      <c r="AH518">
        <v>10.390305799616428</v>
      </c>
      <c r="AI518">
        <v>1924.3345903697768</v>
      </c>
      <c r="AJ518">
        <v>7.6496285520294824</v>
      </c>
    </row>
    <row r="519" spans="4:36" x14ac:dyDescent="0.55000000000000004">
      <c r="D519">
        <v>512</v>
      </c>
      <c r="E519">
        <v>13.008604268444286</v>
      </c>
      <c r="F519">
        <v>0.44843490084988996</v>
      </c>
      <c r="G519">
        <v>0.16450499238739527</v>
      </c>
      <c r="H519">
        <v>16.37845583831843</v>
      </c>
      <c r="I519">
        <v>13.23533180397505</v>
      </c>
      <c r="J519">
        <v>0.28564848333533188</v>
      </c>
      <c r="K519">
        <v>0.10444490660936068</v>
      </c>
      <c r="L519">
        <v>16.374574806080251</v>
      </c>
      <c r="M519">
        <v>13.101159089480202</v>
      </c>
      <c r="N519">
        <v>0.38201867321543631</v>
      </c>
      <c r="O519">
        <v>0.13995238886274577</v>
      </c>
      <c r="P519">
        <v>16.376869848441611</v>
      </c>
      <c r="Q519">
        <v>13.060168228768298</v>
      </c>
      <c r="R519">
        <v>0.41143947681508397</v>
      </c>
      <c r="S519">
        <v>0.15082032592910216</v>
      </c>
      <c r="T519">
        <v>16.377571968487516</v>
      </c>
      <c r="U519">
        <v>1572.4930258084348</v>
      </c>
      <c r="V519">
        <v>10.31949016284327</v>
      </c>
      <c r="W519">
        <v>1324.1625019693047</v>
      </c>
      <c r="X519">
        <v>7.6143324019656342</v>
      </c>
      <c r="Y519">
        <v>2905.29033922706</v>
      </c>
      <c r="Z519">
        <v>10.36534793326229</v>
      </c>
      <c r="AA519">
        <v>2746.2829140105196</v>
      </c>
      <c r="AB519">
        <v>7.6415221784155536</v>
      </c>
      <c r="AC519">
        <v>2240.5305123319113</v>
      </c>
      <c r="AD519">
        <v>10.338211381798848</v>
      </c>
      <c r="AE519">
        <v>2041.844411762966</v>
      </c>
      <c r="AF519">
        <v>7.6254434918186798</v>
      </c>
      <c r="AG519">
        <v>2135.3616284736181</v>
      </c>
      <c r="AH519">
        <v>10.329920286426413</v>
      </c>
      <c r="AI519">
        <v>1922.5794108475479</v>
      </c>
      <c r="AJ519">
        <v>7.6205245918405327</v>
      </c>
    </row>
    <row r="520" spans="4:36" x14ac:dyDescent="0.55000000000000004">
      <c r="D520">
        <v>513</v>
      </c>
      <c r="E520">
        <v>12.251478435391167</v>
      </c>
      <c r="F520">
        <v>0.4578643195760273</v>
      </c>
      <c r="G520">
        <v>0.17943368854372854</v>
      </c>
      <c r="H520">
        <v>17.11122355648908</v>
      </c>
      <c r="I520">
        <v>12.455638763064899</v>
      </c>
      <c r="J520">
        <v>0.30092968844377888</v>
      </c>
      <c r="K520">
        <v>0.11756831606734845</v>
      </c>
      <c r="L520">
        <v>17.125863232423992</v>
      </c>
      <c r="M520">
        <v>12.38080542444586</v>
      </c>
      <c r="N520">
        <v>0.35847814293773422</v>
      </c>
      <c r="O520">
        <v>0.14020957868038578</v>
      </c>
      <c r="P520">
        <v>17.120506853936039</v>
      </c>
      <c r="Q520">
        <v>12.318658445312233</v>
      </c>
      <c r="R520">
        <v>0.4062482982586792</v>
      </c>
      <c r="S520">
        <v>0.15904321353498121</v>
      </c>
      <c r="T520">
        <v>17.116050042894123</v>
      </c>
      <c r="U520">
        <v>1533.0093268204416</v>
      </c>
      <c r="V520">
        <v>9.6501974371623795</v>
      </c>
      <c r="W520">
        <v>1297.539873612666</v>
      </c>
      <c r="X520">
        <v>7.1971654926271773</v>
      </c>
      <c r="Y520">
        <v>2906.1344087437219</v>
      </c>
      <c r="Z520">
        <v>9.6793850206265315</v>
      </c>
      <c r="AA520">
        <v>2748.0592837605345</v>
      </c>
      <c r="AB520">
        <v>7.2153958145391757</v>
      </c>
      <c r="AC520">
        <v>2198.2954773920474</v>
      </c>
      <c r="AD520">
        <v>9.6686815236934986</v>
      </c>
      <c r="AE520">
        <v>2014.9850051029512</v>
      </c>
      <c r="AF520">
        <v>7.2087189580010964</v>
      </c>
      <c r="AG520">
        <v>2104.0253967420681</v>
      </c>
      <c r="AH520">
        <v>9.65979697567602</v>
      </c>
      <c r="AI520">
        <v>1902.4984896081446</v>
      </c>
      <c r="AJ520">
        <v>7.2031693505885439</v>
      </c>
    </row>
    <row r="521" spans="4:36" x14ac:dyDescent="0.55000000000000004">
      <c r="D521">
        <v>514</v>
      </c>
      <c r="E521">
        <v>11.942695898728909</v>
      </c>
      <c r="F521">
        <v>0.45303850222109249</v>
      </c>
      <c r="G521">
        <v>0.16859342331462723</v>
      </c>
      <c r="H521">
        <v>17.435672175735377</v>
      </c>
      <c r="I521">
        <v>12.138204772922421</v>
      </c>
      <c r="J521">
        <v>0.29751380317766118</v>
      </c>
      <c r="K521">
        <v>0.11038715190819942</v>
      </c>
      <c r="L521">
        <v>17.453894271991718</v>
      </c>
      <c r="M521">
        <v>12.048969468689469</v>
      </c>
      <c r="N521">
        <v>0.36852208155718641</v>
      </c>
      <c r="O521">
        <v>0.1369189172401469</v>
      </c>
      <c r="P521">
        <v>17.445589532513193</v>
      </c>
      <c r="Q521">
        <v>12.051020640592757</v>
      </c>
      <c r="R521">
        <v>0.36689030585327231</v>
      </c>
      <c r="S521">
        <v>0.13630839659306845</v>
      </c>
      <c r="T521">
        <v>17.44578065696091</v>
      </c>
      <c r="U521">
        <v>1479.2583502739208</v>
      </c>
      <c r="V521">
        <v>9.4357338354966611</v>
      </c>
      <c r="W521">
        <v>1265.0430375789799</v>
      </c>
      <c r="X521">
        <v>7.0714821603486016</v>
      </c>
      <c r="Y521">
        <v>2870.8150759904588</v>
      </c>
      <c r="Z521">
        <v>9.4606893483690495</v>
      </c>
      <c r="AA521">
        <v>2726.8186772710251</v>
      </c>
      <c r="AB521">
        <v>7.0875078700454246</v>
      </c>
      <c r="AC521">
        <v>2196.6132855621677</v>
      </c>
      <c r="AD521">
        <v>9.4492916844918433</v>
      </c>
      <c r="AE521">
        <v>2018.9865583825137</v>
      </c>
      <c r="AF521">
        <v>7.0801973541218191</v>
      </c>
      <c r="AG521">
        <v>2060.2701028860247</v>
      </c>
      <c r="AH521">
        <v>9.4495535348925053</v>
      </c>
      <c r="AI521">
        <v>1879.1615358832462</v>
      </c>
      <c r="AJ521">
        <v>7.0803654699990748</v>
      </c>
    </row>
    <row r="522" spans="4:36" x14ac:dyDescent="0.55000000000000004">
      <c r="D522">
        <v>515</v>
      </c>
      <c r="E522">
        <v>13.148492070909969</v>
      </c>
      <c r="F522">
        <v>0.48196976321092516</v>
      </c>
      <c r="G522">
        <v>0.16062320954976791</v>
      </c>
      <c r="H522">
        <v>16.208914956329352</v>
      </c>
      <c r="I522">
        <v>13.409816962969627</v>
      </c>
      <c r="J522">
        <v>0.29594882386666599</v>
      </c>
      <c r="K522">
        <v>9.8263404389674056E-2</v>
      </c>
      <c r="L522">
        <v>16.195970808774032</v>
      </c>
      <c r="M522">
        <v>13.285996610432463</v>
      </c>
      <c r="N522">
        <v>0.38413932648269633</v>
      </c>
      <c r="O522">
        <v>0.12776886352382438</v>
      </c>
      <c r="P522">
        <v>16.202095199561001</v>
      </c>
      <c r="Q522">
        <v>13.254524075131989</v>
      </c>
      <c r="R522">
        <v>0.40654106064275275</v>
      </c>
      <c r="S522">
        <v>0.13528046345702652</v>
      </c>
      <c r="T522">
        <v>16.203654400768237</v>
      </c>
      <c r="U522">
        <v>1609.3049741266793</v>
      </c>
      <c r="V522">
        <v>10.396966506566425</v>
      </c>
      <c r="W522">
        <v>1347.3755170758939</v>
      </c>
      <c r="X522">
        <v>7.653756378324549</v>
      </c>
      <c r="Y522">
        <v>2893.7694537283446</v>
      </c>
      <c r="Z522">
        <v>10.452980791945237</v>
      </c>
      <c r="AA522">
        <v>2735.9939588321604</v>
      </c>
      <c r="AB522">
        <v>7.6865794672133161</v>
      </c>
      <c r="AC522">
        <v>2241.2360808563849</v>
      </c>
      <c r="AD522">
        <v>10.426445195166492</v>
      </c>
      <c r="AE522">
        <v>2040.9973036682647</v>
      </c>
      <c r="AF522">
        <v>7.6710449679343995</v>
      </c>
      <c r="AG522">
        <v>2162.252720035759</v>
      </c>
      <c r="AH522">
        <v>10.419698984327908</v>
      </c>
      <c r="AI522">
        <v>1941.5676157686019</v>
      </c>
      <c r="AJ522">
        <v>7.6670913782177443</v>
      </c>
    </row>
    <row r="523" spans="4:36" x14ac:dyDescent="0.55000000000000004">
      <c r="D523">
        <v>516</v>
      </c>
      <c r="E523">
        <v>11.54559883825873</v>
      </c>
      <c r="F523">
        <v>0.42938917776977364</v>
      </c>
      <c r="G523">
        <v>0.16867972037260334</v>
      </c>
      <c r="H523">
        <v>17.856332263598905</v>
      </c>
      <c r="I523">
        <v>11.745311919122548</v>
      </c>
      <c r="J523">
        <v>0.27340674652068114</v>
      </c>
      <c r="K523">
        <v>0.10707027489432629</v>
      </c>
      <c r="L523">
        <v>17.874211059462432</v>
      </c>
      <c r="M523">
        <v>11.672128972212043</v>
      </c>
      <c r="N523">
        <v>0.33058897312088487</v>
      </c>
      <c r="O523">
        <v>0.12961084984637716</v>
      </c>
      <c r="P523">
        <v>17.867671204820688</v>
      </c>
      <c r="Q523">
        <v>11.639222422880817</v>
      </c>
      <c r="R523">
        <v>0.35629183422716726</v>
      </c>
      <c r="S523">
        <v>0.13975954767516599</v>
      </c>
      <c r="T523">
        <v>17.864726195216846</v>
      </c>
      <c r="U523">
        <v>1516.0758373004494</v>
      </c>
      <c r="V523">
        <v>9.2072631738085597</v>
      </c>
      <c r="W523">
        <v>1292.1903176073961</v>
      </c>
      <c r="X523">
        <v>6.9475937813319666</v>
      </c>
      <c r="Y523">
        <v>2862.4530512945853</v>
      </c>
      <c r="Z523">
        <v>9.2358736622679416</v>
      </c>
      <c r="AA523">
        <v>2720.7682483648268</v>
      </c>
      <c r="AB523">
        <v>6.9659156947235745</v>
      </c>
      <c r="AC523">
        <v>2184.0300213479109</v>
      </c>
      <c r="AD523">
        <v>9.225382932672197</v>
      </c>
      <c r="AE523">
        <v>2010.4860636019093</v>
      </c>
      <c r="AF523">
        <v>6.9592070784000883</v>
      </c>
      <c r="AG523">
        <v>2075.9105570593752</v>
      </c>
      <c r="AH523">
        <v>9.2206683118381871</v>
      </c>
      <c r="AI523">
        <v>1889.7424352708958</v>
      </c>
      <c r="AJ523">
        <v>6.9561885857786132</v>
      </c>
    </row>
    <row r="524" spans="4:36" x14ac:dyDescent="0.55000000000000004">
      <c r="D524">
        <v>517</v>
      </c>
      <c r="E524">
        <v>12.245128920955798</v>
      </c>
      <c r="F524">
        <v>0.43231407717170844</v>
      </c>
      <c r="G524">
        <v>0.14932736027562821</v>
      </c>
      <c r="H524">
        <v>17.173229641596862</v>
      </c>
      <c r="I524">
        <v>12.480788963877671</v>
      </c>
      <c r="J524">
        <v>0.26489540343399898</v>
      </c>
      <c r="K524">
        <v>9.1167388583613465E-2</v>
      </c>
      <c r="L524">
        <v>17.163148244104718</v>
      </c>
      <c r="M524">
        <v>12.377152215079596</v>
      </c>
      <c r="N524">
        <v>0.33856399156340206</v>
      </c>
      <c r="O524">
        <v>0.11670659961873453</v>
      </c>
      <c r="P524">
        <v>17.167577193738257</v>
      </c>
      <c r="Q524">
        <v>12.346578655855691</v>
      </c>
      <c r="R524">
        <v>0.36028403702299916</v>
      </c>
      <c r="S524">
        <v>0.1242521763352491</v>
      </c>
      <c r="T524">
        <v>17.168885130786055</v>
      </c>
      <c r="U524">
        <v>1529.4953784838206</v>
      </c>
      <c r="V524">
        <v>9.7042866324635462</v>
      </c>
      <c r="W524">
        <v>1300.7761299185818</v>
      </c>
      <c r="X524">
        <v>7.2455966562087788</v>
      </c>
      <c r="Y524">
        <v>2881.6772249784153</v>
      </c>
      <c r="Z524">
        <v>9.7543217603863557</v>
      </c>
      <c r="AA524">
        <v>2735.0211684839464</v>
      </c>
      <c r="AB524">
        <v>7.2754609719377505</v>
      </c>
      <c r="AC524">
        <v>2187.3932212005702</v>
      </c>
      <c r="AD524">
        <v>9.7323203688662954</v>
      </c>
      <c r="AE524">
        <v>2011.3513916181446</v>
      </c>
      <c r="AF524">
        <v>7.2623428363415661</v>
      </c>
      <c r="AG524">
        <v>2105.0576030923949</v>
      </c>
      <c r="AH524">
        <v>9.72582900767914</v>
      </c>
      <c r="AI524">
        <v>1910.2223033416071</v>
      </c>
      <c r="AJ524">
        <v>7.2584683103487748</v>
      </c>
    </row>
    <row r="525" spans="4:36" x14ac:dyDescent="0.55000000000000004">
      <c r="D525">
        <v>518</v>
      </c>
      <c r="E525">
        <v>12.254213530113221</v>
      </c>
      <c r="F525">
        <v>0.46554976768433398</v>
      </c>
      <c r="G525">
        <v>0.15152445996730751</v>
      </c>
      <c r="H525">
        <v>17.128712242235128</v>
      </c>
      <c r="I525">
        <v>12.490545200285469</v>
      </c>
      <c r="J525">
        <v>0.2880826703132065</v>
      </c>
      <c r="K525">
        <v>9.345567234334301E-2</v>
      </c>
      <c r="L525">
        <v>17.127916457057992</v>
      </c>
      <c r="M525">
        <v>12.397502404521099</v>
      </c>
      <c r="N525">
        <v>0.35798768942064968</v>
      </c>
      <c r="O525">
        <v>0.116283003564051</v>
      </c>
      <c r="P525">
        <v>17.128226902494212</v>
      </c>
      <c r="Q525">
        <v>12.372790408876464</v>
      </c>
      <c r="R525">
        <v>0.37654630192548327</v>
      </c>
      <c r="S525">
        <v>0.12235331425151387</v>
      </c>
      <c r="T525">
        <v>17.128309974946546</v>
      </c>
      <c r="U525">
        <v>1535.2186559973238</v>
      </c>
      <c r="V525">
        <v>9.6953523818100127</v>
      </c>
      <c r="W525">
        <v>1303.0471186843342</v>
      </c>
      <c r="X525">
        <v>7.234659222363204</v>
      </c>
      <c r="Y525">
        <v>2896.7481598208542</v>
      </c>
      <c r="Z525">
        <v>9.7402585667381381</v>
      </c>
      <c r="AA525">
        <v>2744.8358340485315</v>
      </c>
      <c r="AB525">
        <v>7.261574392859254</v>
      </c>
      <c r="AC525">
        <v>2189.4376010962537</v>
      </c>
      <c r="AD525">
        <v>9.722580995029265</v>
      </c>
      <c r="AE525">
        <v>2011.7857812070131</v>
      </c>
      <c r="AF525">
        <v>7.2509911700158254</v>
      </c>
      <c r="AG525">
        <v>2074.3487081413841</v>
      </c>
      <c r="AH525">
        <v>9.7178854724577697</v>
      </c>
      <c r="AI525">
        <v>1886.3327346079127</v>
      </c>
      <c r="AJ525">
        <v>7.2481774276878816</v>
      </c>
    </row>
    <row r="526" spans="4:36" x14ac:dyDescent="0.55000000000000004">
      <c r="D526">
        <v>519</v>
      </c>
      <c r="E526">
        <v>11.494566101544011</v>
      </c>
      <c r="F526">
        <v>0.43981178493828038</v>
      </c>
      <c r="G526">
        <v>0.15056686165016814</v>
      </c>
      <c r="H526">
        <v>17.915055251867539</v>
      </c>
      <c r="I526">
        <v>11.720015939125608</v>
      </c>
      <c r="J526">
        <v>0.25744458449569385</v>
      </c>
      <c r="K526">
        <v>8.7828081571465766E-2</v>
      </c>
      <c r="L526">
        <v>17.934711394807241</v>
      </c>
      <c r="M526">
        <v>11.618300531424302</v>
      </c>
      <c r="N526">
        <v>0.33975168915684167</v>
      </c>
      <c r="O526">
        <v>0.11608895911498723</v>
      </c>
      <c r="P526">
        <v>17.925858820303873</v>
      </c>
      <c r="Q526">
        <v>11.588196450580181</v>
      </c>
      <c r="R526">
        <v>0.36410246033209193</v>
      </c>
      <c r="S526">
        <v>0.12446721583079365</v>
      </c>
      <c r="T526">
        <v>17.92323387325693</v>
      </c>
      <c r="U526">
        <v>1473.5874180333146</v>
      </c>
      <c r="V526">
        <v>9.0975596309848275</v>
      </c>
      <c r="W526">
        <v>1261.6933373524053</v>
      </c>
      <c r="X526">
        <v>6.8707933061092223</v>
      </c>
      <c r="Y526">
        <v>2845.0995524410832</v>
      </c>
      <c r="Z526">
        <v>9.1283669196932919</v>
      </c>
      <c r="AA526">
        <v>2710.6970551857239</v>
      </c>
      <c r="AB526">
        <v>6.8905198853712779</v>
      </c>
      <c r="AC526">
        <v>2176.5522913254349</v>
      </c>
      <c r="AD526">
        <v>9.1144591369742258</v>
      </c>
      <c r="AE526">
        <v>2006.1259838165015</v>
      </c>
      <c r="AF526">
        <v>6.8816268513760486</v>
      </c>
      <c r="AG526">
        <v>2065.8177199578522</v>
      </c>
      <c r="AH526">
        <v>9.1103456270847403</v>
      </c>
      <c r="AI526">
        <v>1883.6676693885718</v>
      </c>
      <c r="AJ526">
        <v>6.8789926586709322</v>
      </c>
    </row>
    <row r="527" spans="4:36" x14ac:dyDescent="0.55000000000000004">
      <c r="D527">
        <v>520</v>
      </c>
      <c r="E527">
        <v>13.413209538014733</v>
      </c>
      <c r="F527">
        <v>0.48075117134474427</v>
      </c>
      <c r="G527">
        <v>0.18002485516602704</v>
      </c>
      <c r="H527">
        <v>15.926014435474489</v>
      </c>
      <c r="I527">
        <v>13.612925855690174</v>
      </c>
      <c r="J527">
        <v>0.33220118636460982</v>
      </c>
      <c r="K527">
        <v>0.12405183463490323</v>
      </c>
      <c r="L527">
        <v>15.930821123310313</v>
      </c>
      <c r="M527">
        <v>13.529070182540915</v>
      </c>
      <c r="N527">
        <v>0.39459948645717963</v>
      </c>
      <c r="O527">
        <v>0.14752470766077772</v>
      </c>
      <c r="P527">
        <v>15.928805623341114</v>
      </c>
      <c r="Q527">
        <v>13.480972222044535</v>
      </c>
      <c r="R527">
        <v>0.43037295355338806</v>
      </c>
      <c r="S527">
        <v>0.16100701339087425</v>
      </c>
      <c r="T527">
        <v>15.927647811011189</v>
      </c>
      <c r="U527">
        <v>1587.3718244376851</v>
      </c>
      <c r="V527">
        <v>10.529080230537069</v>
      </c>
      <c r="W527">
        <v>1328.0227710470572</v>
      </c>
      <c r="X527">
        <v>7.7180684947821465</v>
      </c>
      <c r="Y527">
        <v>2932.8095872546687</v>
      </c>
      <c r="Z527">
        <v>10.562185331401148</v>
      </c>
      <c r="AA527">
        <v>2759.9478505356487</v>
      </c>
      <c r="AB527">
        <v>7.737883965360786</v>
      </c>
      <c r="AC527">
        <v>2251.2067194143601</v>
      </c>
      <c r="AD527">
        <v>10.54828378811324</v>
      </c>
      <c r="AE527">
        <v>2045.0846065788778</v>
      </c>
      <c r="AF527">
        <v>7.7295703124990789</v>
      </c>
      <c r="AG527">
        <v>2135.5904764767329</v>
      </c>
      <c r="AH527">
        <v>10.540311163226288</v>
      </c>
      <c r="AI527">
        <v>1917.3373042721273</v>
      </c>
      <c r="AJ527">
        <v>7.7247976318150275</v>
      </c>
    </row>
    <row r="528" spans="4:36" x14ac:dyDescent="0.55000000000000004">
      <c r="D528">
        <v>521</v>
      </c>
      <c r="E528">
        <v>12.583055600444711</v>
      </c>
      <c r="F528">
        <v>0.46358054267461546</v>
      </c>
      <c r="G528">
        <v>0.17356941905439449</v>
      </c>
      <c r="H528">
        <v>16.779794437826272</v>
      </c>
      <c r="I528">
        <v>12.798637237181781</v>
      </c>
      <c r="J528">
        <v>0.3039333510550668</v>
      </c>
      <c r="K528">
        <v>0.11345653100856892</v>
      </c>
      <c r="L528">
        <v>16.783972880754597</v>
      </c>
      <c r="M528">
        <v>12.761357169911852</v>
      </c>
      <c r="N528">
        <v>0.33155949638771148</v>
      </c>
      <c r="O528">
        <v>0.12383277147863554</v>
      </c>
      <c r="P528">
        <v>16.78325056222182</v>
      </c>
      <c r="Q528">
        <v>12.664252989659929</v>
      </c>
      <c r="R528">
        <v>0.40348129708053759</v>
      </c>
      <c r="S528">
        <v>0.15089708293620671</v>
      </c>
      <c r="T528">
        <v>16.781368630323318</v>
      </c>
      <c r="U528">
        <v>1558.8661175454281</v>
      </c>
      <c r="V528">
        <v>10.023813185146231</v>
      </c>
      <c r="W528">
        <v>1318.1175726584611</v>
      </c>
      <c r="X528">
        <v>7.4395302348601309</v>
      </c>
      <c r="Y528">
        <v>2873.5865963565861</v>
      </c>
      <c r="Z528">
        <v>10.061043785826854</v>
      </c>
      <c r="AA528">
        <v>2724.5918590915267</v>
      </c>
      <c r="AB528">
        <v>7.4619482061151121</v>
      </c>
      <c r="AC528">
        <v>2213.0959362280605</v>
      </c>
      <c r="AD528">
        <v>10.054605325330771</v>
      </c>
      <c r="AE528">
        <v>2029.3241425103638</v>
      </c>
      <c r="AF528">
        <v>7.4580768738415282</v>
      </c>
      <c r="AG528">
        <v>2109.0312558112796</v>
      </c>
      <c r="AH528">
        <v>10.037835428111761</v>
      </c>
      <c r="AI528">
        <v>1908.0240583186694</v>
      </c>
      <c r="AJ528">
        <v>7.4479826525778581</v>
      </c>
    </row>
    <row r="529" spans="4:36" x14ac:dyDescent="0.55000000000000004">
      <c r="D529">
        <v>522</v>
      </c>
      <c r="E529">
        <v>12.474735443996879</v>
      </c>
      <c r="F529">
        <v>0.48636294369710181</v>
      </c>
      <c r="G529">
        <v>0.17557382388387813</v>
      </c>
      <c r="H529">
        <v>16.863327788422126</v>
      </c>
      <c r="I529">
        <v>12.707407691051966</v>
      </c>
      <c r="J529">
        <v>0.30351772161916829</v>
      </c>
      <c r="K529">
        <v>0.10919605701071572</v>
      </c>
      <c r="L529">
        <v>16.879878530318138</v>
      </c>
      <c r="M529">
        <v>12.598397437775613</v>
      </c>
      <c r="N529">
        <v>0.38921606320834834</v>
      </c>
      <c r="O529">
        <v>0.14024989379456337</v>
      </c>
      <c r="P529">
        <v>16.872136605221471</v>
      </c>
      <c r="Q529">
        <v>12.567720133427619</v>
      </c>
      <c r="R529">
        <v>0.41332262931779218</v>
      </c>
      <c r="S529">
        <v>0.14900324507861995</v>
      </c>
      <c r="T529">
        <v>16.869953992175976</v>
      </c>
      <c r="U529">
        <v>1596.7256783429405</v>
      </c>
      <c r="V529">
        <v>9.817551647171177</v>
      </c>
      <c r="W529">
        <v>1337.7045664100008</v>
      </c>
      <c r="X529">
        <v>7.2941217142267725</v>
      </c>
      <c r="Y529">
        <v>2922.6498804252965</v>
      </c>
      <c r="Z529">
        <v>9.8489712058716794</v>
      </c>
      <c r="AA529">
        <v>2756.8939510884529</v>
      </c>
      <c r="AB529">
        <v>7.3137448926791615</v>
      </c>
      <c r="AC529">
        <v>2245.4725751037176</v>
      </c>
      <c r="AD529">
        <v>9.8342435347800006</v>
      </c>
      <c r="AE529">
        <v>2043.5956651354447</v>
      </c>
      <c r="AF529">
        <v>7.304557667110771</v>
      </c>
      <c r="AG529">
        <v>2131.8846440724851</v>
      </c>
      <c r="AH529">
        <v>9.830101190637043</v>
      </c>
      <c r="AI529">
        <v>1918.3809952364677</v>
      </c>
      <c r="AJ529">
        <v>7.3019701678175437</v>
      </c>
    </row>
    <row r="530" spans="4:36" x14ac:dyDescent="0.55000000000000004">
      <c r="D530">
        <v>523</v>
      </c>
      <c r="E530">
        <v>11.785258168829554</v>
      </c>
      <c r="F530">
        <v>0.44596482673031523</v>
      </c>
      <c r="G530">
        <v>0.13480411794273617</v>
      </c>
      <c r="H530">
        <v>17.633972886497382</v>
      </c>
      <c r="I530">
        <v>11.989686656744395</v>
      </c>
      <c r="J530">
        <v>0.28608349595209026</v>
      </c>
      <c r="K530">
        <v>8.6210919407332914E-2</v>
      </c>
      <c r="L530">
        <v>17.638018927896173</v>
      </c>
      <c r="M530">
        <v>11.940592737926547</v>
      </c>
      <c r="N530">
        <v>0.32449874178282651</v>
      </c>
      <c r="O530">
        <v>9.7859040046746448E-2</v>
      </c>
      <c r="P530">
        <v>17.637049480243874</v>
      </c>
      <c r="Q530">
        <v>11.884931664216628</v>
      </c>
      <c r="R530">
        <v>0.36803789600319559</v>
      </c>
      <c r="S530">
        <v>0.11108177585491849</v>
      </c>
      <c r="T530">
        <v>17.635948663925245</v>
      </c>
      <c r="U530">
        <v>1511.3593756934981</v>
      </c>
      <c r="V530">
        <v>9.3208023054922968</v>
      </c>
      <c r="W530">
        <v>1290.7502118952939</v>
      </c>
      <c r="X530">
        <v>7.0088493845591726</v>
      </c>
      <c r="Y530">
        <v>2864.5678256194474</v>
      </c>
      <c r="Z530">
        <v>9.3576358548371577</v>
      </c>
      <c r="AA530">
        <v>2723.5367953442283</v>
      </c>
      <c r="AB530">
        <v>7.0315241506827846</v>
      </c>
      <c r="AC530">
        <v>2169.5177092737877</v>
      </c>
      <c r="AD530">
        <v>9.3487884506834984</v>
      </c>
      <c r="AE530">
        <v>2002.5507872359033</v>
      </c>
      <c r="AF530">
        <v>7.0260855438997742</v>
      </c>
      <c r="AG530">
        <v>2062.3754358401497</v>
      </c>
      <c r="AH530">
        <v>9.3387588884295987</v>
      </c>
      <c r="AI530">
        <v>1881.4025833918636</v>
      </c>
      <c r="AJ530">
        <v>7.0199142684827773</v>
      </c>
    </row>
    <row r="531" spans="4:36" x14ac:dyDescent="0.55000000000000004">
      <c r="D531">
        <v>524</v>
      </c>
      <c r="E531">
        <v>12.279287338183106</v>
      </c>
      <c r="F531">
        <v>0.42823384297884276</v>
      </c>
      <c r="G531">
        <v>0.14976780382015137</v>
      </c>
      <c r="H531">
        <v>17.142711015017905</v>
      </c>
      <c r="I531">
        <v>12.489386089934127</v>
      </c>
      <c r="J531">
        <v>0.2809112257292854</v>
      </c>
      <c r="K531">
        <v>9.7920169909005594E-2</v>
      </c>
      <c r="L531">
        <v>17.131782514427595</v>
      </c>
      <c r="M531">
        <v>12.421015952143575</v>
      </c>
      <c r="N531">
        <v>0.32888355740538994</v>
      </c>
      <c r="O531">
        <v>0.114765088627373</v>
      </c>
      <c r="P531">
        <v>17.135335401823678</v>
      </c>
      <c r="Q531">
        <v>12.402570280581211</v>
      </c>
      <c r="R531">
        <v>0.34182101913229807</v>
      </c>
      <c r="S531">
        <v>0.11931419104460446</v>
      </c>
      <c r="T531">
        <v>17.136294509241889</v>
      </c>
      <c r="U531">
        <v>1501.6795947358139</v>
      </c>
      <c r="V531">
        <v>9.7334211445668579</v>
      </c>
      <c r="W531">
        <v>1281.444158231759</v>
      </c>
      <c r="X531">
        <v>7.2635325462213247</v>
      </c>
      <c r="Y531">
        <v>2891.3568725985751</v>
      </c>
      <c r="Z531">
        <v>9.7777703137589622</v>
      </c>
      <c r="AA531">
        <v>2741.842497614492</v>
      </c>
      <c r="AB531">
        <v>7.2898866544410659</v>
      </c>
      <c r="AC531">
        <v>2185.061829875332</v>
      </c>
      <c r="AD531">
        <v>9.7633408132066606</v>
      </c>
      <c r="AE531">
        <v>2011.2988608913552</v>
      </c>
      <c r="AF531">
        <v>7.2813215262600339</v>
      </c>
      <c r="AG531">
        <v>2071.0617297113845</v>
      </c>
      <c r="AH531">
        <v>9.7594474365202046</v>
      </c>
      <c r="AI531">
        <v>1887.1022981191525</v>
      </c>
      <c r="AJ531">
        <v>7.2790089211335793</v>
      </c>
    </row>
    <row r="532" spans="4:36" x14ac:dyDescent="0.55000000000000004">
      <c r="D532">
        <v>525</v>
      </c>
      <c r="E532">
        <v>11.91265070869952</v>
      </c>
      <c r="F532">
        <v>0.46256213188569251</v>
      </c>
      <c r="G532">
        <v>0.16497960181670693</v>
      </c>
      <c r="H532">
        <v>17.459807557598076</v>
      </c>
      <c r="I532">
        <v>12.137517813800507</v>
      </c>
      <c r="J532">
        <v>0.29056482229523034</v>
      </c>
      <c r="K532">
        <v>0.10328632726646474</v>
      </c>
      <c r="L532">
        <v>17.468631036637806</v>
      </c>
      <c r="M532">
        <v>12.075522021775988</v>
      </c>
      <c r="N532">
        <v>0.33801160719582962</v>
      </c>
      <c r="O532">
        <v>0.12026294604770374</v>
      </c>
      <c r="P532">
        <v>17.466203424980481</v>
      </c>
      <c r="Q532">
        <v>12.018965010645992</v>
      </c>
      <c r="R532">
        <v>0.3812779937449618</v>
      </c>
      <c r="S532">
        <v>0.13577153096949648</v>
      </c>
      <c r="T532">
        <v>17.463985464639546</v>
      </c>
      <c r="U532">
        <v>1526.7022540524738</v>
      </c>
      <c r="V532">
        <v>9.5328033382549613</v>
      </c>
      <c r="W532">
        <v>1294.9498947574918</v>
      </c>
      <c r="X532">
        <v>7.1502992923235773</v>
      </c>
      <c r="Y532">
        <v>2897.346435663876</v>
      </c>
      <c r="Z532">
        <v>9.5733804292025546</v>
      </c>
      <c r="AA532">
        <v>2744.0276036471469</v>
      </c>
      <c r="AB532">
        <v>7.1753071502636416</v>
      </c>
      <c r="AC532">
        <v>2197.2355252217089</v>
      </c>
      <c r="AD532">
        <v>9.5621904064539027</v>
      </c>
      <c r="AE532">
        <v>2017.902292002575</v>
      </c>
      <c r="AF532">
        <v>7.1684210974695795</v>
      </c>
      <c r="AG532">
        <v>2130.8849428606832</v>
      </c>
      <c r="AH532">
        <v>9.5519840028563312</v>
      </c>
      <c r="AI532">
        <v>1927.0420910282562</v>
      </c>
      <c r="AJ532">
        <v>7.1621334615095327</v>
      </c>
    </row>
    <row r="533" spans="4:36" x14ac:dyDescent="0.55000000000000004">
      <c r="D533">
        <v>526</v>
      </c>
      <c r="E533">
        <v>11.827130279111952</v>
      </c>
      <c r="F533">
        <v>0.41430467506188479</v>
      </c>
      <c r="G533">
        <v>0.16651781775057134</v>
      </c>
      <c r="H533">
        <v>17.592047228075582</v>
      </c>
      <c r="I533">
        <v>12.008609482537729</v>
      </c>
      <c r="J533">
        <v>0.27954169336108736</v>
      </c>
      <c r="K533">
        <v>0.11203196536695492</v>
      </c>
      <c r="L533">
        <v>17.599816858734226</v>
      </c>
      <c r="M533">
        <v>11.942472845075775</v>
      </c>
      <c r="N533">
        <v>0.32867564254712628</v>
      </c>
      <c r="O533">
        <v>0.13186058590337882</v>
      </c>
      <c r="P533">
        <v>17.596990926473733</v>
      </c>
      <c r="Q533">
        <v>11.910083428777877</v>
      </c>
      <c r="R533">
        <v>0.35272901304729515</v>
      </c>
      <c r="S533">
        <v>0.14158290734894705</v>
      </c>
      <c r="T533">
        <v>17.595604650825891</v>
      </c>
      <c r="U533">
        <v>1465.1228259649697</v>
      </c>
      <c r="V533">
        <v>9.3689910229346882</v>
      </c>
      <c r="W533">
        <v>1254.8773112343415</v>
      </c>
      <c r="X533">
        <v>7.0400834224987232</v>
      </c>
      <c r="Y533">
        <v>2852.4780145648128</v>
      </c>
      <c r="Z533">
        <v>9.4002054361191192</v>
      </c>
      <c r="AA533">
        <v>2712.7282730720794</v>
      </c>
      <c r="AB533">
        <v>7.059530060908811</v>
      </c>
      <c r="AC533">
        <v>2171.9450069084201</v>
      </c>
      <c r="AD533">
        <v>9.3888264317176109</v>
      </c>
      <c r="AE533">
        <v>2001.5008286121094</v>
      </c>
      <c r="AF533">
        <v>7.0524489943635098</v>
      </c>
      <c r="AG533">
        <v>2080.6478060034301</v>
      </c>
      <c r="AH533">
        <v>9.3832551982401089</v>
      </c>
      <c r="AI533">
        <v>1893.6193673515759</v>
      </c>
      <c r="AJ533">
        <v>7.048978695456027</v>
      </c>
    </row>
    <row r="534" spans="4:36" x14ac:dyDescent="0.55000000000000004">
      <c r="D534">
        <v>527</v>
      </c>
      <c r="E534">
        <v>12.965686955046152</v>
      </c>
      <c r="F534">
        <v>0.46572690231539077</v>
      </c>
      <c r="G534">
        <v>0.16997829315887902</v>
      </c>
      <c r="H534">
        <v>16.398607849479589</v>
      </c>
      <c r="I534">
        <v>13.203304647944789</v>
      </c>
      <c r="J534">
        <v>0.29819219080452852</v>
      </c>
      <c r="K534">
        <v>0.10845357022883299</v>
      </c>
      <c r="L534">
        <v>16.39004959102185</v>
      </c>
      <c r="M534">
        <v>13.087574557532747</v>
      </c>
      <c r="N534">
        <v>0.37983180196630401</v>
      </c>
      <c r="O534">
        <v>0.1383801070361271</v>
      </c>
      <c r="P534">
        <v>16.394213533464825</v>
      </c>
      <c r="Q534">
        <v>13.071523350414269</v>
      </c>
      <c r="R534">
        <v>0.39114840510365018</v>
      </c>
      <c r="S534">
        <v>0.14253654965530016</v>
      </c>
      <c r="T534">
        <v>16.394791694826786</v>
      </c>
      <c r="U534">
        <v>1540.481324015889</v>
      </c>
      <c r="V534">
        <v>10.232526116542918</v>
      </c>
      <c r="W534">
        <v>1300.3772198459969</v>
      </c>
      <c r="X534">
        <v>7.5531267232941106</v>
      </c>
      <c r="Y534">
        <v>2911.3678650606621</v>
      </c>
      <c r="Z534">
        <v>10.28165568550628</v>
      </c>
      <c r="AA534">
        <v>2750.6166053950915</v>
      </c>
      <c r="AB534">
        <v>7.5820597780776025</v>
      </c>
      <c r="AC534">
        <v>2242.8313949354169</v>
      </c>
      <c r="AD534">
        <v>10.257730745247246</v>
      </c>
      <c r="AE534">
        <v>2044.7747878807572</v>
      </c>
      <c r="AF534">
        <v>7.567982370505022</v>
      </c>
      <c r="AG534">
        <v>2122.1668994791617</v>
      </c>
      <c r="AH534">
        <v>10.254411980302731</v>
      </c>
      <c r="AI534">
        <v>1915.4420579689383</v>
      </c>
      <c r="AJ534">
        <v>7.5660277762960195</v>
      </c>
    </row>
    <row r="535" spans="4:36" x14ac:dyDescent="0.55000000000000004">
      <c r="D535">
        <v>528</v>
      </c>
      <c r="E535">
        <v>12.777820819482839</v>
      </c>
      <c r="F535">
        <v>0.50554557368596975</v>
      </c>
      <c r="G535">
        <v>0.16793157097397898</v>
      </c>
      <c r="H535">
        <v>16.5487020358572</v>
      </c>
      <c r="I535">
        <v>13.028325182884263</v>
      </c>
      <c r="J535">
        <v>0.3102580126803991</v>
      </c>
      <c r="K535">
        <v>0.10269890444087137</v>
      </c>
      <c r="L535">
        <v>16.558717899994466</v>
      </c>
      <c r="M535">
        <v>12.933375249521811</v>
      </c>
      <c r="N535">
        <v>0.38431500565174354</v>
      </c>
      <c r="O535">
        <v>0.12738164835562427</v>
      </c>
      <c r="P535">
        <v>16.554928096470821</v>
      </c>
      <c r="Q535">
        <v>12.862985060892479</v>
      </c>
      <c r="R535">
        <v>0.43918801370775462</v>
      </c>
      <c r="S535">
        <v>0.14571351515737763</v>
      </c>
      <c r="T535">
        <v>16.552113410242381</v>
      </c>
      <c r="U535">
        <v>1572.3207054517241</v>
      </c>
      <c r="V535">
        <v>10.207245676991153</v>
      </c>
      <c r="W535">
        <v>1323.6897571185002</v>
      </c>
      <c r="X535">
        <v>7.5513710767816509</v>
      </c>
      <c r="Y535">
        <v>2918.8174416770426</v>
      </c>
      <c r="Z535">
        <v>10.251525854370716</v>
      </c>
      <c r="AA535">
        <v>2756.9273985433047</v>
      </c>
      <c r="AB535">
        <v>7.5782156968674563</v>
      </c>
      <c r="AC535">
        <v>2244.5784340963355</v>
      </c>
      <c r="AD535">
        <v>10.234738629555087</v>
      </c>
      <c r="AE535">
        <v>2047.7889386470881</v>
      </c>
      <c r="AF535">
        <v>7.5680515826072616</v>
      </c>
      <c r="AG535">
        <v>2153.9917871950001</v>
      </c>
      <c r="AH535">
        <v>10.222296325510911</v>
      </c>
      <c r="AI535">
        <v>1937.7585219675466</v>
      </c>
      <c r="AJ535">
        <v>7.5605079333648142</v>
      </c>
    </row>
    <row r="536" spans="4:36" x14ac:dyDescent="0.55000000000000004">
      <c r="D536">
        <v>529</v>
      </c>
      <c r="E536">
        <v>11.609030603767337</v>
      </c>
      <c r="F536">
        <v>0.40498862848588918</v>
      </c>
      <c r="G536">
        <v>0.17905037647931418</v>
      </c>
      <c r="H536">
        <v>17.806930391267464</v>
      </c>
      <c r="I536">
        <v>11.796685810114932</v>
      </c>
      <c r="J536">
        <v>0.26229711661828375</v>
      </c>
      <c r="K536">
        <v>0.11559542299572481</v>
      </c>
      <c r="L536">
        <v>17.825421650271057</v>
      </c>
      <c r="M536">
        <v>11.716861069384867</v>
      </c>
      <c r="N536">
        <v>0.32301907232858368</v>
      </c>
      <c r="O536">
        <v>0.14254839278621209</v>
      </c>
      <c r="P536">
        <v>17.817571465500322</v>
      </c>
      <c r="Q536">
        <v>11.660254512479296</v>
      </c>
      <c r="R536">
        <v>0.36605779657447551</v>
      </c>
      <c r="S536">
        <v>0.16169705558048314</v>
      </c>
      <c r="T536">
        <v>17.811990635365749</v>
      </c>
      <c r="U536">
        <v>1492.5415761899596</v>
      </c>
      <c r="V536">
        <v>9.0907937620675714</v>
      </c>
      <c r="W536">
        <v>1273.7345023131429</v>
      </c>
      <c r="X536">
        <v>6.8522420949265426</v>
      </c>
      <c r="Y536">
        <v>2873.4394897239786</v>
      </c>
      <c r="Z536">
        <v>9.1148351904620331</v>
      </c>
      <c r="AA536">
        <v>2728.3419878901218</v>
      </c>
      <c r="AB536">
        <v>6.8680739709246259</v>
      </c>
      <c r="AC536">
        <v>2166.1528419652877</v>
      </c>
      <c r="AD536">
        <v>9.1045988941856599</v>
      </c>
      <c r="AE536">
        <v>1995.4494677904645</v>
      </c>
      <c r="AF536">
        <v>6.8613425271743447</v>
      </c>
      <c r="AG536">
        <v>2091.8725495620761</v>
      </c>
      <c r="AH536">
        <v>9.0973485284943578</v>
      </c>
      <c r="AI536">
        <v>1898.5578796122759</v>
      </c>
      <c r="AJ536">
        <v>6.8565662323548544</v>
      </c>
    </row>
    <row r="537" spans="4:36" x14ac:dyDescent="0.55000000000000004">
      <c r="D537">
        <v>530</v>
      </c>
      <c r="E537">
        <v>12.456654406775145</v>
      </c>
      <c r="F537">
        <v>0.45433319176458625</v>
      </c>
      <c r="G537">
        <v>0.15249795680626951</v>
      </c>
      <c r="H537">
        <v>16.936514444654012</v>
      </c>
      <c r="I537">
        <v>12.651857037837631</v>
      </c>
      <c r="J537">
        <v>0.30677875605075888</v>
      </c>
      <c r="K537">
        <v>0.10268492799657487</v>
      </c>
      <c r="L537">
        <v>16.938679278115035</v>
      </c>
      <c r="M537">
        <v>12.584321477429963</v>
      </c>
      <c r="N537">
        <v>0.35785246252941649</v>
      </c>
      <c r="O537">
        <v>0.11989516681834828</v>
      </c>
      <c r="P537">
        <v>16.937930893222266</v>
      </c>
      <c r="Q537">
        <v>12.528260083030732</v>
      </c>
      <c r="R537">
        <v>0.40023015691129959</v>
      </c>
      <c r="S537">
        <v>0.13420058151461495</v>
      </c>
      <c r="T537">
        <v>16.937309178543359</v>
      </c>
      <c r="U537">
        <v>1546.8637596231104</v>
      </c>
      <c r="V537">
        <v>9.8589339084689982</v>
      </c>
      <c r="W537">
        <v>1308.365038522734</v>
      </c>
      <c r="X537">
        <v>7.3341366615199455</v>
      </c>
      <c r="Y537">
        <v>2906.0428484301433</v>
      </c>
      <c r="Z537">
        <v>9.8943358800165928</v>
      </c>
      <c r="AA537">
        <v>2747.5873697212978</v>
      </c>
      <c r="AB537">
        <v>7.3554943411261648</v>
      </c>
      <c r="AC537">
        <v>2197.0495919539071</v>
      </c>
      <c r="AD537">
        <v>9.8820871708372628</v>
      </c>
      <c r="AE537">
        <v>2014.2398580336442</v>
      </c>
      <c r="AF537">
        <v>7.3481125171810495</v>
      </c>
      <c r="AG537">
        <v>2142.9159497931946</v>
      </c>
      <c r="AH537">
        <v>9.8719198572638689</v>
      </c>
      <c r="AI537">
        <v>1932.3033280316406</v>
      </c>
      <c r="AJ537">
        <v>7.3419788963801222</v>
      </c>
    </row>
    <row r="538" spans="4:36" x14ac:dyDescent="0.55000000000000004">
      <c r="D538">
        <v>531</v>
      </c>
      <c r="E538">
        <v>12.589708974037068</v>
      </c>
      <c r="F538">
        <v>0.45658797212563879</v>
      </c>
      <c r="G538">
        <v>0.19244563013099028</v>
      </c>
      <c r="H538">
        <v>16.761257423706297</v>
      </c>
      <c r="I538">
        <v>12.834684431022378</v>
      </c>
      <c r="J538">
        <v>0.28272954929159555</v>
      </c>
      <c r="K538">
        <v>0.11872700177249368</v>
      </c>
      <c r="L538">
        <v>16.763859017913539</v>
      </c>
      <c r="M538">
        <v>12.733403534516334</v>
      </c>
      <c r="N538">
        <v>0.35465289872604944</v>
      </c>
      <c r="O538">
        <v>0.14915656018703682</v>
      </c>
      <c r="P538">
        <v>16.762787006570587</v>
      </c>
      <c r="Q538">
        <v>12.669332617152785</v>
      </c>
      <c r="R538">
        <v>0.40011969954227561</v>
      </c>
      <c r="S538">
        <v>0.1684414293532622</v>
      </c>
      <c r="T538">
        <v>16.762106253951671</v>
      </c>
      <c r="U538">
        <v>1560.2071466982252</v>
      </c>
      <c r="V538">
        <v>9.9514766862431934</v>
      </c>
      <c r="W538">
        <v>1316.2646037651987</v>
      </c>
      <c r="X538">
        <v>7.3837962896034428</v>
      </c>
      <c r="Y538">
        <v>2895.062283735072</v>
      </c>
      <c r="Z538">
        <v>9.9945335904120913</v>
      </c>
      <c r="AA538">
        <v>2740.0941412919506</v>
      </c>
      <c r="AB538">
        <v>7.4098023549982521</v>
      </c>
      <c r="AC538">
        <v>2220.2018873553889</v>
      </c>
      <c r="AD538">
        <v>9.9767304536544543</v>
      </c>
      <c r="AE538">
        <v>2030.2888288102731</v>
      </c>
      <c r="AF538">
        <v>7.3990621101968959</v>
      </c>
      <c r="AG538">
        <v>2120.2605673830476</v>
      </c>
      <c r="AH538">
        <v>9.9654695298540865</v>
      </c>
      <c r="AI538">
        <v>1913.704489804787</v>
      </c>
      <c r="AJ538">
        <v>7.3922594130183397</v>
      </c>
    </row>
    <row r="539" spans="4:36" x14ac:dyDescent="0.55000000000000004">
      <c r="D539">
        <v>532</v>
      </c>
      <c r="E539">
        <v>13.954849819120362</v>
      </c>
      <c r="F539">
        <v>0.52831630800884832</v>
      </c>
      <c r="G539">
        <v>0.16016356108449073</v>
      </c>
      <c r="H539">
        <v>15.356670311786305</v>
      </c>
      <c r="I539">
        <v>14.204841488646155</v>
      </c>
      <c r="J539">
        <v>0.34976079660314907</v>
      </c>
      <c r="K539">
        <v>0.10570382333808664</v>
      </c>
      <c r="L539">
        <v>15.339693891412608</v>
      </c>
      <c r="M539">
        <v>14.109599214552185</v>
      </c>
      <c r="N539">
        <v>0.41782897923528317</v>
      </c>
      <c r="O539">
        <v>0.12642417135201042</v>
      </c>
      <c r="P539">
        <v>15.346147634860523</v>
      </c>
      <c r="Q539">
        <v>14.053878765100674</v>
      </c>
      <c r="R539">
        <v>0.4576277568825991</v>
      </c>
      <c r="S539">
        <v>0.13856221175530595</v>
      </c>
      <c r="T539">
        <v>15.349931266261427</v>
      </c>
      <c r="U539">
        <v>1666.6915334613068</v>
      </c>
      <c r="V539">
        <v>11.072855492975533</v>
      </c>
      <c r="W539">
        <v>1381.6178392152428</v>
      </c>
      <c r="X539">
        <v>8.0569797688895406</v>
      </c>
      <c r="Y539">
        <v>2958.1368564237373</v>
      </c>
      <c r="Z539">
        <v>11.128475228351906</v>
      </c>
      <c r="AA539">
        <v>2776.4953318474431</v>
      </c>
      <c r="AB539">
        <v>8.0888100758071868</v>
      </c>
      <c r="AC539">
        <v>2268.9704248804501</v>
      </c>
      <c r="AD539">
        <v>11.107293578890445</v>
      </c>
      <c r="AE539">
        <v>2055.588806698297</v>
      </c>
      <c r="AF539">
        <v>8.0766990424092686</v>
      </c>
      <c r="AG539">
        <v>2219.9110622741709</v>
      </c>
      <c r="AH539">
        <v>11.094896678245307</v>
      </c>
      <c r="AI539">
        <v>1976.3513528988267</v>
      </c>
      <c r="AJ539">
        <v>8.0696046722957018</v>
      </c>
    </row>
    <row r="540" spans="4:36" x14ac:dyDescent="0.55000000000000004">
      <c r="D540">
        <v>533</v>
      </c>
      <c r="E540">
        <v>12.879542372794214</v>
      </c>
      <c r="F540">
        <v>0.4289084584567876</v>
      </c>
      <c r="G540">
        <v>0.15900718946815706</v>
      </c>
      <c r="H540">
        <v>16.532541979280825</v>
      </c>
      <c r="I540">
        <v>13.114622876939723</v>
      </c>
      <c r="J540">
        <v>0.27036301734741008</v>
      </c>
      <c r="K540">
        <v>9.9884615816553668E-2</v>
      </c>
      <c r="L540">
        <v>16.515129489896292</v>
      </c>
      <c r="M540">
        <v>12.999749999300455</v>
      </c>
      <c r="N540">
        <v>0.34788198578607055</v>
      </c>
      <c r="O540">
        <v>0.1287400895327154</v>
      </c>
      <c r="P540">
        <v>16.523627925380751</v>
      </c>
      <c r="Q540">
        <v>12.958516856463623</v>
      </c>
      <c r="R540">
        <v>0.37568608353087896</v>
      </c>
      <c r="S540">
        <v>0.13911389822456849</v>
      </c>
      <c r="T540">
        <v>16.526683161780923</v>
      </c>
      <c r="U540">
        <v>1524.3206793847887</v>
      </c>
      <c r="V540">
        <v>10.148252745087474</v>
      </c>
      <c r="W540">
        <v>1292.7279357369985</v>
      </c>
      <c r="X540">
        <v>7.5062898848872672</v>
      </c>
      <c r="Y540">
        <v>2898.0973228238918</v>
      </c>
      <c r="Z540">
        <v>10.205553981414361</v>
      </c>
      <c r="AA540">
        <v>2743.9165304285834</v>
      </c>
      <c r="AB540">
        <v>7.5399186712808808</v>
      </c>
      <c r="AC540">
        <v>2236.5771267616287</v>
      </c>
      <c r="AD540">
        <v>10.177558944040102</v>
      </c>
      <c r="AE540">
        <v>2043.8456731083381</v>
      </c>
      <c r="AF540">
        <v>7.5235029826358675</v>
      </c>
      <c r="AG540">
        <v>2120.2381000502528</v>
      </c>
      <c r="AH540">
        <v>10.167507729362937</v>
      </c>
      <c r="AI540">
        <v>1916.5816816882113</v>
      </c>
      <c r="AJ540">
        <v>7.517602682148782</v>
      </c>
    </row>
    <row r="541" spans="4:36" x14ac:dyDescent="0.55000000000000004">
      <c r="D541">
        <v>534</v>
      </c>
      <c r="E541">
        <v>13.301656958577363</v>
      </c>
      <c r="F541">
        <v>0.47718316782350745</v>
      </c>
      <c r="G541">
        <v>0.18712487036700037</v>
      </c>
      <c r="H541">
        <v>16.034035003232145</v>
      </c>
      <c r="I541">
        <v>13.518861388254939</v>
      </c>
      <c r="J541">
        <v>0.32057996639338804</v>
      </c>
      <c r="K541">
        <v>0.12531236126569922</v>
      </c>
      <c r="L541">
        <v>16.035246284085968</v>
      </c>
      <c r="M541">
        <v>13.428209038827319</v>
      </c>
      <c r="N541">
        <v>0.38597280758861546</v>
      </c>
      <c r="O541">
        <v>0.15107463340673319</v>
      </c>
      <c r="P541">
        <v>16.034743520177333</v>
      </c>
      <c r="Q541">
        <v>13.378581129619526</v>
      </c>
      <c r="R541">
        <v>0.421752352067084</v>
      </c>
      <c r="S541">
        <v>0.16519991610685031</v>
      </c>
      <c r="T541">
        <v>16.034466602206535</v>
      </c>
      <c r="U541">
        <v>1604.8821379016335</v>
      </c>
      <c r="V541">
        <v>10.476512703462902</v>
      </c>
      <c r="W541">
        <v>1339.8985375307861</v>
      </c>
      <c r="X541">
        <v>7.6922798005584889</v>
      </c>
      <c r="Y541">
        <v>2965.3030619978585</v>
      </c>
      <c r="Z541">
        <v>10.516498431682809</v>
      </c>
      <c r="AA541">
        <v>2783.8900766668376</v>
      </c>
      <c r="AB541">
        <v>7.7161350527395181</v>
      </c>
      <c r="AC541">
        <v>2280.6165833158097</v>
      </c>
      <c r="AD541">
        <v>10.499808670007175</v>
      </c>
      <c r="AE541">
        <v>2066.3476459405169</v>
      </c>
      <c r="AF541">
        <v>7.7061875393592913</v>
      </c>
      <c r="AG541">
        <v>2185.0850463037109</v>
      </c>
      <c r="AH541">
        <v>10.49067261535679</v>
      </c>
      <c r="AI541">
        <v>1953.3242361338755</v>
      </c>
      <c r="AJ541">
        <v>7.7007364778581957</v>
      </c>
    </row>
    <row r="542" spans="4:36" x14ac:dyDescent="0.55000000000000004">
      <c r="D542">
        <v>535</v>
      </c>
      <c r="E542">
        <v>11.121428460173709</v>
      </c>
      <c r="F542">
        <v>0.41168407369419435</v>
      </c>
      <c r="G542">
        <v>0.15830622340938313</v>
      </c>
      <c r="H542">
        <v>18.308581242722703</v>
      </c>
      <c r="I542">
        <v>11.309063514688452</v>
      </c>
      <c r="J542">
        <v>0.26772186623691846</v>
      </c>
      <c r="K542">
        <v>0.10262583305295396</v>
      </c>
      <c r="L542">
        <v>18.320588786021677</v>
      </c>
      <c r="M542">
        <v>11.256345432903865</v>
      </c>
      <c r="N542">
        <v>0.30818929550494656</v>
      </c>
      <c r="O542">
        <v>0.11824178771817739</v>
      </c>
      <c r="P542">
        <v>18.317223483873011</v>
      </c>
      <c r="Q542">
        <v>11.221030268876078</v>
      </c>
      <c r="R542">
        <v>0.33528932621007868</v>
      </c>
      <c r="S542">
        <v>0.12871492493519718</v>
      </c>
      <c r="T542">
        <v>18.314965479978646</v>
      </c>
      <c r="U542">
        <v>1451.4133870602541</v>
      </c>
      <c r="V542">
        <v>8.8021677928892199</v>
      </c>
      <c r="W542">
        <v>1249.8855988488049</v>
      </c>
      <c r="X542">
        <v>6.6906630242582645</v>
      </c>
      <c r="Y542">
        <v>2849.8756090648312</v>
      </c>
      <c r="Z542">
        <v>8.8293770295406411</v>
      </c>
      <c r="AA542">
        <v>2715.1996056728917</v>
      </c>
      <c r="AB542">
        <v>6.7080868637673827</v>
      </c>
      <c r="AC542">
        <v>2169.2438331889557</v>
      </c>
      <c r="AD542">
        <v>8.8217277016316054</v>
      </c>
      <c r="AE542">
        <v>2005.4815333826948</v>
      </c>
      <c r="AF542">
        <v>6.7031961526212758</v>
      </c>
      <c r="AG542">
        <v>2046.1660353515906</v>
      </c>
      <c r="AH542">
        <v>8.8166055171837634</v>
      </c>
      <c r="AI542">
        <v>1873.5036004328858</v>
      </c>
      <c r="AJ542">
        <v>6.6999178831834323</v>
      </c>
    </row>
    <row r="543" spans="4:36" x14ac:dyDescent="0.55000000000000004">
      <c r="D543">
        <v>536</v>
      </c>
      <c r="E543">
        <v>12.719859536919989</v>
      </c>
      <c r="F543">
        <v>0.46394036999932886</v>
      </c>
      <c r="G543">
        <v>0.17625786599419435</v>
      </c>
      <c r="H543">
        <v>16.639942227086493</v>
      </c>
      <c r="I543">
        <v>12.957781216207881</v>
      </c>
      <c r="J543">
        <v>0.28864342661196096</v>
      </c>
      <c r="K543">
        <v>0.10928511096544323</v>
      </c>
      <c r="L543">
        <v>16.644290246214712</v>
      </c>
      <c r="M543">
        <v>12.850657784401541</v>
      </c>
      <c r="N543">
        <v>0.36760991600109577</v>
      </c>
      <c r="O543">
        <v>0.13939693582852575</v>
      </c>
      <c r="P543">
        <v>16.642335363768836</v>
      </c>
      <c r="Q543">
        <v>12.802952722381729</v>
      </c>
      <c r="R543">
        <v>0.40275507372113306</v>
      </c>
      <c r="S543">
        <v>0.15282887473395834</v>
      </c>
      <c r="T543">
        <v>16.641463329163191</v>
      </c>
      <c r="U543">
        <v>1554.1616784529022</v>
      </c>
      <c r="V543">
        <v>9.9839868444809312</v>
      </c>
      <c r="W543">
        <v>1308.9376643924384</v>
      </c>
      <c r="X543">
        <v>7.3953785333977091</v>
      </c>
      <c r="Y543">
        <v>2911.338671452057</v>
      </c>
      <c r="Z543">
        <v>10.028088722021186</v>
      </c>
      <c r="AA543">
        <v>2750.3660647135603</v>
      </c>
      <c r="AB543">
        <v>7.4220576638835496</v>
      </c>
      <c r="AC543">
        <v>2249.8816166944052</v>
      </c>
      <c r="AD543">
        <v>10.008229336382119</v>
      </c>
      <c r="AE543">
        <v>2049.6313629719348</v>
      </c>
      <c r="AF543">
        <v>7.4100567328466935</v>
      </c>
      <c r="AG543">
        <v>2145.9342629691391</v>
      </c>
      <c r="AH543">
        <v>9.9993867964730558</v>
      </c>
      <c r="AI543">
        <v>1930.7540709925686</v>
      </c>
      <c r="AJ543">
        <v>7.404706471299396</v>
      </c>
    </row>
    <row r="544" spans="4:36" x14ac:dyDescent="0.55000000000000004">
      <c r="D544">
        <v>537</v>
      </c>
      <c r="E544">
        <v>12.63601327372062</v>
      </c>
      <c r="F544">
        <v>0.45033492488699972</v>
      </c>
      <c r="G544">
        <v>0.16735670453065124</v>
      </c>
      <c r="H544">
        <v>16.746295096861736</v>
      </c>
      <c r="I544">
        <v>12.864496905060168</v>
      </c>
      <c r="J544">
        <v>0.28565745394838443</v>
      </c>
      <c r="K544">
        <v>0.10581877213587393</v>
      </c>
      <c r="L544">
        <v>16.744026868855581</v>
      </c>
      <c r="M544">
        <v>12.739753506525339</v>
      </c>
      <c r="N544">
        <v>0.37560358280147677</v>
      </c>
      <c r="O544">
        <v>0.13938094814777749</v>
      </c>
      <c r="P544">
        <v>16.745261962525401</v>
      </c>
      <c r="Q544">
        <v>12.708524880322766</v>
      </c>
      <c r="R544">
        <v>0.39810651551615484</v>
      </c>
      <c r="S544">
        <v>0.14779621691879688</v>
      </c>
      <c r="T544">
        <v>16.745572387242284</v>
      </c>
      <c r="U544">
        <v>1520.8795035504634</v>
      </c>
      <c r="V544">
        <v>9.9601432330118698</v>
      </c>
      <c r="W544">
        <v>1288.8633052735333</v>
      </c>
      <c r="X544">
        <v>7.3888986591878156</v>
      </c>
      <c r="Y544">
        <v>2904.643983396003</v>
      </c>
      <c r="Z544">
        <v>10.003782079753645</v>
      </c>
      <c r="AA544">
        <v>2747.9293120421894</v>
      </c>
      <c r="AB544">
        <v>7.4149151746401243</v>
      </c>
      <c r="AC544">
        <v>2224.4895977251058</v>
      </c>
      <c r="AD544">
        <v>9.9799584350126143</v>
      </c>
      <c r="AE544">
        <v>2033.0376115500476</v>
      </c>
      <c r="AF544">
        <v>7.4007232980881579</v>
      </c>
      <c r="AG544">
        <v>2151.1591550752496</v>
      </c>
      <c r="AH544">
        <v>9.9739937876556208</v>
      </c>
      <c r="AI544">
        <v>1938.2553744029051</v>
      </c>
      <c r="AJ544">
        <v>7.397165903081504</v>
      </c>
    </row>
    <row r="545" spans="4:36" x14ac:dyDescent="0.55000000000000004">
      <c r="D545">
        <v>538</v>
      </c>
      <c r="E545">
        <v>13.077311443679148</v>
      </c>
      <c r="F545">
        <v>0.53164363951401949</v>
      </c>
      <c r="G545">
        <v>0.19812655733768117</v>
      </c>
      <c r="H545">
        <v>16.192918359469161</v>
      </c>
      <c r="I545">
        <v>13.306972366912449</v>
      </c>
      <c r="J545">
        <v>0.34930640232282717</v>
      </c>
      <c r="K545">
        <v>0.12975992178198278</v>
      </c>
      <c r="L545">
        <v>16.213961308982729</v>
      </c>
      <c r="M545">
        <v>13.216144376183415</v>
      </c>
      <c r="N545">
        <v>0.4214472724952405</v>
      </c>
      <c r="O545">
        <v>0.1567558612981384</v>
      </c>
      <c r="P545">
        <v>16.205652490023226</v>
      </c>
      <c r="Q545">
        <v>13.192739668607192</v>
      </c>
      <c r="R545">
        <v>0.44003057127598816</v>
      </c>
      <c r="S545">
        <v>0.16372112969380112</v>
      </c>
      <c r="T545">
        <v>16.20350863042302</v>
      </c>
      <c r="U545">
        <v>1620.2107558660482</v>
      </c>
      <c r="V545">
        <v>10.414825864660109</v>
      </c>
      <c r="W545">
        <v>1351.1294494097724</v>
      </c>
      <c r="X545">
        <v>7.663967247493062</v>
      </c>
      <c r="Y545">
        <v>2941.2765586026362</v>
      </c>
      <c r="Z545">
        <v>10.445626414659527</v>
      </c>
      <c r="AA545">
        <v>2766.6520140786702</v>
      </c>
      <c r="AB545">
        <v>7.6831666243978187</v>
      </c>
      <c r="AC545">
        <v>2266.4540281996528</v>
      </c>
      <c r="AD545">
        <v>10.433437498826024</v>
      </c>
      <c r="AE545">
        <v>2056.3990962411008</v>
      </c>
      <c r="AF545">
        <v>7.675578538020531</v>
      </c>
      <c r="AG545">
        <v>2139.0679172135028</v>
      </c>
      <c r="AH545">
        <v>10.430298261799354</v>
      </c>
      <c r="AI545">
        <v>1921.4172979224215</v>
      </c>
      <c r="AJ545">
        <v>7.6736221679429164</v>
      </c>
    </row>
    <row r="546" spans="4:36" x14ac:dyDescent="0.55000000000000004">
      <c r="D546">
        <v>539</v>
      </c>
      <c r="E546">
        <v>12.609151290472848</v>
      </c>
      <c r="F546">
        <v>0.45905897084162162</v>
      </c>
      <c r="G546">
        <v>0.15842801990963681</v>
      </c>
      <c r="H546">
        <v>16.773361718775885</v>
      </c>
      <c r="I546">
        <v>12.817325656431001</v>
      </c>
      <c r="J546">
        <v>0.30152152494162476</v>
      </c>
      <c r="K546">
        <v>0.10375041137856354</v>
      </c>
      <c r="L546">
        <v>16.777402407248815</v>
      </c>
      <c r="M546">
        <v>12.71786207831919</v>
      </c>
      <c r="N546">
        <v>0.37682024672531206</v>
      </c>
      <c r="O546">
        <v>0.1298436927226003</v>
      </c>
      <c r="P546">
        <v>16.775473982232885</v>
      </c>
      <c r="Q546">
        <v>12.658454409794004</v>
      </c>
      <c r="R546">
        <v>0.421769494799143</v>
      </c>
      <c r="S546">
        <v>0.14545581884086636</v>
      </c>
      <c r="T546">
        <v>16.774320276565984</v>
      </c>
      <c r="U546">
        <v>1551.5098499920566</v>
      </c>
      <c r="V546">
        <v>10.075766066165535</v>
      </c>
      <c r="W546">
        <v>1313.0748915028835</v>
      </c>
      <c r="X546">
        <v>7.4771975368754253</v>
      </c>
      <c r="Y546">
        <v>2899.9212716265533</v>
      </c>
      <c r="Z546">
        <v>10.113225198834538</v>
      </c>
      <c r="AA546">
        <v>2744.504940891135</v>
      </c>
      <c r="AB546">
        <v>7.4998210550141629</v>
      </c>
      <c r="AC546">
        <v>2218.8309297278197</v>
      </c>
      <c r="AD546">
        <v>10.095326304388955</v>
      </c>
      <c r="AE546">
        <v>2030.3678205512683</v>
      </c>
      <c r="AF546">
        <v>7.4890205890168655</v>
      </c>
      <c r="AG546">
        <v>2105.1058984472179</v>
      </c>
      <c r="AH546">
        <v>10.084636778418908</v>
      </c>
      <c r="AI546">
        <v>1903.8766248413199</v>
      </c>
      <c r="AJ546">
        <v>7.4825619998561139</v>
      </c>
    </row>
    <row r="547" spans="4:36" x14ac:dyDescent="0.55000000000000004">
      <c r="D547">
        <v>540</v>
      </c>
      <c r="E547">
        <v>12.23085889384612</v>
      </c>
      <c r="F547">
        <v>0.44035634110882726</v>
      </c>
      <c r="G547">
        <v>0.16047474731462946</v>
      </c>
      <c r="H547">
        <v>17.168310017730438</v>
      </c>
      <c r="I547">
        <v>12.397622270461751</v>
      </c>
      <c r="J547">
        <v>0.31156183369384177</v>
      </c>
      <c r="K547">
        <v>0.11325455756715701</v>
      </c>
      <c r="L547">
        <v>17.177561338277268</v>
      </c>
      <c r="M547">
        <v>12.324466510137924</v>
      </c>
      <c r="N547">
        <v>0.36807913880675336</v>
      </c>
      <c r="O547">
        <v>0.13394599838913807</v>
      </c>
      <c r="P547">
        <v>17.17350835266619</v>
      </c>
      <c r="Q547">
        <v>12.309468229573508</v>
      </c>
      <c r="R547">
        <v>0.37966281611122543</v>
      </c>
      <c r="S547">
        <v>0.13819257461855736</v>
      </c>
      <c r="T547">
        <v>17.172676379696718</v>
      </c>
      <c r="U547">
        <v>1542.401965939782</v>
      </c>
      <c r="V547">
        <v>9.6411438588850942</v>
      </c>
      <c r="W547">
        <v>1307.6739098729802</v>
      </c>
      <c r="X547">
        <v>7.1964720040393058</v>
      </c>
      <c r="Y547">
        <v>2912.7179488310289</v>
      </c>
      <c r="Z547">
        <v>9.6672517991471825</v>
      </c>
      <c r="AA547">
        <v>2753.1956696653797</v>
      </c>
      <c r="AB547">
        <v>7.2126508504625138</v>
      </c>
      <c r="AC547">
        <v>2202.5445160051404</v>
      </c>
      <c r="AD547">
        <v>9.6557958351927553</v>
      </c>
      <c r="AE547">
        <v>2018.6689311698617</v>
      </c>
      <c r="AF547">
        <v>7.2055579759703399</v>
      </c>
      <c r="AG547">
        <v>2111.8531581052584</v>
      </c>
      <c r="AH547">
        <v>9.6534477155661822</v>
      </c>
      <c r="AI547">
        <v>1912.0044192923142</v>
      </c>
      <c r="AJ547">
        <v>7.20410294764537</v>
      </c>
    </row>
    <row r="548" spans="4:36" x14ac:dyDescent="0.55000000000000004">
      <c r="D548">
        <v>541</v>
      </c>
      <c r="E548">
        <v>12.514099167156756</v>
      </c>
      <c r="F548">
        <v>0.42324414151769529</v>
      </c>
      <c r="G548">
        <v>0.15168782205457398</v>
      </c>
      <c r="H548">
        <v>16.910968869270985</v>
      </c>
      <c r="I548">
        <v>12.741497130468293</v>
      </c>
      <c r="J548">
        <v>0.26230918833929012</v>
      </c>
      <c r="K548">
        <v>9.3676064931942568E-2</v>
      </c>
      <c r="L548">
        <v>16.902517616260468</v>
      </c>
      <c r="M548">
        <v>12.609157707461561</v>
      </c>
      <c r="N548">
        <v>0.35600781906667411</v>
      </c>
      <c r="O548">
        <v>0.12740038953218841</v>
      </c>
      <c r="P548">
        <v>16.907434083939567</v>
      </c>
      <c r="Q548">
        <v>12.563721593268584</v>
      </c>
      <c r="R548">
        <v>0.38815247087052496</v>
      </c>
      <c r="S548">
        <v>0.13900264064445922</v>
      </c>
      <c r="T548">
        <v>16.909123295216428</v>
      </c>
      <c r="U548">
        <v>1472.4903487781212</v>
      </c>
      <c r="V548">
        <v>9.9557253172511047</v>
      </c>
      <c r="W548">
        <v>1258.306855320531</v>
      </c>
      <c r="X548">
        <v>7.4034100858845031</v>
      </c>
      <c r="Y548">
        <v>2879.3112154571259</v>
      </c>
      <c r="Z548">
        <v>10.005249930197811</v>
      </c>
      <c r="AA548">
        <v>2733.1260755920307</v>
      </c>
      <c r="AB548">
        <v>7.4330708225781246</v>
      </c>
      <c r="AC548">
        <v>2195.2822335401802</v>
      </c>
      <c r="AD548">
        <v>9.9764282383278235</v>
      </c>
      <c r="AE548">
        <v>2015.7024634699408</v>
      </c>
      <c r="AF548">
        <v>7.4158223882581691</v>
      </c>
      <c r="AG548">
        <v>2114.5389284763037</v>
      </c>
      <c r="AH548">
        <v>9.9665326991803731</v>
      </c>
      <c r="AI548">
        <v>1914.9253105328846</v>
      </c>
      <c r="AJ548">
        <v>7.4098919560806538</v>
      </c>
    </row>
    <row r="549" spans="4:36" x14ac:dyDescent="0.55000000000000004">
      <c r="D549">
        <v>542</v>
      </c>
      <c r="E549">
        <v>12.693380489363937</v>
      </c>
      <c r="F549">
        <v>0.45632289174875135</v>
      </c>
      <c r="G549">
        <v>0.16956331198914587</v>
      </c>
      <c r="H549">
        <v>16.68073330689818</v>
      </c>
      <c r="I549">
        <v>12.907153603565661</v>
      </c>
      <c r="J549">
        <v>0.30374101434418055</v>
      </c>
      <c r="K549">
        <v>0.11252928704462441</v>
      </c>
      <c r="L549">
        <v>16.676576095045519</v>
      </c>
      <c r="M549">
        <v>12.809335055764542</v>
      </c>
      <c r="N549">
        <v>0.37359386908176406</v>
      </c>
      <c r="O549">
        <v>0.13859685474171837</v>
      </c>
      <c r="P549">
        <v>16.678474220411985</v>
      </c>
      <c r="Q549">
        <v>12.796807042542266</v>
      </c>
      <c r="R549">
        <v>0.38253604337302072</v>
      </c>
      <c r="S549">
        <v>0.14193909124759391</v>
      </c>
      <c r="T549">
        <v>16.678717822837129</v>
      </c>
      <c r="U549">
        <v>1592.0416376508049</v>
      </c>
      <c r="V549">
        <v>10.066692982052908</v>
      </c>
      <c r="W549">
        <v>1340.9086897847535</v>
      </c>
      <c r="X549">
        <v>7.4609223992102693</v>
      </c>
      <c r="Y549">
        <v>2923.3590333414008</v>
      </c>
      <c r="Z549">
        <v>10.10820662345377</v>
      </c>
      <c r="AA549">
        <v>2760.014137645639</v>
      </c>
      <c r="AB549">
        <v>7.4855191384726352</v>
      </c>
      <c r="AC549">
        <v>2226.0392937974157</v>
      </c>
      <c r="AD549">
        <v>10.089213244942927</v>
      </c>
      <c r="AE549">
        <v>2033.8379440807621</v>
      </c>
      <c r="AF549">
        <v>7.4742752504957792</v>
      </c>
      <c r="AG549">
        <v>2108.2365344205723</v>
      </c>
      <c r="AH549">
        <v>10.086780385791844</v>
      </c>
      <c r="AI549">
        <v>1906.8857410939529</v>
      </c>
      <c r="AJ549">
        <v>7.4728338523401732</v>
      </c>
    </row>
    <row r="550" spans="4:36" x14ac:dyDescent="0.55000000000000004">
      <c r="D550">
        <v>543</v>
      </c>
      <c r="E550">
        <v>13.046602390899592</v>
      </c>
      <c r="F550">
        <v>0.45715245420339218</v>
      </c>
      <c r="G550">
        <v>0.14157100130446676</v>
      </c>
      <c r="H550">
        <v>16.354674153592548</v>
      </c>
      <c r="I550">
        <v>13.257387945505666</v>
      </c>
      <c r="J550">
        <v>0.30483529921988484</v>
      </c>
      <c r="K550">
        <v>9.4130809873300983E-2</v>
      </c>
      <c r="L550">
        <v>16.343645945401143</v>
      </c>
      <c r="M550">
        <v>13.204528246570703</v>
      </c>
      <c r="N550">
        <v>0.34305676363469823</v>
      </c>
      <c r="O550">
        <v>0.10600921316637794</v>
      </c>
      <c r="P550">
        <v>16.34640577662822</v>
      </c>
      <c r="Q550">
        <v>13.132430782241908</v>
      </c>
      <c r="R550">
        <v>0.39516255276922624</v>
      </c>
      <c r="S550">
        <v>0.12223044268766028</v>
      </c>
      <c r="T550">
        <v>16.35017622230119</v>
      </c>
      <c r="U550">
        <v>1537.063287184749</v>
      </c>
      <c r="V550">
        <v>10.378822601772981</v>
      </c>
      <c r="W550">
        <v>1298.0599414446963</v>
      </c>
      <c r="X550">
        <v>7.6567382766656262</v>
      </c>
      <c r="Y550">
        <v>2913.028336263807</v>
      </c>
      <c r="Z550">
        <v>10.427155484713245</v>
      </c>
      <c r="AA550">
        <v>2751.0895853263901</v>
      </c>
      <c r="AB550">
        <v>7.6850058174576992</v>
      </c>
      <c r="AC550">
        <v>2218.0011481299921</v>
      </c>
      <c r="AD550">
        <v>10.415038250613343</v>
      </c>
      <c r="AE550">
        <v>2028.7977209549522</v>
      </c>
      <c r="AF550">
        <v>7.6779266775820316</v>
      </c>
      <c r="AG550">
        <v>2155.3554033556411</v>
      </c>
      <c r="AH550">
        <v>10.398507375627235</v>
      </c>
      <c r="AI550">
        <v>1939.4121783462776</v>
      </c>
      <c r="AJ550">
        <v>7.6682607842700072</v>
      </c>
    </row>
    <row r="551" spans="4:36" x14ac:dyDescent="0.55000000000000004">
      <c r="D551">
        <v>544</v>
      </c>
      <c r="E551">
        <v>12.361086489186807</v>
      </c>
      <c r="F551">
        <v>0.45251349482506642</v>
      </c>
      <c r="G551">
        <v>0.1651363818978642</v>
      </c>
      <c r="H551">
        <v>17.021263634090271</v>
      </c>
      <c r="I551">
        <v>12.548655489166034</v>
      </c>
      <c r="J551">
        <v>0.31073603040501269</v>
      </c>
      <c r="K551">
        <v>0.11308203789905989</v>
      </c>
      <c r="L551">
        <v>17.027526442529883</v>
      </c>
      <c r="M551">
        <v>12.468510232934443</v>
      </c>
      <c r="N551">
        <v>0.37133870262049745</v>
      </c>
      <c r="O551">
        <v>0.13529665754341799</v>
      </c>
      <c r="P551">
        <v>17.024854406901639</v>
      </c>
      <c r="Q551">
        <v>12.454461652486222</v>
      </c>
      <c r="R551">
        <v>0.38195809726890506</v>
      </c>
      <c r="S551">
        <v>0.13919482858353738</v>
      </c>
      <c r="T551">
        <v>17.024385421661332</v>
      </c>
      <c r="U551">
        <v>1540.8971868917031</v>
      </c>
      <c r="V551">
        <v>9.8064517984968926</v>
      </c>
      <c r="W551">
        <v>1302.1996107721698</v>
      </c>
      <c r="X551">
        <v>7.3046664614656835</v>
      </c>
      <c r="Y551">
        <v>2931.2502596407871</v>
      </c>
      <c r="Z551">
        <v>9.838743424004134</v>
      </c>
      <c r="AA551">
        <v>2764.8474147061766</v>
      </c>
      <c r="AB551">
        <v>7.3243308420500872</v>
      </c>
      <c r="AC551">
        <v>2237.2060189884278</v>
      </c>
      <c r="AD551">
        <v>9.8249440150923366</v>
      </c>
      <c r="AE551">
        <v>2041.6768310747304</v>
      </c>
      <c r="AF551">
        <v>7.3159353218207439</v>
      </c>
      <c r="AG551">
        <v>2130.633308568044</v>
      </c>
      <c r="AH551">
        <v>9.8225253925472664</v>
      </c>
      <c r="AI551">
        <v>1923.0469199685274</v>
      </c>
      <c r="AJ551">
        <v>7.314462645625726</v>
      </c>
    </row>
    <row r="552" spans="4:36" x14ac:dyDescent="0.55000000000000004">
      <c r="D552">
        <v>545</v>
      </c>
      <c r="E552">
        <v>13.871337337254353</v>
      </c>
      <c r="F552">
        <v>0.46103165029244575</v>
      </c>
      <c r="G552">
        <v>0.16479355513389629</v>
      </c>
      <c r="H552">
        <v>15.502837457319282</v>
      </c>
      <c r="I552">
        <v>14.122398208776275</v>
      </c>
      <c r="J552">
        <v>0.30097308523980143</v>
      </c>
      <c r="K552">
        <v>0.107201909183561</v>
      </c>
      <c r="L552">
        <v>15.469426796800361</v>
      </c>
      <c r="M552">
        <v>14.018869789872788</v>
      </c>
      <c r="N552">
        <v>0.36702661739309544</v>
      </c>
      <c r="O552">
        <v>0.13091890773392517</v>
      </c>
      <c r="P552">
        <v>15.483184685000193</v>
      </c>
      <c r="Q552">
        <v>13.980346714508205</v>
      </c>
      <c r="R552">
        <v>0.39158696516511859</v>
      </c>
      <c r="S552">
        <v>0.13975535875940398</v>
      </c>
      <c r="T552">
        <v>15.488310961567278</v>
      </c>
      <c r="U552">
        <v>1586.3025733874849</v>
      </c>
      <c r="V552">
        <v>11.060347984300378</v>
      </c>
      <c r="W552">
        <v>1329.6026389281317</v>
      </c>
      <c r="X552">
        <v>8.064789414349093</v>
      </c>
      <c r="Y552">
        <v>2932.3026960334328</v>
      </c>
      <c r="Z552">
        <v>11.130016536406398</v>
      </c>
      <c r="AA552">
        <v>2762.4563258832854</v>
      </c>
      <c r="AB552">
        <v>8.1045335516515866</v>
      </c>
      <c r="AC552">
        <v>2273.9600774530122</v>
      </c>
      <c r="AD552">
        <v>11.101299642881484</v>
      </c>
      <c r="AE552">
        <v>2064.5197032510468</v>
      </c>
      <c r="AF552">
        <v>8.0881654096421425</v>
      </c>
      <c r="AG552">
        <v>2187.1849565757148</v>
      </c>
      <c r="AH552">
        <v>11.090609798322271</v>
      </c>
      <c r="AI552">
        <v>1958.8965019491388</v>
      </c>
      <c r="AJ552">
        <v>8.0820673448657967</v>
      </c>
    </row>
    <row r="553" spans="4:36" x14ac:dyDescent="0.55000000000000004">
      <c r="D553">
        <v>546</v>
      </c>
      <c r="E553">
        <v>10.257254308671536</v>
      </c>
      <c r="F553">
        <v>0.37230754451305625</v>
      </c>
      <c r="G553">
        <v>0.13976787074539768</v>
      </c>
      <c r="H553">
        <v>19.230670276069993</v>
      </c>
      <c r="I553">
        <v>10.411771909474336</v>
      </c>
      <c r="J553">
        <v>0.24450314014335489</v>
      </c>
      <c r="K553">
        <v>9.154005257701274E-2</v>
      </c>
      <c r="L553">
        <v>19.252184897805289</v>
      </c>
      <c r="M553">
        <v>10.358155206893839</v>
      </c>
      <c r="N553">
        <v>0.28886267593977716</v>
      </c>
      <c r="O553">
        <v>0.1082494424563325</v>
      </c>
      <c r="P553">
        <v>19.244732674710054</v>
      </c>
      <c r="Q553">
        <v>10.309843854577467</v>
      </c>
      <c r="R553">
        <v>0.32882181294512297</v>
      </c>
      <c r="S553">
        <v>0.12332849449136953</v>
      </c>
      <c r="T553">
        <v>19.238005837986037</v>
      </c>
      <c r="U553">
        <v>1386.2820493715781</v>
      </c>
      <c r="V553">
        <v>8.1169445466655219</v>
      </c>
      <c r="W553">
        <v>1210.4236191612456</v>
      </c>
      <c r="X553">
        <v>6.2679667713799105</v>
      </c>
      <c r="Y553">
        <v>2812.0771691076216</v>
      </c>
      <c r="Z553">
        <v>8.1340243134341961</v>
      </c>
      <c r="AA553">
        <v>2693.1432585357102</v>
      </c>
      <c r="AB553">
        <v>6.2798870327698459</v>
      </c>
      <c r="AC553">
        <v>2089.1769524204692</v>
      </c>
      <c r="AD553">
        <v>8.1280901555317548</v>
      </c>
      <c r="AE553">
        <v>1951.4712869631117</v>
      </c>
      <c r="AF553">
        <v>6.2757526136278301</v>
      </c>
      <c r="AG553">
        <v>2007.8971642116724</v>
      </c>
      <c r="AH553">
        <v>8.1227500616720452</v>
      </c>
      <c r="AI553">
        <v>1851.0832796211389</v>
      </c>
      <c r="AJ553">
        <v>6.2720256228455797</v>
      </c>
    </row>
    <row r="554" spans="4:36" x14ac:dyDescent="0.55000000000000004">
      <c r="D554">
        <v>547</v>
      </c>
      <c r="E554">
        <v>12.534208456612767</v>
      </c>
      <c r="F554">
        <v>0.49011574588109108</v>
      </c>
      <c r="G554">
        <v>0.18804555659220137</v>
      </c>
      <c r="H554">
        <v>16.787630240913941</v>
      </c>
      <c r="I554">
        <v>12.768380023018269</v>
      </c>
      <c r="J554">
        <v>0.30654505547420863</v>
      </c>
      <c r="K554">
        <v>0.11722167410179463</v>
      </c>
      <c r="L554">
        <v>16.807853247405731</v>
      </c>
      <c r="M554">
        <v>12.66557918157817</v>
      </c>
      <c r="N554">
        <v>0.38716517257257549</v>
      </c>
      <c r="O554">
        <v>0.1482668476853318</v>
      </c>
      <c r="P554">
        <v>16.798988798163929</v>
      </c>
      <c r="Q554">
        <v>12.634790021260793</v>
      </c>
      <c r="R554">
        <v>0.41130113910108201</v>
      </c>
      <c r="S554">
        <v>0.15757903935886791</v>
      </c>
      <c r="T554">
        <v>16.796329800279274</v>
      </c>
      <c r="U554">
        <v>1551.1569702069173</v>
      </c>
      <c r="V554">
        <v>9.9873030567895338</v>
      </c>
      <c r="W554">
        <v>1305.272230691761</v>
      </c>
      <c r="X554">
        <v>7.4121285307765241</v>
      </c>
      <c r="Y554">
        <v>2890.9287000359059</v>
      </c>
      <c r="Z554">
        <v>10.017576651368216</v>
      </c>
      <c r="AA554">
        <v>2734.1982918597614</v>
      </c>
      <c r="AB554">
        <v>7.431137315984663</v>
      </c>
      <c r="AC554">
        <v>2252.9768729326752</v>
      </c>
      <c r="AD554">
        <v>10.004278793909453</v>
      </c>
      <c r="AE554">
        <v>2050.9725046260264</v>
      </c>
      <c r="AF554">
        <v>7.422798352757801</v>
      </c>
      <c r="AG554">
        <v>2143.4516293745046</v>
      </c>
      <c r="AH554">
        <v>10.000298415760877</v>
      </c>
      <c r="AI554">
        <v>1928.8959033722094</v>
      </c>
      <c r="AJ554">
        <v>7.4202990341094628</v>
      </c>
    </row>
    <row r="555" spans="4:36" x14ac:dyDescent="0.55000000000000004">
      <c r="D555">
        <v>548</v>
      </c>
      <c r="E555">
        <v>12.022908906868837</v>
      </c>
      <c r="F555">
        <v>0.46321724601003289</v>
      </c>
      <c r="G555">
        <v>0.17999856202365574</v>
      </c>
      <c r="H555">
        <v>17.333875285097491</v>
      </c>
      <c r="I555">
        <v>12.226521675650581</v>
      </c>
      <c r="J555">
        <v>0.29772924386343752</v>
      </c>
      <c r="K555">
        <v>0.11535284430448822</v>
      </c>
      <c r="L555">
        <v>17.360396236181479</v>
      </c>
      <c r="M555">
        <v>12.129239627066848</v>
      </c>
      <c r="N555">
        <v>0.37681902811134338</v>
      </c>
      <c r="O555">
        <v>0.14620015492310737</v>
      </c>
      <c r="P555">
        <v>17.347741189898702</v>
      </c>
      <c r="Q555">
        <v>12.121581179766432</v>
      </c>
      <c r="R555">
        <v>0.38304352635571776</v>
      </c>
      <c r="S555">
        <v>0.14863161001421155</v>
      </c>
      <c r="T555">
        <v>17.346743683863643</v>
      </c>
      <c r="U555">
        <v>1544.6451571860989</v>
      </c>
      <c r="V555">
        <v>9.5459170389670582</v>
      </c>
      <c r="W555">
        <v>1308.7491970363455</v>
      </c>
      <c r="X555">
        <v>7.1435962214356357</v>
      </c>
      <c r="Y555">
        <v>2878.9847465275516</v>
      </c>
      <c r="Z555">
        <v>9.5695797217335574</v>
      </c>
      <c r="AA555">
        <v>2729.8430893987547</v>
      </c>
      <c r="AB555">
        <v>7.159005135592742</v>
      </c>
      <c r="AC555">
        <v>2222.307911913148</v>
      </c>
      <c r="AD555">
        <v>9.5582651915068819</v>
      </c>
      <c r="AE555">
        <v>2033.7745781629719</v>
      </c>
      <c r="AF555">
        <v>7.1516464369066739</v>
      </c>
      <c r="AG555">
        <v>2107.2039672736523</v>
      </c>
      <c r="AH555">
        <v>9.557375159769828</v>
      </c>
      <c r="AI555">
        <v>1909.2934344096288</v>
      </c>
      <c r="AJ555">
        <v>7.1510668693459234</v>
      </c>
    </row>
    <row r="556" spans="4:36" x14ac:dyDescent="0.55000000000000004">
      <c r="D556">
        <v>549</v>
      </c>
      <c r="E556">
        <v>13.086787575500841</v>
      </c>
      <c r="F556">
        <v>0.48478759873102212</v>
      </c>
      <c r="G556">
        <v>0.18691009293886507</v>
      </c>
      <c r="H556">
        <v>16.24151473282927</v>
      </c>
      <c r="I556">
        <v>13.318203476034576</v>
      </c>
      <c r="J556">
        <v>0.31648061370885949</v>
      </c>
      <c r="K556">
        <v>0.12161932377172963</v>
      </c>
      <c r="L556">
        <v>16.243696586484834</v>
      </c>
      <c r="M556">
        <v>13.247155134106039</v>
      </c>
      <c r="N556">
        <v>0.36818603976664416</v>
      </c>
      <c r="O556">
        <v>0.14163098880056774</v>
      </c>
      <c r="P556">
        <v>16.243027837326746</v>
      </c>
      <c r="Q556">
        <v>13.216644445617872</v>
      </c>
      <c r="R556">
        <v>0.39038138790040261</v>
      </c>
      <c r="S556">
        <v>0.15023381555444382</v>
      </c>
      <c r="T556">
        <v>16.242740350927281</v>
      </c>
      <c r="U556">
        <v>1582.7982157676504</v>
      </c>
      <c r="V556">
        <v>10.459374230094124</v>
      </c>
      <c r="W556">
        <v>1326.4972714604587</v>
      </c>
      <c r="X556">
        <v>7.7025284615563443</v>
      </c>
      <c r="Y556">
        <v>2924.2968212844989</v>
      </c>
      <c r="Z556">
        <v>10.500941055182368</v>
      </c>
      <c r="AA556">
        <v>2756.3011272637191</v>
      </c>
      <c r="AB556">
        <v>7.727329674015059</v>
      </c>
      <c r="AC556">
        <v>2258.6672226298269</v>
      </c>
      <c r="AD556">
        <v>10.488178918317049</v>
      </c>
      <c r="AE556">
        <v>2054.3961829727086</v>
      </c>
      <c r="AF556">
        <v>7.7197242312847205</v>
      </c>
      <c r="AG556">
        <v>2143.5865763686106</v>
      </c>
      <c r="AH556">
        <v>10.482698527842254</v>
      </c>
      <c r="AI556">
        <v>1928.2140980599584</v>
      </c>
      <c r="AJ556">
        <v>7.7164557711218471</v>
      </c>
    </row>
    <row r="557" spans="4:36" x14ac:dyDescent="0.55000000000000004">
      <c r="D557">
        <v>550</v>
      </c>
      <c r="E557">
        <v>13.28434166621812</v>
      </c>
      <c r="F557">
        <v>0.44589769333661211</v>
      </c>
      <c r="G557">
        <v>0.15572409715665436</v>
      </c>
      <c r="H557">
        <v>16.11403654328862</v>
      </c>
      <c r="I557">
        <v>13.553599977549741</v>
      </c>
      <c r="J557">
        <v>0.27445585706026798</v>
      </c>
      <c r="K557">
        <v>9.5483900666662472E-2</v>
      </c>
      <c r="L557">
        <v>16.076460264723316</v>
      </c>
      <c r="M557">
        <v>13.423249013836772</v>
      </c>
      <c r="N557">
        <v>0.35751519183343944</v>
      </c>
      <c r="O557">
        <v>0.12461022917576169</v>
      </c>
      <c r="P557">
        <v>16.094625565154029</v>
      </c>
      <c r="Q557">
        <v>13.385579543835862</v>
      </c>
      <c r="R557">
        <v>0.38149634654660164</v>
      </c>
      <c r="S557">
        <v>0.13304006012445596</v>
      </c>
      <c r="T557">
        <v>16.099884049493088</v>
      </c>
      <c r="U557">
        <v>1539.8162308628816</v>
      </c>
      <c r="V557">
        <v>10.612856789468253</v>
      </c>
      <c r="W557">
        <v>1302.4332461159095</v>
      </c>
      <c r="X557">
        <v>7.8044791902011603</v>
      </c>
      <c r="Y557">
        <v>2903.3651603602698</v>
      </c>
      <c r="Z557">
        <v>10.689696916279106</v>
      </c>
      <c r="AA557">
        <v>2746.9365190817903</v>
      </c>
      <c r="AB557">
        <v>7.8487784219869834</v>
      </c>
      <c r="AC557">
        <v>2230.0017933867348</v>
      </c>
      <c r="AD557">
        <v>10.65251151159684</v>
      </c>
      <c r="AE557">
        <v>2037.7168144688326</v>
      </c>
      <c r="AF557">
        <v>7.8273594680254632</v>
      </c>
      <c r="AG557">
        <v>2138.9679056258833</v>
      </c>
      <c r="AH557">
        <v>10.641760695160317</v>
      </c>
      <c r="AI557">
        <v>1929.4333691418176</v>
      </c>
      <c r="AJ557">
        <v>7.8211603847867011</v>
      </c>
    </row>
    <row r="558" spans="4:36" x14ac:dyDescent="0.55000000000000004">
      <c r="D558">
        <v>551</v>
      </c>
      <c r="E558">
        <v>12.815153225635475</v>
      </c>
      <c r="F558">
        <v>0.4650429556307632</v>
      </c>
      <c r="G558">
        <v>0.16647611515852342</v>
      </c>
      <c r="H558">
        <v>16.553327703575231</v>
      </c>
      <c r="I558">
        <v>13.025670530340243</v>
      </c>
      <c r="J558">
        <v>0.30703487610740388</v>
      </c>
      <c r="K558">
        <v>0.10959392339089914</v>
      </c>
      <c r="L558">
        <v>16.557700670161463</v>
      </c>
      <c r="M558">
        <v>12.910839482166667</v>
      </c>
      <c r="N558">
        <v>0.39325338897630135</v>
      </c>
      <c r="O558">
        <v>0.14059066241674401</v>
      </c>
      <c r="P558">
        <v>16.555316466440299</v>
      </c>
      <c r="Q558">
        <v>12.876327986714672</v>
      </c>
      <c r="R558">
        <v>0.41915172241736898</v>
      </c>
      <c r="S558">
        <v>0.14992090234518754</v>
      </c>
      <c r="T558">
        <v>16.554599388522764</v>
      </c>
      <c r="U558">
        <v>1585.5956570704911</v>
      </c>
      <c r="V558">
        <v>10.171079696855829</v>
      </c>
      <c r="W558">
        <v>1332.1341999465346</v>
      </c>
      <c r="X558">
        <v>7.5231941947791316</v>
      </c>
      <c r="Y558">
        <v>2936.657283913939</v>
      </c>
      <c r="Z558">
        <v>10.207337557005678</v>
      </c>
      <c r="AA558">
        <v>2767.5442027087906</v>
      </c>
      <c r="AB558">
        <v>7.5449975719157294</v>
      </c>
      <c r="AC558">
        <v>2255.1712910015372</v>
      </c>
      <c r="AD558">
        <v>10.187559049526715</v>
      </c>
      <c r="AE558">
        <v>2051.3429346943421</v>
      </c>
      <c r="AF558">
        <v>7.5331128988548217</v>
      </c>
      <c r="AG558">
        <v>2161.163095816712</v>
      </c>
      <c r="AH558">
        <v>10.181615210013319</v>
      </c>
      <c r="AI558">
        <v>1940.6326608923418</v>
      </c>
      <c r="AJ558">
        <v>7.5295371169939589</v>
      </c>
    </row>
    <row r="559" spans="4:36" x14ac:dyDescent="0.55000000000000004">
      <c r="D559">
        <v>552</v>
      </c>
      <c r="E559">
        <v>11.791700606966744</v>
      </c>
      <c r="F559">
        <v>0.41835668726913722</v>
      </c>
      <c r="G559">
        <v>0.17010111540989989</v>
      </c>
      <c r="H559">
        <v>17.619841590354213</v>
      </c>
      <c r="I559">
        <v>11.980027786786618</v>
      </c>
      <c r="J559">
        <v>0.27410305715791139</v>
      </c>
      <c r="K559">
        <v>0.11111629300126369</v>
      </c>
      <c r="L559">
        <v>17.634752863054207</v>
      </c>
      <c r="M559">
        <v>11.888941412282431</v>
      </c>
      <c r="N559">
        <v>0.34389672244946534</v>
      </c>
      <c r="O559">
        <v>0.13961012376531651</v>
      </c>
      <c r="P559">
        <v>17.627551741502799</v>
      </c>
      <c r="Q559">
        <v>11.849502480224826</v>
      </c>
      <c r="R559">
        <v>0.37410238536589341</v>
      </c>
      <c r="S559">
        <v>0.15196766360816374</v>
      </c>
      <c r="T559">
        <v>17.624427470801102</v>
      </c>
      <c r="U559">
        <v>1510.1236639496801</v>
      </c>
      <c r="V559">
        <v>9.3749936431555092</v>
      </c>
      <c r="W559">
        <v>1286.1824642644831</v>
      </c>
      <c r="X559">
        <v>7.0467469964684328</v>
      </c>
      <c r="Y559">
        <v>2872.4179660012064</v>
      </c>
      <c r="Z559">
        <v>9.4021889716397968</v>
      </c>
      <c r="AA559">
        <v>2726.6835816818307</v>
      </c>
      <c r="AB559">
        <v>7.0640159436023984</v>
      </c>
      <c r="AC559">
        <v>2200.7822516541696</v>
      </c>
      <c r="AD559">
        <v>9.3890296844848233</v>
      </c>
      <c r="AE559">
        <v>2020.0503236275028</v>
      </c>
      <c r="AF559">
        <v>7.0556686219566567</v>
      </c>
      <c r="AG559">
        <v>2086.4713882138017</v>
      </c>
      <c r="AH559">
        <v>9.3833353963514909</v>
      </c>
      <c r="AI559">
        <v>1894.0892161931515</v>
      </c>
      <c r="AJ559">
        <v>7.0520514793452831</v>
      </c>
    </row>
    <row r="560" spans="4:36" x14ac:dyDescent="0.55000000000000004">
      <c r="D560">
        <v>553</v>
      </c>
      <c r="E560">
        <v>12.786519979357273</v>
      </c>
      <c r="F560">
        <v>0.45276039739616708</v>
      </c>
      <c r="G560">
        <v>0.16699849637277259</v>
      </c>
      <c r="H560">
        <v>16.593721126873781</v>
      </c>
      <c r="I560">
        <v>12.976775780397206</v>
      </c>
      <c r="J560">
        <v>0.30868215606493221</v>
      </c>
      <c r="K560">
        <v>0.1135374796719763</v>
      </c>
      <c r="L560">
        <v>16.601004583865894</v>
      </c>
      <c r="M560">
        <v>12.914195683879564</v>
      </c>
      <c r="N560">
        <v>0.35609439631644602</v>
      </c>
      <c r="O560">
        <v>0.13109656178135293</v>
      </c>
      <c r="P560">
        <v>16.598613358022615</v>
      </c>
      <c r="Q560">
        <v>12.856414382882738</v>
      </c>
      <c r="R560">
        <v>0.39985258853697642</v>
      </c>
      <c r="S560">
        <v>0.14733143120794115</v>
      </c>
      <c r="T560">
        <v>16.596401597372353</v>
      </c>
      <c r="U560">
        <v>1565.7973297321003</v>
      </c>
      <c r="V560">
        <v>10.155016722091045</v>
      </c>
      <c r="W560">
        <v>1319.6095546604533</v>
      </c>
      <c r="X560">
        <v>7.5165046863755025</v>
      </c>
      <c r="Y560">
        <v>2912.431677062501</v>
      </c>
      <c r="Z560">
        <v>10.189925478958306</v>
      </c>
      <c r="AA560">
        <v>2750.2455735682174</v>
      </c>
      <c r="AB560">
        <v>7.5377700079642613</v>
      </c>
      <c r="AC560">
        <v>2229.6681196403119</v>
      </c>
      <c r="AD560">
        <v>10.178440336674067</v>
      </c>
      <c r="AE560">
        <v>2036.4033571556965</v>
      </c>
      <c r="AF560">
        <v>7.5307812081800707</v>
      </c>
      <c r="AG560">
        <v>2159.7909879088111</v>
      </c>
      <c r="AH560">
        <v>10.167838282792845</v>
      </c>
      <c r="AI560">
        <v>1942.2776080688734</v>
      </c>
      <c r="AJ560">
        <v>7.5243231912204172</v>
      </c>
    </row>
    <row r="561" spans="4:36" x14ac:dyDescent="0.55000000000000004">
      <c r="D561">
        <v>554</v>
      </c>
      <c r="E561">
        <v>11.300136796745523</v>
      </c>
      <c r="F561">
        <v>0.42904426321952521</v>
      </c>
      <c r="G561">
        <v>0.17285197612435088</v>
      </c>
      <c r="H561">
        <v>18.097966963910597</v>
      </c>
      <c r="I561">
        <v>11.490729263878059</v>
      </c>
      <c r="J561">
        <v>0.2741127624169345</v>
      </c>
      <c r="K561">
        <v>0.11010327476581437</v>
      </c>
      <c r="L561">
        <v>18.125054698939195</v>
      </c>
      <c r="M561">
        <v>11.419844165821706</v>
      </c>
      <c r="N561">
        <v>0.33175433456333381</v>
      </c>
      <c r="O561">
        <v>0.13340421021581389</v>
      </c>
      <c r="P561">
        <v>18.114997289399156</v>
      </c>
      <c r="Q561">
        <v>11.378710194077003</v>
      </c>
      <c r="R561">
        <v>0.36519265825115688</v>
      </c>
      <c r="S561">
        <v>0.14694531076321335</v>
      </c>
      <c r="T561">
        <v>18.109151836908641</v>
      </c>
      <c r="U561">
        <v>1472.6238032365784</v>
      </c>
      <c r="V561">
        <v>8.9527937968015294</v>
      </c>
      <c r="W561">
        <v>1262.8733158518874</v>
      </c>
      <c r="X561">
        <v>6.7813101716017155</v>
      </c>
      <c r="Y561">
        <v>2857.6255513148021</v>
      </c>
      <c r="Z561">
        <v>8.9740900676860349</v>
      </c>
      <c r="AA561">
        <v>2719.4557484620482</v>
      </c>
      <c r="AB561">
        <v>6.795699584225785</v>
      </c>
      <c r="AC561">
        <v>2137.770759572375</v>
      </c>
      <c r="AD561">
        <v>8.966159553093636</v>
      </c>
      <c r="AE561">
        <v>1978.09524251378</v>
      </c>
      <c r="AF561">
        <v>6.790350250334968</v>
      </c>
      <c r="AG561">
        <v>2038.7761400390293</v>
      </c>
      <c r="AH561">
        <v>8.9615629668754249</v>
      </c>
      <c r="AI561">
        <v>1863.8424163721761</v>
      </c>
      <c r="AJ561">
        <v>6.7872447989387208</v>
      </c>
    </row>
    <row r="562" spans="4:36" x14ac:dyDescent="0.55000000000000004">
      <c r="D562">
        <v>555</v>
      </c>
      <c r="E562">
        <v>13.096286749341662</v>
      </c>
      <c r="F562">
        <v>0.47822728132498493</v>
      </c>
      <c r="G562">
        <v>0.13875235148346826</v>
      </c>
      <c r="H562">
        <v>16.286733617849901</v>
      </c>
      <c r="I562">
        <v>13.310241906128244</v>
      </c>
      <c r="J562">
        <v>0.31734705785216422</v>
      </c>
      <c r="K562">
        <v>9.1812479789292412E-2</v>
      </c>
      <c r="L562">
        <v>16.280598556230306</v>
      </c>
      <c r="M562">
        <v>13.216677891891214</v>
      </c>
      <c r="N562">
        <v>0.38773093843855427</v>
      </c>
      <c r="O562">
        <v>0.11231489708022274</v>
      </c>
      <c r="P562">
        <v>16.283276272589998</v>
      </c>
      <c r="Q562">
        <v>13.166042859332014</v>
      </c>
      <c r="R562">
        <v>0.42580200632833448</v>
      </c>
      <c r="S562">
        <v>0.12342638091951424</v>
      </c>
      <c r="T562">
        <v>16.284728753420129</v>
      </c>
      <c r="U562">
        <v>1536.0925294959604</v>
      </c>
      <c r="V562">
        <v>10.347684983282557</v>
      </c>
      <c r="W562">
        <v>1297.3719146043229</v>
      </c>
      <c r="X562">
        <v>7.6259551954426952</v>
      </c>
      <c r="Y562">
        <v>2930.3455734042873</v>
      </c>
      <c r="Z562">
        <v>10.393017245611594</v>
      </c>
      <c r="AA562">
        <v>2764.0190968705956</v>
      </c>
      <c r="AB562">
        <v>7.6526208634431701</v>
      </c>
      <c r="AC562">
        <v>2259.5832787687077</v>
      </c>
      <c r="AD562">
        <v>10.373196019961714</v>
      </c>
      <c r="AE562">
        <v>2057.5597427364373</v>
      </c>
      <c r="AF562">
        <v>7.6409713012789524</v>
      </c>
      <c r="AG562">
        <v>2126.1427389369151</v>
      </c>
      <c r="AH562">
        <v>10.36246729862108</v>
      </c>
      <c r="AI562">
        <v>1916.9033394378557</v>
      </c>
      <c r="AJ562">
        <v>7.6346593450985374</v>
      </c>
    </row>
    <row r="563" spans="4:36" x14ac:dyDescent="0.55000000000000004">
      <c r="D563">
        <v>556</v>
      </c>
      <c r="E563">
        <v>10.982808579003224</v>
      </c>
      <c r="F563">
        <v>0.4060895342468579</v>
      </c>
      <c r="G563">
        <v>0.15393066890967516</v>
      </c>
      <c r="H563">
        <v>18.457171217840244</v>
      </c>
      <c r="I563">
        <v>11.156639781832038</v>
      </c>
      <c r="J563">
        <v>0.26605883791783491</v>
      </c>
      <c r="K563">
        <v>0.10057121494303102</v>
      </c>
      <c r="L563">
        <v>18.47673016530711</v>
      </c>
      <c r="M563">
        <v>11.078044077562554</v>
      </c>
      <c r="N563">
        <v>0.32939007973954976</v>
      </c>
      <c r="O563">
        <v>0.12466673483785044</v>
      </c>
      <c r="P563">
        <v>18.467899107860053</v>
      </c>
      <c r="Q563">
        <v>11.074344339551949</v>
      </c>
      <c r="R563">
        <v>0.33237054233089214</v>
      </c>
      <c r="S563">
        <v>0.12580221276685666</v>
      </c>
      <c r="T563">
        <v>18.467482905350291</v>
      </c>
      <c r="U563">
        <v>1485.8311303139467</v>
      </c>
      <c r="V563">
        <v>8.6780803401274209</v>
      </c>
      <c r="W563">
        <v>1277.2887956268607</v>
      </c>
      <c r="X563">
        <v>6.6129652927888474</v>
      </c>
      <c r="Y563">
        <v>2838.2571999976185</v>
      </c>
      <c r="Z563">
        <v>8.7009235807243268</v>
      </c>
      <c r="AA563">
        <v>2706.821349987948</v>
      </c>
      <c r="AB563">
        <v>6.6280517472055029</v>
      </c>
      <c r="AC563">
        <v>2152.2785181873851</v>
      </c>
      <c r="AD563">
        <v>8.6905880391986763</v>
      </c>
      <c r="AE563">
        <v>1991.0925395607576</v>
      </c>
      <c r="AF563">
        <v>6.6212343414854145</v>
      </c>
      <c r="AG563">
        <v>2039.6985294886317</v>
      </c>
      <c r="AH563">
        <v>8.6901018074100751</v>
      </c>
      <c r="AI563">
        <v>1869.2838819146755</v>
      </c>
      <c r="AJ563">
        <v>6.6209132736177203</v>
      </c>
    </row>
    <row r="564" spans="4:36" x14ac:dyDescent="0.55000000000000004">
      <c r="D564">
        <v>557</v>
      </c>
      <c r="E564">
        <v>13.150670493199305</v>
      </c>
      <c r="F564">
        <v>0.46200679572210057</v>
      </c>
      <c r="G564">
        <v>0.15080479638923844</v>
      </c>
      <c r="H564">
        <v>16.236517914689362</v>
      </c>
      <c r="I564">
        <v>13.37102995379046</v>
      </c>
      <c r="J564">
        <v>0.30547637561188773</v>
      </c>
      <c r="K564">
        <v>9.9408344331224599E-2</v>
      </c>
      <c r="L564">
        <v>16.22408532626643</v>
      </c>
      <c r="M564">
        <v>13.249927527660457</v>
      </c>
      <c r="N564">
        <v>0.39153625779411877</v>
      </c>
      <c r="O564">
        <v>0.12762660483702182</v>
      </c>
      <c r="P564">
        <v>16.230909609708419</v>
      </c>
      <c r="Q564">
        <v>13.209656750047721</v>
      </c>
      <c r="R564">
        <v>0.42013483690973702</v>
      </c>
      <c r="S564">
        <v>0.13702503291465606</v>
      </c>
      <c r="T564">
        <v>16.233183380127876</v>
      </c>
      <c r="U564">
        <v>1562.0286648612496</v>
      </c>
      <c r="V564">
        <v>10.437075362359032</v>
      </c>
      <c r="W564">
        <v>1314.6163466036317</v>
      </c>
      <c r="X564">
        <v>7.6862317583530517</v>
      </c>
      <c r="Y564">
        <v>2908.1823112866618</v>
      </c>
      <c r="Z564">
        <v>10.486365283621293</v>
      </c>
      <c r="AA564">
        <v>2746.3939415630321</v>
      </c>
      <c r="AB564">
        <v>7.7150205212012857</v>
      </c>
      <c r="AC564">
        <v>2268.8784729932668</v>
      </c>
      <c r="AD564">
        <v>10.459281830036435</v>
      </c>
      <c r="AE564">
        <v>2061.5290821320496</v>
      </c>
      <c r="AF564">
        <v>7.6992125231370752</v>
      </c>
      <c r="AG564">
        <v>2161.548613617294</v>
      </c>
      <c r="AH564">
        <v>10.450273106940241</v>
      </c>
      <c r="AI564">
        <v>1940.705064137429</v>
      </c>
      <c r="AJ564">
        <v>7.693948601111007</v>
      </c>
    </row>
    <row r="565" spans="4:36" x14ac:dyDescent="0.55000000000000004">
      <c r="D565">
        <v>558</v>
      </c>
      <c r="E565">
        <v>12.77554489403852</v>
      </c>
      <c r="F565">
        <v>0.51107048314973613</v>
      </c>
      <c r="G565">
        <v>0.18390534899733155</v>
      </c>
      <c r="H565">
        <v>16.529479273814424</v>
      </c>
      <c r="I565">
        <v>13.023790294010738</v>
      </c>
      <c r="J565">
        <v>0.31724060249032976</v>
      </c>
      <c r="K565">
        <v>0.11376739793743365</v>
      </c>
      <c r="L565">
        <v>16.54520170556151</v>
      </c>
      <c r="M565">
        <v>12.937301743172934</v>
      </c>
      <c r="N565">
        <v>0.38480492280642209</v>
      </c>
      <c r="O565">
        <v>0.13816059327830016</v>
      </c>
      <c r="P565">
        <v>16.539732740742345</v>
      </c>
      <c r="Q565">
        <v>12.884094502948248</v>
      </c>
      <c r="R565">
        <v>0.42635204177131641</v>
      </c>
      <c r="S565">
        <v>0.15318980522724279</v>
      </c>
      <c r="T565">
        <v>16.536363650053186</v>
      </c>
      <c r="U565">
        <v>1581.4094641969857</v>
      </c>
      <c r="V565">
        <v>10.145587142321428</v>
      </c>
      <c r="W565">
        <v>1326.7041972143804</v>
      </c>
      <c r="X565">
        <v>7.5026382447461657</v>
      </c>
      <c r="Y565">
        <v>2911.2682843488819</v>
      </c>
      <c r="Z565">
        <v>10.183532784337716</v>
      </c>
      <c r="AA565">
        <v>2748.7457786862815</v>
      </c>
      <c r="AB565">
        <v>7.5259718699647165</v>
      </c>
      <c r="AC565">
        <v>2256.4639400391497</v>
      </c>
      <c r="AD565">
        <v>10.170306864698571</v>
      </c>
      <c r="AE565">
        <v>2054.0812186885032</v>
      </c>
      <c r="AF565">
        <v>7.5178504849164387</v>
      </c>
      <c r="AG565">
        <v>2140.5371476978344</v>
      </c>
      <c r="AH565">
        <v>10.162173364481859</v>
      </c>
      <c r="AI565">
        <v>1925.8825966463639</v>
      </c>
      <c r="AJ565">
        <v>7.5128500100896458</v>
      </c>
    </row>
    <row r="566" spans="4:36" x14ac:dyDescent="0.55000000000000004">
      <c r="D566">
        <v>559</v>
      </c>
      <c r="E566">
        <v>13.470253768089401</v>
      </c>
      <c r="F566">
        <v>0.4971454133592661</v>
      </c>
      <c r="G566">
        <v>0.16493341370365569</v>
      </c>
      <c r="H566">
        <v>15.867667404847676</v>
      </c>
      <c r="I566">
        <v>13.689669912206536</v>
      </c>
      <c r="J566">
        <v>0.33698776717063267</v>
      </c>
      <c r="K566">
        <v>0.11149458874427244</v>
      </c>
      <c r="L566">
        <v>15.861847731878569</v>
      </c>
      <c r="M566">
        <v>13.610523311615244</v>
      </c>
      <c r="N566">
        <v>0.39478985746294309</v>
      </c>
      <c r="O566">
        <v>0.13074691839109465</v>
      </c>
      <c r="P566">
        <v>15.863939912530718</v>
      </c>
      <c r="Q566">
        <v>13.530686395260343</v>
      </c>
      <c r="R566">
        <v>0.45306085082506192</v>
      </c>
      <c r="S566">
        <v>0.15019436185178583</v>
      </c>
      <c r="T566">
        <v>15.866058392062818</v>
      </c>
      <c r="U566">
        <v>1592.8860669011983</v>
      </c>
      <c r="V566">
        <v>10.628625080248664</v>
      </c>
      <c r="W566">
        <v>1332.1516184474876</v>
      </c>
      <c r="X566">
        <v>7.7872754009575633</v>
      </c>
      <c r="Y566">
        <v>2956.9989300422471</v>
      </c>
      <c r="Z566">
        <v>10.673163689938027</v>
      </c>
      <c r="AA566">
        <v>2778.2455980830641</v>
      </c>
      <c r="AB566">
        <v>7.8131977349759092</v>
      </c>
      <c r="AC566">
        <v>2290.0437485432867</v>
      </c>
      <c r="AD566">
        <v>10.657101976212104</v>
      </c>
      <c r="AE566">
        <v>2074.7109209793643</v>
      </c>
      <c r="AF566">
        <v>7.8038579537482597</v>
      </c>
      <c r="AG566">
        <v>2171.5201897876013</v>
      </c>
      <c r="AH566">
        <v>10.640895597649573</v>
      </c>
      <c r="AI566">
        <v>1943.2871107924025</v>
      </c>
      <c r="AJ566">
        <v>7.7944244163114202</v>
      </c>
    </row>
    <row r="567" spans="4:36" x14ac:dyDescent="0.55000000000000004">
      <c r="D567">
        <v>560</v>
      </c>
      <c r="E567">
        <v>12.206831230280091</v>
      </c>
      <c r="F567">
        <v>0.4583897119354623</v>
      </c>
      <c r="G567">
        <v>0.19283934715469386</v>
      </c>
      <c r="H567">
        <v>17.141939710629746</v>
      </c>
      <c r="I567">
        <v>12.449041795081653</v>
      </c>
      <c r="J567">
        <v>0.27570090767008609</v>
      </c>
      <c r="K567">
        <v>0.11554786843555225</v>
      </c>
      <c r="L567">
        <v>17.159709428812715</v>
      </c>
      <c r="M567">
        <v>12.36412685728089</v>
      </c>
      <c r="N567">
        <v>0.33978520446893479</v>
      </c>
      <c r="O567">
        <v>0.14259328903657303</v>
      </c>
      <c r="P567">
        <v>17.153494649213592</v>
      </c>
      <c r="Q567">
        <v>12.319220763264571</v>
      </c>
      <c r="R567">
        <v>0.37365935637006192</v>
      </c>
      <c r="S567">
        <v>0.15691834077750083</v>
      </c>
      <c r="T567">
        <v>17.150201539587858</v>
      </c>
      <c r="U567">
        <v>1539.8898942408605</v>
      </c>
      <c r="V567">
        <v>9.6570208281364227</v>
      </c>
      <c r="W567">
        <v>1301.3195944226202</v>
      </c>
      <c r="X567">
        <v>7.2058005300103716</v>
      </c>
      <c r="Y567">
        <v>2887.9974420888311</v>
      </c>
      <c r="Z567">
        <v>9.6920489121782172</v>
      </c>
      <c r="AA567">
        <v>2735.8301506721818</v>
      </c>
      <c r="AB567">
        <v>7.2278374136327397</v>
      </c>
      <c r="AC567">
        <v>2201.0444795843086</v>
      </c>
      <c r="AD567">
        <v>9.6797601197621645</v>
      </c>
      <c r="AE567">
        <v>2017.6401193264894</v>
      </c>
      <c r="AF567">
        <v>7.2201186443772141</v>
      </c>
      <c r="AG567">
        <v>2095.5072276517785</v>
      </c>
      <c r="AH567">
        <v>9.6732650699278331</v>
      </c>
      <c r="AI567">
        <v>1897.76613073009</v>
      </c>
      <c r="AJ567">
        <v>7.2160336455636997</v>
      </c>
    </row>
    <row r="568" spans="4:36" x14ac:dyDescent="0.55000000000000004">
      <c r="D568">
        <v>561</v>
      </c>
      <c r="E568">
        <v>13.777588604291433</v>
      </c>
      <c r="F568">
        <v>0.54193521331569838</v>
      </c>
      <c r="G568">
        <v>0.19126734994806455</v>
      </c>
      <c r="H568">
        <v>15.489208832444795</v>
      </c>
      <c r="I568">
        <v>14.092891364705295</v>
      </c>
      <c r="J568">
        <v>0.32769279325866485</v>
      </c>
      <c r="K568">
        <v>0.11515232506732205</v>
      </c>
      <c r="L568">
        <v>15.464263516968716</v>
      </c>
      <c r="M568">
        <v>14.010988589031857</v>
      </c>
      <c r="N568">
        <v>0.38340347559317511</v>
      </c>
      <c r="O568">
        <v>0.13488034916501457</v>
      </c>
      <c r="P568">
        <v>15.470727586209939</v>
      </c>
      <c r="Q568">
        <v>13.926705256834053</v>
      </c>
      <c r="R568">
        <v>0.44069022553340298</v>
      </c>
      <c r="S568">
        <v>0.1552135323023128</v>
      </c>
      <c r="T568">
        <v>15.477390985330215</v>
      </c>
      <c r="U568">
        <v>1603.5515598409238</v>
      </c>
      <c r="V568">
        <v>10.955866499195695</v>
      </c>
      <c r="W568">
        <v>1335.2245849393162</v>
      </c>
      <c r="X568">
        <v>7.9865796547593115</v>
      </c>
      <c r="Y568">
        <v>2945.9356809627557</v>
      </c>
      <c r="Z568">
        <v>11.026004222237988</v>
      </c>
      <c r="AA568">
        <v>2769.6627378015905</v>
      </c>
      <c r="AB568">
        <v>8.0269117067886917</v>
      </c>
      <c r="AC568">
        <v>2279.9574582868004</v>
      </c>
      <c r="AD568">
        <v>11.007794692172457</v>
      </c>
      <c r="AE568">
        <v>2066.692619831284</v>
      </c>
      <c r="AF568">
        <v>8.0164552885250142</v>
      </c>
      <c r="AG568">
        <v>2202.9482624682728</v>
      </c>
      <c r="AH568">
        <v>10.989049049468562</v>
      </c>
      <c r="AI568">
        <v>1965.8485275187265</v>
      </c>
      <c r="AJ568">
        <v>8.0056802377851444</v>
      </c>
    </row>
    <row r="569" spans="4:36" x14ac:dyDescent="0.55000000000000004">
      <c r="D569">
        <v>562</v>
      </c>
      <c r="E569">
        <v>12.916600338560393</v>
      </c>
      <c r="F569">
        <v>0.43749041061691524</v>
      </c>
      <c r="G569">
        <v>0.14800426704525182</v>
      </c>
      <c r="H569">
        <v>16.497904983777442</v>
      </c>
      <c r="I569">
        <v>13.157993377872419</v>
      </c>
      <c r="J569">
        <v>0.2746570479183007</v>
      </c>
      <c r="K569">
        <v>9.2599131325010589E-2</v>
      </c>
      <c r="L569">
        <v>16.474750442884275</v>
      </c>
      <c r="M569">
        <v>13.085818429627755</v>
      </c>
      <c r="N569">
        <v>0.3233830116399628</v>
      </c>
      <c r="O569">
        <v>0.10913808533502349</v>
      </c>
      <c r="P569">
        <v>16.481660473397273</v>
      </c>
      <c r="Q569">
        <v>13.017305748465258</v>
      </c>
      <c r="R569">
        <v>0.36960520765254956</v>
      </c>
      <c r="S569">
        <v>0.12485892249414372</v>
      </c>
      <c r="T569">
        <v>16.488230121388057</v>
      </c>
      <c r="U569">
        <v>1545.3486084578508</v>
      </c>
      <c r="V569">
        <v>10.13676416073371</v>
      </c>
      <c r="W569">
        <v>1305.1764777155131</v>
      </c>
      <c r="X569">
        <v>7.4927029880032068</v>
      </c>
      <c r="Y569">
        <v>2911.8362714446012</v>
      </c>
      <c r="Z569">
        <v>10.192836065940796</v>
      </c>
      <c r="AA569">
        <v>2752.1652260785454</v>
      </c>
      <c r="AB569">
        <v>7.5252260572447707</v>
      </c>
      <c r="AC569">
        <v>2225.5500357997339</v>
      </c>
      <c r="AD569">
        <v>10.176078544791125</v>
      </c>
      <c r="AE569">
        <v>2035.5173687243698</v>
      </c>
      <c r="AF569">
        <v>7.51551719478622</v>
      </c>
      <c r="AG569">
        <v>2144.6407084618399</v>
      </c>
      <c r="AH569">
        <v>10.160165339084877</v>
      </c>
      <c r="AI569">
        <v>1932.9675465150578</v>
      </c>
      <c r="AJ569">
        <v>7.5062889351176807</v>
      </c>
    </row>
    <row r="570" spans="4:36" x14ac:dyDescent="0.55000000000000004">
      <c r="D570">
        <v>563</v>
      </c>
      <c r="E570">
        <v>12.812546109977902</v>
      </c>
      <c r="F570">
        <v>0.4680677834830802</v>
      </c>
      <c r="G570">
        <v>0.18518474680738828</v>
      </c>
      <c r="H570">
        <v>16.534201359731618</v>
      </c>
      <c r="I570">
        <v>13.046410310391346</v>
      </c>
      <c r="J570">
        <v>0.30044404469586494</v>
      </c>
      <c r="K570">
        <v>0.11846483221200323</v>
      </c>
      <c r="L570">
        <v>16.534680812700792</v>
      </c>
      <c r="M570">
        <v>12.959497750723916</v>
      </c>
      <c r="N570">
        <v>0.3627772222835785</v>
      </c>
      <c r="O570">
        <v>0.1432220205533884</v>
      </c>
      <c r="P570">
        <v>16.534503006439113</v>
      </c>
      <c r="Q570">
        <v>12.937175714452431</v>
      </c>
      <c r="R570">
        <v>0.37877923008724573</v>
      </c>
      <c r="S570">
        <v>0.14958778703543821</v>
      </c>
      <c r="T570">
        <v>16.534457268424902</v>
      </c>
      <c r="U570">
        <v>1561.3726085624962</v>
      </c>
      <c r="V570">
        <v>10.099857399227185</v>
      </c>
      <c r="W570">
        <v>1315.0798655985511</v>
      </c>
      <c r="X570">
        <v>7.4688458512442537</v>
      </c>
      <c r="Y570">
        <v>2909.5782453364241</v>
      </c>
      <c r="Z570">
        <v>10.140825316137928</v>
      </c>
      <c r="AA570">
        <v>2748.7236037018756</v>
      </c>
      <c r="AB570">
        <v>7.493285259756032</v>
      </c>
      <c r="AC570">
        <v>2223.5991568166414</v>
      </c>
      <c r="AD570">
        <v>10.12560052228152</v>
      </c>
      <c r="AE570">
        <v>2031.2896239898307</v>
      </c>
      <c r="AF570">
        <v>7.484213103979136</v>
      </c>
      <c r="AG570">
        <v>2124.1849571717567</v>
      </c>
      <c r="AH570">
        <v>10.121690213778761</v>
      </c>
      <c r="AI570">
        <v>1917.3827448193813</v>
      </c>
      <c r="AJ570">
        <v>7.4818810927890134</v>
      </c>
    </row>
    <row r="571" spans="4:36" x14ac:dyDescent="0.55000000000000004">
      <c r="D571">
        <v>564</v>
      </c>
      <c r="E571">
        <v>12.874434760387038</v>
      </c>
      <c r="F571">
        <v>0.46657336490319817</v>
      </c>
      <c r="G571">
        <v>0.1534526005238584</v>
      </c>
      <c r="H571">
        <v>16.5055392741859</v>
      </c>
      <c r="I571">
        <v>13.113187601165887</v>
      </c>
      <c r="J571">
        <v>0.29495046966529603</v>
      </c>
      <c r="K571">
        <v>9.6685713812392937E-2</v>
      </c>
      <c r="L571">
        <v>16.495176215356409</v>
      </c>
      <c r="M571">
        <v>13.014090182582978</v>
      </c>
      <c r="N571">
        <v>0.36622558807401806</v>
      </c>
      <c r="O571">
        <v>0.12021464594609757</v>
      </c>
      <c r="P571">
        <v>16.499469583396905</v>
      </c>
      <c r="Q571">
        <v>12.95473670334334</v>
      </c>
      <c r="R571">
        <v>0.4088874840241607</v>
      </c>
      <c r="S571">
        <v>0.13432936940706383</v>
      </c>
      <c r="T571">
        <v>16.502046443225431</v>
      </c>
      <c r="U571">
        <v>1537.5717887429853</v>
      </c>
      <c r="V571">
        <v>10.208684385526036</v>
      </c>
      <c r="W571">
        <v>1297.8142852622989</v>
      </c>
      <c r="X571">
        <v>7.5470115488293255</v>
      </c>
      <c r="Y571">
        <v>2929.4779432798141</v>
      </c>
      <c r="Z571">
        <v>10.259124394190728</v>
      </c>
      <c r="AA571">
        <v>2764.1274717486067</v>
      </c>
      <c r="AB571">
        <v>7.5766999684120329</v>
      </c>
      <c r="AC571">
        <v>2212.0245040012419</v>
      </c>
      <c r="AD571">
        <v>10.238192797447057</v>
      </c>
      <c r="AE571">
        <v>2022.6855552712261</v>
      </c>
      <c r="AF571">
        <v>7.5643920957382429</v>
      </c>
      <c r="AG571">
        <v>2164.392517092916</v>
      </c>
      <c r="AH571">
        <v>10.225653184589321</v>
      </c>
      <c r="AI571">
        <v>1945.215375236199</v>
      </c>
      <c r="AJ571">
        <v>7.5570104664403326</v>
      </c>
    </row>
    <row r="572" spans="4:36" x14ac:dyDescent="0.55000000000000004">
      <c r="D572">
        <v>565</v>
      </c>
      <c r="E572">
        <v>12.510736924172129</v>
      </c>
      <c r="F572">
        <v>0.48510903810852635</v>
      </c>
      <c r="G572">
        <v>0.16596933692734367</v>
      </c>
      <c r="H572">
        <v>16.838184700792013</v>
      </c>
      <c r="I572">
        <v>12.734254640282126</v>
      </c>
      <c r="J572">
        <v>0.31185208898803474</v>
      </c>
      <c r="K572">
        <v>0.10637527544803005</v>
      </c>
      <c r="L572">
        <v>16.847517995281827</v>
      </c>
      <c r="M572">
        <v>12.644314595115146</v>
      </c>
      <c r="N572">
        <v>0.38159831781832682</v>
      </c>
      <c r="O572">
        <v>0.1303220580227335</v>
      </c>
      <c r="P572">
        <v>16.843765029043787</v>
      </c>
      <c r="Q572">
        <v>12.635577466817869</v>
      </c>
      <c r="R572">
        <v>0.38837157291665797</v>
      </c>
      <c r="S572">
        <v>0.13265069565880114</v>
      </c>
      <c r="T572">
        <v>16.843400264606682</v>
      </c>
      <c r="U572">
        <v>1568.5948452212413</v>
      </c>
      <c r="V572">
        <v>9.943097488089208</v>
      </c>
      <c r="W572">
        <v>1320.6227208327568</v>
      </c>
      <c r="X572">
        <v>7.3866224077663407</v>
      </c>
      <c r="Y572">
        <v>2921.4087484191646</v>
      </c>
      <c r="Z572">
        <v>9.9798920246796161</v>
      </c>
      <c r="AA572">
        <v>2757.645945397072</v>
      </c>
      <c r="AB572">
        <v>7.4089393963399717</v>
      </c>
      <c r="AC572">
        <v>2243.1675399119226</v>
      </c>
      <c r="AD572">
        <v>9.9650849694255914</v>
      </c>
      <c r="AE572">
        <v>2045.5794493049355</v>
      </c>
      <c r="AF572">
        <v>7.3999683802469471</v>
      </c>
      <c r="AG572">
        <v>2124.5721019124112</v>
      </c>
      <c r="AH572">
        <v>9.9636466619962558</v>
      </c>
      <c r="AI572">
        <v>1918.2347935708165</v>
      </c>
      <c r="AJ572">
        <v>7.3990962591962424</v>
      </c>
    </row>
    <row r="573" spans="4:36" x14ac:dyDescent="0.55000000000000004">
      <c r="D573">
        <v>566</v>
      </c>
      <c r="E573">
        <v>12.750088871146579</v>
      </c>
      <c r="F573">
        <v>0.45662567569352597</v>
      </c>
      <c r="G573">
        <v>0.16806054320634317</v>
      </c>
      <c r="H573">
        <v>16.625224909953552</v>
      </c>
      <c r="I573">
        <v>12.994232458641177</v>
      </c>
      <c r="J573">
        <v>0.28256959984618868</v>
      </c>
      <c r="K573">
        <v>0.10361002779145512</v>
      </c>
      <c r="L573">
        <v>16.619587913721173</v>
      </c>
      <c r="M573">
        <v>12.896477495832015</v>
      </c>
      <c r="N573">
        <v>0.35230467756574818</v>
      </c>
      <c r="O573">
        <v>0.12937307659444111</v>
      </c>
      <c r="P573">
        <v>16.621844750007778</v>
      </c>
      <c r="Q573">
        <v>12.881121985554904</v>
      </c>
      <c r="R573">
        <v>0.3632535693542629</v>
      </c>
      <c r="S573">
        <v>0.13342516077764163</v>
      </c>
      <c r="T573">
        <v>16.622199284313186</v>
      </c>
      <c r="U573">
        <v>1553.0926818627595</v>
      </c>
      <c r="V573">
        <v>10.054946012826612</v>
      </c>
      <c r="W573">
        <v>1309.8562620438402</v>
      </c>
      <c r="X573">
        <v>7.4458381905096855</v>
      </c>
      <c r="Y573">
        <v>2896.2876556215151</v>
      </c>
      <c r="Z573">
        <v>10.103978105043501</v>
      </c>
      <c r="AA573">
        <v>2740.3325783924115</v>
      </c>
      <c r="AB573">
        <v>7.4751421346993716</v>
      </c>
      <c r="AC573">
        <v>2231.2567794195575</v>
      </c>
      <c r="AD573">
        <v>10.084345503551296</v>
      </c>
      <c r="AE573">
        <v>2037.8650978079829</v>
      </c>
      <c r="AF573">
        <v>7.4634221684947128</v>
      </c>
      <c r="AG573">
        <v>2138.8206396817736</v>
      </c>
      <c r="AH573">
        <v>10.081261603192058</v>
      </c>
      <c r="AI573">
        <v>1929.5742838057283</v>
      </c>
      <c r="AJ573">
        <v>7.4615795701009082</v>
      </c>
    </row>
    <row r="574" spans="4:36" x14ac:dyDescent="0.55000000000000004">
      <c r="D574">
        <v>567</v>
      </c>
      <c r="E574">
        <v>11.954668477458631</v>
      </c>
      <c r="F574">
        <v>0.42208099985436537</v>
      </c>
      <c r="G574">
        <v>0.17560517842056372</v>
      </c>
      <c r="H574">
        <v>17.447645344266437</v>
      </c>
      <c r="I574">
        <v>12.1632512161384</v>
      </c>
      <c r="J574">
        <v>0.27062931415778491</v>
      </c>
      <c r="K574">
        <v>0.11223508331961343</v>
      </c>
      <c r="L574">
        <v>17.45388438638421</v>
      </c>
      <c r="M574">
        <v>12.084916539079742</v>
      </c>
      <c r="N574">
        <v>0.32753887634674017</v>
      </c>
      <c r="O574">
        <v>0.1359989448242433</v>
      </c>
      <c r="P574">
        <v>17.451545639749273</v>
      </c>
      <c r="Q574">
        <v>12.058731852744529</v>
      </c>
      <c r="R574">
        <v>0.34655361520400924</v>
      </c>
      <c r="S574">
        <v>0.14395182453623193</v>
      </c>
      <c r="T574">
        <v>17.450762707515228</v>
      </c>
      <c r="U574">
        <v>1550.9608720646286</v>
      </c>
      <c r="V574">
        <v>9.4236416201575608</v>
      </c>
      <c r="W574">
        <v>1315.1930227960986</v>
      </c>
      <c r="X574">
        <v>7.0653692318255006</v>
      </c>
      <c r="Y574">
        <v>2865.6440386135191</v>
      </c>
      <c r="Z574">
        <v>9.4587026544389765</v>
      </c>
      <c r="AA574">
        <v>2720.8954077672092</v>
      </c>
      <c r="AB574">
        <v>7.0868360818203335</v>
      </c>
      <c r="AC574">
        <v>2209.5797344306361</v>
      </c>
      <c r="AD574">
        <v>9.445533442647811</v>
      </c>
      <c r="AE574">
        <v>2026.9162462107558</v>
      </c>
      <c r="AF574">
        <v>7.0787824325844015</v>
      </c>
      <c r="AG574">
        <v>2119.2170162302432</v>
      </c>
      <c r="AH574">
        <v>9.4411318923070944</v>
      </c>
      <c r="AI574">
        <v>1919.9428250864487</v>
      </c>
      <c r="AJ574">
        <v>7.0760881299935878</v>
      </c>
    </row>
    <row r="575" spans="4:36" x14ac:dyDescent="0.55000000000000004">
      <c r="D575">
        <v>568</v>
      </c>
      <c r="E575">
        <v>11.386032716211984</v>
      </c>
      <c r="F575">
        <v>0.38730243617789967</v>
      </c>
      <c r="G575">
        <v>0.1604531557832676</v>
      </c>
      <c r="H575">
        <v>18.066211691826837</v>
      </c>
      <c r="I575">
        <v>11.5737189746576</v>
      </c>
      <c r="J575">
        <v>0.25100796126119468</v>
      </c>
      <c r="K575">
        <v>0.10366344661282464</v>
      </c>
      <c r="L575">
        <v>18.071609617468365</v>
      </c>
      <c r="M575">
        <v>11.498436372445562</v>
      </c>
      <c r="N575">
        <v>0.30570310482371105</v>
      </c>
      <c r="O575">
        <v>0.12640996776396518</v>
      </c>
      <c r="P575">
        <v>18.069450554966757</v>
      </c>
      <c r="Q575">
        <v>11.457584587599536</v>
      </c>
      <c r="R575">
        <v>0.3353685227397607</v>
      </c>
      <c r="S575">
        <v>0.1387713447640572</v>
      </c>
      <c r="T575">
        <v>18.068275544896633</v>
      </c>
      <c r="U575">
        <v>1473.8809191034218</v>
      </c>
      <c r="V575">
        <v>9.0297694012256233</v>
      </c>
      <c r="W575">
        <v>1265.455660608199</v>
      </c>
      <c r="X575">
        <v>6.8359885051569647</v>
      </c>
      <c r="Y575">
        <v>2848.1221541858358</v>
      </c>
      <c r="Z575">
        <v>9.0606215779842127</v>
      </c>
      <c r="AA575">
        <v>2712.915854235423</v>
      </c>
      <c r="AB575">
        <v>6.8552609067604857</v>
      </c>
      <c r="AC575">
        <v>2159.9134946762401</v>
      </c>
      <c r="AD575">
        <v>9.0482432749329025</v>
      </c>
      <c r="AE575">
        <v>1995.646192380382</v>
      </c>
      <c r="AF575">
        <v>6.8475375074461464</v>
      </c>
      <c r="AG575">
        <v>2057.1514437347187</v>
      </c>
      <c r="AH575">
        <v>9.0415280427594027</v>
      </c>
      <c r="AI575">
        <v>1878.7196347948552</v>
      </c>
      <c r="AJ575">
        <v>6.843342566473793</v>
      </c>
    </row>
    <row r="576" spans="4:36" x14ac:dyDescent="0.55000000000000004">
      <c r="D576">
        <v>569</v>
      </c>
      <c r="E576">
        <v>12.777803802019946</v>
      </c>
      <c r="F576">
        <v>0.43847561468644369</v>
      </c>
      <c r="G576">
        <v>0.1535055992283792</v>
      </c>
      <c r="H576">
        <v>16.630214984065237</v>
      </c>
      <c r="I576">
        <v>12.97655366706821</v>
      </c>
      <c r="J576">
        <v>0.29656119685439775</v>
      </c>
      <c r="K576">
        <v>0.10352990394572134</v>
      </c>
      <c r="L576">
        <v>16.623355232131672</v>
      </c>
      <c r="M576">
        <v>12.893461808455291</v>
      </c>
      <c r="N576">
        <v>0.3559205868218111</v>
      </c>
      <c r="O576">
        <v>0.12439868258088668</v>
      </c>
      <c r="P576">
        <v>16.626218922142005</v>
      </c>
      <c r="Q576">
        <v>12.830555118993342</v>
      </c>
      <c r="R576">
        <v>0.40083250131814774</v>
      </c>
      <c r="S576">
        <v>0.1402214418923588</v>
      </c>
      <c r="T576">
        <v>16.628390937796159</v>
      </c>
      <c r="U576">
        <v>1527.3781488740929</v>
      </c>
      <c r="V576">
        <v>10.126459674153709</v>
      </c>
      <c r="W576">
        <v>1291.1585271176721</v>
      </c>
      <c r="X576">
        <v>7.4998333828789647</v>
      </c>
      <c r="Y576">
        <v>2906.2224211874509</v>
      </c>
      <c r="Z576">
        <v>10.169186634344465</v>
      </c>
      <c r="AA576">
        <v>2745.9305073151545</v>
      </c>
      <c r="AB576">
        <v>7.5250939013081322</v>
      </c>
      <c r="AC576">
        <v>2267.0785565114547</v>
      </c>
      <c r="AD576">
        <v>10.151326046855379</v>
      </c>
      <c r="AE576">
        <v>2063.4572713905977</v>
      </c>
      <c r="AF576">
        <v>7.5145435222392711</v>
      </c>
      <c r="AG576">
        <v>2123.2494503567877</v>
      </c>
      <c r="AH576">
        <v>10.137801988996719</v>
      </c>
      <c r="AI576">
        <v>1914.099418382988</v>
      </c>
      <c r="AJ576">
        <v>7.5065462368879903</v>
      </c>
    </row>
    <row r="577" spans="4:36" x14ac:dyDescent="0.55000000000000004">
      <c r="D577">
        <v>570</v>
      </c>
      <c r="E577">
        <v>11.535823438268096</v>
      </c>
      <c r="F577">
        <v>0.41751869885587767</v>
      </c>
      <c r="G577">
        <v>0.13820271754922872</v>
      </c>
      <c r="H577">
        <v>17.908455145326791</v>
      </c>
      <c r="I577">
        <v>11.729605625636275</v>
      </c>
      <c r="J577">
        <v>0.26850670935903853</v>
      </c>
      <c r="K577">
        <v>8.8618351232263887E-2</v>
      </c>
      <c r="L577">
        <v>17.91326931377241</v>
      </c>
      <c r="M577">
        <v>11.664217193734281</v>
      </c>
      <c r="N577">
        <v>0.31881089969766724</v>
      </c>
      <c r="O577">
        <v>0.10532441873497028</v>
      </c>
      <c r="P577">
        <v>17.911647487833083</v>
      </c>
      <c r="Q577">
        <v>11.605685459894564</v>
      </c>
      <c r="R577">
        <v>0.3638205955202114</v>
      </c>
      <c r="S577">
        <v>0.12030048361313683</v>
      </c>
      <c r="T577">
        <v>17.910193460972078</v>
      </c>
      <c r="U577">
        <v>1492.7934323376389</v>
      </c>
      <c r="V577">
        <v>9.0425841784859866</v>
      </c>
      <c r="W577">
        <v>1281.1014451761246</v>
      </c>
      <c r="X577">
        <v>6.8293314892355523</v>
      </c>
      <c r="Y577">
        <v>2859.1753220459432</v>
      </c>
      <c r="Z577">
        <v>9.076352339892507</v>
      </c>
      <c r="AA577">
        <v>2722.2540277987646</v>
      </c>
      <c r="AB577">
        <v>6.8501681616586758</v>
      </c>
      <c r="AC577">
        <v>2157.4502773988779</v>
      </c>
      <c r="AD577">
        <v>9.0649563529627102</v>
      </c>
      <c r="AE577">
        <v>1995.5821486416116</v>
      </c>
      <c r="AF577">
        <v>6.8431448382915345</v>
      </c>
      <c r="AG577">
        <v>2075.0398729746839</v>
      </c>
      <c r="AH577">
        <v>9.0547566598392617</v>
      </c>
      <c r="AI577">
        <v>1893.2338480887715</v>
      </c>
      <c r="AJ577">
        <v>6.8368514025187563</v>
      </c>
    </row>
    <row r="578" spans="4:36" x14ac:dyDescent="0.55000000000000004">
      <c r="D578">
        <v>571</v>
      </c>
      <c r="E578">
        <v>11.282149616322659</v>
      </c>
      <c r="F578">
        <v>0.42708481190591785</v>
      </c>
      <c r="G578">
        <v>0.16309864105220112</v>
      </c>
      <c r="H578">
        <v>18.127666930719229</v>
      </c>
      <c r="I578">
        <v>11.447763491513234</v>
      </c>
      <c r="J578">
        <v>0.28948434409650914</v>
      </c>
      <c r="K578">
        <v>0.11025093849662784</v>
      </c>
      <c r="L578">
        <v>18.15250122589363</v>
      </c>
      <c r="M578">
        <v>11.370628609156844</v>
      </c>
      <c r="N578">
        <v>0.35358635538072009</v>
      </c>
      <c r="O578">
        <v>0.13483421455136468</v>
      </c>
      <c r="P578">
        <v>18.140950820911087</v>
      </c>
      <c r="Q578">
        <v>11.339988363953477</v>
      </c>
      <c r="R578">
        <v>0.37904260379325161</v>
      </c>
      <c r="S578">
        <v>0.14461419129119718</v>
      </c>
      <c r="T578">
        <v>18.136354840962081</v>
      </c>
      <c r="U578">
        <v>1458.6242724587271</v>
      </c>
      <c r="V578">
        <v>8.9269701712559613</v>
      </c>
      <c r="W578">
        <v>1253.3754092613588</v>
      </c>
      <c r="X578">
        <v>6.7648227819025646</v>
      </c>
      <c r="Y578">
        <v>2861.5218527864663</v>
      </c>
      <c r="Z578">
        <v>8.9453898335958275</v>
      </c>
      <c r="AA578">
        <v>2721.7789225872311</v>
      </c>
      <c r="AB578">
        <v>6.777392347173353</v>
      </c>
      <c r="AC578">
        <v>2169.0679157890136</v>
      </c>
      <c r="AD578">
        <v>8.9368017665962611</v>
      </c>
      <c r="AE578">
        <v>2000.9069581493575</v>
      </c>
      <c r="AF578">
        <v>6.7715396644020993</v>
      </c>
      <c r="AG578">
        <v>2062.1640725790066</v>
      </c>
      <c r="AH578">
        <v>8.9333947183023437</v>
      </c>
      <c r="AI578">
        <v>1881.3958493907314</v>
      </c>
      <c r="AJ578">
        <v>6.7692140308377482</v>
      </c>
    </row>
    <row r="579" spans="4:36" x14ac:dyDescent="0.55000000000000004">
      <c r="D579">
        <v>572</v>
      </c>
      <c r="E579">
        <v>12.308249338975733</v>
      </c>
      <c r="F579">
        <v>0.43642630949983735</v>
      </c>
      <c r="G579">
        <v>0.17282678907871871</v>
      </c>
      <c r="H579">
        <v>17.08249756244571</v>
      </c>
      <c r="I579">
        <v>12.525310630283904</v>
      </c>
      <c r="J579">
        <v>0.28436033870206434</v>
      </c>
      <c r="K579">
        <v>0.11223168913678437</v>
      </c>
      <c r="L579">
        <v>17.078097341877235</v>
      </c>
      <c r="M579">
        <v>12.450975535483254</v>
      </c>
      <c r="N579">
        <v>0.33647072730322924</v>
      </c>
      <c r="O579">
        <v>0.13295027018632921</v>
      </c>
      <c r="P579">
        <v>17.079603467027191</v>
      </c>
      <c r="Q579">
        <v>12.412041996452972</v>
      </c>
      <c r="R579">
        <v>0.36374997150519839</v>
      </c>
      <c r="S579">
        <v>0.14381539692205705</v>
      </c>
      <c r="T579">
        <v>17.080392635119761</v>
      </c>
      <c r="U579">
        <v>1508.090029992667</v>
      </c>
      <c r="V579">
        <v>9.6944146497558652</v>
      </c>
      <c r="W579">
        <v>1284.2068621414892</v>
      </c>
      <c r="X579">
        <v>7.2285671724631833</v>
      </c>
      <c r="Y579">
        <v>2869.6166877716801</v>
      </c>
      <c r="Z579">
        <v>9.7382020289423767</v>
      </c>
      <c r="AA579">
        <v>2724.3653990521439</v>
      </c>
      <c r="AB579">
        <v>7.254898904824409</v>
      </c>
      <c r="AC579">
        <v>2189.4034196438038</v>
      </c>
      <c r="AD579">
        <v>9.7232067614415776</v>
      </c>
      <c r="AE579">
        <v>2012.8723391136448</v>
      </c>
      <c r="AF579">
        <v>7.2458919735099858</v>
      </c>
      <c r="AG579">
        <v>2099.2277930237888</v>
      </c>
      <c r="AH579">
        <v>9.7153527924775762</v>
      </c>
      <c r="AI579">
        <v>1905.4161629947962</v>
      </c>
      <c r="AJ579">
        <v>7.2411701158816362</v>
      </c>
    </row>
    <row r="580" spans="4:36" x14ac:dyDescent="0.55000000000000004">
      <c r="D580">
        <v>573</v>
      </c>
      <c r="E580">
        <v>12.517895866625565</v>
      </c>
      <c r="F580">
        <v>0.40824433045125597</v>
      </c>
      <c r="G580">
        <v>0.16516037011078857</v>
      </c>
      <c r="H580">
        <v>16.908699432812398</v>
      </c>
      <c r="I580">
        <v>12.683530634440913</v>
      </c>
      <c r="J580">
        <v>0.29426398523114317</v>
      </c>
      <c r="K580">
        <v>0.11873658634416089</v>
      </c>
      <c r="L580">
        <v>16.903468793983787</v>
      </c>
      <c r="M580">
        <v>12.601864783778471</v>
      </c>
      <c r="N580">
        <v>0.35048395640904689</v>
      </c>
      <c r="O580">
        <v>0.14160390352352203</v>
      </c>
      <c r="P580">
        <v>16.906047356288969</v>
      </c>
      <c r="Q580">
        <v>12.583197705585926</v>
      </c>
      <c r="R580">
        <v>0.36332859316135674</v>
      </c>
      <c r="S580">
        <v>0.14683683287541199</v>
      </c>
      <c r="T580">
        <v>16.906636868377298</v>
      </c>
      <c r="U580">
        <v>1491.159318779363</v>
      </c>
      <c r="V580">
        <v>9.8766440343533404</v>
      </c>
      <c r="W580">
        <v>1270.4878148739426</v>
      </c>
      <c r="X580">
        <v>7.3432030599824127</v>
      </c>
      <c r="Y580">
        <v>2907.6217721688299</v>
      </c>
      <c r="Z580">
        <v>9.9096423237034728</v>
      </c>
      <c r="AA580">
        <v>2749.8613906279047</v>
      </c>
      <c r="AB580">
        <v>7.3629568390653573</v>
      </c>
      <c r="AC580">
        <v>2195.5435571415655</v>
      </c>
      <c r="AD580">
        <v>9.8933727991146956</v>
      </c>
      <c r="AE580">
        <v>2013.840359497151</v>
      </c>
      <c r="AF580">
        <v>7.3532239617665676</v>
      </c>
      <c r="AG580">
        <v>2088.6414247651678</v>
      </c>
      <c r="AH580">
        <v>9.8896538744828497</v>
      </c>
      <c r="AI580">
        <v>1894.7927080361828</v>
      </c>
      <c r="AJ580">
        <v>7.3509974140334533</v>
      </c>
    </row>
    <row r="581" spans="4:36" x14ac:dyDescent="0.55000000000000004">
      <c r="D581">
        <v>574</v>
      </c>
      <c r="E581">
        <v>12.747669735592734</v>
      </c>
      <c r="F581">
        <v>0.48703551207655282</v>
      </c>
      <c r="G581">
        <v>0.15848955557974775</v>
      </c>
      <c r="H581">
        <v>16.606805196750955</v>
      </c>
      <c r="I581">
        <v>12.977245802546369</v>
      </c>
      <c r="J581">
        <v>0.31019241636894918</v>
      </c>
      <c r="K581">
        <v>0.10062996005216922</v>
      </c>
      <c r="L581">
        <v>16.611931821032506</v>
      </c>
      <c r="M581">
        <v>12.887283844191886</v>
      </c>
      <c r="N581">
        <v>0.37952223578242827</v>
      </c>
      <c r="O581">
        <v>0.12327006412466801</v>
      </c>
      <c r="P581">
        <v>16.609923855901016</v>
      </c>
      <c r="Q581">
        <v>12.856798834346444</v>
      </c>
      <c r="R581">
        <v>0.40300644487008386</v>
      </c>
      <c r="S581">
        <v>0.13095157578934105</v>
      </c>
      <c r="T581">
        <v>16.609243144994135</v>
      </c>
      <c r="U581">
        <v>1568.0171903084076</v>
      </c>
      <c r="V581">
        <v>10.173312309968271</v>
      </c>
      <c r="W581">
        <v>1317.9637312170335</v>
      </c>
      <c r="X581">
        <v>7.5326879505160864</v>
      </c>
      <c r="Y581">
        <v>2926.9523446686403</v>
      </c>
      <c r="Z581">
        <v>10.216225579676488</v>
      </c>
      <c r="AA581">
        <v>2760.5543344841112</v>
      </c>
      <c r="AB581">
        <v>7.5584330125054722</v>
      </c>
      <c r="AC581">
        <v>2228.2429786844914</v>
      </c>
      <c r="AD581">
        <v>10.199409190963639</v>
      </c>
      <c r="AE581">
        <v>2033.0056989834852</v>
      </c>
      <c r="AF581">
        <v>7.5483553009782707</v>
      </c>
      <c r="AG581">
        <v>2153.1749576236871</v>
      </c>
      <c r="AH581">
        <v>10.19371079621042</v>
      </c>
      <c r="AI581">
        <v>1936.6174921652896</v>
      </c>
      <c r="AJ581">
        <v>7.5449371762005395</v>
      </c>
    </row>
    <row r="582" spans="4:36" x14ac:dyDescent="0.55000000000000004">
      <c r="D582">
        <v>575</v>
      </c>
      <c r="E582">
        <v>12.211204542465023</v>
      </c>
      <c r="F582">
        <v>0.41596081560721565</v>
      </c>
      <c r="G582">
        <v>0.14293666091492566</v>
      </c>
      <c r="H582">
        <v>17.229897981012851</v>
      </c>
      <c r="I582">
        <v>12.398572922814635</v>
      </c>
      <c r="J582">
        <v>0.28109638293658434</v>
      </c>
      <c r="K582">
        <v>9.632427523598433E-2</v>
      </c>
      <c r="L582">
        <v>17.224006419012781</v>
      </c>
      <c r="M582">
        <v>12.304517527076673</v>
      </c>
      <c r="N582">
        <v>0.34882248475386274</v>
      </c>
      <c r="O582">
        <v>0.11969908879898604</v>
      </c>
      <c r="P582">
        <v>17.226960899370479</v>
      </c>
      <c r="Q582">
        <v>12.291206486148182</v>
      </c>
      <c r="R582">
        <v>0.35840297925854747</v>
      </c>
      <c r="S582">
        <v>0.12301102440406742</v>
      </c>
      <c r="T582">
        <v>17.227379510189213</v>
      </c>
      <c r="U582">
        <v>1476.3415319826756</v>
      </c>
      <c r="V582">
        <v>9.5959266589525232</v>
      </c>
      <c r="W582">
        <v>1262.5242617341833</v>
      </c>
      <c r="X582">
        <v>7.1699053055633675</v>
      </c>
      <c r="Y582">
        <v>2868.756823612171</v>
      </c>
      <c r="Z582">
        <v>9.6330074946703448</v>
      </c>
      <c r="AA582">
        <v>2724.4103098527403</v>
      </c>
      <c r="AB582">
        <v>7.1920189663772849</v>
      </c>
      <c r="AC582">
        <v>2206.3338495926782</v>
      </c>
      <c r="AD582">
        <v>9.6143956562845059</v>
      </c>
      <c r="AE582">
        <v>2025.1832524183399</v>
      </c>
      <c r="AF582">
        <v>7.1809277203118302</v>
      </c>
      <c r="AG582">
        <v>2058.7205646414172</v>
      </c>
      <c r="AH582">
        <v>9.611761313735089</v>
      </c>
      <c r="AI582">
        <v>1875.9946914206444</v>
      </c>
      <c r="AJ582">
        <v>7.1793565252233442</v>
      </c>
    </row>
    <row r="583" spans="4:36" x14ac:dyDescent="0.55000000000000004">
      <c r="D583">
        <v>576</v>
      </c>
      <c r="E583">
        <v>12.549095537149288</v>
      </c>
      <c r="F583">
        <v>0.41753423301150627</v>
      </c>
      <c r="G583">
        <v>0.16015556204255546</v>
      </c>
      <c r="H583">
        <v>16.873214667796649</v>
      </c>
      <c r="I583">
        <v>12.770917402635883</v>
      </c>
      <c r="J583">
        <v>0.26758845952550553</v>
      </c>
      <c r="K583">
        <v>0.10230415089634645</v>
      </c>
      <c r="L583">
        <v>16.859189986942269</v>
      </c>
      <c r="M583">
        <v>12.67949565828372</v>
      </c>
      <c r="N583">
        <v>0.32942666253050423</v>
      </c>
      <c r="O583">
        <v>0.12611566890458062</v>
      </c>
      <c r="P583">
        <v>16.864962010281175</v>
      </c>
      <c r="Q583">
        <v>12.632098813177965</v>
      </c>
      <c r="R583">
        <v>0.36146443095834735</v>
      </c>
      <c r="S583">
        <v>0.13847782336891271</v>
      </c>
      <c r="T583">
        <v>16.867958932494759</v>
      </c>
      <c r="U583">
        <v>1516.0000758497802</v>
      </c>
      <c r="V583">
        <v>9.7543911478189518</v>
      </c>
      <c r="W583">
        <v>1289.4291360284913</v>
      </c>
      <c r="X583">
        <v>7.2503905090389971</v>
      </c>
      <c r="Y583">
        <v>2873.3941757914372</v>
      </c>
      <c r="Z583">
        <v>9.8037139219820979</v>
      </c>
      <c r="AA583">
        <v>2727.1106026204566</v>
      </c>
      <c r="AB583">
        <v>7.2794664216764122</v>
      </c>
      <c r="AC583">
        <v>2195.6460359400066</v>
      </c>
      <c r="AD583">
        <v>9.7833905654666697</v>
      </c>
      <c r="AE583">
        <v>2016.410181725108</v>
      </c>
      <c r="AF583">
        <v>7.2674972030674239</v>
      </c>
      <c r="AG583">
        <v>2092.6277769059689</v>
      </c>
      <c r="AH583">
        <v>9.7728515864382874</v>
      </c>
      <c r="AI583">
        <v>1898.8360985754557</v>
      </c>
      <c r="AJ583">
        <v>7.2612840873782378</v>
      </c>
    </row>
    <row r="584" spans="4:36" x14ac:dyDescent="0.55000000000000004">
      <c r="D584">
        <v>577</v>
      </c>
      <c r="E584">
        <v>12.095371546717358</v>
      </c>
      <c r="F584">
        <v>0.43326865776449058</v>
      </c>
      <c r="G584">
        <v>0.15309977777642411</v>
      </c>
      <c r="H584">
        <v>17.318260017741732</v>
      </c>
      <c r="I584">
        <v>12.309212964854087</v>
      </c>
      <c r="J584">
        <v>0.27397214600265762</v>
      </c>
      <c r="K584">
        <v>9.649337813073236E-2</v>
      </c>
      <c r="L584">
        <v>17.320321511012526</v>
      </c>
      <c r="M584">
        <v>12.229829715997388</v>
      </c>
      <c r="N584">
        <v>0.33313732814881869</v>
      </c>
      <c r="O584">
        <v>0.11747391444552878</v>
      </c>
      <c r="P584">
        <v>17.319559041408251</v>
      </c>
      <c r="Q584">
        <v>12.185545681990584</v>
      </c>
      <c r="R584">
        <v>0.366127166859336</v>
      </c>
      <c r="S584">
        <v>0.1291948887327255</v>
      </c>
      <c r="T584">
        <v>17.319132262417337</v>
      </c>
      <c r="U584">
        <v>1499.3275237572386</v>
      </c>
      <c r="V584">
        <v>9.5184427883946281</v>
      </c>
      <c r="W584">
        <v>1277.6759131826832</v>
      </c>
      <c r="X584">
        <v>7.1216057196571807</v>
      </c>
      <c r="Y584">
        <v>2871.748961991394</v>
      </c>
      <c r="Z584">
        <v>9.556986440906531</v>
      </c>
      <c r="AA584">
        <v>2726.730751804304</v>
      </c>
      <c r="AB584">
        <v>7.1451590765926856</v>
      </c>
      <c r="AC584">
        <v>2200.4938780661596</v>
      </c>
      <c r="AD584">
        <v>9.5426758821407791</v>
      </c>
      <c r="AE584">
        <v>2021.4148504011666</v>
      </c>
      <c r="AF584">
        <v>7.1364246177280313</v>
      </c>
      <c r="AG584">
        <v>2102.9914036179748</v>
      </c>
      <c r="AH584">
        <v>9.5346938436302509</v>
      </c>
      <c r="AI584">
        <v>1908.0098797798664</v>
      </c>
      <c r="AJ584">
        <v>7.1315474248066959</v>
      </c>
    </row>
    <row r="585" spans="4:36" x14ac:dyDescent="0.55000000000000004">
      <c r="D585">
        <v>578</v>
      </c>
      <c r="E585">
        <v>12.275728933261588</v>
      </c>
      <c r="F585">
        <v>0.46592454049130894</v>
      </c>
      <c r="G585">
        <v>0.15552774925902552</v>
      </c>
      <c r="H585">
        <v>17.10281877698807</v>
      </c>
      <c r="I585">
        <v>12.483462593044621</v>
      </c>
      <c r="J585">
        <v>0.30102355432062661</v>
      </c>
      <c r="K585">
        <v>0.10017417635338179</v>
      </c>
      <c r="L585">
        <v>17.115339676281391</v>
      </c>
      <c r="M585">
        <v>12.411025054636145</v>
      </c>
      <c r="N585">
        <v>0.35854846471317853</v>
      </c>
      <c r="O585">
        <v>0.11944480920600685</v>
      </c>
      <c r="P585">
        <v>17.110981671444662</v>
      </c>
      <c r="Q585">
        <v>12.325849343505148</v>
      </c>
      <c r="R585">
        <v>0.42615730931523321</v>
      </c>
      <c r="S585">
        <v>0.14214708557116226</v>
      </c>
      <c r="T585">
        <v>17.105846261608441</v>
      </c>
      <c r="U585">
        <v>1531.2451483215716</v>
      </c>
      <c r="V585">
        <v>9.7100599654605197</v>
      </c>
      <c r="W585">
        <v>1299.1080099103797</v>
      </c>
      <c r="X585">
        <v>7.2409863635068978</v>
      </c>
      <c r="Y585">
        <v>2881.269461175787</v>
      </c>
      <c r="Z585">
        <v>9.7424004604062642</v>
      </c>
      <c r="AA585">
        <v>2731.7285086190091</v>
      </c>
      <c r="AB585">
        <v>7.2611018076792071</v>
      </c>
      <c r="AC585">
        <v>2187.5473049722746</v>
      </c>
      <c r="AD585">
        <v>9.7311183220710316</v>
      </c>
      <c r="AE585">
        <v>2009.6649241086775</v>
      </c>
      <c r="AF585">
        <v>7.2540935160777478</v>
      </c>
      <c r="AG585">
        <v>2082.6410970499419</v>
      </c>
      <c r="AH585">
        <v>9.7178588879789718</v>
      </c>
      <c r="AI585">
        <v>1888.0354259280336</v>
      </c>
      <c r="AJ585">
        <v>7.2458445569650278</v>
      </c>
    </row>
    <row r="586" spans="4:36" x14ac:dyDescent="0.55000000000000004">
      <c r="D586">
        <v>579</v>
      </c>
      <c r="E586">
        <v>11.424635584100162</v>
      </c>
      <c r="F586">
        <v>0.44218107587138328</v>
      </c>
      <c r="G586">
        <v>0.17367594777788711</v>
      </c>
      <c r="H586">
        <v>17.959507392250565</v>
      </c>
      <c r="I586">
        <v>11.617217388444184</v>
      </c>
      <c r="J586">
        <v>0.28878023721586066</v>
      </c>
      <c r="K586">
        <v>0.11307649425536645</v>
      </c>
      <c r="L586">
        <v>17.98092588008458</v>
      </c>
      <c r="M586">
        <v>11.564472580400635</v>
      </c>
      <c r="N586">
        <v>0.33081213132163284</v>
      </c>
      <c r="O586">
        <v>0.12964329331630137</v>
      </c>
      <c r="P586">
        <v>17.975071994961432</v>
      </c>
      <c r="Q586">
        <v>11.544147762701598</v>
      </c>
      <c r="R586">
        <v>0.34700518568951855</v>
      </c>
      <c r="S586">
        <v>0.13603326488519629</v>
      </c>
      <c r="T586">
        <v>17.972813786723702</v>
      </c>
      <c r="U586">
        <v>1498.0823533373693</v>
      </c>
      <c r="V586">
        <v>9.0853117559412695</v>
      </c>
      <c r="W586">
        <v>1279.9210607841396</v>
      </c>
      <c r="X586">
        <v>6.8665876119284421</v>
      </c>
      <c r="Y586">
        <v>2869.405747384747</v>
      </c>
      <c r="Z586">
        <v>9.1098087419538398</v>
      </c>
      <c r="AA586">
        <v>2726.3026613157249</v>
      </c>
      <c r="AB586">
        <v>6.8826927076723514</v>
      </c>
      <c r="AC586">
        <v>2190.5015655993288</v>
      </c>
      <c r="AD586">
        <v>9.1030921324194836</v>
      </c>
      <c r="AE586">
        <v>2017.329028569284</v>
      </c>
      <c r="AF586">
        <v>6.8782848384065618</v>
      </c>
      <c r="AG586">
        <v>2065.9845641159809</v>
      </c>
      <c r="AH586">
        <v>9.1005054017593281</v>
      </c>
      <c r="AI586">
        <v>1885.0776868303071</v>
      </c>
      <c r="AJ586">
        <v>6.8765856915843155</v>
      </c>
    </row>
    <row r="587" spans="4:36" x14ac:dyDescent="0.55000000000000004">
      <c r="D587">
        <v>580</v>
      </c>
      <c r="E587">
        <v>12.011612848540354</v>
      </c>
      <c r="F587">
        <v>0.46017450496825191</v>
      </c>
      <c r="G587">
        <v>0.14902766055734384</v>
      </c>
      <c r="H587">
        <v>17.379184985934049</v>
      </c>
      <c r="I587">
        <v>12.230114528512141</v>
      </c>
      <c r="J587">
        <v>0.28867844394864633</v>
      </c>
      <c r="K587">
        <v>9.3201046663997353E-2</v>
      </c>
      <c r="L587">
        <v>17.38800598087521</v>
      </c>
      <c r="M587">
        <v>12.151397739369703</v>
      </c>
      <c r="N587">
        <v>0.35048856102703058</v>
      </c>
      <c r="O587">
        <v>0.11328177504583424</v>
      </c>
      <c r="P587">
        <v>17.384831924557425</v>
      </c>
      <c r="Q587">
        <v>12.075416655959023</v>
      </c>
      <c r="R587">
        <v>0.41012130419452819</v>
      </c>
      <c r="S587">
        <v>0.1326978803861977</v>
      </c>
      <c r="T587">
        <v>17.381764159460236</v>
      </c>
      <c r="U587">
        <v>1516.7856427998404</v>
      </c>
      <c r="V587">
        <v>9.3767703198846295</v>
      </c>
      <c r="W587">
        <v>1290.6160938168639</v>
      </c>
      <c r="X587">
        <v>7.0218894134367718</v>
      </c>
      <c r="Y587">
        <v>2876.4847138236451</v>
      </c>
      <c r="Z587">
        <v>9.4092845765271793</v>
      </c>
      <c r="AA587">
        <v>2730.3287200231243</v>
      </c>
      <c r="AB587">
        <v>7.0418304156500824</v>
      </c>
      <c r="AC587">
        <v>2213.5923972889555</v>
      </c>
      <c r="AD587">
        <v>9.3975692181827366</v>
      </c>
      <c r="AE587">
        <v>2031.3785610280504</v>
      </c>
      <c r="AF587">
        <v>7.0346543758594526</v>
      </c>
      <c r="AG587">
        <v>2113.5137620649243</v>
      </c>
      <c r="AH587">
        <v>9.3862630016213373</v>
      </c>
      <c r="AI587">
        <v>1914.1195165060935</v>
      </c>
      <c r="AJ587">
        <v>7.0277193734063319</v>
      </c>
    </row>
    <row r="588" spans="4:36" x14ac:dyDescent="0.55000000000000004">
      <c r="D588">
        <v>581</v>
      </c>
      <c r="E588">
        <v>13.120560359399544</v>
      </c>
      <c r="F588">
        <v>0.50471556527913186</v>
      </c>
      <c r="G588">
        <v>0.18475316711485035</v>
      </c>
      <c r="H588">
        <v>16.189970908206476</v>
      </c>
      <c r="I588">
        <v>13.356742951133487</v>
      </c>
      <c r="J588">
        <v>0.325594060816219</v>
      </c>
      <c r="K588">
        <v>0.1188012122604496</v>
      </c>
      <c r="L588">
        <v>16.198861775789837</v>
      </c>
      <c r="M588">
        <v>13.246968773352465</v>
      </c>
      <c r="N588">
        <v>0.40888311043808473</v>
      </c>
      <c r="O588">
        <v>0.149414253531611</v>
      </c>
      <c r="P588">
        <v>16.19473386267784</v>
      </c>
      <c r="Q588">
        <v>13.227737282789175</v>
      </c>
      <c r="R588">
        <v>0.42346821887590219</v>
      </c>
      <c r="S588">
        <v>0.15478459998641761</v>
      </c>
      <c r="T588">
        <v>16.194009898348519</v>
      </c>
      <c r="U588">
        <v>1618.0613378675007</v>
      </c>
      <c r="V588">
        <v>10.430552479011524</v>
      </c>
      <c r="W588">
        <v>1349.4278881473529</v>
      </c>
      <c r="X588">
        <v>7.6759576512263417</v>
      </c>
      <c r="Y588">
        <v>2943.433356005828</v>
      </c>
      <c r="Z588">
        <v>10.470172998881417</v>
      </c>
      <c r="AA588">
        <v>2768.6919528048666</v>
      </c>
      <c r="AB588">
        <v>7.6998278244997493</v>
      </c>
      <c r="AC588">
        <v>2295.2521907503851</v>
      </c>
      <c r="AD588">
        <v>10.451755305200376</v>
      </c>
      <c r="AE588">
        <v>2076.9137807616798</v>
      </c>
      <c r="AF588">
        <v>7.6887427281458445</v>
      </c>
      <c r="AG588">
        <v>2159.6668062535564</v>
      </c>
      <c r="AH588">
        <v>10.448529158147286</v>
      </c>
      <c r="AI588">
        <v>1936.1205208254389</v>
      </c>
      <c r="AJ588">
        <v>7.6867990410495581</v>
      </c>
    </row>
    <row r="589" spans="4:36" x14ac:dyDescent="0.55000000000000004">
      <c r="D589">
        <v>582</v>
      </c>
      <c r="E589">
        <v>13.056106383237317</v>
      </c>
      <c r="F589">
        <v>0.48223809497519465</v>
      </c>
      <c r="G589">
        <v>0.15518682766647268</v>
      </c>
      <c r="H589">
        <v>16.306468694120998</v>
      </c>
      <c r="I589">
        <v>13.296460279174534</v>
      </c>
      <c r="J589">
        <v>0.30339163361977201</v>
      </c>
      <c r="K589">
        <v>9.7325041463851888E-2</v>
      </c>
      <c r="L589">
        <v>16.302823045741857</v>
      </c>
      <c r="M589">
        <v>13.191919036680423</v>
      </c>
      <c r="N589">
        <v>0.38121904281831925</v>
      </c>
      <c r="O589">
        <v>0.12245878306653198</v>
      </c>
      <c r="P589">
        <v>16.304403137434715</v>
      </c>
      <c r="Q589">
        <v>13.149186733338153</v>
      </c>
      <c r="R589">
        <v>0.41301471813901025</v>
      </c>
      <c r="S589">
        <v>0.13274707258250265</v>
      </c>
      <c r="T589">
        <v>16.305051475940342</v>
      </c>
      <c r="U589">
        <v>1568.5526993963333</v>
      </c>
      <c r="V589">
        <v>10.257552462244151</v>
      </c>
      <c r="W589">
        <v>1317.7627601923298</v>
      </c>
      <c r="X589">
        <v>7.5612821120438145</v>
      </c>
      <c r="Y589">
        <v>2922.1601863372061</v>
      </c>
      <c r="Z589">
        <v>10.304165322972915</v>
      </c>
      <c r="AA589">
        <v>2756.8303959567825</v>
      </c>
      <c r="AB589">
        <v>7.5887551492835197</v>
      </c>
      <c r="AC589">
        <v>2247.5766153170944</v>
      </c>
      <c r="AD589">
        <v>10.283894261220318</v>
      </c>
      <c r="AE589">
        <v>2046.4359533197241</v>
      </c>
      <c r="AF589">
        <v>7.5768190607223254</v>
      </c>
      <c r="AG589">
        <v>2157.0863299941202</v>
      </c>
      <c r="AH589">
        <v>10.275606902401838</v>
      </c>
      <c r="AI589">
        <v>1937.8125317195904</v>
      </c>
      <c r="AJ589">
        <v>7.5719342224068926</v>
      </c>
    </row>
    <row r="590" spans="4:36" x14ac:dyDescent="0.55000000000000004">
      <c r="D590">
        <v>583</v>
      </c>
      <c r="E590">
        <v>12.988102343700833</v>
      </c>
      <c r="F590">
        <v>0.45164546551468671</v>
      </c>
      <c r="G590">
        <v>0.16750304986816514</v>
      </c>
      <c r="H590">
        <v>16.392749140916312</v>
      </c>
      <c r="I590">
        <v>13.202498398318355</v>
      </c>
      <c r="J590">
        <v>0.29817647518086371</v>
      </c>
      <c r="K590">
        <v>0.11025817583462941</v>
      </c>
      <c r="L590">
        <v>16.389066950666148</v>
      </c>
      <c r="M590">
        <v>13.087078553309013</v>
      </c>
      <c r="N590">
        <v>0.38083014509806695</v>
      </c>
      <c r="O590">
        <v>0.14104567155274908</v>
      </c>
      <c r="P590">
        <v>16.391045630040185</v>
      </c>
      <c r="Q590">
        <v>13.068759732951065</v>
      </c>
      <c r="R590">
        <v>0.39394125835407345</v>
      </c>
      <c r="S590">
        <v>0.14593855889973725</v>
      </c>
      <c r="T590">
        <v>16.39136044979513</v>
      </c>
      <c r="U590">
        <v>1581.3874305914353</v>
      </c>
      <c r="V590">
        <v>10.269773933320383</v>
      </c>
      <c r="W590">
        <v>1330.6903288684348</v>
      </c>
      <c r="X590">
        <v>7.5795043849049364</v>
      </c>
      <c r="Y590">
        <v>2915.1650654416189</v>
      </c>
      <c r="Z590">
        <v>10.312632278814915</v>
      </c>
      <c r="AA590">
        <v>2752.7105550176507</v>
      </c>
      <c r="AB590">
        <v>7.6048371950823759</v>
      </c>
      <c r="AC590">
        <v>2241.8865406700165</v>
      </c>
      <c r="AD590">
        <v>10.289561593563693</v>
      </c>
      <c r="AE590">
        <v>2043.0665680107177</v>
      </c>
      <c r="AF590">
        <v>7.5912102554115197</v>
      </c>
      <c r="AG590">
        <v>2144.3946980617434</v>
      </c>
      <c r="AH590">
        <v>10.285899499496123</v>
      </c>
      <c r="AI590">
        <v>1930.7651910357604</v>
      </c>
      <c r="AJ590">
        <v>7.5890451214098071</v>
      </c>
    </row>
    <row r="591" spans="4:36" x14ac:dyDescent="0.55000000000000004">
      <c r="D591">
        <v>584</v>
      </c>
      <c r="E591">
        <v>11.859810050243544</v>
      </c>
      <c r="F591">
        <v>0.44006504662213797</v>
      </c>
      <c r="G591">
        <v>0.15700494033186974</v>
      </c>
      <c r="H591">
        <v>17.543119962802439</v>
      </c>
      <c r="I591">
        <v>12.010479652859971</v>
      </c>
      <c r="J591">
        <v>0.31817439301304273</v>
      </c>
      <c r="K591">
        <v>0.11326059094920664</v>
      </c>
      <c r="L591">
        <v>17.558085363177771</v>
      </c>
      <c r="M591">
        <v>11.959246869485566</v>
      </c>
      <c r="N591">
        <v>0.35963296766786595</v>
      </c>
      <c r="O591">
        <v>0.12811682521454712</v>
      </c>
      <c r="P591">
        <v>17.553003337632017</v>
      </c>
      <c r="Q591">
        <v>11.912978507893904</v>
      </c>
      <c r="R591">
        <v>0.39706397330591647</v>
      </c>
      <c r="S591">
        <v>0.14154969899286252</v>
      </c>
      <c r="T591">
        <v>17.54840781980732</v>
      </c>
      <c r="U591">
        <v>1483.6520877795945</v>
      </c>
      <c r="V591">
        <v>9.4749533749685586</v>
      </c>
      <c r="W591">
        <v>1267.8123580579313</v>
      </c>
      <c r="X591">
        <v>7.1132615676480304</v>
      </c>
      <c r="Y591">
        <v>2878.277033621519</v>
      </c>
      <c r="Z591">
        <v>9.4954334996156344</v>
      </c>
      <c r="AA591">
        <v>2729.7601310391074</v>
      </c>
      <c r="AB591">
        <v>7.1263972298903155</v>
      </c>
      <c r="AC591">
        <v>2191.8789496919103</v>
      </c>
      <c r="AD591">
        <v>9.4884656348676941</v>
      </c>
      <c r="AE591">
        <v>2014.8649643359979</v>
      </c>
      <c r="AF591">
        <v>7.1219331020485956</v>
      </c>
      <c r="AG591">
        <v>2087.5494805789235</v>
      </c>
      <c r="AH591">
        <v>9.4821764211496831</v>
      </c>
      <c r="AI591">
        <v>1896.1261635337473</v>
      </c>
      <c r="AJ591">
        <v>7.1178993874489418</v>
      </c>
    </row>
    <row r="592" spans="4:36" x14ac:dyDescent="0.55000000000000004">
      <c r="D592">
        <v>585</v>
      </c>
      <c r="E592">
        <v>12.77370766947587</v>
      </c>
      <c r="F592">
        <v>0.41956271050167432</v>
      </c>
      <c r="G592">
        <v>0.18593814811892062</v>
      </c>
      <c r="H592">
        <v>16.620791471903534</v>
      </c>
      <c r="I592">
        <v>13.010429707058616</v>
      </c>
      <c r="J592">
        <v>0.26035965815743389</v>
      </c>
      <c r="K592">
        <v>0.11497739580015674</v>
      </c>
      <c r="L592">
        <v>16.614233238983772</v>
      </c>
      <c r="M592">
        <v>12.911197244195536</v>
      </c>
      <c r="N592">
        <v>0.32714164262691264</v>
      </c>
      <c r="O592">
        <v>0.14468193311060659</v>
      </c>
      <c r="P592">
        <v>16.616979180066959</v>
      </c>
      <c r="Q592">
        <v>12.859757261907793</v>
      </c>
      <c r="R592">
        <v>0.36173449615713665</v>
      </c>
      <c r="S592">
        <v>0.16010379445834899</v>
      </c>
      <c r="T592">
        <v>16.618404447476717</v>
      </c>
      <c r="U592">
        <v>1542.9182468255053</v>
      </c>
      <c r="V592">
        <v>10.027595896963403</v>
      </c>
      <c r="W592">
        <v>1303.7826062631927</v>
      </c>
      <c r="X592">
        <v>7.4241091779744819</v>
      </c>
      <c r="Y592">
        <v>2886.3553140634167</v>
      </c>
      <c r="Z592">
        <v>10.073903479505994</v>
      </c>
      <c r="AA592">
        <v>2733.8503759426503</v>
      </c>
      <c r="AB592">
        <v>7.4517140162323425</v>
      </c>
      <c r="AC592">
        <v>2201.288742534713</v>
      </c>
      <c r="AD592">
        <v>10.054492346918741</v>
      </c>
      <c r="AE592">
        <v>2016.4633555440801</v>
      </c>
      <c r="AF592">
        <v>7.4401548331508751</v>
      </c>
      <c r="AG592">
        <v>2098.5941085956288</v>
      </c>
      <c r="AH592">
        <v>10.04442961848817</v>
      </c>
      <c r="AI592">
        <v>1898.508556527549</v>
      </c>
      <c r="AJ592">
        <v>7.4341556705677849</v>
      </c>
    </row>
    <row r="593" spans="4:36" x14ac:dyDescent="0.55000000000000004">
      <c r="D593">
        <v>586</v>
      </c>
      <c r="E593">
        <v>11.513939144287262</v>
      </c>
      <c r="F593">
        <v>0.40772038126426963</v>
      </c>
      <c r="G593">
        <v>0.15739781931324012</v>
      </c>
      <c r="H593">
        <v>17.920942655135235</v>
      </c>
      <c r="I593">
        <v>11.684052222277174</v>
      </c>
      <c r="J593">
        <v>0.27786943974180695</v>
      </c>
      <c r="K593">
        <v>0.10698830978165916</v>
      </c>
      <c r="L593">
        <v>17.931090028199343</v>
      </c>
      <c r="M593">
        <v>11.617924425555122</v>
      </c>
      <c r="N593">
        <v>0.32836517778776603</v>
      </c>
      <c r="O593">
        <v>0.12655942730126457</v>
      </c>
      <c r="P593">
        <v>17.927150969355832</v>
      </c>
      <c r="Q593">
        <v>11.573047710498253</v>
      </c>
      <c r="R593">
        <v>0.36261969320989107</v>
      </c>
      <c r="S593">
        <v>0.1398587997408092</v>
      </c>
      <c r="T593">
        <v>17.924473796551059</v>
      </c>
      <c r="U593">
        <v>1475.7507078738076</v>
      </c>
      <c r="V593">
        <v>9.0707575376917724</v>
      </c>
      <c r="W593">
        <v>1264.3711762990006</v>
      </c>
      <c r="X593">
        <v>6.8506560048667531</v>
      </c>
      <c r="Y593">
        <v>2868.8457181712665</v>
      </c>
      <c r="Z593">
        <v>9.0952038397267412</v>
      </c>
      <c r="AA593">
        <v>2725.8156431272973</v>
      </c>
      <c r="AB593">
        <v>6.8660316082096937</v>
      </c>
      <c r="AC593">
        <v>2176.2871533544048</v>
      </c>
      <c r="AD593">
        <v>9.0856979106526232</v>
      </c>
      <c r="AE593">
        <v>2005.542700265725</v>
      </c>
      <c r="AF593">
        <v>6.8600592718563442</v>
      </c>
      <c r="AG593">
        <v>2100.4050098650418</v>
      </c>
      <c r="AH593">
        <v>9.0792489792047419</v>
      </c>
      <c r="AI593">
        <v>1908.6089254148471</v>
      </c>
      <c r="AJ593">
        <v>6.8560029073566717</v>
      </c>
    </row>
    <row r="594" spans="4:36" x14ac:dyDescent="0.55000000000000004">
      <c r="D594">
        <v>587</v>
      </c>
      <c r="E594">
        <v>12.91343620127873</v>
      </c>
      <c r="F594">
        <v>0.47620264453201189</v>
      </c>
      <c r="G594">
        <v>0.190508100530347</v>
      </c>
      <c r="H594">
        <v>16.419853053658926</v>
      </c>
      <c r="I594">
        <v>13.164968233030502</v>
      </c>
      <c r="J594">
        <v>0.2963051619789715</v>
      </c>
      <c r="K594">
        <v>0.11809097062217935</v>
      </c>
      <c r="L594">
        <v>16.420635634368335</v>
      </c>
      <c r="M594">
        <v>13.045169458151136</v>
      </c>
      <c r="N594">
        <v>0.3820330428839766</v>
      </c>
      <c r="O594">
        <v>0.15253100115291218</v>
      </c>
      <c r="P594">
        <v>16.420266497811962</v>
      </c>
      <c r="Q594">
        <v>13.019070390924318</v>
      </c>
      <c r="R594">
        <v>0.40069822230484192</v>
      </c>
      <c r="S594">
        <v>0.16004616934351465</v>
      </c>
      <c r="T594">
        <v>16.420185217427342</v>
      </c>
      <c r="U594">
        <v>1587.7484089715331</v>
      </c>
      <c r="V594">
        <v>10.174917903758963</v>
      </c>
      <c r="W594">
        <v>1332.6563438979683</v>
      </c>
      <c r="X594">
        <v>7.5127049843478666</v>
      </c>
      <c r="Y594">
        <v>2900.377072371848</v>
      </c>
      <c r="Z594">
        <v>10.22148627051256</v>
      </c>
      <c r="AA594">
        <v>2741.3451999923204</v>
      </c>
      <c r="AB594">
        <v>7.5405856163907812</v>
      </c>
      <c r="AC594">
        <v>2252.6794168338911</v>
      </c>
      <c r="AD594">
        <v>10.199305523605185</v>
      </c>
      <c r="AE594">
        <v>2050.2533092466924</v>
      </c>
      <c r="AF594">
        <v>7.5273195948420994</v>
      </c>
      <c r="AG594">
        <v>2150.3602870412146</v>
      </c>
      <c r="AH594">
        <v>10.194473599944578</v>
      </c>
      <c r="AI594">
        <v>1933.9166825284292</v>
      </c>
      <c r="AJ594">
        <v>7.5244264023123648</v>
      </c>
    </row>
    <row r="595" spans="4:36" x14ac:dyDescent="0.55000000000000004">
      <c r="D595">
        <v>588</v>
      </c>
      <c r="E595">
        <v>13.185429905619019</v>
      </c>
      <c r="F595">
        <v>0.46937289341701288</v>
      </c>
      <c r="G595">
        <v>0.13984794916436333</v>
      </c>
      <c r="H595">
        <v>16.205349251799603</v>
      </c>
      <c r="I595">
        <v>13.435251731305792</v>
      </c>
      <c r="J595">
        <v>0.29369839808152476</v>
      </c>
      <c r="K595">
        <v>8.7199794289643195E-2</v>
      </c>
      <c r="L595">
        <v>16.18385007632304</v>
      </c>
      <c r="M595">
        <v>13.300398597361241</v>
      </c>
      <c r="N595">
        <v>0.38857393292236619</v>
      </c>
      <c r="O595">
        <v>0.11558655388052361</v>
      </c>
      <c r="P595">
        <v>16.195440915835881</v>
      </c>
      <c r="Q595">
        <v>13.279098310256328</v>
      </c>
      <c r="R595">
        <v>0.40354965441743346</v>
      </c>
      <c r="S595">
        <v>0.12007725662412262</v>
      </c>
      <c r="T595">
        <v>16.197274778702116</v>
      </c>
      <c r="U595">
        <v>1584.0044952392027</v>
      </c>
      <c r="V595">
        <v>10.353121556502785</v>
      </c>
      <c r="W595">
        <v>1332.2321183924212</v>
      </c>
      <c r="X595">
        <v>7.6208703861980718</v>
      </c>
      <c r="Y595">
        <v>2902.9423848685424</v>
      </c>
      <c r="Z595">
        <v>10.411129059951756</v>
      </c>
      <c r="AA595">
        <v>2744.5754957648896</v>
      </c>
      <c r="AB595">
        <v>7.6545468853484389</v>
      </c>
      <c r="AC595">
        <v>2239.9438153936189</v>
      </c>
      <c r="AD595">
        <v>10.37982466960927</v>
      </c>
      <c r="AE595">
        <v>2041.8909171356081</v>
      </c>
      <c r="AF595">
        <v>7.6363867476932743</v>
      </c>
      <c r="AG595">
        <v>2148.1547035584285</v>
      </c>
      <c r="AH595">
        <v>10.374878397474021</v>
      </c>
      <c r="AI595">
        <v>1933.6352802886054</v>
      </c>
      <c r="AJ595">
        <v>7.6335144030229083</v>
      </c>
    </row>
    <row r="596" spans="4:36" x14ac:dyDescent="0.55000000000000004">
      <c r="D596">
        <v>589</v>
      </c>
      <c r="E596">
        <v>14.048827979293797</v>
      </c>
      <c r="F596">
        <v>0.53159600349805003</v>
      </c>
      <c r="G596">
        <v>0.19228743818809482</v>
      </c>
      <c r="H596">
        <v>15.227288579020069</v>
      </c>
      <c r="I596">
        <v>14.302663825301527</v>
      </c>
      <c r="J596">
        <v>0.35157986620768195</v>
      </c>
      <c r="K596">
        <v>0.12675215937962517</v>
      </c>
      <c r="L596">
        <v>15.21900414911118</v>
      </c>
      <c r="M596">
        <v>14.185626767995258</v>
      </c>
      <c r="N596">
        <v>0.4346263944012001</v>
      </c>
      <c r="O596">
        <v>0.1569306132271038</v>
      </c>
      <c r="P596">
        <v>15.222816224376448</v>
      </c>
      <c r="Q596">
        <v>14.163946737905944</v>
      </c>
      <c r="R596">
        <v>0.45000142353114392</v>
      </c>
      <c r="S596">
        <v>0.16252803039662364</v>
      </c>
      <c r="T596">
        <v>15.223523808166295</v>
      </c>
      <c r="U596">
        <v>1653.8989606898908</v>
      </c>
      <c r="V596">
        <v>11.100802401652155</v>
      </c>
      <c r="W596">
        <v>1367.7521038640546</v>
      </c>
      <c r="X596">
        <v>8.0606285202769232</v>
      </c>
      <c r="Y596">
        <v>2995.0955886108973</v>
      </c>
      <c r="Z596">
        <v>11.145994121656253</v>
      </c>
      <c r="AA596">
        <v>2800.5483899265741</v>
      </c>
      <c r="AB596">
        <v>8.0866982046388074</v>
      </c>
      <c r="AC596">
        <v>2313.431198640666</v>
      </c>
      <c r="AD596">
        <v>11.125162270415709</v>
      </c>
      <c r="AE596">
        <v>2083.4663817119635</v>
      </c>
      <c r="AF596">
        <v>8.0746908956475547</v>
      </c>
      <c r="AG596">
        <v>2226.7576874936749</v>
      </c>
      <c r="AH596">
        <v>11.121302452904432</v>
      </c>
      <c r="AI596">
        <v>1978.2787617099718</v>
      </c>
      <c r="AJ596">
        <v>8.0724642714709152</v>
      </c>
    </row>
    <row r="597" spans="4:36" x14ac:dyDescent="0.55000000000000004">
      <c r="D597">
        <v>590</v>
      </c>
      <c r="E597">
        <v>11.788418675198573</v>
      </c>
      <c r="F597">
        <v>0.39939459353980572</v>
      </c>
      <c r="G597">
        <v>0.16034541508955966</v>
      </c>
      <c r="H597">
        <v>17.65184131617206</v>
      </c>
      <c r="I597">
        <v>12.005669651341353</v>
      </c>
      <c r="J597">
        <v>0.2470372585912802</v>
      </c>
      <c r="K597">
        <v>9.8833891656650866E-2</v>
      </c>
      <c r="L597">
        <v>17.648459198410716</v>
      </c>
      <c r="M597">
        <v>11.917188233920685</v>
      </c>
      <c r="N597">
        <v>0.3091258893661224</v>
      </c>
      <c r="O597">
        <v>0.12384871002376337</v>
      </c>
      <c r="P597">
        <v>17.64983716668943</v>
      </c>
      <c r="Q597">
        <v>11.865487289063607</v>
      </c>
      <c r="R597">
        <v>0.34538173168080044</v>
      </c>
      <c r="S597">
        <v>0.13848896612444109</v>
      </c>
      <c r="T597">
        <v>17.650642013131144</v>
      </c>
      <c r="U597">
        <v>1469.8685174365114</v>
      </c>
      <c r="V597">
        <v>9.2997365649910151</v>
      </c>
      <c r="W597">
        <v>1260.0846650739859</v>
      </c>
      <c r="X597">
        <v>6.9955718570708756</v>
      </c>
      <c r="Y597">
        <v>2843.5192293000782</v>
      </c>
      <c r="Z597">
        <v>9.3443447458595372</v>
      </c>
      <c r="AA597">
        <v>2708.91200254563</v>
      </c>
      <c r="AB597">
        <v>7.0226994564028127</v>
      </c>
      <c r="AC597">
        <v>2167.9041504681527</v>
      </c>
      <c r="AD597">
        <v>9.3261764226745125</v>
      </c>
      <c r="AE597">
        <v>2000.3515264256732</v>
      </c>
      <c r="AF597">
        <v>7.0116633743032084</v>
      </c>
      <c r="AG597">
        <v>2094.5509724370172</v>
      </c>
      <c r="AH597">
        <v>9.3155606782179703</v>
      </c>
      <c r="AI597">
        <v>1905.0668838136901</v>
      </c>
      <c r="AJ597">
        <v>7.0052069921759434</v>
      </c>
    </row>
    <row r="598" spans="4:36" x14ac:dyDescent="0.55000000000000004">
      <c r="D598">
        <v>591</v>
      </c>
      <c r="E598">
        <v>13.226116197463668</v>
      </c>
      <c r="F598">
        <v>0.47494939699109517</v>
      </c>
      <c r="G598">
        <v>0.17803976491554566</v>
      </c>
      <c r="H598">
        <v>16.12089464062969</v>
      </c>
      <c r="I598">
        <v>13.472815314585798</v>
      </c>
      <c r="J598">
        <v>0.30289391422779005</v>
      </c>
      <c r="K598">
        <v>0.11315799238418731</v>
      </c>
      <c r="L598">
        <v>16.111132778802222</v>
      </c>
      <c r="M598">
        <v>13.395175350484557</v>
      </c>
      <c r="N598">
        <v>0.35708253890056074</v>
      </c>
      <c r="O598">
        <v>0.13354420232082459</v>
      </c>
      <c r="P598">
        <v>16.114197908294077</v>
      </c>
      <c r="Q598">
        <v>13.290021157768269</v>
      </c>
      <c r="R598">
        <v>0.43041599065195735</v>
      </c>
      <c r="S598">
        <v>0.16120324837021677</v>
      </c>
      <c r="T598">
        <v>16.118359603209552</v>
      </c>
      <c r="U598">
        <v>1599.5696512663194</v>
      </c>
      <c r="V598">
        <v>10.398119772216416</v>
      </c>
      <c r="W598">
        <v>1339.5893383614398</v>
      </c>
      <c r="X598">
        <v>7.6447559010559312</v>
      </c>
      <c r="Y598">
        <v>2921.9360341593983</v>
      </c>
      <c r="Z598">
        <v>10.447815667509852</v>
      </c>
      <c r="AA598">
        <v>2755.5444075524601</v>
      </c>
      <c r="AB598">
        <v>7.6737837156911093</v>
      </c>
      <c r="AC598">
        <v>2264.8277788697164</v>
      </c>
      <c r="AD598">
        <v>10.432179932137482</v>
      </c>
      <c r="AE598">
        <v>2059.6690507260992</v>
      </c>
      <c r="AF598">
        <v>7.6646611077735454</v>
      </c>
      <c r="AG598">
        <v>2177.9640207432044</v>
      </c>
      <c r="AH598">
        <v>10.410996860237079</v>
      </c>
      <c r="AI598">
        <v>1950.4019834509534</v>
      </c>
      <c r="AJ598">
        <v>7.6522867905975911</v>
      </c>
    </row>
    <row r="599" spans="4:36" x14ac:dyDescent="0.55000000000000004">
      <c r="D599">
        <v>592</v>
      </c>
      <c r="E599">
        <v>14.177969550846633</v>
      </c>
      <c r="F599">
        <v>0.46548766551576198</v>
      </c>
      <c r="G599">
        <v>0.18231656817687489</v>
      </c>
      <c r="H599">
        <v>15.174226215460738</v>
      </c>
      <c r="I599">
        <v>14.435208405949691</v>
      </c>
      <c r="J599">
        <v>0.3047032508219783</v>
      </c>
      <c r="K599">
        <v>0.11892495317956291</v>
      </c>
      <c r="L599">
        <v>15.141163390048769</v>
      </c>
      <c r="M599">
        <v>14.350440040269962</v>
      </c>
      <c r="N599">
        <v>0.35773606867120367</v>
      </c>
      <c r="O599">
        <v>0.13978404127490601</v>
      </c>
      <c r="P599">
        <v>15.152039849783923</v>
      </c>
      <c r="Q599">
        <v>14.290243998280092</v>
      </c>
      <c r="R599">
        <v>0.39536665017517175</v>
      </c>
      <c r="S599">
        <v>0.15461469497938435</v>
      </c>
      <c r="T599">
        <v>15.159774656565361</v>
      </c>
      <c r="U599">
        <v>1613.3484008788971</v>
      </c>
      <c r="V599">
        <v>11.182398863338385</v>
      </c>
      <c r="W599">
        <v>1344.6617091306362</v>
      </c>
      <c r="X599">
        <v>8.1163298704249058</v>
      </c>
      <c r="Y599">
        <v>2942.4088286646111</v>
      </c>
      <c r="Z599">
        <v>11.247586442862946</v>
      </c>
      <c r="AA599">
        <v>2766.6951987370958</v>
      </c>
      <c r="AB599">
        <v>8.1532819443480005</v>
      </c>
      <c r="AC599">
        <v>2287.2020452892307</v>
      </c>
      <c r="AD599">
        <v>11.226116223159872</v>
      </c>
      <c r="AE599">
        <v>2071.3147059556995</v>
      </c>
      <c r="AF599">
        <v>8.1411230136399695</v>
      </c>
      <c r="AG599">
        <v>2173.7416757442757</v>
      </c>
      <c r="AH599">
        <v>11.210863073507701</v>
      </c>
      <c r="AI599">
        <v>1945.0031945530393</v>
      </c>
      <c r="AJ599">
        <v>8.1324780007648823</v>
      </c>
    </row>
    <row r="600" spans="4:36" x14ac:dyDescent="0.55000000000000004">
      <c r="D600">
        <v>593</v>
      </c>
      <c r="E600">
        <v>12.607850981631538</v>
      </c>
      <c r="F600">
        <v>0.48270610668703356</v>
      </c>
      <c r="G600">
        <v>0.18844978438756921</v>
      </c>
      <c r="H600">
        <v>16.720993127293863</v>
      </c>
      <c r="I600">
        <v>12.863286144186207</v>
      </c>
      <c r="J600">
        <v>0.2951169140310167</v>
      </c>
      <c r="K600">
        <v>0.11476875917396091</v>
      </c>
      <c r="L600">
        <v>16.726828182608816</v>
      </c>
      <c r="M600">
        <v>12.774112345814229</v>
      </c>
      <c r="N600">
        <v>0.3606477572849317</v>
      </c>
      <c r="O600">
        <v>0.14044207448936033</v>
      </c>
      <c r="P600">
        <v>16.724797822411475</v>
      </c>
      <c r="Q600">
        <v>12.736604270192277</v>
      </c>
      <c r="R600">
        <v>0.38819764974401066</v>
      </c>
      <c r="S600">
        <v>0.15125639469542676</v>
      </c>
      <c r="T600">
        <v>16.723941685368288</v>
      </c>
      <c r="U600">
        <v>1571.5222436291392</v>
      </c>
      <c r="V600">
        <v>9.9609371591430111</v>
      </c>
      <c r="W600">
        <v>1321.0095269445958</v>
      </c>
      <c r="X600">
        <v>7.3860980415884194</v>
      </c>
      <c r="Y600">
        <v>2897.914335080779</v>
      </c>
      <c r="Z600">
        <v>10.002494292076959</v>
      </c>
      <c r="AA600">
        <v>2740.2419677689286</v>
      </c>
      <c r="AB600">
        <v>7.4113210706505406</v>
      </c>
      <c r="AC600">
        <v>2244.6348263990326</v>
      </c>
      <c r="AD600">
        <v>9.9879831952048157</v>
      </c>
      <c r="AE600">
        <v>2046.8276913256207</v>
      </c>
      <c r="AF600">
        <v>7.4025259523441749</v>
      </c>
      <c r="AG600">
        <v>2136.3471533393208</v>
      </c>
      <c r="AH600">
        <v>9.9818806154180546</v>
      </c>
      <c r="AI600">
        <v>1925.3787981627886</v>
      </c>
      <c r="AJ600">
        <v>7.3988232640224405</v>
      </c>
    </row>
    <row r="601" spans="4:36" x14ac:dyDescent="0.55000000000000004">
      <c r="D601">
        <v>594</v>
      </c>
      <c r="E601">
        <v>11.486407096019542</v>
      </c>
      <c r="F601">
        <v>0.44442283147388512</v>
      </c>
      <c r="G601">
        <v>0.16222621897147749</v>
      </c>
      <c r="H601">
        <v>17.90694385353509</v>
      </c>
      <c r="I601">
        <v>11.708266234119225</v>
      </c>
      <c r="J601">
        <v>0.27011564953804434</v>
      </c>
      <c r="K601">
        <v>9.8268427732865551E-2</v>
      </c>
      <c r="L601">
        <v>17.923349688609864</v>
      </c>
      <c r="M601">
        <v>11.641608686615676</v>
      </c>
      <c r="N601">
        <v>0.32251257244212617</v>
      </c>
      <c r="O601">
        <v>0.11744847237923907</v>
      </c>
      <c r="P601">
        <v>17.918430268562961</v>
      </c>
      <c r="Q601">
        <v>11.580360421588825</v>
      </c>
      <c r="R601">
        <v>0.37063758270773373</v>
      </c>
      <c r="S601">
        <v>0.13509926075087575</v>
      </c>
      <c r="T601">
        <v>17.913902734952568</v>
      </c>
      <c r="U601">
        <v>1487.1196298371501</v>
      </c>
      <c r="V601">
        <v>9.1516635457975504</v>
      </c>
      <c r="W601">
        <v>1273.7275099854819</v>
      </c>
      <c r="X601">
        <v>6.911712375028598</v>
      </c>
      <c r="Y601">
        <v>2851.524821908351</v>
      </c>
      <c r="Z601">
        <v>9.1841477768830551</v>
      </c>
      <c r="AA601">
        <v>2715.7305710132305</v>
      </c>
      <c r="AB601">
        <v>6.9322495547122234</v>
      </c>
      <c r="AC601">
        <v>2139.3854924127954</v>
      </c>
      <c r="AD601">
        <v>9.1743826200184362</v>
      </c>
      <c r="AE601">
        <v>1980.8581989588442</v>
      </c>
      <c r="AF601">
        <v>6.926085967059179</v>
      </c>
      <c r="AG601">
        <v>2036.2332423466651</v>
      </c>
      <c r="AH601">
        <v>9.1654138878552267</v>
      </c>
      <c r="AI601">
        <v>1862.3737336786905</v>
      </c>
      <c r="AJ601">
        <v>6.9204174290887774</v>
      </c>
    </row>
    <row r="602" spans="4:36" x14ac:dyDescent="0.55000000000000004">
      <c r="D602">
        <v>595</v>
      </c>
      <c r="E602">
        <v>13.129885217274527</v>
      </c>
      <c r="F602">
        <v>0.47566180834057326</v>
      </c>
      <c r="G602">
        <v>0.15576955894879385</v>
      </c>
      <c r="H602">
        <v>16.238683415436096</v>
      </c>
      <c r="I602">
        <v>13.37676384535528</v>
      </c>
      <c r="J602">
        <v>0.2959589456977384</v>
      </c>
      <c r="K602">
        <v>9.6606327858154761E-2</v>
      </c>
      <c r="L602">
        <v>16.230670881088816</v>
      </c>
      <c r="M602">
        <v>13.251694435877464</v>
      </c>
      <c r="N602">
        <v>0.38704025479860088</v>
      </c>
      <c r="O602">
        <v>0.12654410988061715</v>
      </c>
      <c r="P602">
        <v>16.234721199443339</v>
      </c>
      <c r="Q602">
        <v>13.219505809790212</v>
      </c>
      <c r="R602">
        <v>0.41046714392749539</v>
      </c>
      <c r="S602">
        <v>0.13426050126863368</v>
      </c>
      <c r="T602">
        <v>16.235766545013664</v>
      </c>
      <c r="U602">
        <v>1570.1515293128559</v>
      </c>
      <c r="V602">
        <v>10.29694362615326</v>
      </c>
      <c r="W602">
        <v>1320.0603364331785</v>
      </c>
      <c r="X602">
        <v>7.581651868828434</v>
      </c>
      <c r="Y602">
        <v>2917.0994857264277</v>
      </c>
      <c r="Z602">
        <v>10.343294550748517</v>
      </c>
      <c r="AA602">
        <v>2754.0070732195936</v>
      </c>
      <c r="AB602">
        <v>7.6087749439101753</v>
      </c>
      <c r="AC602">
        <v>2259.7032399639247</v>
      </c>
      <c r="AD602">
        <v>10.319817875521073</v>
      </c>
      <c r="AE602">
        <v>2055.4459211331082</v>
      </c>
      <c r="AF602">
        <v>7.5950484743899276</v>
      </c>
      <c r="AG602">
        <v>2159.1007852528792</v>
      </c>
      <c r="AH602">
        <v>10.313774175122523</v>
      </c>
      <c r="AI602">
        <v>1940.006874968931</v>
      </c>
      <c r="AJ602">
        <v>7.5915110615278172</v>
      </c>
    </row>
    <row r="603" spans="4:36" x14ac:dyDescent="0.55000000000000004">
      <c r="D603">
        <v>596</v>
      </c>
      <c r="E603">
        <v>11.812648277361172</v>
      </c>
      <c r="F603">
        <v>0.41525647798143828</v>
      </c>
      <c r="G603">
        <v>0.16825757980116915</v>
      </c>
      <c r="H603">
        <v>17.603837664856229</v>
      </c>
      <c r="I603">
        <v>11.999093368274458</v>
      </c>
      <c r="J603">
        <v>0.27884669640871584</v>
      </c>
      <c r="K603">
        <v>0.11265658898380221</v>
      </c>
      <c r="L603">
        <v>17.609403346333036</v>
      </c>
      <c r="M603">
        <v>11.924730767404338</v>
      </c>
      <c r="N603">
        <v>0.3332779902376084</v>
      </c>
      <c r="O603">
        <v>0.13480350696591778</v>
      </c>
      <c r="P603">
        <v>17.607187735392138</v>
      </c>
      <c r="Q603">
        <v>11.916693766771022</v>
      </c>
      <c r="R603">
        <v>0.33915886565811165</v>
      </c>
      <c r="S603">
        <v>0.1371994267678677</v>
      </c>
      <c r="T603">
        <v>17.606947940803003</v>
      </c>
      <c r="U603">
        <v>1514.7235252856913</v>
      </c>
      <c r="V603">
        <v>9.2574872067183716</v>
      </c>
      <c r="W603">
        <v>1291.2533734930093</v>
      </c>
      <c r="X603">
        <v>6.9576495878474329</v>
      </c>
      <c r="Y603">
        <v>2873.8288822809791</v>
      </c>
      <c r="Z603">
        <v>9.2892277645980474</v>
      </c>
      <c r="AA603">
        <v>2728.1569985430915</v>
      </c>
      <c r="AB603">
        <v>6.9772299135700777</v>
      </c>
      <c r="AC603">
        <v>2188.6690795074501</v>
      </c>
      <c r="AD603">
        <v>9.2765659478836362</v>
      </c>
      <c r="AE603">
        <v>2012.8702960165676</v>
      </c>
      <c r="AF603">
        <v>6.9694272684135399</v>
      </c>
      <c r="AG603">
        <v>2090.8499272797117</v>
      </c>
      <c r="AH603">
        <v>9.2751976568346404</v>
      </c>
      <c r="AI603">
        <v>1901.5575384997292</v>
      </c>
      <c r="AJ603">
        <v>6.9685834277224714</v>
      </c>
    </row>
    <row r="604" spans="4:36" x14ac:dyDescent="0.55000000000000004">
      <c r="D604">
        <v>597</v>
      </c>
      <c r="E604">
        <v>11.657603752133351</v>
      </c>
      <c r="F604">
        <v>0.43156433134099487</v>
      </c>
      <c r="G604">
        <v>0.16504236378763737</v>
      </c>
      <c r="H604">
        <v>17.745789552738014</v>
      </c>
      <c r="I604">
        <v>11.844032761137047</v>
      </c>
      <c r="J604">
        <v>0.2862025155845474</v>
      </c>
      <c r="K604">
        <v>0.10913136904231698</v>
      </c>
      <c r="L604">
        <v>17.760633354236099</v>
      </c>
      <c r="M604">
        <v>11.757703698966269</v>
      </c>
      <c r="N604">
        <v>0.35353710826601076</v>
      </c>
      <c r="O604">
        <v>0.13498917811294689</v>
      </c>
      <c r="P604">
        <v>17.753770014654769</v>
      </c>
      <c r="Q604">
        <v>11.73030435889603</v>
      </c>
      <c r="R604">
        <v>0.37489988720207473</v>
      </c>
      <c r="S604">
        <v>0.14320775720797527</v>
      </c>
      <c r="T604">
        <v>17.75158799669391</v>
      </c>
      <c r="U604">
        <v>1510.3568084091535</v>
      </c>
      <c r="V604">
        <v>9.2460751340820284</v>
      </c>
      <c r="W604">
        <v>1287.2212829189637</v>
      </c>
      <c r="X604">
        <v>6.9634528111251059</v>
      </c>
      <c r="Y604">
        <v>2880.5537052809223</v>
      </c>
      <c r="Z604">
        <v>9.2707469267050708</v>
      </c>
      <c r="AA604">
        <v>2733.0633904762585</v>
      </c>
      <c r="AB604">
        <v>6.9791362818530702</v>
      </c>
      <c r="AC604">
        <v>2213.9540459136983</v>
      </c>
      <c r="AD604">
        <v>9.2593170503739888</v>
      </c>
      <c r="AE604">
        <v>2030.8057011521832</v>
      </c>
      <c r="AF604">
        <v>6.9718784222793193</v>
      </c>
      <c r="AG604">
        <v>2074.2818751672903</v>
      </c>
      <c r="AH604">
        <v>9.2556912728852048</v>
      </c>
      <c r="AI604">
        <v>1886.5176663104917</v>
      </c>
      <c r="AJ604">
        <v>6.9695732397387333</v>
      </c>
    </row>
    <row r="605" spans="4:36" x14ac:dyDescent="0.55000000000000004">
      <c r="D605">
        <v>598</v>
      </c>
      <c r="E605">
        <v>12.544762484482913</v>
      </c>
      <c r="F605">
        <v>0.44037871591327526</v>
      </c>
      <c r="G605">
        <v>0.17910869173564981</v>
      </c>
      <c r="H605">
        <v>16.835750107868162</v>
      </c>
      <c r="I605">
        <v>12.7612067866866</v>
      </c>
      <c r="J605">
        <v>0.2840112381121187</v>
      </c>
      <c r="K605">
        <v>0.11514213163304994</v>
      </c>
      <c r="L605">
        <v>16.839639843568214</v>
      </c>
      <c r="M605">
        <v>12.64588320124386</v>
      </c>
      <c r="N605">
        <v>0.36735998309553913</v>
      </c>
      <c r="O605">
        <v>0.14918652021980558</v>
      </c>
      <c r="P605">
        <v>16.837570295440802</v>
      </c>
      <c r="Q605">
        <v>12.636331185612658</v>
      </c>
      <c r="R605">
        <v>0.37426005450057559</v>
      </c>
      <c r="S605">
        <v>0.15201018048843276</v>
      </c>
      <c r="T605">
        <v>16.837398579398322</v>
      </c>
      <c r="U605">
        <v>1517.5109378247391</v>
      </c>
      <c r="V605">
        <v>9.8228533843896617</v>
      </c>
      <c r="W605">
        <v>1288.9322387471436</v>
      </c>
      <c r="X605">
        <v>7.2954906930043677</v>
      </c>
      <c r="Y605">
        <v>2876.292374951192</v>
      </c>
      <c r="Z605">
        <v>9.8590771472642817</v>
      </c>
      <c r="AA605">
        <v>2728.1193299244528</v>
      </c>
      <c r="AB605">
        <v>7.3174237623667144</v>
      </c>
      <c r="AC605">
        <v>2208.662206656667</v>
      </c>
      <c r="AD605">
        <v>9.8397750678208755</v>
      </c>
      <c r="AE605">
        <v>2023.3626058463894</v>
      </c>
      <c r="AF605">
        <v>7.3057464221665773</v>
      </c>
      <c r="AG605">
        <v>2085.7270242404261</v>
      </c>
      <c r="AH605">
        <v>9.8381764908743801</v>
      </c>
      <c r="AI605">
        <v>1892.8091407501211</v>
      </c>
      <c r="AJ605">
        <v>7.3047783150198082</v>
      </c>
    </row>
    <row r="606" spans="4:36" x14ac:dyDescent="0.55000000000000004">
      <c r="D606">
        <v>599</v>
      </c>
      <c r="E606">
        <v>12.88621915770022</v>
      </c>
      <c r="F606">
        <v>0.4926400529864155</v>
      </c>
      <c r="G606">
        <v>0.17715859327673344</v>
      </c>
      <c r="H606">
        <v>16.443982196036636</v>
      </c>
      <c r="I606">
        <v>13.127174130619453</v>
      </c>
      <c r="J606">
        <v>0.31192277986177464</v>
      </c>
      <c r="K606">
        <v>0.11178182671178465</v>
      </c>
      <c r="L606">
        <v>16.449121262806973</v>
      </c>
      <c r="M606">
        <v>13.019348424994529</v>
      </c>
      <c r="N606">
        <v>0.39283124778896245</v>
      </c>
      <c r="O606">
        <v>0.14099451712953154</v>
      </c>
      <c r="P606">
        <v>16.446825810086978</v>
      </c>
      <c r="Q606">
        <v>13.004717351239483</v>
      </c>
      <c r="R606">
        <v>0.40380505823512325</v>
      </c>
      <c r="S606">
        <v>0.14496378205558746</v>
      </c>
      <c r="T606">
        <v>16.446513808469803</v>
      </c>
      <c r="U606">
        <v>1593.2815485519327</v>
      </c>
      <c r="V606">
        <v>10.243856171121751</v>
      </c>
      <c r="W606">
        <v>1334.5256142408787</v>
      </c>
      <c r="X606">
        <v>7.5659695578083035</v>
      </c>
      <c r="Y606">
        <v>2916.2039761808401</v>
      </c>
      <c r="Z606">
        <v>10.287142207376496</v>
      </c>
      <c r="AA606">
        <v>2751.2553441513655</v>
      </c>
      <c r="AB606">
        <v>7.5921762700352042</v>
      </c>
      <c r="AC606">
        <v>2282.5932321896139</v>
      </c>
      <c r="AD606">
        <v>10.267768394662111</v>
      </c>
      <c r="AE606">
        <v>2070.8788651733266</v>
      </c>
      <c r="AF606">
        <v>7.5804595431822532</v>
      </c>
      <c r="AG606">
        <v>2140.4451236931918</v>
      </c>
      <c r="AH606">
        <v>10.265139973551808</v>
      </c>
      <c r="AI606">
        <v>1925.5534794893972</v>
      </c>
      <c r="AJ606">
        <v>7.5788683628229423</v>
      </c>
    </row>
    <row r="607" spans="4:36" x14ac:dyDescent="0.55000000000000004">
      <c r="D607">
        <v>600</v>
      </c>
      <c r="E607">
        <v>11.50827980660846</v>
      </c>
      <c r="F607">
        <v>0.39464625205622872</v>
      </c>
      <c r="G607">
        <v>0.16584782056014399</v>
      </c>
      <c r="H607">
        <v>17.931226120775179</v>
      </c>
      <c r="I607">
        <v>11.687943648461497</v>
      </c>
      <c r="J607">
        <v>0.26198228293906639</v>
      </c>
      <c r="K607">
        <v>0.10979291366505917</v>
      </c>
      <c r="L607">
        <v>17.940281154934379</v>
      </c>
      <c r="M607">
        <v>11.611853645859979</v>
      </c>
      <c r="N607">
        <v>0.31819072108030194</v>
      </c>
      <c r="O607">
        <v>0.1335045516060468</v>
      </c>
      <c r="P607">
        <v>17.936451081453676</v>
      </c>
      <c r="Q607">
        <v>11.575607201365649</v>
      </c>
      <c r="R607">
        <v>0.34495421733688802</v>
      </c>
      <c r="S607">
        <v>0.14481450490820019</v>
      </c>
      <c r="T607">
        <v>17.934624076389273</v>
      </c>
      <c r="U607">
        <v>1460.3835409849207</v>
      </c>
      <c r="V607">
        <v>9.1502075635359681</v>
      </c>
      <c r="W607">
        <v>1255.924285340398</v>
      </c>
      <c r="X607">
        <v>6.9126683794787969</v>
      </c>
      <c r="Y607">
        <v>2846.8206816092688</v>
      </c>
      <c r="Z607">
        <v>9.1788844253745125</v>
      </c>
      <c r="AA607">
        <v>2711.8819877243263</v>
      </c>
      <c r="AB607">
        <v>6.9305668885455063</v>
      </c>
      <c r="AC607">
        <v>2194.2916120674608</v>
      </c>
      <c r="AD607">
        <v>9.1667367198183758</v>
      </c>
      <c r="AE607">
        <v>2021.7883164342957</v>
      </c>
      <c r="AF607">
        <v>6.9229928241157843</v>
      </c>
      <c r="AG607">
        <v>2033.8223352766286</v>
      </c>
      <c r="AH607">
        <v>9.1609513846090316</v>
      </c>
      <c r="AI607">
        <v>1861.3738723250674</v>
      </c>
      <c r="AJ607">
        <v>6.9193816349575474</v>
      </c>
    </row>
    <row r="608" spans="4:36" x14ac:dyDescent="0.55000000000000004">
      <c r="D608">
        <v>601</v>
      </c>
      <c r="E608">
        <v>12.366225414559015</v>
      </c>
      <c r="F608">
        <v>0.47351946104772524</v>
      </c>
      <c r="G608">
        <v>0.17973088897904638</v>
      </c>
      <c r="H608">
        <v>16.980524235414201</v>
      </c>
      <c r="I608">
        <v>12.596492205944196</v>
      </c>
      <c r="J608">
        <v>0.30172650135489582</v>
      </c>
      <c r="K608">
        <v>0.11411215863420499</v>
      </c>
      <c r="L608">
        <v>16.987669134066703</v>
      </c>
      <c r="M608">
        <v>12.536594863187792</v>
      </c>
      <c r="N608">
        <v>0.34644209665483894</v>
      </c>
      <c r="O608">
        <v>0.1311457598689286</v>
      </c>
      <c r="P608">
        <v>16.985817280288433</v>
      </c>
      <c r="Q608">
        <v>12.465256067005015</v>
      </c>
      <c r="R608">
        <v>0.39967306172401695</v>
      </c>
      <c r="S608">
        <v>0.15146528992607661</v>
      </c>
      <c r="T608">
        <v>16.983605581344889</v>
      </c>
      <c r="U608">
        <v>1541.6414372466791</v>
      </c>
      <c r="V608">
        <v>9.8215241643938267</v>
      </c>
      <c r="W608">
        <v>1299.2680097187113</v>
      </c>
      <c r="X608">
        <v>7.312832695504123</v>
      </c>
      <c r="Y608">
        <v>2901.8311815764837</v>
      </c>
      <c r="Z608">
        <v>9.864545024364423</v>
      </c>
      <c r="AA608">
        <v>2742.5435473914931</v>
      </c>
      <c r="AB608">
        <v>7.3392403970747937</v>
      </c>
      <c r="AC608">
        <v>2227.25801668343</v>
      </c>
      <c r="AD608">
        <v>9.8533503024203117</v>
      </c>
      <c r="AE608">
        <v>2035.1146137882783</v>
      </c>
      <c r="AF608">
        <v>7.3323792472817768</v>
      </c>
      <c r="AG608">
        <v>2133.9080297643532</v>
      </c>
      <c r="AH608">
        <v>9.8400209090234174</v>
      </c>
      <c r="AI608">
        <v>1922.538376111974</v>
      </c>
      <c r="AJ608">
        <v>7.3242001354087538</v>
      </c>
    </row>
    <row r="609" spans="4:36" x14ac:dyDescent="0.55000000000000004">
      <c r="D609">
        <v>602</v>
      </c>
      <c r="E609">
        <v>13.259088665717533</v>
      </c>
      <c r="F609">
        <v>0.50383814463124454</v>
      </c>
      <c r="G609">
        <v>0.18478458255859806</v>
      </c>
      <c r="H609">
        <v>16.052288607092613</v>
      </c>
      <c r="I609">
        <v>13.5365079376467</v>
      </c>
      <c r="J609">
        <v>0.30502509844542885</v>
      </c>
      <c r="K609">
        <v>0.111452913241149</v>
      </c>
      <c r="L609">
        <v>16.047014050666732</v>
      </c>
      <c r="M609">
        <v>13.433471296123768</v>
      </c>
      <c r="N609">
        <v>0.37891880107157661</v>
      </c>
      <c r="O609">
        <v>0.13864365084691627</v>
      </c>
      <c r="P609">
        <v>16.048966251957758</v>
      </c>
      <c r="Q609">
        <v>13.362737136558382</v>
      </c>
      <c r="R609">
        <v>0.42961082586284088</v>
      </c>
      <c r="S609">
        <v>0.15734095814745777</v>
      </c>
      <c r="T609">
        <v>16.050311079431324</v>
      </c>
      <c r="U609">
        <v>1563.8100702828333</v>
      </c>
      <c r="V609">
        <v>10.484924395639863</v>
      </c>
      <c r="W609">
        <v>1310.0896215555781</v>
      </c>
      <c r="X609">
        <v>7.7022366763943513</v>
      </c>
      <c r="Y609">
        <v>2917.1913509724454</v>
      </c>
      <c r="Z609">
        <v>10.539467439537272</v>
      </c>
      <c r="AA609">
        <v>2751.3992139607831</v>
      </c>
      <c r="AB609">
        <v>7.7342079822922019</v>
      </c>
      <c r="AC609">
        <v>2252.5735040100653</v>
      </c>
      <c r="AD609">
        <v>10.519214043426306</v>
      </c>
      <c r="AE609">
        <v>2048.3099771694324</v>
      </c>
      <c r="AF609">
        <v>7.7223501823679763</v>
      </c>
      <c r="AG609">
        <v>2142.8604582929725</v>
      </c>
      <c r="AH609">
        <v>10.505307115942651</v>
      </c>
      <c r="AI609">
        <v>1923.8264161972365</v>
      </c>
      <c r="AJ609">
        <v>7.7141984856952286</v>
      </c>
    </row>
    <row r="610" spans="4:36" x14ac:dyDescent="0.55000000000000004">
      <c r="D610">
        <v>603</v>
      </c>
      <c r="E610">
        <v>12.673998268023267</v>
      </c>
      <c r="F610">
        <v>0.46129108695255339</v>
      </c>
      <c r="G610">
        <v>0.15338631135585767</v>
      </c>
      <c r="H610">
        <v>16.711324333668323</v>
      </c>
      <c r="I610">
        <v>12.909186394224527</v>
      </c>
      <c r="J610">
        <v>0.29167127074771532</v>
      </c>
      <c r="K610">
        <v>9.6658052297279778E-2</v>
      </c>
      <c r="L610">
        <v>16.70248428273046</v>
      </c>
      <c r="M610">
        <v>12.79802827216356</v>
      </c>
      <c r="N610">
        <v>0.37188036882855607</v>
      </c>
      <c r="O610">
        <v>0.12343498861584908</v>
      </c>
      <c r="P610">
        <v>16.706656370392032</v>
      </c>
      <c r="Q610">
        <v>12.770997613161873</v>
      </c>
      <c r="R610">
        <v>0.39137403054439474</v>
      </c>
      <c r="S610">
        <v>0.1299558190636631</v>
      </c>
      <c r="T610">
        <v>16.707672537230096</v>
      </c>
      <c r="U610">
        <v>1544.6530990705144</v>
      </c>
      <c r="V610">
        <v>10.023895520203492</v>
      </c>
      <c r="W610">
        <v>1306.08691139746</v>
      </c>
      <c r="X610">
        <v>7.4319430625264156</v>
      </c>
      <c r="Y610">
        <v>2899.4007905423887</v>
      </c>
      <c r="Z610">
        <v>10.071133928914861</v>
      </c>
      <c r="AA610">
        <v>2743.7310772418591</v>
      </c>
      <c r="AB610">
        <v>7.4599605790262062</v>
      </c>
      <c r="AC610">
        <v>2218.0096580488698</v>
      </c>
      <c r="AD610">
        <v>10.048810071520217</v>
      </c>
      <c r="AE610">
        <v>2028.7379696904477</v>
      </c>
      <c r="AF610">
        <v>7.4467323850901517</v>
      </c>
      <c r="AG610">
        <v>2119.4521746947898</v>
      </c>
      <c r="AH610">
        <v>10.043380791948865</v>
      </c>
      <c r="AI610">
        <v>1915.3563758770747</v>
      </c>
      <c r="AJ610">
        <v>7.4435119057135299</v>
      </c>
    </row>
    <row r="611" spans="4:36" x14ac:dyDescent="0.55000000000000004">
      <c r="D611">
        <v>604</v>
      </c>
      <c r="E611">
        <v>14.702894228835829</v>
      </c>
      <c r="F611">
        <v>0.54617746826870883</v>
      </c>
      <c r="G611">
        <v>0.18168783326689919</v>
      </c>
      <c r="H611">
        <v>14.569240469628557</v>
      </c>
      <c r="I611">
        <v>14.955897106150145</v>
      </c>
      <c r="J611">
        <v>0.37546098399547151</v>
      </c>
      <c r="K611">
        <v>0.124518274508642</v>
      </c>
      <c r="L611">
        <v>14.544123635345725</v>
      </c>
      <c r="M611">
        <v>14.883681926405725</v>
      </c>
      <c r="N611">
        <v>0.42422815049568968</v>
      </c>
      <c r="O611">
        <v>0.14081328855673417</v>
      </c>
      <c r="P611">
        <v>14.551276634541864</v>
      </c>
      <c r="Q611">
        <v>14.799854024084889</v>
      </c>
      <c r="R611">
        <v>0.48079830019835551</v>
      </c>
      <c r="S611">
        <v>0.15975165757352228</v>
      </c>
      <c r="T611">
        <v>14.559596018143221</v>
      </c>
      <c r="U611">
        <v>1702.2923002370883</v>
      </c>
      <c r="V611">
        <v>11.610610258820188</v>
      </c>
      <c r="W611">
        <v>1397.6030671325711</v>
      </c>
      <c r="X611">
        <v>8.3635166691723661</v>
      </c>
      <c r="Y611">
        <v>3021.0158874927915</v>
      </c>
      <c r="Z611">
        <v>11.672442270869647</v>
      </c>
      <c r="AA611">
        <v>2814.6342468771609</v>
      </c>
      <c r="AB611">
        <v>8.398389231549853</v>
      </c>
      <c r="AC611">
        <v>2339.134262733889</v>
      </c>
      <c r="AD611">
        <v>11.65480279562775</v>
      </c>
      <c r="AE611">
        <v>2099.5139015416548</v>
      </c>
      <c r="AF611">
        <v>8.3884500830942024</v>
      </c>
      <c r="AG611">
        <v>2250.8862454593309</v>
      </c>
      <c r="AH611">
        <v>11.634317404788037</v>
      </c>
      <c r="AI611">
        <v>1989.8206007937747</v>
      </c>
      <c r="AJ611">
        <v>8.3768980702084495</v>
      </c>
    </row>
    <row r="612" spans="4:36" x14ac:dyDescent="0.55000000000000004">
      <c r="D612">
        <v>605</v>
      </c>
      <c r="E612">
        <v>11.974541005902157</v>
      </c>
      <c r="F612">
        <v>0.39313894179678927</v>
      </c>
      <c r="G612">
        <v>0.15326760927914945</v>
      </c>
      <c r="H612">
        <v>17.479052443021917</v>
      </c>
      <c r="I612">
        <v>12.172798043969953</v>
      </c>
      <c r="J612">
        <v>0.25820573611563902</v>
      </c>
      <c r="K612">
        <v>0.10034098474721033</v>
      </c>
      <c r="L612">
        <v>17.468655235167212</v>
      </c>
      <c r="M612">
        <v>12.08486399898945</v>
      </c>
      <c r="N612">
        <v>0.31808610040454383</v>
      </c>
      <c r="O612">
        <v>0.12378618853802238</v>
      </c>
      <c r="P612">
        <v>17.47326371206799</v>
      </c>
      <c r="Q612">
        <v>12.06119485077463</v>
      </c>
      <c r="R612">
        <v>0.33419518465027687</v>
      </c>
      <c r="S612">
        <v>0.13010496170127339</v>
      </c>
      <c r="T612">
        <v>17.474505002873823</v>
      </c>
      <c r="U612">
        <v>1499.327567130309</v>
      </c>
      <c r="V612">
        <v>9.4032514943457226</v>
      </c>
      <c r="W612">
        <v>1280.7623313230968</v>
      </c>
      <c r="X612">
        <v>7.0537755845832848</v>
      </c>
      <c r="Y612">
        <v>2866.8342708090972</v>
      </c>
      <c r="Z612">
        <v>9.4465301741614649</v>
      </c>
      <c r="AA612">
        <v>2724.1758295683335</v>
      </c>
      <c r="AB612">
        <v>7.0797308522198978</v>
      </c>
      <c r="AC612">
        <v>2179.6468287459097</v>
      </c>
      <c r="AD612">
        <v>9.4273363523312987</v>
      </c>
      <c r="AE612">
        <v>2006.789773111607</v>
      </c>
      <c r="AF612">
        <v>7.0682303833985642</v>
      </c>
      <c r="AG612">
        <v>2097.0922852048516</v>
      </c>
      <c r="AH612">
        <v>9.4221694718415687</v>
      </c>
      <c r="AI612">
        <v>1906.0405445807551</v>
      </c>
      <c r="AJ612">
        <v>7.0651316601676637</v>
      </c>
    </row>
    <row r="613" spans="4:36" x14ac:dyDescent="0.55000000000000004">
      <c r="D613">
        <v>606</v>
      </c>
      <c r="E613">
        <v>13.33284975337571</v>
      </c>
      <c r="F613">
        <v>0.49161645543512583</v>
      </c>
      <c r="G613">
        <v>0.17708962191991517</v>
      </c>
      <c r="H613">
        <v>15.998444169269254</v>
      </c>
      <c r="I613">
        <v>13.615962614422298</v>
      </c>
      <c r="J613">
        <v>0.29394655818686927</v>
      </c>
      <c r="K613">
        <v>0.10547157404758094</v>
      </c>
      <c r="L613">
        <v>15.984619253343261</v>
      </c>
      <c r="M613">
        <v>13.495948926269168</v>
      </c>
      <c r="N613">
        <v>0.3777997775309434</v>
      </c>
      <c r="O613">
        <v>0.13578304982652964</v>
      </c>
      <c r="P613">
        <v>15.990468246373355</v>
      </c>
      <c r="Q613">
        <v>13.455536665940642</v>
      </c>
      <c r="R613">
        <v>0.40601610032233942</v>
      </c>
      <c r="S613">
        <v>0.14600566394500156</v>
      </c>
      <c r="T613">
        <v>15.992441569792016</v>
      </c>
      <c r="U613">
        <v>1615.6390041249492</v>
      </c>
      <c r="V613">
        <v>10.516821021468495</v>
      </c>
      <c r="W613">
        <v>1349.8398252663103</v>
      </c>
      <c r="X613">
        <v>7.7196036138314481</v>
      </c>
      <c r="Y613">
        <v>2925.8442143869179</v>
      </c>
      <c r="Z613">
        <v>10.577285580777851</v>
      </c>
      <c r="AA613">
        <v>2758.8783176194552</v>
      </c>
      <c r="AB613">
        <v>7.7548829056390831</v>
      </c>
      <c r="AC613">
        <v>2279.965956992834</v>
      </c>
      <c r="AD613">
        <v>10.551660603474827</v>
      </c>
      <c r="AE613">
        <v>2068.9288312890831</v>
      </c>
      <c r="AF613">
        <v>7.7399477206631691</v>
      </c>
      <c r="AG613">
        <v>2170.1588191052069</v>
      </c>
      <c r="AH613">
        <v>10.543029781301094</v>
      </c>
      <c r="AI613">
        <v>1946.1832926854627</v>
      </c>
      <c r="AJ613">
        <v>7.7349120090490535</v>
      </c>
    </row>
    <row r="614" spans="4:36" x14ac:dyDescent="0.55000000000000004">
      <c r="D614">
        <v>607</v>
      </c>
      <c r="E614">
        <v>12.321218156627936</v>
      </c>
      <c r="F614">
        <v>0.49797121495530294</v>
      </c>
      <c r="G614">
        <v>0.20354620461982906</v>
      </c>
      <c r="H614">
        <v>16.977264423796935</v>
      </c>
      <c r="I614">
        <v>12.559191990731426</v>
      </c>
      <c r="J614">
        <v>0.31125522703487429</v>
      </c>
      <c r="K614">
        <v>0.12676456006433132</v>
      </c>
      <c r="L614">
        <v>17.002788222169372</v>
      </c>
      <c r="M614">
        <v>12.465942909143592</v>
      </c>
      <c r="N614">
        <v>0.38445233214315966</v>
      </c>
      <c r="O614">
        <v>0.15679740140596085</v>
      </c>
      <c r="P614">
        <v>16.992807357307292</v>
      </c>
      <c r="Q614">
        <v>12.41877631311189</v>
      </c>
      <c r="R614">
        <v>0.42146014305678819</v>
      </c>
      <c r="S614">
        <v>0.17201467364388803</v>
      </c>
      <c r="T614">
        <v>16.987748870187431</v>
      </c>
      <c r="U614">
        <v>1590.4425573620451</v>
      </c>
      <c r="V614">
        <v>9.7530746658353422</v>
      </c>
      <c r="W614">
        <v>1334.304567965808</v>
      </c>
      <c r="X614">
        <v>7.2586948660125046</v>
      </c>
      <c r="Y614">
        <v>2917.0301867266217</v>
      </c>
      <c r="Z614">
        <v>9.7807724658641533</v>
      </c>
      <c r="AA614">
        <v>2753.4479238131239</v>
      </c>
      <c r="AB614">
        <v>7.2766117146223497</v>
      </c>
      <c r="AC614">
        <v>2263.0788497638287</v>
      </c>
      <c r="AD614">
        <v>9.7699073254597391</v>
      </c>
      <c r="AE614">
        <v>2059.0180018507299</v>
      </c>
      <c r="AF614">
        <v>7.269595063349847</v>
      </c>
      <c r="AG614">
        <v>2169.7721330461691</v>
      </c>
      <c r="AH614">
        <v>9.7644173983875877</v>
      </c>
      <c r="AI614">
        <v>1947.9845331510387</v>
      </c>
      <c r="AJ614">
        <v>7.2660440003308198</v>
      </c>
    </row>
    <row r="615" spans="4:36" x14ac:dyDescent="0.55000000000000004">
      <c r="D615">
        <v>608</v>
      </c>
      <c r="E615">
        <v>12.686852601299398</v>
      </c>
      <c r="F615">
        <v>0.42734481437082245</v>
      </c>
      <c r="G615">
        <v>0.15457642167285982</v>
      </c>
      <c r="H615">
        <v>16.731226162656906</v>
      </c>
      <c r="I615">
        <v>12.925969333127803</v>
      </c>
      <c r="J615">
        <v>0.2656785397747522</v>
      </c>
      <c r="K615">
        <v>9.5779761175148692E-2</v>
      </c>
      <c r="L615">
        <v>16.712572365922284</v>
      </c>
      <c r="M615">
        <v>12.820923269958604</v>
      </c>
      <c r="N615">
        <v>0.33674628495224201</v>
      </c>
      <c r="O615">
        <v>0.12157752252460834</v>
      </c>
      <c r="P615">
        <v>16.720752922564557</v>
      </c>
      <c r="Q615">
        <v>12.778254970358413</v>
      </c>
      <c r="R615">
        <v>0.36559237568180053</v>
      </c>
      <c r="S615">
        <v>0.13207055852801408</v>
      </c>
      <c r="T615">
        <v>16.724082095431772</v>
      </c>
      <c r="U615">
        <v>1541.054658920023</v>
      </c>
      <c r="V615">
        <v>10.027157668091256</v>
      </c>
      <c r="W615">
        <v>1305.5616477592737</v>
      </c>
      <c r="X615">
        <v>7.4374727356830146</v>
      </c>
      <c r="Y615">
        <v>2885.013846736118</v>
      </c>
      <c r="Z615">
        <v>10.08191510761019</v>
      </c>
      <c r="AA615">
        <v>2734.7433612159216</v>
      </c>
      <c r="AB615">
        <v>7.4694444710770478</v>
      </c>
      <c r="AC615">
        <v>2235.6978882072626</v>
      </c>
      <c r="AD615">
        <v>10.057867711903729</v>
      </c>
      <c r="AE615">
        <v>2044.2533695913903</v>
      </c>
      <c r="AF615">
        <v>7.4554166887489792</v>
      </c>
      <c r="AG615">
        <v>2130.7593856821386</v>
      </c>
      <c r="AH615">
        <v>10.0480964044819</v>
      </c>
      <c r="AI615">
        <v>1925.3881686066729</v>
      </c>
      <c r="AJ615">
        <v>7.4497109129239716</v>
      </c>
    </row>
    <row r="616" spans="4:36" x14ac:dyDescent="0.55000000000000004">
      <c r="D616">
        <v>609</v>
      </c>
      <c r="E616">
        <v>13.415245173497766</v>
      </c>
      <c r="F616">
        <v>0.45206752290325469</v>
      </c>
      <c r="G616">
        <v>0.17340944195502633</v>
      </c>
      <c r="H616">
        <v>15.959277861643953</v>
      </c>
      <c r="I616">
        <v>13.677083958145367</v>
      </c>
      <c r="J616">
        <v>0.28444725943252136</v>
      </c>
      <c r="K616">
        <v>0.10869107790175785</v>
      </c>
      <c r="L616">
        <v>15.92977770452034</v>
      </c>
      <c r="M616">
        <v>13.594999780038229</v>
      </c>
      <c r="N616">
        <v>0.33704495994090633</v>
      </c>
      <c r="O616">
        <v>0.12894449791255738</v>
      </c>
      <c r="P616">
        <v>15.939010762108319</v>
      </c>
      <c r="Q616">
        <v>13.506670687892605</v>
      </c>
      <c r="R616">
        <v>0.39359319887655764</v>
      </c>
      <c r="S616">
        <v>0.15077460737003878</v>
      </c>
      <c r="T616">
        <v>15.948961505860797</v>
      </c>
      <c r="U616">
        <v>1548.8477126028511</v>
      </c>
      <c r="V616">
        <v>10.616853187540173</v>
      </c>
      <c r="W616">
        <v>1304.4509896996785</v>
      </c>
      <c r="X616">
        <v>7.7886669734897476</v>
      </c>
      <c r="Y616">
        <v>2899.142675998648</v>
      </c>
      <c r="Z616">
        <v>10.68196206317112</v>
      </c>
      <c r="AA616">
        <v>2740.4944035883068</v>
      </c>
      <c r="AB616">
        <v>7.8261488553109757</v>
      </c>
      <c r="AC616">
        <v>2228.8153274003116</v>
      </c>
      <c r="AD616">
        <v>10.661560340072436</v>
      </c>
      <c r="AE616">
        <v>2034.9820886908556</v>
      </c>
      <c r="AF616">
        <v>7.8144172373610781</v>
      </c>
      <c r="AG616">
        <v>2149.7643238678602</v>
      </c>
      <c r="AH616">
        <v>10.639596964511572</v>
      </c>
      <c r="AI616">
        <v>1932.9090206595381</v>
      </c>
      <c r="AJ616">
        <v>7.8017741575004269</v>
      </c>
    </row>
    <row r="617" spans="4:36" x14ac:dyDescent="0.55000000000000004">
      <c r="D617">
        <v>610</v>
      </c>
      <c r="E617">
        <v>12.728652793470362</v>
      </c>
      <c r="F617">
        <v>0.45831098677342486</v>
      </c>
      <c r="G617">
        <v>0.18078505898359257</v>
      </c>
      <c r="H617">
        <v>16.63225116077264</v>
      </c>
      <c r="I617">
        <v>12.950497034742062</v>
      </c>
      <c r="J617">
        <v>0.30001796354415067</v>
      </c>
      <c r="K617">
        <v>0.1179745168357364</v>
      </c>
      <c r="L617">
        <v>16.631510484878046</v>
      </c>
      <c r="M617">
        <v>12.887614592917519</v>
      </c>
      <c r="N617">
        <v>0.34491672542126867</v>
      </c>
      <c r="O617">
        <v>0.13574977026251317</v>
      </c>
      <c r="P617">
        <v>16.631718911398711</v>
      </c>
      <c r="Q617">
        <v>12.851151919624774</v>
      </c>
      <c r="R617">
        <v>0.37094061494632341</v>
      </c>
      <c r="S617">
        <v>0.14606714925460473</v>
      </c>
      <c r="T617">
        <v>16.631840316174298</v>
      </c>
      <c r="U617">
        <v>1564.880136249672</v>
      </c>
      <c r="V617">
        <v>10.058021463901634</v>
      </c>
      <c r="W617">
        <v>1319.0337871574748</v>
      </c>
      <c r="X617">
        <v>7.4494619606699528</v>
      </c>
      <c r="Y617">
        <v>2898.3149804508225</v>
      </c>
      <c r="Z617">
        <v>10.1002920024979</v>
      </c>
      <c r="AA617">
        <v>2740.7467635480657</v>
      </c>
      <c r="AB617">
        <v>7.4747024687958081</v>
      </c>
      <c r="AC617">
        <v>2205.5345522996336</v>
      </c>
      <c r="AD617">
        <v>10.088310867338867</v>
      </c>
      <c r="AE617">
        <v>2019.7090001281231</v>
      </c>
      <c r="AF617">
        <v>7.4675570142974736</v>
      </c>
      <c r="AG617">
        <v>2099.6728683953911</v>
      </c>
      <c r="AH617">
        <v>10.081363341922529</v>
      </c>
      <c r="AI617">
        <v>1900.2358981153111</v>
      </c>
      <c r="AJ617">
        <v>7.4634104299878867</v>
      </c>
    </row>
    <row r="618" spans="4:36" x14ac:dyDescent="0.55000000000000004">
      <c r="D618">
        <v>611</v>
      </c>
      <c r="E618">
        <v>11.857215594674978</v>
      </c>
      <c r="F618">
        <v>0.40822676733814212</v>
      </c>
      <c r="G618">
        <v>0.15452578694891173</v>
      </c>
      <c r="H618">
        <v>17.580031851037962</v>
      </c>
      <c r="I618">
        <v>12.06520886408736</v>
      </c>
      <c r="J618">
        <v>0.25941698313865524</v>
      </c>
      <c r="K618">
        <v>9.7888131698330105E-2</v>
      </c>
      <c r="L618">
        <v>17.577486021075657</v>
      </c>
      <c r="M618">
        <v>11.986479451587767</v>
      </c>
      <c r="N618">
        <v>0.31577608919768829</v>
      </c>
      <c r="O618">
        <v>0.11929614116195103</v>
      </c>
      <c r="P618">
        <v>17.578448318052587</v>
      </c>
      <c r="Q618">
        <v>11.942679068140386</v>
      </c>
      <c r="R618">
        <v>0.34711425756682829</v>
      </c>
      <c r="S618">
        <v>0.13122228245483097</v>
      </c>
      <c r="T618">
        <v>17.578984391837952</v>
      </c>
      <c r="U618">
        <v>1485.9834929931028</v>
      </c>
      <c r="V618">
        <v>9.2646903067785438</v>
      </c>
      <c r="W618">
        <v>1271.0977707839013</v>
      </c>
      <c r="X618">
        <v>6.9604501839452944</v>
      </c>
      <c r="Y618">
        <v>2865.9110036985971</v>
      </c>
      <c r="Z618">
        <v>9.3035768110416548</v>
      </c>
      <c r="AA618">
        <v>2724.4772044828205</v>
      </c>
      <c r="AB618">
        <v>6.9839373206449595</v>
      </c>
      <c r="AC618">
        <v>2179.1405005954839</v>
      </c>
      <c r="AD618">
        <v>9.2888585239441763</v>
      </c>
      <c r="AE618">
        <v>2007.9256892343599</v>
      </c>
      <c r="AF618">
        <v>6.9750573639508877</v>
      </c>
      <c r="AG618">
        <v>2078.2996961176364</v>
      </c>
      <c r="AH618">
        <v>9.2806696173431149</v>
      </c>
      <c r="AI618">
        <v>1892.2292206855363</v>
      </c>
      <c r="AJ618">
        <v>6.9701116351167283</v>
      </c>
    </row>
    <row r="619" spans="4:36" x14ac:dyDescent="0.55000000000000004">
      <c r="D619">
        <v>612</v>
      </c>
      <c r="E619">
        <v>12.839838653739735</v>
      </c>
      <c r="F619">
        <v>0.41647743824539624</v>
      </c>
      <c r="G619">
        <v>0.16045151855033019</v>
      </c>
      <c r="H619">
        <v>16.58323238946452</v>
      </c>
      <c r="I619">
        <v>13.040120522577364</v>
      </c>
      <c r="J619">
        <v>0.28252950525016768</v>
      </c>
      <c r="K619">
        <v>0.10852369213864206</v>
      </c>
      <c r="L619">
        <v>16.568826280033818</v>
      </c>
      <c r="M619">
        <v>12.949465658854209</v>
      </c>
      <c r="N619">
        <v>0.34319221293523167</v>
      </c>
      <c r="O619">
        <v>0.13200206700511827</v>
      </c>
      <c r="P619">
        <v>16.575340061205456</v>
      </c>
      <c r="Q619">
        <v>12.921962599845699</v>
      </c>
      <c r="R619">
        <v>0.36158543092547196</v>
      </c>
      <c r="S619">
        <v>0.13913347807344323</v>
      </c>
      <c r="T619">
        <v>16.577318491155381</v>
      </c>
      <c r="U619">
        <v>1544.6536662318792</v>
      </c>
      <c r="V619">
        <v>10.089194955851857</v>
      </c>
      <c r="W619">
        <v>1306.2588297723621</v>
      </c>
      <c r="X619">
        <v>7.466832772828905</v>
      </c>
      <c r="Y619">
        <v>2907.5412146999029</v>
      </c>
      <c r="Z619">
        <v>10.134378858720906</v>
      </c>
      <c r="AA619">
        <v>2748.3289050167441</v>
      </c>
      <c r="AB619">
        <v>7.493197870446962</v>
      </c>
      <c r="AC619">
        <v>2238.7939603694545</v>
      </c>
      <c r="AD619">
        <v>10.11393192829853</v>
      </c>
      <c r="AE619">
        <v>2043.7825576732621</v>
      </c>
      <c r="AF619">
        <v>7.4812759948820355</v>
      </c>
      <c r="AG619">
        <v>2139.4006534342602</v>
      </c>
      <c r="AH619">
        <v>10.107727082921551</v>
      </c>
      <c r="AI619">
        <v>1929.6952318558551</v>
      </c>
      <c r="AJ619">
        <v>7.4776552258833675</v>
      </c>
    </row>
    <row r="620" spans="4:36" x14ac:dyDescent="0.55000000000000004">
      <c r="D620">
        <v>613</v>
      </c>
      <c r="E620">
        <v>11.00709816321738</v>
      </c>
      <c r="F620">
        <v>0.39566564290094997</v>
      </c>
      <c r="G620">
        <v>0.1468001988643709</v>
      </c>
      <c r="H620">
        <v>18.450435995017315</v>
      </c>
      <c r="I620">
        <v>11.171946188657795</v>
      </c>
      <c r="J620">
        <v>0.26289923580069868</v>
      </c>
      <c r="K620">
        <v>9.7293131692892137E-2</v>
      </c>
      <c r="L620">
        <v>18.467861443848605</v>
      </c>
      <c r="M620">
        <v>11.093951358769297</v>
      </c>
      <c r="N620">
        <v>0.32573154715887209</v>
      </c>
      <c r="O620">
        <v>0.12069078880114743</v>
      </c>
      <c r="P620">
        <v>18.459626305270685</v>
      </c>
      <c r="Q620">
        <v>11.066709561616651</v>
      </c>
      <c r="R620">
        <v>0.34767053841458073</v>
      </c>
      <c r="S620">
        <v>0.12887390489376371</v>
      </c>
      <c r="T620">
        <v>18.456745995074986</v>
      </c>
      <c r="U620">
        <v>1405.5890834782322</v>
      </c>
      <c r="V620">
        <v>8.6683967945246234</v>
      </c>
      <c r="W620">
        <v>1220.4886020649262</v>
      </c>
      <c r="X620">
        <v>6.6041336584298458</v>
      </c>
      <c r="Y620">
        <v>2824.1306047682897</v>
      </c>
      <c r="Z620">
        <v>8.6889504069881429</v>
      </c>
      <c r="AA620">
        <v>2698.8597471752923</v>
      </c>
      <c r="AB620">
        <v>6.6175847834647907</v>
      </c>
      <c r="AC620">
        <v>2155.4849115638181</v>
      </c>
      <c r="AD620">
        <v>8.6792205818640564</v>
      </c>
      <c r="AE620">
        <v>1997.0690694799439</v>
      </c>
      <c r="AF620">
        <v>6.6112241245029049</v>
      </c>
      <c r="AG620">
        <v>2040.5923099899323</v>
      </c>
      <c r="AH620">
        <v>8.6758243984300236</v>
      </c>
      <c r="AI620">
        <v>1872.0324757405047</v>
      </c>
      <c r="AJ620">
        <v>6.6090010188830108</v>
      </c>
    </row>
    <row r="621" spans="4:36" x14ac:dyDescent="0.55000000000000004">
      <c r="D621">
        <v>614</v>
      </c>
      <c r="E621">
        <v>13.491479258434435</v>
      </c>
      <c r="F621">
        <v>0.51391700704148058</v>
      </c>
      <c r="G621">
        <v>0.15919014741646764</v>
      </c>
      <c r="H621">
        <v>15.835413587107627</v>
      </c>
      <c r="I621">
        <v>13.767519162392874</v>
      </c>
      <c r="J621">
        <v>0.31527823738247812</v>
      </c>
      <c r="K621">
        <v>9.7305149404384561E-2</v>
      </c>
      <c r="L621">
        <v>15.81989745082026</v>
      </c>
      <c r="M621">
        <v>13.682504337994525</v>
      </c>
      <c r="N621">
        <v>0.3765013915266347</v>
      </c>
      <c r="O621">
        <v>0.11633022688137509</v>
      </c>
      <c r="P621">
        <v>15.824664043597465</v>
      </c>
      <c r="Q621">
        <v>13.596551769222797</v>
      </c>
      <c r="R621">
        <v>0.43835807418022138</v>
      </c>
      <c r="S621">
        <v>0.13559606486136555</v>
      </c>
      <c r="T621">
        <v>15.829494091735613</v>
      </c>
      <c r="U621">
        <v>1624.2840208468847</v>
      </c>
      <c r="V621">
        <v>10.655424270641516</v>
      </c>
      <c r="W621">
        <v>1353.9833422859742</v>
      </c>
      <c r="X621">
        <v>7.8050857392988346</v>
      </c>
      <c r="Y621">
        <v>2926.9926508468848</v>
      </c>
      <c r="Z621">
        <v>10.719036868684077</v>
      </c>
      <c r="AA621">
        <v>2757.7424877445596</v>
      </c>
      <c r="AB621">
        <v>7.8420206210064842</v>
      </c>
      <c r="AC621">
        <v>2288.330089125956</v>
      </c>
      <c r="AD621">
        <v>10.699452211093616</v>
      </c>
      <c r="AE621">
        <v>2074.6922704737121</v>
      </c>
      <c r="AF621">
        <v>7.8306632759218848</v>
      </c>
      <c r="AG621">
        <v>2167.0996234298427</v>
      </c>
      <c r="AH621">
        <v>10.679645432463197</v>
      </c>
      <c r="AI621">
        <v>1941.0354087102792</v>
      </c>
      <c r="AJ621">
        <v>7.8191645609694671</v>
      </c>
    </row>
    <row r="622" spans="4:36" x14ac:dyDescent="0.55000000000000004">
      <c r="D622">
        <v>615</v>
      </c>
      <c r="E622">
        <v>13.087167940633265</v>
      </c>
      <c r="F622">
        <v>0.50203010317719077</v>
      </c>
      <c r="G622">
        <v>0.17971186480123794</v>
      </c>
      <c r="H622">
        <v>16.231090091388293</v>
      </c>
      <c r="I622">
        <v>13.33524183312263</v>
      </c>
      <c r="J622">
        <v>0.3244716742302291</v>
      </c>
      <c r="K622">
        <v>0.11575451490542524</v>
      </c>
      <c r="L622">
        <v>16.224531977741719</v>
      </c>
      <c r="M622">
        <v>13.235389394505747</v>
      </c>
      <c r="N622">
        <v>0.39598450160525817</v>
      </c>
      <c r="O622">
        <v>0.14146030893450845</v>
      </c>
      <c r="P622">
        <v>16.22716579495448</v>
      </c>
      <c r="Q622">
        <v>13.230037060047326</v>
      </c>
      <c r="R622">
        <v>0.39981611212885143</v>
      </c>
      <c r="S622">
        <v>0.14283963084621401</v>
      </c>
      <c r="T622">
        <v>16.227307196977602</v>
      </c>
      <c r="U622">
        <v>1584.8003454050511</v>
      </c>
      <c r="V622">
        <v>10.382855523580405</v>
      </c>
      <c r="W622">
        <v>1327.397210127604</v>
      </c>
      <c r="X622">
        <v>7.6466831397553996</v>
      </c>
      <c r="Y622">
        <v>2935.3606360866547</v>
      </c>
      <c r="Z622">
        <v>10.432906225363073</v>
      </c>
      <c r="AA622">
        <v>2764.3062624947524</v>
      </c>
      <c r="AB622">
        <v>7.6761102147787508</v>
      </c>
      <c r="AC622">
        <v>2278.2383759121635</v>
      </c>
      <c r="AD622">
        <v>10.412763912523237</v>
      </c>
      <c r="AE622">
        <v>2067.2450141432123</v>
      </c>
      <c r="AF622">
        <v>7.6642798987350513</v>
      </c>
      <c r="AG622">
        <v>2168.6385195266903</v>
      </c>
      <c r="AH622">
        <v>10.411684097731314</v>
      </c>
      <c r="AI622">
        <v>1946.5997545823734</v>
      </c>
      <c r="AJ622">
        <v>7.6636452204808272</v>
      </c>
    </row>
    <row r="623" spans="4:36" x14ac:dyDescent="0.55000000000000004">
      <c r="D623">
        <v>616</v>
      </c>
      <c r="E623">
        <v>12.886772924390336</v>
      </c>
      <c r="F623">
        <v>0.40703808256846524</v>
      </c>
      <c r="G623">
        <v>0.14461389637947714</v>
      </c>
      <c r="H623">
        <v>16.561575096661727</v>
      </c>
      <c r="I623">
        <v>13.050189116129191</v>
      </c>
      <c r="J623">
        <v>0.29522704999608262</v>
      </c>
      <c r="K623">
        <v>0.10465132395261868</v>
      </c>
      <c r="L623">
        <v>16.549932509922094</v>
      </c>
      <c r="M623">
        <v>12.996046743879957</v>
      </c>
      <c r="N623">
        <v>0.33229079328736366</v>
      </c>
      <c r="O623">
        <v>0.11787794799336877</v>
      </c>
      <c r="P623">
        <v>16.553784514839329</v>
      </c>
      <c r="Q623">
        <v>12.946151421639406</v>
      </c>
      <c r="R623">
        <v>0.36643055664159097</v>
      </c>
      <c r="S623">
        <v>0.13007896239533759</v>
      </c>
      <c r="T623">
        <v>16.557339059323674</v>
      </c>
      <c r="U623">
        <v>1545.9898781789043</v>
      </c>
      <c r="V623">
        <v>10.20914808153872</v>
      </c>
      <c r="W623">
        <v>1308.4362762686646</v>
      </c>
      <c r="X623">
        <v>7.5519522367881562</v>
      </c>
      <c r="Y623">
        <v>2914.6397911421418</v>
      </c>
      <c r="Z623">
        <v>10.244709884599075</v>
      </c>
      <c r="AA623">
        <v>2752.9176208150607</v>
      </c>
      <c r="AB623">
        <v>7.5725741521854371</v>
      </c>
      <c r="AC623">
        <v>2224.4490181844931</v>
      </c>
      <c r="AD623">
        <v>10.23293137906739</v>
      </c>
      <c r="AE623">
        <v>2034.3704955529383</v>
      </c>
      <c r="AF623">
        <v>7.5657488666820631</v>
      </c>
      <c r="AG623">
        <v>2121.3233527689872</v>
      </c>
      <c r="AH623">
        <v>10.222073581920435</v>
      </c>
      <c r="AI623">
        <v>1916.27927788024</v>
      </c>
      <c r="AJ623">
        <v>7.5594527750428586</v>
      </c>
    </row>
    <row r="624" spans="4:36" x14ac:dyDescent="0.55000000000000004">
      <c r="D624">
        <v>617</v>
      </c>
      <c r="E624">
        <v>13.131074181224951</v>
      </c>
      <c r="F624">
        <v>0.45246192814948522</v>
      </c>
      <c r="G624">
        <v>0.17497531760368157</v>
      </c>
      <c r="H624">
        <v>16.241488573021879</v>
      </c>
      <c r="I624">
        <v>13.34732516798346</v>
      </c>
      <c r="J624">
        <v>0.30544706274299493</v>
      </c>
      <c r="K624">
        <v>0.11774511082437271</v>
      </c>
      <c r="L624">
        <v>16.229482658449172</v>
      </c>
      <c r="M624">
        <v>13.273657394191302</v>
      </c>
      <c r="N624">
        <v>0.35556256867572777</v>
      </c>
      <c r="O624">
        <v>0.13721246867776216</v>
      </c>
      <c r="P624">
        <v>16.233567568455211</v>
      </c>
      <c r="Q624">
        <v>13.215961986365317</v>
      </c>
      <c r="R624">
        <v>0.39478803629981851</v>
      </c>
      <c r="S624">
        <v>0.15247956910518085</v>
      </c>
      <c r="T624">
        <v>16.236770408229681</v>
      </c>
      <c r="U624">
        <v>1563.1442009062007</v>
      </c>
      <c r="V624">
        <v>10.395400986515964</v>
      </c>
      <c r="W624">
        <v>1313.8346914587153</v>
      </c>
      <c r="X624">
        <v>7.657405178168605</v>
      </c>
      <c r="Y624">
        <v>2927.615068959542</v>
      </c>
      <c r="Z624">
        <v>10.445948210488661</v>
      </c>
      <c r="AA624">
        <v>2759.1662826168235</v>
      </c>
      <c r="AB624">
        <v>7.6870205475653846</v>
      </c>
      <c r="AC624">
        <v>2239.2172983520918</v>
      </c>
      <c r="AD624">
        <v>10.428732233460524</v>
      </c>
      <c r="AE624">
        <v>2040.4686481459885</v>
      </c>
      <c r="AF624">
        <v>7.676943762572396</v>
      </c>
      <c r="AG624">
        <v>2151.6436731461508</v>
      </c>
      <c r="AH624">
        <v>10.415246531775956</v>
      </c>
      <c r="AI624">
        <v>1933.2444343346333</v>
      </c>
      <c r="AJ624">
        <v>7.669043199019657</v>
      </c>
    </row>
    <row r="625" spans="4:36" x14ac:dyDescent="0.55000000000000004">
      <c r="D625">
        <v>618</v>
      </c>
      <c r="E625">
        <v>13.145179608629375</v>
      </c>
      <c r="F625">
        <v>0.43950345354187487</v>
      </c>
      <c r="G625">
        <v>0.17865860439329748</v>
      </c>
      <c r="H625">
        <v>16.236658333435457</v>
      </c>
      <c r="I625">
        <v>13.356359914355185</v>
      </c>
      <c r="J625">
        <v>0.29760587881501072</v>
      </c>
      <c r="K625">
        <v>0.12062895063182895</v>
      </c>
      <c r="L625">
        <v>16.225405256197973</v>
      </c>
      <c r="M625">
        <v>13.300442328279239</v>
      </c>
      <c r="N625">
        <v>0.33520657614050109</v>
      </c>
      <c r="O625">
        <v>0.13597290391379405</v>
      </c>
      <c r="P625">
        <v>16.228378191666476</v>
      </c>
      <c r="Q625">
        <v>13.232097501384194</v>
      </c>
      <c r="R625">
        <v>0.38113622064689279</v>
      </c>
      <c r="S625">
        <v>0.15474788683333554</v>
      </c>
      <c r="T625">
        <v>16.232018391135572</v>
      </c>
      <c r="U625">
        <v>1615.8070426333213</v>
      </c>
      <c r="V625">
        <v>10.414956630866779</v>
      </c>
      <c r="W625">
        <v>1353.0577109256767</v>
      </c>
      <c r="X625">
        <v>7.6706176926953047</v>
      </c>
      <c r="Y625">
        <v>2941.5462862853947</v>
      </c>
      <c r="Z625">
        <v>10.462927150551225</v>
      </c>
      <c r="AA625">
        <v>2769.5202504950466</v>
      </c>
      <c r="AB625">
        <v>7.6986563354404982</v>
      </c>
      <c r="AC625">
        <v>2242.7310659067698</v>
      </c>
      <c r="AD625">
        <v>10.450228685884174</v>
      </c>
      <c r="AE625">
        <v>2044.06248125916</v>
      </c>
      <c r="AF625">
        <v>7.6912418873691673</v>
      </c>
      <c r="AG625">
        <v>2145.2439898429288</v>
      </c>
      <c r="AH625">
        <v>10.434704718297468</v>
      </c>
      <c r="AI625">
        <v>1928.8630578828288</v>
      </c>
      <c r="AJ625">
        <v>7.6821700956606094</v>
      </c>
    </row>
    <row r="626" spans="4:36" x14ac:dyDescent="0.55000000000000004">
      <c r="D626">
        <v>619</v>
      </c>
      <c r="E626">
        <v>12.650647266916145</v>
      </c>
      <c r="F626">
        <v>0.49224810477012942</v>
      </c>
      <c r="G626">
        <v>0.15967331195889581</v>
      </c>
      <c r="H626">
        <v>16.697431316354841</v>
      </c>
      <c r="I626">
        <v>12.889785465816393</v>
      </c>
      <c r="J626">
        <v>0.30615920017140502</v>
      </c>
      <c r="K626">
        <v>9.8999906804359106E-2</v>
      </c>
      <c r="L626">
        <v>16.70505542720786</v>
      </c>
      <c r="M626">
        <v>12.793590090519674</v>
      </c>
      <c r="N626">
        <v>0.38104911752393772</v>
      </c>
      <c r="O626">
        <v>0.1233710730181289</v>
      </c>
      <c r="P626">
        <v>16.701989718938254</v>
      </c>
      <c r="Q626">
        <v>12.723961506975234</v>
      </c>
      <c r="R626">
        <v>0.43522775248426632</v>
      </c>
      <c r="S626">
        <v>0.14104102787881101</v>
      </c>
      <c r="T626">
        <v>16.699769712661695</v>
      </c>
      <c r="U626">
        <v>1550.4860298477677</v>
      </c>
      <c r="V626">
        <v>10.060233368196119</v>
      </c>
      <c r="W626">
        <v>1306.2902486606602</v>
      </c>
      <c r="X626">
        <v>7.4586845780295645</v>
      </c>
      <c r="Y626">
        <v>2916.7278777139472</v>
      </c>
      <c r="Z626">
        <v>10.102258109162564</v>
      </c>
      <c r="AA626">
        <v>2754.4520725328334</v>
      </c>
      <c r="AB626">
        <v>7.4839667602748445</v>
      </c>
      <c r="AC626">
        <v>2226.6564415405951</v>
      </c>
      <c r="AD626">
        <v>10.085352822342182</v>
      </c>
      <c r="AE626">
        <v>2033.1197821866397</v>
      </c>
      <c r="AF626">
        <v>7.4738079734831597</v>
      </c>
      <c r="AG626">
        <v>2150.3362307003936</v>
      </c>
      <c r="AH626">
        <v>10.07311676077798</v>
      </c>
      <c r="AI626">
        <v>1933.4942995140832</v>
      </c>
      <c r="AJ626">
        <v>7.466445433183666</v>
      </c>
    </row>
    <row r="627" spans="4:36" x14ac:dyDescent="0.55000000000000004">
      <c r="D627">
        <v>620</v>
      </c>
      <c r="E627">
        <v>12.290431116324024</v>
      </c>
      <c r="F627">
        <v>0.4665396146329846</v>
      </c>
      <c r="G627">
        <v>0.17322466420383092</v>
      </c>
      <c r="H627">
        <v>17.069804604839156</v>
      </c>
      <c r="I627">
        <v>12.484219084981419</v>
      </c>
      <c r="J627">
        <v>0.31355307657917447</v>
      </c>
      <c r="K627">
        <v>0.1160910285318949</v>
      </c>
      <c r="L627">
        <v>17.086136809907511</v>
      </c>
      <c r="M627">
        <v>12.411767227135657</v>
      </c>
      <c r="N627">
        <v>0.37077169563917112</v>
      </c>
      <c r="O627">
        <v>0.13742113061599023</v>
      </c>
      <c r="P627">
        <v>17.080039946609176</v>
      </c>
      <c r="Q627">
        <v>12.37785494411253</v>
      </c>
      <c r="R627">
        <v>0.39754511376236323</v>
      </c>
      <c r="S627">
        <v>0.14741753051724496</v>
      </c>
      <c r="T627">
        <v>17.077182411607861</v>
      </c>
      <c r="U627">
        <v>1571.8480329191166</v>
      </c>
      <c r="V627">
        <v>9.6894984339038572</v>
      </c>
      <c r="W627">
        <v>1324.5212360777364</v>
      </c>
      <c r="X627">
        <v>7.2209876747305914</v>
      </c>
      <c r="Y627">
        <v>2905.3838427160945</v>
      </c>
      <c r="Z627">
        <v>9.7144182820102554</v>
      </c>
      <c r="AA627">
        <v>2745.4580725492274</v>
      </c>
      <c r="AB627">
        <v>7.2367259741033267</v>
      </c>
      <c r="AC627">
        <v>2223.7680150384476</v>
      </c>
      <c r="AD627">
        <v>9.7050960942639435</v>
      </c>
      <c r="AE627">
        <v>2031.8998374947221</v>
      </c>
      <c r="AF627">
        <v>7.2308457824076191</v>
      </c>
      <c r="AG627">
        <v>2129.3194638021764</v>
      </c>
      <c r="AH627">
        <v>9.7007348824958832</v>
      </c>
      <c r="AI627">
        <v>1920.9802814542004</v>
      </c>
      <c r="AJ627">
        <v>7.2280918629134732</v>
      </c>
    </row>
    <row r="628" spans="4:36" x14ac:dyDescent="0.55000000000000004">
      <c r="D628">
        <v>621</v>
      </c>
      <c r="E628">
        <v>11.23046979948804</v>
      </c>
      <c r="F628">
        <v>0.38474069587904081</v>
      </c>
      <c r="G628">
        <v>0.14346641572590305</v>
      </c>
      <c r="H628">
        <v>18.241323088907027</v>
      </c>
      <c r="I628">
        <v>11.39809655184594</v>
      </c>
      <c r="J628">
        <v>0.25230312952435829</v>
      </c>
      <c r="K628">
        <v>9.3826725529731175E-2</v>
      </c>
      <c r="L628">
        <v>18.255773593099985</v>
      </c>
      <c r="M628">
        <v>11.318112204152373</v>
      </c>
      <c r="N628">
        <v>0.31551447558753548</v>
      </c>
      <c r="O628">
        <v>0.11748533781181972</v>
      </c>
      <c r="P628">
        <v>18.248887982448259</v>
      </c>
      <c r="Q628">
        <v>11.25920539493594</v>
      </c>
      <c r="R628">
        <v>0.36204759002788295</v>
      </c>
      <c r="S628">
        <v>0.13494127912830892</v>
      </c>
      <c r="T628">
        <v>18.243805735907873</v>
      </c>
      <c r="U628">
        <v>1440.5215913155662</v>
      </c>
      <c r="V628">
        <v>8.9486235093832587</v>
      </c>
      <c r="W628">
        <v>1242.9966218796922</v>
      </c>
      <c r="X628">
        <v>6.7923821378506029</v>
      </c>
      <c r="Y628">
        <v>2865.4950935035913</v>
      </c>
      <c r="Z628">
        <v>8.9702914580455584</v>
      </c>
      <c r="AA628">
        <v>2727.9172045374489</v>
      </c>
      <c r="AB628">
        <v>6.8065430665405522</v>
      </c>
      <c r="AC628">
        <v>2160.9422554476496</v>
      </c>
      <c r="AD628">
        <v>8.9599462838343893</v>
      </c>
      <c r="AE628">
        <v>1997.8377870163586</v>
      </c>
      <c r="AF628">
        <v>6.7997894772358043</v>
      </c>
      <c r="AG628">
        <v>2051.404219065455</v>
      </c>
      <c r="AH628">
        <v>8.9523344491878873</v>
      </c>
      <c r="AI628">
        <v>1874.4729357305794</v>
      </c>
      <c r="AJ628">
        <v>6.7948116339200846</v>
      </c>
    </row>
    <row r="629" spans="4:36" x14ac:dyDescent="0.55000000000000004">
      <c r="D629">
        <v>622</v>
      </c>
      <c r="E629">
        <v>12.516956018709191</v>
      </c>
      <c r="F629">
        <v>0.43489875434950842</v>
      </c>
      <c r="G629">
        <v>0.16161087649078618</v>
      </c>
      <c r="H629">
        <v>16.886534350450528</v>
      </c>
      <c r="I629">
        <v>12.715181671451868</v>
      </c>
      <c r="J629">
        <v>0.28632464161341448</v>
      </c>
      <c r="K629">
        <v>0.106089531883758</v>
      </c>
      <c r="L629">
        <v>16.892404155050944</v>
      </c>
      <c r="M629">
        <v>12.604692864275414</v>
      </c>
      <c r="N629">
        <v>0.36916490150076714</v>
      </c>
      <c r="O629">
        <v>0.13700590286406533</v>
      </c>
      <c r="P629">
        <v>16.889136331359758</v>
      </c>
      <c r="Q629">
        <v>12.551719087554279</v>
      </c>
      <c r="R629">
        <v>0.4088588032960897</v>
      </c>
      <c r="S629">
        <v>0.15185604896229044</v>
      </c>
      <c r="T629">
        <v>16.887566060187336</v>
      </c>
      <c r="U629">
        <v>1540.3865409203706</v>
      </c>
      <c r="V629">
        <v>9.8879740081630132</v>
      </c>
      <c r="W629">
        <v>1308.0451507152288</v>
      </c>
      <c r="X629">
        <v>7.3493248952274355</v>
      </c>
      <c r="Y629">
        <v>2890.3382943138417</v>
      </c>
      <c r="Z629">
        <v>9.9219392192689497</v>
      </c>
      <c r="AA629">
        <v>2739.4800493434745</v>
      </c>
      <c r="AB629">
        <v>7.3700290880380681</v>
      </c>
      <c r="AC629">
        <v>2191.3135143549789</v>
      </c>
      <c r="AD629">
        <v>9.9030048948425868</v>
      </c>
      <c r="AE629">
        <v>2011.5982737949325</v>
      </c>
      <c r="AF629">
        <v>7.3584960091602909</v>
      </c>
      <c r="AG629">
        <v>2117.1187100964548</v>
      </c>
      <c r="AH629">
        <v>9.8939290662709158</v>
      </c>
      <c r="AI629">
        <v>1915.1474201236117</v>
      </c>
      <c r="AJ629">
        <v>7.3529600520588811</v>
      </c>
    </row>
    <row r="630" spans="4:36" x14ac:dyDescent="0.55000000000000004">
      <c r="D630">
        <v>623</v>
      </c>
      <c r="E630">
        <v>13.844832119503947</v>
      </c>
      <c r="F630">
        <v>0.49333190352925776</v>
      </c>
      <c r="G630">
        <v>0.16448291271549348</v>
      </c>
      <c r="H630">
        <v>15.497353064251284</v>
      </c>
      <c r="I630">
        <v>14.097217971939042</v>
      </c>
      <c r="J630">
        <v>0.31829387969883582</v>
      </c>
      <c r="K630">
        <v>0.10576161575228898</v>
      </c>
      <c r="L630">
        <v>15.478726532609835</v>
      </c>
      <c r="M630">
        <v>13.983749401805513</v>
      </c>
      <c r="N630">
        <v>0.3970353900994319</v>
      </c>
      <c r="O630">
        <v>0.13212723958618677</v>
      </c>
      <c r="P630">
        <v>15.487087968508856</v>
      </c>
      <c r="Q630">
        <v>13.901868567505046</v>
      </c>
      <c r="R630">
        <v>0.45380872257393023</v>
      </c>
      <c r="S630">
        <v>0.15118807672148732</v>
      </c>
      <c r="T630">
        <v>15.493134633199544</v>
      </c>
      <c r="U630">
        <v>1587.1496885714014</v>
      </c>
      <c r="V630">
        <v>10.97124616556828</v>
      </c>
      <c r="W630">
        <v>1328.3546391586417</v>
      </c>
      <c r="X630">
        <v>7.9979228898475352</v>
      </c>
      <c r="Y630">
        <v>2935.278038755358</v>
      </c>
      <c r="Z630">
        <v>11.03022003766781</v>
      </c>
      <c r="AA630">
        <v>2763.7021501443028</v>
      </c>
      <c r="AB630">
        <v>8.0318890714366358</v>
      </c>
      <c r="AC630">
        <v>2270.0564455208037</v>
      </c>
      <c r="AD630">
        <v>11.003713860629711</v>
      </c>
      <c r="AE630">
        <v>2059.9077338082566</v>
      </c>
      <c r="AF630">
        <v>8.0166356910628522</v>
      </c>
      <c r="AG630">
        <v>2158.0352125262862</v>
      </c>
      <c r="AH630">
        <v>10.984578944911762</v>
      </c>
      <c r="AI630">
        <v>1933.6262153364369</v>
      </c>
      <c r="AJ630">
        <v>8.0056111195968427</v>
      </c>
    </row>
    <row r="631" spans="4:36" x14ac:dyDescent="0.55000000000000004">
      <c r="D631">
        <v>624</v>
      </c>
      <c r="E631">
        <v>12.565910918332872</v>
      </c>
      <c r="F631">
        <v>0.43199325955896545</v>
      </c>
      <c r="G631">
        <v>0.17704236393357409</v>
      </c>
      <c r="H631">
        <v>16.82505345817458</v>
      </c>
      <c r="I631">
        <v>12.789657506183728</v>
      </c>
      <c r="J631">
        <v>0.28059263285533043</v>
      </c>
      <c r="K631">
        <v>0.11461926616002661</v>
      </c>
      <c r="L631">
        <v>16.815130594800916</v>
      </c>
      <c r="M631">
        <v>12.701367010354309</v>
      </c>
      <c r="N631">
        <v>0.34037494500632159</v>
      </c>
      <c r="O631">
        <v>0.13921831559048392</v>
      </c>
      <c r="P631">
        <v>16.819039729048882</v>
      </c>
      <c r="Q631">
        <v>12.687284977144245</v>
      </c>
      <c r="R631">
        <v>0.34990527160822715</v>
      </c>
      <c r="S631">
        <v>0.14314575689496611</v>
      </c>
      <c r="T631">
        <v>16.819663994352553</v>
      </c>
      <c r="U631">
        <v>1573.0803368975685</v>
      </c>
      <c r="V631">
        <v>9.9430761065718851</v>
      </c>
      <c r="W631">
        <v>1327.3053383355937</v>
      </c>
      <c r="X631">
        <v>7.3854300392598358</v>
      </c>
      <c r="Y631">
        <v>2910.1720812844846</v>
      </c>
      <c r="Z631">
        <v>9.9900639530958202</v>
      </c>
      <c r="AA631">
        <v>2751.1215368349694</v>
      </c>
      <c r="AB631">
        <v>7.4131807742754106</v>
      </c>
      <c r="AC631">
        <v>2213.4733306807007</v>
      </c>
      <c r="AD631">
        <v>9.9715264226769982</v>
      </c>
      <c r="AE631">
        <v>2025.9556232328025</v>
      </c>
      <c r="AF631">
        <v>7.402243545990931</v>
      </c>
      <c r="AG631">
        <v>2085.1719362886538</v>
      </c>
      <c r="AH631">
        <v>9.9685692826136414</v>
      </c>
      <c r="AI631">
        <v>1891.1056437184288</v>
      </c>
      <c r="AJ631">
        <v>7.4004975102981989</v>
      </c>
    </row>
    <row r="632" spans="4:36" x14ac:dyDescent="0.55000000000000004">
      <c r="D632">
        <v>625</v>
      </c>
      <c r="E632">
        <v>13.421652196905811</v>
      </c>
      <c r="F632">
        <v>0.46805527265812102</v>
      </c>
      <c r="G632">
        <v>0.1733685212039083</v>
      </c>
      <c r="H632">
        <v>15.93692400923215</v>
      </c>
      <c r="I632">
        <v>13.654578661010948</v>
      </c>
      <c r="J632">
        <v>0.30819730865295825</v>
      </c>
      <c r="K632">
        <v>0.11380751090266571</v>
      </c>
      <c r="L632">
        <v>15.923416519433436</v>
      </c>
      <c r="M632">
        <v>13.566135380276258</v>
      </c>
      <c r="N632">
        <v>0.36893588921486431</v>
      </c>
      <c r="O632">
        <v>0.13639427252895403</v>
      </c>
      <c r="P632">
        <v>15.928534457979904</v>
      </c>
      <c r="Q632">
        <v>13.504685241732828</v>
      </c>
      <c r="R632">
        <v>0.41110830692574268</v>
      </c>
      <c r="S632">
        <v>0.15210821918294676</v>
      </c>
      <c r="T632">
        <v>15.932098232158491</v>
      </c>
      <c r="U632">
        <v>1570.9015989273232</v>
      </c>
      <c r="V632">
        <v>10.651600371731663</v>
      </c>
      <c r="W632">
        <v>1319.4992930861488</v>
      </c>
      <c r="X632">
        <v>7.8125525335512727</v>
      </c>
      <c r="Y632">
        <v>2926.8577961304441</v>
      </c>
      <c r="Z632">
        <v>10.705167272330696</v>
      </c>
      <c r="AA632">
        <v>2759.1368214715471</v>
      </c>
      <c r="AB632">
        <v>7.8435693279934844</v>
      </c>
      <c r="AC632">
        <v>2256.7206904867512</v>
      </c>
      <c r="AD632">
        <v>10.684834212190689</v>
      </c>
      <c r="AE632">
        <v>2053.1958333605835</v>
      </c>
      <c r="AF632">
        <v>7.8318066867965488</v>
      </c>
      <c r="AG632">
        <v>2154.1874296491515</v>
      </c>
      <c r="AH632">
        <v>10.670702157295816</v>
      </c>
      <c r="AI632">
        <v>1934.8555971713313</v>
      </c>
      <c r="AJ632">
        <v>7.8236235639980398</v>
      </c>
    </row>
    <row r="633" spans="4:36" x14ac:dyDescent="0.55000000000000004">
      <c r="D633">
        <v>626</v>
      </c>
      <c r="E633">
        <v>11.432776970094437</v>
      </c>
      <c r="F633">
        <v>0.3971601972606717</v>
      </c>
      <c r="G633">
        <v>0.15290398307478043</v>
      </c>
      <c r="H633">
        <v>18.01715884957013</v>
      </c>
      <c r="I633">
        <v>11.634478724491348</v>
      </c>
      <c r="J633">
        <v>0.24750512291998158</v>
      </c>
      <c r="K633">
        <v>9.4992381434451531E-2</v>
      </c>
      <c r="L633">
        <v>18.023023771154215</v>
      </c>
      <c r="M633">
        <v>11.556662476275582</v>
      </c>
      <c r="N633">
        <v>0.30527034786646245</v>
      </c>
      <c r="O633">
        <v>0.11730249784210858</v>
      </c>
      <c r="P633">
        <v>18.020764678015858</v>
      </c>
      <c r="Q633">
        <v>11.509789583271411</v>
      </c>
      <c r="R633">
        <v>0.34004820080324411</v>
      </c>
      <c r="S633">
        <v>0.13076047758330769</v>
      </c>
      <c r="T633">
        <v>18.019401738342051</v>
      </c>
      <c r="U633">
        <v>1447.2142180113572</v>
      </c>
      <c r="V633">
        <v>9.0157932305694697</v>
      </c>
      <c r="W633">
        <v>1246.5449834192962</v>
      </c>
      <c r="X633">
        <v>6.8211640324068172</v>
      </c>
      <c r="Y633">
        <v>2856.2168515012258</v>
      </c>
      <c r="Z633">
        <v>9.0504634071390893</v>
      </c>
      <c r="AA633">
        <v>2720.7888230274461</v>
      </c>
      <c r="AB633">
        <v>6.8425608605746291</v>
      </c>
      <c r="AC633">
        <v>2151.3133279629906</v>
      </c>
      <c r="AD633">
        <v>9.0370862512804369</v>
      </c>
      <c r="AE633">
        <v>1990.8878220173199</v>
      </c>
      <c r="AF633">
        <v>6.834314885237629</v>
      </c>
      <c r="AG633">
        <v>2052.621958730595</v>
      </c>
      <c r="AH633">
        <v>9.0290293511674768</v>
      </c>
      <c r="AI633">
        <v>1876.8071924310307</v>
      </c>
      <c r="AJ633">
        <v>6.829342524234038</v>
      </c>
    </row>
    <row r="634" spans="4:36" x14ac:dyDescent="0.55000000000000004">
      <c r="D634">
        <v>627</v>
      </c>
      <c r="E634">
        <v>12.34197548660501</v>
      </c>
      <c r="F634">
        <v>0.46906665500408184</v>
      </c>
      <c r="G634">
        <v>0.1521459298912031</v>
      </c>
      <c r="H634">
        <v>17.036811928499684</v>
      </c>
      <c r="I634">
        <v>12.579053899621421</v>
      </c>
      <c r="J634">
        <v>0.28901079369313071</v>
      </c>
      <c r="K634">
        <v>9.3424269516390435E-2</v>
      </c>
      <c r="L634">
        <v>17.038511037169073</v>
      </c>
      <c r="M634">
        <v>12.479010327694754</v>
      </c>
      <c r="N634">
        <v>0.36502851417289567</v>
      </c>
      <c r="O634">
        <v>0.11816645871843244</v>
      </c>
      <c r="P634">
        <v>17.037794699413915</v>
      </c>
      <c r="Q634">
        <v>12.439467649957981</v>
      </c>
      <c r="R634">
        <v>0.3950600940088736</v>
      </c>
      <c r="S634">
        <v>0.12796095780462904</v>
      </c>
      <c r="T634">
        <v>17.03751129822852</v>
      </c>
      <c r="U634">
        <v>1495.3924995858843</v>
      </c>
      <c r="V634">
        <v>9.7048799933685039</v>
      </c>
      <c r="W634">
        <v>1275.8199072848142</v>
      </c>
      <c r="X634">
        <v>7.2305906943825633</v>
      </c>
      <c r="Y634">
        <v>2852.8992689297447</v>
      </c>
      <c r="Z634">
        <v>9.7464224933845518</v>
      </c>
      <c r="AA634">
        <v>2713.7415753889341</v>
      </c>
      <c r="AB634">
        <v>7.2555969368910054</v>
      </c>
      <c r="AC634">
        <v>2181.2451914456201</v>
      </c>
      <c r="AD634">
        <v>9.7288923180320257</v>
      </c>
      <c r="AE634">
        <v>2007.409372802304</v>
      </c>
      <c r="AF634">
        <v>7.2450565302214542</v>
      </c>
      <c r="AG634">
        <v>2090.8195509573284</v>
      </c>
      <c r="AH634">
        <v>9.7219633790773532</v>
      </c>
      <c r="AI634">
        <v>1899.7835563889823</v>
      </c>
      <c r="AJ634">
        <v>7.2408856349726598</v>
      </c>
    </row>
    <row r="635" spans="4:36" x14ac:dyDescent="0.55000000000000004">
      <c r="D635">
        <v>628</v>
      </c>
      <c r="E635">
        <v>10.987370018712461</v>
      </c>
      <c r="F635">
        <v>0.40235972194292147</v>
      </c>
      <c r="G635">
        <v>0.16167020714891936</v>
      </c>
      <c r="H635">
        <v>18.448600052195697</v>
      </c>
      <c r="I635">
        <v>11.144887959577135</v>
      </c>
      <c r="J635">
        <v>0.2751466287114841</v>
      </c>
      <c r="K635">
        <v>0.11026916038221203</v>
      </c>
      <c r="L635">
        <v>18.469696251329161</v>
      </c>
      <c r="M635">
        <v>11.074045104510558</v>
      </c>
      <c r="N635">
        <v>0.33237470681940995</v>
      </c>
      <c r="O635">
        <v>0.13335905936534995</v>
      </c>
      <c r="P635">
        <v>18.460221129304678</v>
      </c>
      <c r="Q635">
        <v>11.081802092501889</v>
      </c>
      <c r="R635">
        <v>0.32610964291714289</v>
      </c>
      <c r="S635">
        <v>0.13082863574286024</v>
      </c>
      <c r="T635">
        <v>18.461259628838093</v>
      </c>
      <c r="U635">
        <v>1442.3431234691891</v>
      </c>
      <c r="V635">
        <v>8.6583692230838523</v>
      </c>
      <c r="W635">
        <v>1244.6183752354316</v>
      </c>
      <c r="X635">
        <v>6.5956882096714677</v>
      </c>
      <c r="Y635">
        <v>2838.6353516217559</v>
      </c>
      <c r="Z635">
        <v>8.6749528055523513</v>
      </c>
      <c r="AA635">
        <v>2706.5713134547686</v>
      </c>
      <c r="AB635">
        <v>6.6069652866558499</v>
      </c>
      <c r="AC635">
        <v>2152.6406310270445</v>
      </c>
      <c r="AD635">
        <v>8.6674873844766349</v>
      </c>
      <c r="AE635">
        <v>1991.4370875758971</v>
      </c>
      <c r="AF635">
        <v>6.6018952607070807</v>
      </c>
      <c r="AG635">
        <v>2015.7040089851166</v>
      </c>
      <c r="AH635">
        <v>8.6683042569859357</v>
      </c>
      <c r="AI635">
        <v>1851.7682015185117</v>
      </c>
      <c r="AJ635">
        <v>6.6024505477347093</v>
      </c>
    </row>
    <row r="636" spans="4:36" x14ac:dyDescent="0.55000000000000004">
      <c r="D636">
        <v>629</v>
      </c>
      <c r="E636">
        <v>13.045608117091314</v>
      </c>
      <c r="F636">
        <v>0.47795954996493478</v>
      </c>
      <c r="G636">
        <v>0.16944663595099896</v>
      </c>
      <c r="H636">
        <v>16.306985696992751</v>
      </c>
      <c r="I636">
        <v>13.303985172655976</v>
      </c>
      <c r="J636">
        <v>0.29663691549668997</v>
      </c>
      <c r="K636">
        <v>0.10478160502130947</v>
      </c>
      <c r="L636">
        <v>16.29459630682603</v>
      </c>
      <c r="M636">
        <v>13.187185864026088</v>
      </c>
      <c r="N636">
        <v>0.37865432846128594</v>
      </c>
      <c r="O636">
        <v>0.13397219718633208</v>
      </c>
      <c r="P636">
        <v>16.300187610326301</v>
      </c>
      <c r="Q636">
        <v>13.154846093540785</v>
      </c>
      <c r="R636">
        <v>0.40134888945943231</v>
      </c>
      <c r="S636">
        <v>0.14206656156873773</v>
      </c>
      <c r="T636">
        <v>16.30173845543105</v>
      </c>
      <c r="U636">
        <v>1588.0375337125456</v>
      </c>
      <c r="V636">
        <v>10.25283597571511</v>
      </c>
      <c r="W636">
        <v>1332.9048287270907</v>
      </c>
      <c r="X636">
        <v>7.5586077339914182</v>
      </c>
      <c r="Y636">
        <v>2927.934468751635</v>
      </c>
      <c r="Z636">
        <v>10.308388821766613</v>
      </c>
      <c r="AA636">
        <v>2761.7891153553101</v>
      </c>
      <c r="AB636">
        <v>7.5912855755432593</v>
      </c>
      <c r="AC636">
        <v>2233.2040070806402</v>
      </c>
      <c r="AD636">
        <v>10.283280393965306</v>
      </c>
      <c r="AE636">
        <v>2036.2205438999172</v>
      </c>
      <c r="AF636">
        <v>7.5765307715888346</v>
      </c>
      <c r="AG636">
        <v>2136.5136307217149</v>
      </c>
      <c r="AH636">
        <v>10.276327063190559</v>
      </c>
      <c r="AI636">
        <v>1923.7240725258589</v>
      </c>
      <c r="AJ636">
        <v>7.5724404186970711</v>
      </c>
    </row>
    <row r="637" spans="4:36" x14ac:dyDescent="0.55000000000000004">
      <c r="D637">
        <v>630</v>
      </c>
      <c r="E637">
        <v>13.949580703588495</v>
      </c>
      <c r="F637">
        <v>0.47820437436307839</v>
      </c>
      <c r="G637">
        <v>0.19989124492816335</v>
      </c>
      <c r="H637">
        <v>15.372323677120253</v>
      </c>
      <c r="I637">
        <v>14.19930096584927</v>
      </c>
      <c r="J637">
        <v>0.31623352092007795</v>
      </c>
      <c r="K637">
        <v>0.13171837776861919</v>
      </c>
      <c r="L637">
        <v>15.352747135462028</v>
      </c>
      <c r="M637">
        <v>14.106768675420797</v>
      </c>
      <c r="N637">
        <v>0.37629843391569223</v>
      </c>
      <c r="O637">
        <v>0.15694208051060177</v>
      </c>
      <c r="P637">
        <v>15.359990810152912</v>
      </c>
      <c r="Q637">
        <v>14.079648245844421</v>
      </c>
      <c r="R637">
        <v>0.3938923718490378</v>
      </c>
      <c r="S637">
        <v>0.16434322626554806</v>
      </c>
      <c r="T637">
        <v>15.362116156041001</v>
      </c>
      <c r="U637">
        <v>1646.4390335113449</v>
      </c>
      <c r="V637">
        <v>10.948410463615998</v>
      </c>
      <c r="W637">
        <v>1367.5877943467358</v>
      </c>
      <c r="X637">
        <v>7.9679421123571688</v>
      </c>
      <c r="Y637">
        <v>2962.9955573114917</v>
      </c>
      <c r="Z637">
        <v>11.006975289752235</v>
      </c>
      <c r="AA637">
        <v>2780.615372564806</v>
      </c>
      <c r="AB637">
        <v>8.0017781235504</v>
      </c>
      <c r="AC637">
        <v>2289.1113638167753</v>
      </c>
      <c r="AD637">
        <v>10.985279770611765</v>
      </c>
      <c r="AE637">
        <v>2071.1063603472599</v>
      </c>
      <c r="AF637">
        <v>7.9892556777572521</v>
      </c>
      <c r="AG637">
        <v>2183.9118711655647</v>
      </c>
      <c r="AH637">
        <v>10.978919817596218</v>
      </c>
      <c r="AI637">
        <v>1952.2603091064784</v>
      </c>
      <c r="AJ637">
        <v>7.985582064810357</v>
      </c>
    </row>
    <row r="638" spans="4:36" x14ac:dyDescent="0.55000000000000004">
      <c r="D638">
        <v>631</v>
      </c>
      <c r="E638">
        <v>13.077560396912137</v>
      </c>
      <c r="F638">
        <v>0.46231985820464433</v>
      </c>
      <c r="G638">
        <v>0.20923197860033568</v>
      </c>
      <c r="H638">
        <v>16.250887766282887</v>
      </c>
      <c r="I638">
        <v>13.346419584998635</v>
      </c>
      <c r="J638">
        <v>0.27925806439486001</v>
      </c>
      <c r="K638">
        <v>0.12587052927107747</v>
      </c>
      <c r="L638">
        <v>16.248451821335419</v>
      </c>
      <c r="M638">
        <v>13.227071515137807</v>
      </c>
      <c r="N638">
        <v>0.36057726599571083</v>
      </c>
      <c r="O638">
        <v>0.16281610065667532</v>
      </c>
      <c r="P638">
        <v>16.249535118209817</v>
      </c>
      <c r="Q638">
        <v>13.175721760558718</v>
      </c>
      <c r="R638">
        <v>0.39553708455093939</v>
      </c>
      <c r="S638">
        <v>0.17874090625374087</v>
      </c>
      <c r="T638">
        <v>16.250000248636606</v>
      </c>
      <c r="U638">
        <v>1600.4263855009449</v>
      </c>
      <c r="V638">
        <v>10.326668420506721</v>
      </c>
      <c r="W638">
        <v>1340.0814515796678</v>
      </c>
      <c r="X638">
        <v>7.6063118878203575</v>
      </c>
      <c r="Y638">
        <v>2887.3575332105147</v>
      </c>
      <c r="Z638">
        <v>10.377224635288281</v>
      </c>
      <c r="AA638">
        <v>2731.2105630105043</v>
      </c>
      <c r="AB638">
        <v>7.6362587805600111</v>
      </c>
      <c r="AC638">
        <v>2252.5355970609189</v>
      </c>
      <c r="AD638">
        <v>10.354783473406215</v>
      </c>
      <c r="AE638">
        <v>2049.4409752289475</v>
      </c>
      <c r="AF638">
        <v>7.6229804389288951</v>
      </c>
      <c r="AG638">
        <v>2158.2218499577007</v>
      </c>
      <c r="AH638">
        <v>10.345127616290815</v>
      </c>
      <c r="AI638">
        <v>1937.5278611973556</v>
      </c>
      <c r="AJ638">
        <v>7.6172599467973168</v>
      </c>
    </row>
    <row r="639" spans="4:36" x14ac:dyDescent="0.55000000000000004">
      <c r="D639">
        <v>632</v>
      </c>
      <c r="E639">
        <v>14.622393772656618</v>
      </c>
      <c r="F639">
        <v>0.50825630731873506</v>
      </c>
      <c r="G639">
        <v>0.17975544738986782</v>
      </c>
      <c r="H639">
        <v>14.689594472634752</v>
      </c>
      <c r="I639">
        <v>14.911764869935089</v>
      </c>
      <c r="J639">
        <v>0.32490699868744038</v>
      </c>
      <c r="K639">
        <v>0.11447359657788996</v>
      </c>
      <c r="L639">
        <v>14.64885453479959</v>
      </c>
      <c r="M639">
        <v>14.79065760145623</v>
      </c>
      <c r="N639">
        <v>0.4017084835638543</v>
      </c>
      <c r="O639">
        <v>0.14175737211562214</v>
      </c>
      <c r="P639">
        <v>14.665876542864286</v>
      </c>
      <c r="Q639">
        <v>14.73481556471277</v>
      </c>
      <c r="R639">
        <v>0.43708926414848343</v>
      </c>
      <c r="S639">
        <v>0.15435612239641563</v>
      </c>
      <c r="T639">
        <v>14.673739048742323</v>
      </c>
      <c r="U639">
        <v>1646.4442564424544</v>
      </c>
      <c r="V639">
        <v>11.514545701796214</v>
      </c>
      <c r="W639">
        <v>1362.3555944040645</v>
      </c>
      <c r="X639">
        <v>8.3057927097437041</v>
      </c>
      <c r="Y639">
        <v>2985.6089158030632</v>
      </c>
      <c r="Z639">
        <v>11.589470637739321</v>
      </c>
      <c r="AA639">
        <v>2794.3500506830501</v>
      </c>
      <c r="AB639">
        <v>8.3479125135203684</v>
      </c>
      <c r="AC639">
        <v>2306.2075410074617</v>
      </c>
      <c r="AD639">
        <v>11.558129979846038</v>
      </c>
      <c r="AE639">
        <v>2079.278303204665</v>
      </c>
      <c r="AF639">
        <v>8.3303094051115387</v>
      </c>
      <c r="AG639">
        <v>2208.2689938694052</v>
      </c>
      <c r="AH639">
        <v>11.543670801888894</v>
      </c>
      <c r="AI639">
        <v>1964.2651984454046</v>
      </c>
      <c r="AJ639">
        <v>8.3221807033370503</v>
      </c>
    </row>
    <row r="640" spans="4:36" x14ac:dyDescent="0.55000000000000004">
      <c r="D640">
        <v>633</v>
      </c>
      <c r="E640">
        <v>11.556384274053787</v>
      </c>
      <c r="F640">
        <v>0.39966720771280595</v>
      </c>
      <c r="G640">
        <v>0.14096149333322419</v>
      </c>
      <c r="H640">
        <v>17.902987024900185</v>
      </c>
      <c r="I640">
        <v>11.73137723918914</v>
      </c>
      <c r="J640">
        <v>0.26585801773989082</v>
      </c>
      <c r="K640">
        <v>9.3516330760163913E-2</v>
      </c>
      <c r="L640">
        <v>17.909248412310809</v>
      </c>
      <c r="M640">
        <v>11.659361009233219</v>
      </c>
      <c r="N640">
        <v>0.32094588939400598</v>
      </c>
      <c r="O640">
        <v>0.11301783328662066</v>
      </c>
      <c r="P640">
        <v>17.906675268086147</v>
      </c>
      <c r="Q640">
        <v>11.616463169854065</v>
      </c>
      <c r="R640">
        <v>0.35374655050374287</v>
      </c>
      <c r="S640">
        <v>0.12465017666479591</v>
      </c>
      <c r="T640">
        <v>17.905140102977381</v>
      </c>
      <c r="U640">
        <v>1482.6940355292081</v>
      </c>
      <c r="V640">
        <v>9.17754452322602</v>
      </c>
      <c r="W640">
        <v>1272.666267486811</v>
      </c>
      <c r="X640">
        <v>6.9299393518150803</v>
      </c>
      <c r="Y640">
        <v>2843.264505157244</v>
      </c>
      <c r="Z640">
        <v>9.2071411210444456</v>
      </c>
      <c r="AA640">
        <v>2709.0186332001272</v>
      </c>
      <c r="AB640">
        <v>6.9482806974419846</v>
      </c>
      <c r="AC640">
        <v>2156.7120757921543</v>
      </c>
      <c r="AD640">
        <v>9.1949590840302946</v>
      </c>
      <c r="AE640">
        <v>1993.1888685616098</v>
      </c>
      <c r="AF640">
        <v>6.9407388993817527</v>
      </c>
      <c r="AG640">
        <v>2079.0222341185386</v>
      </c>
      <c r="AH640">
        <v>9.1877038924146497</v>
      </c>
      <c r="AI640">
        <v>1895.1793606693134</v>
      </c>
      <c r="AJ640">
        <v>6.9362422690678098</v>
      </c>
    </row>
    <row r="641" spans="4:36" x14ac:dyDescent="0.55000000000000004">
      <c r="D641">
        <v>634</v>
      </c>
      <c r="E641">
        <v>12.619891958313774</v>
      </c>
      <c r="F641">
        <v>0.51309630183693067</v>
      </c>
      <c r="G641">
        <v>0.17212910186008937</v>
      </c>
      <c r="H641">
        <v>16.694882637989195</v>
      </c>
      <c r="I641">
        <v>12.8397465377522</v>
      </c>
      <c r="J641">
        <v>0.33664781620072992</v>
      </c>
      <c r="K641">
        <v>0.11259701856367814</v>
      </c>
      <c r="L641">
        <v>16.711008627483395</v>
      </c>
      <c r="M641">
        <v>12.751613181966508</v>
      </c>
      <c r="N641">
        <v>0.40740710455215595</v>
      </c>
      <c r="O641">
        <v>0.13642699990405169</v>
      </c>
      <c r="P641">
        <v>16.7045527135773</v>
      </c>
      <c r="Q641">
        <v>12.727892899550923</v>
      </c>
      <c r="R641">
        <v>0.42644535636375958</v>
      </c>
      <c r="S641">
        <v>0.14284852254830299</v>
      </c>
      <c r="T641">
        <v>16.70281322153701</v>
      </c>
      <c r="U641">
        <v>1574.6905179154985</v>
      </c>
      <c r="V641">
        <v>10.032318077263078</v>
      </c>
      <c r="W641">
        <v>1323.2619865815095</v>
      </c>
      <c r="X641">
        <v>7.437279732057589</v>
      </c>
      <c r="Y641">
        <v>2922.3143808443169</v>
      </c>
      <c r="Z641">
        <v>10.065521635468366</v>
      </c>
      <c r="AA641">
        <v>2756.5260003895637</v>
      </c>
      <c r="AB641">
        <v>7.4577444484034654</v>
      </c>
      <c r="AC641">
        <v>2257.1361388728178</v>
      </c>
      <c r="AD641">
        <v>10.052206677882207</v>
      </c>
      <c r="AE641">
        <v>2054.1799146033609</v>
      </c>
      <c r="AF641">
        <v>7.4495475420961021</v>
      </c>
      <c r="AG641">
        <v>2121.0346068748668</v>
      </c>
      <c r="AH641">
        <v>10.048624128984917</v>
      </c>
      <c r="AI641">
        <v>1912.7886587224118</v>
      </c>
      <c r="AJ641">
        <v>7.4473398724167037</v>
      </c>
    </row>
    <row r="642" spans="4:36" x14ac:dyDescent="0.55000000000000004">
      <c r="D642">
        <v>635</v>
      </c>
      <c r="E642">
        <v>13.075563950642989</v>
      </c>
      <c r="F642">
        <v>0.49300303810268331</v>
      </c>
      <c r="G642">
        <v>0.16304762153475605</v>
      </c>
      <c r="H642">
        <v>16.26838538971958</v>
      </c>
      <c r="I642">
        <v>13.279119801413035</v>
      </c>
      <c r="J642">
        <v>0.34029118060930652</v>
      </c>
      <c r="K642">
        <v>0.11222619357861044</v>
      </c>
      <c r="L642">
        <v>16.268362824399038</v>
      </c>
      <c r="M642">
        <v>13.224514859105883</v>
      </c>
      <c r="N642">
        <v>0.3812786735233048</v>
      </c>
      <c r="O642">
        <v>0.12583809394865869</v>
      </c>
      <c r="P642">
        <v>16.268368373422145</v>
      </c>
      <c r="Q642">
        <v>13.177300226469562</v>
      </c>
      <c r="R642">
        <v>0.41670606849016484</v>
      </c>
      <c r="S642">
        <v>0.13762023711965762</v>
      </c>
      <c r="T642">
        <v>16.268373467920636</v>
      </c>
      <c r="U642">
        <v>1588.6843498961134</v>
      </c>
      <c r="V642">
        <v>10.324829859440536</v>
      </c>
      <c r="W642">
        <v>1332.5074486650253</v>
      </c>
      <c r="X642">
        <v>7.6055402475901621</v>
      </c>
      <c r="Y642">
        <v>2906.3053745918473</v>
      </c>
      <c r="Z642">
        <v>10.360694497547033</v>
      </c>
      <c r="AA642">
        <v>2742.6381206304404</v>
      </c>
      <c r="AB642">
        <v>7.6268866752795921</v>
      </c>
      <c r="AC642">
        <v>2265.8745107774821</v>
      </c>
      <c r="AD642">
        <v>10.351073739461199</v>
      </c>
      <c r="AE642">
        <v>2060.4660081671723</v>
      </c>
      <c r="AF642">
        <v>7.6211667905232687</v>
      </c>
      <c r="AG642">
        <v>2172.3131374167142</v>
      </c>
      <c r="AH642">
        <v>10.342754996548114</v>
      </c>
      <c r="AI642">
        <v>1949.3380071951497</v>
      </c>
      <c r="AJ642">
        <v>7.616217272718151</v>
      </c>
    </row>
    <row r="643" spans="4:36" x14ac:dyDescent="0.55000000000000004">
      <c r="D643">
        <v>636</v>
      </c>
      <c r="E643">
        <v>12.511572654587459</v>
      </c>
      <c r="F643">
        <v>0.4418990454506343</v>
      </c>
      <c r="G643">
        <v>0.16460373318740637</v>
      </c>
      <c r="H643">
        <v>16.881924566774497</v>
      </c>
      <c r="I643">
        <v>12.689645965495984</v>
      </c>
      <c r="J643">
        <v>0.30635540770330894</v>
      </c>
      <c r="K643">
        <v>0.11382562129518176</v>
      </c>
      <c r="L643">
        <v>16.89017300550552</v>
      </c>
      <c r="M643">
        <v>12.598932569429239</v>
      </c>
      <c r="N643">
        <v>0.37542453095260986</v>
      </c>
      <c r="O643">
        <v>0.13966801788258035</v>
      </c>
      <c r="P643">
        <v>16.885974881735564</v>
      </c>
      <c r="Q643">
        <v>12.546713875502549</v>
      </c>
      <c r="R643">
        <v>0.4151640367731691</v>
      </c>
      <c r="S643">
        <v>0.15456737377873273</v>
      </c>
      <c r="T643">
        <v>16.883554713945546</v>
      </c>
      <c r="U643">
        <v>1482.5386633702774</v>
      </c>
      <c r="V643">
        <v>9.8520833317608947</v>
      </c>
      <c r="W643">
        <v>1264.3544174808874</v>
      </c>
      <c r="X643">
        <v>7.3221413713374455</v>
      </c>
      <c r="Y643">
        <v>2887.4802467205377</v>
      </c>
      <c r="Z643">
        <v>9.8806104081343609</v>
      </c>
      <c r="AA643">
        <v>2735.9576306107747</v>
      </c>
      <c r="AB643">
        <v>7.3396139326287928</v>
      </c>
      <c r="AC643">
        <v>2219.9553852771051</v>
      </c>
      <c r="AD643">
        <v>9.8660759103068205</v>
      </c>
      <c r="AE643">
        <v>2032.6553157271715</v>
      </c>
      <c r="AF643">
        <v>7.3307185001960216</v>
      </c>
      <c r="AG643">
        <v>2114.0294079518258</v>
      </c>
      <c r="AH643">
        <v>9.8577114113052975</v>
      </c>
      <c r="AI643">
        <v>1912.48904880349</v>
      </c>
      <c r="AJ643">
        <v>7.3255928417801162</v>
      </c>
    </row>
    <row r="644" spans="4:36" x14ac:dyDescent="0.55000000000000004">
      <c r="D644">
        <v>637</v>
      </c>
      <c r="E644">
        <v>11.933637109045005</v>
      </c>
      <c r="F644">
        <v>0.43187675997952285</v>
      </c>
      <c r="G644">
        <v>0.15702423135329074</v>
      </c>
      <c r="H644">
        <v>17.477461899622178</v>
      </c>
      <c r="I644">
        <v>12.122415744552223</v>
      </c>
      <c r="J644">
        <v>0.28476656164846503</v>
      </c>
      <c r="K644">
        <v>0.10325076169226387</v>
      </c>
      <c r="L644">
        <v>17.489566932107053</v>
      </c>
      <c r="M644">
        <v>12.028925210390636</v>
      </c>
      <c r="N644">
        <v>0.35764406116926839</v>
      </c>
      <c r="O644">
        <v>0.1298520914659736</v>
      </c>
      <c r="P644">
        <v>17.483578636974137</v>
      </c>
      <c r="Q644">
        <v>11.989236167200239</v>
      </c>
      <c r="R644">
        <v>0.38856886262345569</v>
      </c>
      <c r="S644">
        <v>0.14116241356296297</v>
      </c>
      <c r="T644">
        <v>17.481032556613336</v>
      </c>
      <c r="U644">
        <v>1530.0169180284945</v>
      </c>
      <c r="V644">
        <v>9.4520757937620576</v>
      </c>
      <c r="W644">
        <v>1299.8605480718563</v>
      </c>
      <c r="X644">
        <v>7.0891115969816498</v>
      </c>
      <c r="Y644">
        <v>2889.9959881675359</v>
      </c>
      <c r="Z644">
        <v>9.480039185422747</v>
      </c>
      <c r="AA644">
        <v>2738.8906778110227</v>
      </c>
      <c r="AB644">
        <v>7.1064931813179388</v>
      </c>
      <c r="AC644">
        <v>2182.415930683168</v>
      </c>
      <c r="AD644">
        <v>9.4661874067385767</v>
      </c>
      <c r="AE644">
        <v>2004.8809031071985</v>
      </c>
      <c r="AF644">
        <v>7.0978910407552576</v>
      </c>
      <c r="AG644">
        <v>2124.5515951579955</v>
      </c>
      <c r="AH644">
        <v>9.4603088894782417</v>
      </c>
      <c r="AI644">
        <v>1921.4784801564726</v>
      </c>
      <c r="AJ644">
        <v>7.0942357303319641</v>
      </c>
    </row>
    <row r="645" spans="4:36" x14ac:dyDescent="0.55000000000000004">
      <c r="D645">
        <v>638</v>
      </c>
      <c r="E645">
        <v>12.673011285394782</v>
      </c>
      <c r="F645">
        <v>0.4639614708641161</v>
      </c>
      <c r="G645">
        <v>0.17822837458007862</v>
      </c>
      <c r="H645">
        <v>16.684798869161042</v>
      </c>
      <c r="I645">
        <v>12.924378028530217</v>
      </c>
      <c r="J645">
        <v>0.28330072707039311</v>
      </c>
      <c r="K645">
        <v>0.10841931362386567</v>
      </c>
      <c r="L645">
        <v>16.683901930775527</v>
      </c>
      <c r="M645">
        <v>12.806436232967233</v>
      </c>
      <c r="N645">
        <v>0.36811403269115012</v>
      </c>
      <c r="O645">
        <v>0.14112552790380389</v>
      </c>
      <c r="P645">
        <v>16.684324206437822</v>
      </c>
      <c r="Q645">
        <v>12.768595212458768</v>
      </c>
      <c r="R645">
        <v>0.39530843390019366</v>
      </c>
      <c r="S645">
        <v>0.15163719494419486</v>
      </c>
      <c r="T645">
        <v>16.68445915869686</v>
      </c>
      <c r="U645">
        <v>1537.9703013838409</v>
      </c>
      <c r="V645">
        <v>10.077116535750978</v>
      </c>
      <c r="W645">
        <v>1299.8305103706214</v>
      </c>
      <c r="X645">
        <v>7.4696589129171356</v>
      </c>
      <c r="Y645">
        <v>2870.0306535042491</v>
      </c>
      <c r="Z645">
        <v>10.126911747809675</v>
      </c>
      <c r="AA645">
        <v>2721.8832549914805</v>
      </c>
      <c r="AB645">
        <v>7.4995938572172909</v>
      </c>
      <c r="AC645">
        <v>2226.1355271491311</v>
      </c>
      <c r="AD645">
        <v>10.103546341329851</v>
      </c>
      <c r="AE645">
        <v>2034.2388500868358</v>
      </c>
      <c r="AF645">
        <v>7.4855625200852218</v>
      </c>
      <c r="AG645">
        <v>2145.7808901470485</v>
      </c>
      <c r="AH645">
        <v>10.096050188648137</v>
      </c>
      <c r="AI645">
        <v>1933.7864256591372</v>
      </c>
      <c r="AJ645">
        <v>7.481055341238446</v>
      </c>
    </row>
    <row r="646" spans="4:36" x14ac:dyDescent="0.55000000000000004">
      <c r="D646">
        <v>639</v>
      </c>
      <c r="E646">
        <v>13.312874160092074</v>
      </c>
      <c r="F646">
        <v>0.54220664854098599</v>
      </c>
      <c r="G646">
        <v>0.20513607588812599</v>
      </c>
      <c r="H646">
        <v>15.939783115478816</v>
      </c>
      <c r="I646">
        <v>13.570216435508261</v>
      </c>
      <c r="J646">
        <v>0.3424338153990153</v>
      </c>
      <c r="K646">
        <v>0.12909067842572136</v>
      </c>
      <c r="L646">
        <v>15.958259070666992</v>
      </c>
      <c r="M646">
        <v>13.446797800686703</v>
      </c>
      <c r="N646">
        <v>0.43828268651985197</v>
      </c>
      <c r="O646">
        <v>0.16550725557773127</v>
      </c>
      <c r="P646">
        <v>15.949412257215702</v>
      </c>
      <c r="Q646">
        <v>13.400024873607661</v>
      </c>
      <c r="R646">
        <v>0.4745881121687161</v>
      </c>
      <c r="S646">
        <v>0.17933425250437218</v>
      </c>
      <c r="T646">
        <v>15.946052761719251</v>
      </c>
      <c r="U646">
        <v>1670.5663576250749</v>
      </c>
      <c r="V646">
        <v>10.583849110730835</v>
      </c>
      <c r="W646">
        <v>1381.156611263528</v>
      </c>
      <c r="X646">
        <v>7.7609568648806109</v>
      </c>
      <c r="Y646">
        <v>2975.8388105291183</v>
      </c>
      <c r="Z646">
        <v>10.621537977251943</v>
      </c>
      <c r="AA646">
        <v>2788.6383279343081</v>
      </c>
      <c r="AB646">
        <v>7.7841982189290535</v>
      </c>
      <c r="AC646">
        <v>2315.6611926333303</v>
      </c>
      <c r="AD646">
        <v>10.60345354020685</v>
      </c>
      <c r="AE646">
        <v>2086.3173098404977</v>
      </c>
      <c r="AF646">
        <v>7.7730593152625067</v>
      </c>
      <c r="AG646">
        <v>2217.8401630071535</v>
      </c>
      <c r="AH646">
        <v>10.596604382422498</v>
      </c>
      <c r="AI646">
        <v>1971.4504274853741</v>
      </c>
      <c r="AJ646">
        <v>7.7688343662510499</v>
      </c>
    </row>
    <row r="647" spans="4:36" x14ac:dyDescent="0.55000000000000004">
      <c r="D647">
        <v>640</v>
      </c>
      <c r="E647">
        <v>13.08616999749073</v>
      </c>
      <c r="F647">
        <v>0.47356697585210616</v>
      </c>
      <c r="G647">
        <v>0.16143826807078301</v>
      </c>
      <c r="H647">
        <v>16.278824758586381</v>
      </c>
      <c r="I647">
        <v>13.344468502547583</v>
      </c>
      <c r="J647">
        <v>0.29670332392445242</v>
      </c>
      <c r="K647">
        <v>0.10078783939677617</v>
      </c>
      <c r="L647">
        <v>16.258040334131184</v>
      </c>
      <c r="M647">
        <v>13.234260751090607</v>
      </c>
      <c r="N647">
        <v>0.37221719967078426</v>
      </c>
      <c r="O647">
        <v>0.12662979347469119</v>
      </c>
      <c r="P647">
        <v>16.26689225576391</v>
      </c>
      <c r="Q647">
        <v>13.200321731911032</v>
      </c>
      <c r="R647">
        <v>0.39545660820355499</v>
      </c>
      <c r="S647">
        <v>0.13459859680884562</v>
      </c>
      <c r="T647">
        <v>16.269623063076562</v>
      </c>
      <c r="U647">
        <v>1592.3703819358882</v>
      </c>
      <c r="V647">
        <v>10.356485728233913</v>
      </c>
      <c r="W647">
        <v>1336.5490362506787</v>
      </c>
      <c r="X647">
        <v>7.6333927883839952</v>
      </c>
      <c r="Y647">
        <v>2913.4647465844332</v>
      </c>
      <c r="Z647">
        <v>10.419472902032114</v>
      </c>
      <c r="AA647">
        <v>2751.111787244758</v>
      </c>
      <c r="AB647">
        <v>7.6700869650145886</v>
      </c>
      <c r="AC647">
        <v>2260.6435992136735</v>
      </c>
      <c r="AD647">
        <v>10.392606516129698</v>
      </c>
      <c r="AE647">
        <v>2057.0968505293963</v>
      </c>
      <c r="AF647">
        <v>7.6544510198315763</v>
      </c>
      <c r="AG647">
        <v>2144.5979413511677</v>
      </c>
      <c r="AH647">
        <v>10.384330422221595</v>
      </c>
      <c r="AI647">
        <v>1930.230476429444</v>
      </c>
      <c r="AJ647">
        <v>7.649629801640299</v>
      </c>
    </row>
    <row r="648" spans="4:36" x14ac:dyDescent="0.55000000000000004">
      <c r="D648">
        <v>641</v>
      </c>
      <c r="E648">
        <v>11.972842071802008</v>
      </c>
      <c r="F648">
        <v>0.40205439032205842</v>
      </c>
      <c r="G648">
        <v>0.14560605594478804</v>
      </c>
      <c r="H648">
        <v>17.479497481931148</v>
      </c>
      <c r="I648">
        <v>12.164816221523235</v>
      </c>
      <c r="J648">
        <v>0.26588645142477835</v>
      </c>
      <c r="K648">
        <v>9.6015716174755128E-2</v>
      </c>
      <c r="L648">
        <v>17.473281610877244</v>
      </c>
      <c r="M648">
        <v>12.084980399875052</v>
      </c>
      <c r="N648">
        <v>0.32254253322405829</v>
      </c>
      <c r="O648">
        <v>0.11661391894869641</v>
      </c>
      <c r="P648">
        <v>17.475863147952193</v>
      </c>
      <c r="Q648">
        <v>12.026235907288049</v>
      </c>
      <c r="R648">
        <v>0.36420535649367869</v>
      </c>
      <c r="S648">
        <v>0.13179292786260063</v>
      </c>
      <c r="T648">
        <v>17.477765808355667</v>
      </c>
      <c r="U648">
        <v>1489.0807506921853</v>
      </c>
      <c r="V648">
        <v>9.3894384407357308</v>
      </c>
      <c r="W648">
        <v>1272.399756880912</v>
      </c>
      <c r="X648">
        <v>7.0428048057041543</v>
      </c>
      <c r="Y648">
        <v>2866.7514597794152</v>
      </c>
      <c r="Z648">
        <v>9.4277078701286658</v>
      </c>
      <c r="AA648">
        <v>2723.5627746957748</v>
      </c>
      <c r="AB648">
        <v>7.0657720914264601</v>
      </c>
      <c r="AC648">
        <v>2208.3553247358359</v>
      </c>
      <c r="AD648">
        <v>9.411794607343964</v>
      </c>
      <c r="AE648">
        <v>2028.1631015893297</v>
      </c>
      <c r="AF648">
        <v>7.0562305845043376</v>
      </c>
      <c r="AG648">
        <v>2087.8046687464634</v>
      </c>
      <c r="AH648">
        <v>9.4000837810349722</v>
      </c>
      <c r="AI648">
        <v>1896.6463828268452</v>
      </c>
      <c r="AJ648">
        <v>7.0492008623875586</v>
      </c>
    </row>
    <row r="649" spans="4:36" x14ac:dyDescent="0.55000000000000004">
      <c r="D649">
        <v>642</v>
      </c>
      <c r="E649">
        <v>11.89376089087768</v>
      </c>
      <c r="F649">
        <v>0.45766842474688268</v>
      </c>
      <c r="G649">
        <v>0.1666735603195732</v>
      </c>
      <c r="H649">
        <v>17.48189712405587</v>
      </c>
      <c r="I649">
        <v>12.094696273950706</v>
      </c>
      <c r="J649">
        <v>0.29499083572457363</v>
      </c>
      <c r="K649">
        <v>0.10709907937268948</v>
      </c>
      <c r="L649">
        <v>17.50321381095203</v>
      </c>
      <c r="M649">
        <v>11.987821205423527</v>
      </c>
      <c r="N649">
        <v>0.38153985781131161</v>
      </c>
      <c r="O649">
        <v>0.13874802065567254</v>
      </c>
      <c r="P649">
        <v>17.491890916109501</v>
      </c>
      <c r="Q649">
        <v>11.962640102129361</v>
      </c>
      <c r="R649">
        <v>0.40192436631144307</v>
      </c>
      <c r="S649">
        <v>0.14621744145062865</v>
      </c>
      <c r="T649">
        <v>17.489218090108562</v>
      </c>
      <c r="U649">
        <v>1508.4866923470099</v>
      </c>
      <c r="V649">
        <v>9.4216453875328288</v>
      </c>
      <c r="W649">
        <v>1281.2073950475487</v>
      </c>
      <c r="X649">
        <v>7.0673425010168547</v>
      </c>
      <c r="Y649">
        <v>2894.9144010103128</v>
      </c>
      <c r="Z649">
        <v>9.4489981663077423</v>
      </c>
      <c r="AA649">
        <v>2741.6277995754094</v>
      </c>
      <c r="AB649">
        <v>7.0849039490556676</v>
      </c>
      <c r="AC649">
        <v>2202.3603183962832</v>
      </c>
      <c r="AD649">
        <v>9.4344413588402709</v>
      </c>
      <c r="AE649">
        <v>2017.7180481887278</v>
      </c>
      <c r="AF649">
        <v>7.0755678735928154</v>
      </c>
      <c r="AG649">
        <v>2097.2245527366586</v>
      </c>
      <c r="AH649">
        <v>9.4310142974606137</v>
      </c>
      <c r="AI649">
        <v>1899.5549962877142</v>
      </c>
      <c r="AJ649">
        <v>7.073366646907683</v>
      </c>
    </row>
    <row r="650" spans="4:36" x14ac:dyDescent="0.55000000000000004">
      <c r="D650">
        <v>643</v>
      </c>
      <c r="E650">
        <v>11.273746826020506</v>
      </c>
      <c r="F650">
        <v>0.4211703442077317</v>
      </c>
      <c r="G650">
        <v>0.15021772075497838</v>
      </c>
      <c r="H650">
        <v>18.154865109016772</v>
      </c>
      <c r="I650">
        <v>11.430346305103392</v>
      </c>
      <c r="J650">
        <v>0.29082939132753999</v>
      </c>
      <c r="K650">
        <v>0.10347781396407559</v>
      </c>
      <c r="L650">
        <v>18.175346489604991</v>
      </c>
      <c r="M650">
        <v>11.374714191380461</v>
      </c>
      <c r="N650">
        <v>0.3371449074505406</v>
      </c>
      <c r="O650">
        <v>0.12006013491975868</v>
      </c>
      <c r="P650">
        <v>18.168080766249233</v>
      </c>
      <c r="Q650">
        <v>11.320786317120152</v>
      </c>
      <c r="R650">
        <v>0.38202923343870299</v>
      </c>
      <c r="S650">
        <v>0.13615764755965254</v>
      </c>
      <c r="T650">
        <v>18.161026801881501</v>
      </c>
      <c r="U650">
        <v>1467.1602723887286</v>
      </c>
      <c r="V650">
        <v>8.9383015839416124</v>
      </c>
      <c r="W650">
        <v>1261.4655284771493</v>
      </c>
      <c r="X650">
        <v>6.7759083018293627</v>
      </c>
      <c r="Y650">
        <v>2848.3408332472204</v>
      </c>
      <c r="Z650">
        <v>8.9561078150366349</v>
      </c>
      <c r="AA650">
        <v>2712.3547267900217</v>
      </c>
      <c r="AB650">
        <v>6.7878615805627378</v>
      </c>
      <c r="AC650">
        <v>2165.6567063485686</v>
      </c>
      <c r="AD650">
        <v>8.9497759336333083</v>
      </c>
      <c r="AE650">
        <v>2000.5564203374047</v>
      </c>
      <c r="AF650">
        <v>6.7836169591877455</v>
      </c>
      <c r="AG650">
        <v>2047.3944688608515</v>
      </c>
      <c r="AH650">
        <v>8.9436445334291221</v>
      </c>
      <c r="AI650">
        <v>1870.8365404376659</v>
      </c>
      <c r="AJ650">
        <v>6.7795004881331575</v>
      </c>
    </row>
    <row r="651" spans="4:36" x14ac:dyDescent="0.55000000000000004">
      <c r="D651">
        <v>644</v>
      </c>
      <c r="E651">
        <v>12.781324709479021</v>
      </c>
      <c r="F651">
        <v>0.48899944608783386</v>
      </c>
      <c r="G651">
        <v>0.17059528338118268</v>
      </c>
      <c r="H651">
        <v>16.55908056105196</v>
      </c>
      <c r="I651">
        <v>13.004627183007218</v>
      </c>
      <c r="J651">
        <v>0.31498660663138756</v>
      </c>
      <c r="K651">
        <v>0.10954965515141797</v>
      </c>
      <c r="L651">
        <v>16.570836555209958</v>
      </c>
      <c r="M651">
        <v>12.910287191801295</v>
      </c>
      <c r="N651">
        <v>0.38853274161840734</v>
      </c>
      <c r="O651">
        <v>0.13530386480884898</v>
      </c>
      <c r="P651">
        <v>16.565876201771442</v>
      </c>
      <c r="Q651">
        <v>12.876080505013954</v>
      </c>
      <c r="R651">
        <v>0.41518904645894711</v>
      </c>
      <c r="S651">
        <v>0.14465507914767872</v>
      </c>
      <c r="T651">
        <v>16.564075369379413</v>
      </c>
      <c r="U651">
        <v>1531.773260229997</v>
      </c>
      <c r="V651">
        <v>10.075364680513482</v>
      </c>
      <c r="W651">
        <v>1293.6403512904426</v>
      </c>
      <c r="X651">
        <v>7.4524768557108976</v>
      </c>
      <c r="Y651">
        <v>2914.5808056089313</v>
      </c>
      <c r="Z651">
        <v>10.108007151167648</v>
      </c>
      <c r="AA651">
        <v>2752.7932592419083</v>
      </c>
      <c r="AB651">
        <v>7.4724055674825793</v>
      </c>
      <c r="AC651">
        <v>2230.78178758183</v>
      </c>
      <c r="AD651">
        <v>10.094213020652493</v>
      </c>
      <c r="AE651">
        <v>2036.4245835082645</v>
      </c>
      <c r="AF651">
        <v>7.4639932674400713</v>
      </c>
      <c r="AG651">
        <v>2126.0618872489144</v>
      </c>
      <c r="AH651">
        <v>10.089212661452194</v>
      </c>
      <c r="AI651">
        <v>1917.8589711597447</v>
      </c>
      <c r="AJ651">
        <v>7.4609404989335371</v>
      </c>
    </row>
    <row r="652" spans="4:36" x14ac:dyDescent="0.55000000000000004">
      <c r="D652">
        <v>645</v>
      </c>
      <c r="E652">
        <v>12.681119274558627</v>
      </c>
      <c r="F652">
        <v>0.49045450592208312</v>
      </c>
      <c r="G652">
        <v>0.17939621720425666</v>
      </c>
      <c r="H652">
        <v>16.649030002315012</v>
      </c>
      <c r="I652">
        <v>12.9260116235513</v>
      </c>
      <c r="J652">
        <v>0.3050210568878427</v>
      </c>
      <c r="K652">
        <v>0.11120284706917431</v>
      </c>
      <c r="L652">
        <v>16.657764472491689</v>
      </c>
      <c r="M652">
        <v>12.817598407213232</v>
      </c>
      <c r="N652">
        <v>0.3871513622682915</v>
      </c>
      <c r="O652">
        <v>0.14135022419551485</v>
      </c>
      <c r="P652">
        <v>16.653900006322957</v>
      </c>
      <c r="Q652">
        <v>12.796667365420944</v>
      </c>
      <c r="R652">
        <v>0.40300085719369555</v>
      </c>
      <c r="S652">
        <v>0.14717828617519108</v>
      </c>
      <c r="T652">
        <v>16.653153491210166</v>
      </c>
      <c r="U652">
        <v>1588.6391826963261</v>
      </c>
      <c r="V652">
        <v>10.139772741143378</v>
      </c>
      <c r="W652">
        <v>1334.6297677720293</v>
      </c>
      <c r="X652">
        <v>7.5135692794891797</v>
      </c>
      <c r="Y652">
        <v>2915.0342089492938</v>
      </c>
      <c r="Z652">
        <v>10.185067902184487</v>
      </c>
      <c r="AA652">
        <v>2753.0670021435426</v>
      </c>
      <c r="AB652">
        <v>7.5408492305922818</v>
      </c>
      <c r="AC652">
        <v>2278.1906642691065</v>
      </c>
      <c r="AD652">
        <v>10.165014793511395</v>
      </c>
      <c r="AE652">
        <v>2070.782593855628</v>
      </c>
      <c r="AF652">
        <v>7.5287849205637176</v>
      </c>
      <c r="AG652">
        <v>2106.772236269861</v>
      </c>
      <c r="AH652">
        <v>10.161143388142923</v>
      </c>
      <c r="AI652">
        <v>1903.3099197124143</v>
      </c>
      <c r="AJ652">
        <v>7.5264534310041888</v>
      </c>
    </row>
    <row r="653" spans="4:36" x14ac:dyDescent="0.55000000000000004">
      <c r="D653">
        <v>646</v>
      </c>
      <c r="E653">
        <v>14.075893536783978</v>
      </c>
      <c r="F653">
        <v>0.55049724794255972</v>
      </c>
      <c r="G653">
        <v>0.1787171190949649</v>
      </c>
      <c r="H653">
        <v>15.194892096178505</v>
      </c>
      <c r="I653">
        <v>14.321797057388673</v>
      </c>
      <c r="J653">
        <v>0.3687015486697639</v>
      </c>
      <c r="K653">
        <v>0.11932817270893387</v>
      </c>
      <c r="L653">
        <v>15.190173221232621</v>
      </c>
      <c r="M653">
        <v>14.241221833461431</v>
      </c>
      <c r="N653">
        <v>0.42830554896451678</v>
      </c>
      <c r="O653">
        <v>0.13875850076302934</v>
      </c>
      <c r="P653">
        <v>15.191714116811028</v>
      </c>
      <c r="Q653">
        <v>14.177250738710582</v>
      </c>
      <c r="R653">
        <v>0.47560275363689486</v>
      </c>
      <c r="S653">
        <v>0.15420533728298458</v>
      </c>
      <c r="T653">
        <v>15.192941170369544</v>
      </c>
      <c r="U653">
        <v>1630.1608968022838</v>
      </c>
      <c r="V653">
        <v>11.154988340911391</v>
      </c>
      <c r="W653">
        <v>1353.8769750000722</v>
      </c>
      <c r="X653">
        <v>8.098107129068735</v>
      </c>
      <c r="Y653">
        <v>2949.1416358155116</v>
      </c>
      <c r="Z653">
        <v>11.201364500973805</v>
      </c>
      <c r="AA653">
        <v>2769.0169217623343</v>
      </c>
      <c r="AB653">
        <v>8.1249975572439528</v>
      </c>
      <c r="AC653">
        <v>2290.3946093331429</v>
      </c>
      <c r="AD653">
        <v>11.186171539887981</v>
      </c>
      <c r="AE653">
        <v>2070.9626447546552</v>
      </c>
      <c r="AF653">
        <v>8.1161971597560267</v>
      </c>
      <c r="AG653">
        <v>2157.7187850327687</v>
      </c>
      <c r="AH653">
        <v>11.174107235265085</v>
      </c>
      <c r="AI653">
        <v>1930.1456160609068</v>
      </c>
      <c r="AJ653">
        <v>8.109202800855881</v>
      </c>
    </row>
    <row r="654" spans="4:36" x14ac:dyDescent="0.55000000000000004">
      <c r="D654">
        <v>647</v>
      </c>
      <c r="E654">
        <v>12.512356488739417</v>
      </c>
      <c r="F654">
        <v>0.46872382048316669</v>
      </c>
      <c r="G654">
        <v>0.15904302719727775</v>
      </c>
      <c r="H654">
        <v>16.859876663580131</v>
      </c>
      <c r="I654">
        <v>12.743632376435077</v>
      </c>
      <c r="J654">
        <v>0.29552937111151983</v>
      </c>
      <c r="K654">
        <v>9.994499992876478E-2</v>
      </c>
      <c r="L654">
        <v>16.860893252524644</v>
      </c>
      <c r="M654">
        <v>12.640967312967595</v>
      </c>
      <c r="N654">
        <v>0.37244805836902156</v>
      </c>
      <c r="O654">
        <v>0.12614250118646517</v>
      </c>
      <c r="P654">
        <v>16.860442127476915</v>
      </c>
      <c r="Q654">
        <v>12.599983316352281</v>
      </c>
      <c r="R654">
        <v>0.40313789740801975</v>
      </c>
      <c r="S654">
        <v>0.13661681366082049</v>
      </c>
      <c r="T654">
        <v>16.860261972578876</v>
      </c>
      <c r="U654">
        <v>1547.6896595666569</v>
      </c>
      <c r="V654">
        <v>9.8460378558342221</v>
      </c>
      <c r="W654">
        <v>1308.2495559869753</v>
      </c>
      <c r="X654">
        <v>7.3171421904624019</v>
      </c>
      <c r="Y654">
        <v>2896.4003102675665</v>
      </c>
      <c r="Z654">
        <v>9.8897701862878105</v>
      </c>
      <c r="AA654">
        <v>2741.5320690548433</v>
      </c>
      <c r="AB654">
        <v>7.3434503553033572</v>
      </c>
      <c r="AC654">
        <v>2235.9398099099753</v>
      </c>
      <c r="AD654">
        <v>9.870356732813919</v>
      </c>
      <c r="AE654">
        <v>2042.4501779402972</v>
      </c>
      <c r="AF654">
        <v>7.3317838456446145</v>
      </c>
      <c r="AG654">
        <v>2147.2375772360051</v>
      </c>
      <c r="AH654">
        <v>9.8626070188976431</v>
      </c>
      <c r="AI654">
        <v>1935.6265005488797</v>
      </c>
      <c r="AJ654">
        <v>7.3271212890884323</v>
      </c>
    </row>
    <row r="655" spans="4:36" x14ac:dyDescent="0.55000000000000004">
      <c r="D655">
        <v>648</v>
      </c>
      <c r="E655">
        <v>13.657504808567941</v>
      </c>
      <c r="F655">
        <v>0.52229003489667136</v>
      </c>
      <c r="G655">
        <v>0.19366167854873553</v>
      </c>
      <c r="H655">
        <v>15.626543477986671</v>
      </c>
      <c r="I655">
        <v>13.921610719574829</v>
      </c>
      <c r="J655">
        <v>0.33636161938985676</v>
      </c>
      <c r="K655">
        <v>0.12429120646907449</v>
      </c>
      <c r="L655">
        <v>15.61773645456625</v>
      </c>
      <c r="M655">
        <v>13.851011527611268</v>
      </c>
      <c r="N655">
        <v>0.38610316643751741</v>
      </c>
      <c r="O655">
        <v>0.14280236391981821</v>
      </c>
      <c r="P655">
        <v>15.620082942031402</v>
      </c>
      <c r="Q655">
        <v>13.779309869137098</v>
      </c>
      <c r="R655">
        <v>0.43659150452538753</v>
      </c>
      <c r="S655">
        <v>0.16162679260971641</v>
      </c>
      <c r="T655">
        <v>15.622471833727797</v>
      </c>
      <c r="U655">
        <v>1661.8230364011711</v>
      </c>
      <c r="V655">
        <v>10.740619181792315</v>
      </c>
      <c r="W655">
        <v>1376.5260552036273</v>
      </c>
      <c r="X655">
        <v>7.8431019901613181</v>
      </c>
      <c r="Y655">
        <v>2952.466234913762</v>
      </c>
      <c r="Z655">
        <v>10.791791242959491</v>
      </c>
      <c r="AA655">
        <v>2772.002011596961</v>
      </c>
      <c r="AB655">
        <v>7.8728102120209487</v>
      </c>
      <c r="AC655">
        <v>2270.2124032472739</v>
      </c>
      <c r="AD655">
        <v>10.778116631029976</v>
      </c>
      <c r="AE655">
        <v>2057.3073148353456</v>
      </c>
      <c r="AF655">
        <v>7.8648810574507939</v>
      </c>
      <c r="AG655">
        <v>2203.0219633785246</v>
      </c>
      <c r="AH655">
        <v>10.764225213248745</v>
      </c>
      <c r="AI655">
        <v>1963.8362414881583</v>
      </c>
      <c r="AJ655">
        <v>7.8568189683224565</v>
      </c>
    </row>
    <row r="656" spans="4:36" x14ac:dyDescent="0.55000000000000004">
      <c r="D656">
        <v>649</v>
      </c>
      <c r="E656">
        <v>12.18653327032418</v>
      </c>
      <c r="F656">
        <v>0.44099957713357318</v>
      </c>
      <c r="G656">
        <v>0.15454604112341069</v>
      </c>
      <c r="H656">
        <v>17.217921111418832</v>
      </c>
      <c r="I656">
        <v>12.406500186949481</v>
      </c>
      <c r="J656">
        <v>0.28235786524621043</v>
      </c>
      <c r="K656">
        <v>9.8615048528132701E-2</v>
      </c>
      <c r="L656">
        <v>17.212526899276199</v>
      </c>
      <c r="M656">
        <v>12.353284643902809</v>
      </c>
      <c r="N656">
        <v>0.32076416370942523</v>
      </c>
      <c r="O656">
        <v>0.1121203213257929</v>
      </c>
      <c r="P656">
        <v>17.21383087106198</v>
      </c>
      <c r="Q656">
        <v>12.263562897485608</v>
      </c>
      <c r="R656">
        <v>0.38547870707261545</v>
      </c>
      <c r="S656">
        <v>0.13492754091450379</v>
      </c>
      <c r="T656">
        <v>17.216030854527261</v>
      </c>
      <c r="U656">
        <v>1498.3622354997494</v>
      </c>
      <c r="V656">
        <v>9.730434239470318</v>
      </c>
      <c r="W656">
        <v>1276.9456828593309</v>
      </c>
      <c r="X656">
        <v>7.2696451989810784</v>
      </c>
      <c r="Y656">
        <v>2893.8149587970388</v>
      </c>
      <c r="Z656">
        <v>9.7742123697127301</v>
      </c>
      <c r="AA656">
        <v>2742.9393156579022</v>
      </c>
      <c r="AB656">
        <v>7.2959853651106661</v>
      </c>
      <c r="AC656">
        <v>2168.3594154461998</v>
      </c>
      <c r="AD656">
        <v>9.7636217448995293</v>
      </c>
      <c r="AE656">
        <v>1998.6313898053063</v>
      </c>
      <c r="AF656">
        <v>7.2896220345973592</v>
      </c>
      <c r="AG656">
        <v>2086.0836693037782</v>
      </c>
      <c r="AH656">
        <v>9.7457652930839309</v>
      </c>
      <c r="AI656">
        <v>1894.262774980283</v>
      </c>
      <c r="AJ656">
        <v>7.278880430524044</v>
      </c>
    </row>
    <row r="657" spans="4:36" x14ac:dyDescent="0.55000000000000004">
      <c r="D657">
        <v>650</v>
      </c>
      <c r="E657">
        <v>12.900156368479534</v>
      </c>
      <c r="F657">
        <v>0.48211107527940328</v>
      </c>
      <c r="G657">
        <v>0.19221462436368644</v>
      </c>
      <c r="H657">
        <v>16.425517931877387</v>
      </c>
      <c r="I657">
        <v>13.120976544902641</v>
      </c>
      <c r="J657">
        <v>0.3189598002794391</v>
      </c>
      <c r="K657">
        <v>0.12676970592644943</v>
      </c>
      <c r="L657">
        <v>16.433293948891475</v>
      </c>
      <c r="M657">
        <v>13.018486492370929</v>
      </c>
      <c r="N657">
        <v>0.394717631254562</v>
      </c>
      <c r="O657">
        <v>0.15710672598455375</v>
      </c>
      <c r="P657">
        <v>16.429689150389976</v>
      </c>
      <c r="Q657">
        <v>13.00015085672962</v>
      </c>
      <c r="R657">
        <v>0.40826466786125387</v>
      </c>
      <c r="S657">
        <v>0.16254101421337636</v>
      </c>
      <c r="T657">
        <v>16.429043461195747</v>
      </c>
      <c r="U657">
        <v>1555.4875767052158</v>
      </c>
      <c r="V657">
        <v>10.170165304377942</v>
      </c>
      <c r="W657">
        <v>1309.6253199406242</v>
      </c>
      <c r="X657">
        <v>7.5090606400250328</v>
      </c>
      <c r="Y657">
        <v>2906.8771752143971</v>
      </c>
      <c r="Z657">
        <v>10.206005587477428</v>
      </c>
      <c r="AA657">
        <v>2745.2913503428917</v>
      </c>
      <c r="AB657">
        <v>7.5307383199582318</v>
      </c>
      <c r="AC657">
        <v>2237.4514763443894</v>
      </c>
      <c r="AD657">
        <v>10.189368464721991</v>
      </c>
      <c r="AE657">
        <v>2039.1159986390321</v>
      </c>
      <c r="AF657">
        <v>7.520685157024432</v>
      </c>
      <c r="AG657">
        <v>2097.1112675480467</v>
      </c>
      <c r="AH657">
        <v>10.186392501705431</v>
      </c>
      <c r="AI657">
        <v>1894.9824726848899</v>
      </c>
      <c r="AJ657">
        <v>7.5188851434234891</v>
      </c>
    </row>
    <row r="658" spans="4:36" x14ac:dyDescent="0.55000000000000004">
      <c r="D658">
        <v>651</v>
      </c>
      <c r="E658">
        <v>13.139364086256862</v>
      </c>
      <c r="F658">
        <v>0.46108504827909391</v>
      </c>
      <c r="G658">
        <v>0.16013365731364748</v>
      </c>
      <c r="H658">
        <v>16.23941720815041</v>
      </c>
      <c r="I658">
        <v>13.362981724916724</v>
      </c>
      <c r="J658">
        <v>0.30232866885223142</v>
      </c>
      <c r="K658">
        <v>0.10468330172571527</v>
      </c>
      <c r="L658">
        <v>16.230006304505313</v>
      </c>
      <c r="M658">
        <v>13.260392447830723</v>
      </c>
      <c r="N658">
        <v>0.37519852003619708</v>
      </c>
      <c r="O658">
        <v>0.13009330250857737</v>
      </c>
      <c r="P658">
        <v>16.234315729624498</v>
      </c>
      <c r="Q658">
        <v>13.204587030520448</v>
      </c>
      <c r="R658">
        <v>0.41481117602705703</v>
      </c>
      <c r="S658">
        <v>0.1439361713628747</v>
      </c>
      <c r="T658">
        <v>16.236665622089621</v>
      </c>
      <c r="U658">
        <v>1574.890740009999</v>
      </c>
      <c r="V658">
        <v>10.402201449532777</v>
      </c>
      <c r="W658">
        <v>1324.2586801142538</v>
      </c>
      <c r="X658">
        <v>7.6601042017945176</v>
      </c>
      <c r="Y658">
        <v>2918.1857588418229</v>
      </c>
      <c r="Z658">
        <v>10.447698714627462</v>
      </c>
      <c r="AA658">
        <v>2754.0509810545836</v>
      </c>
      <c r="AB658">
        <v>7.6866213708445423</v>
      </c>
      <c r="AC658">
        <v>2262.775495928192</v>
      </c>
      <c r="AD658">
        <v>10.426831003090252</v>
      </c>
      <c r="AE658">
        <v>2058.2789086821208</v>
      </c>
      <c r="AF658">
        <v>7.6744688484902381</v>
      </c>
      <c r="AG658">
        <v>2151.1761270326833</v>
      </c>
      <c r="AH658">
        <v>10.415475978683586</v>
      </c>
      <c r="AI658">
        <v>1933.454526603183</v>
      </c>
      <c r="AJ658">
        <v>7.6678491742668005</v>
      </c>
    </row>
    <row r="659" spans="4:36" x14ac:dyDescent="0.55000000000000004">
      <c r="D659">
        <v>652</v>
      </c>
      <c r="E659">
        <v>12.311348381140894</v>
      </c>
      <c r="F659">
        <v>0.4631494666889111</v>
      </c>
      <c r="G659">
        <v>0.1653091490114128</v>
      </c>
      <c r="H659">
        <v>17.060193003158794</v>
      </c>
      <c r="I659">
        <v>12.512591447485867</v>
      </c>
      <c r="J659">
        <v>0.30853238070202615</v>
      </c>
      <c r="K659">
        <v>0.10979698302972439</v>
      </c>
      <c r="L659">
        <v>17.0690791887824</v>
      </c>
      <c r="M659">
        <v>12.426057052556617</v>
      </c>
      <c r="N659">
        <v>0.37504357918263348</v>
      </c>
      <c r="O659">
        <v>0.1336356389796578</v>
      </c>
      <c r="P659">
        <v>17.065263729281085</v>
      </c>
      <c r="Q659">
        <v>12.419243209175315</v>
      </c>
      <c r="R659">
        <v>0.38027911114683943</v>
      </c>
      <c r="S659">
        <v>0.13551474219537929</v>
      </c>
      <c r="T659">
        <v>17.06496293748247</v>
      </c>
      <c r="U659">
        <v>1567.1366554971553</v>
      </c>
      <c r="V659">
        <v>9.7561239492244241</v>
      </c>
      <c r="W659">
        <v>1320.8494587024281</v>
      </c>
      <c r="X659">
        <v>7.2718738218759329</v>
      </c>
      <c r="Y659">
        <v>2924.4920746478242</v>
      </c>
      <c r="Z659">
        <v>9.7916026068459754</v>
      </c>
      <c r="AA659">
        <v>2759.9049408697824</v>
      </c>
      <c r="AB659">
        <v>7.2937815860370536</v>
      </c>
      <c r="AC659">
        <v>2243.8572085399305</v>
      </c>
      <c r="AD659">
        <v>9.7763425190020126</v>
      </c>
      <c r="AE659">
        <v>2046.2331301853908</v>
      </c>
      <c r="AF659">
        <v>7.2843685662640043</v>
      </c>
      <c r="AG659">
        <v>2134.8852921462762</v>
      </c>
      <c r="AH659">
        <v>9.7751411911723558</v>
      </c>
      <c r="AI659">
        <v>1926.2828020018785</v>
      </c>
      <c r="AJ659">
        <v>7.283626905830376</v>
      </c>
    </row>
    <row r="660" spans="4:36" x14ac:dyDescent="0.55000000000000004">
      <c r="D660">
        <v>653</v>
      </c>
      <c r="E660">
        <v>11.209663163770296</v>
      </c>
      <c r="F660">
        <v>0.44248872938744671</v>
      </c>
      <c r="G660">
        <v>0.15315869251050043</v>
      </c>
      <c r="H660">
        <v>18.194689414331737</v>
      </c>
      <c r="I660">
        <v>11.396502205358857</v>
      </c>
      <c r="J660">
        <v>0.28927720672661178</v>
      </c>
      <c r="K660">
        <v>9.9828721458719627E-2</v>
      </c>
      <c r="L660">
        <v>18.214391866455795</v>
      </c>
      <c r="M660">
        <v>11.338063948096035</v>
      </c>
      <c r="N660">
        <v>0.33721443009356722</v>
      </c>
      <c r="O660">
        <v>0.11648007402745113</v>
      </c>
      <c r="P660">
        <v>18.20824154778294</v>
      </c>
      <c r="Q660">
        <v>11.304036774733913</v>
      </c>
      <c r="R660">
        <v>0.36512010763308811</v>
      </c>
      <c r="S660">
        <v>0.12618779597614038</v>
      </c>
      <c r="T660">
        <v>18.204655321656873</v>
      </c>
      <c r="U660">
        <v>1453.239714075813</v>
      </c>
      <c r="V660">
        <v>8.8255499118450658</v>
      </c>
      <c r="W660">
        <v>1252.0851394917463</v>
      </c>
      <c r="X660">
        <v>6.6957236640489848</v>
      </c>
      <c r="Y660">
        <v>2840.3874002743537</v>
      </c>
      <c r="Z660">
        <v>8.848433886623468</v>
      </c>
      <c r="AA660">
        <v>2708.3458876158143</v>
      </c>
      <c r="AB660">
        <v>6.7107196091744781</v>
      </c>
      <c r="AC660">
        <v>2149.943829882829</v>
      </c>
      <c r="AD660">
        <v>8.8412699058594644</v>
      </c>
      <c r="AE660">
        <v>1990.8296506217418</v>
      </c>
      <c r="AF660">
        <v>6.7060326555153598</v>
      </c>
      <c r="AG660">
        <v>2042.6169293187822</v>
      </c>
      <c r="AH660">
        <v>8.8371012026669487</v>
      </c>
      <c r="AI660">
        <v>1871.0400780680407</v>
      </c>
      <c r="AJ660">
        <v>6.7033021479771797</v>
      </c>
    </row>
    <row r="661" spans="4:36" x14ac:dyDescent="0.55000000000000004">
      <c r="D661">
        <v>654</v>
      </c>
      <c r="E661">
        <v>12.141773557791968</v>
      </c>
      <c r="F661">
        <v>0.42777835179907547</v>
      </c>
      <c r="G661">
        <v>0.13553740823520333</v>
      </c>
      <c r="H661">
        <v>17.294910682173754</v>
      </c>
      <c r="I661">
        <v>12.328397193999271</v>
      </c>
      <c r="J661">
        <v>0.28667398207764994</v>
      </c>
      <c r="K661">
        <v>9.0587985556718528E-2</v>
      </c>
      <c r="L661">
        <v>17.294340838366374</v>
      </c>
      <c r="M661">
        <v>12.220918440143421</v>
      </c>
      <c r="N661">
        <v>0.36796101561921946</v>
      </c>
      <c r="O661">
        <v>0.11645263700608696</v>
      </c>
      <c r="P661">
        <v>17.294667907231283</v>
      </c>
      <c r="Q661">
        <v>12.189203983817942</v>
      </c>
      <c r="R661">
        <v>0.39193480773050859</v>
      </c>
      <c r="S661">
        <v>0.12409621574058544</v>
      </c>
      <c r="T661">
        <v>17.294764992710956</v>
      </c>
      <c r="U661">
        <v>1485.2082732222198</v>
      </c>
      <c r="V661">
        <v>9.5802159088847407</v>
      </c>
      <c r="W661">
        <v>1269.7784407943411</v>
      </c>
      <c r="X661">
        <v>7.1652413819837744</v>
      </c>
      <c r="Y661">
        <v>2879.1676705177524</v>
      </c>
      <c r="Z661">
        <v>9.6148304129514628</v>
      </c>
      <c r="AA661">
        <v>2732.8063380557737</v>
      </c>
      <c r="AB661">
        <v>7.1860834266737044</v>
      </c>
      <c r="AC661">
        <v>2207.3082943803524</v>
      </c>
      <c r="AD661">
        <v>9.5948962089016412</v>
      </c>
      <c r="AE661">
        <v>2025.7237281392909</v>
      </c>
      <c r="AF661">
        <v>7.1740884887801499</v>
      </c>
      <c r="AG661">
        <v>2098.0017103919809</v>
      </c>
      <c r="AH661">
        <v>9.5890137324212734</v>
      </c>
      <c r="AI661">
        <v>1904.3049110101131</v>
      </c>
      <c r="AJ661">
        <v>7.1705447971344016</v>
      </c>
    </row>
    <row r="662" spans="4:36" x14ac:dyDescent="0.55000000000000004">
      <c r="D662">
        <v>655</v>
      </c>
      <c r="E662">
        <v>13.876239032345939</v>
      </c>
      <c r="F662">
        <v>0.53246386102459609</v>
      </c>
      <c r="G662">
        <v>0.14336546343148768</v>
      </c>
      <c r="H662">
        <v>15.447931643197986</v>
      </c>
      <c r="I662">
        <v>14.181277806420708</v>
      </c>
      <c r="J662">
        <v>0.31556839221633204</v>
      </c>
      <c r="K662">
        <v>8.4643815920503032E-2</v>
      </c>
      <c r="L662">
        <v>15.418509985442473</v>
      </c>
      <c r="M662">
        <v>14.043138285510089</v>
      </c>
      <c r="N662">
        <v>0.41385750237509572</v>
      </c>
      <c r="O662">
        <v>0.11119806838543116</v>
      </c>
      <c r="P662">
        <v>15.431806143729396</v>
      </c>
      <c r="Q662">
        <v>13.995297141337842</v>
      </c>
      <c r="R662">
        <v>0.44787206605422636</v>
      </c>
      <c r="S662">
        <v>0.12040921570678605</v>
      </c>
      <c r="T662">
        <v>15.436421576901145</v>
      </c>
      <c r="U662">
        <v>1598.5839509386344</v>
      </c>
      <c r="V662">
        <v>10.942647898141454</v>
      </c>
      <c r="W662">
        <v>1335.5107522736175</v>
      </c>
      <c r="X662">
        <v>7.9731309389971488</v>
      </c>
      <c r="Y662">
        <v>2911.6957679115985</v>
      </c>
      <c r="Z662">
        <v>11.018056927103613</v>
      </c>
      <c r="AA662">
        <v>2747.4493217904819</v>
      </c>
      <c r="AB662">
        <v>8.0163038061236893</v>
      </c>
      <c r="AC662">
        <v>2288.8153572241768</v>
      </c>
      <c r="AD662">
        <v>10.983922003594666</v>
      </c>
      <c r="AE662">
        <v>2073.5493996911628</v>
      </c>
      <c r="AF662">
        <v>7.9967801178886848</v>
      </c>
      <c r="AG662">
        <v>2181.9440608037403</v>
      </c>
      <c r="AH662">
        <v>10.972094574608082</v>
      </c>
      <c r="AI662">
        <v>1952.6884191140264</v>
      </c>
      <c r="AJ662">
        <v>7.9900080091346863</v>
      </c>
    </row>
    <row r="663" spans="4:36" x14ac:dyDescent="0.55000000000000004">
      <c r="D663">
        <v>656</v>
      </c>
      <c r="E663">
        <v>12.232411051511061</v>
      </c>
      <c r="F663">
        <v>0.46092303077198504</v>
      </c>
      <c r="G663">
        <v>0.16988518124909938</v>
      </c>
      <c r="H663">
        <v>17.136780736467866</v>
      </c>
      <c r="I663">
        <v>12.465782055132093</v>
      </c>
      <c r="J663">
        <v>0.28202259264245316</v>
      </c>
      <c r="K663">
        <v>0.10356716152514056</v>
      </c>
      <c r="L663">
        <v>17.1486281907003</v>
      </c>
      <c r="M663">
        <v>12.375206485677019</v>
      </c>
      <c r="N663">
        <v>0.35149121230748293</v>
      </c>
      <c r="O663">
        <v>0.12926065545198182</v>
      </c>
      <c r="P663">
        <v>17.144041646563522</v>
      </c>
      <c r="Q663">
        <v>12.328269508265445</v>
      </c>
      <c r="R663">
        <v>0.38747345632960428</v>
      </c>
      <c r="S663">
        <v>0.1425979717667685</v>
      </c>
      <c r="T663">
        <v>17.141659063638187</v>
      </c>
      <c r="U663">
        <v>1563.1720175451453</v>
      </c>
      <c r="V663">
        <v>9.6769414581223607</v>
      </c>
      <c r="W663">
        <v>1320.2947453029979</v>
      </c>
      <c r="X663">
        <v>7.2204391160507209</v>
      </c>
      <c r="Y663">
        <v>2887.6850180560882</v>
      </c>
      <c r="Z663">
        <v>9.7153105463650604</v>
      </c>
      <c r="AA663">
        <v>2736.0573967696537</v>
      </c>
      <c r="AB663">
        <v>7.2443258026716526</v>
      </c>
      <c r="AC663">
        <v>2221.2011761829176</v>
      </c>
      <c r="AD663">
        <v>9.7004115801200115</v>
      </c>
      <c r="AE663">
        <v>2033.0096539859671</v>
      </c>
      <c r="AF663">
        <v>7.235063303295231</v>
      </c>
      <c r="AG663">
        <v>2099.2556786815035</v>
      </c>
      <c r="AH663">
        <v>9.6926944053428858</v>
      </c>
      <c r="AI663">
        <v>1900.7821290055815</v>
      </c>
      <c r="AJ663">
        <v>7.2302592491496513</v>
      </c>
    </row>
    <row r="664" spans="4:36" x14ac:dyDescent="0.55000000000000004">
      <c r="D664">
        <v>657</v>
      </c>
      <c r="E664">
        <v>13.583269271433878</v>
      </c>
      <c r="F664">
        <v>0.47462189761051343</v>
      </c>
      <c r="G664">
        <v>0.14885918645853519</v>
      </c>
      <c r="H664">
        <v>15.793249644497068</v>
      </c>
      <c r="I664">
        <v>13.808849390506658</v>
      </c>
      <c r="J664">
        <v>0.31950437993849112</v>
      </c>
      <c r="K664">
        <v>9.9909115875280022E-2</v>
      </c>
      <c r="L664">
        <v>15.771737113679567</v>
      </c>
      <c r="M664">
        <v>13.696567085370306</v>
      </c>
      <c r="N664">
        <v>0.39675319163870432</v>
      </c>
      <c r="O664">
        <v>0.1242491236017601</v>
      </c>
      <c r="P664">
        <v>15.782430599389231</v>
      </c>
      <c r="Q664">
        <v>13.704005678178032</v>
      </c>
      <c r="R664">
        <v>0.39163792703400852</v>
      </c>
      <c r="S664">
        <v>0.12263510467421769</v>
      </c>
      <c r="T664">
        <v>15.781721290113758</v>
      </c>
      <c r="U664">
        <v>1611.4058519454827</v>
      </c>
      <c r="V664">
        <v>10.682714346283404</v>
      </c>
      <c r="W664">
        <v>1348.8634520965998</v>
      </c>
      <c r="X664">
        <v>7.8187223958067404</v>
      </c>
      <c r="Y664">
        <v>2945.9563110861</v>
      </c>
      <c r="Z664">
        <v>10.737376983405895</v>
      </c>
      <c r="AA664">
        <v>2772.3395406485447</v>
      </c>
      <c r="AB664">
        <v>7.8502305283972298</v>
      </c>
      <c r="AC664">
        <v>2270.1537002732907</v>
      </c>
      <c r="AD664">
        <v>10.710176042624663</v>
      </c>
      <c r="AE664">
        <v>2061.0846010763971</v>
      </c>
      <c r="AF664">
        <v>7.8345626033213351</v>
      </c>
      <c r="AG664">
        <v>2137.6280437390324</v>
      </c>
      <c r="AH664">
        <v>10.711978526216349</v>
      </c>
      <c r="AI664">
        <v>1924.0265699662489</v>
      </c>
      <c r="AJ664">
        <v>7.8356015163064843</v>
      </c>
    </row>
    <row r="665" spans="4:36" x14ac:dyDescent="0.55000000000000004">
      <c r="D665">
        <v>658</v>
      </c>
      <c r="E665">
        <v>13.929869216559821</v>
      </c>
      <c r="F665">
        <v>0.52600058134738559</v>
      </c>
      <c r="G665">
        <v>0.19396865920919065</v>
      </c>
      <c r="H665">
        <v>15.350161542883603</v>
      </c>
      <c r="I665">
        <v>14.239467894388792</v>
      </c>
      <c r="J665">
        <v>0.31301979006880287</v>
      </c>
      <c r="K665">
        <v>0.11495618343583831</v>
      </c>
      <c r="L665">
        <v>15.332556132106566</v>
      </c>
      <c r="M665">
        <v>14.146330265628396</v>
      </c>
      <c r="N665">
        <v>0.37715237102886623</v>
      </c>
      <c r="O665">
        <v>0.13867902610591015</v>
      </c>
      <c r="P665">
        <v>15.337838337236816</v>
      </c>
      <c r="Q665">
        <v>14.060761106855711</v>
      </c>
      <c r="R665">
        <v>0.436027519824015</v>
      </c>
      <c r="S665">
        <v>0.16050943235865464</v>
      </c>
      <c r="T665">
        <v>15.342701940961621</v>
      </c>
      <c r="U665">
        <v>1617.0257494147775</v>
      </c>
      <c r="V665">
        <v>11.067751361415359</v>
      </c>
      <c r="W665">
        <v>1343.2859825652554</v>
      </c>
      <c r="X665">
        <v>8.0531615174813123</v>
      </c>
      <c r="Y665">
        <v>2924.3192811941203</v>
      </c>
      <c r="Z665">
        <v>11.135750871618546</v>
      </c>
      <c r="AA665">
        <v>2753.1786314659535</v>
      </c>
      <c r="AB665">
        <v>8.0923412498203078</v>
      </c>
      <c r="AC665">
        <v>2283.4158112050395</v>
      </c>
      <c r="AD665">
        <v>11.115302728205775</v>
      </c>
      <c r="AE665">
        <v>2067.5056539580264</v>
      </c>
      <c r="AF665">
        <v>8.0805749127472897</v>
      </c>
      <c r="AG665">
        <v>2179.7085957719378</v>
      </c>
      <c r="AH665">
        <v>11.096509897114851</v>
      </c>
      <c r="AI665">
        <v>1946.7025560510835</v>
      </c>
      <c r="AJ665">
        <v>8.0697494564757903</v>
      </c>
    </row>
    <row r="666" spans="4:36" x14ac:dyDescent="0.55000000000000004">
      <c r="D666">
        <v>659</v>
      </c>
      <c r="E666">
        <v>12.563924031615233</v>
      </c>
      <c r="F666">
        <v>0.46099211722512029</v>
      </c>
      <c r="G666">
        <v>0.16661275845569579</v>
      </c>
      <c r="H666">
        <v>16.808471092703954</v>
      </c>
      <c r="I666">
        <v>12.762845960604993</v>
      </c>
      <c r="J666">
        <v>0.30972715887490121</v>
      </c>
      <c r="K666">
        <v>0.11163016991237452</v>
      </c>
      <c r="L666">
        <v>16.815796710607735</v>
      </c>
      <c r="M666">
        <v>12.670557139959488</v>
      </c>
      <c r="N666">
        <v>0.37993186634758241</v>
      </c>
      <c r="O666">
        <v>0.13710982756933371</v>
      </c>
      <c r="P666">
        <v>16.812401166123582</v>
      </c>
      <c r="Q666">
        <v>12.679668893498079</v>
      </c>
      <c r="R666">
        <v>0.37300249733313517</v>
      </c>
      <c r="S666">
        <v>0.13459195722062384</v>
      </c>
      <c r="T666">
        <v>16.812736651948168</v>
      </c>
      <c r="U666">
        <v>1568.2759389989244</v>
      </c>
      <c r="V666">
        <v>9.8386095427100653</v>
      </c>
      <c r="W666">
        <v>1322.3049943802723</v>
      </c>
      <c r="X666">
        <v>7.3043940377447125</v>
      </c>
      <c r="Y666">
        <v>2919.8843834737327</v>
      </c>
      <c r="Z666">
        <v>9.8695554618982886</v>
      </c>
      <c r="AA666">
        <v>2756.6605753266172</v>
      </c>
      <c r="AB666">
        <v>7.323121916068712</v>
      </c>
      <c r="AC666">
        <v>2236.596772605099</v>
      </c>
      <c r="AD666">
        <v>9.8551971429219378</v>
      </c>
      <c r="AE666">
        <v>2040.789992138767</v>
      </c>
      <c r="AF666">
        <v>7.3144401653531581</v>
      </c>
      <c r="AG666">
        <v>2110.9065835581227</v>
      </c>
      <c r="AH666">
        <v>9.8566146662283813</v>
      </c>
      <c r="AI666">
        <v>1909.2520064242017</v>
      </c>
      <c r="AJ666">
        <v>7.3152978545286693</v>
      </c>
    </row>
    <row r="667" spans="4:36" x14ac:dyDescent="0.55000000000000004">
      <c r="D667">
        <v>660</v>
      </c>
      <c r="E667">
        <v>13.560067206055505</v>
      </c>
      <c r="F667">
        <v>0.46899970618154069</v>
      </c>
      <c r="G667">
        <v>0.19077744058283289</v>
      </c>
      <c r="H667">
        <v>15.780155647180122</v>
      </c>
      <c r="I667">
        <v>13.801670016527154</v>
      </c>
      <c r="J667">
        <v>0.30682777459738919</v>
      </c>
      <c r="K667">
        <v>0.12438559093403595</v>
      </c>
      <c r="L667">
        <v>15.767116617941433</v>
      </c>
      <c r="M667">
        <v>13.722982781528199</v>
      </c>
      <c r="N667">
        <v>0.35968618851764023</v>
      </c>
      <c r="O667">
        <v>0.14597498078501694</v>
      </c>
      <c r="P667">
        <v>15.771356049169162</v>
      </c>
      <c r="Q667">
        <v>13.669955501083304</v>
      </c>
      <c r="R667">
        <v>0.39528524354255196</v>
      </c>
      <c r="S667">
        <v>0.16054233231427409</v>
      </c>
      <c r="T667">
        <v>15.774216923059862</v>
      </c>
      <c r="U667">
        <v>1567.5021686943296</v>
      </c>
      <c r="V667">
        <v>10.713754202130954</v>
      </c>
      <c r="W667">
        <v>1314.7436152251348</v>
      </c>
      <c r="X667">
        <v>7.8392576042717028</v>
      </c>
      <c r="Y667">
        <v>2919.8104906360891</v>
      </c>
      <c r="Z667">
        <v>10.765150202857868</v>
      </c>
      <c r="AA667">
        <v>2752.6272967738364</v>
      </c>
      <c r="AB667">
        <v>7.8691844178900388</v>
      </c>
      <c r="AC667">
        <v>2254.4360131110279</v>
      </c>
      <c r="AD667">
        <v>10.748414943474144</v>
      </c>
      <c r="AE667">
        <v>2050.4658098762434</v>
      </c>
      <c r="AF667">
        <v>7.8594502071248256</v>
      </c>
      <c r="AG667">
        <v>2125.5599592102699</v>
      </c>
      <c r="AH667">
        <v>10.737134987707893</v>
      </c>
      <c r="AI667">
        <v>1913.0711135823885</v>
      </c>
      <c r="AJ667">
        <v>7.8528834925698972</v>
      </c>
    </row>
    <row r="668" spans="4:36" x14ac:dyDescent="0.55000000000000004">
      <c r="D668">
        <v>661</v>
      </c>
      <c r="E668">
        <v>13.543775182586645</v>
      </c>
      <c r="F668">
        <v>0.46325557205923235</v>
      </c>
      <c r="G668">
        <v>0.16927796277348714</v>
      </c>
      <c r="H668">
        <v>15.82369128258064</v>
      </c>
      <c r="I668">
        <v>13.796407221919884</v>
      </c>
      <c r="J668">
        <v>0.29032312652368747</v>
      </c>
      <c r="K668">
        <v>0.10571380451405837</v>
      </c>
      <c r="L668">
        <v>15.807555847042355</v>
      </c>
      <c r="M668">
        <v>13.62617340775299</v>
      </c>
      <c r="N668">
        <v>0.406895696337427</v>
      </c>
      <c r="O668">
        <v>0.14851191188543289</v>
      </c>
      <c r="P668">
        <v>15.818418984024161</v>
      </c>
      <c r="Q668">
        <v>13.622088180553247</v>
      </c>
      <c r="R668">
        <v>0.40969096692033025</v>
      </c>
      <c r="S668">
        <v>0.14954069270677067</v>
      </c>
      <c r="T668">
        <v>15.81868015981966</v>
      </c>
      <c r="U668">
        <v>1615.0927015388934</v>
      </c>
      <c r="V668">
        <v>10.646155508249622</v>
      </c>
      <c r="W668">
        <v>1350.0674411723105</v>
      </c>
      <c r="X668">
        <v>7.7942116456414769</v>
      </c>
      <c r="Y668">
        <v>2922.5577334286995</v>
      </c>
      <c r="Z668">
        <v>10.700602702046343</v>
      </c>
      <c r="AA668">
        <v>2755.8144046287307</v>
      </c>
      <c r="AB668">
        <v>7.8256950525776787</v>
      </c>
      <c r="AC668">
        <v>2280.9472890271541</v>
      </c>
      <c r="AD668">
        <v>10.663920191674469</v>
      </c>
      <c r="AE668">
        <v>2066.2753101305366</v>
      </c>
      <c r="AF668">
        <v>7.8044949392965206</v>
      </c>
      <c r="AG668">
        <v>2193.7957786998923</v>
      </c>
      <c r="AH668">
        <v>10.663039578390942</v>
      </c>
      <c r="AI668">
        <v>1962.0681012203604</v>
      </c>
      <c r="AJ668">
        <v>7.8039854408453548</v>
      </c>
    </row>
    <row r="669" spans="4:36" x14ac:dyDescent="0.55000000000000004">
      <c r="D669">
        <v>662</v>
      </c>
      <c r="E669">
        <v>12.601376006552435</v>
      </c>
      <c r="F669">
        <v>0.44722248874576187</v>
      </c>
      <c r="G669">
        <v>0.17044925912087314</v>
      </c>
      <c r="H669">
        <v>16.780952245580927</v>
      </c>
      <c r="I669">
        <v>12.854853689634888</v>
      </c>
      <c r="J669">
        <v>0.26919829713757565</v>
      </c>
      <c r="K669">
        <v>0.10221564466636358</v>
      </c>
      <c r="L669">
        <v>16.773732368561166</v>
      </c>
      <c r="M669">
        <v>12.75009319642278</v>
      </c>
      <c r="N669">
        <v>0.34282292662656089</v>
      </c>
      <c r="O669">
        <v>0.13037185684320204</v>
      </c>
      <c r="P669">
        <v>16.77671202010745</v>
      </c>
      <c r="Q669">
        <v>12.698909802111807</v>
      </c>
      <c r="R669">
        <v>0.37876933513095629</v>
      </c>
      <c r="S669">
        <v>0.14415087734285462</v>
      </c>
      <c r="T669">
        <v>16.77816998541439</v>
      </c>
      <c r="U669">
        <v>1565.2241930800442</v>
      </c>
      <c r="V669">
        <v>10.00391402746717</v>
      </c>
      <c r="W669">
        <v>1321.4288653558833</v>
      </c>
      <c r="X669">
        <v>7.4256435375305285</v>
      </c>
      <c r="Y669">
        <v>2896.7291135036012</v>
      </c>
      <c r="Z669">
        <v>10.05607807433187</v>
      </c>
      <c r="AA669">
        <v>2742.8292858236673</v>
      </c>
      <c r="AB669">
        <v>7.4566922626113401</v>
      </c>
      <c r="AC669">
        <v>2226.5489672543868</v>
      </c>
      <c r="AD669">
        <v>10.03452122517759</v>
      </c>
      <c r="AE669">
        <v>2036.4807758451664</v>
      </c>
      <c r="AF669">
        <v>7.4438759383493087</v>
      </c>
      <c r="AG669">
        <v>2147.1254648464405</v>
      </c>
      <c r="AH669">
        <v>10.02398796995986</v>
      </c>
      <c r="AI669">
        <v>1936.0398600143756</v>
      </c>
      <c r="AJ669">
        <v>7.4376060944862044</v>
      </c>
    </row>
    <row r="670" spans="4:36" x14ac:dyDescent="0.55000000000000004">
      <c r="D670">
        <v>663</v>
      </c>
      <c r="E670">
        <v>12.095267452178229</v>
      </c>
      <c r="F670">
        <v>0.44538998239812561</v>
      </c>
      <c r="G670">
        <v>0.1582919259833182</v>
      </c>
      <c r="H670">
        <v>17.301050639440323</v>
      </c>
      <c r="I670">
        <v>12.311048208731302</v>
      </c>
      <c r="J670">
        <v>0.27819504206582407</v>
      </c>
      <c r="K670">
        <v>9.8560588881117725E-2</v>
      </c>
      <c r="L670">
        <v>17.312196160321761</v>
      </c>
      <c r="M670">
        <v>12.228276235612656</v>
      </c>
      <c r="N670">
        <v>0.34235820597578631</v>
      </c>
      <c r="O670">
        <v>0.12143830927820384</v>
      </c>
      <c r="P670">
        <v>17.307927249133364</v>
      </c>
      <c r="Q670">
        <v>12.168012507464372</v>
      </c>
      <c r="R670">
        <v>0.38905128320822302</v>
      </c>
      <c r="S670">
        <v>0.13812204535818831</v>
      </c>
      <c r="T670">
        <v>17.304814163969201</v>
      </c>
      <c r="U670">
        <v>1497.23082749222</v>
      </c>
      <c r="V670">
        <v>9.585262276136465</v>
      </c>
      <c r="W670">
        <v>1273.443369738389</v>
      </c>
      <c r="X670">
        <v>7.1691026368795843</v>
      </c>
      <c r="Y670">
        <v>2878.4959322335903</v>
      </c>
      <c r="Z670">
        <v>9.6179164119647051</v>
      </c>
      <c r="AA670">
        <v>2730.4429678672495</v>
      </c>
      <c r="AB670">
        <v>7.1893262429160263</v>
      </c>
      <c r="AC670">
        <v>2218.8029973413663</v>
      </c>
      <c r="AD670">
        <v>9.6053865921068393</v>
      </c>
      <c r="AE670">
        <v>2033.1736183193532</v>
      </c>
      <c r="AF670">
        <v>7.1815758630618518</v>
      </c>
      <c r="AG670">
        <v>2109.6922295534787</v>
      </c>
      <c r="AH670">
        <v>9.5962670797049263</v>
      </c>
      <c r="AI670">
        <v>1909.7625914301066</v>
      </c>
      <c r="AJ670">
        <v>7.1759273921749358</v>
      </c>
    </row>
    <row r="671" spans="4:36" x14ac:dyDescent="0.55000000000000004">
      <c r="D671">
        <v>664</v>
      </c>
      <c r="E671">
        <v>13.107781681688207</v>
      </c>
      <c r="F671">
        <v>0.47521433908629668</v>
      </c>
      <c r="G671">
        <v>0.17416074330507253</v>
      </c>
      <c r="H671">
        <v>16.242843235920432</v>
      </c>
      <c r="I671">
        <v>13.368059040890884</v>
      </c>
      <c r="J671">
        <v>0.28920176060261815</v>
      </c>
      <c r="K671">
        <v>0.1056042133584557</v>
      </c>
      <c r="L671">
        <v>16.237134985148032</v>
      </c>
      <c r="M671">
        <v>13.263928099043024</v>
      </c>
      <c r="N671">
        <v>0.36366900161099258</v>
      </c>
      <c r="O671">
        <v>0.13298901106888739</v>
      </c>
      <c r="P671">
        <v>16.239413888277085</v>
      </c>
      <c r="Q671">
        <v>13.215995115893492</v>
      </c>
      <c r="R671">
        <v>0.39792595412102527</v>
      </c>
      <c r="S671">
        <v>0.14561387089069808</v>
      </c>
      <c r="T671">
        <v>16.240465059094788</v>
      </c>
      <c r="U671">
        <v>1543.0160595114871</v>
      </c>
      <c r="V671">
        <v>10.461757634470043</v>
      </c>
      <c r="W671">
        <v>1300.8097803627743</v>
      </c>
      <c r="X671">
        <v>7.7057277361713608</v>
      </c>
      <c r="Y671">
        <v>2888.5062891397324</v>
      </c>
      <c r="Z671">
        <v>10.516179446724205</v>
      </c>
      <c r="AA671">
        <v>2733.8948707914601</v>
      </c>
      <c r="AB671">
        <v>7.7378275889198207</v>
      </c>
      <c r="AC671">
        <v>2271.085341898327</v>
      </c>
      <c r="AD671">
        <v>10.494409418265681</v>
      </c>
      <c r="AE671">
        <v>2066.2612091090568</v>
      </c>
      <c r="AF671">
        <v>7.7250011213315926</v>
      </c>
      <c r="AG671">
        <v>2132.7756963246711</v>
      </c>
      <c r="AH671">
        <v>10.484387073661921</v>
      </c>
      <c r="AI671">
        <v>1922.1482984786387</v>
      </c>
      <c r="AJ671">
        <v>7.7190898011584004</v>
      </c>
    </row>
    <row r="672" spans="4:36" x14ac:dyDescent="0.55000000000000004">
      <c r="D672">
        <v>665</v>
      </c>
      <c r="E672">
        <v>11.638594771256992</v>
      </c>
      <c r="F672">
        <v>0.38250834618172597</v>
      </c>
      <c r="G672">
        <v>0.13183358868096734</v>
      </c>
      <c r="H672">
        <v>17.847063293880304</v>
      </c>
      <c r="I672">
        <v>11.785348888608697</v>
      </c>
      <c r="J672">
        <v>0.27370982669854521</v>
      </c>
      <c r="K672">
        <v>9.4126700546296793E-2</v>
      </c>
      <c r="L672">
        <v>17.846814584146461</v>
      </c>
      <c r="M672">
        <v>11.726366303341399</v>
      </c>
      <c r="N672">
        <v>0.31745273431595428</v>
      </c>
      <c r="O672">
        <v>0.10926656748759962</v>
      </c>
      <c r="P672">
        <v>17.846914394855055</v>
      </c>
      <c r="Q672">
        <v>11.683015651834936</v>
      </c>
      <c r="R672">
        <v>0.34958960104052922</v>
      </c>
      <c r="S672">
        <v>0.12040686633111931</v>
      </c>
      <c r="T672">
        <v>17.846987880793431</v>
      </c>
      <c r="U672">
        <v>1418.5131694272407</v>
      </c>
      <c r="V672">
        <v>9.1863064149232514</v>
      </c>
      <c r="W672">
        <v>1227.531750456641</v>
      </c>
      <c r="X672">
        <v>6.9306731329102762</v>
      </c>
      <c r="Y672">
        <v>2850.8355864274617</v>
      </c>
      <c r="Z672">
        <v>9.2148222774911375</v>
      </c>
      <c r="AA672">
        <v>2715.7113174949536</v>
      </c>
      <c r="AB672">
        <v>6.9480402904592511</v>
      </c>
      <c r="AC672">
        <v>2161.4616639201281</v>
      </c>
      <c r="AD672">
        <v>9.2033614984646945</v>
      </c>
      <c r="AE672">
        <v>1998.9341467076365</v>
      </c>
      <c r="AF672">
        <v>6.9410657502596607</v>
      </c>
      <c r="AG672">
        <v>2046.6386342555984</v>
      </c>
      <c r="AH672">
        <v>9.1949379939960068</v>
      </c>
      <c r="AI672">
        <v>1872.9915149236074</v>
      </c>
      <c r="AJ672">
        <v>6.9359348843578701</v>
      </c>
    </row>
    <row r="673" spans="4:36" x14ac:dyDescent="0.55000000000000004">
      <c r="D673">
        <v>666</v>
      </c>
      <c r="E673">
        <v>11.90579242712305</v>
      </c>
      <c r="F673">
        <v>0.44695302024375194</v>
      </c>
      <c r="G673">
        <v>0.13870083821308529</v>
      </c>
      <c r="H673">
        <v>17.508553714420124</v>
      </c>
      <c r="I673">
        <v>12.114305173326025</v>
      </c>
      <c r="J673">
        <v>0.28665585710165242</v>
      </c>
      <c r="K673">
        <v>8.8684062168953248E-2</v>
      </c>
      <c r="L673">
        <v>17.510354907403375</v>
      </c>
      <c r="M673">
        <v>12.033855431148478</v>
      </c>
      <c r="N673">
        <v>0.34853014541635396</v>
      </c>
      <c r="O673">
        <v>0.10795356734397982</v>
      </c>
      <c r="P673">
        <v>17.509660856091198</v>
      </c>
      <c r="Q673">
        <v>12.000164619288425</v>
      </c>
      <c r="R673">
        <v>0.37443172360875737</v>
      </c>
      <c r="S673">
        <v>0.1160337899911343</v>
      </c>
      <c r="T673">
        <v>17.509369867111687</v>
      </c>
      <c r="U673">
        <v>1510.8000599381958</v>
      </c>
      <c r="V673">
        <v>9.3637140243826895</v>
      </c>
      <c r="W673">
        <v>1289.7346408004182</v>
      </c>
      <c r="X673">
        <v>7.0267962197688716</v>
      </c>
      <c r="Y673">
        <v>2857.1678211081312</v>
      </c>
      <c r="Z673">
        <v>9.3995359037604818</v>
      </c>
      <c r="AA673">
        <v>2717.587544362606</v>
      </c>
      <c r="AB673">
        <v>7.0485207541563346</v>
      </c>
      <c r="AC673">
        <v>2178.4392408405633</v>
      </c>
      <c r="AD673">
        <v>9.385714972835709</v>
      </c>
      <c r="AE673">
        <v>2007.070156859822</v>
      </c>
      <c r="AF673">
        <v>7.0401481722670995</v>
      </c>
      <c r="AG673">
        <v>2065.918645416657</v>
      </c>
      <c r="AH673">
        <v>9.3799269946847676</v>
      </c>
      <c r="AI673">
        <v>1883.1793719538146</v>
      </c>
      <c r="AJ673">
        <v>7.0366384330097471</v>
      </c>
    </row>
    <row r="674" spans="4:36" x14ac:dyDescent="0.55000000000000004">
      <c r="D674">
        <v>667</v>
      </c>
      <c r="E674">
        <v>11.861933121863354</v>
      </c>
      <c r="F674">
        <v>0.45709133867233864</v>
      </c>
      <c r="G674">
        <v>0.16159957224939997</v>
      </c>
      <c r="H674">
        <v>17.519375967214909</v>
      </c>
      <c r="I674">
        <v>12.089562574472808</v>
      </c>
      <c r="J674">
        <v>0.27969127863345272</v>
      </c>
      <c r="K674">
        <v>9.8534249049143083E-2</v>
      </c>
      <c r="L674">
        <v>17.532211897844608</v>
      </c>
      <c r="M674">
        <v>12.014023876094418</v>
      </c>
      <c r="N674">
        <v>0.33859083011395685</v>
      </c>
      <c r="O674">
        <v>0.11942306838169506</v>
      </c>
      <c r="P674">
        <v>17.527962225409926</v>
      </c>
      <c r="Q674">
        <v>11.969352681288807</v>
      </c>
      <c r="R674">
        <v>0.37340845225846542</v>
      </c>
      <c r="S674">
        <v>0.13179438000315816</v>
      </c>
      <c r="T674">
        <v>17.52544448644958</v>
      </c>
      <c r="U674">
        <v>1505.6865882938216</v>
      </c>
      <c r="V674">
        <v>9.3252843949424236</v>
      </c>
      <c r="W674">
        <v>1280.5659563435536</v>
      </c>
      <c r="X674">
        <v>6.9982389688240314</v>
      </c>
      <c r="Y674">
        <v>2885.653634096328</v>
      </c>
      <c r="Z674">
        <v>9.3575765921454561</v>
      </c>
      <c r="AA674">
        <v>2736.8389584544448</v>
      </c>
      <c r="AB674">
        <v>7.0184859143184415</v>
      </c>
      <c r="AC674">
        <v>2188.6681854103981</v>
      </c>
      <c r="AD674">
        <v>9.3468548422905684</v>
      </c>
      <c r="AE674">
        <v>2012.1940645140739</v>
      </c>
      <c r="AF674">
        <v>7.0117738210605651</v>
      </c>
      <c r="AG674">
        <v>2091.8936233955637</v>
      </c>
      <c r="AH674">
        <v>9.3405169459974235</v>
      </c>
      <c r="AI674">
        <v>1899.1718746654826</v>
      </c>
      <c r="AJ674">
        <v>7.0078013201848233</v>
      </c>
    </row>
    <row r="675" spans="4:36" x14ac:dyDescent="0.55000000000000004">
      <c r="D675">
        <v>668</v>
      </c>
      <c r="E675">
        <v>14.300222099707655</v>
      </c>
      <c r="F675">
        <v>0.52390600907579876</v>
      </c>
      <c r="G675">
        <v>0.17576057275934129</v>
      </c>
      <c r="H675">
        <v>15.00011131845719</v>
      </c>
      <c r="I675">
        <v>14.570100732085711</v>
      </c>
      <c r="J675">
        <v>0.33378177385218361</v>
      </c>
      <c r="K675">
        <v>0.11160231390459691</v>
      </c>
      <c r="L675">
        <v>14.984515180157516</v>
      </c>
      <c r="M675">
        <v>14.413183505662444</v>
      </c>
      <c r="N675">
        <v>0.44437757095744174</v>
      </c>
      <c r="O675">
        <v>0.14887004340368576</v>
      </c>
      <c r="P675">
        <v>14.993568879976429</v>
      </c>
      <c r="Q675">
        <v>14.380187505759036</v>
      </c>
      <c r="R675">
        <v>0.46761539897821808</v>
      </c>
      <c r="S675">
        <v>0.15671933843168009</v>
      </c>
      <c r="T675">
        <v>14.995477756831058</v>
      </c>
      <c r="U675">
        <v>1621.6043632114438</v>
      </c>
      <c r="V675">
        <v>11.284337458001852</v>
      </c>
      <c r="W675">
        <v>1346.665006284788</v>
      </c>
      <c r="X675">
        <v>8.1712589793744232</v>
      </c>
      <c r="Y675">
        <v>2943.6023798043439</v>
      </c>
      <c r="Z675">
        <v>11.341880886649516</v>
      </c>
      <c r="AA675">
        <v>2765.6121341261992</v>
      </c>
      <c r="AB675">
        <v>8.2042163388338754</v>
      </c>
      <c r="AC675">
        <v>2321.7789036358054</v>
      </c>
      <c r="AD675">
        <v>11.308430859371077</v>
      </c>
      <c r="AE675">
        <v>2090.4929290958944</v>
      </c>
      <c r="AF675">
        <v>8.1850706237191542</v>
      </c>
      <c r="AG675">
        <v>2187.5872020626957</v>
      </c>
      <c r="AH675">
        <v>11.301394353386403</v>
      </c>
      <c r="AI675">
        <v>1950.1296551601854</v>
      </c>
      <c r="AJ675">
        <v>8.18103877928435</v>
      </c>
    </row>
    <row r="676" spans="4:36" x14ac:dyDescent="0.55000000000000004">
      <c r="D676">
        <v>669</v>
      </c>
      <c r="E676">
        <v>13.182303685560889</v>
      </c>
      <c r="F676">
        <v>0.4539993380812537</v>
      </c>
      <c r="G676">
        <v>0.16929731058342606</v>
      </c>
      <c r="H676">
        <v>16.194399665774437</v>
      </c>
      <c r="I676">
        <v>13.394017135287452</v>
      </c>
      <c r="J676">
        <v>0.30586056045892834</v>
      </c>
      <c r="K676">
        <v>0.1137291138801524</v>
      </c>
      <c r="L676">
        <v>16.186393190373451</v>
      </c>
      <c r="M676">
        <v>13.286562766195292</v>
      </c>
      <c r="N676">
        <v>0.38108206507243297</v>
      </c>
      <c r="O676">
        <v>0.14190488844081875</v>
      </c>
      <c r="P676">
        <v>16.190450280291458</v>
      </c>
      <c r="Q676">
        <v>13.256673352547553</v>
      </c>
      <c r="R676">
        <v>0.40199310569718955</v>
      </c>
      <c r="S676">
        <v>0.14975234584258007</v>
      </c>
      <c r="T676">
        <v>16.191581195912669</v>
      </c>
      <c r="U676">
        <v>1577.615543491434</v>
      </c>
      <c r="V676">
        <v>10.306966533844824</v>
      </c>
      <c r="W676">
        <v>1326.5232639826636</v>
      </c>
      <c r="X676">
        <v>7.5854336400778264</v>
      </c>
      <c r="Y676">
        <v>2907.4951798455413</v>
      </c>
      <c r="Z676">
        <v>10.350301406664833</v>
      </c>
      <c r="AA676">
        <v>2745.6928167606952</v>
      </c>
      <c r="AB676">
        <v>7.6107666338655209</v>
      </c>
      <c r="AC676">
        <v>2254.7097494355926</v>
      </c>
      <c r="AD676">
        <v>10.328310811456808</v>
      </c>
      <c r="AE676">
        <v>2051.6336054228359</v>
      </c>
      <c r="AF676">
        <v>7.5979202750447898</v>
      </c>
      <c r="AG676">
        <v>2138.3355159862535</v>
      </c>
      <c r="AH676">
        <v>10.322192517444613</v>
      </c>
      <c r="AI676">
        <v>1924.6736192240235</v>
      </c>
      <c r="AJ676">
        <v>7.5943428134142614</v>
      </c>
    </row>
    <row r="677" spans="4:36" x14ac:dyDescent="0.55000000000000004">
      <c r="D677">
        <v>670</v>
      </c>
      <c r="E677">
        <v>10.805539478028779</v>
      </c>
      <c r="F677">
        <v>0.38694253744241225</v>
      </c>
      <c r="G677">
        <v>0.15090303298120478</v>
      </c>
      <c r="H677">
        <v>18.656614951547613</v>
      </c>
      <c r="I677">
        <v>10.943431257364058</v>
      </c>
      <c r="J677">
        <v>0.27063079849389404</v>
      </c>
      <c r="K677">
        <v>0.10531389836918111</v>
      </c>
      <c r="L677">
        <v>18.680624045772849</v>
      </c>
      <c r="M677">
        <v>10.887355571596119</v>
      </c>
      <c r="N677">
        <v>0.31793989723698751</v>
      </c>
      <c r="O677">
        <v>0.12383285540225659</v>
      </c>
      <c r="P677">
        <v>18.670871675764641</v>
      </c>
      <c r="Q677">
        <v>10.848978814658047</v>
      </c>
      <c r="R677">
        <v>0.35030973327582754</v>
      </c>
      <c r="S677">
        <v>0.1365229395932154</v>
      </c>
      <c r="T677">
        <v>18.664188512472926</v>
      </c>
      <c r="U677">
        <v>1419.5224296757196</v>
      </c>
      <c r="V677">
        <v>8.5402954439446415</v>
      </c>
      <c r="W677">
        <v>1231.4245198010387</v>
      </c>
      <c r="X677">
        <v>6.5278048263837034</v>
      </c>
      <c r="Y677">
        <v>2822.8854418654755</v>
      </c>
      <c r="Z677">
        <v>8.5512767298521251</v>
      </c>
      <c r="AA677">
        <v>2696.934725754008</v>
      </c>
      <c r="AB677">
        <v>6.5357287191858537</v>
      </c>
      <c r="AC677">
        <v>2129.7666160601284</v>
      </c>
      <c r="AD677">
        <v>8.5468047202293036</v>
      </c>
      <c r="AE677">
        <v>1977.5993568726294</v>
      </c>
      <c r="AF677">
        <v>6.5325067236865033</v>
      </c>
      <c r="AG677">
        <v>2010.2384114559773</v>
      </c>
      <c r="AH677">
        <v>8.5437491689036147</v>
      </c>
      <c r="AI677">
        <v>1848.0622559426649</v>
      </c>
      <c r="AJ677">
        <v>6.5303013818058355</v>
      </c>
    </row>
    <row r="678" spans="4:36" x14ac:dyDescent="0.55000000000000004">
      <c r="D678">
        <v>671</v>
      </c>
      <c r="E678">
        <v>13.314017209884522</v>
      </c>
      <c r="F678">
        <v>0.48423249274875008</v>
      </c>
      <c r="G678">
        <v>0.16836639341794332</v>
      </c>
      <c r="H678">
        <v>16.033383903948774</v>
      </c>
      <c r="I678">
        <v>13.528890232978318</v>
      </c>
      <c r="J678">
        <v>0.32740158778544343</v>
      </c>
      <c r="K678">
        <v>0.11351558003238568</v>
      </c>
      <c r="L678">
        <v>16.030192599203843</v>
      </c>
      <c r="M678">
        <v>13.442231595825398</v>
      </c>
      <c r="N678">
        <v>0.3906829119838649</v>
      </c>
      <c r="O678">
        <v>0.13561005821985808</v>
      </c>
      <c r="P678">
        <v>16.031475433970893</v>
      </c>
      <c r="Q678">
        <v>13.36457523239161</v>
      </c>
      <c r="R678">
        <v>0.44735471508584534</v>
      </c>
      <c r="S678">
        <v>0.15544020754771007</v>
      </c>
      <c r="T678">
        <v>16.032629844974831</v>
      </c>
      <c r="U678">
        <v>1556.1210922999787</v>
      </c>
      <c r="V678">
        <v>10.549622369645261</v>
      </c>
      <c r="W678">
        <v>1310.5768426458551</v>
      </c>
      <c r="X678">
        <v>7.746409608870394</v>
      </c>
      <c r="Y678">
        <v>2941.7651666237653</v>
      </c>
      <c r="Z678">
        <v>10.590950736802109</v>
      </c>
      <c r="AA678">
        <v>2770.867248848755</v>
      </c>
      <c r="AB678">
        <v>7.7706269449684839</v>
      </c>
      <c r="AC678">
        <v>2216.0416210967896</v>
      </c>
      <c r="AD678">
        <v>10.574285726866018</v>
      </c>
      <c r="AE678">
        <v>2024.1644614047743</v>
      </c>
      <c r="AF678">
        <v>7.7608701506024982</v>
      </c>
      <c r="AG678">
        <v>2166.0271197409188</v>
      </c>
      <c r="AH678">
        <v>10.559348717667939</v>
      </c>
      <c r="AI678">
        <v>1943.8621571727613</v>
      </c>
      <c r="AJ678">
        <v>7.7521153426776808</v>
      </c>
    </row>
    <row r="679" spans="4:36" x14ac:dyDescent="0.55000000000000004">
      <c r="D679">
        <v>672</v>
      </c>
      <c r="E679">
        <v>11.623245509237341</v>
      </c>
      <c r="F679">
        <v>0.4573103969558448</v>
      </c>
      <c r="G679">
        <v>0.15881857234308608</v>
      </c>
      <c r="H679">
        <v>17.760625521463723</v>
      </c>
      <c r="I679">
        <v>11.835007062788787</v>
      </c>
      <c r="J679">
        <v>0.28305298485004743</v>
      </c>
      <c r="K679">
        <v>9.7978379858627979E-2</v>
      </c>
      <c r="L679">
        <v>17.783961572502548</v>
      </c>
      <c r="M679">
        <v>11.757752002687875</v>
      </c>
      <c r="N679">
        <v>0.3466481637345955</v>
      </c>
      <c r="O679">
        <v>0.12013508344415719</v>
      </c>
      <c r="P679">
        <v>17.775464750133374</v>
      </c>
      <c r="Q679">
        <v>11.71311610426204</v>
      </c>
      <c r="R679">
        <v>0.38338005349068832</v>
      </c>
      <c r="S679">
        <v>0.13295701732780149</v>
      </c>
      <c r="T679">
        <v>17.770546824919467</v>
      </c>
      <c r="U679">
        <v>1507.1449659544905</v>
      </c>
      <c r="V679">
        <v>9.1661599971140308</v>
      </c>
      <c r="W679">
        <v>1283.4000536381945</v>
      </c>
      <c r="X679">
        <v>6.905759741847886</v>
      </c>
      <c r="Y679">
        <v>2879.525703672768</v>
      </c>
      <c r="Z679">
        <v>9.1935508084107127</v>
      </c>
      <c r="AA679">
        <v>2733.1341666392404</v>
      </c>
      <c r="AB679">
        <v>6.9235553303878854</v>
      </c>
      <c r="AC679">
        <v>2181.53172719335</v>
      </c>
      <c r="AD679">
        <v>9.1835488783092973</v>
      </c>
      <c r="AE679">
        <v>2007.5192502690534</v>
      </c>
      <c r="AF679">
        <v>6.9170676257912813</v>
      </c>
      <c r="AG679">
        <v>2083.6606055835341</v>
      </c>
      <c r="AH679">
        <v>9.1777748238796697</v>
      </c>
      <c r="AI679">
        <v>1893.6181960736524</v>
      </c>
      <c r="AJ679">
        <v>6.9133168598671162</v>
      </c>
    </row>
    <row r="680" spans="4:36" x14ac:dyDescent="0.55000000000000004">
      <c r="D680">
        <v>673</v>
      </c>
      <c r="E680">
        <v>12.196013107165696</v>
      </c>
      <c r="F680">
        <v>0.43535143102469848</v>
      </c>
      <c r="G680">
        <v>0.15452721002472913</v>
      </c>
      <c r="H680">
        <v>17.214108251784886</v>
      </c>
      <c r="I680">
        <v>12.381393201313513</v>
      </c>
      <c r="J680">
        <v>0.29509308218549912</v>
      </c>
      <c r="K680">
        <v>0.10444648838880287</v>
      </c>
      <c r="L680">
        <v>17.21906722811217</v>
      </c>
      <c r="M680">
        <v>12.33491954589085</v>
      </c>
      <c r="N680">
        <v>0.33027261397560254</v>
      </c>
      <c r="O680">
        <v>0.11698073297951987</v>
      </c>
      <c r="P680">
        <v>17.217827107154015</v>
      </c>
      <c r="Q680">
        <v>12.267082407214575</v>
      </c>
      <c r="R680">
        <v>0.38160271910156712</v>
      </c>
      <c r="S680">
        <v>0.13530162811705429</v>
      </c>
      <c r="T680">
        <v>17.216013245566817</v>
      </c>
      <c r="U680">
        <v>1519.0523413531334</v>
      </c>
      <c r="V680">
        <v>9.7157603774666175</v>
      </c>
      <c r="W680">
        <v>1293.0668642316436</v>
      </c>
      <c r="X680">
        <v>7.2584679080510988</v>
      </c>
      <c r="Y680">
        <v>2863.8490243121096</v>
      </c>
      <c r="Z680">
        <v>9.7495724455061517</v>
      </c>
      <c r="AA680">
        <v>2719.5971203951626</v>
      </c>
      <c r="AB680">
        <v>7.2790703112816928</v>
      </c>
      <c r="AC680">
        <v>2171.6683692198249</v>
      </c>
      <c r="AD680">
        <v>9.7410947844013105</v>
      </c>
      <c r="AE680">
        <v>2000.5129268942978</v>
      </c>
      <c r="AF680">
        <v>7.2739109756562854</v>
      </c>
      <c r="AG680">
        <v>2074.4494689322141</v>
      </c>
      <c r="AH680">
        <v>9.7287214414583207</v>
      </c>
      <c r="AI680">
        <v>1885.9493286006984</v>
      </c>
      <c r="AJ680">
        <v>7.2663732870506532</v>
      </c>
    </row>
    <row r="681" spans="4:36" x14ac:dyDescent="0.55000000000000004">
      <c r="D681">
        <v>674</v>
      </c>
      <c r="E681">
        <v>14.015590461295908</v>
      </c>
      <c r="F681">
        <v>0.47545996531266876</v>
      </c>
      <c r="G681">
        <v>0.17024416719629543</v>
      </c>
      <c r="H681">
        <v>15.338705406195139</v>
      </c>
      <c r="I681">
        <v>14.26964428341798</v>
      </c>
      <c r="J681">
        <v>0.31058339327048756</v>
      </c>
      <c r="K681">
        <v>0.11082363428609172</v>
      </c>
      <c r="L681">
        <v>15.308948689025435</v>
      </c>
      <c r="M681">
        <v>14.120254266873236</v>
      </c>
      <c r="N681">
        <v>0.40758601588797172</v>
      </c>
      <c r="O681">
        <v>0.14573205183350374</v>
      </c>
      <c r="P681">
        <v>15.326427665405289</v>
      </c>
      <c r="Q681">
        <v>14.139591837914912</v>
      </c>
      <c r="R681">
        <v>0.395037833908299</v>
      </c>
      <c r="S681">
        <v>0.14120820125842637</v>
      </c>
      <c r="T681">
        <v>15.324162126918356</v>
      </c>
      <c r="U681">
        <v>1655.8005751766586</v>
      </c>
      <c r="V681">
        <v>11.023578145491586</v>
      </c>
      <c r="W681">
        <v>1374.9318052010819</v>
      </c>
      <c r="X681">
        <v>8.019241974607505</v>
      </c>
      <c r="Y681">
        <v>2948.6530504306775</v>
      </c>
      <c r="Z681">
        <v>11.088762037288824</v>
      </c>
      <c r="AA681">
        <v>2770.7733630564708</v>
      </c>
      <c r="AB681">
        <v>8.0564789608529974</v>
      </c>
      <c r="AC681">
        <v>2320.0152301641706</v>
      </c>
      <c r="AD681">
        <v>11.0504424778351</v>
      </c>
      <c r="AE681">
        <v>2091.5879273880264</v>
      </c>
      <c r="AF681">
        <v>8.0346018422050509</v>
      </c>
      <c r="AG681">
        <v>2192.8395134579105</v>
      </c>
      <c r="AH681">
        <v>11.055404330977627</v>
      </c>
      <c r="AI681">
        <v>1958.9328066668543</v>
      </c>
      <c r="AJ681">
        <v>8.0374367602491148</v>
      </c>
    </row>
    <row r="682" spans="4:36" x14ac:dyDescent="0.55000000000000004">
      <c r="D682">
        <v>675</v>
      </c>
      <c r="E682">
        <v>12.682764513509428</v>
      </c>
      <c r="F682">
        <v>0.47654977548466682</v>
      </c>
      <c r="G682">
        <v>0.17054454600379595</v>
      </c>
      <c r="H682">
        <v>16.6701411650021</v>
      </c>
      <c r="I682">
        <v>12.916081080363893</v>
      </c>
      <c r="J682">
        <v>0.30288631795159693</v>
      </c>
      <c r="K682">
        <v>0.10802928845413945</v>
      </c>
      <c r="L682">
        <v>16.673003313230353</v>
      </c>
      <c r="M682">
        <v>12.811737118798769</v>
      </c>
      <c r="N682">
        <v>0.38058950007861259</v>
      </c>
      <c r="O682">
        <v>0.13594783424865656</v>
      </c>
      <c r="P682">
        <v>16.671725546873972</v>
      </c>
      <c r="Q682">
        <v>12.808502564694741</v>
      </c>
      <c r="R682">
        <v>0.38299725727075384</v>
      </c>
      <c r="S682">
        <v>0.13681429834975686</v>
      </c>
      <c r="T682">
        <v>16.671685879684752</v>
      </c>
      <c r="U682">
        <v>1574.0624985857785</v>
      </c>
      <c r="V682">
        <v>10.147130133519902</v>
      </c>
      <c r="W682">
        <v>1324.0246488124124</v>
      </c>
      <c r="X682">
        <v>7.5186055732332537</v>
      </c>
      <c r="Y682">
        <v>2897.4166911172997</v>
      </c>
      <c r="Z682">
        <v>10.187851895664126</v>
      </c>
      <c r="AA682">
        <v>2739.6142662046714</v>
      </c>
      <c r="AB682">
        <v>7.5431113746770277</v>
      </c>
      <c r="AC682">
        <v>2259.4597497803516</v>
      </c>
      <c r="AD682">
        <v>10.169639143139799</v>
      </c>
      <c r="AE682">
        <v>2056.7000805701277</v>
      </c>
      <c r="AF682">
        <v>7.5321625307773363</v>
      </c>
      <c r="AG682">
        <v>2117.0670582289536</v>
      </c>
      <c r="AH682">
        <v>10.169074596216042</v>
      </c>
      <c r="AI682">
        <v>1911.9182003848789</v>
      </c>
      <c r="AJ682">
        <v>7.5318228541516712</v>
      </c>
    </row>
    <row r="683" spans="4:36" x14ac:dyDescent="0.55000000000000004">
      <c r="D683">
        <v>676</v>
      </c>
      <c r="E683">
        <v>12.659026247319561</v>
      </c>
      <c r="F683">
        <v>0.41676737167717687</v>
      </c>
      <c r="G683">
        <v>0.14480094000215143</v>
      </c>
      <c r="H683">
        <v>16.779405441001117</v>
      </c>
      <c r="I683">
        <v>12.841774406448522</v>
      </c>
      <c r="J683">
        <v>0.29011646830285903</v>
      </c>
      <c r="K683">
        <v>0.10052961200192384</v>
      </c>
      <c r="L683">
        <v>16.767579513246702</v>
      </c>
      <c r="M683">
        <v>12.740240033631849</v>
      </c>
      <c r="N683">
        <v>0.36050960501722668</v>
      </c>
      <c r="O683">
        <v>0.12510626789661494</v>
      </c>
      <c r="P683">
        <v>16.774144093454304</v>
      </c>
      <c r="Q683">
        <v>12.697310660382255</v>
      </c>
      <c r="R683">
        <v>0.39025255593452474</v>
      </c>
      <c r="S683">
        <v>0.13551273375108558</v>
      </c>
      <c r="T683">
        <v>16.776924049932148</v>
      </c>
      <c r="U683">
        <v>1536.7519376966468</v>
      </c>
      <c r="V683">
        <v>9.8863192584809951</v>
      </c>
      <c r="W683">
        <v>1302.7930866904394</v>
      </c>
      <c r="X683">
        <v>7.3383674671308112</v>
      </c>
      <c r="Y683">
        <v>2894.0431622280767</v>
      </c>
      <c r="Z683">
        <v>9.928994465762031</v>
      </c>
      <c r="AA683">
        <v>2739.3217451999358</v>
      </c>
      <c r="AB683">
        <v>7.3635072963396784</v>
      </c>
      <c r="AC683">
        <v>2201.0787984435729</v>
      </c>
      <c r="AD683">
        <v>9.90528742148493</v>
      </c>
      <c r="AE683">
        <v>2016.308142729566</v>
      </c>
      <c r="AF683">
        <v>7.3495498059109483</v>
      </c>
      <c r="AG683">
        <v>2135.1101664782477</v>
      </c>
      <c r="AH683">
        <v>9.8952615430034889</v>
      </c>
      <c r="AI683">
        <v>1926.4208317029634</v>
      </c>
      <c r="AJ683">
        <v>7.3436408860903928</v>
      </c>
    </row>
    <row r="684" spans="4:36" x14ac:dyDescent="0.55000000000000004">
      <c r="D684">
        <v>677</v>
      </c>
      <c r="E684">
        <v>11.905075844675348</v>
      </c>
      <c r="F684">
        <v>0.41290562807184866</v>
      </c>
      <c r="G684">
        <v>0.17064506188873169</v>
      </c>
      <c r="H684">
        <v>17.51137346536407</v>
      </c>
      <c r="I684">
        <v>12.078305451862136</v>
      </c>
      <c r="J684">
        <v>0.28261316538309794</v>
      </c>
      <c r="K684">
        <v>0.11648315688167792</v>
      </c>
      <c r="L684">
        <v>17.522598225873093</v>
      </c>
      <c r="M684">
        <v>12.026373573684968</v>
      </c>
      <c r="N684">
        <v>0.32169076205871894</v>
      </c>
      <c r="O684">
        <v>0.13269644511632528</v>
      </c>
      <c r="P684">
        <v>17.519239219139987</v>
      </c>
      <c r="Q684">
        <v>11.97889452985706</v>
      </c>
      <c r="R684">
        <v>0.35740448045270301</v>
      </c>
      <c r="S684">
        <v>0.14753726297773839</v>
      </c>
      <c r="T684">
        <v>17.516163726712488</v>
      </c>
      <c r="U684">
        <v>1522.6641135638515</v>
      </c>
      <c r="V684">
        <v>9.3790880799503409</v>
      </c>
      <c r="W684">
        <v>1293.7375036706751</v>
      </c>
      <c r="X684">
        <v>7.0381019685754156</v>
      </c>
      <c r="Y684">
        <v>2886.0460463151217</v>
      </c>
      <c r="Z684">
        <v>9.4062646534941852</v>
      </c>
      <c r="AA684">
        <v>2734.5791059805542</v>
      </c>
      <c r="AB684">
        <v>7.0552086600631663</v>
      </c>
      <c r="AC684">
        <v>2179.8331137674668</v>
      </c>
      <c r="AD684">
        <v>9.3981136912810435</v>
      </c>
      <c r="AE684">
        <v>2004.3452555315273</v>
      </c>
      <c r="AF684">
        <v>7.0500843172232734</v>
      </c>
      <c r="AG684">
        <v>2092.7962875693283</v>
      </c>
      <c r="AH684">
        <v>9.3906644583493932</v>
      </c>
      <c r="AI684">
        <v>1898.2958088272262</v>
      </c>
      <c r="AJ684">
        <v>7.0453963611229513</v>
      </c>
    </row>
    <row r="685" spans="4:36" x14ac:dyDescent="0.55000000000000004">
      <c r="D685">
        <v>678</v>
      </c>
      <c r="E685">
        <v>12.365084779035042</v>
      </c>
      <c r="F685">
        <v>0.45465093410589147</v>
      </c>
      <c r="G685">
        <v>0.1653946093115396</v>
      </c>
      <c r="H685">
        <v>17.014869677547512</v>
      </c>
      <c r="I685">
        <v>12.586619515746246</v>
      </c>
      <c r="J685">
        <v>0.29155825895804371</v>
      </c>
      <c r="K685">
        <v>0.10572870094827111</v>
      </c>
      <c r="L685">
        <v>17.016093524347447</v>
      </c>
      <c r="M685">
        <v>12.494291281653712</v>
      </c>
      <c r="N685">
        <v>0.35956421293974944</v>
      </c>
      <c r="O685">
        <v>0.13056144286150245</v>
      </c>
      <c r="P685">
        <v>17.015583062545026</v>
      </c>
      <c r="Q685">
        <v>12.453365489259145</v>
      </c>
      <c r="R685">
        <v>0.38969313291820218</v>
      </c>
      <c r="S685">
        <v>0.14158440155524368</v>
      </c>
      <c r="T685">
        <v>17.015356976267416</v>
      </c>
      <c r="U685">
        <v>1505.1926901254424</v>
      </c>
      <c r="V685">
        <v>9.7759955801535732</v>
      </c>
      <c r="W685">
        <v>1280.8588110215821</v>
      </c>
      <c r="X685">
        <v>7.2813027690515462</v>
      </c>
      <c r="Y685">
        <v>2889.2231738871133</v>
      </c>
      <c r="Z685">
        <v>9.8152306780031768</v>
      </c>
      <c r="AA685">
        <v>2738.6304038199614</v>
      </c>
      <c r="AB685">
        <v>7.3048371621934889</v>
      </c>
      <c r="AC685">
        <v>2198.5662255088864</v>
      </c>
      <c r="AD685">
        <v>9.7988796953425883</v>
      </c>
      <c r="AE685">
        <v>2018.1625189162544</v>
      </c>
      <c r="AF685">
        <v>7.2950394600350448</v>
      </c>
      <c r="AG685">
        <v>2099.1743447663766</v>
      </c>
      <c r="AH685">
        <v>9.7916314875198687</v>
      </c>
      <c r="AI685">
        <v>1903.6008640562472</v>
      </c>
      <c r="AJ685">
        <v>7.2906916457165449</v>
      </c>
    </row>
    <row r="686" spans="4:36" x14ac:dyDescent="0.55000000000000004">
      <c r="D686">
        <v>679</v>
      </c>
      <c r="E686">
        <v>13.185168225594676</v>
      </c>
      <c r="F686">
        <v>0.42256202027387818</v>
      </c>
      <c r="G686">
        <v>0.17156606069864117</v>
      </c>
      <c r="H686">
        <v>16.220703693432814</v>
      </c>
      <c r="I686">
        <v>13.414776064303972</v>
      </c>
      <c r="J686">
        <v>0.27228865544731057</v>
      </c>
      <c r="K686">
        <v>0.11018351590640375</v>
      </c>
      <c r="L686">
        <v>16.202751764342317</v>
      </c>
      <c r="M686">
        <v>13.287118280422781</v>
      </c>
      <c r="N686">
        <v>0.35588161497155868</v>
      </c>
      <c r="O686">
        <v>0.14427740463177555</v>
      </c>
      <c r="P686">
        <v>16.21272269997387</v>
      </c>
      <c r="Q686">
        <v>13.25362496404756</v>
      </c>
      <c r="R686">
        <v>0.37779565069857379</v>
      </c>
      <c r="S686">
        <v>0.15323648911198628</v>
      </c>
      <c r="T686">
        <v>16.215342896141898</v>
      </c>
      <c r="U686">
        <v>1527.1509684921348</v>
      </c>
      <c r="V686">
        <v>10.347780400895108</v>
      </c>
      <c r="W686">
        <v>1291.3395618240681</v>
      </c>
      <c r="X686">
        <v>7.6182934047547324</v>
      </c>
      <c r="Y686">
        <v>2914.7167484256629</v>
      </c>
      <c r="Z686">
        <v>10.401509827222627</v>
      </c>
      <c r="AA686">
        <v>2753.4660036309501</v>
      </c>
      <c r="AB686">
        <v>7.6496628291162221</v>
      </c>
      <c r="AC686">
        <v>2225.1881508584211</v>
      </c>
      <c r="AD686">
        <v>10.371642275095924</v>
      </c>
      <c r="AE686">
        <v>2031.5517175012712</v>
      </c>
      <c r="AF686">
        <v>7.6322370080698843</v>
      </c>
      <c r="AG686">
        <v>2146.4389218198094</v>
      </c>
      <c r="AH686">
        <v>10.363803903444047</v>
      </c>
      <c r="AI686">
        <v>1932.3473597193436</v>
      </c>
      <c r="AJ686">
        <v>7.6276588246312373</v>
      </c>
    </row>
    <row r="687" spans="4:36" x14ac:dyDescent="0.55000000000000004">
      <c r="D687">
        <v>680</v>
      </c>
      <c r="E687">
        <v>13.593088090470543</v>
      </c>
      <c r="F687">
        <v>0.46460309090783269</v>
      </c>
      <c r="G687">
        <v>0.1861999959463114</v>
      </c>
      <c r="H687">
        <v>15.756108822675319</v>
      </c>
      <c r="I687">
        <v>13.831861236958693</v>
      </c>
      <c r="J687">
        <v>0.30447624867355988</v>
      </c>
      <c r="K687">
        <v>0.12161194015015779</v>
      </c>
      <c r="L687">
        <v>15.742050574217567</v>
      </c>
      <c r="M687">
        <v>13.712724203473154</v>
      </c>
      <c r="N687">
        <v>0.38441783401999352</v>
      </c>
      <c r="O687">
        <v>0.15380109197123218</v>
      </c>
      <c r="P687">
        <v>15.749056870535606</v>
      </c>
      <c r="Q687">
        <v>13.676209029073314</v>
      </c>
      <c r="R687">
        <v>0.4089016135643021</v>
      </c>
      <c r="S687">
        <v>0.16368184105798048</v>
      </c>
      <c r="T687">
        <v>15.751207516304389</v>
      </c>
      <c r="U687">
        <v>1625.2396720629486</v>
      </c>
      <c r="V687">
        <v>10.687087377676061</v>
      </c>
      <c r="W687">
        <v>1356.7989445362632</v>
      </c>
      <c r="X687">
        <v>7.816424332913706</v>
      </c>
      <c r="Y687">
        <v>2924.804392435607</v>
      </c>
      <c r="Z687">
        <v>10.736449964306106</v>
      </c>
      <c r="AA687">
        <v>2755.9571633776791</v>
      </c>
      <c r="AB687">
        <v>7.8450339185605511</v>
      </c>
      <c r="AC687">
        <v>2247.1420609432989</v>
      </c>
      <c r="AD687">
        <v>10.711825442173556</v>
      </c>
      <c r="AE687">
        <v>2042.6005372345364</v>
      </c>
      <c r="AF687">
        <v>7.830772972845307</v>
      </c>
      <c r="AG687">
        <v>2179.5026698547845</v>
      </c>
      <c r="AH687">
        <v>10.70427603269591</v>
      </c>
      <c r="AI687">
        <v>1951.0469200593989</v>
      </c>
      <c r="AJ687">
        <v>7.8263964898161458</v>
      </c>
    </row>
    <row r="688" spans="4:36" x14ac:dyDescent="0.55000000000000004">
      <c r="D688">
        <v>681</v>
      </c>
      <c r="E688">
        <v>12.841346801858215</v>
      </c>
      <c r="F688">
        <v>0.48321263782761131</v>
      </c>
      <c r="G688">
        <v>0.16493675999648275</v>
      </c>
      <c r="H688">
        <v>16.510503800317704</v>
      </c>
      <c r="I688">
        <v>13.063996605303316</v>
      </c>
      <c r="J688">
        <v>0.32003587264435146</v>
      </c>
      <c r="K688">
        <v>0.10890315523165559</v>
      </c>
      <c r="L688">
        <v>16.507064366820686</v>
      </c>
      <c r="M688">
        <v>12.986300660856953</v>
      </c>
      <c r="N688">
        <v>0.37701014197668942</v>
      </c>
      <c r="O688">
        <v>0.12842789525052267</v>
      </c>
      <c r="P688">
        <v>16.508261301915841</v>
      </c>
      <c r="Q688">
        <v>12.962314379893053</v>
      </c>
      <c r="R688">
        <v>0.39459231854703319</v>
      </c>
      <c r="S688">
        <v>0.13446177306774351</v>
      </c>
      <c r="T688">
        <v>16.508631528492174</v>
      </c>
      <c r="U688">
        <v>1520.7635213645417</v>
      </c>
      <c r="V688">
        <v>10.19155792577747</v>
      </c>
      <c r="W688">
        <v>1286.6082715683849</v>
      </c>
      <c r="X688">
        <v>7.5360476725785546</v>
      </c>
      <c r="Y688">
        <v>2895.0549392584003</v>
      </c>
      <c r="Z688">
        <v>10.237244619354161</v>
      </c>
      <c r="AA688">
        <v>2738.331897717133</v>
      </c>
      <c r="AB688">
        <v>7.5631490444220875</v>
      </c>
      <c r="AC688">
        <v>2227.2125103498438</v>
      </c>
      <c r="AD688">
        <v>10.22130353653977</v>
      </c>
      <c r="AE688">
        <v>2035.1506556029356</v>
      </c>
      <c r="AF688">
        <v>7.5537029005797711</v>
      </c>
      <c r="AG688">
        <v>2114.5309439499847</v>
      </c>
      <c r="AH688">
        <v>10.216381828572601</v>
      </c>
      <c r="AI688">
        <v>1911.3612263392943</v>
      </c>
      <c r="AJ688">
        <v>7.5507842850816962</v>
      </c>
    </row>
    <row r="689" spans="4:36" x14ac:dyDescent="0.55000000000000004">
      <c r="D689">
        <v>682</v>
      </c>
      <c r="E689">
        <v>11.511479486444559</v>
      </c>
      <c r="F689">
        <v>0.4010320194465854</v>
      </c>
      <c r="G689">
        <v>0.15792720145701222</v>
      </c>
      <c r="H689">
        <v>17.92956129265184</v>
      </c>
      <c r="I689">
        <v>11.682903052015085</v>
      </c>
      <c r="J689">
        <v>0.26945912032887559</v>
      </c>
      <c r="K689">
        <v>0.10582982789562695</v>
      </c>
      <c r="L689">
        <v>17.9418079997604</v>
      </c>
      <c r="M689">
        <v>11.627971142163846</v>
      </c>
      <c r="N689">
        <v>0.31163846089480007</v>
      </c>
      <c r="O689">
        <v>0.12250035323925937</v>
      </c>
      <c r="P689">
        <v>17.937890043702087</v>
      </c>
      <c r="Q689">
        <v>11.585883870993079</v>
      </c>
      <c r="R689">
        <v>0.3439440053838167</v>
      </c>
      <c r="S689">
        <v>0.13528800729208609</v>
      </c>
      <c r="T689">
        <v>17.93488411633103</v>
      </c>
      <c r="U689">
        <v>1419.2013785988911</v>
      </c>
      <c r="V689">
        <v>9.1125285836123862</v>
      </c>
      <c r="W689">
        <v>1226.9109997178157</v>
      </c>
      <c r="X689">
        <v>6.8831730260919599</v>
      </c>
      <c r="Y689">
        <v>2849.7583219842636</v>
      </c>
      <c r="Z689">
        <v>9.1375248727954101</v>
      </c>
      <c r="AA689">
        <v>2715.4095972188525</v>
      </c>
      <c r="AB689">
        <v>6.8990605461443719</v>
      </c>
      <c r="AC689">
        <v>2150.03853296437</v>
      </c>
      <c r="AD689">
        <v>9.1295110670799033</v>
      </c>
      <c r="AE689">
        <v>1990.9431157775662</v>
      </c>
      <c r="AF689">
        <v>6.8939734727680557</v>
      </c>
      <c r="AG689">
        <v>2054.5516281762502</v>
      </c>
      <c r="AH689">
        <v>9.1233735702749783</v>
      </c>
      <c r="AI689">
        <v>1879.6628799449632</v>
      </c>
      <c r="AJ689">
        <v>6.8900733521670574</v>
      </c>
    </row>
    <row r="690" spans="4:36" x14ac:dyDescent="0.55000000000000004">
      <c r="D690">
        <v>683</v>
      </c>
      <c r="E690">
        <v>12.557178257298101</v>
      </c>
      <c r="F690">
        <v>0.44454246613899773</v>
      </c>
      <c r="G690">
        <v>0.17832828270787854</v>
      </c>
      <c r="H690">
        <v>16.819950993855031</v>
      </c>
      <c r="I690">
        <v>12.784719998217051</v>
      </c>
      <c r="J690">
        <v>0.28255869525193689</v>
      </c>
      <c r="K690">
        <v>0.11295502379941609</v>
      </c>
      <c r="L690">
        <v>16.819766282731585</v>
      </c>
      <c r="M690">
        <v>12.700246224906678</v>
      </c>
      <c r="N690">
        <v>0.34273124516024567</v>
      </c>
      <c r="O690">
        <v>0.13718560499428106</v>
      </c>
      <c r="P690">
        <v>16.819836924938809</v>
      </c>
      <c r="Q690">
        <v>12.647322791647927</v>
      </c>
      <c r="R690">
        <v>0.38040768130967734</v>
      </c>
      <c r="S690">
        <v>0.15238958305862199</v>
      </c>
      <c r="T690">
        <v>16.819879943983782</v>
      </c>
      <c r="U690">
        <v>1526.3654960041156</v>
      </c>
      <c r="V690">
        <v>9.9608877512226197</v>
      </c>
      <c r="W690">
        <v>1293.6180461864983</v>
      </c>
      <c r="X690">
        <v>7.3975552620409664</v>
      </c>
      <c r="Y690">
        <v>2894.3977206899826</v>
      </c>
      <c r="Z690">
        <v>10.005110451809312</v>
      </c>
      <c r="AA690">
        <v>2740.6894421017873</v>
      </c>
      <c r="AB690">
        <v>7.424288805025796</v>
      </c>
      <c r="AC690">
        <v>2206.9818331866891</v>
      </c>
      <c r="AD690">
        <v>9.9886910416890391</v>
      </c>
      <c r="AE690">
        <v>2022.7042447537196</v>
      </c>
      <c r="AF690">
        <v>7.4143747107276372</v>
      </c>
      <c r="AG690">
        <v>2102.3976234357788</v>
      </c>
      <c r="AH690">
        <v>9.9784053276561</v>
      </c>
      <c r="AI690">
        <v>1903.4076945241454</v>
      </c>
      <c r="AJ690">
        <v>7.4081571048196162</v>
      </c>
    </row>
    <row r="691" spans="4:36" x14ac:dyDescent="0.55000000000000004">
      <c r="D691">
        <v>684</v>
      </c>
      <c r="E691">
        <v>12.473896521167113</v>
      </c>
      <c r="F691">
        <v>0.4745556649957704</v>
      </c>
      <c r="G691">
        <v>0.17668538749021423</v>
      </c>
      <c r="H691">
        <v>16.874862426346894</v>
      </c>
      <c r="I691">
        <v>12.710105755940829</v>
      </c>
      <c r="J691">
        <v>0.29210982336944563</v>
      </c>
      <c r="K691">
        <v>0.10838890926636405</v>
      </c>
      <c r="L691">
        <v>16.889395511423366</v>
      </c>
      <c r="M691">
        <v>12.625462016566583</v>
      </c>
      <c r="N691">
        <v>0.35752059431709104</v>
      </c>
      <c r="O691">
        <v>0.13282064971403171</v>
      </c>
      <c r="P691">
        <v>16.884196739402295</v>
      </c>
      <c r="Q691">
        <v>12.553096242205507</v>
      </c>
      <c r="R691">
        <v>0.41341433289027402</v>
      </c>
      <c r="S691">
        <v>0.15374533948596289</v>
      </c>
      <c r="T691">
        <v>16.879744085418274</v>
      </c>
      <c r="U691">
        <v>1611.9116784073171</v>
      </c>
      <c r="V691">
        <v>9.9131056975509981</v>
      </c>
      <c r="W691">
        <v>1350.9503975172279</v>
      </c>
      <c r="X691">
        <v>7.3675987772971885</v>
      </c>
      <c r="Y691">
        <v>2898.3372211918427</v>
      </c>
      <c r="Z691">
        <v>9.9497509688982557</v>
      </c>
      <c r="AA691">
        <v>2740.2745064275987</v>
      </c>
      <c r="AB691">
        <v>7.3902550623607448</v>
      </c>
      <c r="AC691">
        <v>2242.5402055009699</v>
      </c>
      <c r="AD691">
        <v>9.936613820645313</v>
      </c>
      <c r="AE691">
        <v>2044.8802333400338</v>
      </c>
      <c r="AF691">
        <v>7.3821441660909324</v>
      </c>
      <c r="AG691">
        <v>2157.6220259775127</v>
      </c>
      <c r="AH691">
        <v>9.9253872220425787</v>
      </c>
      <c r="AI691">
        <v>1938.3193329479523</v>
      </c>
      <c r="AJ691">
        <v>7.3752029052547368</v>
      </c>
    </row>
    <row r="692" spans="4:36" x14ac:dyDescent="0.55000000000000004">
      <c r="D692">
        <v>685</v>
      </c>
      <c r="E692">
        <v>12.563362272826369</v>
      </c>
      <c r="F692">
        <v>0.46614039327251228</v>
      </c>
      <c r="G692">
        <v>0.18108562693676986</v>
      </c>
      <c r="H692">
        <v>16.789411706964334</v>
      </c>
      <c r="I692">
        <v>12.807987687619615</v>
      </c>
      <c r="J692">
        <v>0.28495733311862781</v>
      </c>
      <c r="K692">
        <v>0.11026303119634695</v>
      </c>
      <c r="L692">
        <v>16.796791948065415</v>
      </c>
      <c r="M692">
        <v>12.691478635022058</v>
      </c>
      <c r="N692">
        <v>0.37129242749844366</v>
      </c>
      <c r="O692">
        <v>0.14393966572250932</v>
      </c>
      <c r="P692">
        <v>16.793289271756976</v>
      </c>
      <c r="Q692">
        <v>12.676797937160222</v>
      </c>
      <c r="R692">
        <v>0.38216565634322247</v>
      </c>
      <c r="S692">
        <v>0.148190073731015</v>
      </c>
      <c r="T692">
        <v>16.792846332765553</v>
      </c>
      <c r="U692">
        <v>1557.6670973690345</v>
      </c>
      <c r="V692">
        <v>9.9589016713167613</v>
      </c>
      <c r="W692">
        <v>1313.8360002266475</v>
      </c>
      <c r="X692">
        <v>7.392283923748411</v>
      </c>
      <c r="Y692">
        <v>2893.233069293583</v>
      </c>
      <c r="Z692">
        <v>10.001813851456498</v>
      </c>
      <c r="AA692">
        <v>2738.7408073689712</v>
      </c>
      <c r="AB692">
        <v>7.4186403172965409</v>
      </c>
      <c r="AC692">
        <v>2237.6609010998891</v>
      </c>
      <c r="AD692">
        <v>9.9813688439727883</v>
      </c>
      <c r="AE692">
        <v>2042.179726396012</v>
      </c>
      <c r="AF692">
        <v>7.4060977272647452</v>
      </c>
      <c r="AG692">
        <v>2106.5342560178292</v>
      </c>
      <c r="AH692">
        <v>9.978793572863129</v>
      </c>
      <c r="AI692">
        <v>1905.1326120131473</v>
      </c>
      <c r="AJ692">
        <v>7.4045159775382023</v>
      </c>
    </row>
    <row r="693" spans="4:36" x14ac:dyDescent="0.55000000000000004">
      <c r="D693">
        <v>686</v>
      </c>
      <c r="E693">
        <v>13.458676184592415</v>
      </c>
      <c r="F693">
        <v>0.45424386828729174</v>
      </c>
      <c r="G693">
        <v>0.15928351768983195</v>
      </c>
      <c r="H693">
        <v>15.927796429430467</v>
      </c>
      <c r="I693">
        <v>13.692439527701252</v>
      </c>
      <c r="J693">
        <v>0.29796074626568891</v>
      </c>
      <c r="K693">
        <v>0.1041409366366821</v>
      </c>
      <c r="L693">
        <v>15.905458789396365</v>
      </c>
      <c r="M693">
        <v>13.581037667847001</v>
      </c>
      <c r="N693">
        <v>0.37248274308429802</v>
      </c>
      <c r="O693">
        <v>0.13038943281725882</v>
      </c>
      <c r="P693">
        <v>15.916090156251457</v>
      </c>
      <c r="Q693">
        <v>13.564415969768303</v>
      </c>
      <c r="R693">
        <v>0.38359494581456138</v>
      </c>
      <c r="S693">
        <v>0.13431052714503761</v>
      </c>
      <c r="T693">
        <v>15.917678557272108</v>
      </c>
      <c r="U693">
        <v>1576.4301623451468</v>
      </c>
      <c r="V693">
        <v>10.538423194886548</v>
      </c>
      <c r="W693">
        <v>1327.4305756552869</v>
      </c>
      <c r="X693">
        <v>7.7280772178715038</v>
      </c>
      <c r="Y693">
        <v>2906.3028417699716</v>
      </c>
      <c r="Z693">
        <v>10.596397980421074</v>
      </c>
      <c r="AA693">
        <v>2746.6084223399248</v>
      </c>
      <c r="AB693">
        <v>7.7615628492667526</v>
      </c>
      <c r="AC693">
        <v>2246.7004339743107</v>
      </c>
      <c r="AD693">
        <v>10.568777367705987</v>
      </c>
      <c r="AE693">
        <v>2047.8766858880235</v>
      </c>
      <c r="AF693">
        <v>7.7456218221962265</v>
      </c>
      <c r="AG693">
        <v>2118.4094123596815</v>
      </c>
      <c r="AH693">
        <v>10.5646550325937</v>
      </c>
      <c r="AI693">
        <v>1912.874038524762</v>
      </c>
      <c r="AJ693">
        <v>7.7432407284004281</v>
      </c>
    </row>
    <row r="694" spans="4:36" x14ac:dyDescent="0.55000000000000004">
      <c r="D694">
        <v>687</v>
      </c>
      <c r="E694">
        <v>12.341270807563067</v>
      </c>
      <c r="F694">
        <v>0.42915117339770104</v>
      </c>
      <c r="G694">
        <v>0.14430984094949836</v>
      </c>
      <c r="H694">
        <v>17.085268178089752</v>
      </c>
      <c r="I694">
        <v>12.499559642207471</v>
      </c>
      <c r="J694">
        <v>0.30792100671466255</v>
      </c>
      <c r="K694">
        <v>0.10330556147465224</v>
      </c>
      <c r="L694">
        <v>17.089213789603217</v>
      </c>
      <c r="M694">
        <v>12.400201929205593</v>
      </c>
      <c r="N694">
        <v>0.3840324708811807</v>
      </c>
      <c r="O694">
        <v>0.12902670150316348</v>
      </c>
      <c r="P694">
        <v>17.086738898410072</v>
      </c>
      <c r="Q694">
        <v>12.39722425220949</v>
      </c>
      <c r="R694">
        <v>0.38631267353145771</v>
      </c>
      <c r="S694">
        <v>0.12979843813334491</v>
      </c>
      <c r="T694">
        <v>17.086664636125718</v>
      </c>
      <c r="U694">
        <v>1531.1082131554367</v>
      </c>
      <c r="V694">
        <v>9.6501154302901586</v>
      </c>
      <c r="W694">
        <v>1297.8187426073578</v>
      </c>
      <c r="X694">
        <v>7.1928831266403863</v>
      </c>
      <c r="Y694">
        <v>2901.6528186114192</v>
      </c>
      <c r="Z694">
        <v>9.6752066778717367</v>
      </c>
      <c r="AA694">
        <v>2743.6275638333755</v>
      </c>
      <c r="AB694">
        <v>7.2081609593047338</v>
      </c>
      <c r="AC694">
        <v>2246.9594776261174</v>
      </c>
      <c r="AD694">
        <v>9.6594559654644296</v>
      </c>
      <c r="AE694">
        <v>2048.73621010545</v>
      </c>
      <c r="AF694">
        <v>7.1985753737447213</v>
      </c>
      <c r="AG694">
        <v>2135.3917398240769</v>
      </c>
      <c r="AH694">
        <v>9.658983978465649</v>
      </c>
      <c r="AI694">
        <v>1927.1139604276568</v>
      </c>
      <c r="AJ694">
        <v>7.1982878780983643</v>
      </c>
    </row>
    <row r="695" spans="4:36" x14ac:dyDescent="0.55000000000000004">
      <c r="D695">
        <v>688</v>
      </c>
      <c r="E695">
        <v>12.229530780960848</v>
      </c>
      <c r="F695">
        <v>0.42207477705343488</v>
      </c>
      <c r="G695">
        <v>0.1615008892502014</v>
      </c>
      <c r="H695">
        <v>17.18689355273553</v>
      </c>
      <c r="I695">
        <v>12.448373296564808</v>
      </c>
      <c r="J695">
        <v>0.27096753671780394</v>
      </c>
      <c r="K695">
        <v>0.1033414354751522</v>
      </c>
      <c r="L695">
        <v>17.17731773124223</v>
      </c>
      <c r="M695">
        <v>12.34616726042875</v>
      </c>
      <c r="N695">
        <v>0.34157804696435901</v>
      </c>
      <c r="O695">
        <v>0.13047030120688663</v>
      </c>
      <c r="P695">
        <v>17.181784391400019</v>
      </c>
      <c r="Q695">
        <v>12.315684904294027</v>
      </c>
      <c r="R695">
        <v>0.36262406894222493</v>
      </c>
      <c r="S695">
        <v>0.13857260732480498</v>
      </c>
      <c r="T695">
        <v>17.183118419438937</v>
      </c>
      <c r="U695">
        <v>1475.5822501043003</v>
      </c>
      <c r="V695">
        <v>9.6345428339227439</v>
      </c>
      <c r="W695">
        <v>1260.0190291924532</v>
      </c>
      <c r="X695">
        <v>7.1952107847107554</v>
      </c>
      <c r="Y695">
        <v>2873.5821117039713</v>
      </c>
      <c r="Z695">
        <v>9.6801096169891121</v>
      </c>
      <c r="AA695">
        <v>2727.8358095657081</v>
      </c>
      <c r="AB695">
        <v>7.2222654264716848</v>
      </c>
      <c r="AC695">
        <v>2185.4527339511928</v>
      </c>
      <c r="AD695">
        <v>9.6588323716198623</v>
      </c>
      <c r="AE695">
        <v>2008.8461529829797</v>
      </c>
      <c r="AF695">
        <v>7.209643742922256</v>
      </c>
      <c r="AG695">
        <v>2094.1710789062076</v>
      </c>
      <c r="AH695">
        <v>9.6524852673028434</v>
      </c>
      <c r="AI695">
        <v>1901.016101560444</v>
      </c>
      <c r="AJ695">
        <v>7.205874787369499</v>
      </c>
    </row>
    <row r="696" spans="4:36" x14ac:dyDescent="0.55000000000000004">
      <c r="D696">
        <v>689</v>
      </c>
      <c r="E696">
        <v>13.962648770014331</v>
      </c>
      <c r="F696">
        <v>0.45962621760724526</v>
      </c>
      <c r="G696">
        <v>0.19523170052134767</v>
      </c>
      <c r="H696">
        <v>15.382493311857067</v>
      </c>
      <c r="I696">
        <v>14.241347543157623</v>
      </c>
      <c r="J696">
        <v>0.29202985786871793</v>
      </c>
      <c r="K696">
        <v>0.12354835904779893</v>
      </c>
      <c r="L696">
        <v>15.343074239925871</v>
      </c>
      <c r="M696">
        <v>14.144255279033139</v>
      </c>
      <c r="N696">
        <v>0.3504787246048276</v>
      </c>
      <c r="O696">
        <v>0.14848163522300037</v>
      </c>
      <c r="P696">
        <v>15.356784361139017</v>
      </c>
      <c r="Q696">
        <v>14.110943066405868</v>
      </c>
      <c r="R696">
        <v>0.37051720960084472</v>
      </c>
      <c r="S696">
        <v>0.15704590453950742</v>
      </c>
      <c r="T696">
        <v>15.361493819453763</v>
      </c>
      <c r="U696">
        <v>1637.6045434537652</v>
      </c>
      <c r="V696">
        <v>11.021130307169141</v>
      </c>
      <c r="W696">
        <v>1363.7382626653732</v>
      </c>
      <c r="X696">
        <v>8.0218846576021079</v>
      </c>
      <c r="Y696">
        <v>2909.5905403606585</v>
      </c>
      <c r="Z696">
        <v>11.093883837840888</v>
      </c>
      <c r="AA696">
        <v>2744.1997933288153</v>
      </c>
      <c r="AB696">
        <v>8.063333998046426</v>
      </c>
      <c r="AC696">
        <v>2250.2037239306806</v>
      </c>
      <c r="AD696">
        <v>11.068550898106311</v>
      </c>
      <c r="AE696">
        <v>2045.5094243525728</v>
      </c>
      <c r="AF696">
        <v>8.0489163924573237</v>
      </c>
      <c r="AG696">
        <v>2195.7656379169916</v>
      </c>
      <c r="AH696">
        <v>11.059856084613898</v>
      </c>
      <c r="AI696">
        <v>1963.6301552891168</v>
      </c>
      <c r="AJ696">
        <v>8.0439642491446186</v>
      </c>
    </row>
    <row r="697" spans="4:36" x14ac:dyDescent="0.55000000000000004">
      <c r="D697">
        <v>690</v>
      </c>
      <c r="E697">
        <v>13.071860889089114</v>
      </c>
      <c r="F697">
        <v>0.41285114681175167</v>
      </c>
      <c r="G697">
        <v>0.14262662598025774</v>
      </c>
      <c r="H697">
        <v>16.372661338118871</v>
      </c>
      <c r="I697">
        <v>13.302044527039699</v>
      </c>
      <c r="J697">
        <v>0.26580901761475273</v>
      </c>
      <c r="K697">
        <v>9.1528364981812702E-2</v>
      </c>
      <c r="L697">
        <v>16.340618090363744</v>
      </c>
      <c r="M697">
        <v>13.192778214507344</v>
      </c>
      <c r="N697">
        <v>0.33565455356836083</v>
      </c>
      <c r="O697">
        <v>0.11575787838902638</v>
      </c>
      <c r="P697">
        <v>16.355809353535278</v>
      </c>
      <c r="Q697">
        <v>13.140730321066357</v>
      </c>
      <c r="R697">
        <v>0.36889570944948757</v>
      </c>
      <c r="S697">
        <v>0.12731610985455175</v>
      </c>
      <c r="T697">
        <v>16.363057859629617</v>
      </c>
      <c r="U697">
        <v>1549.6849133587407</v>
      </c>
      <c r="V697">
        <v>10.227788050161983</v>
      </c>
      <c r="W697">
        <v>1313.9068898758669</v>
      </c>
      <c r="X697">
        <v>7.5463937852160603</v>
      </c>
      <c r="Y697">
        <v>2875.8986456091557</v>
      </c>
      <c r="Z697">
        <v>10.286889627888231</v>
      </c>
      <c r="AA697">
        <v>2728.5209288470501</v>
      </c>
      <c r="AB697">
        <v>7.5802917098044347</v>
      </c>
      <c r="AC697">
        <v>2217.9559033105634</v>
      </c>
      <c r="AD697">
        <v>10.258846358730281</v>
      </c>
      <c r="AE697">
        <v>2031.8548154426906</v>
      </c>
      <c r="AF697">
        <v>7.5642195690907057</v>
      </c>
      <c r="AG697">
        <v>2107.7884191040448</v>
      </c>
      <c r="AH697">
        <v>10.245480770890323</v>
      </c>
      <c r="AI697">
        <v>1908.9211245300594</v>
      </c>
      <c r="AJ697">
        <v>7.5565517750675344</v>
      </c>
    </row>
    <row r="698" spans="4:36" x14ac:dyDescent="0.55000000000000004">
      <c r="D698">
        <v>691</v>
      </c>
      <c r="E698">
        <v>13.957375491736865</v>
      </c>
      <c r="F698">
        <v>0.49963005527108767</v>
      </c>
      <c r="G698">
        <v>0.15626028584121979</v>
      </c>
      <c r="H698">
        <v>15.386734167150824</v>
      </c>
      <c r="I698">
        <v>14.2169914386313</v>
      </c>
      <c r="J698">
        <v>0.32677751518661957</v>
      </c>
      <c r="K698">
        <v>0.10186267158993592</v>
      </c>
      <c r="L698">
        <v>15.354368374592145</v>
      </c>
      <c r="M698">
        <v>14.096300022524943</v>
      </c>
      <c r="N698">
        <v>0.40718712064522811</v>
      </c>
      <c r="O698">
        <v>0.12712245148618281</v>
      </c>
      <c r="P698">
        <v>15.369390405343642</v>
      </c>
      <c r="Q698">
        <v>14.094498592075306</v>
      </c>
      <c r="R698">
        <v>0.40838661173531843</v>
      </c>
      <c r="S698">
        <v>0.12749985468382508</v>
      </c>
      <c r="T698">
        <v>15.369614941505567</v>
      </c>
      <c r="U698">
        <v>1630.0848687115342</v>
      </c>
      <c r="V698">
        <v>11.017997444919493</v>
      </c>
      <c r="W698">
        <v>1360.2987835746208</v>
      </c>
      <c r="X698">
        <v>8.0209175517483793</v>
      </c>
      <c r="Y698">
        <v>2915.0001914523318</v>
      </c>
      <c r="Z698">
        <v>11.084274110835443</v>
      </c>
      <c r="AA698">
        <v>2748.8458154332588</v>
      </c>
      <c r="AB698">
        <v>8.0584968752244652</v>
      </c>
      <c r="AC698">
        <v>2261.5745670598885</v>
      </c>
      <c r="AD698">
        <v>11.053477461272518</v>
      </c>
      <c r="AE698">
        <v>2053.7240860609154</v>
      </c>
      <c r="AF698">
        <v>8.0410484850315669</v>
      </c>
      <c r="AG698">
        <v>2149.9372068391212</v>
      </c>
      <c r="AH698">
        <v>11.053017605118997</v>
      </c>
      <c r="AI698">
        <v>1931.4329043028863</v>
      </c>
      <c r="AJ698">
        <v>8.0407877683929012</v>
      </c>
    </row>
    <row r="699" spans="4:36" x14ac:dyDescent="0.55000000000000004">
      <c r="D699">
        <v>692</v>
      </c>
      <c r="E699">
        <v>12.870932431891907</v>
      </c>
      <c r="F699">
        <v>0.4616746334100999</v>
      </c>
      <c r="G699">
        <v>0.1576772076533863</v>
      </c>
      <c r="H699">
        <v>16.509715727044593</v>
      </c>
      <c r="I699">
        <v>13.112677452948994</v>
      </c>
      <c r="J699">
        <v>0.29253334547778165</v>
      </c>
      <c r="K699">
        <v>9.958464748924066E-2</v>
      </c>
      <c r="L699">
        <v>16.495204554083983</v>
      </c>
      <c r="M699">
        <v>13.024267890010384</v>
      </c>
      <c r="N699">
        <v>0.35443267273609397</v>
      </c>
      <c r="O699">
        <v>0.120799760747362</v>
      </c>
      <c r="P699">
        <v>16.500499676506166</v>
      </c>
      <c r="Q699">
        <v>12.97292007056317</v>
      </c>
      <c r="R699">
        <v>0.39036134441177045</v>
      </c>
      <c r="S699">
        <v>0.13313729800029886</v>
      </c>
      <c r="T699">
        <v>16.503581287024758</v>
      </c>
      <c r="U699">
        <v>1543.466553582412</v>
      </c>
      <c r="V699">
        <v>10.180921013619065</v>
      </c>
      <c r="W699">
        <v>1302.970359265257</v>
      </c>
      <c r="X699">
        <v>7.5277979900724628</v>
      </c>
      <c r="Y699">
        <v>2916.503204281833</v>
      </c>
      <c r="Z699">
        <v>10.233899817286284</v>
      </c>
      <c r="AA699">
        <v>2754.91435620328</v>
      </c>
      <c r="AB699">
        <v>7.5586320975168162</v>
      </c>
      <c r="AC699">
        <v>2257.8532686767744</v>
      </c>
      <c r="AD699">
        <v>10.214532254518311</v>
      </c>
      <c r="AE699">
        <v>2057.919383618244</v>
      </c>
      <c r="AF699">
        <v>7.5473716011548122</v>
      </c>
      <c r="AG699">
        <v>2163.8946151089931</v>
      </c>
      <c r="AH699">
        <v>10.203279702103069</v>
      </c>
      <c r="AI699">
        <v>1946.5826749450091</v>
      </c>
      <c r="AJ699">
        <v>7.5408231467959812</v>
      </c>
    </row>
    <row r="700" spans="4:36" x14ac:dyDescent="0.55000000000000004">
      <c r="D700">
        <v>693</v>
      </c>
      <c r="E700">
        <v>10.985497895317947</v>
      </c>
      <c r="F700">
        <v>0.41294818408416889</v>
      </c>
      <c r="G700">
        <v>0.15020495165778575</v>
      </c>
      <c r="H700">
        <v>18.451348968940092</v>
      </c>
      <c r="I700">
        <v>11.160495851882386</v>
      </c>
      <c r="J700">
        <v>0.26933566555651745</v>
      </c>
      <c r="K700">
        <v>9.7698161705483497E-2</v>
      </c>
      <c r="L700">
        <v>18.472470320855631</v>
      </c>
      <c r="M700">
        <v>11.128332826319252</v>
      </c>
      <c r="N700">
        <v>0.29574065133942967</v>
      </c>
      <c r="O700">
        <v>0.10733028822793733</v>
      </c>
      <c r="P700">
        <v>18.468596234113388</v>
      </c>
      <c r="Q700">
        <v>11.080378875837782</v>
      </c>
      <c r="R700">
        <v>0.33510096940337086</v>
      </c>
      <c r="S700">
        <v>0.12170656683560756</v>
      </c>
      <c r="T700">
        <v>18.462813587923222</v>
      </c>
      <c r="U700">
        <v>1428.8812402858819</v>
      </c>
      <c r="V700">
        <v>8.621539066444786</v>
      </c>
      <c r="W700">
        <v>1234.0091908857485</v>
      </c>
      <c r="X700">
        <v>6.5673137128490016</v>
      </c>
      <c r="Y700">
        <v>2849.5223228443579</v>
      </c>
      <c r="Z700">
        <v>8.6391023182667794</v>
      </c>
      <c r="AA700">
        <v>2715.8477683383098</v>
      </c>
      <c r="AB700">
        <v>6.579188597427426</v>
      </c>
      <c r="AC700">
        <v>2128.4564347058226</v>
      </c>
      <c r="AD700">
        <v>8.6358697577991403</v>
      </c>
      <c r="AE700">
        <v>1976.5835773127239</v>
      </c>
      <c r="AF700">
        <v>6.5770074862646268</v>
      </c>
      <c r="AG700">
        <v>2041.5569534173467</v>
      </c>
      <c r="AH700">
        <v>8.6310539505040538</v>
      </c>
      <c r="AI700">
        <v>1871.3249940714838</v>
      </c>
      <c r="AJ700">
        <v>6.5737543748071889</v>
      </c>
    </row>
    <row r="701" spans="4:36" x14ac:dyDescent="0.55000000000000004">
      <c r="D701">
        <v>694</v>
      </c>
      <c r="E701">
        <v>14.276546088519812</v>
      </c>
      <c r="F701">
        <v>0.5165206693230413</v>
      </c>
      <c r="G701">
        <v>0.18931838866136971</v>
      </c>
      <c r="H701">
        <v>15.017614853495802</v>
      </c>
      <c r="I701">
        <v>14.537544710780713</v>
      </c>
      <c r="J701">
        <v>0.33531929345523631</v>
      </c>
      <c r="K701">
        <v>0.12248796816474852</v>
      </c>
      <c r="L701">
        <v>15.004648027599314</v>
      </c>
      <c r="M701">
        <v>14.413186293283344</v>
      </c>
      <c r="N701">
        <v>0.42170641410440035</v>
      </c>
      <c r="O701">
        <v>0.15429176253781202</v>
      </c>
      <c r="P701">
        <v>15.010815530074423</v>
      </c>
      <c r="Q701">
        <v>14.388725872523862</v>
      </c>
      <c r="R701">
        <v>0.4386875163164714</v>
      </c>
      <c r="S701">
        <v>0.16055566836230276</v>
      </c>
      <c r="T701">
        <v>15.01203094279737</v>
      </c>
      <c r="U701">
        <v>1681.9532898378038</v>
      </c>
      <c r="V701">
        <v>11.369286661933316</v>
      </c>
      <c r="W701">
        <v>1387.9107721655942</v>
      </c>
      <c r="X701">
        <v>8.2354057228960009</v>
      </c>
      <c r="Y701">
        <v>2963.3195591703502</v>
      </c>
      <c r="Z701">
        <v>11.425306834405923</v>
      </c>
      <c r="AA701">
        <v>2777.7185811991872</v>
      </c>
      <c r="AB701">
        <v>8.2674554376312237</v>
      </c>
      <c r="AC701">
        <v>2343.7064011621433</v>
      </c>
      <c r="AD701">
        <v>11.398622604366286</v>
      </c>
      <c r="AE701">
        <v>2105.3591921738366</v>
      </c>
      <c r="AF701">
        <v>8.2522010966607038</v>
      </c>
      <c r="AG701">
        <v>2191.9360327324989</v>
      </c>
      <c r="AH701">
        <v>11.39337234340876</v>
      </c>
      <c r="AI701">
        <v>1952.515542375799</v>
      </c>
      <c r="AJ701">
        <v>8.2491971707418443</v>
      </c>
    </row>
    <row r="702" spans="4:36" x14ac:dyDescent="0.55000000000000004">
      <c r="D702">
        <v>695</v>
      </c>
      <c r="E702">
        <v>11.392044672484166</v>
      </c>
      <c r="F702">
        <v>0.4215263129862139</v>
      </c>
      <c r="G702">
        <v>0.15984623782044113</v>
      </c>
      <c r="H702">
        <v>18.02658277670918</v>
      </c>
      <c r="I702">
        <v>11.566286483235555</v>
      </c>
      <c r="J702">
        <v>0.28170869611256111</v>
      </c>
      <c r="K702">
        <v>0.10654577738521874</v>
      </c>
      <c r="L702">
        <v>18.045459043266668</v>
      </c>
      <c r="M702">
        <v>11.483872158128738</v>
      </c>
      <c r="N702">
        <v>0.34785892417778308</v>
      </c>
      <c r="O702">
        <v>0.13172780928528735</v>
      </c>
      <c r="P702">
        <v>18.036541108408194</v>
      </c>
      <c r="Q702">
        <v>11.449486173318084</v>
      </c>
      <c r="R702">
        <v>0.3754493830611163</v>
      </c>
      <c r="S702">
        <v>0.14224965569161629</v>
      </c>
      <c r="T702">
        <v>18.032814787929176</v>
      </c>
      <c r="U702">
        <v>1463.2435704259151</v>
      </c>
      <c r="V702">
        <v>9.0011612193603412</v>
      </c>
      <c r="W702">
        <v>1256.6482930297782</v>
      </c>
      <c r="X702">
        <v>6.8102590583436688</v>
      </c>
      <c r="Y702">
        <v>2849.4608773268396</v>
      </c>
      <c r="Z702">
        <v>9.0235128353607799</v>
      </c>
      <c r="AA702">
        <v>2712.7706465827109</v>
      </c>
      <c r="AB702">
        <v>6.8247703930290138</v>
      </c>
      <c r="AC702">
        <v>2160.6020564865053</v>
      </c>
      <c r="AD702">
        <v>9.0129348938083353</v>
      </c>
      <c r="AE702">
        <v>1994.3567828465907</v>
      </c>
      <c r="AF702">
        <v>6.8179103970270933</v>
      </c>
      <c r="AG702">
        <v>2053.7452247519436</v>
      </c>
      <c r="AH702">
        <v>9.0085245453216789</v>
      </c>
      <c r="AI702">
        <v>1874.6552566988632</v>
      </c>
      <c r="AJ702">
        <v>6.8150462252797421</v>
      </c>
    </row>
    <row r="703" spans="4:36" x14ac:dyDescent="0.55000000000000004">
      <c r="D703">
        <v>696</v>
      </c>
      <c r="E703">
        <v>12.238280687230914</v>
      </c>
      <c r="F703">
        <v>0.42596942270044053</v>
      </c>
      <c r="G703">
        <v>0.13954208267927903</v>
      </c>
      <c r="H703">
        <v>17.196207807389364</v>
      </c>
      <c r="I703">
        <v>12.478179427856649</v>
      </c>
      <c r="J703">
        <v>0.25946330156636671</v>
      </c>
      <c r="K703">
        <v>8.4683094812343485E-2</v>
      </c>
      <c r="L703">
        <v>17.177674175764647</v>
      </c>
      <c r="M703">
        <v>12.36244831649589</v>
      </c>
      <c r="N703">
        <v>0.33983504444039148</v>
      </c>
      <c r="O703">
        <v>0.11111188112944691</v>
      </c>
      <c r="P703">
        <v>17.186604757934269</v>
      </c>
      <c r="Q703">
        <v>12.329522858398894</v>
      </c>
      <c r="R703">
        <v>0.36268500868867076</v>
      </c>
      <c r="S703">
        <v>0.11864311399559477</v>
      </c>
      <c r="T703">
        <v>17.189149018916829</v>
      </c>
      <c r="U703">
        <v>1472.4276749968687</v>
      </c>
      <c r="V703">
        <v>9.6007452220300067</v>
      </c>
      <c r="W703">
        <v>1262.7892169818388</v>
      </c>
      <c r="X703">
        <v>7.1707288896234234</v>
      </c>
      <c r="Y703">
        <v>2848.4334042359774</v>
      </c>
      <c r="Z703">
        <v>9.6546859452805673</v>
      </c>
      <c r="AA703">
        <v>2713.1923950996038</v>
      </c>
      <c r="AB703">
        <v>7.2026297622105986</v>
      </c>
      <c r="AC703">
        <v>2178.6386482328567</v>
      </c>
      <c r="AD703">
        <v>9.6286699158635027</v>
      </c>
      <c r="AE703">
        <v>2008.1870018223965</v>
      </c>
      <c r="AF703">
        <v>7.1872582819985631</v>
      </c>
      <c r="AG703">
        <v>2061.8371731045204</v>
      </c>
      <c r="AH703">
        <v>9.6212663734050636</v>
      </c>
      <c r="AI703">
        <v>1881.3464647514559</v>
      </c>
      <c r="AJ703">
        <v>7.1828789874007581</v>
      </c>
    </row>
    <row r="704" spans="4:36" x14ac:dyDescent="0.55000000000000004">
      <c r="D704">
        <v>697</v>
      </c>
      <c r="E704">
        <v>12.907498276281862</v>
      </c>
      <c r="F704">
        <v>0.50245403160124613</v>
      </c>
      <c r="G704">
        <v>0.17551432592484692</v>
      </c>
      <c r="H704">
        <v>16.414533366192053</v>
      </c>
      <c r="I704">
        <v>13.127989623945961</v>
      </c>
      <c r="J704">
        <v>0.33537942661153036</v>
      </c>
      <c r="K704">
        <v>0.11677903323855959</v>
      </c>
      <c r="L704">
        <v>16.419851916203946</v>
      </c>
      <c r="M704">
        <v>13.055709790349631</v>
      </c>
      <c r="N704">
        <v>0.39017674673600755</v>
      </c>
      <c r="O704">
        <v>0.13600115196203091</v>
      </c>
      <c r="P704">
        <v>16.418112310952321</v>
      </c>
      <c r="Q704">
        <v>12.992842248894377</v>
      </c>
      <c r="R704">
        <v>0.4378160805799946</v>
      </c>
      <c r="S704">
        <v>0.15274550152944902</v>
      </c>
      <c r="T704">
        <v>16.416596168996186</v>
      </c>
      <c r="U704">
        <v>1598.4560644258722</v>
      </c>
      <c r="V704">
        <v>10.268243437671787</v>
      </c>
      <c r="W704">
        <v>1338.6443071930596</v>
      </c>
      <c r="X704">
        <v>7.5815805868963153</v>
      </c>
      <c r="Y704">
        <v>2935.5625986887317</v>
      </c>
      <c r="Z704">
        <v>10.308814450620114</v>
      </c>
      <c r="AA704">
        <v>2764.3743786373011</v>
      </c>
      <c r="AB704">
        <v>7.6060973926498985</v>
      </c>
      <c r="AC704">
        <v>2257.9551109581312</v>
      </c>
      <c r="AD704">
        <v>10.295512287677218</v>
      </c>
      <c r="AE704">
        <v>2053.6238311454517</v>
      </c>
      <c r="AF704">
        <v>7.5980686479452997</v>
      </c>
      <c r="AG704">
        <v>2157.5391931439203</v>
      </c>
      <c r="AH704">
        <v>10.283944291058175</v>
      </c>
      <c r="AI704">
        <v>1936.3997239511236</v>
      </c>
      <c r="AJ704">
        <v>7.5910789516124009</v>
      </c>
    </row>
    <row r="705" spans="4:36" x14ac:dyDescent="0.55000000000000004">
      <c r="D705">
        <v>698</v>
      </c>
      <c r="E705">
        <v>12.750257741153316</v>
      </c>
      <c r="F705">
        <v>0.46805728614172259</v>
      </c>
      <c r="G705">
        <v>0.18104856577232836</v>
      </c>
      <c r="H705">
        <v>16.600636406932619</v>
      </c>
      <c r="I705">
        <v>12.963221715122488</v>
      </c>
      <c r="J705">
        <v>0.3102850222079141</v>
      </c>
      <c r="K705">
        <v>0.11965628506215584</v>
      </c>
      <c r="L705">
        <v>16.60683697760744</v>
      </c>
      <c r="M705">
        <v>12.894149356575593</v>
      </c>
      <c r="N705">
        <v>0.36148434492276299</v>
      </c>
      <c r="O705">
        <v>0.13953744762706413</v>
      </c>
      <c r="P705">
        <v>16.604828850874586</v>
      </c>
      <c r="Q705">
        <v>12.846009143755115</v>
      </c>
      <c r="R705">
        <v>0.39715218744524383</v>
      </c>
      <c r="S705">
        <v>0.15341106083856265</v>
      </c>
      <c r="T705">
        <v>16.603427607961077</v>
      </c>
      <c r="U705">
        <v>1551.8788044324283</v>
      </c>
      <c r="V705">
        <v>10.089414721609371</v>
      </c>
      <c r="W705">
        <v>1307.5007849414112</v>
      </c>
      <c r="X705">
        <v>7.4687759734099144</v>
      </c>
      <c r="Y705">
        <v>2923.5964110365667</v>
      </c>
      <c r="Z705">
        <v>10.126677215934759</v>
      </c>
      <c r="AA705">
        <v>2758.0486289510204</v>
      </c>
      <c r="AB705">
        <v>7.491354435912096</v>
      </c>
      <c r="AC705">
        <v>2215.762604082428</v>
      </c>
      <c r="AD705">
        <v>10.114589485700572</v>
      </c>
      <c r="AE705">
        <v>2025.2046226189514</v>
      </c>
      <c r="AF705">
        <v>7.484038787870559</v>
      </c>
      <c r="AG705">
        <v>2110.2599216716894</v>
      </c>
      <c r="AH705">
        <v>10.10616607760573</v>
      </c>
      <c r="AI705">
        <v>1905.156416054524</v>
      </c>
      <c r="AJ705">
        <v>7.4789359340405905</v>
      </c>
    </row>
    <row r="706" spans="4:36" x14ac:dyDescent="0.55000000000000004">
      <c r="D706">
        <v>699</v>
      </c>
      <c r="E706">
        <v>13.427581961464048</v>
      </c>
      <c r="F706">
        <v>0.47149989955113059</v>
      </c>
      <c r="G706">
        <v>0.16773898382398331</v>
      </c>
      <c r="H706">
        <v>15.933179155160833</v>
      </c>
      <c r="I706">
        <v>13.704390251477436</v>
      </c>
      <c r="J706">
        <v>0.29013130060594006</v>
      </c>
      <c r="K706">
        <v>0.10281782499354657</v>
      </c>
      <c r="L706">
        <v>15.902660622923083</v>
      </c>
      <c r="M706">
        <v>13.58789362676931</v>
      </c>
      <c r="N706">
        <v>0.36652336596444829</v>
      </c>
      <c r="O706">
        <v>0.13010033248227429</v>
      </c>
      <c r="P706">
        <v>15.915482674783963</v>
      </c>
      <c r="Q706">
        <v>13.562019104841211</v>
      </c>
      <c r="R706">
        <v>0.38347830207177314</v>
      </c>
      <c r="S706">
        <v>0.13616777742256275</v>
      </c>
      <c r="T706">
        <v>15.918334815664458</v>
      </c>
      <c r="U706">
        <v>1556.0185549005651</v>
      </c>
      <c r="V706">
        <v>10.711869439002998</v>
      </c>
      <c r="W706">
        <v>1310.0602906374538</v>
      </c>
      <c r="X706">
        <v>7.8575702403771652</v>
      </c>
      <c r="Y706">
        <v>2906.6534683905079</v>
      </c>
      <c r="Z706">
        <v>10.785338347025407</v>
      </c>
      <c r="AA706">
        <v>2746.6449417786453</v>
      </c>
      <c r="AB706">
        <v>7.8999063090801016</v>
      </c>
      <c r="AC706">
        <v>2247.7063942219625</v>
      </c>
      <c r="AD706">
        <v>10.754430953417097</v>
      </c>
      <c r="AE706">
        <v>2048.0732904946758</v>
      </c>
      <c r="AF706">
        <v>7.8821139431289957</v>
      </c>
      <c r="AG706">
        <v>2151.7030085448328</v>
      </c>
      <c r="AH706">
        <v>10.747563804648784</v>
      </c>
      <c r="AI706">
        <v>1936.4339554480614</v>
      </c>
      <c r="AJ706">
        <v>7.8781572504242403</v>
      </c>
    </row>
    <row r="707" spans="4:36" x14ac:dyDescent="0.55000000000000004">
      <c r="D707">
        <v>700</v>
      </c>
      <c r="E707">
        <v>12.438244068616452</v>
      </c>
      <c r="F707">
        <v>0.42913887833104492</v>
      </c>
      <c r="G707">
        <v>0.15363681518123512</v>
      </c>
      <c r="H707">
        <v>16.978980237871262</v>
      </c>
      <c r="I707">
        <v>12.676905291865621</v>
      </c>
      <c r="J707">
        <v>0.26498831799683131</v>
      </c>
      <c r="K707">
        <v>9.4550507933300193E-2</v>
      </c>
      <c r="L707">
        <v>16.963555882204243</v>
      </c>
      <c r="M707">
        <v>12.578503218495779</v>
      </c>
      <c r="N707">
        <v>0.3327138062812387</v>
      </c>
      <c r="O707">
        <v>0.11887960055928463</v>
      </c>
      <c r="P707">
        <v>16.969903374663698</v>
      </c>
      <c r="Q707">
        <v>12.574270817402088</v>
      </c>
      <c r="R707">
        <v>0.33562536434636686</v>
      </c>
      <c r="S707">
        <v>0.11992705084788986</v>
      </c>
      <c r="T707">
        <v>16.970176767403657</v>
      </c>
      <c r="U707">
        <v>1543.0605179452753</v>
      </c>
      <c r="V707">
        <v>9.8579268061620304</v>
      </c>
      <c r="W707">
        <v>1309.1856979033021</v>
      </c>
      <c r="X707">
        <v>7.3397673381205166</v>
      </c>
      <c r="Y707">
        <v>2876.0738177939388</v>
      </c>
      <c r="Z707">
        <v>9.9130307215037483</v>
      </c>
      <c r="AA707">
        <v>2729.5449028197922</v>
      </c>
      <c r="AB707">
        <v>7.3722494695356779</v>
      </c>
      <c r="AC707">
        <v>2215.0227987351504</v>
      </c>
      <c r="AD707">
        <v>9.8903172224588829</v>
      </c>
      <c r="AE707">
        <v>2030.9265997780747</v>
      </c>
      <c r="AF707">
        <v>7.3588742690654954</v>
      </c>
      <c r="AG707">
        <v>2105.1236448190953</v>
      </c>
      <c r="AH707">
        <v>9.8893400875479553</v>
      </c>
      <c r="AI707">
        <v>1910.4415995139962</v>
      </c>
      <c r="AJ707">
        <v>7.3582984382061492</v>
      </c>
    </row>
    <row r="708" spans="4:36" x14ac:dyDescent="0.55000000000000004">
      <c r="D708">
        <v>701</v>
      </c>
      <c r="E708">
        <v>13.493600911222458</v>
      </c>
      <c r="F708">
        <v>0.49803530684906372</v>
      </c>
      <c r="G708">
        <v>0.19296031277809336</v>
      </c>
      <c r="H708">
        <v>15.815403469150388</v>
      </c>
      <c r="I708">
        <v>13.716898709889952</v>
      </c>
      <c r="J708">
        <v>0.33136738147443884</v>
      </c>
      <c r="K708">
        <v>0.12800627542988449</v>
      </c>
      <c r="L708">
        <v>15.823727633205731</v>
      </c>
      <c r="M708">
        <v>13.61301599045502</v>
      </c>
      <c r="N708">
        <v>0.40893756575052198</v>
      </c>
      <c r="O708">
        <v>0.15818843612775263</v>
      </c>
      <c r="P708">
        <v>15.819858007666696</v>
      </c>
      <c r="Q708">
        <v>13.538763902394924</v>
      </c>
      <c r="R708">
        <v>0.46434731988496086</v>
      </c>
      <c r="S708">
        <v>0.17979979422617309</v>
      </c>
      <c r="T708">
        <v>15.817088983493958</v>
      </c>
      <c r="U708">
        <v>1574.442849260091</v>
      </c>
      <c r="V708">
        <v>10.628143337015766</v>
      </c>
      <c r="W708">
        <v>1315.5882906993522</v>
      </c>
      <c r="X708">
        <v>7.7793778946739698</v>
      </c>
      <c r="Y708">
        <v>2941.053546907704</v>
      </c>
      <c r="Z708">
        <v>10.662938608831453</v>
      </c>
      <c r="AA708">
        <v>2765.0661138028768</v>
      </c>
      <c r="AB708">
        <v>7.8000955785738135</v>
      </c>
      <c r="AC708">
        <v>2295.8903475795605</v>
      </c>
      <c r="AD708">
        <v>10.646750233262644</v>
      </c>
      <c r="AE708">
        <v>2075.6118294902949</v>
      </c>
      <c r="AF708">
        <v>7.7904651081364831</v>
      </c>
      <c r="AG708">
        <v>2207.4361811814852</v>
      </c>
      <c r="AH708">
        <v>10.635180253329366</v>
      </c>
      <c r="AI708">
        <v>1966.2445350861515</v>
      </c>
      <c r="AJ708">
        <v>7.7835732293133075</v>
      </c>
    </row>
    <row r="709" spans="4:36" x14ac:dyDescent="0.55000000000000004">
      <c r="D709">
        <v>702</v>
      </c>
      <c r="E709">
        <v>12.76851144783215</v>
      </c>
      <c r="F709">
        <v>0.45498339584009251</v>
      </c>
      <c r="G709">
        <v>0.14025754755961028</v>
      </c>
      <c r="H709">
        <v>16.636247608768119</v>
      </c>
      <c r="I709">
        <v>12.990613872776127</v>
      </c>
      <c r="J709">
        <v>0.29607510452581104</v>
      </c>
      <c r="K709">
        <v>9.0998161307521461E-2</v>
      </c>
      <c r="L709">
        <v>16.622312861390526</v>
      </c>
      <c r="M709">
        <v>12.899349971905325</v>
      </c>
      <c r="N709">
        <v>0.36140770861395483</v>
      </c>
      <c r="O709">
        <v>0.1112141616867231</v>
      </c>
      <c r="P709">
        <v>16.628028157793988</v>
      </c>
      <c r="Q709">
        <v>12.861084471402588</v>
      </c>
      <c r="R709">
        <v>0.38878584050543441</v>
      </c>
      <c r="S709">
        <v>0.11970080647074591</v>
      </c>
      <c r="T709">
        <v>16.630428881621224</v>
      </c>
      <c r="U709">
        <v>1553.2688774755272</v>
      </c>
      <c r="V709">
        <v>10.084925092305721</v>
      </c>
      <c r="W709">
        <v>1313.2083349655247</v>
      </c>
      <c r="X709">
        <v>7.4706572896655441</v>
      </c>
      <c r="Y709">
        <v>2900.229423923477</v>
      </c>
      <c r="Z709">
        <v>10.135464112483822</v>
      </c>
      <c r="AA709">
        <v>2744.1490434871666</v>
      </c>
      <c r="AB709">
        <v>7.5001750168843442</v>
      </c>
      <c r="AC709">
        <v>2218.4876752850942</v>
      </c>
      <c r="AD709">
        <v>10.114703602984747</v>
      </c>
      <c r="AE709">
        <v>2030.0694849535882</v>
      </c>
      <c r="AF709">
        <v>7.4880605715290631</v>
      </c>
      <c r="AG709">
        <v>2128.5410798276625</v>
      </c>
      <c r="AH709">
        <v>10.105996391700128</v>
      </c>
      <c r="AI709">
        <v>1922.51016122087</v>
      </c>
      <c r="AJ709">
        <v>7.4829751192797049</v>
      </c>
    </row>
    <row r="710" spans="4:36" x14ac:dyDescent="0.55000000000000004">
      <c r="D710">
        <v>703</v>
      </c>
      <c r="E710">
        <v>13.929394483682982</v>
      </c>
      <c r="F710">
        <v>0.5111854384376906</v>
      </c>
      <c r="G710">
        <v>0.16879112583364847</v>
      </c>
      <c r="H710">
        <v>15.39062895204567</v>
      </c>
      <c r="I710">
        <v>14.166058730993205</v>
      </c>
      <c r="J710">
        <v>0.34250060116325687</v>
      </c>
      <c r="K710">
        <v>0.11274172725957229</v>
      </c>
      <c r="L710">
        <v>15.378698940583963</v>
      </c>
      <c r="M710">
        <v>14.089604734489507</v>
      </c>
      <c r="N710">
        <v>0.39702884320891446</v>
      </c>
      <c r="O710">
        <v>0.13082136776852485</v>
      </c>
      <c r="P710">
        <v>15.382545054533061</v>
      </c>
      <c r="Q710">
        <v>13.992597543986189</v>
      </c>
      <c r="R710">
        <v>0.46616814193922906</v>
      </c>
      <c r="S710">
        <v>0.15379842346280012</v>
      </c>
      <c r="T710">
        <v>15.387435890611769</v>
      </c>
      <c r="U710">
        <v>1652.2698485459086</v>
      </c>
      <c r="V710">
        <v>11.080588054256765</v>
      </c>
      <c r="W710">
        <v>1369.511639919145</v>
      </c>
      <c r="X710">
        <v>8.0660093696399766</v>
      </c>
      <c r="Y710">
        <v>2991.8486302054966</v>
      </c>
      <c r="Z710">
        <v>11.133109597427255</v>
      </c>
      <c r="AA710">
        <v>2799.8322784679849</v>
      </c>
      <c r="AB710">
        <v>8.0963943946824752</v>
      </c>
      <c r="AC710">
        <v>2294.8735116180596</v>
      </c>
      <c r="AD710">
        <v>11.116146885619981</v>
      </c>
      <c r="AE710">
        <v>2073.9011001069662</v>
      </c>
      <c r="AF710">
        <v>8.0865907570269933</v>
      </c>
      <c r="AG710">
        <v>2207.7551486414613</v>
      </c>
      <c r="AH710">
        <v>11.094618198552133</v>
      </c>
      <c r="AI710">
        <v>1964.3639273294468</v>
      </c>
      <c r="AJ710">
        <v>8.0741348904849435</v>
      </c>
    </row>
    <row r="711" spans="4:36" x14ac:dyDescent="0.55000000000000004">
      <c r="D711">
        <v>704</v>
      </c>
      <c r="E711">
        <v>11.708688847374667</v>
      </c>
      <c r="F711">
        <v>0.48810970233955897</v>
      </c>
      <c r="G711">
        <v>0.18187863201063192</v>
      </c>
      <c r="H711">
        <v>17.621322818275143</v>
      </c>
      <c r="I711">
        <v>11.934498409281902</v>
      </c>
      <c r="J711">
        <v>0.2985868074717779</v>
      </c>
      <c r="K711">
        <v>0.11087741307326487</v>
      </c>
      <c r="L711">
        <v>17.656037370173049</v>
      </c>
      <c r="M711">
        <v>11.867290906133587</v>
      </c>
      <c r="N711">
        <v>0.35501537882972084</v>
      </c>
      <c r="O711">
        <v>0.13196574522892879</v>
      </c>
      <c r="P711">
        <v>17.645727969807766</v>
      </c>
      <c r="Q711">
        <v>11.801452531796789</v>
      </c>
      <c r="R711">
        <v>0.41027718048982054</v>
      </c>
      <c r="S711">
        <v>0.152660250518422</v>
      </c>
      <c r="T711">
        <v>17.635610037194976</v>
      </c>
      <c r="U711">
        <v>1509.9606734446465</v>
      </c>
      <c r="V711">
        <v>9.3099966274190038</v>
      </c>
      <c r="W711">
        <v>1285.1402727892637</v>
      </c>
      <c r="X711">
        <v>6.9977662362073483</v>
      </c>
      <c r="Y711">
        <v>2873.4533470497618</v>
      </c>
      <c r="Z711">
        <v>9.3312720956260318</v>
      </c>
      <c r="AA711">
        <v>2728.5184781358812</v>
      </c>
      <c r="AB711">
        <v>7.0123376508226505</v>
      </c>
      <c r="AC711">
        <v>2170.6200341965223</v>
      </c>
      <c r="AD711">
        <v>9.3249269704351665</v>
      </c>
      <c r="AE711">
        <v>2000.1202658495492</v>
      </c>
      <c r="AF711">
        <v>7.0080021547793905</v>
      </c>
      <c r="AG711">
        <v>2109.8481262230862</v>
      </c>
      <c r="AH711">
        <v>9.3187216880289956</v>
      </c>
      <c r="AI711">
        <v>1913.0021096228538</v>
      </c>
      <c r="AJ711">
        <v>7.0037538522138245</v>
      </c>
    </row>
    <row r="712" spans="4:36" x14ac:dyDescent="0.55000000000000004">
      <c r="D712">
        <v>705</v>
      </c>
      <c r="E712">
        <v>12.029890348614469</v>
      </c>
      <c r="F712">
        <v>0.44304448556141895</v>
      </c>
      <c r="G712">
        <v>0.16483402698024519</v>
      </c>
      <c r="H712">
        <v>17.362231138843889</v>
      </c>
      <c r="I712">
        <v>12.204897706258475</v>
      </c>
      <c r="J712">
        <v>0.30673818043789791</v>
      </c>
      <c r="K712">
        <v>0.11381739407289676</v>
      </c>
      <c r="L712">
        <v>17.374546719230715</v>
      </c>
      <c r="M712">
        <v>12.151047395101696</v>
      </c>
      <c r="N712">
        <v>0.34869669972285283</v>
      </c>
      <c r="O712">
        <v>0.12949223411285227</v>
      </c>
      <c r="P712">
        <v>17.370763671062591</v>
      </c>
      <c r="Q712">
        <v>12.094835253426046</v>
      </c>
      <c r="R712">
        <v>0.39247974175316563</v>
      </c>
      <c r="S712">
        <v>0.14587644538599398</v>
      </c>
      <c r="T712">
        <v>17.366808559434794</v>
      </c>
      <c r="U712">
        <v>1489.4078284249376</v>
      </c>
      <c r="V712">
        <v>9.4486142911502906</v>
      </c>
      <c r="W712">
        <v>1271.511362926421</v>
      </c>
      <c r="X712">
        <v>7.0735082300731893</v>
      </c>
      <c r="Y712">
        <v>2894.0229545569146</v>
      </c>
      <c r="Z712">
        <v>9.4742474731186554</v>
      </c>
      <c r="AA712">
        <v>2742.2577604617732</v>
      </c>
      <c r="AB712">
        <v>7.0896997873185814</v>
      </c>
      <c r="AC712">
        <v>2183.4048023068985</v>
      </c>
      <c r="AD712">
        <v>9.4663558565443342</v>
      </c>
      <c r="AE712">
        <v>2008.9766683495141</v>
      </c>
      <c r="AF712">
        <v>7.0847212073115733</v>
      </c>
      <c r="AG712">
        <v>2092.7613359077245</v>
      </c>
      <c r="AH712">
        <v>9.4581220983334156</v>
      </c>
      <c r="AI712">
        <v>1900.0559814813143</v>
      </c>
      <c r="AJ712">
        <v>7.0795208563045255</v>
      </c>
    </row>
    <row r="713" spans="4:36" x14ac:dyDescent="0.55000000000000004">
      <c r="D713">
        <v>706</v>
      </c>
      <c r="E713">
        <v>13.590280924754962</v>
      </c>
      <c r="F713">
        <v>0.49291394855008791</v>
      </c>
      <c r="G713">
        <v>0.17148672095195297</v>
      </c>
      <c r="H713">
        <v>15.745318405742982</v>
      </c>
      <c r="I713">
        <v>13.826956613372003</v>
      </c>
      <c r="J713">
        <v>0.32514163363621268</v>
      </c>
      <c r="K713">
        <v>0.11276854953876067</v>
      </c>
      <c r="L713">
        <v>15.735133203453024</v>
      </c>
      <c r="M713">
        <v>13.72095295198727</v>
      </c>
      <c r="N713">
        <v>0.40032499959030354</v>
      </c>
      <c r="O713">
        <v>0.13903612521257597</v>
      </c>
      <c r="P713">
        <v>15.739685923209846</v>
      </c>
      <c r="Q713">
        <v>13.662462505749039</v>
      </c>
      <c r="R713">
        <v>0.44178140684118966</v>
      </c>
      <c r="S713">
        <v>0.15355178162902039</v>
      </c>
      <c r="T713">
        <v>15.742204305780744</v>
      </c>
      <c r="U713">
        <v>1620.8687796432766</v>
      </c>
      <c r="V713">
        <v>10.776600914889501</v>
      </c>
      <c r="W713">
        <v>1352.503718485385</v>
      </c>
      <c r="X713">
        <v>7.8829004698158727</v>
      </c>
      <c r="Y713">
        <v>2922.7755688126022</v>
      </c>
      <c r="Z713">
        <v>10.828341442323728</v>
      </c>
      <c r="AA713">
        <v>2753.6012613649505</v>
      </c>
      <c r="AB713">
        <v>7.912941282046015</v>
      </c>
      <c r="AC713">
        <v>2283.9426681930258</v>
      </c>
      <c r="AD713">
        <v>10.805172857940148</v>
      </c>
      <c r="AE713">
        <v>2069.3193414048733</v>
      </c>
      <c r="AF713">
        <v>7.8995007041984522</v>
      </c>
      <c r="AG713">
        <v>2172.9822068064864</v>
      </c>
      <c r="AH713">
        <v>10.792385309437712</v>
      </c>
      <c r="AI713">
        <v>1944.7164009808141</v>
      </c>
      <c r="AJ713">
        <v>7.8920746112614841</v>
      </c>
    </row>
    <row r="714" spans="4:36" x14ac:dyDescent="0.55000000000000004">
      <c r="D714">
        <v>707</v>
      </c>
      <c r="E714">
        <v>12.200812979704702</v>
      </c>
      <c r="F714">
        <v>0.47204832949724534</v>
      </c>
      <c r="G714">
        <v>0.17713821149157721</v>
      </c>
      <c r="H714">
        <v>17.150000479306463</v>
      </c>
      <c r="I714">
        <v>12.399152256085827</v>
      </c>
      <c r="J714">
        <v>0.31479499139968053</v>
      </c>
      <c r="K714">
        <v>0.11779354988803629</v>
      </c>
      <c r="L714">
        <v>17.168259202626441</v>
      </c>
      <c r="M714">
        <v>12.312631321293823</v>
      </c>
      <c r="N714">
        <v>0.38341633894514876</v>
      </c>
      <c r="O714">
        <v>0.14364807019246148</v>
      </c>
      <c r="P714">
        <v>17.16030426956857</v>
      </c>
      <c r="Q714">
        <v>12.286719390930941</v>
      </c>
      <c r="R714">
        <v>0.40396060286108432</v>
      </c>
      <c r="S714">
        <v>0.15140114483237896</v>
      </c>
      <c r="T714">
        <v>17.157918861375585</v>
      </c>
      <c r="U714">
        <v>1589.1026514139403</v>
      </c>
      <c r="V714">
        <v>9.695364475695774</v>
      </c>
      <c r="W714">
        <v>1337.1005412664515</v>
      </c>
      <c r="X714">
        <v>7.2345257564132517</v>
      </c>
      <c r="Y714">
        <v>2898.1090218920353</v>
      </c>
      <c r="Z714">
        <v>9.7201698844347639</v>
      </c>
      <c r="AA714">
        <v>2739.9143191827375</v>
      </c>
      <c r="AB714">
        <v>7.2502376988084531</v>
      </c>
      <c r="AC714">
        <v>2228.2262128667735</v>
      </c>
      <c r="AD714">
        <v>9.7093433112159513</v>
      </c>
      <c r="AE714">
        <v>2034.1630144188423</v>
      </c>
      <c r="AF714">
        <v>7.2433879731229887</v>
      </c>
      <c r="AG714">
        <v>2173.2884031393032</v>
      </c>
      <c r="AH714">
        <v>9.7061026256329512</v>
      </c>
      <c r="AI714">
        <v>1953.5002378635854</v>
      </c>
      <c r="AJ714">
        <v>7.2413352934252098</v>
      </c>
    </row>
    <row r="715" spans="4:36" x14ac:dyDescent="0.55000000000000004">
      <c r="D715">
        <v>708</v>
      </c>
      <c r="E715">
        <v>13.315098517042017</v>
      </c>
      <c r="F715">
        <v>0.4864165901558824</v>
      </c>
      <c r="G715">
        <v>0.16095149851614865</v>
      </c>
      <c r="H715">
        <v>16.037533394285937</v>
      </c>
      <c r="I715">
        <v>13.581165196152529</v>
      </c>
      <c r="J715">
        <v>0.29570022058049167</v>
      </c>
      <c r="K715">
        <v>9.7480397396130056E-2</v>
      </c>
      <c r="L715">
        <v>16.025654185870849</v>
      </c>
      <c r="M715">
        <v>13.447588867420926</v>
      </c>
      <c r="N715">
        <v>0.39149900817933553</v>
      </c>
      <c r="O715">
        <v>0.12930243778696524</v>
      </c>
      <c r="P715">
        <v>16.031609686612779</v>
      </c>
      <c r="Q715">
        <v>13.404103557022854</v>
      </c>
      <c r="R715">
        <v>0.42266368314755809</v>
      </c>
      <c r="S715">
        <v>0.13968066073639931</v>
      </c>
      <c r="T715">
        <v>16.033552099093185</v>
      </c>
      <c r="U715">
        <v>1548.4576577934624</v>
      </c>
      <c r="V715">
        <v>10.523429534880599</v>
      </c>
      <c r="W715">
        <v>1305.0053609153219</v>
      </c>
      <c r="X715">
        <v>7.728627154683207</v>
      </c>
      <c r="Y715">
        <v>2875.0817151103884</v>
      </c>
      <c r="Z715">
        <v>10.58167210379151</v>
      </c>
      <c r="AA715">
        <v>2724.0601237136307</v>
      </c>
      <c r="AB715">
        <v>7.7627142773089659</v>
      </c>
      <c r="AC715">
        <v>2242.8611565968313</v>
      </c>
      <c r="AD715">
        <v>10.552436775010266</v>
      </c>
      <c r="AE715">
        <v>2044.0852575345375</v>
      </c>
      <c r="AF715">
        <v>7.7456193817821468</v>
      </c>
      <c r="AG715">
        <v>2112.4724911384892</v>
      </c>
      <c r="AH715">
        <v>10.542917225960633</v>
      </c>
      <c r="AI715">
        <v>1906.1864698741026</v>
      </c>
      <c r="AJ715">
        <v>7.740046297001923</v>
      </c>
    </row>
    <row r="716" spans="4:36" x14ac:dyDescent="0.55000000000000004">
      <c r="D716">
        <v>709</v>
      </c>
      <c r="E716">
        <v>13.574383047432566</v>
      </c>
      <c r="F716">
        <v>0.48724364683452887</v>
      </c>
      <c r="G716">
        <v>0.16934153454661882</v>
      </c>
      <c r="H716">
        <v>15.769031771186294</v>
      </c>
      <c r="I716">
        <v>13.787515022351696</v>
      </c>
      <c r="J716">
        <v>0.33591052597962279</v>
      </c>
      <c r="K716">
        <v>0.11641135939645132</v>
      </c>
      <c r="L716">
        <v>15.760163092272228</v>
      </c>
      <c r="M716">
        <v>13.720136116097262</v>
      </c>
      <c r="N716">
        <v>0.383781201877126</v>
      </c>
      <c r="O716">
        <v>0.13312126547283804</v>
      </c>
      <c r="P716">
        <v>15.762961416552766</v>
      </c>
      <c r="Q716">
        <v>13.653013630148315</v>
      </c>
      <c r="R716">
        <v>0.43144340965774503</v>
      </c>
      <c r="S716">
        <v>0.14978892549462669</v>
      </c>
      <c r="T716">
        <v>15.765754034699317</v>
      </c>
      <c r="U716">
        <v>1612.8570687605857</v>
      </c>
      <c r="V716">
        <v>10.639300427641304</v>
      </c>
      <c r="W716">
        <v>1343.8151874150435</v>
      </c>
      <c r="X716">
        <v>7.7838532571645231</v>
      </c>
      <c r="Y716">
        <v>2954.5664531310003</v>
      </c>
      <c r="Z716">
        <v>10.683466392469597</v>
      </c>
      <c r="AA716">
        <v>2773.9457583633953</v>
      </c>
      <c r="AB716">
        <v>7.8095438397078762</v>
      </c>
      <c r="AC716">
        <v>2280.1690966439965</v>
      </c>
      <c r="AD716">
        <v>10.669507065092338</v>
      </c>
      <c r="AE716">
        <v>2065.2657663336381</v>
      </c>
      <c r="AF716">
        <v>7.8014315959772658</v>
      </c>
      <c r="AG716">
        <v>2213.5285646580505</v>
      </c>
      <c r="AH716">
        <v>10.655597957523188</v>
      </c>
      <c r="AI716">
        <v>1972.4849479618019</v>
      </c>
      <c r="AJ716">
        <v>7.7933415205182675</v>
      </c>
    </row>
    <row r="717" spans="4:36" x14ac:dyDescent="0.55000000000000004">
      <c r="D717">
        <v>710</v>
      </c>
      <c r="E717">
        <v>13.236318555155899</v>
      </c>
      <c r="F717">
        <v>0.48768524556083453</v>
      </c>
      <c r="G717">
        <v>0.21243444907636266</v>
      </c>
      <c r="H717">
        <v>16.063561750206883</v>
      </c>
      <c r="I717">
        <v>13.514760649740335</v>
      </c>
      <c r="J717">
        <v>0.29458442446607208</v>
      </c>
      <c r="K717">
        <v>0.12781949832940476</v>
      </c>
      <c r="L717">
        <v>16.062835427464169</v>
      </c>
      <c r="M717">
        <v>13.413867334857237</v>
      </c>
      <c r="N717">
        <v>0.36460963545592884</v>
      </c>
      <c r="O717">
        <v>0.15842630594051077</v>
      </c>
      <c r="P717">
        <v>16.063096723746327</v>
      </c>
      <c r="Q717">
        <v>13.3711795593787</v>
      </c>
      <c r="R717">
        <v>0.39421835671343297</v>
      </c>
      <c r="S717">
        <v>0.17139416482691142</v>
      </c>
      <c r="T717">
        <v>16.063207919080952</v>
      </c>
      <c r="U717">
        <v>1576.1744254061236</v>
      </c>
      <c r="V717">
        <v>10.559592462854841</v>
      </c>
      <c r="W717">
        <v>1319.2413830861353</v>
      </c>
      <c r="X717">
        <v>7.75862525861168</v>
      </c>
      <c r="Y717">
        <v>2925.939973506775</v>
      </c>
      <c r="Z717">
        <v>10.613459439474207</v>
      </c>
      <c r="AA717">
        <v>2757.9146637102399</v>
      </c>
      <c r="AB717">
        <v>7.7904030614862423</v>
      </c>
      <c r="AC717">
        <v>2252.5951232290163</v>
      </c>
      <c r="AD717">
        <v>10.593943008246054</v>
      </c>
      <c r="AE717">
        <v>2048.5130870240268</v>
      </c>
      <c r="AF717">
        <v>7.778904128050244</v>
      </c>
      <c r="AG717">
        <v>2163.5191554841376</v>
      </c>
      <c r="AH717">
        <v>10.585684882197366</v>
      </c>
      <c r="AI717">
        <v>1940.8498004565479</v>
      </c>
      <c r="AJ717">
        <v>7.7740335994765557</v>
      </c>
    </row>
    <row r="718" spans="4:36" x14ac:dyDescent="0.55000000000000004">
      <c r="D718">
        <v>711</v>
      </c>
      <c r="E718">
        <v>12.441236382099605</v>
      </c>
      <c r="F718">
        <v>0.47174035332804515</v>
      </c>
      <c r="G718">
        <v>0.17474325302159613</v>
      </c>
      <c r="H718">
        <v>16.912280011550749</v>
      </c>
      <c r="I718">
        <v>12.694082121361561</v>
      </c>
      <c r="J718">
        <v>0.27995607749045182</v>
      </c>
      <c r="K718">
        <v>0.10333076139289038</v>
      </c>
      <c r="L718">
        <v>16.922631039755107</v>
      </c>
      <c r="M718">
        <v>12.583435765931901</v>
      </c>
      <c r="N718">
        <v>0.36392384115556092</v>
      </c>
      <c r="O718">
        <v>0.13453296480279281</v>
      </c>
      <c r="P718">
        <v>16.918107428109749</v>
      </c>
      <c r="Q718">
        <v>12.542051173409526</v>
      </c>
      <c r="R718">
        <v>0.39531315476647316</v>
      </c>
      <c r="S718">
        <v>0.14622259902383061</v>
      </c>
      <c r="T718">
        <v>16.916413072800168</v>
      </c>
      <c r="U718">
        <v>1545.4423923083514</v>
      </c>
      <c r="V718">
        <v>9.7521492375588004</v>
      </c>
      <c r="W718">
        <v>1303.4733171595603</v>
      </c>
      <c r="X718">
        <v>7.2525240614600142</v>
      </c>
      <c r="Y718">
        <v>2893.9358700284147</v>
      </c>
      <c r="Z718">
        <v>9.7934059004272687</v>
      </c>
      <c r="AA718">
        <v>2739.2923330535373</v>
      </c>
      <c r="AB718">
        <v>7.2776877146813259</v>
      </c>
      <c r="AC718">
        <v>2229.9626865720911</v>
      </c>
      <c r="AD718">
        <v>9.7753483165035355</v>
      </c>
      <c r="AE718">
        <v>2036.4855607961222</v>
      </c>
      <c r="AF718">
        <v>7.2666873006114256</v>
      </c>
      <c r="AG718">
        <v>2117.988149509576</v>
      </c>
      <c r="AH718">
        <v>9.768595707065268</v>
      </c>
      <c r="AI718">
        <v>1911.9975928976787</v>
      </c>
      <c r="AJ718">
        <v>7.2625683627470634</v>
      </c>
    </row>
    <row r="719" spans="4:36" x14ac:dyDescent="0.55000000000000004">
      <c r="D719">
        <v>712</v>
      </c>
      <c r="E719">
        <v>11.274233785444533</v>
      </c>
      <c r="F719">
        <v>0.41804290179016418</v>
      </c>
      <c r="G719">
        <v>0.15473871705744552</v>
      </c>
      <c r="H719">
        <v>18.152984595707846</v>
      </c>
      <c r="I719">
        <v>11.447767452900314</v>
      </c>
      <c r="J719">
        <v>0.27810143109542701</v>
      </c>
      <c r="K719">
        <v>0.10266864192686653</v>
      </c>
      <c r="L719">
        <v>18.171462474077394</v>
      </c>
      <c r="M719">
        <v>11.374876952317505</v>
      </c>
      <c r="N719">
        <v>0.33689935315955799</v>
      </c>
      <c r="O719">
        <v>0.12451263924576295</v>
      </c>
      <c r="P719">
        <v>18.163711055277183</v>
      </c>
      <c r="Q719">
        <v>11.349517492409342</v>
      </c>
      <c r="R719">
        <v>0.35734995571143952</v>
      </c>
      <c r="S719">
        <v>0.13212168126671742</v>
      </c>
      <c r="T719">
        <v>18.161010870612497</v>
      </c>
      <c r="U719">
        <v>1480.5942558529273</v>
      </c>
      <c r="V719">
        <v>8.9476644421714671</v>
      </c>
      <c r="W719">
        <v>1265.258331641023</v>
      </c>
      <c r="X719">
        <v>6.7833239529909646</v>
      </c>
      <c r="Y719">
        <v>2881.0681901446906</v>
      </c>
      <c r="Z719">
        <v>8.9688553199341285</v>
      </c>
      <c r="AA719">
        <v>2733.8875564690043</v>
      </c>
      <c r="AB719">
        <v>6.7971156730665614</v>
      </c>
      <c r="AC719">
        <v>2189.3397603626645</v>
      </c>
      <c r="AD719">
        <v>8.9599488864269183</v>
      </c>
      <c r="AE719">
        <v>2013.2291553384755</v>
      </c>
      <c r="AF719">
        <v>6.7913261360031711</v>
      </c>
      <c r="AG719">
        <v>2081.6374206009259</v>
      </c>
      <c r="AH719">
        <v>8.956852092179604</v>
      </c>
      <c r="AI719">
        <v>1893.2543836704265</v>
      </c>
      <c r="AJ719">
        <v>6.7893107075993706</v>
      </c>
    </row>
    <row r="720" spans="4:36" x14ac:dyDescent="0.55000000000000004">
      <c r="D720">
        <v>713</v>
      </c>
      <c r="E720">
        <v>14.336543077029408</v>
      </c>
      <c r="F720">
        <v>0.4966666897397648</v>
      </c>
      <c r="G720">
        <v>0.17772362337748343</v>
      </c>
      <c r="H720">
        <v>14.989066609853351</v>
      </c>
      <c r="I720">
        <v>14.609864805497192</v>
      </c>
      <c r="J720">
        <v>0.31182715218528539</v>
      </c>
      <c r="K720">
        <v>0.11117558078835421</v>
      </c>
      <c r="L720">
        <v>14.967132461529152</v>
      </c>
      <c r="M720">
        <v>14.451777543779562</v>
      </c>
      <c r="N720">
        <v>0.41879241299171222</v>
      </c>
      <c r="O720">
        <v>0.14962620336440471</v>
      </c>
      <c r="P720">
        <v>14.979803839864303</v>
      </c>
      <c r="Q720">
        <v>14.402341484420031</v>
      </c>
      <c r="R720">
        <v>0.45221076465925314</v>
      </c>
      <c r="S720">
        <v>0.16167287273080821</v>
      </c>
      <c r="T720">
        <v>14.983774878189921</v>
      </c>
      <c r="U720">
        <v>1602.4776389658177</v>
      </c>
      <c r="V720">
        <v>11.335803748581014</v>
      </c>
      <c r="W720">
        <v>1334.4019234657076</v>
      </c>
      <c r="X720">
        <v>8.2079530613772889</v>
      </c>
      <c r="Y720">
        <v>2946.7949195526808</v>
      </c>
      <c r="Z720">
        <v>11.400670372180404</v>
      </c>
      <c r="AA720">
        <v>2769.3262148961053</v>
      </c>
      <c r="AB720">
        <v>8.2450705444268557</v>
      </c>
      <c r="AC720">
        <v>2296.2510021227959</v>
      </c>
      <c r="AD720">
        <v>11.363160601245218</v>
      </c>
      <c r="AE720">
        <v>2073.5163711641294</v>
      </c>
      <c r="AF720">
        <v>8.2236212525121033</v>
      </c>
      <c r="AG720">
        <v>2209.3470403892688</v>
      </c>
      <c r="AH720">
        <v>11.35142594623019</v>
      </c>
      <c r="AI720">
        <v>1966.8718658957364</v>
      </c>
      <c r="AJ720">
        <v>8.2169029885068738</v>
      </c>
    </row>
    <row r="721" spans="4:36" x14ac:dyDescent="0.55000000000000004">
      <c r="D721">
        <v>714</v>
      </c>
      <c r="E721">
        <v>11.845770922928176</v>
      </c>
      <c r="F721">
        <v>0.4383000627960697</v>
      </c>
      <c r="G721">
        <v>0.15102059221184683</v>
      </c>
      <c r="H721">
        <v>17.564908422063912</v>
      </c>
      <c r="I721">
        <v>12.030890650206405</v>
      </c>
      <c r="J721">
        <v>0.29092669501011703</v>
      </c>
      <c r="K721">
        <v>9.9959038262191657E-2</v>
      </c>
      <c r="L721">
        <v>17.578223616521282</v>
      </c>
      <c r="M721">
        <v>11.946618617916457</v>
      </c>
      <c r="N721">
        <v>0.35803591793231132</v>
      </c>
      <c r="O721">
        <v>0.12317465411010144</v>
      </c>
      <c r="P721">
        <v>17.572170810041126</v>
      </c>
      <c r="Q721">
        <v>11.932311889389554</v>
      </c>
      <c r="R721">
        <v>0.36942555929680876</v>
      </c>
      <c r="S721">
        <v>0.12712074988614286</v>
      </c>
      <c r="T721">
        <v>17.571141801427501</v>
      </c>
      <c r="U721">
        <v>1527.3325667179838</v>
      </c>
      <c r="V721">
        <v>9.4666663400114484</v>
      </c>
      <c r="W721">
        <v>1298.9227577623071</v>
      </c>
      <c r="X721">
        <v>7.1100702049481574</v>
      </c>
      <c r="Y721">
        <v>2877.8926363179849</v>
      </c>
      <c r="Z721">
        <v>9.4950369416093512</v>
      </c>
      <c r="AA721">
        <v>2730.3019880018651</v>
      </c>
      <c r="AB721">
        <v>7.127909609588337</v>
      </c>
      <c r="AC721">
        <v>2220.4841100107951</v>
      </c>
      <c r="AD721">
        <v>9.482117069344671</v>
      </c>
      <c r="AE721">
        <v>2034.8996677787607</v>
      </c>
      <c r="AF721">
        <v>7.1197940157609718</v>
      </c>
      <c r="AG721">
        <v>2115.9771018140873</v>
      </c>
      <c r="AH721">
        <v>9.4799244647926884</v>
      </c>
      <c r="AI721">
        <v>1918.0617338403042</v>
      </c>
      <c r="AJ721">
        <v>7.1184153461729389</v>
      </c>
    </row>
    <row r="722" spans="4:36" x14ac:dyDescent="0.55000000000000004">
      <c r="D722">
        <v>715</v>
      </c>
      <c r="E722">
        <v>13.225991585750215</v>
      </c>
      <c r="F722">
        <v>0.50753127221506189</v>
      </c>
      <c r="G722">
        <v>0.21308331703710268</v>
      </c>
      <c r="H722">
        <v>16.053393824997606</v>
      </c>
      <c r="I722">
        <v>13.524823165196736</v>
      </c>
      <c r="J722">
        <v>0.29462739105493357</v>
      </c>
      <c r="K722">
        <v>0.12317560038169996</v>
      </c>
      <c r="L722">
        <v>16.057373843366616</v>
      </c>
      <c r="M722">
        <v>13.389400615163378</v>
      </c>
      <c r="N722">
        <v>0.39117502104643503</v>
      </c>
      <c r="O722">
        <v>0.16385133453703454</v>
      </c>
      <c r="P722">
        <v>16.055573029253161</v>
      </c>
      <c r="Q722">
        <v>13.355279287020487</v>
      </c>
      <c r="R722">
        <v>0.41548437212365047</v>
      </c>
      <c r="S722">
        <v>0.17411778342879392</v>
      </c>
      <c r="T722">
        <v>16.055118557427065</v>
      </c>
      <c r="U722">
        <v>1593.1012887644292</v>
      </c>
      <c r="V722">
        <v>10.471100993132852</v>
      </c>
      <c r="W722">
        <v>1330.6539687605716</v>
      </c>
      <c r="X722">
        <v>7.6923963644631419</v>
      </c>
      <c r="Y722">
        <v>2912.7553689609827</v>
      </c>
      <c r="Z722">
        <v>10.526047800011618</v>
      </c>
      <c r="AA722">
        <v>2748.4877887271737</v>
      </c>
      <c r="AB722">
        <v>7.7251389781218958</v>
      </c>
      <c r="AC722">
        <v>2276.9857146188001</v>
      </c>
      <c r="AD722">
        <v>10.501145981554174</v>
      </c>
      <c r="AE722">
        <v>2064.7443245249324</v>
      </c>
      <c r="AF722">
        <v>7.7103180905828541</v>
      </c>
      <c r="AG722">
        <v>2179.2363739246116</v>
      </c>
      <c r="AH722">
        <v>10.494872030877525</v>
      </c>
      <c r="AI722">
        <v>1951.1422652033402</v>
      </c>
      <c r="AJ722">
        <v>7.7065793212926961</v>
      </c>
    </row>
    <row r="723" spans="4:36" x14ac:dyDescent="0.55000000000000004">
      <c r="D723">
        <v>716</v>
      </c>
      <c r="E723">
        <v>11.685769950328492</v>
      </c>
      <c r="F723">
        <v>0.45257846882814184</v>
      </c>
      <c r="G723">
        <v>0.1677639941366208</v>
      </c>
      <c r="H723">
        <v>17.693887586706747</v>
      </c>
      <c r="I723">
        <v>11.89146129735227</v>
      </c>
      <c r="J723">
        <v>0.28961738599892439</v>
      </c>
      <c r="K723">
        <v>0.10701431111302145</v>
      </c>
      <c r="L723">
        <v>17.711907005535782</v>
      </c>
      <c r="M723">
        <v>11.800588877404786</v>
      </c>
      <c r="N723">
        <v>0.36163770612684798</v>
      </c>
      <c r="O723">
        <v>0.13381400343829075</v>
      </c>
      <c r="P723">
        <v>17.703959413030073</v>
      </c>
      <c r="Q723">
        <v>11.779845368497686</v>
      </c>
      <c r="R723">
        <v>0.37807214840915088</v>
      </c>
      <c r="S723">
        <v>0.13994019223867715</v>
      </c>
      <c r="T723">
        <v>17.702142290854489</v>
      </c>
      <c r="U723">
        <v>1479.7525328525621</v>
      </c>
      <c r="V723">
        <v>9.2856730066404118</v>
      </c>
      <c r="W723">
        <v>1264.0513845420749</v>
      </c>
      <c r="X723">
        <v>6.9889813158225573</v>
      </c>
      <c r="Y723">
        <v>2872.5627920219076</v>
      </c>
      <c r="Z723">
        <v>9.3157824074490669</v>
      </c>
      <c r="AA723">
        <v>2727.9067935274707</v>
      </c>
      <c r="AB723">
        <v>7.0082323710395187</v>
      </c>
      <c r="AC723">
        <v>2187.2129236513988</v>
      </c>
      <c r="AD723">
        <v>9.302472486454235</v>
      </c>
      <c r="AE723">
        <v>2011.3293776165588</v>
      </c>
      <c r="AF723">
        <v>6.9997332778099182</v>
      </c>
      <c r="AG723">
        <v>2085.3048014536021</v>
      </c>
      <c r="AH723">
        <v>9.2994359641844664</v>
      </c>
      <c r="AI723">
        <v>1896.1509932668071</v>
      </c>
      <c r="AJ723">
        <v>6.9977918958290068</v>
      </c>
    </row>
    <row r="724" spans="4:36" x14ac:dyDescent="0.55000000000000004">
      <c r="D724">
        <v>717</v>
      </c>
      <c r="E724">
        <v>11.884628590656847</v>
      </c>
      <c r="F724">
        <v>0.41943947140496396</v>
      </c>
      <c r="G724">
        <v>0.16640978937493339</v>
      </c>
      <c r="H724">
        <v>17.529522148563245</v>
      </c>
      <c r="I724">
        <v>12.096643321698245</v>
      </c>
      <c r="J724">
        <v>0.26424986879340628</v>
      </c>
      <c r="K724">
        <v>0.10450011293755201</v>
      </c>
      <c r="L724">
        <v>17.534606696570794</v>
      </c>
      <c r="M724">
        <v>11.978353449557442</v>
      </c>
      <c r="N724">
        <v>0.35086828225898908</v>
      </c>
      <c r="O724">
        <v>0.13900452957313933</v>
      </c>
      <c r="P724">
        <v>17.531773738610436</v>
      </c>
      <c r="Q724">
        <v>11.977731110855332</v>
      </c>
      <c r="R724">
        <v>0.35132377292172279</v>
      </c>
      <c r="S724">
        <v>0.1391863079505434</v>
      </c>
      <c r="T724">
        <v>17.531758808272407</v>
      </c>
      <c r="U724">
        <v>1497.2356971342992</v>
      </c>
      <c r="V724">
        <v>9.4406281995256851</v>
      </c>
      <c r="W724">
        <v>1278.4131803895821</v>
      </c>
      <c r="X724">
        <v>7.0879242649833234</v>
      </c>
      <c r="Y724">
        <v>2858.5776254281818</v>
      </c>
      <c r="Z724">
        <v>9.4794880371780543</v>
      </c>
      <c r="AA724">
        <v>2718.3862402706586</v>
      </c>
      <c r="AB724">
        <v>7.1116962420696419</v>
      </c>
      <c r="AC724">
        <v>2190.4510053188556</v>
      </c>
      <c r="AD724">
        <v>9.4578051850355163</v>
      </c>
      <c r="AE724">
        <v>2013.3575314595882</v>
      </c>
      <c r="AF724">
        <v>7.098443273932852</v>
      </c>
      <c r="AG724">
        <v>2101.9612506471367</v>
      </c>
      <c r="AH724">
        <v>9.4576911199278868</v>
      </c>
      <c r="AI724">
        <v>1909.5166677341836</v>
      </c>
      <c r="AJ724">
        <v>7.0983734806292</v>
      </c>
    </row>
    <row r="725" spans="4:36" x14ac:dyDescent="0.55000000000000004">
      <c r="D725">
        <v>718</v>
      </c>
      <c r="E725">
        <v>11.991314518168391</v>
      </c>
      <c r="F725">
        <v>0.37920751308129508</v>
      </c>
      <c r="G725">
        <v>0.13021740638717391</v>
      </c>
      <c r="H725">
        <v>17.499260562363151</v>
      </c>
      <c r="I725">
        <v>12.166423176381132</v>
      </c>
      <c r="J725">
        <v>0.25672463851973842</v>
      </c>
      <c r="K725">
        <v>8.7925573254830094E-2</v>
      </c>
      <c r="L725">
        <v>17.488926611844303</v>
      </c>
      <c r="M725">
        <v>12.084857462485447</v>
      </c>
      <c r="N725">
        <v>0.31380186347356726</v>
      </c>
      <c r="O725">
        <v>0.10760553336121433</v>
      </c>
      <c r="P725">
        <v>17.493735140679785</v>
      </c>
      <c r="Q725">
        <v>12.039228501315351</v>
      </c>
      <c r="R725">
        <v>0.34571293003714754</v>
      </c>
      <c r="S725">
        <v>0.11862965177230618</v>
      </c>
      <c r="T725">
        <v>17.496428916875193</v>
      </c>
      <c r="U725">
        <v>1489.0537025140325</v>
      </c>
      <c r="V725">
        <v>9.3824844409165298</v>
      </c>
      <c r="W725">
        <v>1276.5931917456167</v>
      </c>
      <c r="X725">
        <v>7.0398058810086823</v>
      </c>
      <c r="Y725">
        <v>2856.5206340591535</v>
      </c>
      <c r="Z725">
        <v>9.4208523264536304</v>
      </c>
      <c r="AA725">
        <v>2718.1934245331408</v>
      </c>
      <c r="AB725">
        <v>7.0626156571367851</v>
      </c>
      <c r="AC725">
        <v>2190.8147215773788</v>
      </c>
      <c r="AD725">
        <v>9.4029836484262628</v>
      </c>
      <c r="AE725">
        <v>2017.5882994297222</v>
      </c>
      <c r="AF725">
        <v>7.0520005277258786</v>
      </c>
      <c r="AG725">
        <v>2075.7409249242946</v>
      </c>
      <c r="AH725">
        <v>9.3929853110076262</v>
      </c>
      <c r="AI725">
        <v>1891.2039561461997</v>
      </c>
      <c r="AJ725">
        <v>7.0460549366976881</v>
      </c>
    </row>
    <row r="726" spans="4:36" x14ac:dyDescent="0.55000000000000004">
      <c r="D726">
        <v>719</v>
      </c>
      <c r="E726">
        <v>12.769976784841747</v>
      </c>
      <c r="F726">
        <v>0.49894165543530949</v>
      </c>
      <c r="G726">
        <v>0.16416286707031882</v>
      </c>
      <c r="H726">
        <v>16.566918692652607</v>
      </c>
      <c r="I726">
        <v>13.005735188179726</v>
      </c>
      <c r="J726">
        <v>0.31422330792424058</v>
      </c>
      <c r="K726">
        <v>0.10305229663381696</v>
      </c>
      <c r="L726">
        <v>16.576989207262223</v>
      </c>
      <c r="M726">
        <v>12.887288501729422</v>
      </c>
      <c r="N726">
        <v>0.40706069047628718</v>
      </c>
      <c r="O726">
        <v>0.13371560820656966</v>
      </c>
      <c r="P726">
        <v>16.571935199587724</v>
      </c>
      <c r="Q726">
        <v>12.856506381295778</v>
      </c>
      <c r="R726">
        <v>0.43117635651532277</v>
      </c>
      <c r="S726">
        <v>0.14169731616601655</v>
      </c>
      <c r="T726">
        <v>16.570619946022894</v>
      </c>
      <c r="U726">
        <v>1558.2822598022792</v>
      </c>
      <c r="V726">
        <v>10.128169661639715</v>
      </c>
      <c r="W726">
        <v>1313.2369939879077</v>
      </c>
      <c r="X726">
        <v>7.4937167466982864</v>
      </c>
      <c r="Y726">
        <v>2899.7991959968199</v>
      </c>
      <c r="Z726">
        <v>10.166492428955573</v>
      </c>
      <c r="AA726">
        <v>2742.2322584650669</v>
      </c>
      <c r="AB726">
        <v>7.5169276406370464</v>
      </c>
      <c r="AC726">
        <v>2230.7744153060357</v>
      </c>
      <c r="AD726">
        <v>10.147236182477375</v>
      </c>
      <c r="AE726">
        <v>2035.4866497919461</v>
      </c>
      <c r="AF726">
        <v>7.5052759403679739</v>
      </c>
      <c r="AG726">
        <v>2150.6991340197092</v>
      </c>
      <c r="AH726">
        <v>10.142232700256647</v>
      </c>
      <c r="AI726">
        <v>1935.4976988064454</v>
      </c>
      <c r="AJ726">
        <v>7.5022447110470827</v>
      </c>
    </row>
    <row r="727" spans="4:36" x14ac:dyDescent="0.55000000000000004">
      <c r="D727">
        <v>720</v>
      </c>
      <c r="E727">
        <v>12.893425890933427</v>
      </c>
      <c r="F727">
        <v>0.45278667768604308</v>
      </c>
      <c r="G727">
        <v>0.17805071682843465</v>
      </c>
      <c r="H727">
        <v>16.475736714552102</v>
      </c>
      <c r="I727">
        <v>13.131773107535146</v>
      </c>
      <c r="J727">
        <v>0.28390579976030422</v>
      </c>
      <c r="K727">
        <v>0.11125598749066125</v>
      </c>
      <c r="L727">
        <v>16.47306510521388</v>
      </c>
      <c r="M727">
        <v>13.025828907325026</v>
      </c>
      <c r="N727">
        <v>0.35901499931740538</v>
      </c>
      <c r="O727">
        <v>0.14090488313363347</v>
      </c>
      <c r="P727">
        <v>16.474251210223954</v>
      </c>
      <c r="Q727">
        <v>12.955515798210193</v>
      </c>
      <c r="R727">
        <v>0.40882609008203202</v>
      </c>
      <c r="S727">
        <v>0.16061846112755646</v>
      </c>
      <c r="T727">
        <v>16.475039650580225</v>
      </c>
      <c r="U727">
        <v>1563.5903436203591</v>
      </c>
      <c r="V727">
        <v>10.111190900595515</v>
      </c>
      <c r="W727">
        <v>1318.0429576981628</v>
      </c>
      <c r="X727">
        <v>7.4712970184807643</v>
      </c>
      <c r="Y727">
        <v>2888.2636605756848</v>
      </c>
      <c r="Z727">
        <v>10.15692097741104</v>
      </c>
      <c r="AA727">
        <v>2734.3004843999665</v>
      </c>
      <c r="AB727">
        <v>7.4984720758527965</v>
      </c>
      <c r="AC727">
        <v>2233.8928601324319</v>
      </c>
      <c r="AD727">
        <v>10.136595294447982</v>
      </c>
      <c r="AE727">
        <v>2039.3346791751087</v>
      </c>
      <c r="AF727">
        <v>7.4864055178367659</v>
      </c>
      <c r="AG727">
        <v>2160.4203353192265</v>
      </c>
      <c r="AH727">
        <v>10.123104547591135</v>
      </c>
      <c r="AI727">
        <v>1942.0976489594989</v>
      </c>
      <c r="AJ727">
        <v>7.4783860544120477</v>
      </c>
    </row>
    <row r="728" spans="4:36" x14ac:dyDescent="0.55000000000000004">
      <c r="D728">
        <v>721</v>
      </c>
      <c r="E728">
        <v>12.765107957682323</v>
      </c>
      <c r="F728">
        <v>0.50305967588859202</v>
      </c>
      <c r="G728">
        <v>0.16504508750009433</v>
      </c>
      <c r="H728">
        <v>16.566787278928992</v>
      </c>
      <c r="I728">
        <v>12.961712574328494</v>
      </c>
      <c r="J728">
        <v>0.34191135772152903</v>
      </c>
      <c r="K728">
        <v>0.11188957764072226</v>
      </c>
      <c r="L728">
        <v>16.584486490309239</v>
      </c>
      <c r="M728">
        <v>12.887500646353734</v>
      </c>
      <c r="N728">
        <v>0.40275848834325406</v>
      </c>
      <c r="O728">
        <v>0.13192801751064737</v>
      </c>
      <c r="P728">
        <v>16.577812847792369</v>
      </c>
      <c r="Q728">
        <v>12.845271127405429</v>
      </c>
      <c r="R728">
        <v>0.43737275309289703</v>
      </c>
      <c r="S728">
        <v>0.14334474802428193</v>
      </c>
      <c r="T728">
        <v>16.574011371477383</v>
      </c>
      <c r="U728">
        <v>1583.8880602891995</v>
      </c>
      <c r="V728">
        <v>10.12692305411036</v>
      </c>
      <c r="W728">
        <v>1329.1464176578429</v>
      </c>
      <c r="X728">
        <v>7.4916986036635009</v>
      </c>
      <c r="Y728">
        <v>2909.7727532407421</v>
      </c>
      <c r="Z728">
        <v>10.152989794796435</v>
      </c>
      <c r="AA728">
        <v>2745.6502976148931</v>
      </c>
      <c r="AB728">
        <v>7.5078807812094777</v>
      </c>
      <c r="AC728">
        <v>2247.3364820350803</v>
      </c>
      <c r="AD728">
        <v>10.143146319441643</v>
      </c>
      <c r="AE728">
        <v>2045.8665450835526</v>
      </c>
      <c r="AF728">
        <v>7.5017767776058406</v>
      </c>
      <c r="AG728">
        <v>2138.2279053050406</v>
      </c>
      <c r="AH728">
        <v>10.137547216666883</v>
      </c>
      <c r="AI728">
        <v>1923.276264189612</v>
      </c>
      <c r="AJ728">
        <v>7.4983010675375397</v>
      </c>
    </row>
    <row r="729" spans="4:36" x14ac:dyDescent="0.55000000000000004">
      <c r="D729">
        <v>722</v>
      </c>
      <c r="E729">
        <v>12.95668996066108</v>
      </c>
      <c r="F729">
        <v>0.45150117946666646</v>
      </c>
      <c r="G729">
        <v>0.18103116889956553</v>
      </c>
      <c r="H729">
        <v>16.410777690972697</v>
      </c>
      <c r="I729">
        <v>13.205781052070682</v>
      </c>
      <c r="J729">
        <v>0.28328798356801482</v>
      </c>
      <c r="K729">
        <v>0.11318796037769933</v>
      </c>
      <c r="L729">
        <v>16.39774300398361</v>
      </c>
      <c r="M729">
        <v>13.104240322473631</v>
      </c>
      <c r="N729">
        <v>0.35190802457300069</v>
      </c>
      <c r="O729">
        <v>0.14080527984894142</v>
      </c>
      <c r="P729">
        <v>16.403046373104434</v>
      </c>
      <c r="Q729">
        <v>13.076302116826344</v>
      </c>
      <c r="R729">
        <v>0.37077660989544148</v>
      </c>
      <c r="S729">
        <v>0.14841327539254423</v>
      </c>
      <c r="T729">
        <v>16.404507997885663</v>
      </c>
      <c r="U729">
        <v>1555.474649556651</v>
      </c>
      <c r="V729">
        <v>10.291164550746345</v>
      </c>
      <c r="W729">
        <v>1309.8537908236033</v>
      </c>
      <c r="X729">
        <v>7.5990441327114331</v>
      </c>
      <c r="Y729">
        <v>2924.6050243216655</v>
      </c>
      <c r="Z729">
        <v>10.348335714032</v>
      </c>
      <c r="AA729">
        <v>2759.828287431123</v>
      </c>
      <c r="AB729">
        <v>7.6326636127867138</v>
      </c>
      <c r="AC729">
        <v>2248.0035692746319</v>
      </c>
      <c r="AD729">
        <v>10.325034948952814</v>
      </c>
      <c r="AE729">
        <v>2048.5701259860812</v>
      </c>
      <c r="AF729">
        <v>7.6189758426368677</v>
      </c>
      <c r="AG729">
        <v>2132.6519300675104</v>
      </c>
      <c r="AH729">
        <v>10.318622763344164</v>
      </c>
      <c r="AI729">
        <v>1922.500509251634</v>
      </c>
      <c r="AJ729">
        <v>7.6152056580478558</v>
      </c>
    </row>
    <row r="730" spans="4:36" x14ac:dyDescent="0.55000000000000004">
      <c r="D730">
        <v>723</v>
      </c>
      <c r="E730">
        <v>12.018536225769422</v>
      </c>
      <c r="F730">
        <v>0.43323609160395704</v>
      </c>
      <c r="G730">
        <v>0.14935166736716332</v>
      </c>
      <c r="H730">
        <v>17.398876015259447</v>
      </c>
      <c r="I730">
        <v>12.199448054783387</v>
      </c>
      <c r="J730">
        <v>0.29432281000621091</v>
      </c>
      <c r="K730">
        <v>0.10119918095926264</v>
      </c>
      <c r="L730">
        <v>17.405029954251148</v>
      </c>
      <c r="M730">
        <v>12.140909548420156</v>
      </c>
      <c r="N730">
        <v>0.33929065173351936</v>
      </c>
      <c r="O730">
        <v>0.11675887196938155</v>
      </c>
      <c r="P730">
        <v>17.403040927876955</v>
      </c>
      <c r="Q730">
        <v>12.088807240987483</v>
      </c>
      <c r="R730">
        <v>0.37929910913076453</v>
      </c>
      <c r="S730">
        <v>0.13062485152332284</v>
      </c>
      <c r="T730">
        <v>17.401268798358426</v>
      </c>
      <c r="U730">
        <v>1492.5431075894139</v>
      </c>
      <c r="V730">
        <v>9.5192048699386334</v>
      </c>
      <c r="W730">
        <v>1276.9028516251824</v>
      </c>
      <c r="X730">
        <v>7.130897139613662</v>
      </c>
      <c r="Y730">
        <v>2853.0703356088261</v>
      </c>
      <c r="Z730">
        <v>9.5487497796780207</v>
      </c>
      <c r="AA730">
        <v>2713.9415747070457</v>
      </c>
      <c r="AB730">
        <v>7.1489691828620678</v>
      </c>
      <c r="AC730">
        <v>2172.9137815777399</v>
      </c>
      <c r="AD730">
        <v>9.5391887365283683</v>
      </c>
      <c r="AE730">
        <v>2003.5706846262694</v>
      </c>
      <c r="AF730">
        <v>7.1431272346389454</v>
      </c>
      <c r="AG730">
        <v>2066.9947308294722</v>
      </c>
      <c r="AH730">
        <v>9.5306797594390211</v>
      </c>
      <c r="AI730">
        <v>1883.6331213596695</v>
      </c>
      <c r="AJ730">
        <v>7.1379230193261112</v>
      </c>
    </row>
    <row r="731" spans="4:36" x14ac:dyDescent="0.55000000000000004">
      <c r="D731">
        <v>724</v>
      </c>
      <c r="E731">
        <v>11.660096836854203</v>
      </c>
      <c r="F731">
        <v>0.38447073011472854</v>
      </c>
      <c r="G731">
        <v>0.15139749313939568</v>
      </c>
      <c r="H731">
        <v>17.804034939891658</v>
      </c>
      <c r="I731">
        <v>11.834204940117807</v>
      </c>
      <c r="J731">
        <v>0.25456516870849605</v>
      </c>
      <c r="K731">
        <v>9.9978819605335806E-2</v>
      </c>
      <c r="L731">
        <v>17.811251071568375</v>
      </c>
      <c r="M731">
        <v>11.733483925008116</v>
      </c>
      <c r="N731">
        <v>0.32973654626686305</v>
      </c>
      <c r="O731">
        <v>0.12969930200510252</v>
      </c>
      <c r="P731">
        <v>17.807080226719908</v>
      </c>
      <c r="Q731">
        <v>11.724702243279797</v>
      </c>
      <c r="R731">
        <v>0.33628782434624571</v>
      </c>
      <c r="S731">
        <v>0.13229382971616602</v>
      </c>
      <c r="T731">
        <v>17.806716102657788</v>
      </c>
      <c r="U731">
        <v>1452.9170691818476</v>
      </c>
      <c r="V731">
        <v>9.180113079496266</v>
      </c>
      <c r="W731">
        <v>1248.7952983965672</v>
      </c>
      <c r="X731">
        <v>6.9197890497843373</v>
      </c>
      <c r="Y731">
        <v>2854.9419332455545</v>
      </c>
      <c r="Z731">
        <v>9.2075441236766515</v>
      </c>
      <c r="AA731">
        <v>2717.1736029851654</v>
      </c>
      <c r="AB731">
        <v>6.9368714605479971</v>
      </c>
      <c r="AC731">
        <v>2170.2606407984445</v>
      </c>
      <c r="AD731">
        <v>9.1916728375917867</v>
      </c>
      <c r="AE731">
        <v>2000.6769069095139</v>
      </c>
      <c r="AF731">
        <v>6.9269949176269563</v>
      </c>
      <c r="AG731">
        <v>2068.5352983079715</v>
      </c>
      <c r="AH731">
        <v>9.190289374734796</v>
      </c>
      <c r="AI731">
        <v>1886.4712651625048</v>
      </c>
      <c r="AJ731">
        <v>6.9261330762831337</v>
      </c>
    </row>
    <row r="732" spans="4:36" x14ac:dyDescent="0.55000000000000004">
      <c r="D732">
        <v>725</v>
      </c>
      <c r="E732">
        <v>14.096487790858898</v>
      </c>
      <c r="F732">
        <v>0.47452116361078339</v>
      </c>
      <c r="G732">
        <v>0.18309990838161033</v>
      </c>
      <c r="H732">
        <v>15.245891137148712</v>
      </c>
      <c r="I732">
        <v>14.353394272645694</v>
      </c>
      <c r="J732">
        <v>0.30700017820620878</v>
      </c>
      <c r="K732">
        <v>0.11805856152583959</v>
      </c>
      <c r="L732">
        <v>15.221546987622249</v>
      </c>
      <c r="M732">
        <v>14.245183174579996</v>
      </c>
      <c r="N732">
        <v>0.37761333525878615</v>
      </c>
      <c r="O732">
        <v>0.14541999708554132</v>
      </c>
      <c r="P732">
        <v>15.231783493075682</v>
      </c>
      <c r="Q732">
        <v>14.18699721621082</v>
      </c>
      <c r="R732">
        <v>0.4155514148456097</v>
      </c>
      <c r="S732">
        <v>0.16015316127967733</v>
      </c>
      <c r="T732">
        <v>15.237298207663908</v>
      </c>
      <c r="U732">
        <v>1586.334623119059</v>
      </c>
      <c r="V732">
        <v>11.106691638774521</v>
      </c>
      <c r="W732">
        <v>1325.2036475129521</v>
      </c>
      <c r="X732">
        <v>8.0692737316892629</v>
      </c>
      <c r="Y732">
        <v>2958.9589917432445</v>
      </c>
      <c r="Z732">
        <v>11.168134191719931</v>
      </c>
      <c r="AA732">
        <v>2779.2217688004962</v>
      </c>
      <c r="AB732">
        <v>8.1043071417954025</v>
      </c>
      <c r="AC732">
        <v>2307.3613119331699</v>
      </c>
      <c r="AD732">
        <v>11.142264308252422</v>
      </c>
      <c r="AE732">
        <v>2085.374678682047</v>
      </c>
      <c r="AF732">
        <v>8.089569112424476</v>
      </c>
      <c r="AG732">
        <v>2215.0407775436756</v>
      </c>
      <c r="AH732">
        <v>11.128347739157563</v>
      </c>
      <c r="AI732">
        <v>1974.5401454916719</v>
      </c>
      <c r="AJ732">
        <v>8.0816333708312822</v>
      </c>
    </row>
    <row r="733" spans="4:36" x14ac:dyDescent="0.55000000000000004">
      <c r="D733">
        <v>726</v>
      </c>
      <c r="E733">
        <v>12.868828279817524</v>
      </c>
      <c r="F733">
        <v>0.49440725912381944</v>
      </c>
      <c r="G733">
        <v>0.15154902777263202</v>
      </c>
      <c r="H733">
        <v>16.485215433286012</v>
      </c>
      <c r="I733">
        <v>13.123039098371709</v>
      </c>
      <c r="J733">
        <v>0.30501065807722655</v>
      </c>
      <c r="K733">
        <v>9.316004229380731E-2</v>
      </c>
      <c r="L733">
        <v>16.478790201257265</v>
      </c>
      <c r="M733">
        <v>13.003796729405094</v>
      </c>
      <c r="N733">
        <v>0.39389481610531957</v>
      </c>
      <c r="O733">
        <v>0.12050929241908863</v>
      </c>
      <c r="P733">
        <v>16.481799162070502</v>
      </c>
      <c r="Q733">
        <v>12.951853695995007</v>
      </c>
      <c r="R733">
        <v>0.43258924133920851</v>
      </c>
      <c r="S733">
        <v>0.132444463442939</v>
      </c>
      <c r="T733">
        <v>16.48311259922286</v>
      </c>
      <c r="U733">
        <v>1574.6512763871849</v>
      </c>
      <c r="V733">
        <v>10.140941511983948</v>
      </c>
      <c r="W733">
        <v>1326.3071591993184</v>
      </c>
      <c r="X733">
        <v>7.4951455053182254</v>
      </c>
      <c r="Y733">
        <v>2923.0549209155847</v>
      </c>
      <c r="Z733">
        <v>10.191740157004096</v>
      </c>
      <c r="AA733">
        <v>2760.4338611037851</v>
      </c>
      <c r="AB733">
        <v>7.5251462600660055</v>
      </c>
      <c r="AC733">
        <v>2246.7059313785744</v>
      </c>
      <c r="AD733">
        <v>10.167915507294255</v>
      </c>
      <c r="AE733">
        <v>2048.709795164857</v>
      </c>
      <c r="AF733">
        <v>7.511089628445613</v>
      </c>
      <c r="AG733">
        <v>2157.0633817370835</v>
      </c>
      <c r="AH733">
        <v>10.157535399967189</v>
      </c>
      <c r="AI733">
        <v>1940.5791945682465</v>
      </c>
      <c r="AJ733">
        <v>7.5049577454636562</v>
      </c>
    </row>
    <row r="734" spans="4:36" x14ac:dyDescent="0.55000000000000004">
      <c r="D734">
        <v>727</v>
      </c>
      <c r="E734">
        <v>12.823116709396864</v>
      </c>
      <c r="F734">
        <v>0.45048072506149217</v>
      </c>
      <c r="G734">
        <v>0.15691199233169417</v>
      </c>
      <c r="H734">
        <v>16.569490573209951</v>
      </c>
      <c r="I734">
        <v>13.048652052358094</v>
      </c>
      <c r="J734">
        <v>0.29496967584129435</v>
      </c>
      <c r="K734">
        <v>0.10242094477939333</v>
      </c>
      <c r="L734">
        <v>16.55395732702123</v>
      </c>
      <c r="M734">
        <v>12.968189940282748</v>
      </c>
      <c r="N734">
        <v>0.35048698474390017</v>
      </c>
      <c r="O734">
        <v>0.12183421818463244</v>
      </c>
      <c r="P734">
        <v>16.559488856788715</v>
      </c>
      <c r="Q734">
        <v>12.891371711984052</v>
      </c>
      <c r="R734">
        <v>0.4034517739527233</v>
      </c>
      <c r="S734">
        <v>0.14039618673514637</v>
      </c>
      <c r="T734">
        <v>16.564780327328073</v>
      </c>
      <c r="U734">
        <v>1547.7965085758944</v>
      </c>
      <c r="V734">
        <v>10.110351853137685</v>
      </c>
      <c r="W734">
        <v>1308.9553851818951</v>
      </c>
      <c r="X734">
        <v>7.4817470811589288</v>
      </c>
      <c r="Y734">
        <v>2890.3960427758029</v>
      </c>
      <c r="Z734">
        <v>10.160638655928443</v>
      </c>
      <c r="AA734">
        <v>2736.5777863693502</v>
      </c>
      <c r="AB734">
        <v>7.5110799915612212</v>
      </c>
      <c r="AC734">
        <v>2201.0581289822594</v>
      </c>
      <c r="AD734">
        <v>10.142704444070111</v>
      </c>
      <c r="AE734">
        <v>2017.5028348478797</v>
      </c>
      <c r="AF734">
        <v>7.5006291084485728</v>
      </c>
      <c r="AG734">
        <v>2119.7890772522269</v>
      </c>
      <c r="AH734">
        <v>10.125576084143034</v>
      </c>
      <c r="AI734">
        <v>1914.4857048386471</v>
      </c>
      <c r="AJ734">
        <v>7.4906371276689772</v>
      </c>
    </row>
    <row r="735" spans="4:36" x14ac:dyDescent="0.55000000000000004">
      <c r="D735">
        <v>728</v>
      </c>
      <c r="E735">
        <v>11.457307354885526</v>
      </c>
      <c r="F735">
        <v>0.41133779619902056</v>
      </c>
      <c r="G735">
        <v>0.16295707017548647</v>
      </c>
      <c r="H735">
        <v>17.968397778739959</v>
      </c>
      <c r="I735">
        <v>11.656235399263531</v>
      </c>
      <c r="J735">
        <v>0.26102800861557651</v>
      </c>
      <c r="K735">
        <v>0.10308961116232776</v>
      </c>
      <c r="L735">
        <v>17.979646980958563</v>
      </c>
      <c r="M735">
        <v>11.580654114394914</v>
      </c>
      <c r="N735">
        <v>0.31816356547679236</v>
      </c>
      <c r="O735">
        <v>0.12580206801525626</v>
      </c>
      <c r="P735">
        <v>17.975380252113037</v>
      </c>
      <c r="Q735">
        <v>11.539490612600716</v>
      </c>
      <c r="R735">
        <v>0.34926747013544451</v>
      </c>
      <c r="S735">
        <v>0.13818919788246786</v>
      </c>
      <c r="T735">
        <v>17.973052719381371</v>
      </c>
      <c r="U735">
        <v>1495.3137792352113</v>
      </c>
      <c r="V735">
        <v>8.9953329073157793</v>
      </c>
      <c r="W735">
        <v>1278.1831293035243</v>
      </c>
      <c r="X735">
        <v>6.8000640381969548</v>
      </c>
      <c r="Y735">
        <v>2858.8188719234508</v>
      </c>
      <c r="Z735">
        <v>9.0258854295558866</v>
      </c>
      <c r="AA735">
        <v>2719.2251507055616</v>
      </c>
      <c r="AB735">
        <v>6.8191869453186307</v>
      </c>
      <c r="AC735">
        <v>2193.5841725936475</v>
      </c>
      <c r="AD735">
        <v>9.0142737431816364</v>
      </c>
      <c r="AE735">
        <v>2019.0001537445796</v>
      </c>
      <c r="AF735">
        <v>6.8119283008056222</v>
      </c>
      <c r="AG735">
        <v>2064.1262144206589</v>
      </c>
      <c r="AH735">
        <v>9.0079515065174753</v>
      </c>
      <c r="AI735">
        <v>1881.5517418688528</v>
      </c>
      <c r="AJ735">
        <v>6.8079714812863994</v>
      </c>
    </row>
    <row r="736" spans="4:36" x14ac:dyDescent="0.55000000000000004">
      <c r="D736">
        <v>729</v>
      </c>
      <c r="E736">
        <v>11.83461171711687</v>
      </c>
      <c r="F736">
        <v>0.42921413459362578</v>
      </c>
      <c r="G736">
        <v>0.15618565399466375</v>
      </c>
      <c r="H736">
        <v>17.579988494294845</v>
      </c>
      <c r="I736">
        <v>12.037715673037193</v>
      </c>
      <c r="J736">
        <v>0.27494990989760193</v>
      </c>
      <c r="K736">
        <v>9.9743541504833416E-2</v>
      </c>
      <c r="L736">
        <v>17.58759087556037</v>
      </c>
      <c r="M736">
        <v>11.937615884733404</v>
      </c>
      <c r="N736">
        <v>0.35100742668681051</v>
      </c>
      <c r="O736">
        <v>0.12752743552344215</v>
      </c>
      <c r="P736">
        <v>17.583849253056343</v>
      </c>
      <c r="Q736">
        <v>11.91152248991928</v>
      </c>
      <c r="R736">
        <v>0.37082458992104889</v>
      </c>
      <c r="S736">
        <v>0.13478066923589152</v>
      </c>
      <c r="T736">
        <v>17.582872250923778</v>
      </c>
      <c r="U736">
        <v>1520.3542573830043</v>
      </c>
      <c r="V736">
        <v>9.2567253694793585</v>
      </c>
      <c r="W736">
        <v>1295.4741724326652</v>
      </c>
      <c r="X736">
        <v>6.9544690971325549</v>
      </c>
      <c r="Y736">
        <v>2853.0096711418555</v>
      </c>
      <c r="Z736">
        <v>9.2907080641765045</v>
      </c>
      <c r="AA736">
        <v>2713.5446935374098</v>
      </c>
      <c r="AB736">
        <v>6.9754837963217318</v>
      </c>
      <c r="AC736">
        <v>2170.6439374192737</v>
      </c>
      <c r="AD736">
        <v>9.2739565440953768</v>
      </c>
      <c r="AE736">
        <v>1998.6841623569776</v>
      </c>
      <c r="AF736">
        <v>6.9651348777811215</v>
      </c>
      <c r="AG736">
        <v>2093.1801546795095</v>
      </c>
      <c r="AH736">
        <v>9.2695908636138746</v>
      </c>
      <c r="AI736">
        <v>1901.6155378496073</v>
      </c>
      <c r="AJ736">
        <v>6.9624345845133426</v>
      </c>
    </row>
    <row r="737" spans="4:36" x14ac:dyDescent="0.55000000000000004">
      <c r="D737">
        <v>730</v>
      </c>
      <c r="E737">
        <v>12.656258950637961</v>
      </c>
      <c r="F737">
        <v>0.45853436868541936</v>
      </c>
      <c r="G737">
        <v>0.16165466932505004</v>
      </c>
      <c r="H737">
        <v>16.723552011351554</v>
      </c>
      <c r="I737">
        <v>12.867787005093145</v>
      </c>
      <c r="J737">
        <v>0.30594213893331507</v>
      </c>
      <c r="K737">
        <v>0.10753665113119515</v>
      </c>
      <c r="L737">
        <v>16.718734204842331</v>
      </c>
      <c r="M737">
        <v>12.794894134091754</v>
      </c>
      <c r="N737">
        <v>0.35855559354046512</v>
      </c>
      <c r="O737">
        <v>0.1261593374786999</v>
      </c>
      <c r="P737">
        <v>16.720390934889071</v>
      </c>
      <c r="Q737">
        <v>12.750273261765757</v>
      </c>
      <c r="R737">
        <v>0.39074707006295106</v>
      </c>
      <c r="S737">
        <v>0.13757277183847955</v>
      </c>
      <c r="T737">
        <v>16.721406896332823</v>
      </c>
      <c r="U737">
        <v>1534.1640932220907</v>
      </c>
      <c r="V737">
        <v>10.014945769994146</v>
      </c>
      <c r="W737">
        <v>1296.7703775558364</v>
      </c>
      <c r="X737">
        <v>7.4279648323664178</v>
      </c>
      <c r="Y737">
        <v>2915.5839658843138</v>
      </c>
      <c r="Z737">
        <v>10.057721099045807</v>
      </c>
      <c r="AA737">
        <v>2753.5646825173922</v>
      </c>
      <c r="AB737">
        <v>7.4532628347825156</v>
      </c>
      <c r="AC737">
        <v>2228.3044010728104</v>
      </c>
      <c r="AD737">
        <v>10.042983345288919</v>
      </c>
      <c r="AE737">
        <v>2036.1117048554859</v>
      </c>
      <c r="AF737">
        <v>7.4445555905221825</v>
      </c>
      <c r="AG737">
        <v>2143.5199057172713</v>
      </c>
      <c r="AH737">
        <v>10.033960341609845</v>
      </c>
      <c r="AI737">
        <v>1931.9228874218004</v>
      </c>
      <c r="AJ737">
        <v>7.4392200942451581</v>
      </c>
    </row>
    <row r="738" spans="4:36" x14ac:dyDescent="0.55000000000000004">
      <c r="D738">
        <v>731</v>
      </c>
      <c r="E738">
        <v>11.723059835012521</v>
      </c>
      <c r="F738">
        <v>0.43084747471906021</v>
      </c>
      <c r="G738">
        <v>0.14980830021928865</v>
      </c>
      <c r="H738">
        <v>17.696284390049136</v>
      </c>
      <c r="I738">
        <v>11.896951900533631</v>
      </c>
      <c r="J738">
        <v>0.29426083127431552</v>
      </c>
      <c r="K738">
        <v>0.10205634060761024</v>
      </c>
      <c r="L738">
        <v>17.706730927584442</v>
      </c>
      <c r="M738">
        <v>11.824037354952495</v>
      </c>
      <c r="N738">
        <v>0.351551472555653</v>
      </c>
      <c r="O738">
        <v>0.12205571863626469</v>
      </c>
      <c r="P738">
        <v>17.702355453855585</v>
      </c>
      <c r="Q738">
        <v>11.824765923742859</v>
      </c>
      <c r="R738">
        <v>0.35097915161011101</v>
      </c>
      <c r="S738">
        <v>0.12185571610349918</v>
      </c>
      <c r="T738">
        <v>17.702399208543532</v>
      </c>
      <c r="U738">
        <v>1506.8045776122531</v>
      </c>
      <c r="V738">
        <v>9.2485763123289377</v>
      </c>
      <c r="W738">
        <v>1285.9652161759332</v>
      </c>
      <c r="X738">
        <v>6.9604574271278663</v>
      </c>
      <c r="Y738">
        <v>2873.8452364812401</v>
      </c>
      <c r="Z738">
        <v>9.2746304116358811</v>
      </c>
      <c r="AA738">
        <v>2728.2244708677354</v>
      </c>
      <c r="AB738">
        <v>6.9767391422896869</v>
      </c>
      <c r="AC738">
        <v>2193.7099915355589</v>
      </c>
      <c r="AD738">
        <v>9.2637028535313188</v>
      </c>
      <c r="AE738">
        <v>2016.7727888340874</v>
      </c>
      <c r="AF738">
        <v>6.9699171422091482</v>
      </c>
      <c r="AG738">
        <v>2062.8010439871387</v>
      </c>
      <c r="AH738">
        <v>9.2638120225196481</v>
      </c>
      <c r="AI738">
        <v>1881.0279641624745</v>
      </c>
      <c r="AJ738">
        <v>6.9699853443026516</v>
      </c>
    </row>
    <row r="739" spans="4:36" x14ac:dyDescent="0.55000000000000004">
      <c r="D739">
        <v>732</v>
      </c>
      <c r="E739">
        <v>12.567888029517903</v>
      </c>
      <c r="F739">
        <v>0.49103295486953169</v>
      </c>
      <c r="G739">
        <v>0.16076887517124874</v>
      </c>
      <c r="H739">
        <v>16.780310140441308</v>
      </c>
      <c r="I739">
        <v>12.816016148048355</v>
      </c>
      <c r="J739">
        <v>0.3017777877165857</v>
      </c>
      <c r="K739">
        <v>9.8469594984215536E-2</v>
      </c>
      <c r="L739">
        <v>16.783736469250847</v>
      </c>
      <c r="M739">
        <v>12.746226345024972</v>
      </c>
      <c r="N739">
        <v>0.35504134415590854</v>
      </c>
      <c r="O739">
        <v>0.11595959844293571</v>
      </c>
      <c r="P739">
        <v>16.7827727123762</v>
      </c>
      <c r="Q739">
        <v>12.674082421986366</v>
      </c>
      <c r="R739">
        <v>0.41007479430410665</v>
      </c>
      <c r="S739">
        <v>0.13406629920692464</v>
      </c>
      <c r="T739">
        <v>16.781776484502622</v>
      </c>
      <c r="U739">
        <v>1563.659728784748</v>
      </c>
      <c r="V739">
        <v>10.009600079432703</v>
      </c>
      <c r="W739">
        <v>1317.4977213520483</v>
      </c>
      <c r="X739">
        <v>7.4298699528546557</v>
      </c>
      <c r="Y739">
        <v>2899.3589065168358</v>
      </c>
      <c r="Z739">
        <v>10.053854025904201</v>
      </c>
      <c r="AA739">
        <v>2742.6428910901741</v>
      </c>
      <c r="AB739">
        <v>7.4564247901491312</v>
      </c>
      <c r="AC739">
        <v>2209.4029702634025</v>
      </c>
      <c r="AD739">
        <v>10.041407135758615</v>
      </c>
      <c r="AE739">
        <v>2023.2594960519511</v>
      </c>
      <c r="AF739">
        <v>7.4489664348063078</v>
      </c>
      <c r="AG739">
        <v>2128.3457710591665</v>
      </c>
      <c r="AH739">
        <v>10.028540226318126</v>
      </c>
      <c r="AI739">
        <v>1920.1380925237645</v>
      </c>
      <c r="AJ739">
        <v>7.4412478235659867</v>
      </c>
    </row>
    <row r="740" spans="4:36" x14ac:dyDescent="0.55000000000000004">
      <c r="D740">
        <v>733</v>
      </c>
      <c r="E740">
        <v>13.288489868533121</v>
      </c>
      <c r="F740">
        <v>0.49695022231421426</v>
      </c>
      <c r="G740">
        <v>0.17463767873402278</v>
      </c>
      <c r="H740">
        <v>16.03992223041864</v>
      </c>
      <c r="I740">
        <v>13.511223426984294</v>
      </c>
      <c r="J740">
        <v>0.33401210679365306</v>
      </c>
      <c r="K740">
        <v>0.11703076878408104</v>
      </c>
      <c r="L740">
        <v>16.037733697437965</v>
      </c>
      <c r="M740">
        <v>13.407291439497165</v>
      </c>
      <c r="N740">
        <v>0.41007687273319116</v>
      </c>
      <c r="O740">
        <v>0.14388036701717039</v>
      </c>
      <c r="P740">
        <v>16.038751320752457</v>
      </c>
      <c r="Q740">
        <v>13.409311556126834</v>
      </c>
      <c r="R740">
        <v>0.40859898227673591</v>
      </c>
      <c r="S740">
        <v>0.14335797983763698</v>
      </c>
      <c r="T740">
        <v>16.038731481758774</v>
      </c>
      <c r="U740">
        <v>1612.8265321607328</v>
      </c>
      <c r="V740">
        <v>10.439437942564172</v>
      </c>
      <c r="W740">
        <v>1347.5938806923104</v>
      </c>
      <c r="X740">
        <v>7.6673504540016006</v>
      </c>
      <c r="Y740">
        <v>2940.9284066713935</v>
      </c>
      <c r="Z740">
        <v>10.483701831310116</v>
      </c>
      <c r="AA740">
        <v>2767.0842388353694</v>
      </c>
      <c r="AB740">
        <v>7.6934578757267547</v>
      </c>
      <c r="AC740">
        <v>2263.1918609299996</v>
      </c>
      <c r="AD740">
        <v>10.463049121827458</v>
      </c>
      <c r="AE740">
        <v>2054.2967215701392</v>
      </c>
      <c r="AF740">
        <v>7.6812867737961312</v>
      </c>
      <c r="AG740">
        <v>2149.4482902668783</v>
      </c>
      <c r="AH740">
        <v>10.463450575139923</v>
      </c>
      <c r="AI740">
        <v>1930.9235695981206</v>
      </c>
      <c r="AJ740">
        <v>7.681523527306795</v>
      </c>
    </row>
    <row r="741" spans="4:36" x14ac:dyDescent="0.55000000000000004">
      <c r="D741">
        <v>734</v>
      </c>
      <c r="E741">
        <v>12.796977846552172</v>
      </c>
      <c r="F741">
        <v>0.44421072023368324</v>
      </c>
      <c r="G741">
        <v>0.17857253790751329</v>
      </c>
      <c r="H741">
        <v>16.580238895306625</v>
      </c>
      <c r="I741">
        <v>13.013240014297347</v>
      </c>
      <c r="J741">
        <v>0.29067251635555841</v>
      </c>
      <c r="K741">
        <v>0.11647389318257109</v>
      </c>
      <c r="L741">
        <v>16.579613576164533</v>
      </c>
      <c r="M741">
        <v>12.912837326717538</v>
      </c>
      <c r="N741">
        <v>0.36199001504732958</v>
      </c>
      <c r="O741">
        <v>0.1452677456904784</v>
      </c>
      <c r="P741">
        <v>16.579904912544656</v>
      </c>
      <c r="Q741">
        <v>12.893316644273458</v>
      </c>
      <c r="R741">
        <v>0.37584876705332715</v>
      </c>
      <c r="S741">
        <v>0.1508732381586935</v>
      </c>
      <c r="T741">
        <v>16.579961350514534</v>
      </c>
      <c r="U741">
        <v>1574.8471908335139</v>
      </c>
      <c r="V741">
        <v>10.117851310950943</v>
      </c>
      <c r="W741">
        <v>1327.4694195238485</v>
      </c>
      <c r="X741">
        <v>7.4873025253437229</v>
      </c>
      <c r="Y741">
        <v>2896.0280815489377</v>
      </c>
      <c r="Z741">
        <v>10.158028648310678</v>
      </c>
      <c r="AA741">
        <v>2739.7531695741745</v>
      </c>
      <c r="AB741">
        <v>7.5112041364122968</v>
      </c>
      <c r="AC741">
        <v>2197.5669291206927</v>
      </c>
      <c r="AD741">
        <v>10.139376627659008</v>
      </c>
      <c r="AE741">
        <v>2012.3659465554701</v>
      </c>
      <c r="AF741">
        <v>7.5001177706973046</v>
      </c>
      <c r="AG741">
        <v>2102.7143217060443</v>
      </c>
      <c r="AH741">
        <v>10.135750056040168</v>
      </c>
      <c r="AI741">
        <v>1902.047005076862</v>
      </c>
      <c r="AJ741">
        <v>7.4979602551858688</v>
      </c>
    </row>
    <row r="742" spans="4:36" x14ac:dyDescent="0.55000000000000004">
      <c r="D742">
        <v>735</v>
      </c>
      <c r="E742">
        <v>12.087707432917709</v>
      </c>
      <c r="F742">
        <v>0.42726576964729857</v>
      </c>
      <c r="G742">
        <v>0.17307405926988206</v>
      </c>
      <c r="H742">
        <v>17.311952738165111</v>
      </c>
      <c r="I742">
        <v>12.285705830064027</v>
      </c>
      <c r="J742">
        <v>0.28155062994211122</v>
      </c>
      <c r="K742">
        <v>0.11368593696653245</v>
      </c>
      <c r="L742">
        <v>17.319057603027332</v>
      </c>
      <c r="M742">
        <v>12.19597431262186</v>
      </c>
      <c r="N742">
        <v>0.34761615424490361</v>
      </c>
      <c r="O742">
        <v>0.14056426736126001</v>
      </c>
      <c r="P742">
        <v>17.315845265771976</v>
      </c>
      <c r="Q742">
        <v>12.181445772095326</v>
      </c>
      <c r="R742">
        <v>0.35830848860286241</v>
      </c>
      <c r="S742">
        <v>0.14492175737739238</v>
      </c>
      <c r="T742">
        <v>17.315323981924436</v>
      </c>
      <c r="U742">
        <v>1545.9651065467463</v>
      </c>
      <c r="V742">
        <v>9.6204010392507922</v>
      </c>
      <c r="W742">
        <v>1307.6963761385402</v>
      </c>
      <c r="X742">
        <v>7.1968384742604439</v>
      </c>
      <c r="Y742">
        <v>2895.5605831680318</v>
      </c>
      <c r="Z742">
        <v>9.65354333495638</v>
      </c>
      <c r="AA742">
        <v>2740.338602368065</v>
      </c>
      <c r="AB742">
        <v>7.2173865448881136</v>
      </c>
      <c r="AC742">
        <v>2220.4851468050506</v>
      </c>
      <c r="AD742">
        <v>9.6385189965451286</v>
      </c>
      <c r="AE742">
        <v>2030.7506634440865</v>
      </c>
      <c r="AF742">
        <v>7.2080812346210124</v>
      </c>
      <c r="AG742">
        <v>2106.0311323893184</v>
      </c>
      <c r="AH742">
        <v>9.6360870824484604</v>
      </c>
      <c r="AI742">
        <v>1906.247488949733</v>
      </c>
      <c r="AJ742">
        <v>7.206573524035953</v>
      </c>
    </row>
    <row r="743" spans="4:36" x14ac:dyDescent="0.55000000000000004">
      <c r="D743">
        <v>736</v>
      </c>
      <c r="E743">
        <v>11.663095630201571</v>
      </c>
      <c r="F743">
        <v>0.44266218152385889</v>
      </c>
      <c r="G743">
        <v>0.15238021925879863</v>
      </c>
      <c r="H743">
        <v>17.741861969015773</v>
      </c>
      <c r="I743">
        <v>11.873983881646092</v>
      </c>
      <c r="J743">
        <v>0.2796761885012628</v>
      </c>
      <c r="K743">
        <v>9.5966438881008032E-2</v>
      </c>
      <c r="L743">
        <v>17.750373490971647</v>
      </c>
      <c r="M743">
        <v>11.799665978263565</v>
      </c>
      <c r="N743">
        <v>0.33714003926586295</v>
      </c>
      <c r="O743">
        <v>0.11581440798210661</v>
      </c>
      <c r="P743">
        <v>17.747379574488473</v>
      </c>
      <c r="Q743">
        <v>11.757091834490236</v>
      </c>
      <c r="R743">
        <v>0.37004593757709481</v>
      </c>
      <c r="S743">
        <v>0.12720048942704096</v>
      </c>
      <c r="T743">
        <v>17.745661738505614</v>
      </c>
      <c r="U743">
        <v>1514.4728606107474</v>
      </c>
      <c r="V743">
        <v>9.2364265563491834</v>
      </c>
      <c r="W743">
        <v>1290.3257488912002</v>
      </c>
      <c r="X743">
        <v>6.9576382259458835</v>
      </c>
      <c r="Y743">
        <v>2848.6453740506781</v>
      </c>
      <c r="Z743">
        <v>9.2720990732250463</v>
      </c>
      <c r="AA743">
        <v>2710.0787732186118</v>
      </c>
      <c r="AB743">
        <v>6.9797767841301779</v>
      </c>
      <c r="AC743">
        <v>2183.5819922554169</v>
      </c>
      <c r="AD743">
        <v>9.2595246698548248</v>
      </c>
      <c r="AE743">
        <v>2009.9313955624916</v>
      </c>
      <c r="AF743">
        <v>6.9719833829224811</v>
      </c>
      <c r="AG743">
        <v>2095.3865137817766</v>
      </c>
      <c r="AH743">
        <v>9.2523228230482175</v>
      </c>
      <c r="AI743">
        <v>1903.7103446637104</v>
      </c>
      <c r="AJ743">
        <v>6.9675147545771674</v>
      </c>
    </row>
    <row r="744" spans="4:36" x14ac:dyDescent="0.55000000000000004">
      <c r="D744">
        <v>737</v>
      </c>
      <c r="E744">
        <v>12.181449683205791</v>
      </c>
      <c r="F744">
        <v>0.39164994944921416</v>
      </c>
      <c r="G744">
        <v>0.16300536875467847</v>
      </c>
      <c r="H744">
        <v>17.263894998590327</v>
      </c>
      <c r="I744">
        <v>12.35475301875605</v>
      </c>
      <c r="J744">
        <v>0.27148079457979807</v>
      </c>
      <c r="K744">
        <v>0.11269021108144367</v>
      </c>
      <c r="L744">
        <v>17.261075975582703</v>
      </c>
      <c r="M744">
        <v>12.284222318174459</v>
      </c>
      <c r="N744">
        <v>0.32041057099344949</v>
      </c>
      <c r="O744">
        <v>0.13314445355415547</v>
      </c>
      <c r="P744">
        <v>17.262222657277945</v>
      </c>
      <c r="Q744">
        <v>12.23767818377487</v>
      </c>
      <c r="R744">
        <v>0.35268231539512368</v>
      </c>
      <c r="S744">
        <v>0.14665968295484227</v>
      </c>
      <c r="T744">
        <v>17.262979817875166</v>
      </c>
      <c r="U744">
        <v>1497.8271289626989</v>
      </c>
      <c r="V744">
        <v>9.6210900307243143</v>
      </c>
      <c r="W744">
        <v>1276.5757975083277</v>
      </c>
      <c r="X744">
        <v>7.1925097076445983</v>
      </c>
      <c r="Y744">
        <v>2871.7625109989362</v>
      </c>
      <c r="Z744">
        <v>9.65508486676414</v>
      </c>
      <c r="AA744">
        <v>2724.6633839170117</v>
      </c>
      <c r="AB744">
        <v>7.2129100547137561</v>
      </c>
      <c r="AC744">
        <v>2202.5976451527495</v>
      </c>
      <c r="AD744">
        <v>9.6412505189257729</v>
      </c>
      <c r="AE744">
        <v>2021.3273339572236</v>
      </c>
      <c r="AF744">
        <v>7.2046150109451661</v>
      </c>
      <c r="AG744">
        <v>2079.8680438639312</v>
      </c>
      <c r="AH744">
        <v>9.6321204407699295</v>
      </c>
      <c r="AI744">
        <v>1888.7512181554525</v>
      </c>
      <c r="AJ744">
        <v>7.1991354132611294</v>
      </c>
    </row>
    <row r="745" spans="4:36" x14ac:dyDescent="0.55000000000000004">
      <c r="D745">
        <v>738</v>
      </c>
      <c r="E745">
        <v>14.105278566071281</v>
      </c>
      <c r="F745">
        <v>0.48048423213757313</v>
      </c>
      <c r="G745">
        <v>0.18865803791754293</v>
      </c>
      <c r="H745">
        <v>15.225579163873594</v>
      </c>
      <c r="I745">
        <v>14.420742469626621</v>
      </c>
      <c r="J745">
        <v>0.28121768453361118</v>
      </c>
      <c r="K745">
        <v>0.10995695536556585</v>
      </c>
      <c r="L745">
        <v>15.188082890474188</v>
      </c>
      <c r="M745">
        <v>14.266992573998392</v>
      </c>
      <c r="N745">
        <v>0.37841875305645839</v>
      </c>
      <c r="O745">
        <v>0.14826326330176182</v>
      </c>
      <c r="P745">
        <v>15.206325409643393</v>
      </c>
      <c r="Q745">
        <v>14.193494097990657</v>
      </c>
      <c r="R745">
        <v>0.42482900494478687</v>
      </c>
      <c r="S745">
        <v>0.1666092124289224</v>
      </c>
      <c r="T745">
        <v>15.215067684635647</v>
      </c>
      <c r="U745">
        <v>1624.0850178627011</v>
      </c>
      <c r="V745">
        <v>11.088255225341726</v>
      </c>
      <c r="W745">
        <v>1351.986434187942</v>
      </c>
      <c r="X745">
        <v>8.0536380147401889</v>
      </c>
      <c r="Y745">
        <v>2913.3104442288409</v>
      </c>
      <c r="Z745">
        <v>11.164709115736448</v>
      </c>
      <c r="AA745">
        <v>2747.5534601500458</v>
      </c>
      <c r="AB745">
        <v>8.0969674069421327</v>
      </c>
      <c r="AC745">
        <v>2273.3260019185827</v>
      </c>
      <c r="AD745">
        <v>11.127466149429875</v>
      </c>
      <c r="AE745">
        <v>2060.1352097922463</v>
      </c>
      <c r="AF745">
        <v>8.0758792318291075</v>
      </c>
      <c r="AG745">
        <v>2185.3253636545469</v>
      </c>
      <c r="AH745">
        <v>11.109649886569104</v>
      </c>
      <c r="AI745">
        <v>1951.8107247016312</v>
      </c>
      <c r="AJ745">
        <v>8.0657784579378635</v>
      </c>
    </row>
    <row r="746" spans="4:36" x14ac:dyDescent="0.55000000000000004">
      <c r="D746">
        <v>739</v>
      </c>
      <c r="E746">
        <v>13.330449490068544</v>
      </c>
      <c r="F746">
        <v>0.52847170355872441</v>
      </c>
      <c r="G746">
        <v>0.18854779387193213</v>
      </c>
      <c r="H746">
        <v>15.952531012500771</v>
      </c>
      <c r="I746">
        <v>13.613070146839551</v>
      </c>
      <c r="J746">
        <v>0.3185718698864336</v>
      </c>
      <c r="K746">
        <v>0.11323902155852648</v>
      </c>
      <c r="L746">
        <v>15.95511896171549</v>
      </c>
      <c r="M746">
        <v>13.491526193217922</v>
      </c>
      <c r="N746">
        <v>0.40889427169314474</v>
      </c>
      <c r="O746">
        <v>0.14557576598125735</v>
      </c>
      <c r="P746">
        <v>15.954003769107688</v>
      </c>
      <c r="Q746">
        <v>13.479588163435174</v>
      </c>
      <c r="R746">
        <v>0.41776145045311214</v>
      </c>
      <c r="S746">
        <v>0.14875597221199388</v>
      </c>
      <c r="T746">
        <v>15.953894413899732</v>
      </c>
      <c r="U746">
        <v>1621.4933306887351</v>
      </c>
      <c r="V746">
        <v>10.514040494965235</v>
      </c>
      <c r="W746">
        <v>1351.801904993325</v>
      </c>
      <c r="X746">
        <v>7.7126041202500968</v>
      </c>
      <c r="Y746">
        <v>2932.4118269020105</v>
      </c>
      <c r="Z746">
        <v>10.564462665586348</v>
      </c>
      <c r="AA746">
        <v>2762.1084811772339</v>
      </c>
      <c r="AB746">
        <v>7.7423902541351097</v>
      </c>
      <c r="AC746">
        <v>2259.4279219249297</v>
      </c>
      <c r="AD746">
        <v>10.54277976726169</v>
      </c>
      <c r="AE746">
        <v>2051.758928073009</v>
      </c>
      <c r="AF746">
        <v>7.7295958800356495</v>
      </c>
      <c r="AG746">
        <v>2160.0848620899515</v>
      </c>
      <c r="AH746">
        <v>10.54064994042286</v>
      </c>
      <c r="AI746">
        <v>1938.1980930361528</v>
      </c>
      <c r="AJ746">
        <v>7.7283379682403455</v>
      </c>
    </row>
    <row r="747" spans="4:36" x14ac:dyDescent="0.55000000000000004">
      <c r="D747">
        <v>740</v>
      </c>
      <c r="E747">
        <v>12.437635362552175</v>
      </c>
      <c r="F747">
        <v>0.42704586193535776</v>
      </c>
      <c r="G747">
        <v>0.17927182552548637</v>
      </c>
      <c r="H747">
        <v>16.956046949986966</v>
      </c>
      <c r="I747">
        <v>12.612460249351829</v>
      </c>
      <c r="J747">
        <v>0.29987610822848221</v>
      </c>
      <c r="K747">
        <v>0.12555734291162912</v>
      </c>
      <c r="L747">
        <v>16.962106299508076</v>
      </c>
      <c r="M747">
        <v>12.550231881426866</v>
      </c>
      <c r="N747">
        <v>0.34516243450648448</v>
      </c>
      <c r="O747">
        <v>0.14465287753748715</v>
      </c>
      <c r="P747">
        <v>16.959952806529159</v>
      </c>
      <c r="Q747">
        <v>12.516117397907964</v>
      </c>
      <c r="R747">
        <v>0.36997938765584831</v>
      </c>
      <c r="S747">
        <v>0.15513253300388014</v>
      </c>
      <c r="T747">
        <v>16.958770681432295</v>
      </c>
      <c r="U747">
        <v>1529.1636334042435</v>
      </c>
      <c r="V747">
        <v>9.9086055661110297</v>
      </c>
      <c r="W747">
        <v>1299.630121496253</v>
      </c>
      <c r="X747">
        <v>7.3724008546433017</v>
      </c>
      <c r="Y747">
        <v>2886.6450099172771</v>
      </c>
      <c r="Z747">
        <v>9.9380026704412039</v>
      </c>
      <c r="AA747">
        <v>2735.2558286028188</v>
      </c>
      <c r="AB747">
        <v>7.3904018768953392</v>
      </c>
      <c r="AC747">
        <v>2201.0395085407595</v>
      </c>
      <c r="AD747">
        <v>9.9275367309881482</v>
      </c>
      <c r="AE747">
        <v>2020.1155198132749</v>
      </c>
      <c r="AF747">
        <v>7.3839995323161327</v>
      </c>
      <c r="AG747">
        <v>2071.7785061506629</v>
      </c>
      <c r="AH747">
        <v>9.9218001502297035</v>
      </c>
      <c r="AI747">
        <v>1883.5050864035047</v>
      </c>
      <c r="AJ747">
        <v>7.3804873094055026</v>
      </c>
    </row>
    <row r="748" spans="4:36" x14ac:dyDescent="0.55000000000000004">
      <c r="D748">
        <v>741</v>
      </c>
      <c r="E748">
        <v>13.381141218379785</v>
      </c>
      <c r="F748">
        <v>0.49146142216361649</v>
      </c>
      <c r="G748">
        <v>0.18128151719605134</v>
      </c>
      <c r="H748">
        <v>15.946115842260554</v>
      </c>
      <c r="I748">
        <v>13.625340213205916</v>
      </c>
      <c r="J748">
        <v>0.32085564372269293</v>
      </c>
      <c r="K748">
        <v>0.11795117528851919</v>
      </c>
      <c r="L748">
        <v>15.935852967782875</v>
      </c>
      <c r="M748">
        <v>13.53689701079387</v>
      </c>
      <c r="N748">
        <v>0.38268684191552055</v>
      </c>
      <c r="O748">
        <v>0.14085311760339425</v>
      </c>
      <c r="P748">
        <v>15.939563029687221</v>
      </c>
      <c r="Q748">
        <v>13.494229631972017</v>
      </c>
      <c r="R748">
        <v>0.41249898660950957</v>
      </c>
      <c r="S748">
        <v>0.15191572261432576</v>
      </c>
      <c r="T748">
        <v>15.941355658804152</v>
      </c>
      <c r="U748">
        <v>1581.9794923631696</v>
      </c>
      <c r="V748">
        <v>10.534810635754903</v>
      </c>
      <c r="W748">
        <v>1324.8422748505661</v>
      </c>
      <c r="X748">
        <v>7.7267143266981311</v>
      </c>
      <c r="Y748">
        <v>2947.2305456734366</v>
      </c>
      <c r="Z748">
        <v>10.58458661795769</v>
      </c>
      <c r="AA748">
        <v>2772.4630540447993</v>
      </c>
      <c r="AB748">
        <v>7.7557006012446363</v>
      </c>
      <c r="AC748">
        <v>2274.3168039510201</v>
      </c>
      <c r="AD748">
        <v>10.566563583515043</v>
      </c>
      <c r="AE748">
        <v>2064.2785593317503</v>
      </c>
      <c r="AF748">
        <v>7.7452159331677999</v>
      </c>
      <c r="AG748">
        <v>2150.9832818970826</v>
      </c>
      <c r="AH748">
        <v>10.55786689855872</v>
      </c>
      <c r="AI748">
        <v>1931.4314299211401</v>
      </c>
      <c r="AJ748">
        <v>7.7401523971582931</v>
      </c>
    </row>
    <row r="749" spans="4:36" x14ac:dyDescent="0.55000000000000004">
      <c r="D749">
        <v>742</v>
      </c>
      <c r="E749">
        <v>12.66732312095106</v>
      </c>
      <c r="F749">
        <v>0.44394731560582906</v>
      </c>
      <c r="G749">
        <v>0.15760263986694306</v>
      </c>
      <c r="H749">
        <v>16.73112692357617</v>
      </c>
      <c r="I749">
        <v>12.872599742170635</v>
      </c>
      <c r="J749">
        <v>0.29263126120188027</v>
      </c>
      <c r="K749">
        <v>0.10356853748425719</v>
      </c>
      <c r="L749">
        <v>16.731200459143217</v>
      </c>
      <c r="M749">
        <v>12.761697255640774</v>
      </c>
      <c r="N749">
        <v>0.37441076621063413</v>
      </c>
      <c r="O749">
        <v>0.13272998329135138</v>
      </c>
      <c r="P749">
        <v>16.731161994857235</v>
      </c>
      <c r="Q749">
        <v>12.722306543486937</v>
      </c>
      <c r="R749">
        <v>0.40344072338826364</v>
      </c>
      <c r="S749">
        <v>0.14310511300012707</v>
      </c>
      <c r="T749">
        <v>16.731147620124666</v>
      </c>
      <c r="U749">
        <v>1568.6111328250242</v>
      </c>
      <c r="V749">
        <v>9.9609075650194381</v>
      </c>
      <c r="W749">
        <v>1325.4295187393516</v>
      </c>
      <c r="X749">
        <v>7.3858752564953463</v>
      </c>
      <c r="Y749">
        <v>2879.6015282183985</v>
      </c>
      <c r="Z749">
        <v>9.9966351528207777</v>
      </c>
      <c r="AA749">
        <v>2729.0452249219411</v>
      </c>
      <c r="AB749">
        <v>7.4073532370415753</v>
      </c>
      <c r="AC749">
        <v>2209.5250990922059</v>
      </c>
      <c r="AD749">
        <v>9.977332268862531</v>
      </c>
      <c r="AE749">
        <v>2022.3543799461256</v>
      </c>
      <c r="AF749">
        <v>7.3957579323060214</v>
      </c>
      <c r="AG749">
        <v>2125.7789298114722</v>
      </c>
      <c r="AH749">
        <v>9.97047662558567</v>
      </c>
      <c r="AI749">
        <v>1919.3103175020992</v>
      </c>
      <c r="AJ749">
        <v>7.3916347558800135</v>
      </c>
    </row>
    <row r="750" spans="4:36" x14ac:dyDescent="0.55000000000000004">
      <c r="D750">
        <v>743</v>
      </c>
      <c r="E750">
        <v>13.528286404832723</v>
      </c>
      <c r="F750">
        <v>0.56138877579774904</v>
      </c>
      <c r="G750">
        <v>0.18121019220213588</v>
      </c>
      <c r="H750">
        <v>15.729114627167377</v>
      </c>
      <c r="I750">
        <v>13.784519561423933</v>
      </c>
      <c r="J750">
        <v>0.35815666985822381</v>
      </c>
      <c r="K750">
        <v>0.11523010330848853</v>
      </c>
      <c r="L750">
        <v>15.74209366540936</v>
      </c>
      <c r="M750">
        <v>13.654423591383573</v>
      </c>
      <c r="N750">
        <v>0.46137943521240149</v>
      </c>
      <c r="O750">
        <v>0.14868677054715129</v>
      </c>
      <c r="P750">
        <v>15.73551020285689</v>
      </c>
      <c r="Q750">
        <v>13.659650127763282</v>
      </c>
      <c r="R750">
        <v>0.4572339703880472</v>
      </c>
      <c r="S750">
        <v>0.14734096153273213</v>
      </c>
      <c r="T750">
        <v>15.735774940315943</v>
      </c>
      <c r="U750">
        <v>1639.8402066668775</v>
      </c>
      <c r="V750">
        <v>10.82677983182908</v>
      </c>
      <c r="W750">
        <v>1360.0691843531915</v>
      </c>
      <c r="X750">
        <v>7.9164739281740646</v>
      </c>
      <c r="Y750">
        <v>2970.8387293960682</v>
      </c>
      <c r="Z750">
        <v>10.867093302110753</v>
      </c>
      <c r="AA750">
        <v>2785.6228740425427</v>
      </c>
      <c r="AB750">
        <v>7.9407493545472807</v>
      </c>
      <c r="AC750">
        <v>2313.8722332011189</v>
      </c>
      <c r="AD750">
        <v>10.846621003186135</v>
      </c>
      <c r="AE750">
        <v>2085.7147071452723</v>
      </c>
      <c r="AF750">
        <v>7.9284335272374031</v>
      </c>
      <c r="AG750">
        <v>2220.3534344815557</v>
      </c>
      <c r="AH750">
        <v>10.847443302750708</v>
      </c>
      <c r="AI750">
        <v>1977.3278163755745</v>
      </c>
      <c r="AJ750">
        <v>7.9289286811699595</v>
      </c>
    </row>
    <row r="751" spans="4:36" x14ac:dyDescent="0.55000000000000004">
      <c r="D751">
        <v>744</v>
      </c>
      <c r="E751">
        <v>13.031517063815111</v>
      </c>
      <c r="F751">
        <v>0.45257017033556018</v>
      </c>
      <c r="G751">
        <v>0.1764718998471953</v>
      </c>
      <c r="H751">
        <v>16.339440866002143</v>
      </c>
      <c r="I751">
        <v>13.264235816563604</v>
      </c>
      <c r="J751">
        <v>0.29561127270067311</v>
      </c>
      <c r="K751">
        <v>0.11487246422455494</v>
      </c>
      <c r="L751">
        <v>16.325280446511179</v>
      </c>
      <c r="M751">
        <v>13.209991422263801</v>
      </c>
      <c r="N751">
        <v>0.33222825239855136</v>
      </c>
      <c r="O751">
        <v>0.12920458088837231</v>
      </c>
      <c r="P751">
        <v>16.32857574444926</v>
      </c>
      <c r="Q751">
        <v>13.131705504671849</v>
      </c>
      <c r="R751">
        <v>0.38504057216688276</v>
      </c>
      <c r="S751">
        <v>0.14991666217947794</v>
      </c>
      <c r="T751">
        <v>16.333337260981786</v>
      </c>
      <c r="U751">
        <v>1540.9482528040746</v>
      </c>
      <c r="V751">
        <v>10.197784665075071</v>
      </c>
      <c r="W751">
        <v>1302.5287433842375</v>
      </c>
      <c r="X751">
        <v>7.5209747817443002</v>
      </c>
      <c r="Y751">
        <v>2893.922384681433</v>
      </c>
      <c r="Z751">
        <v>10.248402963459149</v>
      </c>
      <c r="AA751">
        <v>2738.393055109173</v>
      </c>
      <c r="AB751">
        <v>7.5506591242871073</v>
      </c>
      <c r="AC751">
        <v>2217.8995350172918</v>
      </c>
      <c r="AD751">
        <v>10.236607348264316</v>
      </c>
      <c r="AE751">
        <v>2030.389659868333</v>
      </c>
      <c r="AF751">
        <v>7.5437503850925429</v>
      </c>
      <c r="AG751">
        <v>2102.6928227117319</v>
      </c>
      <c r="AH751">
        <v>10.219580623675592</v>
      </c>
      <c r="AI751">
        <v>1902.1371953631972</v>
      </c>
      <c r="AJ751">
        <v>7.5337685639149505</v>
      </c>
    </row>
    <row r="752" spans="4:36" x14ac:dyDescent="0.55000000000000004">
      <c r="D752">
        <v>745</v>
      </c>
      <c r="E752">
        <v>11.682989850141993</v>
      </c>
      <c r="F752">
        <v>0.46181294592449651</v>
      </c>
      <c r="G752">
        <v>0.15397548665758623</v>
      </c>
      <c r="H752">
        <v>17.701221717275907</v>
      </c>
      <c r="I752">
        <v>11.891232914658389</v>
      </c>
      <c r="J752">
        <v>0.29276168221214166</v>
      </c>
      <c r="K752">
        <v>9.7301832428153046E-2</v>
      </c>
      <c r="L752">
        <v>17.718703570701329</v>
      </c>
      <c r="M752">
        <v>11.824147954267961</v>
      </c>
      <c r="N752">
        <v>0.34724256705624984</v>
      </c>
      <c r="O752">
        <v>0.11552653350671192</v>
      </c>
      <c r="P752">
        <v>17.713082945169081</v>
      </c>
      <c r="Q752">
        <v>11.788880217621676</v>
      </c>
      <c r="R752">
        <v>0.37587597336736694</v>
      </c>
      <c r="S752">
        <v>0.12511994082011108</v>
      </c>
      <c r="T752">
        <v>17.710123868190866</v>
      </c>
      <c r="U752">
        <v>1494.2591665869386</v>
      </c>
      <c r="V752">
        <v>9.259461444390471</v>
      </c>
      <c r="W752">
        <v>1274.175235754167</v>
      </c>
      <c r="X752">
        <v>6.9694159860890537</v>
      </c>
      <c r="Y752">
        <v>2869.4517397346444</v>
      </c>
      <c r="Z752">
        <v>9.288092844347247</v>
      </c>
      <c r="AA752">
        <v>2725.2291332846257</v>
      </c>
      <c r="AB752">
        <v>6.9876511283906426</v>
      </c>
      <c r="AC752">
        <v>2165.0444383819995</v>
      </c>
      <c r="AD752">
        <v>9.2788631817968437</v>
      </c>
      <c r="AE752">
        <v>1995.6602281421888</v>
      </c>
      <c r="AF752">
        <v>6.9817818726266605</v>
      </c>
      <c r="AG752">
        <v>2092.6946165413333</v>
      </c>
      <c r="AH752">
        <v>9.2740133139820315</v>
      </c>
      <c r="AI752">
        <v>1901.8349272781122</v>
      </c>
      <c r="AJ752">
        <v>6.9786943508392136</v>
      </c>
    </row>
    <row r="753" spans="4:36" x14ac:dyDescent="0.55000000000000004">
      <c r="D753">
        <v>746</v>
      </c>
      <c r="E753">
        <v>12.401653476980332</v>
      </c>
      <c r="F753">
        <v>0.46377734315315228</v>
      </c>
      <c r="G753">
        <v>0.15534307563866101</v>
      </c>
      <c r="H753">
        <v>16.979226104227841</v>
      </c>
      <c r="I753">
        <v>12.617867052586666</v>
      </c>
      <c r="J753">
        <v>0.30239345938249135</v>
      </c>
      <c r="K753">
        <v>0.10097571164710534</v>
      </c>
      <c r="L753">
        <v>16.97876377638374</v>
      </c>
      <c r="M753">
        <v>12.499638547007295</v>
      </c>
      <c r="N753">
        <v>0.39067275079207131</v>
      </c>
      <c r="O753">
        <v>0.13067329938483058</v>
      </c>
      <c r="P753">
        <v>16.979015402815801</v>
      </c>
      <c r="Q753">
        <v>12.484530600137797</v>
      </c>
      <c r="R753">
        <v>0.40194799029347461</v>
      </c>
      <c r="S753">
        <v>0.13447364795984129</v>
      </c>
      <c r="T753">
        <v>16.9790477616089</v>
      </c>
      <c r="U753">
        <v>1511.4939966162517</v>
      </c>
      <c r="V753">
        <v>9.7441421920577884</v>
      </c>
      <c r="W753">
        <v>1284.1643823371774</v>
      </c>
      <c r="X753">
        <v>7.2539974425392133</v>
      </c>
      <c r="Y753">
        <v>2879.6323029667383</v>
      </c>
      <c r="Z753">
        <v>9.7842105309520431</v>
      </c>
      <c r="AA753">
        <v>2730.1710469143486</v>
      </c>
      <c r="AB753">
        <v>7.2780345627963623</v>
      </c>
      <c r="AC753">
        <v>2243.3385817010471</v>
      </c>
      <c r="AD753">
        <v>9.7623013555720046</v>
      </c>
      <c r="AE753">
        <v>2048.7724172155022</v>
      </c>
      <c r="AF753">
        <v>7.264901466266787</v>
      </c>
      <c r="AG753">
        <v>2086.2504700844638</v>
      </c>
      <c r="AH753">
        <v>9.7595015427590344</v>
      </c>
      <c r="AI753">
        <v>1892.3739665867772</v>
      </c>
      <c r="AJ753">
        <v>7.2632213827426337</v>
      </c>
    </row>
    <row r="754" spans="4:36" x14ac:dyDescent="0.55000000000000004">
      <c r="D754">
        <v>747</v>
      </c>
      <c r="E754">
        <v>11.81650170433506</v>
      </c>
      <c r="F754">
        <v>0.40386316191956129</v>
      </c>
      <c r="G754">
        <v>0.15993240918771337</v>
      </c>
      <c r="H754">
        <v>17.619702724557659</v>
      </c>
      <c r="I754">
        <v>11.993645277580036</v>
      </c>
      <c r="J754">
        <v>0.27572253838818278</v>
      </c>
      <c r="K754">
        <v>0.10889585301586897</v>
      </c>
      <c r="L754">
        <v>17.621736331015914</v>
      </c>
      <c r="M754">
        <v>11.936391869478275</v>
      </c>
      <c r="N754">
        <v>0.31715907077645356</v>
      </c>
      <c r="O754">
        <v>0.12536913761925605</v>
      </c>
      <c r="P754">
        <v>17.621079922126007</v>
      </c>
      <c r="Q754">
        <v>11.878834776814694</v>
      </c>
      <c r="R754">
        <v>0.35879517807363009</v>
      </c>
      <c r="S754">
        <v>0.14195083932411312</v>
      </c>
      <c r="T754">
        <v>17.620419205787563</v>
      </c>
      <c r="U754">
        <v>1475.3791391750372</v>
      </c>
      <c r="V754">
        <v>9.3376904470961009</v>
      </c>
      <c r="W754">
        <v>1264.524681148165</v>
      </c>
      <c r="X754">
        <v>7.0202749467656256</v>
      </c>
      <c r="Y754">
        <v>2862.6757030908816</v>
      </c>
      <c r="Z754">
        <v>9.3708485168553395</v>
      </c>
      <c r="AA754">
        <v>2721.4148524251427</v>
      </c>
      <c r="AB754">
        <v>7.0404726327086067</v>
      </c>
      <c r="AC754">
        <v>2151.5886565710953</v>
      </c>
      <c r="AD754">
        <v>9.3601314537477407</v>
      </c>
      <c r="AE754">
        <v>1987.8672558455405</v>
      </c>
      <c r="AF754">
        <v>7.0339514345306258</v>
      </c>
      <c r="AG754">
        <v>2074.5842365945109</v>
      </c>
      <c r="AH754">
        <v>9.3493577963429804</v>
      </c>
      <c r="AI754">
        <v>1889.4312054373661</v>
      </c>
      <c r="AJ754">
        <v>7.0273891559232888</v>
      </c>
    </row>
    <row r="755" spans="4:36" x14ac:dyDescent="0.55000000000000004">
      <c r="D755">
        <v>748</v>
      </c>
      <c r="E755">
        <v>14.271903404255537</v>
      </c>
      <c r="F755">
        <v>0.54054194985138571</v>
      </c>
      <c r="G755">
        <v>0.1910845450095652</v>
      </c>
      <c r="H755">
        <v>14.996470100883503</v>
      </c>
      <c r="I755">
        <v>14.559724747256896</v>
      </c>
      <c r="J755">
        <v>0.3458049535240888</v>
      </c>
      <c r="K755">
        <v>0.12178074804451668</v>
      </c>
      <c r="L755">
        <v>14.972689551174494</v>
      </c>
      <c r="M755">
        <v>14.469317550956914</v>
      </c>
      <c r="N755">
        <v>0.40702795721877399</v>
      </c>
      <c r="O755">
        <v>0.14351142802899325</v>
      </c>
      <c r="P755">
        <v>14.980143063795309</v>
      </c>
      <c r="Q755">
        <v>14.407707765055935</v>
      </c>
      <c r="R755">
        <v>0.44872116699289011</v>
      </c>
      <c r="S755">
        <v>0.15834021648550681</v>
      </c>
      <c r="T755">
        <v>14.98523085146568</v>
      </c>
      <c r="U755">
        <v>1664.6225687171077</v>
      </c>
      <c r="V755">
        <v>11.262354610773391</v>
      </c>
      <c r="W755">
        <v>1378.3366741967902</v>
      </c>
      <c r="X755">
        <v>8.1566565598815277</v>
      </c>
      <c r="Y755">
        <v>2970.9517696237613</v>
      </c>
      <c r="Z755">
        <v>11.328684499422037</v>
      </c>
      <c r="AA755">
        <v>2785.490634169536</v>
      </c>
      <c r="AB755">
        <v>8.1945476460524738</v>
      </c>
      <c r="AC755">
        <v>2287.7768030814323</v>
      </c>
      <c r="AD755">
        <v>11.307858872242448</v>
      </c>
      <c r="AE755">
        <v>2069.3483511187969</v>
      </c>
      <c r="AF755">
        <v>8.1826643537219592</v>
      </c>
      <c r="AG755">
        <v>2187.0520374672974</v>
      </c>
      <c r="AH755">
        <v>11.293662044333033</v>
      </c>
      <c r="AI755">
        <v>1952.1853569935608</v>
      </c>
      <c r="AJ755">
        <v>8.1745565253641885</v>
      </c>
    </row>
    <row r="756" spans="4:36" x14ac:dyDescent="0.55000000000000004">
      <c r="D756">
        <v>749</v>
      </c>
      <c r="E756">
        <v>11.482903594738245</v>
      </c>
      <c r="F756">
        <v>0.44308281153622342</v>
      </c>
      <c r="G756">
        <v>0.1587781831008275</v>
      </c>
      <c r="H756">
        <v>17.915235410624714</v>
      </c>
      <c r="I756">
        <v>11.652083746189803</v>
      </c>
      <c r="J756">
        <v>0.30002783687943102</v>
      </c>
      <c r="K756">
        <v>0.10723649386577332</v>
      </c>
      <c r="L756">
        <v>17.940651923064987</v>
      </c>
      <c r="M756">
        <v>11.568623698380119</v>
      </c>
      <c r="N756">
        <v>0.37061361581150754</v>
      </c>
      <c r="O756">
        <v>0.13263425411879357</v>
      </c>
      <c r="P756">
        <v>17.928128431689576</v>
      </c>
      <c r="Q756">
        <v>11.563320506925828</v>
      </c>
      <c r="R756">
        <v>0.3750978482968953</v>
      </c>
      <c r="S756">
        <v>0.13424996022255742</v>
      </c>
      <c r="T756">
        <v>17.927331684554733</v>
      </c>
      <c r="U756">
        <v>1459.8919503742773</v>
      </c>
      <c r="V756">
        <v>9.0414774064921897</v>
      </c>
      <c r="W756">
        <v>1253.704856386295</v>
      </c>
      <c r="X756">
        <v>6.826472865090202</v>
      </c>
      <c r="Y756">
        <v>2844.971497738693</v>
      </c>
      <c r="Z756">
        <v>9.0565925620899588</v>
      </c>
      <c r="AA756">
        <v>2708.8063624896322</v>
      </c>
      <c r="AB756">
        <v>6.8369264280876214</v>
      </c>
      <c r="AC756">
        <v>2179.6455856822249</v>
      </c>
      <c r="AD756">
        <v>9.0491272690990741</v>
      </c>
      <c r="AE756">
        <v>2008.1453837589775</v>
      </c>
      <c r="AF756">
        <v>6.8317703702672414</v>
      </c>
      <c r="AG756">
        <v>2055.0859295740984</v>
      </c>
      <c r="AH756">
        <v>9.0486534808160659</v>
      </c>
      <c r="AI756">
        <v>1876.8927190093239</v>
      </c>
      <c r="AJ756">
        <v>6.8314426868516254</v>
      </c>
    </row>
    <row r="757" spans="4:36" x14ac:dyDescent="0.55000000000000004">
      <c r="D757">
        <v>750</v>
      </c>
      <c r="E757">
        <v>13.34384552198166</v>
      </c>
      <c r="F757">
        <v>0.43020643072217524</v>
      </c>
      <c r="G757">
        <v>0.16990918067048943</v>
      </c>
      <c r="H757">
        <v>16.056038866625681</v>
      </c>
      <c r="I757">
        <v>13.52889292248957</v>
      </c>
      <c r="J757">
        <v>0.30052676958150348</v>
      </c>
      <c r="K757">
        <v>0.11837799946035382</v>
      </c>
      <c r="L757">
        <v>16.052202308468569</v>
      </c>
      <c r="M757">
        <v>13.401394194387509</v>
      </c>
      <c r="N757">
        <v>0.38989900308877801</v>
      </c>
      <c r="O757">
        <v>0.15386233572023872</v>
      </c>
      <c r="P757">
        <v>16.054844466803477</v>
      </c>
      <c r="Q757">
        <v>13.380418487469695</v>
      </c>
      <c r="R757">
        <v>0.40459284400737411</v>
      </c>
      <c r="S757">
        <v>0.15970899080514767</v>
      </c>
      <c r="T757">
        <v>16.055279677717774</v>
      </c>
      <c r="U757">
        <v>1547.8210900359395</v>
      </c>
      <c r="V757">
        <v>10.566041441881724</v>
      </c>
      <c r="W757">
        <v>1301.700116317287</v>
      </c>
      <c r="X757">
        <v>7.7592479241672514</v>
      </c>
      <c r="Y757">
        <v>2923.4498990700781</v>
      </c>
      <c r="Z757">
        <v>10.602647598055629</v>
      </c>
      <c r="AA757">
        <v>2754.7916970515184</v>
      </c>
      <c r="AB757">
        <v>7.7808348387661503</v>
      </c>
      <c r="AC757">
        <v>2285.015690858942</v>
      </c>
      <c r="AD757">
        <v>10.577426503087048</v>
      </c>
      <c r="AE757">
        <v>2069.3528277432169</v>
      </c>
      <c r="AF757">
        <v>7.7659678410081563</v>
      </c>
      <c r="AG757">
        <v>2168.7599419373291</v>
      </c>
      <c r="AH757">
        <v>10.5732768830461</v>
      </c>
      <c r="AI757">
        <v>1942.7900636243164</v>
      </c>
      <c r="AJ757">
        <v>7.7635192080679802</v>
      </c>
    </row>
    <row r="758" spans="4:36" x14ac:dyDescent="0.55000000000000004">
      <c r="D758">
        <v>751</v>
      </c>
      <c r="E758">
        <v>12.319742141943518</v>
      </c>
      <c r="F758">
        <v>0.42514089172416514</v>
      </c>
      <c r="G758">
        <v>0.16936742642667471</v>
      </c>
      <c r="H758">
        <v>17.085749539905645</v>
      </c>
      <c r="I758">
        <v>12.521802702155322</v>
      </c>
      <c r="J758">
        <v>0.2768567583263416</v>
      </c>
      <c r="K758">
        <v>0.10995568801811462</v>
      </c>
      <c r="L758">
        <v>17.091384851500234</v>
      </c>
      <c r="M758">
        <v>12.429614014439213</v>
      </c>
      <c r="N758">
        <v>0.34453979989085631</v>
      </c>
      <c r="O758">
        <v>0.13702776300308234</v>
      </c>
      <c r="P758">
        <v>17.088818422666865</v>
      </c>
      <c r="Q758">
        <v>12.370420640787403</v>
      </c>
      <c r="R758">
        <v>0.38797234116062373</v>
      </c>
      <c r="S758">
        <v>0.1544405696257356</v>
      </c>
      <c r="T758">
        <v>17.087166448426228</v>
      </c>
      <c r="U758">
        <v>1549.8202012552522</v>
      </c>
      <c r="V758">
        <v>9.7125236610958972</v>
      </c>
      <c r="W758">
        <v>1310.485034765305</v>
      </c>
      <c r="X758">
        <v>7.240510939555481</v>
      </c>
      <c r="Y758">
        <v>2910.6435924143962</v>
      </c>
      <c r="Z758">
        <v>9.7465494973345024</v>
      </c>
      <c r="AA758">
        <v>2751.8947850983122</v>
      </c>
      <c r="AB758">
        <v>7.2613323120439599</v>
      </c>
      <c r="AC758">
        <v>2201.2291790998106</v>
      </c>
      <c r="AD758">
        <v>9.731022672754893</v>
      </c>
      <c r="AE758">
        <v>2016.4105820784366</v>
      </c>
      <c r="AF758">
        <v>7.2518402757719818</v>
      </c>
      <c r="AG758">
        <v>2115.1650538237691</v>
      </c>
      <c r="AH758">
        <v>9.7210555181103633</v>
      </c>
      <c r="AI758">
        <v>1910.2152682777528</v>
      </c>
      <c r="AJ758">
        <v>7.2457388631005433</v>
      </c>
    </row>
    <row r="759" spans="4:36" x14ac:dyDescent="0.55000000000000004">
      <c r="D759">
        <v>752</v>
      </c>
      <c r="E759">
        <v>12.384030330962492</v>
      </c>
      <c r="F759">
        <v>0.41336909325727877</v>
      </c>
      <c r="G759">
        <v>0.16233133135527933</v>
      </c>
      <c r="H759">
        <v>17.040269244424959</v>
      </c>
      <c r="I759">
        <v>12.586075427735489</v>
      </c>
      <c r="J759">
        <v>0.27197214025920352</v>
      </c>
      <c r="K759">
        <v>0.1064744489723457</v>
      </c>
      <c r="L759">
        <v>17.035477983032962</v>
      </c>
      <c r="M759">
        <v>12.484820927948727</v>
      </c>
      <c r="N759">
        <v>0.3428652910548653</v>
      </c>
      <c r="O759">
        <v>0.1344359687453161</v>
      </c>
      <c r="P759">
        <v>17.037877812251097</v>
      </c>
      <c r="Q759">
        <v>12.441607895240303</v>
      </c>
      <c r="R759">
        <v>0.37310106914969132</v>
      </c>
      <c r="S759">
        <v>0.14638823728108899</v>
      </c>
      <c r="T759">
        <v>17.038902798328905</v>
      </c>
      <c r="U759">
        <v>1527.0375019000539</v>
      </c>
      <c r="V759">
        <v>9.7233057856101528</v>
      </c>
      <c r="W759">
        <v>1294.4486462325317</v>
      </c>
      <c r="X759">
        <v>7.2440976737204661</v>
      </c>
      <c r="Y759">
        <v>2907.1997874856279</v>
      </c>
      <c r="Z759">
        <v>9.7630544552802512</v>
      </c>
      <c r="AA759">
        <v>2749.7261632140976</v>
      </c>
      <c r="AB759">
        <v>7.2679124736977538</v>
      </c>
      <c r="AC759">
        <v>2224.7813153127418</v>
      </c>
      <c r="AD759">
        <v>9.7431352069066168</v>
      </c>
      <c r="AE759">
        <v>2034.2208393319358</v>
      </c>
      <c r="AF759">
        <v>7.255987826150565</v>
      </c>
      <c r="AG759">
        <v>2126.4606366945027</v>
      </c>
      <c r="AH759">
        <v>9.7346337022823235</v>
      </c>
      <c r="AI759">
        <v>1920.0363487258478</v>
      </c>
      <c r="AJ759">
        <v>7.2508925107893365</v>
      </c>
    </row>
    <row r="760" spans="4:36" x14ac:dyDescent="0.55000000000000004">
      <c r="D760">
        <v>753</v>
      </c>
      <c r="E760">
        <v>11.603786863131202</v>
      </c>
      <c r="F760">
        <v>0.42906965583227902</v>
      </c>
      <c r="G760">
        <v>0.14385408772234715</v>
      </c>
      <c r="H760">
        <v>17.823289393314177</v>
      </c>
      <c r="I760">
        <v>11.789122259440274</v>
      </c>
      <c r="J760">
        <v>0.28070047094639278</v>
      </c>
      <c r="K760">
        <v>9.3855066783432375E-2</v>
      </c>
      <c r="L760">
        <v>17.836322202829898</v>
      </c>
      <c r="M760">
        <v>11.719825162912857</v>
      </c>
      <c r="N760">
        <v>0.33619507715823671</v>
      </c>
      <c r="O760">
        <v>0.11252404608113604</v>
      </c>
      <c r="P760">
        <v>17.83145571384777</v>
      </c>
      <c r="Q760">
        <v>11.657165269414971</v>
      </c>
      <c r="R760">
        <v>0.38635475141687647</v>
      </c>
      <c r="S760">
        <v>0.12943130917538503</v>
      </c>
      <c r="T760">
        <v>17.827048669992774</v>
      </c>
      <c r="U760">
        <v>1480.9298506714083</v>
      </c>
      <c r="V760">
        <v>9.19232365833183</v>
      </c>
      <c r="W760">
        <v>1268.0820145385112</v>
      </c>
      <c r="X760">
        <v>6.9324212972335593</v>
      </c>
      <c r="Y760">
        <v>2861.1536697671581</v>
      </c>
      <c r="Z760">
        <v>9.2199213719571897</v>
      </c>
      <c r="AA760">
        <v>2720.81923171157</v>
      </c>
      <c r="AB760">
        <v>6.9497429644606568</v>
      </c>
      <c r="AC760">
        <v>2150.2791490249542</v>
      </c>
      <c r="AD760">
        <v>9.2095991652782789</v>
      </c>
      <c r="AE760">
        <v>1986.4114650988481</v>
      </c>
      <c r="AF760">
        <v>6.9432718954180732</v>
      </c>
      <c r="AG760">
        <v>2068.1630996595213</v>
      </c>
      <c r="AH760">
        <v>9.200269090591604</v>
      </c>
      <c r="AI760">
        <v>1883.5306355402022</v>
      </c>
      <c r="AJ760">
        <v>6.9374149582035374</v>
      </c>
    </row>
    <row r="761" spans="4:36" x14ac:dyDescent="0.55000000000000004">
      <c r="D761">
        <v>754</v>
      </c>
      <c r="E761">
        <v>12.371214118163726</v>
      </c>
      <c r="F761">
        <v>0.45537682611877095</v>
      </c>
      <c r="G761">
        <v>0.14671154394179589</v>
      </c>
      <c r="H761">
        <v>17.026697511775705</v>
      </c>
      <c r="I761">
        <v>12.607714964431604</v>
      </c>
      <c r="J761">
        <v>0.27046153314697119</v>
      </c>
      <c r="K761">
        <v>8.6850678352597951E-2</v>
      </c>
      <c r="L761">
        <v>17.034972824068841</v>
      </c>
      <c r="M761">
        <v>12.470174476823379</v>
      </c>
      <c r="N761">
        <v>0.37803543008008778</v>
      </c>
      <c r="O761">
        <v>0.1216260621697411</v>
      </c>
      <c r="P761">
        <v>17.030164030926787</v>
      </c>
      <c r="Q761">
        <v>12.44735538565377</v>
      </c>
      <c r="R761">
        <v>0.39587377535953056</v>
      </c>
      <c r="S761">
        <v>0.12740565464255837</v>
      </c>
      <c r="T761">
        <v>17.02936518434414</v>
      </c>
      <c r="U761">
        <v>1542.8930852570948</v>
      </c>
      <c r="V761">
        <v>9.7059239660489816</v>
      </c>
      <c r="W761">
        <v>1305.700749009987</v>
      </c>
      <c r="X761">
        <v>7.2291734936529286</v>
      </c>
      <c r="Y761">
        <v>2857.2204597671303</v>
      </c>
      <c r="Z761">
        <v>9.7439440873256871</v>
      </c>
      <c r="AA761">
        <v>2714.3566035192671</v>
      </c>
      <c r="AB761">
        <v>7.2523631210650539</v>
      </c>
      <c r="AC761">
        <v>2211.0462160762359</v>
      </c>
      <c r="AD761">
        <v>9.7218302948492479</v>
      </c>
      <c r="AE761">
        <v>2023.3785113588533</v>
      </c>
      <c r="AF761">
        <v>7.2388867345022838</v>
      </c>
      <c r="AG761">
        <v>2139.9078977470199</v>
      </c>
      <c r="AH761">
        <v>9.7181621442666657</v>
      </c>
      <c r="AI761">
        <v>1930.7624972283804</v>
      </c>
      <c r="AJ761">
        <v>7.2366482463918063</v>
      </c>
    </row>
    <row r="762" spans="4:36" x14ac:dyDescent="0.55000000000000004">
      <c r="D762">
        <v>755</v>
      </c>
      <c r="E762">
        <v>11.851313074182254</v>
      </c>
      <c r="F762">
        <v>0.42927029958313029</v>
      </c>
      <c r="G762">
        <v>0.18005595131281393</v>
      </c>
      <c r="H762">
        <v>17.539360674921802</v>
      </c>
      <c r="I762">
        <v>12.053071570308751</v>
      </c>
      <c r="J762">
        <v>0.27749538175966765</v>
      </c>
      <c r="K762">
        <v>0.11600620375043783</v>
      </c>
      <c r="L762">
        <v>17.553426844181157</v>
      </c>
      <c r="M762">
        <v>11.970437388842319</v>
      </c>
      <c r="N762">
        <v>0.33968551328413454</v>
      </c>
      <c r="O762">
        <v>0.14219829461432631</v>
      </c>
      <c r="P762">
        <v>17.547678803259238</v>
      </c>
      <c r="Q762">
        <v>11.933772803272307</v>
      </c>
      <c r="R762">
        <v>0.36726684742611804</v>
      </c>
      <c r="S762">
        <v>0.15383770903986921</v>
      </c>
      <c r="T762">
        <v>17.545122640261695</v>
      </c>
      <c r="U762">
        <v>1548.8049207161337</v>
      </c>
      <c r="V762">
        <v>9.3512066471192039</v>
      </c>
      <c r="W762">
        <v>1313.3716304477421</v>
      </c>
      <c r="X762">
        <v>7.0196698395320114</v>
      </c>
      <c r="Y762">
        <v>2884.182990778595</v>
      </c>
      <c r="Z762">
        <v>9.3803619903068984</v>
      </c>
      <c r="AA762">
        <v>2734.525133912965</v>
      </c>
      <c r="AB762">
        <v>7.0382682278004198</v>
      </c>
      <c r="AC762">
        <v>2200.192724021535</v>
      </c>
      <c r="AD762">
        <v>9.3684130424125041</v>
      </c>
      <c r="AE762">
        <v>2019.0939904247939</v>
      </c>
      <c r="AF762">
        <v>7.0306560070787558</v>
      </c>
      <c r="AG762">
        <v>2108.3449384507808</v>
      </c>
      <c r="AH762">
        <v>9.3631147765337577</v>
      </c>
      <c r="AI762">
        <v>1910.2796383298912</v>
      </c>
      <c r="AJ762">
        <v>7.0272762189245386</v>
      </c>
    </row>
    <row r="763" spans="4:36" x14ac:dyDescent="0.55000000000000004">
      <c r="D763">
        <v>756</v>
      </c>
      <c r="E763">
        <v>12.572703282922207</v>
      </c>
      <c r="F763">
        <v>0.46164320580377716</v>
      </c>
      <c r="G763">
        <v>0.1731173590924969</v>
      </c>
      <c r="H763">
        <v>16.792536152181526</v>
      </c>
      <c r="I763">
        <v>12.831787372474658</v>
      </c>
      <c r="J763">
        <v>0.27214221262521482</v>
      </c>
      <c r="K763">
        <v>0.10167914180900584</v>
      </c>
      <c r="L763">
        <v>16.794391273091115</v>
      </c>
      <c r="M763">
        <v>12.684021754913781</v>
      </c>
      <c r="N763">
        <v>0.3802695204748196</v>
      </c>
      <c r="O763">
        <v>0.14237564570709677</v>
      </c>
      <c r="P763">
        <v>16.79333307890429</v>
      </c>
      <c r="Q763">
        <v>12.674288786672594</v>
      </c>
      <c r="R763">
        <v>0.38738718775152781</v>
      </c>
      <c r="S763">
        <v>0.14506063393424143</v>
      </c>
      <c r="T763">
        <v>16.793263391641631</v>
      </c>
      <c r="U763">
        <v>1559.7961300368929</v>
      </c>
      <c r="V763">
        <v>9.9539902731276406</v>
      </c>
      <c r="W763">
        <v>1315.4015070512526</v>
      </c>
      <c r="X763">
        <v>7.3894183959868904</v>
      </c>
      <c r="Y763">
        <v>2891.1330906804383</v>
      </c>
      <c r="Z763">
        <v>10.000989754263726</v>
      </c>
      <c r="AA763">
        <v>2737.9848880884001</v>
      </c>
      <c r="AB763">
        <v>7.4176533921664927</v>
      </c>
      <c r="AC763">
        <v>2256.2270775602242</v>
      </c>
      <c r="AD763">
        <v>9.9741838900082165</v>
      </c>
      <c r="AE763">
        <v>2054.9817887349805</v>
      </c>
      <c r="AF763">
        <v>7.401564000999354</v>
      </c>
      <c r="AG763">
        <v>2135.9947196985627</v>
      </c>
      <c r="AH763">
        <v>9.9724182753987662</v>
      </c>
      <c r="AI763">
        <v>1926.3729148232883</v>
      </c>
      <c r="AJ763">
        <v>7.4005029223234127</v>
      </c>
    </row>
    <row r="764" spans="4:36" x14ac:dyDescent="0.55000000000000004">
      <c r="D764">
        <v>757</v>
      </c>
      <c r="E764">
        <v>12.270143662790492</v>
      </c>
      <c r="F764">
        <v>0.43472040814403812</v>
      </c>
      <c r="G764">
        <v>0.15791474869468125</v>
      </c>
      <c r="H764">
        <v>17.137221180370794</v>
      </c>
      <c r="I764">
        <v>12.498104048585287</v>
      </c>
      <c r="J764">
        <v>0.27205436032272107</v>
      </c>
      <c r="K764">
        <v>9.8492027877060323E-2</v>
      </c>
      <c r="L764">
        <v>17.131349563214933</v>
      </c>
      <c r="M764">
        <v>12.378471188545117</v>
      </c>
      <c r="N764">
        <v>0.3574608999557235</v>
      </c>
      <c r="O764">
        <v>0.1296406509923605</v>
      </c>
      <c r="P764">
        <v>17.134427260506797</v>
      </c>
      <c r="Q764">
        <v>12.381940306660956</v>
      </c>
      <c r="R764">
        <v>0.35498551466435552</v>
      </c>
      <c r="S764">
        <v>0.1287362801780845</v>
      </c>
      <c r="T764">
        <v>17.134337898496593</v>
      </c>
      <c r="U764">
        <v>1531.7751904703364</v>
      </c>
      <c r="V764">
        <v>9.7221918523925392</v>
      </c>
      <c r="W764">
        <v>1301.0864302184777</v>
      </c>
      <c r="X764">
        <v>7.2552203816871064</v>
      </c>
      <c r="Y764">
        <v>2881.2408989479322</v>
      </c>
      <c r="Z764">
        <v>9.768549125875019</v>
      </c>
      <c r="AA764">
        <v>2733.383919755333</v>
      </c>
      <c r="AB764">
        <v>7.2829063339607147</v>
      </c>
      <c r="AC764">
        <v>2221.5054058207297</v>
      </c>
      <c r="AD764">
        <v>9.7442233961813862</v>
      </c>
      <c r="AE764">
        <v>2034.5098803523531</v>
      </c>
      <c r="AF764">
        <v>7.2683907275331103</v>
      </c>
      <c r="AG764">
        <v>2092.2684406589733</v>
      </c>
      <c r="AH764">
        <v>9.7449288693759453</v>
      </c>
      <c r="AI764">
        <v>1900.0291437369847</v>
      </c>
      <c r="AJ764">
        <v>7.2688120812741577</v>
      </c>
    </row>
    <row r="765" spans="4:36" x14ac:dyDescent="0.55000000000000004">
      <c r="D765">
        <v>758</v>
      </c>
      <c r="E765">
        <v>11.473587870915186</v>
      </c>
      <c r="F765">
        <v>0.41573408719964344</v>
      </c>
      <c r="G765">
        <v>0.13704546808513204</v>
      </c>
      <c r="H765">
        <v>17.973632573800028</v>
      </c>
      <c r="I765">
        <v>11.648074033629296</v>
      </c>
      <c r="J765">
        <v>0.27680407277832031</v>
      </c>
      <c r="K765">
        <v>9.0998709525935792E-2</v>
      </c>
      <c r="L765">
        <v>17.984123184066455</v>
      </c>
      <c r="M765">
        <v>11.585643046585105</v>
      </c>
      <c r="N765">
        <v>0.32653022589457154</v>
      </c>
      <c r="O765">
        <v>0.10745062698852442</v>
      </c>
      <c r="P765">
        <v>17.98037610053181</v>
      </c>
      <c r="Q765">
        <v>11.546086739592774</v>
      </c>
      <c r="R765">
        <v>0.35802689654130665</v>
      </c>
      <c r="S765">
        <v>0.11788812378475919</v>
      </c>
      <c r="T765">
        <v>17.977998240081149</v>
      </c>
      <c r="U765">
        <v>1475.955803778259</v>
      </c>
      <c r="V765">
        <v>9.1416240433780835</v>
      </c>
      <c r="W765">
        <v>1268.9639430541802</v>
      </c>
      <c r="X765">
        <v>6.9103489771029691</v>
      </c>
      <c r="Y765">
        <v>2861.1904852355824</v>
      </c>
      <c r="Z765">
        <v>9.1688900262772464</v>
      </c>
      <c r="AA765">
        <v>2723.518218895385</v>
      </c>
      <c r="AB765">
        <v>6.927596566304997</v>
      </c>
      <c r="AC765">
        <v>2148.633608054161</v>
      </c>
      <c r="AD765">
        <v>9.159130333243084</v>
      </c>
      <c r="AE765">
        <v>1988.7269851520464</v>
      </c>
      <c r="AF765">
        <v>6.9214303109926076</v>
      </c>
      <c r="AG765">
        <v>2030.8446693229951</v>
      </c>
      <c r="AH765">
        <v>9.1529488571033752</v>
      </c>
      <c r="AI765">
        <v>1860.5475616561212</v>
      </c>
      <c r="AJ765">
        <v>6.9175205440928984</v>
      </c>
    </row>
    <row r="766" spans="4:36" x14ac:dyDescent="0.55000000000000004">
      <c r="D766">
        <v>759</v>
      </c>
      <c r="E766">
        <v>12.076565011769546</v>
      </c>
      <c r="F766">
        <v>0.48118921103361806</v>
      </c>
      <c r="G766">
        <v>0.14883377453157756</v>
      </c>
      <c r="H766">
        <v>17.293412002665253</v>
      </c>
      <c r="I766">
        <v>12.305914226233956</v>
      </c>
      <c r="J766">
        <v>0.29830881994437219</v>
      </c>
      <c r="K766">
        <v>9.1963783034169175E-2</v>
      </c>
      <c r="L766">
        <v>17.303813170787485</v>
      </c>
      <c r="M766">
        <v>12.212699471168747</v>
      </c>
      <c r="N766">
        <v>0.37266720845963652</v>
      </c>
      <c r="O766">
        <v>0.11504094866247212</v>
      </c>
      <c r="P766">
        <v>17.29959237170916</v>
      </c>
      <c r="Q766">
        <v>12.175689732745637</v>
      </c>
      <c r="R766">
        <v>0.40217890288469893</v>
      </c>
      <c r="S766">
        <v>0.12421729118784905</v>
      </c>
      <c r="T766">
        <v>17.297914073181826</v>
      </c>
      <c r="U766">
        <v>1554.3934573517979</v>
      </c>
      <c r="V766">
        <v>9.5363085045301954</v>
      </c>
      <c r="W766">
        <v>1314.5748135979975</v>
      </c>
      <c r="X766">
        <v>7.1332374536058305</v>
      </c>
      <c r="Y766">
        <v>2878.8286039592604</v>
      </c>
      <c r="Z766">
        <v>9.5738303970314647</v>
      </c>
      <c r="AA766">
        <v>2729.6248968118061</v>
      </c>
      <c r="AB766">
        <v>7.1563698192589529</v>
      </c>
      <c r="AC766">
        <v>2220.8953444306558</v>
      </c>
      <c r="AD766">
        <v>9.5585764075102198</v>
      </c>
      <c r="AE766">
        <v>2032.9945021955441</v>
      </c>
      <c r="AF766">
        <v>7.1469774663355379</v>
      </c>
      <c r="AG766">
        <v>2106.843449237489</v>
      </c>
      <c r="AH766">
        <v>9.5525214831784737</v>
      </c>
      <c r="AI766">
        <v>1907.3781044026414</v>
      </c>
      <c r="AJ766">
        <v>7.1432448102658501</v>
      </c>
    </row>
    <row r="767" spans="4:36" x14ac:dyDescent="0.55000000000000004">
      <c r="D767">
        <v>760</v>
      </c>
      <c r="E767">
        <v>13.925515629635223</v>
      </c>
      <c r="F767">
        <v>0.5031213501851467</v>
      </c>
      <c r="G767">
        <v>0.17783110723063209</v>
      </c>
      <c r="H767">
        <v>15.393531912949006</v>
      </c>
      <c r="I767">
        <v>14.19851567878931</v>
      </c>
      <c r="J767">
        <v>0.32072116065844419</v>
      </c>
      <c r="K767">
        <v>0.11294976498349359</v>
      </c>
      <c r="L767">
        <v>15.367813395568751</v>
      </c>
      <c r="M767">
        <v>14.094785387626827</v>
      </c>
      <c r="N767">
        <v>0.39008214641057243</v>
      </c>
      <c r="O767">
        <v>0.13756565416680111</v>
      </c>
      <c r="P767">
        <v>15.377566811795814</v>
      </c>
      <c r="Q767">
        <v>14.081780930757414</v>
      </c>
      <c r="R767">
        <v>0.39877302693030264</v>
      </c>
      <c r="S767">
        <v>0.14065485631261665</v>
      </c>
      <c r="T767">
        <v>15.378791185999669</v>
      </c>
      <c r="U767">
        <v>1608.564817172864</v>
      </c>
      <c r="V767">
        <v>10.986953588141207</v>
      </c>
      <c r="W767">
        <v>1341.2897909276926</v>
      </c>
      <c r="X767">
        <v>7.9976417936908746</v>
      </c>
      <c r="Y767">
        <v>2929.7372138770743</v>
      </c>
      <c r="Z767">
        <v>11.047990001024141</v>
      </c>
      <c r="AA767">
        <v>2758.1021648784726</v>
      </c>
      <c r="AB767">
        <v>8.032332215328676</v>
      </c>
      <c r="AC767">
        <v>2259.0300714474306</v>
      </c>
      <c r="AD767">
        <v>11.02481066247263</v>
      </c>
      <c r="AE767">
        <v>2050.6329535752689</v>
      </c>
      <c r="AF767">
        <v>8.0191707181792342</v>
      </c>
      <c r="AG767">
        <v>2178.0336254390286</v>
      </c>
      <c r="AH767">
        <v>11.021903656062753</v>
      </c>
      <c r="AI767">
        <v>1950.2234121933764</v>
      </c>
      <c r="AJ767">
        <v>8.0175190018521487</v>
      </c>
    </row>
    <row r="768" spans="4:36" x14ac:dyDescent="0.55000000000000004">
      <c r="D768">
        <v>761</v>
      </c>
      <c r="E768">
        <v>12.28223524764624</v>
      </c>
      <c r="F768">
        <v>0.4521909034870723</v>
      </c>
      <c r="G768">
        <v>0.15417894214129868</v>
      </c>
      <c r="H768">
        <v>17.111394906725398</v>
      </c>
      <c r="I768">
        <v>12.48689314496251</v>
      </c>
      <c r="J768">
        <v>0.29617948176069825</v>
      </c>
      <c r="K768">
        <v>0.10068831142257632</v>
      </c>
      <c r="L768">
        <v>17.116239061854209</v>
      </c>
      <c r="M768">
        <v>12.412684509668958</v>
      </c>
      <c r="N768">
        <v>0.35277481717893544</v>
      </c>
      <c r="O768">
        <v>0.12005589537196762</v>
      </c>
      <c r="P768">
        <v>17.114484777780142</v>
      </c>
      <c r="Q768">
        <v>12.351955413897675</v>
      </c>
      <c r="R768">
        <v>0.39906814550071162</v>
      </c>
      <c r="S768">
        <v>0.13592914914773646</v>
      </c>
      <c r="T768">
        <v>17.113047291453871</v>
      </c>
      <c r="U768">
        <v>1540.437356844353</v>
      </c>
      <c r="V768">
        <v>9.7435799890067596</v>
      </c>
      <c r="W768">
        <v>1306.2994972002559</v>
      </c>
      <c r="X768">
        <v>7.268307509116525</v>
      </c>
      <c r="Y768">
        <v>2897.3575282898182</v>
      </c>
      <c r="Z768">
        <v>9.7811810349477906</v>
      </c>
      <c r="AA768">
        <v>2743.6316946115121</v>
      </c>
      <c r="AB768">
        <v>7.2911347954887393</v>
      </c>
      <c r="AC768">
        <v>2199.7148223567624</v>
      </c>
      <c r="AD768">
        <v>9.7675458056162583</v>
      </c>
      <c r="AE768">
        <v>2018.6232536273146</v>
      </c>
      <c r="AF768">
        <v>7.2828661252252571</v>
      </c>
      <c r="AG768">
        <v>2108.8235971786635</v>
      </c>
      <c r="AH768">
        <v>9.756388301312116</v>
      </c>
      <c r="AI768">
        <v>1909.0893948792195</v>
      </c>
      <c r="AJ768">
        <v>7.2760922634074534</v>
      </c>
    </row>
    <row r="769" spans="4:36" x14ac:dyDescent="0.55000000000000004">
      <c r="D769">
        <v>762</v>
      </c>
      <c r="E769">
        <v>13.183016903803489</v>
      </c>
      <c r="F769">
        <v>0.47876425267138895</v>
      </c>
      <c r="G769">
        <v>0.19071712625537318</v>
      </c>
      <c r="H769">
        <v>16.147501717269748</v>
      </c>
      <c r="I769">
        <v>13.415249009940618</v>
      </c>
      <c r="J769">
        <v>0.31269447701391512</v>
      </c>
      <c r="K769">
        <v>0.12416773293936363</v>
      </c>
      <c r="L769">
        <v>16.147888780106097</v>
      </c>
      <c r="M769">
        <v>13.342592049542429</v>
      </c>
      <c r="N769">
        <v>0.36468568512978783</v>
      </c>
      <c r="O769">
        <v>0.14495615740055043</v>
      </c>
      <c r="P769">
        <v>16.147766107927243</v>
      </c>
      <c r="Q769">
        <v>13.26779098101728</v>
      </c>
      <c r="R769">
        <v>0.41817887776907775</v>
      </c>
      <c r="S769">
        <v>0.16638883449859265</v>
      </c>
      <c r="T769">
        <v>16.147641306715034</v>
      </c>
      <c r="U769">
        <v>1579.4624926174702</v>
      </c>
      <c r="V769">
        <v>10.450676146175264</v>
      </c>
      <c r="W769">
        <v>1326.2330389620333</v>
      </c>
      <c r="X769">
        <v>7.6868050529717635</v>
      </c>
      <c r="Y769">
        <v>2900.7752587342893</v>
      </c>
      <c r="Z769">
        <v>10.495216980398666</v>
      </c>
      <c r="AA769">
        <v>2740.3490747798432</v>
      </c>
      <c r="AB769">
        <v>7.7132337032385383</v>
      </c>
      <c r="AC769">
        <v>2264.6966924309204</v>
      </c>
      <c r="AD769">
        <v>10.481282357019623</v>
      </c>
      <c r="AE769">
        <v>2060.4015484253264</v>
      </c>
      <c r="AF769">
        <v>7.7049750441978704</v>
      </c>
      <c r="AG769">
        <v>2134.7665818074743</v>
      </c>
      <c r="AH769">
        <v>10.466935973835891</v>
      </c>
      <c r="AI769">
        <v>1920.9859669050691</v>
      </c>
      <c r="AJ769">
        <v>7.6964632876381112</v>
      </c>
    </row>
    <row r="770" spans="4:36" x14ac:dyDescent="0.55000000000000004">
      <c r="D770">
        <v>763</v>
      </c>
      <c r="E770">
        <v>13.063657215215928</v>
      </c>
      <c r="F770">
        <v>0.46589475386805296</v>
      </c>
      <c r="G770">
        <v>0.18928179667150485</v>
      </c>
      <c r="H770">
        <v>16.281166234244534</v>
      </c>
      <c r="I770">
        <v>13.30243129783865</v>
      </c>
      <c r="J770">
        <v>0.29459237019014006</v>
      </c>
      <c r="K770">
        <v>0.11928033023640601</v>
      </c>
      <c r="L770">
        <v>16.283696001734818</v>
      </c>
      <c r="M770">
        <v>13.196147973529332</v>
      </c>
      <c r="N770">
        <v>0.37088396070900909</v>
      </c>
      <c r="O770">
        <v>0.15039679665410588</v>
      </c>
      <c r="P770">
        <v>16.282571269107553</v>
      </c>
      <c r="Q770">
        <v>13.149053180008147</v>
      </c>
      <c r="R770">
        <v>0.40466809763678985</v>
      </c>
      <c r="S770">
        <v>0.16420650423402311</v>
      </c>
      <c r="T770">
        <v>16.282072218121037</v>
      </c>
      <c r="U770">
        <v>1595.4679135208612</v>
      </c>
      <c r="V770">
        <v>10.393066199361602</v>
      </c>
      <c r="W770">
        <v>1338.0569840024737</v>
      </c>
      <c r="X770">
        <v>7.6588534231195426</v>
      </c>
      <c r="Y770">
        <v>2919.0298628403561</v>
      </c>
      <c r="Z770">
        <v>10.438854498742884</v>
      </c>
      <c r="AA770">
        <v>2754.5984092013114</v>
      </c>
      <c r="AB770">
        <v>7.6861957912464778</v>
      </c>
      <c r="AC770">
        <v>2260.599235607724</v>
      </c>
      <c r="AD770">
        <v>10.418472452219961</v>
      </c>
      <c r="AE770">
        <v>2056.1304450654402</v>
      </c>
      <c r="AF770">
        <v>7.6740369159133266</v>
      </c>
      <c r="AG770">
        <v>2144.6667182515298</v>
      </c>
      <c r="AH770">
        <v>10.40944141030767</v>
      </c>
      <c r="AI770">
        <v>1928.4303860550106</v>
      </c>
      <c r="AJ770">
        <v>7.668643222714854</v>
      </c>
    </row>
    <row r="771" spans="4:36" x14ac:dyDescent="0.55000000000000004">
      <c r="D771">
        <v>764</v>
      </c>
      <c r="E771">
        <v>11.189610543465804</v>
      </c>
      <c r="F771">
        <v>0.43820908234099237</v>
      </c>
      <c r="G771">
        <v>0.15257645230022746</v>
      </c>
      <c r="H771">
        <v>18.219603921892979</v>
      </c>
      <c r="I771">
        <v>11.359459354907823</v>
      </c>
      <c r="J771">
        <v>0.29152663828966702</v>
      </c>
      <c r="K771">
        <v>0.1012314072376136</v>
      </c>
      <c r="L771">
        <v>18.247782599564911</v>
      </c>
      <c r="M771">
        <v>11.271274149421615</v>
      </c>
      <c r="N771">
        <v>0.36769653952945924</v>
      </c>
      <c r="O771">
        <v>0.12785915189980676</v>
      </c>
      <c r="P771">
        <v>18.23317015914914</v>
      </c>
      <c r="Q771">
        <v>11.272323865515554</v>
      </c>
      <c r="R771">
        <v>0.36679000801277811</v>
      </c>
      <c r="S771">
        <v>0.12754180126856121</v>
      </c>
      <c r="T771">
        <v>18.23334432520312</v>
      </c>
      <c r="U771">
        <v>1495.0885296738084</v>
      </c>
      <c r="V771">
        <v>8.8817603795154962</v>
      </c>
      <c r="W771">
        <v>1277.9972066348942</v>
      </c>
      <c r="X771">
        <v>6.7386492628893375</v>
      </c>
      <c r="Y771">
        <v>2846.0596344677874</v>
      </c>
      <c r="Z771">
        <v>8.8947576139852789</v>
      </c>
      <c r="AA771">
        <v>2708.2974185612838</v>
      </c>
      <c r="AB771">
        <v>6.7480853204859388</v>
      </c>
      <c r="AC771">
        <v>2182.2823227231083</v>
      </c>
      <c r="AD771">
        <v>8.887998922055333</v>
      </c>
      <c r="AE771">
        <v>2007.8421646192494</v>
      </c>
      <c r="AF771">
        <v>6.7431861389914403</v>
      </c>
      <c r="AG771">
        <v>2059.2767400900652</v>
      </c>
      <c r="AH771">
        <v>8.8880792408827372</v>
      </c>
      <c r="AI771">
        <v>1878.3146055831216</v>
      </c>
      <c r="AJ771">
        <v>6.7432444566072638</v>
      </c>
    </row>
    <row r="772" spans="4:36" x14ac:dyDescent="0.55000000000000004">
      <c r="D772">
        <v>765</v>
      </c>
      <c r="E772">
        <v>12.599472220551943</v>
      </c>
      <c r="F772">
        <v>0.47395835348961529</v>
      </c>
      <c r="G772">
        <v>0.16914769587589343</v>
      </c>
      <c r="H772">
        <v>16.757421730082545</v>
      </c>
      <c r="I772">
        <v>12.828017519705313</v>
      </c>
      <c r="J772">
        <v>0.30187980145576254</v>
      </c>
      <c r="K772">
        <v>0.10738715858533218</v>
      </c>
      <c r="L772">
        <v>16.762715520253597</v>
      </c>
      <c r="M772">
        <v>12.73863133350936</v>
      </c>
      <c r="N772">
        <v>0.36921502124804967</v>
      </c>
      <c r="O772">
        <v>0.13150603953332526</v>
      </c>
      <c r="P772">
        <v>16.760647605709266</v>
      </c>
      <c r="Q772">
        <v>12.734189612413145</v>
      </c>
      <c r="R772">
        <v>0.37255987620929809</v>
      </c>
      <c r="S772">
        <v>0.13270574774750837</v>
      </c>
      <c r="T772">
        <v>16.760544763630048</v>
      </c>
      <c r="U772">
        <v>1536.8302555628973</v>
      </c>
      <c r="V772">
        <v>9.9495654403375067</v>
      </c>
      <c r="W772">
        <v>1300.8890175663735</v>
      </c>
      <c r="X772">
        <v>7.3829343737291033</v>
      </c>
      <c r="Y772">
        <v>2867.1515546058558</v>
      </c>
      <c r="Z772">
        <v>9.9905274577171213</v>
      </c>
      <c r="AA772">
        <v>2719.9767498400697</v>
      </c>
      <c r="AB772">
        <v>7.4076182692547912</v>
      </c>
      <c r="AC772">
        <v>2214.3587575676611</v>
      </c>
      <c r="AD772">
        <v>9.9745058788889942</v>
      </c>
      <c r="AE772">
        <v>2027.4847827245771</v>
      </c>
      <c r="AF772">
        <v>7.3979744330250137</v>
      </c>
      <c r="AG772">
        <v>2074.3188437834947</v>
      </c>
      <c r="AH772">
        <v>9.9737097766889118</v>
      </c>
      <c r="AI772">
        <v>1884.4136657830525</v>
      </c>
      <c r="AJ772">
        <v>7.3974948759712467</v>
      </c>
    </row>
    <row r="773" spans="4:36" x14ac:dyDescent="0.55000000000000004">
      <c r="D773">
        <v>766</v>
      </c>
      <c r="E773">
        <v>12.552510191767874</v>
      </c>
      <c r="F773">
        <v>0.4308332967474155</v>
      </c>
      <c r="G773">
        <v>0.15589789078783356</v>
      </c>
      <c r="H773">
        <v>16.860758620696892</v>
      </c>
      <c r="I773">
        <v>12.791592896883865</v>
      </c>
      <c r="J773">
        <v>0.27109720486034983</v>
      </c>
      <c r="K773">
        <v>9.774898119674727E-2</v>
      </c>
      <c r="L773">
        <v>16.839560917059028</v>
      </c>
      <c r="M773">
        <v>12.707521432798707</v>
      </c>
      <c r="N773">
        <v>0.32731093924972826</v>
      </c>
      <c r="O773">
        <v>0.11816472357329962</v>
      </c>
      <c r="P773">
        <v>16.847002904378254</v>
      </c>
      <c r="Q773">
        <v>12.677198215890055</v>
      </c>
      <c r="R773">
        <v>0.34757470229836207</v>
      </c>
      <c r="S773">
        <v>0.12553679028676865</v>
      </c>
      <c r="T773">
        <v>16.84969029152483</v>
      </c>
      <c r="U773">
        <v>1532.3003812152749</v>
      </c>
      <c r="V773">
        <v>9.9059721082602863</v>
      </c>
      <c r="W773">
        <v>1298.7136071703285</v>
      </c>
      <c r="X773">
        <v>7.3617641538877914</v>
      </c>
      <c r="Y773">
        <v>2883.4885733981341</v>
      </c>
      <c r="Z773">
        <v>9.9614984784113236</v>
      </c>
      <c r="AA773">
        <v>2733.1553630640228</v>
      </c>
      <c r="AB773">
        <v>7.3943023249596296</v>
      </c>
      <c r="AC773">
        <v>2203.687290088787</v>
      </c>
      <c r="AD773">
        <v>9.9419798706676943</v>
      </c>
      <c r="AE773">
        <v>2021.1050154310094</v>
      </c>
      <c r="AF773">
        <v>7.3828771691019304</v>
      </c>
      <c r="AG773">
        <v>2115.6332568017474</v>
      </c>
      <c r="AH773">
        <v>9.9349380272013263</v>
      </c>
      <c r="AI773">
        <v>1915.4940006231689</v>
      </c>
      <c r="AJ773">
        <v>7.378751900350875</v>
      </c>
    </row>
    <row r="774" spans="4:36" x14ac:dyDescent="0.55000000000000004">
      <c r="D774">
        <v>767</v>
      </c>
      <c r="E774">
        <v>13.26143280569973</v>
      </c>
      <c r="F774">
        <v>0.48339234284612237</v>
      </c>
      <c r="G774">
        <v>0.18440528745749643</v>
      </c>
      <c r="H774">
        <v>16.070769563996667</v>
      </c>
      <c r="I774">
        <v>13.516396642893099</v>
      </c>
      <c r="J774">
        <v>0.3074472169556442</v>
      </c>
      <c r="K774">
        <v>0.11684415704543584</v>
      </c>
      <c r="L774">
        <v>16.059311983105832</v>
      </c>
      <c r="M774">
        <v>13.384795265149885</v>
      </c>
      <c r="N774">
        <v>0.39831305674943773</v>
      </c>
      <c r="O774">
        <v>0.15167104474718701</v>
      </c>
      <c r="P774">
        <v>16.065220633353498</v>
      </c>
      <c r="Q774">
        <v>13.383798939538968</v>
      </c>
      <c r="R774">
        <v>0.39900057298362629</v>
      </c>
      <c r="S774">
        <v>0.1519350783472376</v>
      </c>
      <c r="T774">
        <v>16.065265409130163</v>
      </c>
      <c r="U774">
        <v>1577.3820272027403</v>
      </c>
      <c r="V774">
        <v>10.456329641892328</v>
      </c>
      <c r="W774">
        <v>1324.4947222826206</v>
      </c>
      <c r="X774">
        <v>7.6822886277251357</v>
      </c>
      <c r="Y774">
        <v>2899.170740150339</v>
      </c>
      <c r="Z774">
        <v>10.509200961391082</v>
      </c>
      <c r="AA774">
        <v>2739.6337341422154</v>
      </c>
      <c r="AB774">
        <v>7.7133144696348186</v>
      </c>
      <c r="AC774">
        <v>2265.811252844614</v>
      </c>
      <c r="AD774">
        <v>10.48191437968706</v>
      </c>
      <c r="AE774">
        <v>2058.8157446425948</v>
      </c>
      <c r="AF774">
        <v>7.6973159649275509</v>
      </c>
      <c r="AG774">
        <v>2149.6869213264572</v>
      </c>
      <c r="AH774">
        <v>10.481707771934287</v>
      </c>
      <c r="AI774">
        <v>1933.5301527491429</v>
      </c>
      <c r="AJ774">
        <v>7.697194716605094</v>
      </c>
    </row>
    <row r="775" spans="4:36" x14ac:dyDescent="0.55000000000000004">
      <c r="D775">
        <v>768</v>
      </c>
      <c r="E775">
        <v>11.860456692562558</v>
      </c>
      <c r="F775">
        <v>0.48526289917900134</v>
      </c>
      <c r="G775">
        <v>0.17056167922188262</v>
      </c>
      <c r="H775">
        <v>17.483718729036561</v>
      </c>
      <c r="I775">
        <v>12.068646408239625</v>
      </c>
      <c r="J775">
        <v>0.31001238850986679</v>
      </c>
      <c r="K775">
        <v>0.10860920355422604</v>
      </c>
      <c r="L775">
        <v>17.512731999696278</v>
      </c>
      <c r="M775">
        <v>11.998477044577307</v>
      </c>
      <c r="N775">
        <v>0.36909847565405068</v>
      </c>
      <c r="O775">
        <v>0.12945090181693328</v>
      </c>
      <c r="P775">
        <v>17.5029735779517</v>
      </c>
      <c r="Q775">
        <v>11.960180155217854</v>
      </c>
      <c r="R775">
        <v>0.40133835592889894</v>
      </c>
      <c r="S775">
        <v>0.14084253981643557</v>
      </c>
      <c r="T775">
        <v>17.497638949036823</v>
      </c>
      <c r="U775">
        <v>1561.4081326981761</v>
      </c>
      <c r="V775">
        <v>9.3637777212581987</v>
      </c>
      <c r="W775">
        <v>1316.8706928326171</v>
      </c>
      <c r="X775">
        <v>7.0230416386032894</v>
      </c>
      <c r="Y775">
        <v>2910.8709482784179</v>
      </c>
      <c r="Z775">
        <v>9.3860020220247442</v>
      </c>
      <c r="AA775">
        <v>2751.1152756019733</v>
      </c>
      <c r="AB775">
        <v>7.0379459894811003</v>
      </c>
      <c r="AC775">
        <v>2218.4703792509617</v>
      </c>
      <c r="AD775">
        <v>9.3785001176506615</v>
      </c>
      <c r="AE775">
        <v>2029.5143047035262</v>
      </c>
      <c r="AF775">
        <v>7.032924480949343</v>
      </c>
      <c r="AG775">
        <v>2117.2065401488139</v>
      </c>
      <c r="AH775">
        <v>9.3744105737296035</v>
      </c>
      <c r="AI775">
        <v>1913.0984898608472</v>
      </c>
      <c r="AJ775">
        <v>7.0301830282739379</v>
      </c>
    </row>
    <row r="776" spans="4:36" x14ac:dyDescent="0.55000000000000004">
      <c r="D776">
        <v>769</v>
      </c>
      <c r="E776">
        <v>12.926356218319773</v>
      </c>
      <c r="F776">
        <v>0.45252736303347035</v>
      </c>
      <c r="G776">
        <v>0.15540416205924221</v>
      </c>
      <c r="H776">
        <v>16.465712256587519</v>
      </c>
      <c r="I776">
        <v>13.120693035463722</v>
      </c>
      <c r="J776">
        <v>0.3094460839333712</v>
      </c>
      <c r="K776">
        <v>0.10598361364376435</v>
      </c>
      <c r="L776">
        <v>16.463877266959138</v>
      </c>
      <c r="M776">
        <v>13.048032715712338</v>
      </c>
      <c r="N776">
        <v>0.36296735152628368</v>
      </c>
      <c r="O776">
        <v>0.12443852058263168</v>
      </c>
      <c r="P776">
        <v>16.464561412178742</v>
      </c>
      <c r="Q776">
        <v>12.962675210757768</v>
      </c>
      <c r="R776">
        <v>0.42580350940819223</v>
      </c>
      <c r="S776">
        <v>0.14615322046068602</v>
      </c>
      <c r="T776">
        <v>16.465368059373361</v>
      </c>
      <c r="U776">
        <v>1508.9753420199831</v>
      </c>
      <c r="V776">
        <v>10.133769475405144</v>
      </c>
      <c r="W776">
        <v>1280.0923934530992</v>
      </c>
      <c r="X776">
        <v>7.4868437840198121</v>
      </c>
      <c r="Y776">
        <v>2904.0925885416664</v>
      </c>
      <c r="Z776">
        <v>10.172347307578248</v>
      </c>
      <c r="AA776">
        <v>2745.8694783527858</v>
      </c>
      <c r="AB776">
        <v>7.5097926198950216</v>
      </c>
      <c r="AC776">
        <v>2245.470121271941</v>
      </c>
      <c r="AD776">
        <v>10.157924179196046</v>
      </c>
      <c r="AE776">
        <v>2049.7692920743075</v>
      </c>
      <c r="AF776">
        <v>7.501220501158457</v>
      </c>
      <c r="AG776">
        <v>2149.088196815856</v>
      </c>
      <c r="AH776">
        <v>10.14097960965479</v>
      </c>
      <c r="AI776">
        <v>1934.8838904984252</v>
      </c>
      <c r="AJ776">
        <v>7.4911379560521922</v>
      </c>
    </row>
    <row r="777" spans="4:36" x14ac:dyDescent="0.55000000000000004">
      <c r="D777">
        <v>770</v>
      </c>
      <c r="E777">
        <v>13.144342273831688</v>
      </c>
      <c r="F777">
        <v>0.44854333770540461</v>
      </c>
      <c r="G777">
        <v>0.17155351438869623</v>
      </c>
      <c r="H777">
        <v>16.235560874074203</v>
      </c>
      <c r="I777">
        <v>13.365328973158363</v>
      </c>
      <c r="J777">
        <v>0.3005781656046066</v>
      </c>
      <c r="K777">
        <v>0.11460019344124057</v>
      </c>
      <c r="L777">
        <v>16.219492667795794</v>
      </c>
      <c r="M777">
        <v>13.295823614491169</v>
      </c>
      <c r="N777">
        <v>0.34715097913579379</v>
      </c>
      <c r="O777">
        <v>0.13248731478939654</v>
      </c>
      <c r="P777">
        <v>16.224538091583639</v>
      </c>
      <c r="Q777">
        <v>13.246192159787011</v>
      </c>
      <c r="R777">
        <v>0.38038782326074544</v>
      </c>
      <c r="S777">
        <v>0.14527446022820006</v>
      </c>
      <c r="T777">
        <v>16.228145556724041</v>
      </c>
      <c r="U777">
        <v>1578.9685818490552</v>
      </c>
      <c r="V777">
        <v>10.40168497437949</v>
      </c>
      <c r="W777">
        <v>1329.0776978822541</v>
      </c>
      <c r="X777">
        <v>7.6616798861777378</v>
      </c>
      <c r="Y777">
        <v>2919.0143485982871</v>
      </c>
      <c r="Z777">
        <v>10.455733845616152</v>
      </c>
      <c r="AA777">
        <v>2755.3138913444609</v>
      </c>
      <c r="AB777">
        <v>7.6932234454773667</v>
      </c>
      <c r="AC777">
        <v>2244.7841663707891</v>
      </c>
      <c r="AD777">
        <v>10.438738848894229</v>
      </c>
      <c r="AE777">
        <v>2047.7110253506339</v>
      </c>
      <c r="AF777">
        <v>7.6833151125317505</v>
      </c>
      <c r="AG777">
        <v>2141.8244133664048</v>
      </c>
      <c r="AH777">
        <v>10.426600712048899</v>
      </c>
      <c r="AI777">
        <v>1929.8233215450971</v>
      </c>
      <c r="AJ777">
        <v>7.6762327264569263</v>
      </c>
    </row>
    <row r="778" spans="4:36" x14ac:dyDescent="0.55000000000000004">
      <c r="D778">
        <v>771</v>
      </c>
      <c r="E778">
        <v>12.656212234631344</v>
      </c>
      <c r="F778">
        <v>0.49379892080944998</v>
      </c>
      <c r="G778">
        <v>0.16620870870662244</v>
      </c>
      <c r="H778">
        <v>16.683780135852587</v>
      </c>
      <c r="I778">
        <v>12.877711347545088</v>
      </c>
      <c r="J778">
        <v>0.32103929349721511</v>
      </c>
      <c r="K778">
        <v>0.10772791416016131</v>
      </c>
      <c r="L778">
        <v>16.693521444797529</v>
      </c>
      <c r="M778">
        <v>12.770504623566309</v>
      </c>
      <c r="N778">
        <v>0.4046860513475804</v>
      </c>
      <c r="O778">
        <v>0.13599763859836869</v>
      </c>
      <c r="P778">
        <v>16.68881168648775</v>
      </c>
      <c r="Q778">
        <v>12.75420157163116</v>
      </c>
      <c r="R778">
        <v>0.41740136678746498</v>
      </c>
      <c r="S778">
        <v>0.14030242659889117</v>
      </c>
      <c r="T778">
        <v>16.688094634982477</v>
      </c>
      <c r="U778">
        <v>1575.2224518826506</v>
      </c>
      <c r="V778">
        <v>10.079845008038554</v>
      </c>
      <c r="W778">
        <v>1324.8061052028222</v>
      </c>
      <c r="X778">
        <v>7.4711470759807952</v>
      </c>
      <c r="Y778">
        <v>2902.3716841201531</v>
      </c>
      <c r="Z778">
        <v>10.117288941604471</v>
      </c>
      <c r="AA778">
        <v>2742.6745744290429</v>
      </c>
      <c r="AB778">
        <v>7.4939624868361445</v>
      </c>
      <c r="AC778">
        <v>2257.7461314410602</v>
      </c>
      <c r="AD778">
        <v>10.099162630222873</v>
      </c>
      <c r="AE778">
        <v>2054.5456874267807</v>
      </c>
      <c r="AF778">
        <v>7.4829284168447376</v>
      </c>
      <c r="AG778">
        <v>2136.5884084388736</v>
      </c>
      <c r="AH778">
        <v>10.096406673583038</v>
      </c>
      <c r="AI778">
        <v>1924.7923685407154</v>
      </c>
      <c r="AJ778">
        <v>7.4812490286308968</v>
      </c>
    </row>
    <row r="779" spans="4:36" x14ac:dyDescent="0.55000000000000004">
      <c r="D779">
        <v>772</v>
      </c>
      <c r="E779">
        <v>12.363865290318234</v>
      </c>
      <c r="F779">
        <v>0.42448680283967671</v>
      </c>
      <c r="G779">
        <v>0.1428518844977745</v>
      </c>
      <c r="H779">
        <v>17.068796022344301</v>
      </c>
      <c r="I779">
        <v>12.554166511902185</v>
      </c>
      <c r="J779">
        <v>0.28596632467725319</v>
      </c>
      <c r="K779">
        <v>9.5964895539829481E-2</v>
      </c>
      <c r="L779">
        <v>17.063902267880742</v>
      </c>
      <c r="M779">
        <v>12.448461192017465</v>
      </c>
      <c r="N779">
        <v>0.36293577829504653</v>
      </c>
      <c r="O779">
        <v>0.12198471833860054</v>
      </c>
      <c r="P779">
        <v>17.066618311348897</v>
      </c>
      <c r="Q779">
        <v>12.426316229457713</v>
      </c>
      <c r="R779">
        <v>0.37905230999382228</v>
      </c>
      <c r="S779">
        <v>0.12744343282569845</v>
      </c>
      <c r="T779">
        <v>17.067188027722764</v>
      </c>
      <c r="U779">
        <v>1501.2114573157921</v>
      </c>
      <c r="V779">
        <v>9.7455254266799827</v>
      </c>
      <c r="W779">
        <v>1281.0281157283814</v>
      </c>
      <c r="X779">
        <v>7.2641354223657233</v>
      </c>
      <c r="Y779">
        <v>2869.049833688799</v>
      </c>
      <c r="Z779">
        <v>9.784256039765987</v>
      </c>
      <c r="AA779">
        <v>2724.5960816076977</v>
      </c>
      <c r="AB779">
        <v>7.2873089886898139</v>
      </c>
      <c r="AC779">
        <v>2196.9962127354124</v>
      </c>
      <c r="AD779">
        <v>9.7627437013654319</v>
      </c>
      <c r="AE779">
        <v>2017.542036672035</v>
      </c>
      <c r="AF779">
        <v>7.2744462429977537</v>
      </c>
      <c r="AG779">
        <v>2081.2947801752716</v>
      </c>
      <c r="AH779">
        <v>9.7582365833158331</v>
      </c>
      <c r="AI779">
        <v>1891.8339144694025</v>
      </c>
      <c r="AJ779">
        <v>7.2717485933140553</v>
      </c>
    </row>
    <row r="780" spans="4:36" x14ac:dyDescent="0.55000000000000004">
      <c r="D780">
        <v>773</v>
      </c>
      <c r="E780">
        <v>12.271490725785755</v>
      </c>
      <c r="F780">
        <v>0.4675592431375587</v>
      </c>
      <c r="G780">
        <v>0.17985592477018067</v>
      </c>
      <c r="H780">
        <v>17.081094106306498</v>
      </c>
      <c r="I780">
        <v>12.505276773030303</v>
      </c>
      <c r="J780">
        <v>0.29417690923034712</v>
      </c>
      <c r="K780">
        <v>0.11277100356459317</v>
      </c>
      <c r="L780">
        <v>17.087775314174756</v>
      </c>
      <c r="M780">
        <v>12.431324681955179</v>
      </c>
      <c r="N780">
        <v>0.34905554792409832</v>
      </c>
      <c r="O780">
        <v>0.13395383423257212</v>
      </c>
      <c r="P780">
        <v>17.085665935888144</v>
      </c>
      <c r="Q780">
        <v>12.359872934659665</v>
      </c>
      <c r="R780">
        <v>0.40204921522199122</v>
      </c>
      <c r="S780">
        <v>0.15445351873465382</v>
      </c>
      <c r="T780">
        <v>17.083624331383682</v>
      </c>
      <c r="U780">
        <v>1536.8468516940181</v>
      </c>
      <c r="V780">
        <v>9.7233682894380422</v>
      </c>
      <c r="W780">
        <v>1302.5830043970207</v>
      </c>
      <c r="X780">
        <v>7.2497857298804629</v>
      </c>
      <c r="Y780">
        <v>2879.4182169772425</v>
      </c>
      <c r="Z780">
        <v>9.7635408734461127</v>
      </c>
      <c r="AA780">
        <v>2730.4318315634782</v>
      </c>
      <c r="AB780">
        <v>7.2743452129624266</v>
      </c>
      <c r="AC780">
        <v>2216.3253817637797</v>
      </c>
      <c r="AD780">
        <v>9.750830521878072</v>
      </c>
      <c r="AE780">
        <v>2031.4615959106056</v>
      </c>
      <c r="AF780">
        <v>7.266585650966765</v>
      </c>
      <c r="AG780">
        <v>2097.9933786820989</v>
      </c>
      <c r="AH780">
        <v>9.7385523704111812</v>
      </c>
      <c r="AI780">
        <v>1900.856480993539</v>
      </c>
      <c r="AJ780">
        <v>7.2590804018377479</v>
      </c>
    </row>
    <row r="781" spans="4:36" x14ac:dyDescent="0.55000000000000004">
      <c r="D781">
        <v>774</v>
      </c>
      <c r="E781">
        <v>12.782639601285673</v>
      </c>
      <c r="F781">
        <v>0.47932669558233093</v>
      </c>
      <c r="G781">
        <v>0.18778784783708427</v>
      </c>
      <c r="H781">
        <v>16.550245855294907</v>
      </c>
      <c r="I781">
        <v>13.013754322196819</v>
      </c>
      <c r="J781">
        <v>0.30717981541095346</v>
      </c>
      <c r="K781">
        <v>0.11992722533173543</v>
      </c>
      <c r="L781">
        <v>16.559138637060475</v>
      </c>
      <c r="M781">
        <v>12.927335940416164</v>
      </c>
      <c r="N781">
        <v>0.37158338101029159</v>
      </c>
      <c r="O781">
        <v>0.14525918811540794</v>
      </c>
      <c r="P781">
        <v>16.555821490458126</v>
      </c>
      <c r="Q781">
        <v>12.867042850325261</v>
      </c>
      <c r="R781">
        <v>0.41649271053082099</v>
      </c>
      <c r="S781">
        <v>0.16296295095946739</v>
      </c>
      <c r="T781">
        <v>16.553501488184448</v>
      </c>
      <c r="U781">
        <v>1582.4970619072799</v>
      </c>
      <c r="V781">
        <v>10.10806197596029</v>
      </c>
      <c r="W781">
        <v>1327.5466393647289</v>
      </c>
      <c r="X781">
        <v>7.4767087356605648</v>
      </c>
      <c r="Y781">
        <v>2912.1248839933687</v>
      </c>
      <c r="Z781">
        <v>10.145917541871132</v>
      </c>
      <c r="AA781">
        <v>2748.5927183979011</v>
      </c>
      <c r="AB781">
        <v>7.4997479443318724</v>
      </c>
      <c r="AC781">
        <v>2233.901210404229</v>
      </c>
      <c r="AD781">
        <v>10.131758745594032</v>
      </c>
      <c r="AE781">
        <v>2036.4331966869861</v>
      </c>
      <c r="AF781">
        <v>7.4911413823663313</v>
      </c>
      <c r="AG781">
        <v>2174.8660739739198</v>
      </c>
      <c r="AH781">
        <v>10.121883032418495</v>
      </c>
      <c r="AI781">
        <v>1950.0729341180947</v>
      </c>
      <c r="AJ781">
        <v>7.4851308678569799</v>
      </c>
    </row>
    <row r="782" spans="4:36" x14ac:dyDescent="0.55000000000000004">
      <c r="D782">
        <v>775</v>
      </c>
      <c r="E782">
        <v>13.750275691415839</v>
      </c>
      <c r="F782">
        <v>0.48420242446854694</v>
      </c>
      <c r="G782">
        <v>0.19003282310295422</v>
      </c>
      <c r="H782">
        <v>15.575489061012661</v>
      </c>
      <c r="I782">
        <v>13.999737527067934</v>
      </c>
      <c r="J782">
        <v>0.31384047919395724</v>
      </c>
      <c r="K782">
        <v>0.12274084993558389</v>
      </c>
      <c r="L782">
        <v>15.563681143802526</v>
      </c>
      <c r="M782">
        <v>13.919083182276847</v>
      </c>
      <c r="N782">
        <v>0.36896274429024462</v>
      </c>
      <c r="O782">
        <v>0.14446146965829518</v>
      </c>
      <c r="P782">
        <v>15.567492603774612</v>
      </c>
      <c r="Q782">
        <v>13.848709671953594</v>
      </c>
      <c r="R782">
        <v>0.41702603810985395</v>
      </c>
      <c r="S782">
        <v>0.1634412428064273</v>
      </c>
      <c r="T782">
        <v>15.570823047130119</v>
      </c>
      <c r="U782">
        <v>1624.2824199532652</v>
      </c>
      <c r="V782">
        <v>10.779643162325531</v>
      </c>
      <c r="W782">
        <v>1351.8418709520715</v>
      </c>
      <c r="X782">
        <v>7.8659334198655939</v>
      </c>
      <c r="Y782">
        <v>2955.1502737470387</v>
      </c>
      <c r="Z782">
        <v>10.833156433071432</v>
      </c>
      <c r="AA782">
        <v>2775.7334442346396</v>
      </c>
      <c r="AB782">
        <v>7.8971260290694705</v>
      </c>
      <c r="AC782">
        <v>2290.8657941607353</v>
      </c>
      <c r="AD782">
        <v>10.815857881365758</v>
      </c>
      <c r="AE782">
        <v>2073.7619090367557</v>
      </c>
      <c r="AF782">
        <v>7.8870538914517718</v>
      </c>
      <c r="AG782">
        <v>2180.3532899491488</v>
      </c>
      <c r="AH782">
        <v>10.800762001445829</v>
      </c>
      <c r="AI782">
        <v>1948.6997070650791</v>
      </c>
      <c r="AJ782">
        <v>7.8782556380869808</v>
      </c>
    </row>
    <row r="783" spans="4:36" x14ac:dyDescent="0.55000000000000004">
      <c r="D783">
        <v>776</v>
      </c>
      <c r="E783">
        <v>12.254973187751558</v>
      </c>
      <c r="F783">
        <v>0.45943927494406556</v>
      </c>
      <c r="G783">
        <v>0.18539266024051293</v>
      </c>
      <c r="H783">
        <v>17.10019487706386</v>
      </c>
      <c r="I783">
        <v>12.47502020262775</v>
      </c>
      <c r="J783">
        <v>0.29312439419006037</v>
      </c>
      <c r="K783">
        <v>0.11788876343408308</v>
      </c>
      <c r="L783">
        <v>17.113966639748092</v>
      </c>
      <c r="M783">
        <v>12.385054103902448</v>
      </c>
      <c r="N783">
        <v>0.36115409665873394</v>
      </c>
      <c r="O783">
        <v>0.14544566989549468</v>
      </c>
      <c r="P783">
        <v>17.108346129543339</v>
      </c>
      <c r="Q783">
        <v>12.343311419507421</v>
      </c>
      <c r="R783">
        <v>0.3927037158707164</v>
      </c>
      <c r="S783">
        <v>0.15825126541194806</v>
      </c>
      <c r="T783">
        <v>17.105733599209906</v>
      </c>
      <c r="U783">
        <v>1578.6713810204478</v>
      </c>
      <c r="V783">
        <v>9.7847334675073121</v>
      </c>
      <c r="W783">
        <v>1329.5504792265647</v>
      </c>
      <c r="X783">
        <v>7.2965662714936732</v>
      </c>
      <c r="Y783">
        <v>2897.1591188112743</v>
      </c>
      <c r="Z783">
        <v>9.8178628306510483</v>
      </c>
      <c r="AA783">
        <v>2740.6095258363603</v>
      </c>
      <c r="AB783">
        <v>7.3171868086131386</v>
      </c>
      <c r="AC783">
        <v>2207.0498003935777</v>
      </c>
      <c r="AD783">
        <v>9.8043121648050011</v>
      </c>
      <c r="AE783">
        <v>2019.6088055799826</v>
      </c>
      <c r="AF783">
        <v>7.3087630821455365</v>
      </c>
      <c r="AG783">
        <v>2114.165795534384</v>
      </c>
      <c r="AH783">
        <v>9.7980275836307715</v>
      </c>
      <c r="AI783">
        <v>1909.3943988021956</v>
      </c>
      <c r="AJ783">
        <v>7.3048513619949018</v>
      </c>
    </row>
    <row r="784" spans="4:36" x14ac:dyDescent="0.55000000000000004">
      <c r="D784">
        <v>777</v>
      </c>
      <c r="E784">
        <v>12.395361066625316</v>
      </c>
      <c r="F784">
        <v>0.4100299545679234</v>
      </c>
      <c r="G784">
        <v>0.14013433399431516</v>
      </c>
      <c r="H784">
        <v>17.054474644812451</v>
      </c>
      <c r="I784">
        <v>12.578554107927383</v>
      </c>
      <c r="J784">
        <v>0.28013421001880473</v>
      </c>
      <c r="K784">
        <v>9.5483792097070835E-2</v>
      </c>
      <c r="L784">
        <v>17.045827889956744</v>
      </c>
      <c r="M784">
        <v>12.493619785925498</v>
      </c>
      <c r="N784">
        <v>0.3403840083524533</v>
      </c>
      <c r="O784">
        <v>0.11616392151906735</v>
      </c>
      <c r="P784">
        <v>17.049832284202989</v>
      </c>
      <c r="Q784">
        <v>12.469151453795082</v>
      </c>
      <c r="R784">
        <v>0.35773281962910475</v>
      </c>
      <c r="S784">
        <v>0.12212838744299134</v>
      </c>
      <c r="T784">
        <v>17.050987339132817</v>
      </c>
      <c r="U784">
        <v>1518.4504718700978</v>
      </c>
      <c r="V784">
        <v>9.7816060811804579</v>
      </c>
      <c r="W784">
        <v>1293.911147632655</v>
      </c>
      <c r="X784">
        <v>7.2903308283427943</v>
      </c>
      <c r="Y784">
        <v>2883.1312328645258</v>
      </c>
      <c r="Z784">
        <v>9.8228875850772432</v>
      </c>
      <c r="AA784">
        <v>2734.8152415996396</v>
      </c>
      <c r="AB784">
        <v>7.3148270147455703</v>
      </c>
      <c r="AC784">
        <v>2207.6827002337723</v>
      </c>
      <c r="AD784">
        <v>9.8037507188419344</v>
      </c>
      <c r="AE784">
        <v>2026.2815374361435</v>
      </c>
      <c r="AF784">
        <v>7.3034798265576049</v>
      </c>
      <c r="AG784">
        <v>2086.3302648437598</v>
      </c>
      <c r="AH784">
        <v>9.7982368376007809</v>
      </c>
      <c r="AI784">
        <v>1896.2021308302021</v>
      </c>
      <c r="AJ784">
        <v>7.3002076556269726</v>
      </c>
    </row>
    <row r="785" spans="4:36" x14ac:dyDescent="0.55000000000000004">
      <c r="D785">
        <v>778</v>
      </c>
      <c r="E785">
        <v>14.3470788791146</v>
      </c>
      <c r="F785">
        <v>0.47558707734546857</v>
      </c>
      <c r="G785">
        <v>0.1851964996231111</v>
      </c>
      <c r="H785">
        <v>14.992137543916808</v>
      </c>
      <c r="I785">
        <v>14.596737770544234</v>
      </c>
      <c r="J785">
        <v>0.32123642452007795</v>
      </c>
      <c r="K785">
        <v>0.12469045242813029</v>
      </c>
      <c r="L785">
        <v>14.957335352507563</v>
      </c>
      <c r="M785">
        <v>14.47618906237701</v>
      </c>
      <c r="N785">
        <v>0.39581789111051202</v>
      </c>
      <c r="O785">
        <v>0.15387728597758746</v>
      </c>
      <c r="P785">
        <v>14.974115760534906</v>
      </c>
      <c r="Q785">
        <v>14.46968521833065</v>
      </c>
      <c r="R785">
        <v>0.39983892406787525</v>
      </c>
      <c r="S785">
        <v>0.15545349395168223</v>
      </c>
      <c r="T785">
        <v>14.97502236364979</v>
      </c>
      <c r="U785">
        <v>1627.0868401164653</v>
      </c>
      <c r="V785">
        <v>11.284654153794126</v>
      </c>
      <c r="W785">
        <v>1351.7370695238913</v>
      </c>
      <c r="X785">
        <v>8.1731267104810019</v>
      </c>
      <c r="Y785">
        <v>2959.3275209774461</v>
      </c>
      <c r="Z785">
        <v>11.352699395124485</v>
      </c>
      <c r="AA785">
        <v>2776.3222760436875</v>
      </c>
      <c r="AB785">
        <v>8.2115368435622802</v>
      </c>
      <c r="AC785">
        <v>2302.0452357330114</v>
      </c>
      <c r="AD785">
        <v>11.31985724444405</v>
      </c>
      <c r="AE785">
        <v>2077.5831563236443</v>
      </c>
      <c r="AF785">
        <v>8.1930109288208861</v>
      </c>
      <c r="AG785">
        <v>2174.5306579455892</v>
      </c>
      <c r="AH785">
        <v>11.318084618164058</v>
      </c>
      <c r="AI785">
        <v>1943.3763385351599</v>
      </c>
      <c r="AJ785">
        <v>8.1920103325019937</v>
      </c>
    </row>
    <row r="786" spans="4:36" x14ac:dyDescent="0.55000000000000004">
      <c r="D786">
        <v>779</v>
      </c>
      <c r="E786">
        <v>13.252319701276033</v>
      </c>
      <c r="F786">
        <v>0.47787703129328923</v>
      </c>
      <c r="G786">
        <v>0.17053048177516053</v>
      </c>
      <c r="H786">
        <v>16.099272785655533</v>
      </c>
      <c r="I786">
        <v>13.525424587575165</v>
      </c>
      <c r="J786">
        <v>0.29161510471718766</v>
      </c>
      <c r="K786">
        <v>0.10367228638999088</v>
      </c>
      <c r="L786">
        <v>16.079288021317662</v>
      </c>
      <c r="M786">
        <v>13.40781947546872</v>
      </c>
      <c r="N786">
        <v>0.37188155710825965</v>
      </c>
      <c r="O786">
        <v>0.13242109401373395</v>
      </c>
      <c r="P786">
        <v>16.087877873409301</v>
      </c>
      <c r="Q786">
        <v>13.360045179154493</v>
      </c>
      <c r="R786">
        <v>0.40446299504351113</v>
      </c>
      <c r="S786">
        <v>0.14411762708133063</v>
      </c>
      <c r="T786">
        <v>16.091374198720679</v>
      </c>
      <c r="U786">
        <v>1599.3902371470392</v>
      </c>
      <c r="V786">
        <v>10.461421978019414</v>
      </c>
      <c r="W786">
        <v>1338.3342842898824</v>
      </c>
      <c r="X786">
        <v>7.6891447585991211</v>
      </c>
      <c r="Y786">
        <v>2936.8562073232615</v>
      </c>
      <c r="Z786">
        <v>10.520903615175731</v>
      </c>
      <c r="AA786">
        <v>2766.8596527973887</v>
      </c>
      <c r="AB786">
        <v>7.7236147321309438</v>
      </c>
      <c r="AC786">
        <v>2270.9992546810049</v>
      </c>
      <c r="AD786">
        <v>10.495298643911882</v>
      </c>
      <c r="AE786">
        <v>2062.3618066701383</v>
      </c>
      <c r="AF786">
        <v>7.7087914012467253</v>
      </c>
      <c r="AG786">
        <v>2166.9948886394691</v>
      </c>
      <c r="AH786">
        <v>10.484893287804368</v>
      </c>
      <c r="AI786">
        <v>1943.521189133972</v>
      </c>
      <c r="AJ786">
        <v>7.7027610805803706</v>
      </c>
    </row>
    <row r="787" spans="4:36" x14ac:dyDescent="0.55000000000000004">
      <c r="D787">
        <v>780</v>
      </c>
      <c r="E787">
        <v>13.255355895357884</v>
      </c>
      <c r="F787">
        <v>0.52518393529724061</v>
      </c>
      <c r="G787">
        <v>0.18808451852997005</v>
      </c>
      <c r="H787">
        <v>16.031375650814908</v>
      </c>
      <c r="I787">
        <v>13.540262623769049</v>
      </c>
      <c r="J787">
        <v>0.31764510790179501</v>
      </c>
      <c r="K787">
        <v>0.11327955779333625</v>
      </c>
      <c r="L787">
        <v>16.02881271053581</v>
      </c>
      <c r="M787">
        <v>13.451894322168421</v>
      </c>
      <c r="N787">
        <v>0.38206549731873785</v>
      </c>
      <c r="O787">
        <v>0.13643063819674286</v>
      </c>
      <c r="P787">
        <v>16.029609542316109</v>
      </c>
      <c r="Q787">
        <v>13.386968103385756</v>
      </c>
      <c r="R787">
        <v>0.42936870843507408</v>
      </c>
      <c r="S787">
        <v>0.15346927223121043</v>
      </c>
      <c r="T787">
        <v>16.030193915947958</v>
      </c>
      <c r="U787">
        <v>1642.305461503877</v>
      </c>
      <c r="V787">
        <v>10.483187950899824</v>
      </c>
      <c r="W787">
        <v>1363.6892108926334</v>
      </c>
      <c r="X787">
        <v>7.6984845190226769</v>
      </c>
      <c r="Y787">
        <v>2932.0002211360688</v>
      </c>
      <c r="Z787">
        <v>10.538383866742523</v>
      </c>
      <c r="AA787">
        <v>2759.6273690959547</v>
      </c>
      <c r="AB787">
        <v>7.7313088625489721</v>
      </c>
      <c r="AC787">
        <v>2268.927727439409</v>
      </c>
      <c r="AD787">
        <v>10.521262908102749</v>
      </c>
      <c r="AE787">
        <v>2058.0875571462007</v>
      </c>
      <c r="AF787">
        <v>7.7211420911418216</v>
      </c>
      <c r="AG787">
        <v>2191.7355407377872</v>
      </c>
      <c r="AH787">
        <v>10.508684359097932</v>
      </c>
      <c r="AI787">
        <v>1957.6472282725363</v>
      </c>
      <c r="AJ787">
        <v>7.7136642316088757</v>
      </c>
    </row>
    <row r="788" spans="4:36" x14ac:dyDescent="0.55000000000000004">
      <c r="D788">
        <v>781</v>
      </c>
      <c r="E788">
        <v>13.683613405928867</v>
      </c>
      <c r="F788">
        <v>0.51765353829337724</v>
      </c>
      <c r="G788">
        <v>0.19925807432249204</v>
      </c>
      <c r="H788">
        <v>15.599474981455264</v>
      </c>
      <c r="I788">
        <v>13.932482188030106</v>
      </c>
      <c r="J788">
        <v>0.3342378649164926</v>
      </c>
      <c r="K788">
        <v>0.12822625913081021</v>
      </c>
      <c r="L788">
        <v>15.605053687922608</v>
      </c>
      <c r="M788">
        <v>13.81878917836459</v>
      </c>
      <c r="N788">
        <v>0.41807078426739835</v>
      </c>
      <c r="O788">
        <v>0.16063243865287738</v>
      </c>
      <c r="P788">
        <v>15.602507598715125</v>
      </c>
      <c r="Q788">
        <v>13.783427031163772</v>
      </c>
      <c r="R788">
        <v>0.44413132393249233</v>
      </c>
      <c r="S788">
        <v>0.17072681003160961</v>
      </c>
      <c r="T788">
        <v>15.601714834872119</v>
      </c>
      <c r="U788">
        <v>1653.9429471219364</v>
      </c>
      <c r="V788">
        <v>10.765628633154769</v>
      </c>
      <c r="W788">
        <v>1369.0126826602122</v>
      </c>
      <c r="X788">
        <v>7.8570175669349211</v>
      </c>
      <c r="Y788">
        <v>2949.5011044323905</v>
      </c>
      <c r="Z788">
        <v>10.806521228386176</v>
      </c>
      <c r="AA788">
        <v>2768.7362504219991</v>
      </c>
      <c r="AB788">
        <v>7.881301637017585</v>
      </c>
      <c r="AC788">
        <v>2297.5760255902724</v>
      </c>
      <c r="AD788">
        <v>10.787838506073786</v>
      </c>
      <c r="AE788">
        <v>2073.2284121834332</v>
      </c>
      <c r="AF788">
        <v>7.8702176079553245</v>
      </c>
      <c r="AG788">
        <v>2222.3837212712569</v>
      </c>
      <c r="AH788">
        <v>10.782028057290844</v>
      </c>
      <c r="AI788">
        <v>1975.7244064555496</v>
      </c>
      <c r="AJ788">
        <v>7.8667667462352764</v>
      </c>
    </row>
    <row r="789" spans="4:36" x14ac:dyDescent="0.55000000000000004">
      <c r="D789">
        <v>782</v>
      </c>
      <c r="E789">
        <v>11.953826661403655</v>
      </c>
      <c r="F789">
        <v>0.44402676549485365</v>
      </c>
      <c r="G789">
        <v>0.16739803895611144</v>
      </c>
      <c r="H789">
        <v>17.434748534145378</v>
      </c>
      <c r="I789">
        <v>12.185042641740127</v>
      </c>
      <c r="J789">
        <v>0.27158916520267334</v>
      </c>
      <c r="K789">
        <v>0.10203392849753699</v>
      </c>
      <c r="L789">
        <v>17.441334264559675</v>
      </c>
      <c r="M789">
        <v>12.101329622695847</v>
      </c>
      <c r="N789">
        <v>0.33405640794988262</v>
      </c>
      <c r="O789">
        <v>0.12565958907813768</v>
      </c>
      <c r="P789">
        <v>17.43895438027613</v>
      </c>
      <c r="Q789">
        <v>12.034851709981691</v>
      </c>
      <c r="R789">
        <v>0.38363426853225335</v>
      </c>
      <c r="S789">
        <v>0.1444531868740519</v>
      </c>
      <c r="T789">
        <v>17.437060834611998</v>
      </c>
      <c r="U789">
        <v>1497.7101948006291</v>
      </c>
      <c r="V789">
        <v>9.4380848998307414</v>
      </c>
      <c r="W789">
        <v>1275.6006356629534</v>
      </c>
      <c r="X789">
        <v>7.0748664911304511</v>
      </c>
      <c r="Y789">
        <v>2887.1252251444002</v>
      </c>
      <c r="Z789">
        <v>9.4773535216911977</v>
      </c>
      <c r="AA789">
        <v>2738.5403229722465</v>
      </c>
      <c r="AB789">
        <v>7.0990253052814367</v>
      </c>
      <c r="AC789">
        <v>2215.7244730051766</v>
      </c>
      <c r="AD789">
        <v>9.4631329459367119</v>
      </c>
      <c r="AE789">
        <v>2032.883107251906</v>
      </c>
      <c r="AF789">
        <v>7.0902883849318687</v>
      </c>
      <c r="AG789">
        <v>2101.5724992951314</v>
      </c>
      <c r="AH789">
        <v>9.4518426911396904</v>
      </c>
      <c r="AI789">
        <v>1905.559148223992</v>
      </c>
      <c r="AJ789">
        <v>7.0833422680210614</v>
      </c>
    </row>
    <row r="790" spans="4:36" x14ac:dyDescent="0.55000000000000004">
      <c r="D790">
        <v>783</v>
      </c>
      <c r="E790">
        <v>12.956096972112297</v>
      </c>
      <c r="F790">
        <v>0.49107197849579237</v>
      </c>
      <c r="G790">
        <v>0.18183355991890893</v>
      </c>
      <c r="H790">
        <v>16.370997489472991</v>
      </c>
      <c r="I790">
        <v>13.176597881027146</v>
      </c>
      <c r="J790">
        <v>0.32599579475757529</v>
      </c>
      <c r="K790">
        <v>0.12032471767805766</v>
      </c>
      <c r="L790">
        <v>16.377081606537232</v>
      </c>
      <c r="M790">
        <v>13.101006007440477</v>
      </c>
      <c r="N790">
        <v>0.38261659755890159</v>
      </c>
      <c r="O790">
        <v>0.14137727058862293</v>
      </c>
      <c r="P790">
        <v>16.375000124412001</v>
      </c>
      <c r="Q790">
        <v>13.066420543723329</v>
      </c>
      <c r="R790">
        <v>0.40851200262680054</v>
      </c>
      <c r="S790">
        <v>0.15102114559325133</v>
      </c>
      <c r="T790">
        <v>16.374046308056627</v>
      </c>
      <c r="U790">
        <v>1567.9530912363455</v>
      </c>
      <c r="V790">
        <v>10.330115288285862</v>
      </c>
      <c r="W790">
        <v>1316.2267289621641</v>
      </c>
      <c r="X790">
        <v>7.6219154644736431</v>
      </c>
      <c r="Y790">
        <v>2920.8336320881153</v>
      </c>
      <c r="Z790">
        <v>10.369703581488716</v>
      </c>
      <c r="AA790">
        <v>2753.8000050910246</v>
      </c>
      <c r="AB790">
        <v>7.6458610319644942</v>
      </c>
      <c r="AC790">
        <v>2243.8989674746531</v>
      </c>
      <c r="AD790">
        <v>10.356129191193938</v>
      </c>
      <c r="AE790">
        <v>2043.3037544855201</v>
      </c>
      <c r="AF790">
        <v>7.6376600342459584</v>
      </c>
      <c r="AG790">
        <v>2159.3122781136626</v>
      </c>
      <c r="AH790">
        <v>10.349919477430303</v>
      </c>
      <c r="AI790">
        <v>1939.5111795463733</v>
      </c>
      <c r="AJ790">
        <v>7.6339050740124899</v>
      </c>
    </row>
    <row r="791" spans="4:36" x14ac:dyDescent="0.55000000000000004">
      <c r="D791">
        <v>784</v>
      </c>
      <c r="E791">
        <v>11.33908411487497</v>
      </c>
      <c r="F791">
        <v>0.40918501527118112</v>
      </c>
      <c r="G791">
        <v>0.15757338218607417</v>
      </c>
      <c r="H791">
        <v>18.094157487667772</v>
      </c>
      <c r="I791">
        <v>11.545728767327969</v>
      </c>
      <c r="J791">
        <v>0.24907160443396886</v>
      </c>
      <c r="K791">
        <v>9.5583618532374709E-2</v>
      </c>
      <c r="L791">
        <v>18.109616009705682</v>
      </c>
      <c r="M791">
        <v>11.448242467120796</v>
      </c>
      <c r="N791">
        <v>0.32463483528483</v>
      </c>
      <c r="O791">
        <v>0.12478463279575719</v>
      </c>
      <c r="P791">
        <v>18.102338064798619</v>
      </c>
      <c r="Q791">
        <v>11.439487327109065</v>
      </c>
      <c r="R791">
        <v>0.33141861306407394</v>
      </c>
      <c r="S791">
        <v>0.12741090183489254</v>
      </c>
      <c r="T791">
        <v>18.101683157991985</v>
      </c>
      <c r="U791">
        <v>1466.7256124385381</v>
      </c>
      <c r="V791">
        <v>9.0162490238167479</v>
      </c>
      <c r="W791">
        <v>1259.9674474026185</v>
      </c>
      <c r="X791">
        <v>6.829293271598603</v>
      </c>
      <c r="Y791">
        <v>2841.3043417760305</v>
      </c>
      <c r="Z791">
        <v>9.0478610034431668</v>
      </c>
      <c r="AA791">
        <v>2709.117356102287</v>
      </c>
      <c r="AB791">
        <v>6.8496188826807503</v>
      </c>
      <c r="AC791">
        <v>2152.3423457316994</v>
      </c>
      <c r="AD791">
        <v>9.032939027386778</v>
      </c>
      <c r="AE791">
        <v>1989.7159827590292</v>
      </c>
      <c r="AF791">
        <v>6.8400367413500947</v>
      </c>
      <c r="AG791">
        <v>2049.4256153621454</v>
      </c>
      <c r="AH791">
        <v>9.0315996635184419</v>
      </c>
      <c r="AI791">
        <v>1874.7632006966203</v>
      </c>
      <c r="AJ791">
        <v>6.8391756029250113</v>
      </c>
    </row>
    <row r="792" spans="4:36" x14ac:dyDescent="0.55000000000000004">
      <c r="D792">
        <v>785</v>
      </c>
      <c r="E792">
        <v>12.97184594410521</v>
      </c>
      <c r="F792">
        <v>0.48565543783316262</v>
      </c>
      <c r="G792">
        <v>0.16489165808947134</v>
      </c>
      <c r="H792">
        <v>16.377606959972155</v>
      </c>
      <c r="I792">
        <v>13.249495687831599</v>
      </c>
      <c r="J792">
        <v>0.28632626212654494</v>
      </c>
      <c r="K792">
        <v>9.6836594781879295E-2</v>
      </c>
      <c r="L792">
        <v>16.367341455259986</v>
      </c>
      <c r="M792">
        <v>13.125315897101828</v>
      </c>
      <c r="N792">
        <v>0.37553299005198998</v>
      </c>
      <c r="O792">
        <v>0.12722706745586929</v>
      </c>
      <c r="P792">
        <v>16.371924045390319</v>
      </c>
      <c r="Q792">
        <v>13.095203080637766</v>
      </c>
      <c r="R792">
        <v>0.39715144758822091</v>
      </c>
      <c r="S792">
        <v>0.13460806807014628</v>
      </c>
      <c r="T792">
        <v>16.373037403703869</v>
      </c>
      <c r="U792">
        <v>1585.8831148312538</v>
      </c>
      <c r="V792">
        <v>10.22914552312753</v>
      </c>
      <c r="W792">
        <v>1331.8599965608917</v>
      </c>
      <c r="X792">
        <v>7.5479417727868583</v>
      </c>
      <c r="Y792">
        <v>2892.8853690684255</v>
      </c>
      <c r="Z792">
        <v>10.283781207447767</v>
      </c>
      <c r="AA792">
        <v>2737.3667168524184</v>
      </c>
      <c r="AB792">
        <v>7.580005171902382</v>
      </c>
      <c r="AC792">
        <v>2258.8024894533655</v>
      </c>
      <c r="AD792">
        <v>10.259350853194348</v>
      </c>
      <c r="AE792">
        <v>2056.3265877970543</v>
      </c>
      <c r="AF792">
        <v>7.5656833847773433</v>
      </c>
      <c r="AG792">
        <v>2147.0385809971904</v>
      </c>
      <c r="AH792">
        <v>10.253425277397463</v>
      </c>
      <c r="AI792">
        <v>1932.7975370530562</v>
      </c>
      <c r="AJ792">
        <v>7.5622059134076949</v>
      </c>
    </row>
    <row r="793" spans="4:36" x14ac:dyDescent="0.55000000000000004">
      <c r="D793">
        <v>786</v>
      </c>
      <c r="E793">
        <v>13.286210068991082</v>
      </c>
      <c r="F793">
        <v>0.44036923930260585</v>
      </c>
      <c r="G793">
        <v>0.15584454231381126</v>
      </c>
      <c r="H793">
        <v>16.117576149392495</v>
      </c>
      <c r="I793">
        <v>13.503108312361084</v>
      </c>
      <c r="J793">
        <v>0.29716052941312576</v>
      </c>
      <c r="K793">
        <v>0.10485111913658222</v>
      </c>
      <c r="L793">
        <v>16.094880039089208</v>
      </c>
      <c r="M793">
        <v>13.427378360206873</v>
      </c>
      <c r="N793">
        <v>0.34719713603111113</v>
      </c>
      <c r="O793">
        <v>0.12263302296867219</v>
      </c>
      <c r="P793">
        <v>16.102791480793339</v>
      </c>
      <c r="Q793">
        <v>13.357855349971977</v>
      </c>
      <c r="R793">
        <v>0.39309937392051636</v>
      </c>
      <c r="S793">
        <v>0.13897863594283921</v>
      </c>
      <c r="T793">
        <v>16.110066640164657</v>
      </c>
      <c r="U793">
        <v>1564.9605384109054</v>
      </c>
      <c r="V793">
        <v>10.476454812154451</v>
      </c>
      <c r="W793">
        <v>1317.544527754877</v>
      </c>
      <c r="X793">
        <v>7.7024269097668903</v>
      </c>
      <c r="Y793">
        <v>2906.7411102474402</v>
      </c>
      <c r="Z793">
        <v>10.529651325673118</v>
      </c>
      <c r="AA793">
        <v>2745.3695510627117</v>
      </c>
      <c r="AB793">
        <v>7.7330619884534801</v>
      </c>
      <c r="AC793">
        <v>2245.5083486304284</v>
      </c>
      <c r="AD793">
        <v>10.511085267967214</v>
      </c>
      <c r="AE793">
        <v>2046.862317269723</v>
      </c>
      <c r="AF793">
        <v>7.7223795314487527</v>
      </c>
      <c r="AG793">
        <v>2151.5697758603496</v>
      </c>
      <c r="AH793">
        <v>10.49403385798256</v>
      </c>
      <c r="AI793">
        <v>1934.5850999885486</v>
      </c>
      <c r="AJ793">
        <v>7.7125596571280779</v>
      </c>
    </row>
    <row r="794" spans="4:36" x14ac:dyDescent="0.55000000000000004">
      <c r="D794">
        <v>787</v>
      </c>
      <c r="E794">
        <v>13.639494520712018</v>
      </c>
      <c r="F794">
        <v>0.45560129207823952</v>
      </c>
      <c r="G794">
        <v>0.1664210635198379</v>
      </c>
      <c r="H794">
        <v>15.738483123689891</v>
      </c>
      <c r="I794">
        <v>13.899949131418687</v>
      </c>
      <c r="J794">
        <v>0.29086031497312759</v>
      </c>
      <c r="K794">
        <v>0.10587773971389675</v>
      </c>
      <c r="L794">
        <v>15.703312813894277</v>
      </c>
      <c r="M794">
        <v>13.767915384153477</v>
      </c>
      <c r="N794">
        <v>0.37443134881717521</v>
      </c>
      <c r="O794">
        <v>0.13653733287711364</v>
      </c>
      <c r="P794">
        <v>15.721115934152238</v>
      </c>
      <c r="Q794">
        <v>13.778558620934131</v>
      </c>
      <c r="R794">
        <v>0.36769908503918552</v>
      </c>
      <c r="S794">
        <v>0.13406343759503977</v>
      </c>
      <c r="T794">
        <v>15.719678856431642</v>
      </c>
      <c r="U794">
        <v>1609.6540484938635</v>
      </c>
      <c r="V794">
        <v>10.730917137371893</v>
      </c>
      <c r="W794">
        <v>1347.0588392151499</v>
      </c>
      <c r="X794">
        <v>7.8498225737312461</v>
      </c>
      <c r="Y794">
        <v>2926.8684487375585</v>
      </c>
      <c r="Z794">
        <v>10.801455024599525</v>
      </c>
      <c r="AA794">
        <v>2759.1310565285289</v>
      </c>
      <c r="AB794">
        <v>7.8900915453106082</v>
      </c>
      <c r="AC794">
        <v>2281.644114846074</v>
      </c>
      <c r="AD794">
        <v>10.765711274006931</v>
      </c>
      <c r="AE794">
        <v>2069.5629811289514</v>
      </c>
      <c r="AF794">
        <v>7.8697014191858399</v>
      </c>
      <c r="AG794">
        <v>2152.7589502786968</v>
      </c>
      <c r="AH794">
        <v>10.768593670378802</v>
      </c>
      <c r="AI794">
        <v>1935.293224022394</v>
      </c>
      <c r="AJ794">
        <v>7.8713468585665725</v>
      </c>
    </row>
    <row r="795" spans="4:36" x14ac:dyDescent="0.55000000000000004">
      <c r="D795">
        <v>788</v>
      </c>
      <c r="E795">
        <v>11.871734774925383</v>
      </c>
      <c r="F795">
        <v>0.38925146450720494</v>
      </c>
      <c r="G795">
        <v>0.17990598670744723</v>
      </c>
      <c r="H795">
        <v>17.559107773859971</v>
      </c>
      <c r="I795">
        <v>12.082980753415464</v>
      </c>
      <c r="J795">
        <v>0.24488698028921224</v>
      </c>
      <c r="K795">
        <v>0.11278592631935248</v>
      </c>
      <c r="L795">
        <v>17.559346339975981</v>
      </c>
      <c r="M795">
        <v>11.983043285897216</v>
      </c>
      <c r="N795">
        <v>0.31322117485039791</v>
      </c>
      <c r="O795">
        <v>0.14449724695422031</v>
      </c>
      <c r="P795">
        <v>17.559238292298158</v>
      </c>
      <c r="Q795">
        <v>11.962422955202205</v>
      </c>
      <c r="R795">
        <v>0.32731239562793246</v>
      </c>
      <c r="S795">
        <v>0.15104972111699638</v>
      </c>
      <c r="T795">
        <v>17.559214928052882</v>
      </c>
      <c r="U795">
        <v>1520.7214287146583</v>
      </c>
      <c r="V795">
        <v>9.3004786478207624</v>
      </c>
      <c r="W795">
        <v>1294.4901543486919</v>
      </c>
      <c r="X795">
        <v>6.9843326041723648</v>
      </c>
      <c r="Y795">
        <v>2864.4246917302917</v>
      </c>
      <c r="Z795">
        <v>9.3382816071502841</v>
      </c>
      <c r="AA795">
        <v>2721.7895509043669</v>
      </c>
      <c r="AB795">
        <v>7.0074523035791483</v>
      </c>
      <c r="AC795">
        <v>2186.6802924102835</v>
      </c>
      <c r="AD795">
        <v>9.3203954625666956</v>
      </c>
      <c r="AE795">
        <v>2010.273129995928</v>
      </c>
      <c r="AF795">
        <v>6.9965245870018489</v>
      </c>
      <c r="AG795">
        <v>2082.8241696935775</v>
      </c>
      <c r="AH795">
        <v>9.3167054398447391</v>
      </c>
      <c r="AI795">
        <v>1893.5539140810888</v>
      </c>
      <c r="AJ795">
        <v>6.994267646456179</v>
      </c>
    </row>
    <row r="796" spans="4:36" x14ac:dyDescent="0.55000000000000004">
      <c r="D796">
        <v>789</v>
      </c>
      <c r="E796">
        <v>12.773300940174208</v>
      </c>
      <c r="F796">
        <v>0.46269099432018479</v>
      </c>
      <c r="G796">
        <v>0.21602036565497942</v>
      </c>
      <c r="H796">
        <v>16.547987699850623</v>
      </c>
      <c r="I796">
        <v>12.985851888755619</v>
      </c>
      <c r="J796">
        <v>0.31356696814771551</v>
      </c>
      <c r="K796">
        <v>0.14591894624092588</v>
      </c>
      <c r="L796">
        <v>16.554662196855734</v>
      </c>
      <c r="M796">
        <v>12.882550440246572</v>
      </c>
      <c r="N796">
        <v>0.38607746241926139</v>
      </c>
      <c r="O796">
        <v>0.17994698738200524</v>
      </c>
      <c r="P796">
        <v>16.551425109952163</v>
      </c>
      <c r="Q796">
        <v>12.888159790963281</v>
      </c>
      <c r="R796">
        <v>0.3821417791591088</v>
      </c>
      <c r="S796">
        <v>0.17809721636630901</v>
      </c>
      <c r="T796">
        <v>16.551601213511312</v>
      </c>
      <c r="U796">
        <v>1577.1260065678662</v>
      </c>
      <c r="V796">
        <v>10.084979239295015</v>
      </c>
      <c r="W796">
        <v>1321.4699782336068</v>
      </c>
      <c r="X796">
        <v>7.4602563907415105</v>
      </c>
      <c r="Y796">
        <v>2951.7228462257262</v>
      </c>
      <c r="Z796">
        <v>10.122893745279965</v>
      </c>
      <c r="AA796">
        <v>2775.0966322077725</v>
      </c>
      <c r="AB796">
        <v>7.4834443338583592</v>
      </c>
      <c r="AC796">
        <v>2280.3625413339569</v>
      </c>
      <c r="AD796">
        <v>10.104462282477344</v>
      </c>
      <c r="AE796">
        <v>2066.8673578952776</v>
      </c>
      <c r="AF796">
        <v>7.4721826602936092</v>
      </c>
      <c r="AG796">
        <v>2126.2842539884318</v>
      </c>
      <c r="AH796">
        <v>10.105462897861873</v>
      </c>
      <c r="AI796">
        <v>1913.9392919881927</v>
      </c>
      <c r="AJ796">
        <v>7.4727945573009533</v>
      </c>
    </row>
    <row r="797" spans="4:36" x14ac:dyDescent="0.55000000000000004">
      <c r="D797">
        <v>790</v>
      </c>
      <c r="E797">
        <v>12.025858593453654</v>
      </c>
      <c r="F797">
        <v>0.45889552409927881</v>
      </c>
      <c r="G797">
        <v>0.14827075384506044</v>
      </c>
      <c r="H797">
        <v>17.36697512860199</v>
      </c>
      <c r="I797">
        <v>12.229999663680122</v>
      </c>
      <c r="J797">
        <v>0.29456444625208539</v>
      </c>
      <c r="K797">
        <v>9.4894743064052905E-2</v>
      </c>
      <c r="L797">
        <v>17.380541147003736</v>
      </c>
      <c r="M797">
        <v>12.107461410883484</v>
      </c>
      <c r="N797">
        <v>0.39322925515217105</v>
      </c>
      <c r="O797">
        <v>0.12690355755442503</v>
      </c>
      <c r="P797">
        <v>17.37240577640992</v>
      </c>
      <c r="Q797">
        <v>12.1075168952182</v>
      </c>
      <c r="R797">
        <v>0.39318459610788437</v>
      </c>
      <c r="S797">
        <v>0.12688904334688714</v>
      </c>
      <c r="T797">
        <v>17.372409465327035</v>
      </c>
      <c r="U797">
        <v>1488.0512967830716</v>
      </c>
      <c r="V797">
        <v>9.4889725349358169</v>
      </c>
      <c r="W797">
        <v>1271.3034237181203</v>
      </c>
      <c r="X797">
        <v>7.1040959465865301</v>
      </c>
      <c r="Y797">
        <v>2865.818863623052</v>
      </c>
      <c r="Z797">
        <v>9.5170917079771282</v>
      </c>
      <c r="AA797">
        <v>2723.3117636065326</v>
      </c>
      <c r="AB797">
        <v>7.121599583462098</v>
      </c>
      <c r="AC797">
        <v>2198.5356844198818</v>
      </c>
      <c r="AD797">
        <v>9.5002090101463139</v>
      </c>
      <c r="AE797">
        <v>2018.663414697862</v>
      </c>
      <c r="AF797">
        <v>7.1110987178258043</v>
      </c>
      <c r="AG797">
        <v>2082.33929399099</v>
      </c>
      <c r="AH797">
        <v>9.5002166519150286</v>
      </c>
      <c r="AI797">
        <v>1893.8888236439561</v>
      </c>
      <c r="AJ797">
        <v>7.1111034765354164</v>
      </c>
    </row>
    <row r="798" spans="4:36" x14ac:dyDescent="0.55000000000000004">
      <c r="D798">
        <v>791</v>
      </c>
      <c r="E798">
        <v>12.940620539165394</v>
      </c>
      <c r="F798">
        <v>0.4596934568752255</v>
      </c>
      <c r="G798">
        <v>0.15316505331340471</v>
      </c>
      <c r="H798">
        <v>16.446520950645979</v>
      </c>
      <c r="I798">
        <v>13.165605745044301</v>
      </c>
      <c r="J798">
        <v>0.29748979097483513</v>
      </c>
      <c r="K798">
        <v>9.8809401651833911E-2</v>
      </c>
      <c r="L798">
        <v>16.43809506232904</v>
      </c>
      <c r="M798">
        <v>13.050235645041035</v>
      </c>
      <c r="N798">
        <v>0.38070318717997392</v>
      </c>
      <c r="O798">
        <v>0.12665149089989908</v>
      </c>
      <c r="P798">
        <v>16.442409676879095</v>
      </c>
      <c r="Q798">
        <v>13.026243013691197</v>
      </c>
      <c r="R798">
        <v>0.39799867697430913</v>
      </c>
      <c r="S798">
        <v>0.13244974925802838</v>
      </c>
      <c r="T798">
        <v>16.443308560076453</v>
      </c>
      <c r="U798">
        <v>1564.0442092420967</v>
      </c>
      <c r="V798">
        <v>10.23395620168424</v>
      </c>
      <c r="W798">
        <v>1319.145678087677</v>
      </c>
      <c r="X798">
        <v>7.5591221743591026</v>
      </c>
      <c r="Y798">
        <v>2892.7746977869106</v>
      </c>
      <c r="Z798">
        <v>10.281071357342604</v>
      </c>
      <c r="AA798">
        <v>2737.4279021979401</v>
      </c>
      <c r="AB798">
        <v>7.5868240223224213</v>
      </c>
      <c r="AC798">
        <v>2248.3271443426079</v>
      </c>
      <c r="AD798">
        <v>10.256914956477582</v>
      </c>
      <c r="AE798">
        <v>2049.4599267540516</v>
      </c>
      <c r="AF798">
        <v>7.5726320177054527</v>
      </c>
      <c r="AG798">
        <v>2165.412301666739</v>
      </c>
      <c r="AH798">
        <v>10.251890343203</v>
      </c>
      <c r="AI798">
        <v>1947.7491897483708</v>
      </c>
      <c r="AJ798">
        <v>7.5696771343535092</v>
      </c>
    </row>
    <row r="799" spans="4:36" x14ac:dyDescent="0.55000000000000004">
      <c r="D799">
        <v>792</v>
      </c>
      <c r="E799">
        <v>12.389283508352392</v>
      </c>
      <c r="F799">
        <v>0.44335366255450748</v>
      </c>
      <c r="G799">
        <v>0.15354686847938875</v>
      </c>
      <c r="H799">
        <v>17.013815960613716</v>
      </c>
      <c r="I799">
        <v>12.58959272192917</v>
      </c>
      <c r="J799">
        <v>0.29823162042431056</v>
      </c>
      <c r="K799">
        <v>0.10298549650263975</v>
      </c>
      <c r="L799">
        <v>17.009190161143884</v>
      </c>
      <c r="M799">
        <v>12.509662277344237</v>
      </c>
      <c r="N799">
        <v>0.35616909497859722</v>
      </c>
      <c r="O799">
        <v>0.12313533748519041</v>
      </c>
      <c r="P799">
        <v>17.011033290191985</v>
      </c>
      <c r="Q799">
        <v>12.472102505416796</v>
      </c>
      <c r="R799">
        <v>0.38338114057806749</v>
      </c>
      <c r="S799">
        <v>0.13261571971664812</v>
      </c>
      <c r="T799">
        <v>17.011900634288491</v>
      </c>
      <c r="U799">
        <v>1537.1176992714757</v>
      </c>
      <c r="V799">
        <v>9.8764049144994512</v>
      </c>
      <c r="W799">
        <v>1305.2048748319862</v>
      </c>
      <c r="X799">
        <v>7.3569348586120364</v>
      </c>
      <c r="Y799">
        <v>2873.3782440450709</v>
      </c>
      <c r="Z799">
        <v>9.9185799371486656</v>
      </c>
      <c r="AA799">
        <v>2725.9951471243076</v>
      </c>
      <c r="AB799">
        <v>7.3821455788139065</v>
      </c>
      <c r="AC799">
        <v>2191.7908681837789</v>
      </c>
      <c r="AD799">
        <v>9.9017519929394897</v>
      </c>
      <c r="AE799">
        <v>2012.999711197996</v>
      </c>
      <c r="AF799">
        <v>7.3720959725464228</v>
      </c>
      <c r="AG799">
        <v>2105.5672756365575</v>
      </c>
      <c r="AH799">
        <v>9.8938438159512412</v>
      </c>
      <c r="AI799">
        <v>1908.4863383648724</v>
      </c>
      <c r="AJ799">
        <v>7.367368872013615</v>
      </c>
    </row>
    <row r="800" spans="4:36" x14ac:dyDescent="0.55000000000000004">
      <c r="D800">
        <v>793</v>
      </c>
      <c r="E800">
        <v>12.264466183007375</v>
      </c>
      <c r="F800">
        <v>0.45227985536958637</v>
      </c>
      <c r="G800">
        <v>0.16489417046359678</v>
      </c>
      <c r="H800">
        <v>17.118359791159452</v>
      </c>
      <c r="I800">
        <v>12.487498220835116</v>
      </c>
      <c r="J800">
        <v>0.28545453780850943</v>
      </c>
      <c r="K800">
        <v>0.10372764624421163</v>
      </c>
      <c r="L800">
        <v>17.123319595112161</v>
      </c>
      <c r="M800">
        <v>12.402781989145858</v>
      </c>
      <c r="N800">
        <v>0.34885403623481909</v>
      </c>
      <c r="O800">
        <v>0.1269246473721003</v>
      </c>
      <c r="P800">
        <v>17.121439327247209</v>
      </c>
      <c r="Q800">
        <v>12.369373085968194</v>
      </c>
      <c r="R800">
        <v>0.3738454279738575</v>
      </c>
      <c r="S800">
        <v>0.1360848927820375</v>
      </c>
      <c r="T800">
        <v>17.120696593275905</v>
      </c>
      <c r="U800">
        <v>1550.911737517253</v>
      </c>
      <c r="V800">
        <v>9.7301730924530307</v>
      </c>
      <c r="W800">
        <v>1312.9685505766568</v>
      </c>
      <c r="X800">
        <v>7.259417119982067</v>
      </c>
      <c r="Y800">
        <v>2890.4204478730912</v>
      </c>
      <c r="Z800">
        <v>9.7718960956597929</v>
      </c>
      <c r="AA800">
        <v>2738.5232522421252</v>
      </c>
      <c r="AB800">
        <v>7.2848194011711342</v>
      </c>
      <c r="AC800">
        <v>2217.9408632313289</v>
      </c>
      <c r="AD800">
        <v>9.7560459194069455</v>
      </c>
      <c r="AE800">
        <v>2031.6669304534846</v>
      </c>
      <c r="AF800">
        <v>7.2751808531669262</v>
      </c>
      <c r="AG800">
        <v>2114.0419382696705</v>
      </c>
      <c r="AH800">
        <v>9.7497959286266838</v>
      </c>
      <c r="AI800">
        <v>1913.9767491820935</v>
      </c>
      <c r="AJ800">
        <v>7.2713763450710855</v>
      </c>
    </row>
    <row r="801" spans="4:36" x14ac:dyDescent="0.55000000000000004">
      <c r="D801">
        <v>794</v>
      </c>
      <c r="E801">
        <v>12.466289874880468</v>
      </c>
      <c r="F801">
        <v>0.41022268869636769</v>
      </c>
      <c r="G801">
        <v>0.16476637581413023</v>
      </c>
      <c r="H801">
        <v>16.958721060609033</v>
      </c>
      <c r="I801">
        <v>12.658766422478386</v>
      </c>
      <c r="J801">
        <v>0.27978450025423285</v>
      </c>
      <c r="K801">
        <v>0.11204365986799811</v>
      </c>
      <c r="L801">
        <v>16.949405417399376</v>
      </c>
      <c r="M801">
        <v>12.580243623185291</v>
      </c>
      <c r="N801">
        <v>0.33302779258786502</v>
      </c>
      <c r="O801">
        <v>0.13352619865276802</v>
      </c>
      <c r="P801">
        <v>16.953202385574073</v>
      </c>
      <c r="Q801">
        <v>12.567546932743308</v>
      </c>
      <c r="R801">
        <v>0.34163310209583353</v>
      </c>
      <c r="S801">
        <v>0.13700318688517785</v>
      </c>
      <c r="T801">
        <v>16.953816778275677</v>
      </c>
      <c r="U801">
        <v>1533.6330245915174</v>
      </c>
      <c r="V801">
        <v>9.6637762542703225</v>
      </c>
      <c r="W801">
        <v>1302.8501081052148</v>
      </c>
      <c r="X801">
        <v>7.1903653346987157</v>
      </c>
      <c r="Y801">
        <v>2880.2899407776681</v>
      </c>
      <c r="Z801">
        <v>9.7015302262954837</v>
      </c>
      <c r="AA801">
        <v>2731.0730373435822</v>
      </c>
      <c r="AB801">
        <v>7.2127427159382709</v>
      </c>
      <c r="AC801">
        <v>2171.2212702374122</v>
      </c>
      <c r="AD801">
        <v>9.6861303123089346</v>
      </c>
      <c r="AE801">
        <v>1997.5915432828574</v>
      </c>
      <c r="AF801">
        <v>7.2036228620563509</v>
      </c>
      <c r="AG801">
        <v>2075.2833179077484</v>
      </c>
      <c r="AH801">
        <v>9.6836399486210514</v>
      </c>
      <c r="AI801">
        <v>1887.0957225651098</v>
      </c>
      <c r="AJ801">
        <v>7.2021470443145468</v>
      </c>
    </row>
    <row r="802" spans="4:36" x14ac:dyDescent="0.55000000000000004">
      <c r="D802">
        <v>795</v>
      </c>
      <c r="E802">
        <v>11.618846538831141</v>
      </c>
      <c r="F802">
        <v>0.43774895322833357</v>
      </c>
      <c r="G802">
        <v>0.15472415839637751</v>
      </c>
      <c r="H802">
        <v>17.788680349544151</v>
      </c>
      <c r="I802">
        <v>11.814145509042492</v>
      </c>
      <c r="J802">
        <v>0.27732657736466759</v>
      </c>
      <c r="K802">
        <v>9.773314521923869E-2</v>
      </c>
      <c r="L802">
        <v>17.810794768373611</v>
      </c>
      <c r="M802">
        <v>11.730692502182309</v>
      </c>
      <c r="N802">
        <v>0.34589679228173714</v>
      </c>
      <c r="O802">
        <v>0.12205143717264859</v>
      </c>
      <c r="P802">
        <v>17.801359268363317</v>
      </c>
      <c r="Q802">
        <v>11.689336941229424</v>
      </c>
      <c r="R802">
        <v>0.37986592036671379</v>
      </c>
      <c r="S802">
        <v>0.13412150448488655</v>
      </c>
      <c r="T802">
        <v>17.796675633918976</v>
      </c>
      <c r="U802">
        <v>1512.4563211559521</v>
      </c>
      <c r="V802">
        <v>9.2568604277046411</v>
      </c>
      <c r="W802">
        <v>1291.1911774525922</v>
      </c>
      <c r="X802">
        <v>6.976701890293425</v>
      </c>
      <c r="Y802">
        <v>2846.2772635507226</v>
      </c>
      <c r="Z802">
        <v>9.2821397043116161</v>
      </c>
      <c r="AA802">
        <v>2709.7788603641288</v>
      </c>
      <c r="AB802">
        <v>6.9931562251657775</v>
      </c>
      <c r="AC802">
        <v>2188.9440581070016</v>
      </c>
      <c r="AD802">
        <v>9.2713293215336634</v>
      </c>
      <c r="AE802">
        <v>2014.8417797461195</v>
      </c>
      <c r="AF802">
        <v>6.9861291739407587</v>
      </c>
      <c r="AG802">
        <v>2095.6499546507466</v>
      </c>
      <c r="AH802">
        <v>9.2659767694920898</v>
      </c>
      <c r="AI802">
        <v>1904.8183300692433</v>
      </c>
      <c r="AJ802">
        <v>6.9826446609691315</v>
      </c>
    </row>
    <row r="803" spans="4:36" x14ac:dyDescent="0.55000000000000004">
      <c r="D803">
        <v>796</v>
      </c>
      <c r="E803">
        <v>12.712249683092134</v>
      </c>
      <c r="F803">
        <v>0.45758117972016915</v>
      </c>
      <c r="G803">
        <v>0.18354601068322091</v>
      </c>
      <c r="H803">
        <v>16.646623126504476</v>
      </c>
      <c r="I803">
        <v>12.95143928703464</v>
      </c>
      <c r="J803">
        <v>0.29008936192782031</v>
      </c>
      <c r="K803">
        <v>0.11595638017408534</v>
      </c>
      <c r="L803">
        <v>16.64251497086347</v>
      </c>
      <c r="M803">
        <v>12.864966801496818</v>
      </c>
      <c r="N803">
        <v>0.35068261174855619</v>
      </c>
      <c r="O803">
        <v>0.14035300044426011</v>
      </c>
      <c r="P803">
        <v>16.643997586310377</v>
      </c>
      <c r="Q803">
        <v>12.827729471117392</v>
      </c>
      <c r="R803">
        <v>0.37676136728567589</v>
      </c>
      <c r="S803">
        <v>0.15087222714520668</v>
      </c>
      <c r="T803">
        <v>16.644636934451736</v>
      </c>
      <c r="U803">
        <v>1550.4426609650072</v>
      </c>
      <c r="V803">
        <v>9.989587904718837</v>
      </c>
      <c r="W803">
        <v>1306.7314294160863</v>
      </c>
      <c r="X803">
        <v>7.4007490412195347</v>
      </c>
      <c r="Y803">
        <v>2907.3239867787274</v>
      </c>
      <c r="Z803">
        <v>10.036833217705768</v>
      </c>
      <c r="AA803">
        <v>2747.2373128413155</v>
      </c>
      <c r="AB803">
        <v>7.4288422760781678</v>
      </c>
      <c r="AC803">
        <v>2254.9777340636301</v>
      </c>
      <c r="AD803">
        <v>10.019754635937771</v>
      </c>
      <c r="AE803">
        <v>2054.8363555734286</v>
      </c>
      <c r="AF803">
        <v>7.4186986416729237</v>
      </c>
      <c r="AG803">
        <v>2128.2148240773936</v>
      </c>
      <c r="AH803">
        <v>10.012399567181033</v>
      </c>
      <c r="AI803">
        <v>1919.7225633580028</v>
      </c>
      <c r="AJ803">
        <v>7.4143261154612086</v>
      </c>
    </row>
    <row r="804" spans="4:36" x14ac:dyDescent="0.55000000000000004">
      <c r="D804">
        <v>797</v>
      </c>
      <c r="E804">
        <v>12.340499388065824</v>
      </c>
      <c r="F804">
        <v>0.46589103398911652</v>
      </c>
      <c r="G804">
        <v>0.15689389217596025</v>
      </c>
      <c r="H804">
        <v>17.036715685769114</v>
      </c>
      <c r="I804">
        <v>12.573928820376015</v>
      </c>
      <c r="J804">
        <v>0.28616697228137933</v>
      </c>
      <c r="K804">
        <v>9.604479966909002E-2</v>
      </c>
      <c r="L804">
        <v>17.043859407673519</v>
      </c>
      <c r="M804">
        <v>12.458441162433047</v>
      </c>
      <c r="N804">
        <v>0.37511957470235463</v>
      </c>
      <c r="O804">
        <v>0.12610932616033582</v>
      </c>
      <c r="P804">
        <v>17.040329936704261</v>
      </c>
      <c r="Q804">
        <v>12.445983917456752</v>
      </c>
      <c r="R804">
        <v>0.38471046039398393</v>
      </c>
      <c r="S804">
        <v>0.12935696085663215</v>
      </c>
      <c r="T804">
        <v>17.039948661292634</v>
      </c>
      <c r="U804">
        <v>1565.8507871158372</v>
      </c>
      <c r="V804">
        <v>9.7933531305009041</v>
      </c>
      <c r="W804">
        <v>1320.5950129406251</v>
      </c>
      <c r="X804">
        <v>7.2958296571644885</v>
      </c>
      <c r="Y804">
        <v>2895.3056766424538</v>
      </c>
      <c r="Z804">
        <v>9.8320094234518134</v>
      </c>
      <c r="AA804">
        <v>2740.6148582449005</v>
      </c>
      <c r="AB804">
        <v>7.3194704501286321</v>
      </c>
      <c r="AC804">
        <v>2246.7447276004614</v>
      </c>
      <c r="AD804">
        <v>9.8128810477521924</v>
      </c>
      <c r="AE804">
        <v>2049.1530494527492</v>
      </c>
      <c r="AF804">
        <v>7.3077843370826878</v>
      </c>
      <c r="AG804">
        <v>2085.4862849086776</v>
      </c>
      <c r="AH804">
        <v>9.8108181375745396</v>
      </c>
      <c r="AI804">
        <v>1889.6526635042962</v>
      </c>
      <c r="AJ804">
        <v>7.3065226318583028</v>
      </c>
    </row>
    <row r="805" spans="4:36" x14ac:dyDescent="0.55000000000000004">
      <c r="D805">
        <v>798</v>
      </c>
      <c r="E805">
        <v>12.06188583357196</v>
      </c>
      <c r="F805">
        <v>0.42656690928563951</v>
      </c>
      <c r="G805">
        <v>0.17601194314248575</v>
      </c>
      <c r="H805">
        <v>17.335535313999916</v>
      </c>
      <c r="I805">
        <v>12.284870360759065</v>
      </c>
      <c r="J805">
        <v>0.2646932785990862</v>
      </c>
      <c r="K805">
        <v>0.10884889715012741</v>
      </c>
      <c r="L805">
        <v>17.341587463491713</v>
      </c>
      <c r="M805">
        <v>12.188483568006486</v>
      </c>
      <c r="N805">
        <v>0.3347011261368153</v>
      </c>
      <c r="O805">
        <v>0.13783917997968359</v>
      </c>
      <c r="P805">
        <v>17.338976125877032</v>
      </c>
      <c r="Q805">
        <v>12.156257256808367</v>
      </c>
      <c r="R805">
        <v>0.35809537744695907</v>
      </c>
      <c r="S805">
        <v>0.14754593148388995</v>
      </c>
      <c r="T805">
        <v>17.338101434260771</v>
      </c>
      <c r="U805">
        <v>1523.3993077809916</v>
      </c>
      <c r="V805">
        <v>9.5036230886669379</v>
      </c>
      <c r="W805">
        <v>1294.7333157002192</v>
      </c>
      <c r="X805">
        <v>7.1133504125301554</v>
      </c>
      <c r="Y805">
        <v>2880.3496624548611</v>
      </c>
      <c r="Z805">
        <v>9.5429993135370133</v>
      </c>
      <c r="AA805">
        <v>2732.9412432927093</v>
      </c>
      <c r="AB805">
        <v>7.1374538859982586</v>
      </c>
      <c r="AC805">
        <v>2204.1072320585336</v>
      </c>
      <c r="AD805">
        <v>9.525976031813844</v>
      </c>
      <c r="AE805">
        <v>2022.7346689295</v>
      </c>
      <c r="AF805">
        <v>7.1270452011265339</v>
      </c>
      <c r="AG805">
        <v>2088.9165486316347</v>
      </c>
      <c r="AH805">
        <v>9.5202852864950156</v>
      </c>
      <c r="AI805">
        <v>1896.7016850719085</v>
      </c>
      <c r="AJ805">
        <v>7.123561665254182</v>
      </c>
    </row>
    <row r="806" spans="4:36" x14ac:dyDescent="0.55000000000000004">
      <c r="D806">
        <v>799</v>
      </c>
      <c r="E806">
        <v>11.493460260857328</v>
      </c>
      <c r="F806">
        <v>0.41625054206151757</v>
      </c>
      <c r="G806">
        <v>0.12814523036899628</v>
      </c>
      <c r="H806">
        <v>17.962143966712166</v>
      </c>
      <c r="I806">
        <v>11.670090740454103</v>
      </c>
      <c r="J806">
        <v>0.27972379195950386</v>
      </c>
      <c r="K806">
        <v>8.5885854759507149E-2</v>
      </c>
      <c r="L806">
        <v>17.964299612826903</v>
      </c>
      <c r="M806">
        <v>11.627304129876627</v>
      </c>
      <c r="N806">
        <v>0.31281104787079711</v>
      </c>
      <c r="O806">
        <v>9.610653692596699E-2</v>
      </c>
      <c r="P806">
        <v>17.963778285326615</v>
      </c>
      <c r="Q806">
        <v>11.566866719581743</v>
      </c>
      <c r="R806">
        <v>0.35953120794801896</v>
      </c>
      <c r="S806">
        <v>0.1105611037094168</v>
      </c>
      <c r="T806">
        <v>17.963040968760833</v>
      </c>
      <c r="U806">
        <v>1469.4205773241829</v>
      </c>
      <c r="V806">
        <v>9.1149882696900342</v>
      </c>
      <c r="W806">
        <v>1262.8145408132339</v>
      </c>
      <c r="X806">
        <v>6.890536509989353</v>
      </c>
      <c r="Y806">
        <v>2839.7720104873943</v>
      </c>
      <c r="Z806">
        <v>9.1487618774100454</v>
      </c>
      <c r="AA806">
        <v>2706.2561421562918</v>
      </c>
      <c r="AB806">
        <v>6.9113187077990075</v>
      </c>
      <c r="AC806">
        <v>2151.0987117352611</v>
      </c>
      <c r="AD806">
        <v>9.1405799198579025</v>
      </c>
      <c r="AE806">
        <v>1990.7824971286336</v>
      </c>
      <c r="AF806">
        <v>6.9062903698393976</v>
      </c>
      <c r="AG806">
        <v>2071.0311693448698</v>
      </c>
      <c r="AH806">
        <v>9.1290234199030298</v>
      </c>
      <c r="AI806">
        <v>1890.0002539163077</v>
      </c>
      <c r="AJ806">
        <v>6.8991812841672617</v>
      </c>
    </row>
    <row r="807" spans="4:36" x14ac:dyDescent="0.55000000000000004">
      <c r="D807">
        <v>800</v>
      </c>
      <c r="E807">
        <v>11.684935982227563</v>
      </c>
      <c r="F807">
        <v>0.44301350657436322</v>
      </c>
      <c r="G807">
        <v>0.14443103562019885</v>
      </c>
      <c r="H807">
        <v>17.727619475577889</v>
      </c>
      <c r="I807">
        <v>11.888209223957018</v>
      </c>
      <c r="J807">
        <v>0.28007909921670043</v>
      </c>
      <c r="K807">
        <v>9.1016670134429725E-2</v>
      </c>
      <c r="L807">
        <v>17.740695006691862</v>
      </c>
      <c r="M807">
        <v>11.789409427592942</v>
      </c>
      <c r="N807">
        <v>0.35929691430376937</v>
      </c>
      <c r="O807">
        <v>0.11694275841241308</v>
      </c>
      <c r="P807">
        <v>17.734350899690881</v>
      </c>
      <c r="Q807">
        <v>11.755944601991869</v>
      </c>
      <c r="R807">
        <v>0.38611859022056422</v>
      </c>
      <c r="S807">
        <v>0.12573952202858288</v>
      </c>
      <c r="T807">
        <v>17.732197285758996</v>
      </c>
      <c r="U807">
        <v>1491.778494505824</v>
      </c>
      <c r="V807">
        <v>9.3074569245185916</v>
      </c>
      <c r="W807">
        <v>1273.4851349910361</v>
      </c>
      <c r="X807">
        <v>7.0080574246233303</v>
      </c>
      <c r="Y807">
        <v>2859.3547232701326</v>
      </c>
      <c r="Z807">
        <v>9.3379774202307146</v>
      </c>
      <c r="AA807">
        <v>2718.4389533768349</v>
      </c>
      <c r="AB807">
        <v>7.0273449061096347</v>
      </c>
      <c r="AC807">
        <v>2184.9901558274987</v>
      </c>
      <c r="AD807">
        <v>9.3231368548944378</v>
      </c>
      <c r="AE807">
        <v>2009.4664797831781</v>
      </c>
      <c r="AF807">
        <v>7.0179768186288554</v>
      </c>
      <c r="AG807">
        <v>2065.9907738214924</v>
      </c>
      <c r="AH807">
        <v>9.3181128279039509</v>
      </c>
      <c r="AI807">
        <v>1880.4479596729636</v>
      </c>
      <c r="AJ807">
        <v>7.014800951103358</v>
      </c>
    </row>
    <row r="808" spans="4:36" x14ac:dyDescent="0.55000000000000004">
      <c r="D808">
        <v>801</v>
      </c>
      <c r="E808">
        <v>13.596421819625851</v>
      </c>
      <c r="F808">
        <v>0.47571433006404346</v>
      </c>
      <c r="G808">
        <v>0.16142117890388169</v>
      </c>
      <c r="H808">
        <v>15.766442671406224</v>
      </c>
      <c r="I808">
        <v>13.83168461655681</v>
      </c>
      <c r="J808">
        <v>0.3145195279557042</v>
      </c>
      <c r="K808">
        <v>0.10639241650852962</v>
      </c>
      <c r="L808">
        <v>15.74740343897896</v>
      </c>
      <c r="M808">
        <v>13.734138366126016</v>
      </c>
      <c r="N808">
        <v>0.38139676783206089</v>
      </c>
      <c r="O808">
        <v>0.12918079460378509</v>
      </c>
      <c r="P808">
        <v>15.755284071438146</v>
      </c>
      <c r="Q808">
        <v>13.666265022142543</v>
      </c>
      <c r="R808">
        <v>0.42789575209219727</v>
      </c>
      <c r="S808">
        <v>0.14506046744234602</v>
      </c>
      <c r="T808">
        <v>15.760778758322905</v>
      </c>
      <c r="U808">
        <v>1609.0773366444064</v>
      </c>
      <c r="V808">
        <v>10.645905186945203</v>
      </c>
      <c r="W808">
        <v>1347.2653190395542</v>
      </c>
      <c r="X808">
        <v>7.7890629776628195</v>
      </c>
      <c r="Y808">
        <v>2921.7468316219715</v>
      </c>
      <c r="Z808">
        <v>10.700877202679299</v>
      </c>
      <c r="AA808">
        <v>2755.0481534135092</v>
      </c>
      <c r="AB808">
        <v>7.8208066025381155</v>
      </c>
      <c r="AC808">
        <v>2249.8446125898895</v>
      </c>
      <c r="AD808">
        <v>10.678091259959722</v>
      </c>
      <c r="AE808">
        <v>2047.3825208709957</v>
      </c>
      <c r="AF808">
        <v>7.8076601191798867</v>
      </c>
      <c r="AG808">
        <v>2168.6933310955046</v>
      </c>
      <c r="AH808">
        <v>10.662230872924138</v>
      </c>
      <c r="AI808">
        <v>1944.5380487334373</v>
      </c>
      <c r="AJ808">
        <v>7.7984999801551238</v>
      </c>
    </row>
    <row r="809" spans="4:36" x14ac:dyDescent="0.55000000000000004">
      <c r="D809">
        <v>802</v>
      </c>
      <c r="E809">
        <v>12.341425699523954</v>
      </c>
      <c r="F809">
        <v>0.46286844867210591</v>
      </c>
      <c r="G809">
        <v>0.15663521896012642</v>
      </c>
      <c r="H809">
        <v>17.039070632843824</v>
      </c>
      <c r="I809">
        <v>12.565105678283233</v>
      </c>
      <c r="J809">
        <v>0.29329421270400491</v>
      </c>
      <c r="K809">
        <v>9.8923256066977577E-2</v>
      </c>
      <c r="L809">
        <v>17.042676852945785</v>
      </c>
      <c r="M809">
        <v>12.451389451451902</v>
      </c>
      <c r="N809">
        <v>0.37953749817853688</v>
      </c>
      <c r="O809">
        <v>0.12822640166223914</v>
      </c>
      <c r="P809">
        <v>17.040846648707308</v>
      </c>
      <c r="Q809">
        <v>12.439165815342474</v>
      </c>
      <c r="R809">
        <v>0.38880385783647814</v>
      </c>
      <c r="S809">
        <v>0.13138079806938821</v>
      </c>
      <c r="T809">
        <v>17.040649528751658</v>
      </c>
      <c r="U809">
        <v>1518.3436805888439</v>
      </c>
      <c r="V809">
        <v>9.8413820591131991</v>
      </c>
      <c r="W809">
        <v>1287.7664006544778</v>
      </c>
      <c r="X809">
        <v>7.3331615417044036</v>
      </c>
      <c r="Y809">
        <v>2893.4301976355305</v>
      </c>
      <c r="Z809">
        <v>9.8831614858945365</v>
      </c>
      <c r="AA809">
        <v>2740.1991824387665</v>
      </c>
      <c r="AB809">
        <v>7.358537965137856</v>
      </c>
      <c r="AC809">
        <v>2230.744250776263</v>
      </c>
      <c r="AD809">
        <v>9.8619192606929538</v>
      </c>
      <c r="AE809">
        <v>2038.8815133492965</v>
      </c>
      <c r="AF809">
        <v>7.3456477536476967</v>
      </c>
      <c r="AG809">
        <v>2097.5976709005513</v>
      </c>
      <c r="AH809">
        <v>9.8596361349006045</v>
      </c>
      <c r="AI809">
        <v>1900.5267443005</v>
      </c>
      <c r="AJ809">
        <v>7.3442608226188826</v>
      </c>
    </row>
    <row r="810" spans="4:36" x14ac:dyDescent="0.55000000000000004">
      <c r="D810">
        <v>803</v>
      </c>
      <c r="E810">
        <v>13.578019783483509</v>
      </c>
      <c r="F810">
        <v>0.52924555681030949</v>
      </c>
      <c r="G810">
        <v>0.17276967672001256</v>
      </c>
      <c r="H810">
        <v>15.719964982986173</v>
      </c>
      <c r="I810">
        <v>13.841505146252663</v>
      </c>
      <c r="J810">
        <v>0.33215957305065624</v>
      </c>
      <c r="K810">
        <v>0.10808289265744461</v>
      </c>
      <c r="L810">
        <v>15.718252388039247</v>
      </c>
      <c r="M810">
        <v>13.707407650046681</v>
      </c>
      <c r="N810">
        <v>0.43250946968361326</v>
      </c>
      <c r="O810">
        <v>0.14096639143408368</v>
      </c>
      <c r="P810">
        <v>15.719116488835628</v>
      </c>
      <c r="Q810">
        <v>13.690942902433109</v>
      </c>
      <c r="R810">
        <v>0.44482414524230551</v>
      </c>
      <c r="S810">
        <v>0.14500930127985306</v>
      </c>
      <c r="T810">
        <v>15.719223651044743</v>
      </c>
      <c r="U810">
        <v>1626.3678616149764</v>
      </c>
      <c r="V810">
        <v>10.780145794852496</v>
      </c>
      <c r="W810">
        <v>1355.3325051185864</v>
      </c>
      <c r="X810">
        <v>7.8834822786955145</v>
      </c>
      <c r="Y810">
        <v>2935.1179269481304</v>
      </c>
      <c r="Z810">
        <v>10.833200224194648</v>
      </c>
      <c r="AA810">
        <v>2763.0650377717143</v>
      </c>
      <c r="AB810">
        <v>7.9144980381587935</v>
      </c>
      <c r="AC810">
        <v>2273.3069098053675</v>
      </c>
      <c r="AD810">
        <v>10.806203048221841</v>
      </c>
      <c r="AE810">
        <v>2060.30705888694</v>
      </c>
      <c r="AF810">
        <v>7.8987287922405951</v>
      </c>
      <c r="AG810">
        <v>2153.071098800267</v>
      </c>
      <c r="AH810">
        <v>10.802887686962816</v>
      </c>
      <c r="AI810">
        <v>1931.055417451832</v>
      </c>
      <c r="AJ810">
        <v>7.8967903639058381</v>
      </c>
    </row>
    <row r="811" spans="4:36" x14ac:dyDescent="0.55000000000000004">
      <c r="D811">
        <v>804</v>
      </c>
      <c r="E811">
        <v>12.927638566440979</v>
      </c>
      <c r="F811">
        <v>0.47141709090914002</v>
      </c>
      <c r="G811">
        <v>0.1503463958597768</v>
      </c>
      <c r="H811">
        <v>16.450597946790122</v>
      </c>
      <c r="I811">
        <v>13.161409730512723</v>
      </c>
      <c r="J811">
        <v>0.30757448817354638</v>
      </c>
      <c r="K811">
        <v>9.778358407486451E-2</v>
      </c>
      <c r="L811">
        <v>16.433232197238866</v>
      </c>
      <c r="M811">
        <v>13.058842414886731</v>
      </c>
      <c r="N811">
        <v>0.37950207663365432</v>
      </c>
      <c r="O811">
        <v>0.12081734859267293</v>
      </c>
      <c r="P811">
        <v>16.440838159886937</v>
      </c>
      <c r="Q811">
        <v>13.018515801878689</v>
      </c>
      <c r="R811">
        <v>0.40776429090390737</v>
      </c>
      <c r="S811">
        <v>0.12988562973565942</v>
      </c>
      <c r="T811">
        <v>16.443834277481724</v>
      </c>
      <c r="U811">
        <v>1595.1729676429304</v>
      </c>
      <c r="V811">
        <v>10.262237445265448</v>
      </c>
      <c r="W811">
        <v>1339.4078702416452</v>
      </c>
      <c r="X811">
        <v>7.5829873488076611</v>
      </c>
      <c r="Y811">
        <v>2880.3464833210551</v>
      </c>
      <c r="Z811">
        <v>10.319206093271204</v>
      </c>
      <c r="AA811">
        <v>2726.1067881904946</v>
      </c>
      <c r="AB811">
        <v>7.6161664513626555</v>
      </c>
      <c r="AC811">
        <v>2261.7262473735327</v>
      </c>
      <c r="AD811">
        <v>10.294218802181598</v>
      </c>
      <c r="AE811">
        <v>2057.8349999438142</v>
      </c>
      <c r="AF811">
        <v>7.601626454094192</v>
      </c>
      <c r="AG811">
        <v>2135.9749073942144</v>
      </c>
      <c r="AH811">
        <v>10.284391185409611</v>
      </c>
      <c r="AI811">
        <v>1923.3910306524906</v>
      </c>
      <c r="AJ811">
        <v>7.5959023265182495</v>
      </c>
    </row>
    <row r="812" spans="4:36" x14ac:dyDescent="0.55000000000000004">
      <c r="D812">
        <v>805</v>
      </c>
      <c r="E812">
        <v>12.817204387923999</v>
      </c>
      <c r="F812">
        <v>0.48373780025197838</v>
      </c>
      <c r="G812">
        <v>0.18642049300092622</v>
      </c>
      <c r="H812">
        <v>16.512637318823099</v>
      </c>
      <c r="I812">
        <v>13.09862842416951</v>
      </c>
      <c r="J812">
        <v>0.28308139450340192</v>
      </c>
      <c r="K812">
        <v>0.10865194258544614</v>
      </c>
      <c r="L812">
        <v>16.50963823874163</v>
      </c>
      <c r="M812">
        <v>12.975549616487431</v>
      </c>
      <c r="N812">
        <v>0.37089557149333707</v>
      </c>
      <c r="O812">
        <v>0.14260754657079078</v>
      </c>
      <c r="P812">
        <v>16.510947265448443</v>
      </c>
      <c r="Q812">
        <v>12.946601440560913</v>
      </c>
      <c r="R812">
        <v>0.39153634068162835</v>
      </c>
      <c r="S812">
        <v>0.15060648564676807</v>
      </c>
      <c r="T812">
        <v>16.511255733110698</v>
      </c>
      <c r="U812">
        <v>1588.1194361225735</v>
      </c>
      <c r="V812">
        <v>10.132428088930249</v>
      </c>
      <c r="W812">
        <v>1329.8253453989028</v>
      </c>
      <c r="X812">
        <v>7.4920105314141869</v>
      </c>
      <c r="Y812">
        <v>2921.8896938490334</v>
      </c>
      <c r="Z812">
        <v>10.186399117466948</v>
      </c>
      <c r="AA812">
        <v>2756.9391910399663</v>
      </c>
      <c r="AB812">
        <v>7.5241151308599159</v>
      </c>
      <c r="AC812">
        <v>2257.7446065928038</v>
      </c>
      <c r="AD812">
        <v>10.16279686229209</v>
      </c>
      <c r="AE812">
        <v>2053.0015722073945</v>
      </c>
      <c r="AF812">
        <v>7.5100920738181847</v>
      </c>
      <c r="AG812">
        <v>2137.1658266006002</v>
      </c>
      <c r="AH812">
        <v>10.157245246487944</v>
      </c>
      <c r="AI812">
        <v>1922.8305550336911</v>
      </c>
      <c r="AJ812">
        <v>7.5067898813528666</v>
      </c>
    </row>
    <row r="813" spans="4:36" x14ac:dyDescent="0.55000000000000004">
      <c r="D813">
        <v>806</v>
      </c>
      <c r="E813">
        <v>12.105146672304967</v>
      </c>
      <c r="F813">
        <v>0.43816541763129313</v>
      </c>
      <c r="G813">
        <v>0.15993046625672294</v>
      </c>
      <c r="H813">
        <v>17.296757443807017</v>
      </c>
      <c r="I813">
        <v>12.322858345984315</v>
      </c>
      <c r="J813">
        <v>0.28039542843154436</v>
      </c>
      <c r="K813">
        <v>0.10201437504995382</v>
      </c>
      <c r="L813">
        <v>17.294731850534191</v>
      </c>
      <c r="M813">
        <v>12.237455714300879</v>
      </c>
      <c r="N813">
        <v>0.34231856223190144</v>
      </c>
      <c r="O813">
        <v>0.12470064757332693</v>
      </c>
      <c r="P813">
        <v>17.295525075893895</v>
      </c>
      <c r="Q813">
        <v>12.217954742253298</v>
      </c>
      <c r="R813">
        <v>0.35645204640710687</v>
      </c>
      <c r="S813">
        <v>0.12988676358347057</v>
      </c>
      <c r="T813">
        <v>17.295706447756125</v>
      </c>
      <c r="U813">
        <v>1513.6861969957322</v>
      </c>
      <c r="V813">
        <v>9.5560128653195395</v>
      </c>
      <c r="W813">
        <v>1287.9143536587276</v>
      </c>
      <c r="X813">
        <v>7.1484956777130098</v>
      </c>
      <c r="Y813">
        <v>2878.0727296238874</v>
      </c>
      <c r="Z813">
        <v>9.597397897260878</v>
      </c>
      <c r="AA813">
        <v>2730.8027831491991</v>
      </c>
      <c r="AB813">
        <v>7.1733823804433525</v>
      </c>
      <c r="AC813">
        <v>2212.0869832485569</v>
      </c>
      <c r="AD813">
        <v>9.5811647867184515</v>
      </c>
      <c r="AE813">
        <v>2029.2174059511249</v>
      </c>
      <c r="AF813">
        <v>7.1636312836621148</v>
      </c>
      <c r="AG813">
        <v>2088.3927563967286</v>
      </c>
      <c r="AH813">
        <v>9.5774578831175514</v>
      </c>
      <c r="AI813">
        <v>1897.6182980660938</v>
      </c>
      <c r="AJ813">
        <v>7.1614026662843386</v>
      </c>
    </row>
    <row r="814" spans="4:36" x14ac:dyDescent="0.55000000000000004">
      <c r="D814">
        <v>807</v>
      </c>
      <c r="E814">
        <v>13.100300860205893</v>
      </c>
      <c r="F814">
        <v>0.46363102287936964</v>
      </c>
      <c r="G814">
        <v>0.16820829511744373</v>
      </c>
      <c r="H814">
        <v>16.267859821797302</v>
      </c>
      <c r="I814">
        <v>13.3086351783864</v>
      </c>
      <c r="J814">
        <v>0.31647778087084899</v>
      </c>
      <c r="K814">
        <v>0.11446364325415123</v>
      </c>
      <c r="L814">
        <v>16.260423397488591</v>
      </c>
      <c r="M814">
        <v>13.218411670037044</v>
      </c>
      <c r="N814">
        <v>0.38023771466789047</v>
      </c>
      <c r="O814">
        <v>0.13770895963110086</v>
      </c>
      <c r="P814">
        <v>16.263641655663974</v>
      </c>
      <c r="Q814">
        <v>13.198587560685942</v>
      </c>
      <c r="R814">
        <v>0.39424062700537893</v>
      </c>
      <c r="S814">
        <v>0.1428225762667181</v>
      </c>
      <c r="T814">
        <v>16.264349236041962</v>
      </c>
      <c r="U814">
        <v>1553.9334388710931</v>
      </c>
      <c r="V814">
        <v>10.256143211866897</v>
      </c>
      <c r="W814">
        <v>1306.2120127115536</v>
      </c>
      <c r="X814">
        <v>7.5554847235885205</v>
      </c>
      <c r="Y814">
        <v>2925.6892405860563</v>
      </c>
      <c r="Z814">
        <v>10.298233986440513</v>
      </c>
      <c r="AA814">
        <v>2756.9369588395011</v>
      </c>
      <c r="AB814">
        <v>7.5803243085380529</v>
      </c>
      <c r="AC814">
        <v>2245.314738169026</v>
      </c>
      <c r="AD814">
        <v>10.280007209103424</v>
      </c>
      <c r="AE814">
        <v>2043.0794952809936</v>
      </c>
      <c r="AF814">
        <v>7.5695770754472891</v>
      </c>
      <c r="AG814">
        <v>2151.1424102366486</v>
      </c>
      <c r="AH814">
        <v>10.276002073234721</v>
      </c>
      <c r="AI814">
        <v>1933.0292199414055</v>
      </c>
      <c r="AJ814">
        <v>7.5672136177794211</v>
      </c>
    </row>
    <row r="815" spans="4:36" x14ac:dyDescent="0.55000000000000004">
      <c r="D815">
        <v>808</v>
      </c>
      <c r="E815">
        <v>13.773228773233006</v>
      </c>
      <c r="F815">
        <v>0.51255071409495556</v>
      </c>
      <c r="G815">
        <v>0.1498585918174663</v>
      </c>
      <c r="H815">
        <v>15.564361920854575</v>
      </c>
      <c r="I815">
        <v>14.008250489641503</v>
      </c>
      <c r="J815">
        <v>0.34418469342065172</v>
      </c>
      <c r="K815">
        <v>0.1003255117753598</v>
      </c>
      <c r="L815">
        <v>15.54723930516249</v>
      </c>
      <c r="M815">
        <v>13.920218412991499</v>
      </c>
      <c r="N815">
        <v>0.40728635933402063</v>
      </c>
      <c r="O815">
        <v>0.11885399041687972</v>
      </c>
      <c r="P815">
        <v>15.553641237257608</v>
      </c>
      <c r="Q815">
        <v>13.865813680677459</v>
      </c>
      <c r="R815">
        <v>0.44626186516965716</v>
      </c>
      <c r="S815">
        <v>0.13031978260250363</v>
      </c>
      <c r="T815">
        <v>15.557604671550386</v>
      </c>
      <c r="U815">
        <v>1590.7690503976962</v>
      </c>
      <c r="V815">
        <v>10.948294288667364</v>
      </c>
      <c r="W815">
        <v>1327.3791886142383</v>
      </c>
      <c r="X815">
        <v>7.988691928505081</v>
      </c>
      <c r="Y815">
        <v>2963.9392394769325</v>
      </c>
      <c r="Z815">
        <v>11.002938098728931</v>
      </c>
      <c r="AA815">
        <v>2781.357264580945</v>
      </c>
      <c r="AB815">
        <v>8.0201439087287696</v>
      </c>
      <c r="AC815">
        <v>2296.389120662056</v>
      </c>
      <c r="AD815">
        <v>10.982476948824468</v>
      </c>
      <c r="AE815">
        <v>2076.6820446855181</v>
      </c>
      <c r="AF815">
        <v>8.0083773511805418</v>
      </c>
      <c r="AG815">
        <v>2183.6823060319534</v>
      </c>
      <c r="AH815">
        <v>10.969827700315284</v>
      </c>
      <c r="AI815">
        <v>1950.9170840773693</v>
      </c>
      <c r="AJ815">
        <v>8.0010969012747548</v>
      </c>
    </row>
    <row r="816" spans="4:36" x14ac:dyDescent="0.55000000000000004">
      <c r="D816">
        <v>809</v>
      </c>
      <c r="E816">
        <v>12.259020790044572</v>
      </c>
      <c r="F816">
        <v>0.45405869350162831</v>
      </c>
      <c r="G816">
        <v>0.17338187185051435</v>
      </c>
      <c r="H816">
        <v>17.113538644603295</v>
      </c>
      <c r="I816">
        <v>12.532627383317655</v>
      </c>
      <c r="J816">
        <v>0.25557503661960312</v>
      </c>
      <c r="K816">
        <v>9.7176214500159716E-2</v>
      </c>
      <c r="L816">
        <v>17.114621365562595</v>
      </c>
      <c r="M816">
        <v>12.422358899555938</v>
      </c>
      <c r="N816">
        <v>0.33562128751862746</v>
      </c>
      <c r="O816">
        <v>0.12782994670047981</v>
      </c>
      <c r="P816">
        <v>17.114189866224965</v>
      </c>
      <c r="Q816">
        <v>12.386530883901095</v>
      </c>
      <c r="R816">
        <v>0.36161407940060192</v>
      </c>
      <c r="S816">
        <v>0.13780677383333895</v>
      </c>
      <c r="T816">
        <v>17.114048262864959</v>
      </c>
      <c r="U816">
        <v>1550.3884597079291</v>
      </c>
      <c r="V816">
        <v>9.7819145485659327</v>
      </c>
      <c r="W816">
        <v>1311.220777195444</v>
      </c>
      <c r="X816">
        <v>7.2964491078930989</v>
      </c>
      <c r="Y816">
        <v>2896.6979825476574</v>
      </c>
      <c r="Z816">
        <v>9.8320354039073852</v>
      </c>
      <c r="AA816">
        <v>2744.9624538686207</v>
      </c>
      <c r="AB816">
        <v>7.3269254704508153</v>
      </c>
      <c r="AC816">
        <v>2197.8889202380628</v>
      </c>
      <c r="AD816">
        <v>9.8118324213547563</v>
      </c>
      <c r="AE816">
        <v>2016.7911844831665</v>
      </c>
      <c r="AF816">
        <v>7.3146582757821736</v>
      </c>
      <c r="AG816">
        <v>2123.2183043732325</v>
      </c>
      <c r="AH816">
        <v>9.8052691146846289</v>
      </c>
      <c r="AI816">
        <v>1920.8628208241817</v>
      </c>
      <c r="AJ816">
        <v>7.3106680346029531</v>
      </c>
    </row>
    <row r="817" spans="4:36" x14ac:dyDescent="0.55000000000000004">
      <c r="D817">
        <v>810</v>
      </c>
      <c r="E817">
        <v>12.496876723568816</v>
      </c>
      <c r="F817">
        <v>0.44668298371025772</v>
      </c>
      <c r="G817">
        <v>0.17315198323214601</v>
      </c>
      <c r="H817">
        <v>16.883288309488787</v>
      </c>
      <c r="I817">
        <v>12.695884464680404</v>
      </c>
      <c r="J817">
        <v>0.29836752782012704</v>
      </c>
      <c r="K817">
        <v>0.11531944494778068</v>
      </c>
      <c r="L817">
        <v>16.890428562551687</v>
      </c>
      <c r="M817">
        <v>12.588494143936083</v>
      </c>
      <c r="N817">
        <v>0.37843030541133288</v>
      </c>
      <c r="O817">
        <v>0.14649539076624971</v>
      </c>
      <c r="P817">
        <v>16.886580159886346</v>
      </c>
      <c r="Q817">
        <v>12.526283894013481</v>
      </c>
      <c r="R817">
        <v>0.42478052066404004</v>
      </c>
      <c r="S817">
        <v>0.16458978770840174</v>
      </c>
      <c r="T817">
        <v>16.884345797614071</v>
      </c>
      <c r="U817">
        <v>1519.0854717612822</v>
      </c>
      <c r="V817">
        <v>9.8671832688961363</v>
      </c>
      <c r="W817">
        <v>1288.8587344352482</v>
      </c>
      <c r="X817">
        <v>7.3333782285678586</v>
      </c>
      <c r="Y817">
        <v>2894.2397969311141</v>
      </c>
      <c r="Z817">
        <v>9.8989783980160926</v>
      </c>
      <c r="AA817">
        <v>2739.9108237907576</v>
      </c>
      <c r="AB817">
        <v>7.3528122460941914</v>
      </c>
      <c r="AC817">
        <v>2218.265945611719</v>
      </c>
      <c r="AD817">
        <v>9.8818180957199928</v>
      </c>
      <c r="AE817">
        <v>2029.0414183961354</v>
      </c>
      <c r="AF817">
        <v>7.342331813070758</v>
      </c>
      <c r="AG817">
        <v>2120.509561602481</v>
      </c>
      <c r="AH817">
        <v>9.8718802138189989</v>
      </c>
      <c r="AI817">
        <v>1914.2471942686557</v>
      </c>
      <c r="AJ817">
        <v>7.3362533919904402</v>
      </c>
    </row>
    <row r="818" spans="4:36" x14ac:dyDescent="0.55000000000000004">
      <c r="D818">
        <v>811</v>
      </c>
      <c r="E818">
        <v>12.756739718722107</v>
      </c>
      <c r="F818">
        <v>0.45223078949263873</v>
      </c>
      <c r="G818">
        <v>0.17544739742021093</v>
      </c>
      <c r="H818">
        <v>16.615582094365045</v>
      </c>
      <c r="I818">
        <v>13.009046149455417</v>
      </c>
      <c r="J818">
        <v>0.27248056109020186</v>
      </c>
      <c r="K818">
        <v>0.10533408478194417</v>
      </c>
      <c r="L818">
        <v>16.613139204672439</v>
      </c>
      <c r="M818">
        <v>12.879007512647082</v>
      </c>
      <c r="N818">
        <v>0.36517172900451961</v>
      </c>
      <c r="O818">
        <v>0.1414255979668525</v>
      </c>
      <c r="P818">
        <v>16.614395160381552</v>
      </c>
      <c r="Q818">
        <v>12.826932453083034</v>
      </c>
      <c r="R818">
        <v>0.40226214147641642</v>
      </c>
      <c r="S818">
        <v>0.155905438532975</v>
      </c>
      <c r="T818">
        <v>16.614899966907583</v>
      </c>
      <c r="U818">
        <v>1568.5840503691886</v>
      </c>
      <c r="V818">
        <v>10.237454493640167</v>
      </c>
      <c r="W818">
        <v>1323.8438919860923</v>
      </c>
      <c r="X818">
        <v>7.5812576931375668</v>
      </c>
      <c r="Y818">
        <v>2874.9842065620055</v>
      </c>
      <c r="Z818">
        <v>10.289193483630752</v>
      </c>
      <c r="AA818">
        <v>2726.5699064403166</v>
      </c>
      <c r="AB818">
        <v>7.6119734732836548</v>
      </c>
      <c r="AC818">
        <v>2212.2138258352925</v>
      </c>
      <c r="AD818">
        <v>10.262529731817889</v>
      </c>
      <c r="AE818">
        <v>2024.3288821151734</v>
      </c>
      <c r="AF818">
        <v>7.5961584982483537</v>
      </c>
      <c r="AG818">
        <v>2143.8245783631323</v>
      </c>
      <c r="AH818">
        <v>10.251850520421252</v>
      </c>
      <c r="AI818">
        <v>1932.0363203127199</v>
      </c>
      <c r="AJ818">
        <v>7.5898157904108077</v>
      </c>
    </row>
    <row r="819" spans="4:36" x14ac:dyDescent="0.55000000000000004">
      <c r="D819">
        <v>812</v>
      </c>
      <c r="E819">
        <v>12.447850715734242</v>
      </c>
      <c r="F819">
        <v>0.40904772501668563</v>
      </c>
      <c r="G819">
        <v>0.11705040964354801</v>
      </c>
      <c r="H819">
        <v>17.026051149605532</v>
      </c>
      <c r="I819">
        <v>12.648406410157973</v>
      </c>
      <c r="J819">
        <v>0.26765386479538655</v>
      </c>
      <c r="K819">
        <v>7.6369062659004075E-2</v>
      </c>
      <c r="L819">
        <v>17.007570662387639</v>
      </c>
      <c r="M819">
        <v>12.53814282351486</v>
      </c>
      <c r="N819">
        <v>0.34542191695348434</v>
      </c>
      <c r="O819">
        <v>9.8714693118225325E-2</v>
      </c>
      <c r="P819">
        <v>17.01772056641342</v>
      </c>
      <c r="Q819">
        <v>12.500664432697777</v>
      </c>
      <c r="R819">
        <v>0.3718378872581079</v>
      </c>
      <c r="S819">
        <v>0.10632135740894685</v>
      </c>
      <c r="T819">
        <v>17.021176322635171</v>
      </c>
      <c r="U819">
        <v>1531.1433867726955</v>
      </c>
      <c r="V819">
        <v>9.8114027891811819</v>
      </c>
      <c r="W819">
        <v>1302.7979079818717</v>
      </c>
      <c r="X819">
        <v>7.3078693393214742</v>
      </c>
      <c r="Y819">
        <v>2865.8959179392455</v>
      </c>
      <c r="Z819">
        <v>9.8573562837811757</v>
      </c>
      <c r="AA819">
        <v>2722.4243436171728</v>
      </c>
      <c r="AB819">
        <v>7.3347548012950128</v>
      </c>
      <c r="AC819">
        <v>2217.2262966986323</v>
      </c>
      <c r="AD819">
        <v>9.8320975125320498</v>
      </c>
      <c r="AE819">
        <v>2032.4805427484032</v>
      </c>
      <c r="AF819">
        <v>7.319986455370187</v>
      </c>
      <c r="AG819">
        <v>2127.1814639906629</v>
      </c>
      <c r="AH819">
        <v>9.8235087627314019</v>
      </c>
      <c r="AI819">
        <v>1925.1443747776736</v>
      </c>
      <c r="AJ819">
        <v>7.3149594970263001</v>
      </c>
    </row>
    <row r="820" spans="4:36" x14ac:dyDescent="0.55000000000000004">
      <c r="D820">
        <v>813</v>
      </c>
      <c r="E820">
        <v>12.878892397235907</v>
      </c>
      <c r="F820">
        <v>0.46966870078440487</v>
      </c>
      <c r="G820">
        <v>0.18056309014750727</v>
      </c>
      <c r="H820">
        <v>16.470875811832183</v>
      </c>
      <c r="I820">
        <v>13.107987483649859</v>
      </c>
      <c r="J820">
        <v>0.306398344292239</v>
      </c>
      <c r="K820">
        <v>0.11738782149238255</v>
      </c>
      <c r="L820">
        <v>16.46822635056553</v>
      </c>
      <c r="M820">
        <v>13.035684318890887</v>
      </c>
      <c r="N820">
        <v>0.35796099545737403</v>
      </c>
      <c r="O820">
        <v>0.13729146892844632</v>
      </c>
      <c r="P820">
        <v>16.469063216723296</v>
      </c>
      <c r="Q820">
        <v>12.97389386624782</v>
      </c>
      <c r="R820">
        <v>0.40200179918426709</v>
      </c>
      <c r="S820">
        <v>0.15432642840444291</v>
      </c>
      <c r="T820">
        <v>16.469777906163475</v>
      </c>
      <c r="U820">
        <v>1598.9980802824896</v>
      </c>
      <c r="V820">
        <v>10.139420251262957</v>
      </c>
      <c r="W820">
        <v>1340.9023069013178</v>
      </c>
      <c r="X820">
        <v>7.4911219478783</v>
      </c>
      <c r="Y820">
        <v>2932.2893436728937</v>
      </c>
      <c r="Z820">
        <v>10.181170813431358</v>
      </c>
      <c r="AA820">
        <v>2763.7641873876396</v>
      </c>
      <c r="AB820">
        <v>7.5159502990841816</v>
      </c>
      <c r="AC820">
        <v>2244.2838874248223</v>
      </c>
      <c r="AD820">
        <v>10.167994725459215</v>
      </c>
      <c r="AE820">
        <v>2045.4633945526421</v>
      </c>
      <c r="AF820">
        <v>7.5081240060667733</v>
      </c>
      <c r="AG820">
        <v>2143.1628242859633</v>
      </c>
      <c r="AH820">
        <v>10.156734024716641</v>
      </c>
      <c r="AI820">
        <v>1927.911429875259</v>
      </c>
      <c r="AJ820">
        <v>7.5014286391495872</v>
      </c>
    </row>
    <row r="821" spans="4:36" x14ac:dyDescent="0.55000000000000004">
      <c r="D821">
        <v>814</v>
      </c>
      <c r="E821">
        <v>12.201971087225992</v>
      </c>
      <c r="F821">
        <v>0.41581136643208261</v>
      </c>
      <c r="G821">
        <v>0.14344036539216803</v>
      </c>
      <c r="H821">
        <v>17.238777180949757</v>
      </c>
      <c r="I821">
        <v>12.422966292074827</v>
      </c>
      <c r="J821">
        <v>0.26198655244082286</v>
      </c>
      <c r="K821">
        <v>9.0080010660313722E-2</v>
      </c>
      <c r="L821">
        <v>17.224967144824046</v>
      </c>
      <c r="M821">
        <v>12.304400105743305</v>
      </c>
      <c r="N821">
        <v>0.34455429991805175</v>
      </c>
      <c r="O821">
        <v>0.11867776781715522</v>
      </c>
      <c r="P821">
        <v>17.232367826521489</v>
      </c>
      <c r="Q821">
        <v>12.295898701007774</v>
      </c>
      <c r="R821">
        <v>0.35047108143411132</v>
      </c>
      <c r="S821">
        <v>0.12073099178758832</v>
      </c>
      <c r="T821">
        <v>17.232899225770517</v>
      </c>
      <c r="U821">
        <v>1534.9445803011574</v>
      </c>
      <c r="V821">
        <v>9.5987916645768969</v>
      </c>
      <c r="W821">
        <v>1305.8174029805984</v>
      </c>
      <c r="X821">
        <v>7.1740531105800835</v>
      </c>
      <c r="Y821">
        <v>2882.9323906206992</v>
      </c>
      <c r="Z821">
        <v>9.6475140074025454</v>
      </c>
      <c r="AA821">
        <v>2735.9885139367725</v>
      </c>
      <c r="AB821">
        <v>7.2029020231598775</v>
      </c>
      <c r="AC821">
        <v>2202.2977273633023</v>
      </c>
      <c r="AD821">
        <v>9.6213789630181648</v>
      </c>
      <c r="AE821">
        <v>2021.7960563223578</v>
      </c>
      <c r="AF821">
        <v>7.1874393446448774</v>
      </c>
      <c r="AG821">
        <v>2103.3326538784495</v>
      </c>
      <c r="AH821">
        <v>9.6195045918705535</v>
      </c>
      <c r="AI821">
        <v>1909.4186861689921</v>
      </c>
      <c r="AJ821">
        <v>7.1863293098370562</v>
      </c>
    </row>
    <row r="822" spans="4:36" x14ac:dyDescent="0.55000000000000004">
      <c r="D822">
        <v>815</v>
      </c>
      <c r="E822">
        <v>11.539101827474379</v>
      </c>
      <c r="F822">
        <v>0.44673121260644916</v>
      </c>
      <c r="G822">
        <v>0.14227401181804064</v>
      </c>
      <c r="H822">
        <v>17.871892948101124</v>
      </c>
      <c r="I822">
        <v>11.728393756853244</v>
      </c>
      <c r="J822">
        <v>0.28984680000424784</v>
      </c>
      <c r="K822">
        <v>9.2048388447018042E-2</v>
      </c>
      <c r="L822">
        <v>17.889711054695493</v>
      </c>
      <c r="M822">
        <v>11.64226875785622</v>
      </c>
      <c r="N822">
        <v>0.36124557873973623</v>
      </c>
      <c r="O822">
        <v>0.11487052343994597</v>
      </c>
      <c r="P822">
        <v>17.881615139964111</v>
      </c>
      <c r="Q822">
        <v>11.590498736087447</v>
      </c>
      <c r="R822">
        <v>0.40414861397208784</v>
      </c>
      <c r="S822">
        <v>0.1286128567922987</v>
      </c>
      <c r="T822">
        <v>17.876739793148172</v>
      </c>
      <c r="U822">
        <v>1484.8314844545796</v>
      </c>
      <c r="V822">
        <v>9.1306228227937414</v>
      </c>
      <c r="W822">
        <v>1270.1797301179533</v>
      </c>
      <c r="X822">
        <v>6.8900028592633564</v>
      </c>
      <c r="Y822">
        <v>2867.7624634710128</v>
      </c>
      <c r="Z822">
        <v>9.1537333876935545</v>
      </c>
      <c r="AA822">
        <v>2725.4627736376415</v>
      </c>
      <c r="AB822">
        <v>6.9048966326499848</v>
      </c>
      <c r="AC822">
        <v>2176.012842465122</v>
      </c>
      <c r="AD822">
        <v>9.1432123118362814</v>
      </c>
      <c r="AE822">
        <v>2004.3274825744752</v>
      </c>
      <c r="AF822">
        <v>6.8981243129757805</v>
      </c>
      <c r="AG822">
        <v>2068.2695397808643</v>
      </c>
      <c r="AH822">
        <v>9.1368929605826192</v>
      </c>
      <c r="AI822">
        <v>1882.6478932224784</v>
      </c>
      <c r="AJ822">
        <v>6.8940501445945577</v>
      </c>
    </row>
    <row r="823" spans="4:36" x14ac:dyDescent="0.55000000000000004">
      <c r="D823">
        <v>816</v>
      </c>
      <c r="E823">
        <v>12.721664349113466</v>
      </c>
      <c r="F823">
        <v>0.49377274858853887</v>
      </c>
      <c r="G823">
        <v>0.19904610624721567</v>
      </c>
      <c r="H823">
        <v>16.585516796050783</v>
      </c>
      <c r="I823">
        <v>12.983017405591344</v>
      </c>
      <c r="J823">
        <v>0.29761880729741358</v>
      </c>
      <c r="K823">
        <v>0.11951389448654427</v>
      </c>
      <c r="L823">
        <v>16.599849892624693</v>
      </c>
      <c r="M823">
        <v>12.869959662870095</v>
      </c>
      <c r="N823">
        <v>0.38251779225149901</v>
      </c>
      <c r="O823">
        <v>0.15386078974696149</v>
      </c>
      <c r="P823">
        <v>16.593661755131446</v>
      </c>
      <c r="Q823">
        <v>12.839590507311724</v>
      </c>
      <c r="R823">
        <v>0.40531127946533241</v>
      </c>
      <c r="S823">
        <v>0.16310183824136401</v>
      </c>
      <c r="T823">
        <v>16.591996374981576</v>
      </c>
      <c r="U823">
        <v>1585.6440103333562</v>
      </c>
      <c r="V823">
        <v>10.043861753186965</v>
      </c>
      <c r="W823">
        <v>1328.185024592997</v>
      </c>
      <c r="X823">
        <v>7.4323906107979703</v>
      </c>
      <c r="Y823">
        <v>2914.0050997073618</v>
      </c>
      <c r="Z823">
        <v>10.081767110241726</v>
      </c>
      <c r="AA823">
        <v>2750.5322334748557</v>
      </c>
      <c r="AB823">
        <v>7.4557484896743409</v>
      </c>
      <c r="AC823">
        <v>2253.4147085438785</v>
      </c>
      <c r="AD823">
        <v>10.065362549503343</v>
      </c>
      <c r="AE823">
        <v>2049.6465888965604</v>
      </c>
      <c r="AF823">
        <v>7.4456532027660138</v>
      </c>
      <c r="AG823">
        <v>2160.4633865646565</v>
      </c>
      <c r="AH823">
        <v>10.060957884749888</v>
      </c>
      <c r="AI823">
        <v>1939.9025240531575</v>
      </c>
      <c r="AJ823">
        <v>7.4429391159993168</v>
      </c>
    </row>
    <row r="824" spans="4:36" x14ac:dyDescent="0.55000000000000004">
      <c r="D824">
        <v>817</v>
      </c>
      <c r="E824">
        <v>14.520761772608312</v>
      </c>
      <c r="F824">
        <v>0.56059803682401421</v>
      </c>
      <c r="G824">
        <v>0.18168209251249323</v>
      </c>
      <c r="H824">
        <v>14.736958098055178</v>
      </c>
      <c r="I824">
        <v>14.829916630390864</v>
      </c>
      <c r="J824">
        <v>0.34734117291873068</v>
      </c>
      <c r="K824">
        <v>0.11213363801354907</v>
      </c>
      <c r="L824">
        <v>14.710608558676837</v>
      </c>
      <c r="M824">
        <v>14.679580599161955</v>
      </c>
      <c r="N824">
        <v>0.45111375688959537</v>
      </c>
      <c r="O824">
        <v>0.14590806250850033</v>
      </c>
      <c r="P824">
        <v>14.723397581439936</v>
      </c>
      <c r="Q824">
        <v>14.693359218738808</v>
      </c>
      <c r="R824">
        <v>0.44160825405645193</v>
      </c>
      <c r="S824">
        <v>0.14280898639422893</v>
      </c>
      <c r="T824">
        <v>14.7222235408105</v>
      </c>
      <c r="U824">
        <v>1682.351126939745</v>
      </c>
      <c r="V824">
        <v>11.495754078354992</v>
      </c>
      <c r="W824">
        <v>1385.8222772517006</v>
      </c>
      <c r="X824">
        <v>8.2980729432061686</v>
      </c>
      <c r="Y824">
        <v>2967.1539344115586</v>
      </c>
      <c r="Z824">
        <v>11.567537664916324</v>
      </c>
      <c r="AA824">
        <v>2780.1047183430928</v>
      </c>
      <c r="AB824">
        <v>8.338791910479955</v>
      </c>
      <c r="AC824">
        <v>2331.8663765983047</v>
      </c>
      <c r="AD824">
        <v>11.532645031805352</v>
      </c>
      <c r="AE824">
        <v>2095.2533332739986</v>
      </c>
      <c r="AF824">
        <v>8.319016211671741</v>
      </c>
      <c r="AG824">
        <v>2209.8511438826181</v>
      </c>
      <c r="AH824">
        <v>11.53584413942006</v>
      </c>
      <c r="AI824">
        <v>1965.9355831117205</v>
      </c>
      <c r="AJ824">
        <v>8.3208306650657295</v>
      </c>
    </row>
    <row r="825" spans="4:36" x14ac:dyDescent="0.55000000000000004">
      <c r="D825">
        <v>818</v>
      </c>
      <c r="E825">
        <v>11.235427297767092</v>
      </c>
      <c r="F825">
        <v>0.38510420736769219</v>
      </c>
      <c r="G825">
        <v>0.14861379916960649</v>
      </c>
      <c r="H825">
        <v>18.230854695695609</v>
      </c>
      <c r="I825">
        <v>11.417462801070792</v>
      </c>
      <c r="J825">
        <v>0.24902121767995616</v>
      </c>
      <c r="K825">
        <v>9.5815525729142453E-2</v>
      </c>
      <c r="L825">
        <v>18.237700455520109</v>
      </c>
      <c r="M825">
        <v>11.341388600598412</v>
      </c>
      <c r="N825">
        <v>0.30591513203234527</v>
      </c>
      <c r="O825">
        <v>0.11785119845542892</v>
      </c>
      <c r="P825">
        <v>18.234845068913796</v>
      </c>
      <c r="Q825">
        <v>11.28546456917873</v>
      </c>
      <c r="R825">
        <v>0.347717630136541</v>
      </c>
      <c r="S825">
        <v>0.1340768363729859</v>
      </c>
      <c r="T825">
        <v>18.232740964311752</v>
      </c>
      <c r="U825">
        <v>1433.1486191031217</v>
      </c>
      <c r="V825">
        <v>8.9290926248246585</v>
      </c>
      <c r="W825">
        <v>1240.6039632475818</v>
      </c>
      <c r="X825">
        <v>6.778240164304667</v>
      </c>
      <c r="Y825">
        <v>2811.3875076429808</v>
      </c>
      <c r="Z825">
        <v>8.9585345917933061</v>
      </c>
      <c r="AA825">
        <v>2689.0154060801169</v>
      </c>
      <c r="AB825">
        <v>6.7966727004550265</v>
      </c>
      <c r="AC825">
        <v>2119.1127586481525</v>
      </c>
      <c r="AD825">
        <v>8.9462277590460992</v>
      </c>
      <c r="AE825">
        <v>1969.3030539741808</v>
      </c>
      <c r="AF825">
        <v>6.788976328552442</v>
      </c>
      <c r="AG825">
        <v>2049.85030199316</v>
      </c>
      <c r="AH825">
        <v>8.9371832426448758</v>
      </c>
      <c r="AI825">
        <v>1877.4608471230117</v>
      </c>
      <c r="AJ825">
        <v>6.7833123755851528</v>
      </c>
    </row>
    <row r="826" spans="4:36" x14ac:dyDescent="0.55000000000000004">
      <c r="D826">
        <v>819</v>
      </c>
      <c r="E826">
        <v>12.571028759561711</v>
      </c>
      <c r="F826">
        <v>0.4504765359199589</v>
      </c>
      <c r="G826">
        <v>0.16065706175875505</v>
      </c>
      <c r="H826">
        <v>16.817837642759578</v>
      </c>
      <c r="I826">
        <v>12.768336288551048</v>
      </c>
      <c r="J826">
        <v>0.30408434780526156</v>
      </c>
      <c r="K826">
        <v>0.10815033449724221</v>
      </c>
      <c r="L826">
        <v>16.819429029146455</v>
      </c>
      <c r="M826">
        <v>12.691802756357852</v>
      </c>
      <c r="N826">
        <v>0.36089430923509291</v>
      </c>
      <c r="O826">
        <v>0.12849171013205657</v>
      </c>
      <c r="P826">
        <v>16.818811224274981</v>
      </c>
      <c r="Q826">
        <v>12.641962961957466</v>
      </c>
      <c r="R826">
        <v>0.39787217292522681</v>
      </c>
      <c r="S826">
        <v>0.14175561055269087</v>
      </c>
      <c r="T826">
        <v>16.818409254564607</v>
      </c>
      <c r="U826">
        <v>1517.3085076535126</v>
      </c>
      <c r="V826">
        <v>9.9778010516702658</v>
      </c>
      <c r="W826">
        <v>1287.3958343254158</v>
      </c>
      <c r="X826">
        <v>7.4101956916196263</v>
      </c>
      <c r="Y826">
        <v>2902.2301771809257</v>
      </c>
      <c r="Z826">
        <v>10.015255292015469</v>
      </c>
      <c r="AA826">
        <v>2745.5220390524378</v>
      </c>
      <c r="AB826">
        <v>7.4326450394852213</v>
      </c>
      <c r="AC826">
        <v>2200.4551697978445</v>
      </c>
      <c r="AD826">
        <v>10.000727566935979</v>
      </c>
      <c r="AE826">
        <v>2017.2305126102417</v>
      </c>
      <c r="AF826">
        <v>7.4239456593024853</v>
      </c>
      <c r="AG826">
        <v>2114.9836915982423</v>
      </c>
      <c r="AH826">
        <v>9.9912666321127226</v>
      </c>
      <c r="AI826">
        <v>1912.3500449748296</v>
      </c>
      <c r="AJ826">
        <v>7.4182747270726663</v>
      </c>
    </row>
    <row r="827" spans="4:36" x14ac:dyDescent="0.55000000000000004">
      <c r="D827">
        <v>820</v>
      </c>
      <c r="E827">
        <v>11.868429026467025</v>
      </c>
      <c r="F827">
        <v>0.39853501391220636</v>
      </c>
      <c r="G827">
        <v>0.17298152658878391</v>
      </c>
      <c r="H827">
        <v>17.56005443303199</v>
      </c>
      <c r="I827">
        <v>12.058699763904942</v>
      </c>
      <c r="J827">
        <v>0.26602755459291377</v>
      </c>
      <c r="K827">
        <v>0.11511162513490794</v>
      </c>
      <c r="L827">
        <v>17.560161056367242</v>
      </c>
      <c r="M827">
        <v>11.993541800209893</v>
      </c>
      <c r="N827">
        <v>0.31143121095548082</v>
      </c>
      <c r="O827">
        <v>0.13489997038791596</v>
      </c>
      <c r="P827">
        <v>17.560127018446703</v>
      </c>
      <c r="Q827">
        <v>11.954923404377254</v>
      </c>
      <c r="R827">
        <v>0.33832838920819686</v>
      </c>
      <c r="S827">
        <v>0.14664257278680815</v>
      </c>
      <c r="T827">
        <v>17.560105633627742</v>
      </c>
      <c r="U827">
        <v>1513.6058753943466</v>
      </c>
      <c r="V827">
        <v>9.3777886393685712</v>
      </c>
      <c r="W827">
        <v>1290.4948538048468</v>
      </c>
      <c r="X827">
        <v>7.0422561406752324</v>
      </c>
      <c r="Y827">
        <v>2878.5804665217879</v>
      </c>
      <c r="Z827">
        <v>9.4111909388036938</v>
      </c>
      <c r="AA827">
        <v>2731.952153319201</v>
      </c>
      <c r="AB827">
        <v>7.0626482463348852</v>
      </c>
      <c r="AC827">
        <v>2175.7816378623675</v>
      </c>
      <c r="AD827">
        <v>9.3997512652565458</v>
      </c>
      <c r="AE827">
        <v>2003.9632108489616</v>
      </c>
      <c r="AF827">
        <v>7.0556722309748841</v>
      </c>
      <c r="AG827">
        <v>2069.9477727122699</v>
      </c>
      <c r="AH827">
        <v>9.3929716367020255</v>
      </c>
      <c r="AI827">
        <v>1884.7023287414722</v>
      </c>
      <c r="AJ827">
        <v>7.0515340831156079</v>
      </c>
    </row>
    <row r="828" spans="4:36" x14ac:dyDescent="0.55000000000000004">
      <c r="D828">
        <v>821</v>
      </c>
      <c r="E828">
        <v>11.955578607308118</v>
      </c>
      <c r="F828">
        <v>0.44909371765038414</v>
      </c>
      <c r="G828">
        <v>0.15189783904131862</v>
      </c>
      <c r="H828">
        <v>17.443429836000163</v>
      </c>
      <c r="I828">
        <v>12.156897985632883</v>
      </c>
      <c r="J828">
        <v>0.29128693908373354</v>
      </c>
      <c r="K828">
        <v>9.8235274534227063E-2</v>
      </c>
      <c r="L828">
        <v>17.453579800749164</v>
      </c>
      <c r="M828">
        <v>12.07697042835477</v>
      </c>
      <c r="N828">
        <v>0.35396355039725685</v>
      </c>
      <c r="O828">
        <v>0.11951060374083301</v>
      </c>
      <c r="P828">
        <v>17.449555417507135</v>
      </c>
      <c r="Q828">
        <v>12.010047682622362</v>
      </c>
      <c r="R828">
        <v>0.4064175751087562</v>
      </c>
      <c r="S828">
        <v>0.13735431135167264</v>
      </c>
      <c r="T828">
        <v>17.446180430917213</v>
      </c>
      <c r="U828">
        <v>1480.5990872393381</v>
      </c>
      <c r="V828">
        <v>9.5386313725459857</v>
      </c>
      <c r="W828">
        <v>1266.5079602723663</v>
      </c>
      <c r="X828">
        <v>7.1508028347427386</v>
      </c>
      <c r="Y828">
        <v>2862.4044348934913</v>
      </c>
      <c r="Z828">
        <v>9.5713453625396401</v>
      </c>
      <c r="AA828">
        <v>2721.0453490329783</v>
      </c>
      <c r="AB828">
        <v>7.1711216694422761</v>
      </c>
      <c r="AC828">
        <v>2179.5258479491376</v>
      </c>
      <c r="AD828">
        <v>9.5583535422311101</v>
      </c>
      <c r="AE828">
        <v>2007.3050369048883</v>
      </c>
      <c r="AF828">
        <v>7.1630617408606527</v>
      </c>
      <c r="AG828">
        <v>2058.8844341384329</v>
      </c>
      <c r="AH828">
        <v>9.5474793836847187</v>
      </c>
      <c r="AI828">
        <v>1875.3081217856466</v>
      </c>
      <c r="AJ828">
        <v>7.1563061233868055</v>
      </c>
    </row>
    <row r="829" spans="4:36" x14ac:dyDescent="0.55000000000000004">
      <c r="D829">
        <v>822</v>
      </c>
      <c r="E829">
        <v>11.715791053786978</v>
      </c>
      <c r="F829">
        <v>0.4280565692805281</v>
      </c>
      <c r="G829">
        <v>0.16414915079942705</v>
      </c>
      <c r="H829">
        <v>17.69200322613305</v>
      </c>
      <c r="I829">
        <v>11.891507476633242</v>
      </c>
      <c r="J829">
        <v>0.28781984360832702</v>
      </c>
      <c r="K829">
        <v>0.11006178646133212</v>
      </c>
      <c r="L829">
        <v>17.710610893297098</v>
      </c>
      <c r="M829">
        <v>11.782968857998913</v>
      </c>
      <c r="N829">
        <v>0.37446048121943798</v>
      </c>
      <c r="O829">
        <v>0.1434414471703053</v>
      </c>
      <c r="P829">
        <v>17.699129213611329</v>
      </c>
      <c r="Q829">
        <v>11.763104107669914</v>
      </c>
      <c r="R829">
        <v>0.39031133506685955</v>
      </c>
      <c r="S829">
        <v>0.14956095543249381</v>
      </c>
      <c r="T829">
        <v>17.697023601830725</v>
      </c>
      <c r="U829">
        <v>1517.7428349733136</v>
      </c>
      <c r="V829">
        <v>9.2863221949751029</v>
      </c>
      <c r="W829">
        <v>1292.417221425866</v>
      </c>
      <c r="X829">
        <v>6.9864501295597279</v>
      </c>
      <c r="Y829">
        <v>2878.248189341085</v>
      </c>
      <c r="Z829">
        <v>9.3065688284225399</v>
      </c>
      <c r="AA829">
        <v>2730.7318083333225</v>
      </c>
      <c r="AB829">
        <v>6.9997501063369398</v>
      </c>
      <c r="AC829">
        <v>2193.4046401551104</v>
      </c>
      <c r="AD829">
        <v>9.2940556258111471</v>
      </c>
      <c r="AE829">
        <v>2012.8240478752234</v>
      </c>
      <c r="AF829">
        <v>6.9915371957231196</v>
      </c>
      <c r="AG829">
        <v>2084.1639314393706</v>
      </c>
      <c r="AH829">
        <v>9.2917679088908258</v>
      </c>
      <c r="AI829">
        <v>1892.0542241692228</v>
      </c>
      <c r="AJ829">
        <v>6.9900332381827708</v>
      </c>
    </row>
    <row r="830" spans="4:36" x14ac:dyDescent="0.55000000000000004">
      <c r="D830">
        <v>823</v>
      </c>
      <c r="E830">
        <v>12.833349098844671</v>
      </c>
      <c r="F830">
        <v>0.41481903876172194</v>
      </c>
      <c r="G830">
        <v>0.18788859779247347</v>
      </c>
      <c r="H830">
        <v>16.563943264601129</v>
      </c>
      <c r="I830">
        <v>13.064368113782946</v>
      </c>
      <c r="J830">
        <v>0.2663417020384104</v>
      </c>
      <c r="K830">
        <v>0.12021213281818251</v>
      </c>
      <c r="L830">
        <v>16.549078051360457</v>
      </c>
      <c r="M830">
        <v>12.992606075402566</v>
      </c>
      <c r="N830">
        <v>0.31250337446773813</v>
      </c>
      <c r="O830">
        <v>0.14120090101746791</v>
      </c>
      <c r="P830">
        <v>16.553689649112226</v>
      </c>
      <c r="Q830">
        <v>12.938906315419059</v>
      </c>
      <c r="R830">
        <v>0.34702293994734312</v>
      </c>
      <c r="S830">
        <v>0.15692668393056797</v>
      </c>
      <c r="T830">
        <v>16.557144060703031</v>
      </c>
      <c r="U830">
        <v>1541.6028904782479</v>
      </c>
      <c r="V830">
        <v>10.08929856635041</v>
      </c>
      <c r="W830">
        <v>1303.2541320245323</v>
      </c>
      <c r="X830">
        <v>7.464881970386946</v>
      </c>
      <c r="Y830">
        <v>2884.8294807731127</v>
      </c>
      <c r="Z830">
        <v>10.140641218800981</v>
      </c>
      <c r="AA830">
        <v>2732.2067908619542</v>
      </c>
      <c r="AB830">
        <v>7.49510292567789</v>
      </c>
      <c r="AC830">
        <v>2232.614170929387</v>
      </c>
      <c r="AD830">
        <v>10.124695901462625</v>
      </c>
      <c r="AE830">
        <v>2040.9740182207966</v>
      </c>
      <c r="AF830">
        <v>7.4857280810278723</v>
      </c>
      <c r="AG830">
        <v>2108.3308291021449</v>
      </c>
      <c r="AH830">
        <v>10.112761981475527</v>
      </c>
      <c r="AI830">
        <v>1907.0098512239563</v>
      </c>
      <c r="AJ830">
        <v>7.4787053628613798</v>
      </c>
    </row>
    <row r="831" spans="4:36" x14ac:dyDescent="0.55000000000000004">
      <c r="D831">
        <v>824</v>
      </c>
      <c r="E831">
        <v>11.731565254958076</v>
      </c>
      <c r="F831">
        <v>0.46235323196442901</v>
      </c>
      <c r="G831">
        <v>0.15155159017334296</v>
      </c>
      <c r="H831">
        <v>17.65452992290415</v>
      </c>
      <c r="I831">
        <v>11.952515921662968</v>
      </c>
      <c r="J831">
        <v>0.28397631240754406</v>
      </c>
      <c r="K831">
        <v>9.2784278628572692E-2</v>
      </c>
      <c r="L831">
        <v>17.670723487300922</v>
      </c>
      <c r="M831">
        <v>11.850249119352235</v>
      </c>
      <c r="N831">
        <v>0.3665659075077301</v>
      </c>
      <c r="O831">
        <v>0.11994637644496714</v>
      </c>
      <c r="P831">
        <v>17.663238596695063</v>
      </c>
      <c r="Q831">
        <v>11.854941426252925</v>
      </c>
      <c r="R831">
        <v>0.3627775013727419</v>
      </c>
      <c r="S831">
        <v>0.11869866033151878</v>
      </c>
      <c r="T831">
        <v>17.663582412042814</v>
      </c>
      <c r="U831">
        <v>1502.5631850868172</v>
      </c>
      <c r="V831">
        <v>9.3128459667451757</v>
      </c>
      <c r="W831">
        <v>1280.6970991606281</v>
      </c>
      <c r="X831">
        <v>7.0064476885001179</v>
      </c>
      <c r="Y831">
        <v>2861.3993250950807</v>
      </c>
      <c r="Z831">
        <v>9.3496628425973434</v>
      </c>
      <c r="AA831">
        <v>2720.0281303410843</v>
      </c>
      <c r="AB831">
        <v>7.0295749063499793</v>
      </c>
      <c r="AC831">
        <v>2180.0266902176786</v>
      </c>
      <c r="AD831">
        <v>9.3326157408104482</v>
      </c>
      <c r="AE831">
        <v>2005.6038229544254</v>
      </c>
      <c r="AF831">
        <v>7.0188793571260986</v>
      </c>
      <c r="AG831">
        <v>2084.2416521741857</v>
      </c>
      <c r="AH831">
        <v>9.3333976708089121</v>
      </c>
      <c r="AI831">
        <v>1896.6865153015458</v>
      </c>
      <c r="AJ831">
        <v>7.019370433042095</v>
      </c>
    </row>
    <row r="832" spans="4:36" x14ac:dyDescent="0.55000000000000004">
      <c r="D832">
        <v>825</v>
      </c>
      <c r="E832">
        <v>10.373636502463071</v>
      </c>
      <c r="F832">
        <v>0.37815217347159102</v>
      </c>
      <c r="G832">
        <v>0.14631397158492343</v>
      </c>
      <c r="H832">
        <v>19.101897352480407</v>
      </c>
      <c r="I832">
        <v>10.533731205168129</v>
      </c>
      <c r="J832">
        <v>0.24463875556799666</v>
      </c>
      <c r="K832">
        <v>9.4384193089538007E-2</v>
      </c>
      <c r="L832">
        <v>19.12724584617434</v>
      </c>
      <c r="M832">
        <v>10.469605785044237</v>
      </c>
      <c r="N832">
        <v>0.29813042210749735</v>
      </c>
      <c r="O832">
        <v>0.11515353888461485</v>
      </c>
      <c r="P832">
        <v>19.117110253963649</v>
      </c>
      <c r="Q832">
        <v>10.442175056161451</v>
      </c>
      <c r="R832">
        <v>0.3210069730676679</v>
      </c>
      <c r="S832">
        <v>0.12405057322832677</v>
      </c>
      <c r="T832">
        <v>19.112767397542545</v>
      </c>
      <c r="U832">
        <v>1428.244462009603</v>
      </c>
      <c r="V832">
        <v>8.235035752593884</v>
      </c>
      <c r="W832">
        <v>1239.6661589299583</v>
      </c>
      <c r="X832">
        <v>6.3442913177584517</v>
      </c>
      <c r="Y832">
        <v>2803.8790337846353</v>
      </c>
      <c r="Z832">
        <v>8.2511575288789825</v>
      </c>
      <c r="AA832">
        <v>2684.9502654680082</v>
      </c>
      <c r="AB832">
        <v>6.3557975532919651</v>
      </c>
      <c r="AC832">
        <v>2126.3987154575416</v>
      </c>
      <c r="AD832">
        <v>8.2446901256950156</v>
      </c>
      <c r="AE832">
        <v>1977.2912506450227</v>
      </c>
      <c r="AF832">
        <v>6.351189986264008</v>
      </c>
      <c r="AG832">
        <v>2000.8452629198443</v>
      </c>
      <c r="AH832">
        <v>8.2419276029176931</v>
      </c>
      <c r="AI832">
        <v>1843.8772485752706</v>
      </c>
      <c r="AJ832">
        <v>6.3492185268427326</v>
      </c>
    </row>
    <row r="833" spans="4:36" x14ac:dyDescent="0.55000000000000004">
      <c r="D833">
        <v>826</v>
      </c>
      <c r="E833">
        <v>13.035281274807152</v>
      </c>
      <c r="F833">
        <v>0.43996310883686135</v>
      </c>
      <c r="G833">
        <v>0.13955824275283335</v>
      </c>
      <c r="H833">
        <v>16.385197373603145</v>
      </c>
      <c r="I833">
        <v>13.291145721556367</v>
      </c>
      <c r="J833">
        <v>0.2687510744339805</v>
      </c>
      <c r="K833">
        <v>8.4955944041238185E-2</v>
      </c>
      <c r="L833">
        <v>16.355147259968405</v>
      </c>
      <c r="M833">
        <v>13.150665892675949</v>
      </c>
      <c r="N833">
        <v>0.36280659843853474</v>
      </c>
      <c r="O833">
        <v>0.11490447967848634</v>
      </c>
      <c r="P833">
        <v>16.371623029207047</v>
      </c>
      <c r="Q833">
        <v>13.143587983024052</v>
      </c>
      <c r="R833">
        <v>0.36754205571035758</v>
      </c>
      <c r="S833">
        <v>0.11641534742744215</v>
      </c>
      <c r="T833">
        <v>16.372454613838155</v>
      </c>
      <c r="U833">
        <v>1575.8116822647789</v>
      </c>
      <c r="V833">
        <v>10.190082473629545</v>
      </c>
      <c r="W833">
        <v>1327.7363708805822</v>
      </c>
      <c r="X833">
        <v>7.5211484689693604</v>
      </c>
      <c r="Y833">
        <v>2878.2735717864921</v>
      </c>
      <c r="Z833">
        <v>10.255698403488973</v>
      </c>
      <c r="AA833">
        <v>2727.8164906830407</v>
      </c>
      <c r="AB833">
        <v>7.5590663330457417</v>
      </c>
      <c r="AC833">
        <v>2252.3556741110674</v>
      </c>
      <c r="AD833">
        <v>10.219684715973383</v>
      </c>
      <c r="AE833">
        <v>2052.4415663312125</v>
      </c>
      <c r="AF833">
        <v>7.5382703835451021</v>
      </c>
      <c r="AG833">
        <v>2120.6097451900082</v>
      </c>
      <c r="AH833">
        <v>10.217869433468259</v>
      </c>
      <c r="AI833">
        <v>1915.3604184270932</v>
      </c>
      <c r="AJ833">
        <v>7.5372211629744967</v>
      </c>
    </row>
    <row r="834" spans="4:36" x14ac:dyDescent="0.55000000000000004">
      <c r="D834">
        <v>827</v>
      </c>
      <c r="E834">
        <v>11.807473746044909</v>
      </c>
      <c r="F834">
        <v>0.36771456795312973</v>
      </c>
      <c r="G834">
        <v>0.12460547634944043</v>
      </c>
      <c r="H834">
        <v>17.700206209652517</v>
      </c>
      <c r="I834">
        <v>11.986275018607293</v>
      </c>
      <c r="J834">
        <v>0.24365732370903473</v>
      </c>
      <c r="K834">
        <v>8.2340613701907761E-2</v>
      </c>
      <c r="L834">
        <v>17.687727043981752</v>
      </c>
      <c r="M834">
        <v>11.884430778062651</v>
      </c>
      <c r="N834">
        <v>0.31434550840994302</v>
      </c>
      <c r="O834">
        <v>0.10639443279420305</v>
      </c>
      <c r="P834">
        <v>17.69482928073322</v>
      </c>
      <c r="Q834">
        <v>11.842545082106373</v>
      </c>
      <c r="R834">
        <v>0.34339775905134451</v>
      </c>
      <c r="S834">
        <v>0.11630245476985243</v>
      </c>
      <c r="T834">
        <v>17.69775470407243</v>
      </c>
      <c r="U834">
        <v>1440.9038207162669</v>
      </c>
      <c r="V834">
        <v>9.2821497385613636</v>
      </c>
      <c r="W834">
        <v>1244.1643918600348</v>
      </c>
      <c r="X834">
        <v>6.9858745776463156</v>
      </c>
      <c r="Y834">
        <v>2845.7515373720707</v>
      </c>
      <c r="Z834">
        <v>9.3210789030620056</v>
      </c>
      <c r="AA834">
        <v>2713.1169796724489</v>
      </c>
      <c r="AB834">
        <v>7.0090510672978734</v>
      </c>
      <c r="AC834">
        <v>2165.8826253354241</v>
      </c>
      <c r="AD834">
        <v>9.2989084881608903</v>
      </c>
      <c r="AE834">
        <v>2001.2912737522693</v>
      </c>
      <c r="AF834">
        <v>6.9958600706575025</v>
      </c>
      <c r="AG834">
        <v>2061.8228116902583</v>
      </c>
      <c r="AH834">
        <v>9.2897877856180902</v>
      </c>
      <c r="AI834">
        <v>1883.6531279376297</v>
      </c>
      <c r="AJ834">
        <v>6.990427154820944</v>
      </c>
    </row>
    <row r="835" spans="4:36" x14ac:dyDescent="0.55000000000000004">
      <c r="D835">
        <v>828</v>
      </c>
      <c r="E835">
        <v>13.910586741712878</v>
      </c>
      <c r="F835">
        <v>0.53309569731359185</v>
      </c>
      <c r="G835">
        <v>0.18800227742000528</v>
      </c>
      <c r="H835">
        <v>15.368315283553526</v>
      </c>
      <c r="I835">
        <v>14.193261754496156</v>
      </c>
      <c r="J835">
        <v>0.33699183175906233</v>
      </c>
      <c r="K835">
        <v>0.11838123166180214</v>
      </c>
      <c r="L835">
        <v>15.351365182082979</v>
      </c>
      <c r="M835">
        <v>14.076870151105927</v>
      </c>
      <c r="N835">
        <v>0.41779554774966293</v>
      </c>
      <c r="O835">
        <v>0.14700138007682634</v>
      </c>
      <c r="P835">
        <v>15.358332921067595</v>
      </c>
      <c r="Q835">
        <v>14.098923649382947</v>
      </c>
      <c r="R835">
        <v>0.40249130296083374</v>
      </c>
      <c r="S835">
        <v>0.14157357657114936</v>
      </c>
      <c r="T835">
        <v>15.357011471085062</v>
      </c>
      <c r="U835">
        <v>1614.0147224151683</v>
      </c>
      <c r="V835">
        <v>10.9892240613806</v>
      </c>
      <c r="W835">
        <v>1344.8509271135865</v>
      </c>
      <c r="X835">
        <v>7.9965171085926006</v>
      </c>
      <c r="Y835">
        <v>2937.730990723081</v>
      </c>
      <c r="Z835">
        <v>11.04820172859298</v>
      </c>
      <c r="AA835">
        <v>2763.8394141056724</v>
      </c>
      <c r="AB835">
        <v>8.0305877431341859</v>
      </c>
      <c r="AC835">
        <v>2270.378071785547</v>
      </c>
      <c r="AD835">
        <v>11.023924208636384</v>
      </c>
      <c r="AE835">
        <v>2058.282840068603</v>
      </c>
      <c r="AF835">
        <v>8.0165773555720463</v>
      </c>
      <c r="AG835">
        <v>2140.2406275526141</v>
      </c>
      <c r="AH835">
        <v>11.028524934975348</v>
      </c>
      <c r="AI835">
        <v>1923.5645430072962</v>
      </c>
      <c r="AJ835">
        <v>8.019233940708606</v>
      </c>
    </row>
    <row r="836" spans="4:36" x14ac:dyDescent="0.55000000000000004">
      <c r="D836">
        <v>829</v>
      </c>
      <c r="E836">
        <v>13.320173982497757</v>
      </c>
      <c r="F836">
        <v>0.50450672672218844</v>
      </c>
      <c r="G836">
        <v>0.16424988079052216</v>
      </c>
      <c r="H836">
        <v>16.011069409989549</v>
      </c>
      <c r="I836">
        <v>13.540417167549439</v>
      </c>
      <c r="J836">
        <v>0.33871353874094517</v>
      </c>
      <c r="K836">
        <v>0.10994268441348154</v>
      </c>
      <c r="L836">
        <v>16.010926609296149</v>
      </c>
      <c r="M836">
        <v>13.485664789088512</v>
      </c>
      <c r="N836">
        <v>0.37995335826683019</v>
      </c>
      <c r="O836">
        <v>0.12342031059988548</v>
      </c>
      <c r="P836">
        <v>16.010961542044768</v>
      </c>
      <c r="Q836">
        <v>13.399953995499908</v>
      </c>
      <c r="R836">
        <v>0.4444798521397012</v>
      </c>
      <c r="S836">
        <v>0.1445491746694047</v>
      </c>
      <c r="T836">
        <v>16.011016977690993</v>
      </c>
      <c r="U836">
        <v>1572.7093042496203</v>
      </c>
      <c r="V836">
        <v>10.567917583099335</v>
      </c>
      <c r="W836">
        <v>1319.272836827939</v>
      </c>
      <c r="X836">
        <v>7.7578856455989156</v>
      </c>
      <c r="Y836">
        <v>2935.6675071503942</v>
      </c>
      <c r="Z836">
        <v>10.610559540463287</v>
      </c>
      <c r="AA836">
        <v>2764.1494140310174</v>
      </c>
      <c r="AB836">
        <v>7.783150359958527</v>
      </c>
      <c r="AC836">
        <v>2218.7096118640061</v>
      </c>
      <c r="AD836">
        <v>10.599959035471207</v>
      </c>
      <c r="AE836">
        <v>2025.247011087856</v>
      </c>
      <c r="AF836">
        <v>7.7768771850855227</v>
      </c>
      <c r="AG836">
        <v>2151.9917715062652</v>
      </c>
      <c r="AH836">
        <v>10.583364371866102</v>
      </c>
      <c r="AI836">
        <v>1931.7661261205328</v>
      </c>
      <c r="AJ836">
        <v>7.7670469000136704</v>
      </c>
    </row>
    <row r="837" spans="4:36" x14ac:dyDescent="0.55000000000000004">
      <c r="D837">
        <v>830</v>
      </c>
      <c r="E837">
        <v>11.976762146151627</v>
      </c>
      <c r="F837">
        <v>0.45469209925608473</v>
      </c>
      <c r="G837">
        <v>0.16670782582398649</v>
      </c>
      <c r="H837">
        <v>17.401837928768316</v>
      </c>
      <c r="I837">
        <v>12.195509589026639</v>
      </c>
      <c r="J837">
        <v>0.28356388250963088</v>
      </c>
      <c r="K837">
        <v>0.10362972584185995</v>
      </c>
      <c r="L837">
        <v>17.417296802621863</v>
      </c>
      <c r="M837">
        <v>12.097309494427268</v>
      </c>
      <c r="N837">
        <v>0.36041662836704075</v>
      </c>
      <c r="O837">
        <v>0.13190659248669476</v>
      </c>
      <c r="P837">
        <v>17.410367284719001</v>
      </c>
      <c r="Q837">
        <v>12.045221839286564</v>
      </c>
      <c r="R837">
        <v>0.40116144100823242</v>
      </c>
      <c r="S837">
        <v>0.14693179480414492</v>
      </c>
      <c r="T837">
        <v>17.406684924901043</v>
      </c>
      <c r="U837">
        <v>1526.8157367298627</v>
      </c>
      <c r="V837">
        <v>9.5376502113231041</v>
      </c>
      <c r="W837">
        <v>1298.3101168969768</v>
      </c>
      <c r="X837">
        <v>7.1461657508507894</v>
      </c>
      <c r="Y837">
        <v>2862.1185133726794</v>
      </c>
      <c r="Z837">
        <v>9.5723418886791247</v>
      </c>
      <c r="AA837">
        <v>2719.7472945296531</v>
      </c>
      <c r="AB837">
        <v>7.1678888923453181</v>
      </c>
      <c r="AC837">
        <v>2211.925003251712</v>
      </c>
      <c r="AD837">
        <v>9.5567618524627065</v>
      </c>
      <c r="AE837">
        <v>2029.1231017693187</v>
      </c>
      <c r="AF837">
        <v>7.1581447162155376</v>
      </c>
      <c r="AG837">
        <v>2085.9097497342341</v>
      </c>
      <c r="AH837">
        <v>9.5485019542016651</v>
      </c>
      <c r="AI837">
        <v>1893.7297482566225</v>
      </c>
      <c r="AJ837">
        <v>7.1529710504513515</v>
      </c>
    </row>
    <row r="838" spans="4:36" x14ac:dyDescent="0.55000000000000004">
      <c r="D838">
        <v>831</v>
      </c>
      <c r="E838">
        <v>12.878121319047526</v>
      </c>
      <c r="F838">
        <v>0.43879074667893336</v>
      </c>
      <c r="G838">
        <v>0.15261403360066875</v>
      </c>
      <c r="H838">
        <v>16.530473900672874</v>
      </c>
      <c r="I838">
        <v>13.048544466831578</v>
      </c>
      <c r="J838">
        <v>0.31352873763644767</v>
      </c>
      <c r="K838">
        <v>0.10879978996889464</v>
      </c>
      <c r="L838">
        <v>16.529127005563083</v>
      </c>
      <c r="M838">
        <v>12.990355151902943</v>
      </c>
      <c r="N838">
        <v>0.35631666668895978</v>
      </c>
      <c r="O838">
        <v>0.12374350447618006</v>
      </c>
      <c r="P838">
        <v>16.529584676931893</v>
      </c>
      <c r="Q838">
        <v>12.937838924878818</v>
      </c>
      <c r="R838">
        <v>0.39491666203156978</v>
      </c>
      <c r="S838">
        <v>0.13724472059441353</v>
      </c>
      <c r="T838">
        <v>16.529999692495192</v>
      </c>
      <c r="U838">
        <v>1553.6739870386202</v>
      </c>
      <c r="V838">
        <v>10.156683842253758</v>
      </c>
      <c r="W838">
        <v>1309.2147267129008</v>
      </c>
      <c r="X838">
        <v>7.510257128189969</v>
      </c>
      <c r="Y838">
        <v>2932.1461134959368</v>
      </c>
      <c r="Z838">
        <v>10.189159716088685</v>
      </c>
      <c r="AA838">
        <v>2762.7552498353484</v>
      </c>
      <c r="AB838">
        <v>7.5294426255229219</v>
      </c>
      <c r="AC838">
        <v>2259.5959291460545</v>
      </c>
      <c r="AD838">
        <v>10.178072666290257</v>
      </c>
      <c r="AE838">
        <v>2056.6305489010915</v>
      </c>
      <c r="AF838">
        <v>7.5228981047330592</v>
      </c>
      <c r="AG838">
        <v>2146.3158450222877</v>
      </c>
      <c r="AH838">
        <v>10.168065184468444</v>
      </c>
      <c r="AI838">
        <v>1930.4331588252219</v>
      </c>
      <c r="AJ838">
        <v>7.5169861471602397</v>
      </c>
    </row>
    <row r="839" spans="4:36" x14ac:dyDescent="0.55000000000000004">
      <c r="D839">
        <v>832</v>
      </c>
      <c r="E839">
        <v>11.692011631269841</v>
      </c>
      <c r="F839">
        <v>0.42832872241220227</v>
      </c>
      <c r="G839">
        <v>0.14911851497156395</v>
      </c>
      <c r="H839">
        <v>17.730541131346392</v>
      </c>
      <c r="I839">
        <v>11.87517736894635</v>
      </c>
      <c r="J839">
        <v>0.28093052466175022</v>
      </c>
      <c r="K839">
        <v>9.7539378209419783E-2</v>
      </c>
      <c r="L839">
        <v>17.74635272818248</v>
      </c>
      <c r="M839">
        <v>11.775409073048253</v>
      </c>
      <c r="N839">
        <v>0.3612361170842282</v>
      </c>
      <c r="O839">
        <v>0.12560574593659876</v>
      </c>
      <c r="P839">
        <v>17.737749063930906</v>
      </c>
      <c r="Q839">
        <v>11.746937453405787</v>
      </c>
      <c r="R839">
        <v>0.38414499501593807</v>
      </c>
      <c r="S839">
        <v>0.13362760326337653</v>
      </c>
      <c r="T839">
        <v>17.735289948314897</v>
      </c>
      <c r="U839">
        <v>1465.6041539419455</v>
      </c>
      <c r="V839">
        <v>9.2653713985842803</v>
      </c>
      <c r="W839">
        <v>1256.4639860938839</v>
      </c>
      <c r="X839">
        <v>6.976625514289033</v>
      </c>
      <c r="Y839">
        <v>2855.0214753267287</v>
      </c>
      <c r="Z839">
        <v>9.2907197420761332</v>
      </c>
      <c r="AA839">
        <v>2716.1377303824916</v>
      </c>
      <c r="AB839">
        <v>6.9926961128398473</v>
      </c>
      <c r="AC839">
        <v>2162.6066764821267</v>
      </c>
      <c r="AD839">
        <v>9.2769080908854313</v>
      </c>
      <c r="AE839">
        <v>1993.6988177204641</v>
      </c>
      <c r="AF839">
        <v>6.9839474274645497</v>
      </c>
      <c r="AG839">
        <v>2085.4906552832767</v>
      </c>
      <c r="AH839">
        <v>9.2729686139668281</v>
      </c>
      <c r="AI839">
        <v>1896.8331382757228</v>
      </c>
      <c r="AJ839">
        <v>6.9814486555972755</v>
      </c>
    </row>
    <row r="840" spans="4:36" x14ac:dyDescent="0.55000000000000004">
      <c r="D840">
        <v>833</v>
      </c>
      <c r="E840">
        <v>10.582553657554424</v>
      </c>
      <c r="F840">
        <v>0.4389445821751225</v>
      </c>
      <c r="G840">
        <v>0.1467494797075331</v>
      </c>
      <c r="H840">
        <v>18.83175228056291</v>
      </c>
      <c r="I840">
        <v>10.799493612696621</v>
      </c>
      <c r="J840">
        <v>0.25107638351166417</v>
      </c>
      <c r="K840">
        <v>8.3649761906241724E-2</v>
      </c>
      <c r="L840">
        <v>18.865780241885478</v>
      </c>
      <c r="M840">
        <v>10.718270631360689</v>
      </c>
      <c r="N840">
        <v>0.32143434262080078</v>
      </c>
      <c r="O840">
        <v>0.10722918344908867</v>
      </c>
      <c r="P840">
        <v>18.853065842569425</v>
      </c>
      <c r="Q840">
        <v>10.690843026003536</v>
      </c>
      <c r="R840">
        <v>0.34518775951576158</v>
      </c>
      <c r="S840">
        <v>0.1152037411752002</v>
      </c>
      <c r="T840">
        <v>18.848765473305498</v>
      </c>
      <c r="U840">
        <v>1453.6798944279976</v>
      </c>
      <c r="V840">
        <v>8.3851064090372223</v>
      </c>
      <c r="W840">
        <v>1252.5709807495039</v>
      </c>
      <c r="X840">
        <v>6.4302081163932776</v>
      </c>
      <c r="Y840">
        <v>2806.666307746294</v>
      </c>
      <c r="Z840">
        <v>8.4058560034004142</v>
      </c>
      <c r="AA840">
        <v>2685.7564385695227</v>
      </c>
      <c r="AB840">
        <v>6.4448464090747226</v>
      </c>
      <c r="AC840">
        <v>2125.6039788819685</v>
      </c>
      <c r="AD840">
        <v>8.3980722115001765</v>
      </c>
      <c r="AE840">
        <v>1973.5521095644865</v>
      </c>
      <c r="AF840">
        <v>6.4393680354047458</v>
      </c>
      <c r="AG840">
        <v>2044.2784845982508</v>
      </c>
      <c r="AH840">
        <v>8.3954478165489235</v>
      </c>
      <c r="AI840">
        <v>1874.1763237265602</v>
      </c>
      <c r="AJ840">
        <v>6.4375174799422936</v>
      </c>
    </row>
    <row r="841" spans="4:36" x14ac:dyDescent="0.55000000000000004">
      <c r="D841">
        <v>834</v>
      </c>
      <c r="E841">
        <v>12.513886464268934</v>
      </c>
      <c r="F841">
        <v>0.43829530891390545</v>
      </c>
      <c r="G841">
        <v>0.1609919307364365</v>
      </c>
      <c r="H841">
        <v>16.886826296080717</v>
      </c>
      <c r="I841">
        <v>12.727594260457732</v>
      </c>
      <c r="J841">
        <v>0.28826323469324144</v>
      </c>
      <c r="K841">
        <v>0.10554207732580405</v>
      </c>
      <c r="L841">
        <v>16.878600427523214</v>
      </c>
      <c r="M841">
        <v>12.65649087627677</v>
      </c>
      <c r="N841">
        <v>0.33821263097471727</v>
      </c>
      <c r="O841">
        <v>0.12396244092025625</v>
      </c>
      <c r="P841">
        <v>16.881334051828254</v>
      </c>
      <c r="Q841">
        <v>12.610373280454638</v>
      </c>
      <c r="R841">
        <v>0.37059289395557465</v>
      </c>
      <c r="S841">
        <v>0.13592503042288426</v>
      </c>
      <c r="T841">
        <v>16.883108795166908</v>
      </c>
      <c r="U841">
        <v>1535.8868453566633</v>
      </c>
      <c r="V841">
        <v>9.8936102186413617</v>
      </c>
      <c r="W841">
        <v>1301.6006704068404</v>
      </c>
      <c r="X841">
        <v>7.3552433695572832</v>
      </c>
      <c r="Y841">
        <v>2880.5730668425449</v>
      </c>
      <c r="Z841">
        <v>9.9384646136493711</v>
      </c>
      <c r="AA841">
        <v>2730.1443406904182</v>
      </c>
      <c r="AB841">
        <v>7.3818757007916158</v>
      </c>
      <c r="AC841">
        <v>2203.2835016670251</v>
      </c>
      <c r="AD841">
        <v>9.923543170822068</v>
      </c>
      <c r="AE841">
        <v>2020.5757163691826</v>
      </c>
      <c r="AF841">
        <v>7.3730257173593525</v>
      </c>
      <c r="AG841">
        <v>2122.6988935977079</v>
      </c>
      <c r="AH841">
        <v>9.9138639649493765</v>
      </c>
      <c r="AI841">
        <v>1919.6544492910177</v>
      </c>
      <c r="AJ841">
        <v>7.3672798175247989</v>
      </c>
    </row>
    <row r="842" spans="4:36" x14ac:dyDescent="0.55000000000000004">
      <c r="D842">
        <v>835</v>
      </c>
      <c r="E842">
        <v>13.896403134054678</v>
      </c>
      <c r="F842">
        <v>0.49289160241513907</v>
      </c>
      <c r="G842">
        <v>0.17702304683923831</v>
      </c>
      <c r="H842">
        <v>15.433682216690949</v>
      </c>
      <c r="I842">
        <v>14.1622123290707</v>
      </c>
      <c r="J842">
        <v>0.3141851000679266</v>
      </c>
      <c r="K842">
        <v>0.11243567657506148</v>
      </c>
      <c r="L842">
        <v>15.411166894286307</v>
      </c>
      <c r="M842">
        <v>14.037079118374963</v>
      </c>
      <c r="N842">
        <v>0.39836874341351253</v>
      </c>
      <c r="O842">
        <v>0.14280222305575516</v>
      </c>
      <c r="P842">
        <v>15.42174991515577</v>
      </c>
      <c r="Q842">
        <v>14.01585446614496</v>
      </c>
      <c r="R842">
        <v>0.41263797590970785</v>
      </c>
      <c r="S842">
        <v>0.14795971230230967</v>
      </c>
      <c r="T842">
        <v>15.423547845643016</v>
      </c>
      <c r="U842">
        <v>1587.9242984859802</v>
      </c>
      <c r="V842">
        <v>10.961398306099616</v>
      </c>
      <c r="W842">
        <v>1328.0338987073101</v>
      </c>
      <c r="X842">
        <v>7.9847734171479194</v>
      </c>
      <c r="Y842">
        <v>2932.20038495773</v>
      </c>
      <c r="Z842">
        <v>11.025845903186511</v>
      </c>
      <c r="AA842">
        <v>2761.1158856870848</v>
      </c>
      <c r="AB842">
        <v>8.0218133340232729</v>
      </c>
      <c r="AC842">
        <v>2247.3967033941913</v>
      </c>
      <c r="AD842">
        <v>10.995515575172025</v>
      </c>
      <c r="AE842">
        <v>2042.4744894345104</v>
      </c>
      <c r="AF842">
        <v>8.0043963555667563</v>
      </c>
      <c r="AG842">
        <v>2151.2415718843345</v>
      </c>
      <c r="AH842">
        <v>10.990369429549334</v>
      </c>
      <c r="AI842">
        <v>1930.6413989531356</v>
      </c>
      <c r="AJ842">
        <v>8.0014386278850633</v>
      </c>
    </row>
    <row r="843" spans="4:36" x14ac:dyDescent="0.55000000000000004">
      <c r="D843">
        <v>836</v>
      </c>
      <c r="E843">
        <v>12.093266071805809</v>
      </c>
      <c r="F843">
        <v>0.41004295167903415</v>
      </c>
      <c r="G843">
        <v>0.14188944060129918</v>
      </c>
      <c r="H843">
        <v>17.354801535913875</v>
      </c>
      <c r="I843">
        <v>12.257185818019444</v>
      </c>
      <c r="J843">
        <v>0.2898455030012792</v>
      </c>
      <c r="K843">
        <v>0.10006170146561388</v>
      </c>
      <c r="L843">
        <v>17.352906977513651</v>
      </c>
      <c r="M843">
        <v>12.190519423756292</v>
      </c>
      <c r="N843">
        <v>0.33874909148520277</v>
      </c>
      <c r="O843">
        <v>0.11705574311283862</v>
      </c>
      <c r="P843">
        <v>17.353675741645663</v>
      </c>
      <c r="Q843">
        <v>12.188476346329042</v>
      </c>
      <c r="R843">
        <v>0.34024739245764712</v>
      </c>
      <c r="S843">
        <v>0.11757692196019393</v>
      </c>
      <c r="T843">
        <v>17.353699339253129</v>
      </c>
      <c r="U843">
        <v>1506.8402629599789</v>
      </c>
      <c r="V843">
        <v>9.4663595337116071</v>
      </c>
      <c r="W843">
        <v>1287.5941010679537</v>
      </c>
      <c r="X843">
        <v>7.0859016134974482</v>
      </c>
      <c r="Y843">
        <v>2857.724759212359</v>
      </c>
      <c r="Z843">
        <v>9.4958938622501314</v>
      </c>
      <c r="AA843">
        <v>2716.5551958858105</v>
      </c>
      <c r="AB843">
        <v>7.1036440922629822</v>
      </c>
      <c r="AC843">
        <v>2186.2974400659618</v>
      </c>
      <c r="AD843">
        <v>9.4838831424222896</v>
      </c>
      <c r="AE843">
        <v>2012.2530885504291</v>
      </c>
      <c r="AF843">
        <v>7.0964344757771896</v>
      </c>
      <c r="AG843">
        <v>2048.3428744992543</v>
      </c>
      <c r="AH843">
        <v>9.4835150383354279</v>
      </c>
      <c r="AI843">
        <v>1870.956198169135</v>
      </c>
      <c r="AJ843">
        <v>7.0962133925698172</v>
      </c>
    </row>
    <row r="844" spans="4:36" x14ac:dyDescent="0.55000000000000004">
      <c r="D844">
        <v>837</v>
      </c>
      <c r="E844">
        <v>12.93530765625297</v>
      </c>
      <c r="F844">
        <v>0.4777200600209377</v>
      </c>
      <c r="G844">
        <v>0.17364597449799818</v>
      </c>
      <c r="H844">
        <v>16.41332630922809</v>
      </c>
      <c r="I844">
        <v>13.156589423190184</v>
      </c>
      <c r="J844">
        <v>0.31715380357192036</v>
      </c>
      <c r="K844">
        <v>0.11491517101841069</v>
      </c>
      <c r="L844">
        <v>16.41134160221948</v>
      </c>
      <c r="M844">
        <v>13.07393083882601</v>
      </c>
      <c r="N844">
        <v>0.37716557513995885</v>
      </c>
      <c r="O844">
        <v>0.13682142002849659</v>
      </c>
      <c r="P844">
        <v>16.412082166005547</v>
      </c>
      <c r="Q844">
        <v>13.038618400200756</v>
      </c>
      <c r="R844">
        <v>0.40279110476030522</v>
      </c>
      <c r="S844">
        <v>0.14619165948427248</v>
      </c>
      <c r="T844">
        <v>16.412398835554662</v>
      </c>
      <c r="U844">
        <v>1580.3019507516822</v>
      </c>
      <c r="V844">
        <v>10.178735375306763</v>
      </c>
      <c r="W844">
        <v>1327.1718103164192</v>
      </c>
      <c r="X844">
        <v>7.514017495579191</v>
      </c>
      <c r="Y844">
        <v>2911.8992786234476</v>
      </c>
      <c r="Z844">
        <v>10.21914498980248</v>
      </c>
      <c r="AA844">
        <v>2748.3251149300368</v>
      </c>
      <c r="AB844">
        <v>7.538038977858676</v>
      </c>
      <c r="AC844">
        <v>2270.5446380008257</v>
      </c>
      <c r="AD844">
        <v>10.204050891514443</v>
      </c>
      <c r="AE844">
        <v>2064.0469361820087</v>
      </c>
      <c r="AF844">
        <v>7.5290755950218875</v>
      </c>
      <c r="AG844">
        <v>2167.1833480935179</v>
      </c>
      <c r="AH844">
        <v>10.197602316268249</v>
      </c>
      <c r="AI844">
        <v>1946.3942214026592</v>
      </c>
      <c r="AJ844">
        <v>7.5252428493498034</v>
      </c>
    </row>
    <row r="845" spans="4:36" x14ac:dyDescent="0.55000000000000004">
      <c r="D845">
        <v>838</v>
      </c>
      <c r="E845">
        <v>14.02475162578944</v>
      </c>
      <c r="F845">
        <v>0.45286556008729428</v>
      </c>
      <c r="G845">
        <v>0.15480961192430695</v>
      </c>
      <c r="H845">
        <v>15.367573202198965</v>
      </c>
      <c r="I845">
        <v>14.257777751895819</v>
      </c>
      <c r="J845">
        <v>0.30579083111146771</v>
      </c>
      <c r="K845">
        <v>0.10422556650262338</v>
      </c>
      <c r="L845">
        <v>15.332205850490082</v>
      </c>
      <c r="M845">
        <v>14.154668138275619</v>
      </c>
      <c r="N845">
        <v>0.3709136530532024</v>
      </c>
      <c r="O845">
        <v>0.12658617996630675</v>
      </c>
      <c r="P845">
        <v>15.347832028704875</v>
      </c>
      <c r="Q845">
        <v>14.103914125626829</v>
      </c>
      <c r="R845">
        <v>0.40294309075785351</v>
      </c>
      <c r="S845">
        <v>0.13760553879369547</v>
      </c>
      <c r="T845">
        <v>15.35553724482163</v>
      </c>
      <c r="U845">
        <v>1632.8640237292213</v>
      </c>
      <c r="V845">
        <v>10.989807700301929</v>
      </c>
      <c r="W845">
        <v>1361.8864013741645</v>
      </c>
      <c r="X845">
        <v>7.9971198301089546</v>
      </c>
      <c r="Y845">
        <v>2941.5874812834945</v>
      </c>
      <c r="Z845">
        <v>11.051332411711789</v>
      </c>
      <c r="AA845">
        <v>2767.3476909933142</v>
      </c>
      <c r="AB845">
        <v>8.0317687609043151</v>
      </c>
      <c r="AC845">
        <v>2289.6556900785945</v>
      </c>
      <c r="AD845">
        <v>11.024122630251878</v>
      </c>
      <c r="AE845">
        <v>2073.8195089247324</v>
      </c>
      <c r="AF845">
        <v>8.0164556904928777</v>
      </c>
      <c r="AG845">
        <v>2178.1026867706241</v>
      </c>
      <c r="AH845">
        <v>11.010721081376818</v>
      </c>
      <c r="AI845">
        <v>1949.414797260207</v>
      </c>
      <c r="AJ845">
        <v>8.008907379598595</v>
      </c>
    </row>
    <row r="846" spans="4:36" x14ac:dyDescent="0.55000000000000004">
      <c r="D846">
        <v>839</v>
      </c>
      <c r="E846">
        <v>14.214854205651886</v>
      </c>
      <c r="F846">
        <v>0.4930381553329371</v>
      </c>
      <c r="G846">
        <v>0.17757393482610492</v>
      </c>
      <c r="H846">
        <v>15.114533704189087</v>
      </c>
      <c r="I846">
        <v>14.481482304722606</v>
      </c>
      <c r="J846">
        <v>0.31579814899430897</v>
      </c>
      <c r="K846">
        <v>0.11335102992896298</v>
      </c>
      <c r="L846">
        <v>15.089368516354105</v>
      </c>
      <c r="M846">
        <v>14.385243177534511</v>
      </c>
      <c r="N846">
        <v>0.37982408747200602</v>
      </c>
      <c r="O846">
        <v>0.13649944748489962</v>
      </c>
      <c r="P846">
        <v>15.09843328750858</v>
      </c>
      <c r="Q846">
        <v>14.305798199013324</v>
      </c>
      <c r="R846">
        <v>0.43263364563831808</v>
      </c>
      <c r="S846">
        <v>0.15563617923095502</v>
      </c>
      <c r="T846">
        <v>15.1059319761174</v>
      </c>
      <c r="U846">
        <v>1614.3688752918747</v>
      </c>
      <c r="V846">
        <v>11.299203445345043</v>
      </c>
      <c r="W846">
        <v>1343.8065123796866</v>
      </c>
      <c r="X846">
        <v>8.1945663872361738</v>
      </c>
      <c r="Y846">
        <v>2958.6922169057989</v>
      </c>
      <c r="Z846">
        <v>11.360801063160919</v>
      </c>
      <c r="AA846">
        <v>2778.0037083295206</v>
      </c>
      <c r="AB846">
        <v>8.2294063961621422</v>
      </c>
      <c r="AC846">
        <v>2284.3762693863127</v>
      </c>
      <c r="AD846">
        <v>11.338579736421986</v>
      </c>
      <c r="AE846">
        <v>2067.9628761244071</v>
      </c>
      <c r="AF846">
        <v>8.2168494725765875</v>
      </c>
      <c r="AG846">
        <v>2190.7172327818821</v>
      </c>
      <c r="AH846">
        <v>11.320225720618883</v>
      </c>
      <c r="AI846">
        <v>1955.0612952179179</v>
      </c>
      <c r="AJ846">
        <v>8.2064680645450636</v>
      </c>
    </row>
    <row r="847" spans="4:36" x14ac:dyDescent="0.55000000000000004">
      <c r="D847">
        <v>840</v>
      </c>
      <c r="E847">
        <v>11.549481315608617</v>
      </c>
      <c r="F847">
        <v>0.39446727903417156</v>
      </c>
      <c r="G847">
        <v>0.13329243494979032</v>
      </c>
      <c r="H847">
        <v>17.922758970407425</v>
      </c>
      <c r="I847">
        <v>11.712294479798329</v>
      </c>
      <c r="J847">
        <v>0.27074012483475118</v>
      </c>
      <c r="K847">
        <v>9.1245093503196775E-2</v>
      </c>
      <c r="L847">
        <v>17.925720301863709</v>
      </c>
      <c r="M847">
        <v>11.644253928530221</v>
      </c>
      <c r="N847">
        <v>0.32246437484693097</v>
      </c>
      <c r="O847">
        <v>0.10879589163171483</v>
      </c>
      <c r="P847">
        <v>17.924485804991139</v>
      </c>
      <c r="Q847">
        <v>11.632028859806473</v>
      </c>
      <c r="R847">
        <v>0.33175511500056887</v>
      </c>
      <c r="S847">
        <v>0.11195249012448086</v>
      </c>
      <c r="T847">
        <v>17.924263535068484</v>
      </c>
      <c r="U847">
        <v>1486.7242903075933</v>
      </c>
      <c r="V847">
        <v>9.1314248778883709</v>
      </c>
      <c r="W847">
        <v>1277.8058731798667</v>
      </c>
      <c r="X847">
        <v>6.898127570783676</v>
      </c>
      <c r="Y847">
        <v>2843.125017787147</v>
      </c>
      <c r="Z847">
        <v>9.1632763148239942</v>
      </c>
      <c r="AA847">
        <v>2709.6225520255593</v>
      </c>
      <c r="AB847">
        <v>6.9178765633296209</v>
      </c>
      <c r="AC847">
        <v>2169.2088985282603</v>
      </c>
      <c r="AD847">
        <v>9.1499632857481306</v>
      </c>
      <c r="AE847">
        <v>2003.8907546726373</v>
      </c>
      <c r="AF847">
        <v>6.9096297038238017</v>
      </c>
      <c r="AG847">
        <v>2049.5523370601823</v>
      </c>
      <c r="AH847">
        <v>9.1475716133185809</v>
      </c>
      <c r="AI847">
        <v>1875.9694295512074</v>
      </c>
      <c r="AJ847">
        <v>6.9081470002116783</v>
      </c>
    </row>
    <row r="848" spans="4:36" x14ac:dyDescent="0.55000000000000004">
      <c r="D848">
        <v>841</v>
      </c>
      <c r="E848">
        <v>13.020994415251479</v>
      </c>
      <c r="F848">
        <v>0.4367075620624275</v>
      </c>
      <c r="G848">
        <v>0.16620598417712529</v>
      </c>
      <c r="H848">
        <v>16.376092038508968</v>
      </c>
      <c r="I848">
        <v>13.266091357624044</v>
      </c>
      <c r="J848">
        <v>0.27550959982015683</v>
      </c>
      <c r="K848">
        <v>0.10448316786028804</v>
      </c>
      <c r="L848">
        <v>16.353915874695506</v>
      </c>
      <c r="M848">
        <v>13.156573673179869</v>
      </c>
      <c r="N848">
        <v>0.34758826837077161</v>
      </c>
      <c r="O848">
        <v>0.13202697750106787</v>
      </c>
      <c r="P848">
        <v>16.363811080948295</v>
      </c>
      <c r="Q848">
        <v>13.129312825935141</v>
      </c>
      <c r="R848">
        <v>0.36551740902585911</v>
      </c>
      <c r="S848">
        <v>0.13889212848529547</v>
      </c>
      <c r="T848">
        <v>16.366277636553704</v>
      </c>
      <c r="U848">
        <v>1544.8928122867187</v>
      </c>
      <c r="V848">
        <v>10.192235137510716</v>
      </c>
      <c r="W848">
        <v>1303.23205192411</v>
      </c>
      <c r="X848">
        <v>7.5209396505593187</v>
      </c>
      <c r="Y848">
        <v>2919.9615220609503</v>
      </c>
      <c r="Z848">
        <v>10.249515598015478</v>
      </c>
      <c r="AA848">
        <v>2757.0221181558486</v>
      </c>
      <c r="AB848">
        <v>7.5542429736581456</v>
      </c>
      <c r="AC848">
        <v>2225.5053335686753</v>
      </c>
      <c r="AD848">
        <v>10.223928622316306</v>
      </c>
      <c r="AE848">
        <v>2032.266187961585</v>
      </c>
      <c r="AF848">
        <v>7.5393800099684443</v>
      </c>
      <c r="AG848">
        <v>2139.0645703670239</v>
      </c>
      <c r="AH848">
        <v>10.217557607353102</v>
      </c>
      <c r="AI848">
        <v>1927.7066523595979</v>
      </c>
      <c r="AJ848">
        <v>7.5356758377919855</v>
      </c>
    </row>
    <row r="849" spans="4:36" x14ac:dyDescent="0.55000000000000004">
      <c r="D849">
        <v>842</v>
      </c>
      <c r="E849">
        <v>11.091916406098736</v>
      </c>
      <c r="F849">
        <v>0.42068115531396238</v>
      </c>
      <c r="G849">
        <v>0.15549332687987169</v>
      </c>
      <c r="H849">
        <v>18.331909111707422</v>
      </c>
      <c r="I849">
        <v>11.26654491882138</v>
      </c>
      <c r="J849">
        <v>0.27234427062734495</v>
      </c>
      <c r="K849">
        <v>0.10037878129690521</v>
      </c>
      <c r="L849">
        <v>18.360732029254365</v>
      </c>
      <c r="M849">
        <v>11.158995741973687</v>
      </c>
      <c r="N849">
        <v>0.36371499876581692</v>
      </c>
      <c r="O849">
        <v>0.13429000350842862</v>
      </c>
      <c r="P849">
        <v>18.342999255752066</v>
      </c>
      <c r="Q849">
        <v>11.14112758731601</v>
      </c>
      <c r="R849">
        <v>0.37889097154960311</v>
      </c>
      <c r="S849">
        <v>0.13993403641407545</v>
      </c>
      <c r="T849">
        <v>18.340047404720313</v>
      </c>
      <c r="U849">
        <v>1459.9503514198921</v>
      </c>
      <c r="V849">
        <v>8.749048337374596</v>
      </c>
      <c r="W849">
        <v>1254.4374490857672</v>
      </c>
      <c r="X849">
        <v>6.650788544986078</v>
      </c>
      <c r="Y849">
        <v>2845.3626066609027</v>
      </c>
      <c r="Z849">
        <v>8.7636493221689982</v>
      </c>
      <c r="AA849">
        <v>2710.6505489008559</v>
      </c>
      <c r="AB849">
        <v>6.6612454204798768</v>
      </c>
      <c r="AC849">
        <v>2191.4042835636219</v>
      </c>
      <c r="AD849">
        <v>8.75464643911012</v>
      </c>
      <c r="AE849">
        <v>2016.6380796658111</v>
      </c>
      <c r="AF849">
        <v>6.6548056919217382</v>
      </c>
      <c r="AG849">
        <v>2043.911810422042</v>
      </c>
      <c r="AH849">
        <v>8.7531539647916929</v>
      </c>
      <c r="AI849">
        <v>1866.9526471280576</v>
      </c>
      <c r="AJ849">
        <v>6.6537356787976876</v>
      </c>
    </row>
    <row r="850" spans="4:36" x14ac:dyDescent="0.55000000000000004">
      <c r="D850">
        <v>843</v>
      </c>
      <c r="E850">
        <v>13.788980006095461</v>
      </c>
      <c r="F850">
        <v>0.52138240772733901</v>
      </c>
      <c r="G850">
        <v>0.16319592997925966</v>
      </c>
      <c r="H850">
        <v>15.526441656197942</v>
      </c>
      <c r="I850">
        <v>14.033396474787626</v>
      </c>
      <c r="J850">
        <v>0.33949022150396069</v>
      </c>
      <c r="K850">
        <v>0.10593206662127772</v>
      </c>
      <c r="L850">
        <v>15.521181237087129</v>
      </c>
      <c r="M850">
        <v>13.907866227856871</v>
      </c>
      <c r="N850">
        <v>0.43294772636884005</v>
      </c>
      <c r="O850">
        <v>0.13530937786173625</v>
      </c>
      <c r="P850">
        <v>15.523876667912557</v>
      </c>
      <c r="Q850">
        <v>13.903657486990882</v>
      </c>
      <c r="R850">
        <v>0.43607971308669924</v>
      </c>
      <c r="S850">
        <v>0.13629553185083115</v>
      </c>
      <c r="T850">
        <v>15.523967268071594</v>
      </c>
      <c r="U850">
        <v>1594.8526972807072</v>
      </c>
      <c r="V850">
        <v>10.946620991329688</v>
      </c>
      <c r="W850">
        <v>1334.5131219968659</v>
      </c>
      <c r="X850">
        <v>7.9825662288611818</v>
      </c>
      <c r="Y850">
        <v>2918.8044012616592</v>
      </c>
      <c r="Z850">
        <v>10.996153449109148</v>
      </c>
      <c r="AA850">
        <v>2751.7833219041404</v>
      </c>
      <c r="AB850">
        <v>8.0114551219820616</v>
      </c>
      <c r="AC850">
        <v>2245.0941926297282</v>
      </c>
      <c r="AD850">
        <v>10.970717206498181</v>
      </c>
      <c r="AE850">
        <v>2041.1609949809515</v>
      </c>
      <c r="AF850">
        <v>7.9966312992711721</v>
      </c>
      <c r="AG850">
        <v>2154.2403014618631</v>
      </c>
      <c r="AH850">
        <v>10.96986427075135</v>
      </c>
      <c r="AI850">
        <v>1934.0603248517029</v>
      </c>
      <c r="AJ850">
        <v>7.9961338073858537</v>
      </c>
    </row>
    <row r="851" spans="4:36" x14ac:dyDescent="0.55000000000000004">
      <c r="D851">
        <v>844</v>
      </c>
      <c r="E851">
        <v>11.402562976093279</v>
      </c>
      <c r="F851">
        <v>0.36773012627503937</v>
      </c>
      <c r="G851">
        <v>0.17845990731976905</v>
      </c>
      <c r="H851">
        <v>18.051246990311906</v>
      </c>
      <c r="I851">
        <v>11.563803411259126</v>
      </c>
      <c r="J851">
        <v>0.25087368008380923</v>
      </c>
      <c r="K851">
        <v>0.12141464918680293</v>
      </c>
      <c r="L851">
        <v>18.06390825947026</v>
      </c>
      <c r="M851">
        <v>11.485892950960221</v>
      </c>
      <c r="N851">
        <v>0.30735825232155256</v>
      </c>
      <c r="O851">
        <v>0.14894873368300882</v>
      </c>
      <c r="P851">
        <v>18.057800063035216</v>
      </c>
      <c r="Q851">
        <v>11.463498182190893</v>
      </c>
      <c r="R851">
        <v>0.3235873385354977</v>
      </c>
      <c r="S851">
        <v>0.1568735026403664</v>
      </c>
      <c r="T851">
        <v>18.056040976633234</v>
      </c>
      <c r="U851">
        <v>1445.2297265685365</v>
      </c>
      <c r="V851">
        <v>9.0183792452982221</v>
      </c>
      <c r="W851">
        <v>1244.2875932542213</v>
      </c>
      <c r="X851">
        <v>6.8248226976695952</v>
      </c>
      <c r="Y851">
        <v>2854.1841124688226</v>
      </c>
      <c r="Z851">
        <v>9.0416331627650095</v>
      </c>
      <c r="AA851">
        <v>2716.8260922585946</v>
      </c>
      <c r="AB851">
        <v>6.8399001354613125</v>
      </c>
      <c r="AC851">
        <v>2170.197531886397</v>
      </c>
      <c r="AD851">
        <v>9.0303909783570653</v>
      </c>
      <c r="AE851">
        <v>2002.4516967493037</v>
      </c>
      <c r="AF851">
        <v>6.8326182823430983</v>
      </c>
      <c r="AG851">
        <v>2053.9969341322826</v>
      </c>
      <c r="AH851">
        <v>9.0271615764860673</v>
      </c>
      <c r="AI851">
        <v>1876.4473989179849</v>
      </c>
      <c r="AJ851">
        <v>6.8305239692441964</v>
      </c>
    </row>
    <row r="852" spans="4:36" x14ac:dyDescent="0.55000000000000004">
      <c r="D852">
        <v>845</v>
      </c>
      <c r="E852">
        <v>12.416450571705049</v>
      </c>
      <c r="F852">
        <v>0.41068026819321679</v>
      </c>
      <c r="G852">
        <v>0.1500814733383333</v>
      </c>
      <c r="H852">
        <v>17.022787686763404</v>
      </c>
      <c r="I852">
        <v>12.622062506557583</v>
      </c>
      <c r="J852">
        <v>0.26702355095027769</v>
      </c>
      <c r="K852">
        <v>9.7279125912426948E-2</v>
      </c>
      <c r="L852">
        <v>17.013634816579714</v>
      </c>
      <c r="M852">
        <v>12.516032478731072</v>
      </c>
      <c r="N852">
        <v>0.34113799172726511</v>
      </c>
      <c r="O852">
        <v>0.12447888292005058</v>
      </c>
      <c r="P852">
        <v>17.018350646621602</v>
      </c>
      <c r="Q852">
        <v>12.474210713401092</v>
      </c>
      <c r="R852">
        <v>0.37035161200224298</v>
      </c>
      <c r="S852">
        <v>0.13522453677996971</v>
      </c>
      <c r="T852">
        <v>17.02021313781669</v>
      </c>
      <c r="U852">
        <v>1517.5842733594488</v>
      </c>
      <c r="V852">
        <v>9.7222137518037322</v>
      </c>
      <c r="W852">
        <v>1290.5394383494761</v>
      </c>
      <c r="X852">
        <v>7.2410269424212377</v>
      </c>
      <c r="Y852">
        <v>2876.9317013464038</v>
      </c>
      <c r="Z852">
        <v>9.7646262981118337</v>
      </c>
      <c r="AA852">
        <v>2729.435589239516</v>
      </c>
      <c r="AB852">
        <v>7.2663370429559864</v>
      </c>
      <c r="AC852">
        <v>2229.7716429722295</v>
      </c>
      <c r="AD852">
        <v>9.7427565400922784</v>
      </c>
      <c r="AE852">
        <v>2040.5476705921089</v>
      </c>
      <c r="AF852">
        <v>7.2532962650677275</v>
      </c>
      <c r="AG852">
        <v>2108.75965286877</v>
      </c>
      <c r="AH852">
        <v>9.7341294705966632</v>
      </c>
      <c r="AI852">
        <v>1909.6721150531162</v>
      </c>
      <c r="AJ852">
        <v>7.2481460411098411</v>
      </c>
    </row>
    <row r="853" spans="4:36" x14ac:dyDescent="0.55000000000000004">
      <c r="D853">
        <v>846</v>
      </c>
      <c r="E853">
        <v>11.169591954386904</v>
      </c>
      <c r="F853">
        <v>0.40398633508778503</v>
      </c>
      <c r="G853">
        <v>0.16385182011836691</v>
      </c>
      <c r="H853">
        <v>18.262569890406933</v>
      </c>
      <c r="I853">
        <v>11.368833661984826</v>
      </c>
      <c r="J853">
        <v>0.25032717416048333</v>
      </c>
      <c r="K853">
        <v>0.10120738208034628</v>
      </c>
      <c r="L853">
        <v>18.279631781774352</v>
      </c>
      <c r="M853">
        <v>11.272194031958035</v>
      </c>
      <c r="N853">
        <v>0.32488461746028274</v>
      </c>
      <c r="O853">
        <v>0.13155292173327532</v>
      </c>
      <c r="P853">
        <v>18.271368428848408</v>
      </c>
      <c r="Q853">
        <v>11.246876493824185</v>
      </c>
      <c r="R853">
        <v>0.34440869419660608</v>
      </c>
      <c r="S853">
        <v>0.13951502391782572</v>
      </c>
      <c r="T853">
        <v>18.269199788061375</v>
      </c>
      <c r="U853">
        <v>1480.7030262956325</v>
      </c>
      <c r="V853">
        <v>8.7864454537044736</v>
      </c>
      <c r="W853">
        <v>1270.283050241912</v>
      </c>
      <c r="X853">
        <v>6.6726779663688447</v>
      </c>
      <c r="Y853">
        <v>2833.5773567231877</v>
      </c>
      <c r="Z853">
        <v>8.8111229955528501</v>
      </c>
      <c r="AA853">
        <v>2702.6317615077965</v>
      </c>
      <c r="AB853">
        <v>6.6886660875986959</v>
      </c>
      <c r="AC853">
        <v>2167.1978604349547</v>
      </c>
      <c r="AD853">
        <v>8.7991465538639595</v>
      </c>
      <c r="AE853">
        <v>2000.3412852264162</v>
      </c>
      <c r="AF853">
        <v>6.6809163508751181</v>
      </c>
      <c r="AG853">
        <v>2043.0198182111469</v>
      </c>
      <c r="AH853">
        <v>8.7960111265141467</v>
      </c>
      <c r="AI853">
        <v>1868.044971336155</v>
      </c>
      <c r="AJ853">
        <v>6.6788845037284794</v>
      </c>
    </row>
    <row r="854" spans="4:36" x14ac:dyDescent="0.55000000000000004">
      <c r="D854">
        <v>847</v>
      </c>
      <c r="E854">
        <v>12.950700881998277</v>
      </c>
      <c r="F854">
        <v>0.4513991280877635</v>
      </c>
      <c r="G854">
        <v>0.18092059535359697</v>
      </c>
      <c r="H854">
        <v>16.416979394560371</v>
      </c>
      <c r="I854">
        <v>13.166972590347653</v>
      </c>
      <c r="J854">
        <v>0.29949251792238074</v>
      </c>
      <c r="K854">
        <v>0.11964119515859108</v>
      </c>
      <c r="L854">
        <v>16.413893696571375</v>
      </c>
      <c r="M854">
        <v>13.083933506389721</v>
      </c>
      <c r="N854">
        <v>0.35785208023366033</v>
      </c>
      <c r="O854">
        <v>0.14313503626623633</v>
      </c>
      <c r="P854">
        <v>16.415079377110374</v>
      </c>
      <c r="Q854">
        <v>13.043609512590116</v>
      </c>
      <c r="R854">
        <v>0.38617643182419992</v>
      </c>
      <c r="S854">
        <v>0.15455931250924562</v>
      </c>
      <c r="T854">
        <v>16.415654743076434</v>
      </c>
      <c r="U854">
        <v>1569.3861131837928</v>
      </c>
      <c r="V854">
        <v>10.247166411560176</v>
      </c>
      <c r="W854">
        <v>1317.0770991749916</v>
      </c>
      <c r="X854">
        <v>7.5657509175745083</v>
      </c>
      <c r="Y854">
        <v>2949.0477793299965</v>
      </c>
      <c r="Z854">
        <v>10.292137347394872</v>
      </c>
      <c r="AA854">
        <v>2774.6067801775498</v>
      </c>
      <c r="AB854">
        <v>7.592701327054983</v>
      </c>
      <c r="AC854">
        <v>2249.7858129832121</v>
      </c>
      <c r="AD854">
        <v>10.274869081113096</v>
      </c>
      <c r="AE854">
        <v>2046.981920509583</v>
      </c>
      <c r="AF854">
        <v>7.5823635200071342</v>
      </c>
      <c r="AG854">
        <v>2139.9115273507532</v>
      </c>
      <c r="AH854">
        <v>10.2664841706868</v>
      </c>
      <c r="AI854">
        <v>1924.0111625905356</v>
      </c>
      <c r="AJ854">
        <v>7.5773389778309665</v>
      </c>
    </row>
    <row r="855" spans="4:36" x14ac:dyDescent="0.55000000000000004">
      <c r="D855">
        <v>848</v>
      </c>
      <c r="E855">
        <v>12.752814469218574</v>
      </c>
      <c r="F855">
        <v>0.43769684318806068</v>
      </c>
      <c r="G855">
        <v>0.16883772262944904</v>
      </c>
      <c r="H855">
        <v>16.640650964963925</v>
      </c>
      <c r="I855">
        <v>12.986507255812068</v>
      </c>
      <c r="J855">
        <v>0.27584644167235939</v>
      </c>
      <c r="K855">
        <v>0.10604028889752398</v>
      </c>
      <c r="L855">
        <v>16.631606013618054</v>
      </c>
      <c r="M855">
        <v>12.892182925017547</v>
      </c>
      <c r="N855">
        <v>0.34121496608138524</v>
      </c>
      <c r="O855">
        <v>0.13135037044365241</v>
      </c>
      <c r="P855">
        <v>16.635251738457416</v>
      </c>
      <c r="Q855">
        <v>12.821155686654341</v>
      </c>
      <c r="R855">
        <v>0.39040109370981607</v>
      </c>
      <c r="S855">
        <v>0.15044171301347298</v>
      </c>
      <c r="T855">
        <v>16.638001506622381</v>
      </c>
      <c r="U855">
        <v>1504.3634874247714</v>
      </c>
      <c r="V855">
        <v>10.102987464583325</v>
      </c>
      <c r="W855">
        <v>1276.1473745100466</v>
      </c>
      <c r="X855">
        <v>7.4834750605385931</v>
      </c>
      <c r="Y855">
        <v>2899.2200578672559</v>
      </c>
      <c r="Z855">
        <v>10.152941514645969</v>
      </c>
      <c r="AA855">
        <v>2743.7428072051089</v>
      </c>
      <c r="AB855">
        <v>7.513108613654925</v>
      </c>
      <c r="AC855">
        <v>2228.904461823859</v>
      </c>
      <c r="AD855">
        <v>10.132781007842111</v>
      </c>
      <c r="AE855">
        <v>2037.869490315582</v>
      </c>
      <c r="AF855">
        <v>7.5011615285467652</v>
      </c>
      <c r="AG855">
        <v>2115.1937980596117</v>
      </c>
      <c r="AH855">
        <v>10.117597955729785</v>
      </c>
      <c r="AI855">
        <v>1910.8015105650745</v>
      </c>
      <c r="AJ855">
        <v>7.4921529827022448</v>
      </c>
    </row>
    <row r="856" spans="4:36" x14ac:dyDescent="0.55000000000000004">
      <c r="D856">
        <v>849</v>
      </c>
      <c r="E856">
        <v>13.237102321897906</v>
      </c>
      <c r="F856">
        <v>0.45201082396836434</v>
      </c>
      <c r="G856">
        <v>0.16056839121304858</v>
      </c>
      <c r="H856">
        <v>16.150318462920673</v>
      </c>
      <c r="I856">
        <v>13.449790202398649</v>
      </c>
      <c r="J856">
        <v>0.30485971267381667</v>
      </c>
      <c r="K856">
        <v>0.10798451005873051</v>
      </c>
      <c r="L856">
        <v>16.137365574868802</v>
      </c>
      <c r="M856">
        <v>13.340394202007227</v>
      </c>
      <c r="N856">
        <v>0.38058194538807805</v>
      </c>
      <c r="O856">
        <v>0.13500515901466079</v>
      </c>
      <c r="P856">
        <v>16.14401869359002</v>
      </c>
      <c r="Q856">
        <v>13.328568270218373</v>
      </c>
      <c r="R856">
        <v>0.38876323925189599</v>
      </c>
      <c r="S856">
        <v>0.13792941828394056</v>
      </c>
      <c r="T856">
        <v>16.144739072245791</v>
      </c>
      <c r="U856">
        <v>1562.730695643419</v>
      </c>
      <c r="V856">
        <v>10.503883463690629</v>
      </c>
      <c r="W856">
        <v>1317.2678389079931</v>
      </c>
      <c r="X856">
        <v>7.7262901176715406</v>
      </c>
      <c r="Y856">
        <v>2911.2958563493617</v>
      </c>
      <c r="Z856">
        <v>10.55158399164965</v>
      </c>
      <c r="AA856">
        <v>2749.6641819668544</v>
      </c>
      <c r="AB856">
        <v>7.7539044992225374</v>
      </c>
      <c r="AC856">
        <v>2245.2717261344028</v>
      </c>
      <c r="AD856">
        <v>10.527055517510346</v>
      </c>
      <c r="AE856">
        <v>2046.063514623401</v>
      </c>
      <c r="AF856">
        <v>7.7397141274051267</v>
      </c>
      <c r="AG856">
        <v>2154.7723307784772</v>
      </c>
      <c r="AH856">
        <v>10.52440314396403</v>
      </c>
      <c r="AI856">
        <v>1939.2120351390388</v>
      </c>
      <c r="AJ856">
        <v>7.7381784658494652</v>
      </c>
    </row>
    <row r="857" spans="4:36" x14ac:dyDescent="0.55000000000000004">
      <c r="D857">
        <v>850</v>
      </c>
      <c r="E857">
        <v>12.395956800399391</v>
      </c>
      <c r="F857">
        <v>0.43018665818752161</v>
      </c>
      <c r="G857">
        <v>0.18799439200069462</v>
      </c>
      <c r="H857">
        <v>16.985862149412377</v>
      </c>
      <c r="I857">
        <v>12.619032576434133</v>
      </c>
      <c r="J857">
        <v>0.27463485775274593</v>
      </c>
      <c r="K857">
        <v>0.11961144002118632</v>
      </c>
      <c r="L857">
        <v>16.986721125791934</v>
      </c>
      <c r="M857">
        <v>12.532685999334534</v>
      </c>
      <c r="N857">
        <v>0.33488233111608218</v>
      </c>
      <c r="O857">
        <v>0.14604142747834661</v>
      </c>
      <c r="P857">
        <v>16.986390242071025</v>
      </c>
      <c r="Q857">
        <v>12.47627599842744</v>
      </c>
      <c r="R857">
        <v>0.3742162845452513</v>
      </c>
      <c r="S857">
        <v>0.16333472940721078</v>
      </c>
      <c r="T857">
        <v>16.986172987620101</v>
      </c>
      <c r="U857">
        <v>1568.6184054097232</v>
      </c>
      <c r="V857">
        <v>9.8319891501876295</v>
      </c>
      <c r="W857">
        <v>1323.6907839298813</v>
      </c>
      <c r="X857">
        <v>7.3203685092160731</v>
      </c>
      <c r="Y857">
        <v>2891.7625360826346</v>
      </c>
      <c r="Z857">
        <v>9.874924985340952</v>
      </c>
      <c r="AA857">
        <v>2737.6376897238947</v>
      </c>
      <c r="AB857">
        <v>7.3463243697592056</v>
      </c>
      <c r="AC857">
        <v>2199.2046729951371</v>
      </c>
      <c r="AD857">
        <v>9.8583045146944421</v>
      </c>
      <c r="AE857">
        <v>2015.3968884614765</v>
      </c>
      <c r="AF857">
        <v>7.3362882930784075</v>
      </c>
      <c r="AG857">
        <v>2138.9723173436646</v>
      </c>
      <c r="AH857">
        <v>9.8474472012965499</v>
      </c>
      <c r="AI857">
        <v>1928.8861866470882</v>
      </c>
      <c r="AJ857">
        <v>7.3297244568324267</v>
      </c>
    </row>
    <row r="858" spans="4:36" x14ac:dyDescent="0.55000000000000004">
      <c r="D858">
        <v>851</v>
      </c>
      <c r="E858">
        <v>14.444468928624675</v>
      </c>
      <c r="F858">
        <v>0.45830375647117605</v>
      </c>
      <c r="G858">
        <v>0.18599934368348156</v>
      </c>
      <c r="H858">
        <v>14.911227971220661</v>
      </c>
      <c r="I858">
        <v>14.736974752632289</v>
      </c>
      <c r="J858">
        <v>0.28734056482291986</v>
      </c>
      <c r="K858">
        <v>0.11616092545951237</v>
      </c>
      <c r="L858">
        <v>14.859523757085297</v>
      </c>
      <c r="M858">
        <v>14.597631076191325</v>
      </c>
      <c r="N858">
        <v>0.36885909371028114</v>
      </c>
      <c r="O858">
        <v>0.14939200684443743</v>
      </c>
      <c r="P858">
        <v>14.884117823253968</v>
      </c>
      <c r="Q858">
        <v>14.57941006731318</v>
      </c>
      <c r="R858">
        <v>0.37950863101152482</v>
      </c>
      <c r="S858">
        <v>0.1537425618532815</v>
      </c>
      <c r="T858">
        <v>14.887338739821999</v>
      </c>
      <c r="U858">
        <v>1629.5046466593819</v>
      </c>
      <c r="V858">
        <v>11.332336173101734</v>
      </c>
      <c r="W858">
        <v>1354.6677244286936</v>
      </c>
      <c r="X858">
        <v>8.1981320573119305</v>
      </c>
      <c r="Y858">
        <v>2948.4233072050415</v>
      </c>
      <c r="Z858">
        <v>11.415865861949285</v>
      </c>
      <c r="AA858">
        <v>2770.8042671245471</v>
      </c>
      <c r="AB858">
        <v>8.2451193121438937</v>
      </c>
      <c r="AC858">
        <v>2288.5024966830474</v>
      </c>
      <c r="AD858">
        <v>11.376094425139557</v>
      </c>
      <c r="AE858">
        <v>2069.617809569821</v>
      </c>
      <c r="AF858">
        <v>8.2227650232936966</v>
      </c>
      <c r="AG858">
        <v>2184.4816785652101</v>
      </c>
      <c r="AH858">
        <v>11.370891062125869</v>
      </c>
      <c r="AI858">
        <v>1951.9878423102864</v>
      </c>
      <c r="AJ858">
        <v>8.2198379655794795</v>
      </c>
    </row>
    <row r="859" spans="4:36" x14ac:dyDescent="0.55000000000000004">
      <c r="D859">
        <v>852</v>
      </c>
      <c r="E859">
        <v>13.73291628526677</v>
      </c>
      <c r="F859">
        <v>0.47644749080579823</v>
      </c>
      <c r="G859">
        <v>0.17304676739585734</v>
      </c>
      <c r="H859">
        <v>15.617589456531579</v>
      </c>
      <c r="I859">
        <v>13.989150023102932</v>
      </c>
      <c r="J859">
        <v>0.30293188481978794</v>
      </c>
      <c r="K859">
        <v>0.10964831978736997</v>
      </c>
      <c r="L859">
        <v>15.59826977228991</v>
      </c>
      <c r="M859">
        <v>13.859177719063981</v>
      </c>
      <c r="N859">
        <v>0.39099746397501162</v>
      </c>
      <c r="O859">
        <v>0.14177006293674785</v>
      </c>
      <c r="P859">
        <v>15.608054754024254</v>
      </c>
      <c r="Q859">
        <v>13.825716551813722</v>
      </c>
      <c r="R859">
        <v>0.41365276233375237</v>
      </c>
      <c r="S859">
        <v>0.15005190227802728</v>
      </c>
      <c r="T859">
        <v>15.610578783574505</v>
      </c>
      <c r="U859">
        <v>1585.4901828628006</v>
      </c>
      <c r="V859">
        <v>10.840307367355054</v>
      </c>
      <c r="W859">
        <v>1328.2922065328116</v>
      </c>
      <c r="X859">
        <v>7.915738163411568</v>
      </c>
      <c r="Y859">
        <v>2915.248559442346</v>
      </c>
      <c r="Z859">
        <v>10.901635175041385</v>
      </c>
      <c r="AA859">
        <v>2750.1110919795842</v>
      </c>
      <c r="AB859">
        <v>7.9511805658622547</v>
      </c>
      <c r="AC859">
        <v>2267.7848901839698</v>
      </c>
      <c r="AD859">
        <v>10.870534698933707</v>
      </c>
      <c r="AE859">
        <v>2058.6494188239335</v>
      </c>
      <c r="AF859">
        <v>7.9332211764435474</v>
      </c>
      <c r="AG859">
        <v>2143.5737306169858</v>
      </c>
      <c r="AH859">
        <v>10.862525434537282</v>
      </c>
      <c r="AI859">
        <v>1925.7276833229052</v>
      </c>
      <c r="AJ859">
        <v>7.9285914331906335</v>
      </c>
    </row>
    <row r="860" spans="4:36" x14ac:dyDescent="0.55000000000000004">
      <c r="D860">
        <v>853</v>
      </c>
      <c r="E860">
        <v>12.473793352114081</v>
      </c>
      <c r="F860">
        <v>0.45819773797359653</v>
      </c>
      <c r="G860">
        <v>0.17221692843599923</v>
      </c>
      <c r="H860">
        <v>16.895791981476329</v>
      </c>
      <c r="I860">
        <v>12.7297239115025</v>
      </c>
      <c r="J860">
        <v>0.27271292948921638</v>
      </c>
      <c r="K860">
        <v>0.10211698511770149</v>
      </c>
      <c r="L860">
        <v>16.895446173890573</v>
      </c>
      <c r="M860">
        <v>12.608937042297612</v>
      </c>
      <c r="N860">
        <v>0.36030112939791087</v>
      </c>
      <c r="O860">
        <v>0.13515249140903818</v>
      </c>
      <c r="P860">
        <v>16.895609336895429</v>
      </c>
      <c r="Q860">
        <v>12.574034740676751</v>
      </c>
      <c r="R860">
        <v>0.3855943900969907</v>
      </c>
      <c r="S860">
        <v>0.14471437124440409</v>
      </c>
      <c r="T860">
        <v>16.895656497981854</v>
      </c>
      <c r="U860">
        <v>1580.2981742161746</v>
      </c>
      <c r="V860">
        <v>9.8986906667176324</v>
      </c>
      <c r="W860">
        <v>1330.6846497510298</v>
      </c>
      <c r="X860">
        <v>7.3603859346161755</v>
      </c>
      <c r="Y860">
        <v>2895.4791762294371</v>
      </c>
      <c r="Z860">
        <v>9.9480381719179487</v>
      </c>
      <c r="AA860">
        <v>2740.9890799418749</v>
      </c>
      <c r="AB860">
        <v>7.3900231343297111</v>
      </c>
      <c r="AC860">
        <v>2217.4718573732057</v>
      </c>
      <c r="AD860">
        <v>9.9247486097660538</v>
      </c>
      <c r="AE860">
        <v>2027.3935650608817</v>
      </c>
      <c r="AF860">
        <v>7.3760510157267829</v>
      </c>
      <c r="AG860">
        <v>2109.406495582547</v>
      </c>
      <c r="AH860">
        <v>9.9180188843854129</v>
      </c>
      <c r="AI860">
        <v>1906.348081615823</v>
      </c>
      <c r="AJ860">
        <v>7.3720086247606469</v>
      </c>
    </row>
    <row r="861" spans="4:36" x14ac:dyDescent="0.55000000000000004">
      <c r="D861">
        <v>854</v>
      </c>
      <c r="E861">
        <v>12.502676295213728</v>
      </c>
      <c r="F861">
        <v>0.43268315958720333</v>
      </c>
      <c r="G861">
        <v>0.17698415787846433</v>
      </c>
      <c r="H861">
        <v>16.887656387320611</v>
      </c>
      <c r="I861">
        <v>12.724731101548713</v>
      </c>
      <c r="J861">
        <v>0.27679069016044983</v>
      </c>
      <c r="K861">
        <v>0.11283408834718621</v>
      </c>
      <c r="L861">
        <v>16.885644119943642</v>
      </c>
      <c r="M861">
        <v>12.614318901253958</v>
      </c>
      <c r="N861">
        <v>0.35434367543003692</v>
      </c>
      <c r="O861">
        <v>0.14469199800760132</v>
      </c>
      <c r="P861">
        <v>16.886645425308384</v>
      </c>
      <c r="Q861">
        <v>12.599953859933972</v>
      </c>
      <c r="R861">
        <v>0.36442800902617506</v>
      </c>
      <c r="S861">
        <v>0.14884253985956736</v>
      </c>
      <c r="T861">
        <v>16.886775591180278</v>
      </c>
      <c r="U861">
        <v>1519.725023635267</v>
      </c>
      <c r="V861">
        <v>9.8161201636478967</v>
      </c>
      <c r="W861">
        <v>1288.8195378619023</v>
      </c>
      <c r="X861">
        <v>7.296337317966465</v>
      </c>
      <c r="Y861">
        <v>2899.3119912647089</v>
      </c>
      <c r="Z861">
        <v>9.8574568822414488</v>
      </c>
      <c r="AA861">
        <v>2744.3392228414386</v>
      </c>
      <c r="AB861">
        <v>7.3212969959047776</v>
      </c>
      <c r="AC861">
        <v>2218.3582962146957</v>
      </c>
      <c r="AD861">
        <v>9.8369016270614349</v>
      </c>
      <c r="AE861">
        <v>2029.6608201746185</v>
      </c>
      <c r="AF861">
        <v>7.3088969245848672</v>
      </c>
      <c r="AG861">
        <v>2092.2168681828402</v>
      </c>
      <c r="AH861">
        <v>9.834227516647486</v>
      </c>
      <c r="AI861">
        <v>1896.4204592644983</v>
      </c>
      <c r="AJ861">
        <v>7.3072820920038808</v>
      </c>
    </row>
    <row r="862" spans="4:36" x14ac:dyDescent="0.55000000000000004">
      <c r="D862">
        <v>855</v>
      </c>
      <c r="E862">
        <v>12.277345409916428</v>
      </c>
      <c r="F862">
        <v>0.47739537036999219</v>
      </c>
      <c r="G862">
        <v>0.15753966489710497</v>
      </c>
      <c r="H862">
        <v>17.087719554816477</v>
      </c>
      <c r="I862">
        <v>12.507453424598911</v>
      </c>
      <c r="J862">
        <v>0.29809268669484162</v>
      </c>
      <c r="K862">
        <v>9.8047403767586874E-2</v>
      </c>
      <c r="L862">
        <v>17.096406484938665</v>
      </c>
      <c r="M862">
        <v>12.412207096799568</v>
      </c>
      <c r="N862">
        <v>0.37234197916203754</v>
      </c>
      <c r="O862">
        <v>0.12263510156270736</v>
      </c>
      <c r="P862">
        <v>17.092815822475664</v>
      </c>
      <c r="Q862">
        <v>12.372604011176925</v>
      </c>
      <c r="R862">
        <v>0.40320118580195247</v>
      </c>
      <c r="S862">
        <v>0.13287405043720144</v>
      </c>
      <c r="T862">
        <v>17.091320752583918</v>
      </c>
      <c r="U862">
        <v>1538.1715564850206</v>
      </c>
      <c r="V862">
        <v>9.6856055594946469</v>
      </c>
      <c r="W862">
        <v>1301.4395996461822</v>
      </c>
      <c r="X862">
        <v>7.2209774179914064</v>
      </c>
      <c r="Y862">
        <v>2907.6544520709772</v>
      </c>
      <c r="Z862">
        <v>9.7202566795131631</v>
      </c>
      <c r="AA862">
        <v>2750.4520539521336</v>
      </c>
      <c r="AB862">
        <v>7.2420994392726978</v>
      </c>
      <c r="AC862">
        <v>2241.6340244085909</v>
      </c>
      <c r="AD862">
        <v>9.7059118453263302</v>
      </c>
      <c r="AE862">
        <v>2047.5889293136211</v>
      </c>
      <c r="AF862">
        <v>7.2333655605090446</v>
      </c>
      <c r="AG862">
        <v>2130.8273741848066</v>
      </c>
      <c r="AH862">
        <v>9.6999481593574224</v>
      </c>
      <c r="AI862">
        <v>1924.2613255534625</v>
      </c>
      <c r="AJ862">
        <v>7.2297303408537053</v>
      </c>
    </row>
    <row r="863" spans="4:36" x14ac:dyDescent="0.55000000000000004">
      <c r="D863">
        <v>856</v>
      </c>
      <c r="E863">
        <v>12.392429819621224</v>
      </c>
      <c r="F863">
        <v>0.44251990361679866</v>
      </c>
      <c r="G863">
        <v>0.15668000505276247</v>
      </c>
      <c r="H863">
        <v>17.008370271709211</v>
      </c>
      <c r="I863">
        <v>12.611933108629501</v>
      </c>
      <c r="J863">
        <v>0.28504007596531289</v>
      </c>
      <c r="K863">
        <v>0.10061017762276822</v>
      </c>
      <c r="L863">
        <v>17.002416637782414</v>
      </c>
      <c r="M863">
        <v>12.531568356793109</v>
      </c>
      <c r="N863">
        <v>0.34273063321013453</v>
      </c>
      <c r="O863">
        <v>0.12110973304936362</v>
      </c>
      <c r="P863">
        <v>17.004591276947401</v>
      </c>
      <c r="Q863">
        <v>12.523868809578259</v>
      </c>
      <c r="R863">
        <v>0.34825577665330865</v>
      </c>
      <c r="S863">
        <v>0.12307548184895212</v>
      </c>
      <c r="T863">
        <v>17.004799931919468</v>
      </c>
      <c r="U863">
        <v>1491.1735981783354</v>
      </c>
      <c r="V863">
        <v>9.7506275096119115</v>
      </c>
      <c r="W863">
        <v>1269.6162000082131</v>
      </c>
      <c r="X863">
        <v>7.2618933672429353</v>
      </c>
      <c r="Y863">
        <v>2892.2131953128464</v>
      </c>
      <c r="Z863">
        <v>9.7937703986107998</v>
      </c>
      <c r="AA863">
        <v>2740.3002122523694</v>
      </c>
      <c r="AB863">
        <v>7.2875277978693696</v>
      </c>
      <c r="AC863">
        <v>2212.1942930438145</v>
      </c>
      <c r="AD863">
        <v>9.7779777912547363</v>
      </c>
      <c r="AE863">
        <v>2028.3453405247358</v>
      </c>
      <c r="AF863">
        <v>7.2781541504362872</v>
      </c>
      <c r="AG863">
        <v>2101.3953816786429</v>
      </c>
      <c r="AH863">
        <v>9.7764645654260747</v>
      </c>
      <c r="AI863">
        <v>1907.0096507702933</v>
      </c>
      <c r="AJ863">
        <v>7.2772553822104271</v>
      </c>
    </row>
    <row r="864" spans="4:36" x14ac:dyDescent="0.55000000000000004">
      <c r="D864">
        <v>857</v>
      </c>
      <c r="E864">
        <v>14.386100519390734</v>
      </c>
      <c r="F864">
        <v>0.47359034622617913</v>
      </c>
      <c r="G864">
        <v>0.15193335075935893</v>
      </c>
      <c r="H864">
        <v>14.988375783623729</v>
      </c>
      <c r="I864">
        <v>14.646164036440796</v>
      </c>
      <c r="J864">
        <v>0.30966236202532038</v>
      </c>
      <c r="K864">
        <v>9.9026911782806773E-2</v>
      </c>
      <c r="L864">
        <v>14.945146689751088</v>
      </c>
      <c r="M864">
        <v>14.525777291766849</v>
      </c>
      <c r="N864">
        <v>0.38560240041703753</v>
      </c>
      <c r="O864">
        <v>0.12349326583850158</v>
      </c>
      <c r="P864">
        <v>14.965127041977617</v>
      </c>
      <c r="Q864">
        <v>14.496481855309515</v>
      </c>
      <c r="R864">
        <v>0.40406751597082863</v>
      </c>
      <c r="S864">
        <v>0.12945344020621705</v>
      </c>
      <c r="T864">
        <v>14.969997188513441</v>
      </c>
      <c r="U864">
        <v>1671.7632376767458</v>
      </c>
      <c r="V864">
        <v>11.40846977843062</v>
      </c>
      <c r="W864">
        <v>1384.3544994002884</v>
      </c>
      <c r="X864">
        <v>8.2619609875476048</v>
      </c>
      <c r="Y864">
        <v>2974.8760357087594</v>
      </c>
      <c r="Z864">
        <v>11.484007132174682</v>
      </c>
      <c r="AA864">
        <v>2788.4373119046595</v>
      </c>
      <c r="AB864">
        <v>8.304424524989928</v>
      </c>
      <c r="AC864">
        <v>2296.4627589073484</v>
      </c>
      <c r="AD864">
        <v>11.449057313844783</v>
      </c>
      <c r="AE864">
        <v>2074.228352803595</v>
      </c>
      <c r="AF864">
        <v>8.284791695004273</v>
      </c>
      <c r="AG864">
        <v>2200.6521775793785</v>
      </c>
      <c r="AH864">
        <v>11.440547953940866</v>
      </c>
      <c r="AI864">
        <v>1962.025657469206</v>
      </c>
      <c r="AJ864">
        <v>8.2800079025963171</v>
      </c>
    </row>
    <row r="865" spans="4:36" x14ac:dyDescent="0.55000000000000004">
      <c r="D865">
        <v>858</v>
      </c>
      <c r="E865">
        <v>11.429692063096637</v>
      </c>
      <c r="F865">
        <v>0.41165746321173041</v>
      </c>
      <c r="G865">
        <v>0.15182146347626149</v>
      </c>
      <c r="H865">
        <v>18.006829010215348</v>
      </c>
      <c r="I865">
        <v>11.616663280199624</v>
      </c>
      <c r="J865">
        <v>0.26683300112490438</v>
      </c>
      <c r="K865">
        <v>9.8099353035560666E-2</v>
      </c>
      <c r="L865">
        <v>18.018404365639903</v>
      </c>
      <c r="M865">
        <v>11.548826136077777</v>
      </c>
      <c r="N865">
        <v>0.31939992369071801</v>
      </c>
      <c r="O865">
        <v>0.11755919211630625</v>
      </c>
      <c r="P865">
        <v>18.014214748115201</v>
      </c>
      <c r="Q865">
        <v>11.502732836286283</v>
      </c>
      <c r="R865">
        <v>0.35510362276841068</v>
      </c>
      <c r="S865">
        <v>0.13080209650514985</v>
      </c>
      <c r="T865">
        <v>18.011361444440162</v>
      </c>
      <c r="U865">
        <v>1462.639868543773</v>
      </c>
      <c r="V865">
        <v>9.0098879346641567</v>
      </c>
      <c r="W865">
        <v>1256.3910163909516</v>
      </c>
      <c r="X865">
        <v>6.8133821656820661</v>
      </c>
      <c r="Y865">
        <v>2845.14104803292</v>
      </c>
      <c r="Z865">
        <v>9.0358569731832663</v>
      </c>
      <c r="AA865">
        <v>2710.3335680970172</v>
      </c>
      <c r="AB865">
        <v>6.8299721340384032</v>
      </c>
      <c r="AC865">
        <v>2142.6805674500656</v>
      </c>
      <c r="AD865">
        <v>9.0264293148267765</v>
      </c>
      <c r="AE865">
        <v>1982.6226703393281</v>
      </c>
      <c r="AF865">
        <v>6.823957586250522</v>
      </c>
      <c r="AG865">
        <v>2063.9360278322047</v>
      </c>
      <c r="AH865">
        <v>9.0200270901527499</v>
      </c>
      <c r="AI865">
        <v>1883.574318681045</v>
      </c>
      <c r="AJ865">
        <v>6.8198678739258254</v>
      </c>
    </row>
    <row r="866" spans="4:36" x14ac:dyDescent="0.55000000000000004">
      <c r="D866">
        <v>859</v>
      </c>
      <c r="E866">
        <v>12.396663540599052</v>
      </c>
      <c r="F866">
        <v>0.47600794948227765</v>
      </c>
      <c r="G866">
        <v>0.15712728297471965</v>
      </c>
      <c r="H866">
        <v>16.970201226943939</v>
      </c>
      <c r="I866">
        <v>12.616556382797786</v>
      </c>
      <c r="J866">
        <v>0.30903817426415187</v>
      </c>
      <c r="K866">
        <v>0.1016911688670548</v>
      </c>
      <c r="L866">
        <v>16.972714274071006</v>
      </c>
      <c r="M866">
        <v>12.530503664852063</v>
      </c>
      <c r="N866">
        <v>0.37441090693917656</v>
      </c>
      <c r="O866">
        <v>0.12335363124019633</v>
      </c>
      <c r="P866">
        <v>16.971731796968548</v>
      </c>
      <c r="Q866">
        <v>12.496953941607975</v>
      </c>
      <c r="R866">
        <v>0.39988731697864727</v>
      </c>
      <c r="S866">
        <v>0.13181032624341177</v>
      </c>
      <c r="T866">
        <v>16.971348415169953</v>
      </c>
      <c r="U866">
        <v>1550.1459392097249</v>
      </c>
      <c r="V866">
        <v>9.7858053136423493</v>
      </c>
      <c r="W866">
        <v>1309.4950238886572</v>
      </c>
      <c r="X866">
        <v>7.284484005141981</v>
      </c>
      <c r="Y866">
        <v>2900.7867713072987</v>
      </c>
      <c r="Z866">
        <v>9.8266467818171499</v>
      </c>
      <c r="AA866">
        <v>2743.7216255950739</v>
      </c>
      <c r="AB866">
        <v>7.3091949240637994</v>
      </c>
      <c r="AC866">
        <v>2232.0114094692694</v>
      </c>
      <c r="AD866">
        <v>9.8106628267104465</v>
      </c>
      <c r="AE866">
        <v>2039.3544702005161</v>
      </c>
      <c r="AF866">
        <v>7.2995346676634769</v>
      </c>
      <c r="AG866">
        <v>2134.4445609850504</v>
      </c>
      <c r="AH866">
        <v>9.8044314729356721</v>
      </c>
      <c r="AI866">
        <v>1926.317061428422</v>
      </c>
      <c r="AJ866">
        <v>7.2957648828743</v>
      </c>
    </row>
    <row r="867" spans="4:36" x14ac:dyDescent="0.55000000000000004">
      <c r="D867">
        <v>860</v>
      </c>
      <c r="E867">
        <v>12.968779435301547</v>
      </c>
      <c r="F867">
        <v>0.45707110241390664</v>
      </c>
      <c r="G867">
        <v>0.17115163995248026</v>
      </c>
      <c r="H867">
        <v>16.402997822332075</v>
      </c>
      <c r="I867">
        <v>13.208085677927615</v>
      </c>
      <c r="J867">
        <v>0.2917325703862747</v>
      </c>
      <c r="K867">
        <v>0.1088532939181838</v>
      </c>
      <c r="L867">
        <v>16.391328457767912</v>
      </c>
      <c r="M867">
        <v>13.108587954893931</v>
      </c>
      <c r="N867">
        <v>0.36052008439317879</v>
      </c>
      <c r="O867">
        <v>0.1347174313598539</v>
      </c>
      <c r="P867">
        <v>16.39617452935304</v>
      </c>
      <c r="Q867">
        <v>13.072653557472028</v>
      </c>
      <c r="R867">
        <v>0.38534798771887679</v>
      </c>
      <c r="S867">
        <v>0.14407171712473105</v>
      </c>
      <c r="T867">
        <v>16.397926737684358</v>
      </c>
      <c r="U867">
        <v>1550.749811030342</v>
      </c>
      <c r="V867">
        <v>10.287674910690912</v>
      </c>
      <c r="W867">
        <v>1307.9293112512269</v>
      </c>
      <c r="X867">
        <v>7.5946052688173937</v>
      </c>
      <c r="Y867">
        <v>2915.0047346264646</v>
      </c>
      <c r="Z867">
        <v>10.340974049158637</v>
      </c>
      <c r="AA867">
        <v>2753.3255958968771</v>
      </c>
      <c r="AB867">
        <v>7.6260952964155742</v>
      </c>
      <c r="AC867">
        <v>2223.4004574509599</v>
      </c>
      <c r="AD867">
        <v>10.318816065727166</v>
      </c>
      <c r="AE867">
        <v>2031.2275598590668</v>
      </c>
      <c r="AF867">
        <v>7.6130172999927783</v>
      </c>
      <c r="AG867">
        <v>2142.9334301002559</v>
      </c>
      <c r="AH867">
        <v>10.310812659866107</v>
      </c>
      <c r="AI867">
        <v>1930.6724355642916</v>
      </c>
      <c r="AJ867">
        <v>7.6082889259633015</v>
      </c>
    </row>
    <row r="868" spans="4:36" x14ac:dyDescent="0.55000000000000004">
      <c r="D868">
        <v>861</v>
      </c>
      <c r="E868">
        <v>12.140192288475554</v>
      </c>
      <c r="F868">
        <v>0.40860157010719911</v>
      </c>
      <c r="G868">
        <v>0.15127898088047737</v>
      </c>
      <c r="H868">
        <v>17.299927160536761</v>
      </c>
      <c r="I868">
        <v>12.324672924596813</v>
      </c>
      <c r="J868">
        <v>0.2787374936708189</v>
      </c>
      <c r="K868">
        <v>0.10290045096867104</v>
      </c>
      <c r="L868">
        <v>17.293689130763703</v>
      </c>
      <c r="M868">
        <v>12.23674113801046</v>
      </c>
      <c r="N868">
        <v>0.34066353260073828</v>
      </c>
      <c r="O868">
        <v>0.12593445754481161</v>
      </c>
      <c r="P868">
        <v>17.296660871844001</v>
      </c>
      <c r="Q868">
        <v>12.224324387366417</v>
      </c>
      <c r="R868">
        <v>0.34940409461376704</v>
      </c>
      <c r="S868">
        <v>0.12919077762287828</v>
      </c>
      <c r="T868">
        <v>17.297080740396925</v>
      </c>
      <c r="U868">
        <v>1496.9304493869286</v>
      </c>
      <c r="V868">
        <v>9.5779308992339356</v>
      </c>
      <c r="W868">
        <v>1280.2675560763907</v>
      </c>
      <c r="X868">
        <v>7.164785933635299</v>
      </c>
      <c r="Y868">
        <v>2871.4220152233656</v>
      </c>
      <c r="Z868">
        <v>9.6164832895412058</v>
      </c>
      <c r="AA868">
        <v>2727.706835953682</v>
      </c>
      <c r="AB868">
        <v>7.187903427061638</v>
      </c>
      <c r="AC868">
        <v>2171.0587185730328</v>
      </c>
      <c r="AD868">
        <v>9.5981086379129046</v>
      </c>
      <c r="AE868">
        <v>2000.6785719718439</v>
      </c>
      <c r="AF868">
        <v>7.1768939924565078</v>
      </c>
      <c r="AG868">
        <v>2059.2238696513759</v>
      </c>
      <c r="AH868">
        <v>9.5955138043731232</v>
      </c>
      <c r="AI868">
        <v>1878.4818155040286</v>
      </c>
      <c r="AJ868">
        <v>7.1753379875143741</v>
      </c>
    </row>
    <row r="869" spans="4:36" x14ac:dyDescent="0.55000000000000004">
      <c r="D869">
        <v>862</v>
      </c>
      <c r="E869">
        <v>13.603763366371798</v>
      </c>
      <c r="F869">
        <v>0.50892309236065025</v>
      </c>
      <c r="G869">
        <v>0.16224910590028152</v>
      </c>
      <c r="H869">
        <v>15.725064435367273</v>
      </c>
      <c r="I869">
        <v>13.856460120022868</v>
      </c>
      <c r="J869">
        <v>0.32655322560166516</v>
      </c>
      <c r="K869">
        <v>0.10375174784161352</v>
      </c>
      <c r="L869">
        <v>15.713234906533851</v>
      </c>
      <c r="M869">
        <v>13.769260498313626</v>
      </c>
      <c r="N869">
        <v>0.38952548395820941</v>
      </c>
      <c r="O869">
        <v>0.12390487732807876</v>
      </c>
      <c r="P869">
        <v>15.717309140400092</v>
      </c>
      <c r="Q869">
        <v>13.719537105850362</v>
      </c>
      <c r="R869">
        <v>0.42541467508673347</v>
      </c>
      <c r="S869">
        <v>0.13541215934319831</v>
      </c>
      <c r="T869">
        <v>15.719636059719694</v>
      </c>
      <c r="U869">
        <v>1576.5512587024339</v>
      </c>
      <c r="V869">
        <v>10.725115588617637</v>
      </c>
      <c r="W869">
        <v>1323.6615547480392</v>
      </c>
      <c r="X869">
        <v>7.8424134656956239</v>
      </c>
      <c r="Y869">
        <v>2920.1778682314171</v>
      </c>
      <c r="Z869">
        <v>10.779168655130302</v>
      </c>
      <c r="AA869">
        <v>2754.7536601814995</v>
      </c>
      <c r="AB869">
        <v>7.8738772240173969</v>
      </c>
      <c r="AC869">
        <v>2242.2046507694145</v>
      </c>
      <c r="AD869">
        <v>10.760520535609707</v>
      </c>
      <c r="AE869">
        <v>2043.2169043415131</v>
      </c>
      <c r="AF869">
        <v>7.8630340062564743</v>
      </c>
      <c r="AG869">
        <v>2148.8252717959886</v>
      </c>
      <c r="AH869">
        <v>10.749884892097697</v>
      </c>
      <c r="AI869">
        <v>1932.2823642876988</v>
      </c>
      <c r="AJ869">
        <v>7.8568442797079072</v>
      </c>
    </row>
    <row r="870" spans="4:36" x14ac:dyDescent="0.55000000000000004">
      <c r="D870">
        <v>863</v>
      </c>
      <c r="E870">
        <v>11.66796400795495</v>
      </c>
      <c r="F870">
        <v>0.39409713416707898</v>
      </c>
      <c r="G870">
        <v>0.15725234961724649</v>
      </c>
      <c r="H870">
        <v>17.780686508260715</v>
      </c>
      <c r="I870">
        <v>11.867185645203387</v>
      </c>
      <c r="J870">
        <v>0.25288966609008079</v>
      </c>
      <c r="K870">
        <v>0.10058512791762574</v>
      </c>
      <c r="L870">
        <v>17.779339560788902</v>
      </c>
      <c r="M870">
        <v>11.788989572557169</v>
      </c>
      <c r="N870">
        <v>0.3083450164829738</v>
      </c>
      <c r="O870">
        <v>0.12279577152664468</v>
      </c>
      <c r="P870">
        <v>17.779869639433223</v>
      </c>
      <c r="Q870">
        <v>11.738989165203767</v>
      </c>
      <c r="R870">
        <v>0.34378400324993597</v>
      </c>
      <c r="S870">
        <v>0.13701918507371505</v>
      </c>
      <c r="T870">
        <v>17.78020764647259</v>
      </c>
      <c r="U870">
        <v>1480.7266029475659</v>
      </c>
      <c r="V870">
        <v>9.2880093939929598</v>
      </c>
      <c r="W870">
        <v>1268.9928698642757</v>
      </c>
      <c r="X870">
        <v>7.0009468264339496</v>
      </c>
      <c r="Y870">
        <v>2854.8476909019228</v>
      </c>
      <c r="Z870">
        <v>9.3286492952666435</v>
      </c>
      <c r="AA870">
        <v>2717.1402101942058</v>
      </c>
      <c r="AB870">
        <v>7.0258153399018424</v>
      </c>
      <c r="AC870">
        <v>2176.989717808523</v>
      </c>
      <c r="AD870">
        <v>9.3126967049298344</v>
      </c>
      <c r="AE870">
        <v>2007.5035944122012</v>
      </c>
      <c r="AF870">
        <v>7.0160644258176665</v>
      </c>
      <c r="AG870">
        <v>2068.9313780463572</v>
      </c>
      <c r="AH870">
        <v>9.3024969901017478</v>
      </c>
      <c r="AI870">
        <v>1886.026665025785</v>
      </c>
      <c r="AJ870">
        <v>7.009822594959922</v>
      </c>
    </row>
    <row r="871" spans="4:36" x14ac:dyDescent="0.55000000000000004">
      <c r="D871">
        <v>864</v>
      </c>
      <c r="E871">
        <v>12.552305027922463</v>
      </c>
      <c r="F871">
        <v>0.43316461013492535</v>
      </c>
      <c r="G871">
        <v>0.18453850873230143</v>
      </c>
      <c r="H871">
        <v>16.829991853210306</v>
      </c>
      <c r="I871">
        <v>12.782432093574471</v>
      </c>
      <c r="J871">
        <v>0.27955060997195719</v>
      </c>
      <c r="K871">
        <v>0.11868457844077851</v>
      </c>
      <c r="L871">
        <v>16.819332718012795</v>
      </c>
      <c r="M871">
        <v>12.73805309234818</v>
      </c>
      <c r="N871">
        <v>0.30920215454554456</v>
      </c>
      <c r="O871">
        <v>0.13136023462433072</v>
      </c>
      <c r="P871">
        <v>16.821384518481945</v>
      </c>
      <c r="Q871">
        <v>12.666770608358256</v>
      </c>
      <c r="R871">
        <v>0.35680144130796915</v>
      </c>
      <c r="S871">
        <v>0.15174403394328462</v>
      </c>
      <c r="T871">
        <v>16.824683916390498</v>
      </c>
      <c r="U871">
        <v>1534.0996081542698</v>
      </c>
      <c r="V871">
        <v>9.9207172130090733</v>
      </c>
      <c r="W871">
        <v>1299.6239770078955</v>
      </c>
      <c r="X871">
        <v>7.3698809503292351</v>
      </c>
      <c r="Y871">
        <v>2903.7752796106247</v>
      </c>
      <c r="Z871">
        <v>9.9706698723292853</v>
      </c>
      <c r="AA871">
        <v>2747.4343737268232</v>
      </c>
      <c r="AB871">
        <v>7.3995180289027953</v>
      </c>
      <c r="AC871">
        <v>2183.5812942930907</v>
      </c>
      <c r="AD871">
        <v>9.9610386391596837</v>
      </c>
      <c r="AE871">
        <v>2007.3593414297377</v>
      </c>
      <c r="AF871">
        <v>7.3938117948028035</v>
      </c>
      <c r="AG871">
        <v>2108.0759863900303</v>
      </c>
      <c r="AH871">
        <v>9.9455668380644937</v>
      </c>
      <c r="AI871">
        <v>1908.9155304198318</v>
      </c>
      <c r="AJ871">
        <v>7.3846372210788278</v>
      </c>
    </row>
    <row r="872" spans="4:36" x14ac:dyDescent="0.55000000000000004">
      <c r="D872">
        <v>865</v>
      </c>
      <c r="E872">
        <v>12.437975739073329</v>
      </c>
      <c r="F872">
        <v>0.47989726436601104</v>
      </c>
      <c r="G872">
        <v>0.15602849601426408</v>
      </c>
      <c r="H872">
        <v>16.926098500546406</v>
      </c>
      <c r="I872">
        <v>12.686045084851282</v>
      </c>
      <c r="J872">
        <v>0.29379540596913367</v>
      </c>
      <c r="K872">
        <v>9.5185555725234322E-2</v>
      </c>
      <c r="L872">
        <v>16.924973953454348</v>
      </c>
      <c r="M872">
        <v>12.595697818995607</v>
      </c>
      <c r="N872">
        <v>0.36161324088573821</v>
      </c>
      <c r="O872">
        <v>0.1173071797017433</v>
      </c>
      <c r="P872">
        <v>16.925381760416911</v>
      </c>
      <c r="Q872">
        <v>12.532296133585886</v>
      </c>
      <c r="R872">
        <v>0.4091780315382087</v>
      </c>
      <c r="S872">
        <v>0.13285669847596149</v>
      </c>
      <c r="T872">
        <v>16.925669136399925</v>
      </c>
      <c r="U872">
        <v>1522.7699615247188</v>
      </c>
      <c r="V872">
        <v>9.832128269334973</v>
      </c>
      <c r="W872">
        <v>1292.1499403631403</v>
      </c>
      <c r="X872">
        <v>7.314050913386442</v>
      </c>
      <c r="Y872">
        <v>2863.3623148359893</v>
      </c>
      <c r="Z872">
        <v>9.87940538524205</v>
      </c>
      <c r="AA872">
        <v>2719.0960063047578</v>
      </c>
      <c r="AB872">
        <v>7.3424862439422114</v>
      </c>
      <c r="AC872">
        <v>2210.7241702835372</v>
      </c>
      <c r="AD872">
        <v>9.8621869980409311</v>
      </c>
      <c r="AE872">
        <v>2027.0362149407363</v>
      </c>
      <c r="AF872">
        <v>7.3321432008829657</v>
      </c>
      <c r="AG872">
        <v>2115.1580535153489</v>
      </c>
      <c r="AH872">
        <v>9.8501038905163973</v>
      </c>
      <c r="AI872">
        <v>1914.0832562721539</v>
      </c>
      <c r="AJ872">
        <v>7.3248759578366185</v>
      </c>
    </row>
    <row r="873" spans="4:36" x14ac:dyDescent="0.55000000000000004">
      <c r="D873">
        <v>866</v>
      </c>
      <c r="E873">
        <v>12.015732371581953</v>
      </c>
      <c r="F873">
        <v>0.44837207051087585</v>
      </c>
      <c r="G873">
        <v>0.16190226484820591</v>
      </c>
      <c r="H873">
        <v>17.373993293058984</v>
      </c>
      <c r="I873">
        <v>12.20939383875659</v>
      </c>
      <c r="J873">
        <v>0.30115802696451616</v>
      </c>
      <c r="K873">
        <v>0.1084333578405462</v>
      </c>
      <c r="L873">
        <v>17.381014776438334</v>
      </c>
      <c r="M873">
        <v>12.140129822014673</v>
      </c>
      <c r="N873">
        <v>0.3538333642553253</v>
      </c>
      <c r="O873">
        <v>0.12752960052098303</v>
      </c>
      <c r="P873">
        <v>17.378507213209033</v>
      </c>
      <c r="Q873">
        <v>12.1131430729448</v>
      </c>
      <c r="R873">
        <v>0.37434975482567723</v>
      </c>
      <c r="S873">
        <v>0.13497807270188761</v>
      </c>
      <c r="T873">
        <v>17.377529099527628</v>
      </c>
      <c r="U873">
        <v>1490.3593998070589</v>
      </c>
      <c r="V873">
        <v>9.4927999051783001</v>
      </c>
      <c r="W873">
        <v>1270.955167597393</v>
      </c>
      <c r="X873">
        <v>7.1094459450634018</v>
      </c>
      <c r="Y873">
        <v>2880.2003471499984</v>
      </c>
      <c r="Z873">
        <v>9.5254454573821441</v>
      </c>
      <c r="AA873">
        <v>2731.6973340924542</v>
      </c>
      <c r="AB873">
        <v>7.1294747035895512</v>
      </c>
      <c r="AC873">
        <v>2214.0803305315349</v>
      </c>
      <c r="AD873">
        <v>9.5137677447147411</v>
      </c>
      <c r="AE873">
        <v>2030.9801661145264</v>
      </c>
      <c r="AF873">
        <v>7.1223182333086736</v>
      </c>
      <c r="AG873">
        <v>2100.8216998935382</v>
      </c>
      <c r="AH873">
        <v>9.5092184166600191</v>
      </c>
      <c r="AI873">
        <v>1906.7898016999497</v>
      </c>
      <c r="AJ873">
        <v>7.1195278432755806</v>
      </c>
    </row>
    <row r="874" spans="4:36" x14ac:dyDescent="0.55000000000000004">
      <c r="D874">
        <v>867</v>
      </c>
      <c r="E874">
        <v>13.615077925071525</v>
      </c>
      <c r="F874">
        <v>0.489289651483025</v>
      </c>
      <c r="G874">
        <v>0.1860759828083548</v>
      </c>
      <c r="H874">
        <v>15.709556440637078</v>
      </c>
      <c r="I874">
        <v>13.844558006740568</v>
      </c>
      <c r="J874">
        <v>0.32798066780941759</v>
      </c>
      <c r="K874">
        <v>0.12434073618229016</v>
      </c>
      <c r="L874">
        <v>15.70312058926773</v>
      </c>
      <c r="M874">
        <v>13.772656210469028</v>
      </c>
      <c r="N874">
        <v>0.37855635769794638</v>
      </c>
      <c r="O874">
        <v>0.14365458595833028</v>
      </c>
      <c r="P874">
        <v>15.705132845874708</v>
      </c>
      <c r="Q874">
        <v>13.694126141743885</v>
      </c>
      <c r="R874">
        <v>0.43375944558858853</v>
      </c>
      <c r="S874">
        <v>0.16477938691716373</v>
      </c>
      <c r="T874">
        <v>15.707335025750357</v>
      </c>
      <c r="U874">
        <v>1593.9023403321398</v>
      </c>
      <c r="V874">
        <v>10.838319488029025</v>
      </c>
      <c r="W874">
        <v>1333.5701946591048</v>
      </c>
      <c r="X874">
        <v>7.9240791623719442</v>
      </c>
      <c r="Y874">
        <v>2922.1912272623731</v>
      </c>
      <c r="Z874">
        <v>10.887600591689074</v>
      </c>
      <c r="AA874">
        <v>2753.4013987405324</v>
      </c>
      <c r="AB874">
        <v>7.9529170791429209</v>
      </c>
      <c r="AC874">
        <v>2244.9897186259445</v>
      </c>
      <c r="AD874">
        <v>10.872161843051122</v>
      </c>
      <c r="AE874">
        <v>2042.8045538228582</v>
      </c>
      <c r="AF874">
        <v>7.9438922350328216</v>
      </c>
      <c r="AG874">
        <v>2170.5657653565981</v>
      </c>
      <c r="AH874">
        <v>10.855297541318178</v>
      </c>
      <c r="AI874">
        <v>1944.117853921276</v>
      </c>
      <c r="AJ874">
        <v>7.9340242232203364</v>
      </c>
    </row>
    <row r="875" spans="4:36" x14ac:dyDescent="0.55000000000000004">
      <c r="D875">
        <v>868</v>
      </c>
      <c r="E875">
        <v>11.923665869001827</v>
      </c>
      <c r="F875">
        <v>0.41842326494379067</v>
      </c>
      <c r="G875">
        <v>0.17260607847468964</v>
      </c>
      <c r="H875">
        <v>17.485304787579704</v>
      </c>
      <c r="I875">
        <v>12.137343437745182</v>
      </c>
      <c r="J875">
        <v>0.2627413649072905</v>
      </c>
      <c r="K875">
        <v>0.10803151089893738</v>
      </c>
      <c r="L875">
        <v>17.491883686448578</v>
      </c>
      <c r="M875">
        <v>12.044774880269205</v>
      </c>
      <c r="N875">
        <v>0.3302189740278601</v>
      </c>
      <c r="O875">
        <v>0.13596775777412326</v>
      </c>
      <c r="P875">
        <v>17.489038387928808</v>
      </c>
      <c r="Q875">
        <v>11.968188270492734</v>
      </c>
      <c r="R875">
        <v>0.38600769656764605</v>
      </c>
      <c r="S875">
        <v>0.15912522394686365</v>
      </c>
      <c r="T875">
        <v>17.486678808992764</v>
      </c>
      <c r="U875">
        <v>1535.608734251035</v>
      </c>
      <c r="V875">
        <v>9.4084348667727014</v>
      </c>
      <c r="W875">
        <v>1303.6948437120141</v>
      </c>
      <c r="X875">
        <v>7.0576176573680831</v>
      </c>
      <c r="Y875">
        <v>2884.1416296533948</v>
      </c>
      <c r="Z875">
        <v>9.4439933118262989</v>
      </c>
      <c r="AA875">
        <v>2735.398703604727</v>
      </c>
      <c r="AB875">
        <v>7.0795059658356756</v>
      </c>
      <c r="AC875">
        <v>2221.7406357603686</v>
      </c>
      <c r="AD875">
        <v>9.4285859773058345</v>
      </c>
      <c r="AE875">
        <v>2035.6752226404774</v>
      </c>
      <c r="AF875">
        <v>7.0700324724649297</v>
      </c>
      <c r="AG875">
        <v>2124.9923024727873</v>
      </c>
      <c r="AH875">
        <v>9.4158419979323824</v>
      </c>
      <c r="AI875">
        <v>1920.586606307387</v>
      </c>
      <c r="AJ875">
        <v>7.0621843448469717</v>
      </c>
    </row>
    <row r="876" spans="4:36" x14ac:dyDescent="0.55000000000000004">
      <c r="D876">
        <v>869</v>
      </c>
      <c r="E876">
        <v>12.834849538550252</v>
      </c>
      <c r="F876">
        <v>0.4578922809595804</v>
      </c>
      <c r="G876">
        <v>0.17703218626196235</v>
      </c>
      <c r="H876">
        <v>16.530225994228211</v>
      </c>
      <c r="I876">
        <v>13.042908050274189</v>
      </c>
      <c r="J876">
        <v>0.30605489833140914</v>
      </c>
      <c r="K876">
        <v>0.11797150419399913</v>
      </c>
      <c r="L876">
        <v>16.533065547200408</v>
      </c>
      <c r="M876">
        <v>12.944916244774161</v>
      </c>
      <c r="N876">
        <v>0.3775985558206133</v>
      </c>
      <c r="O876">
        <v>0.14575498670073686</v>
      </c>
      <c r="P876">
        <v>16.531730212704481</v>
      </c>
      <c r="Q876">
        <v>12.899716692212472</v>
      </c>
      <c r="R876">
        <v>0.41058012262331955</v>
      </c>
      <c r="S876">
        <v>0.1585901300671419</v>
      </c>
      <c r="T876">
        <v>16.531113055097066</v>
      </c>
      <c r="U876">
        <v>1580.1856722296782</v>
      </c>
      <c r="V876">
        <v>10.180316547809008</v>
      </c>
      <c r="W876">
        <v>1327.2609477526416</v>
      </c>
      <c r="X876">
        <v>7.5290507734125613</v>
      </c>
      <c r="Y876">
        <v>2916.1639331841998</v>
      </c>
      <c r="Z876">
        <v>10.220970330181911</v>
      </c>
      <c r="AA876">
        <v>2751.451445563654</v>
      </c>
      <c r="AB876">
        <v>7.5535395744022367</v>
      </c>
      <c r="AC876">
        <v>2259.0487193643216</v>
      </c>
      <c r="AD876">
        <v>10.20182146838812</v>
      </c>
      <c r="AE876">
        <v>2054.3400094849321</v>
      </c>
      <c r="AF876">
        <v>7.5420149576408804</v>
      </c>
      <c r="AG876">
        <v>2131.109453468654</v>
      </c>
      <c r="AH876">
        <v>10.192989889107638</v>
      </c>
      <c r="AI876">
        <v>1917.6965437205472</v>
      </c>
      <c r="AJ876">
        <v>7.5366936460386231</v>
      </c>
    </row>
    <row r="877" spans="4:36" x14ac:dyDescent="0.55000000000000004">
      <c r="D877">
        <v>870</v>
      </c>
      <c r="E877">
        <v>12.536764152603579</v>
      </c>
      <c r="F877">
        <v>0.4739392617372542</v>
      </c>
      <c r="G877">
        <v>0.17469701142092955</v>
      </c>
      <c r="H877">
        <v>16.814599574238226</v>
      </c>
      <c r="I877">
        <v>12.785881197330554</v>
      </c>
      <c r="J877">
        <v>0.28945414400846031</v>
      </c>
      <c r="K877">
        <v>0.10630893029541841</v>
      </c>
      <c r="L877">
        <v>16.818355728365578</v>
      </c>
      <c r="M877">
        <v>12.692892613680613</v>
      </c>
      <c r="N877">
        <v>0.35835835341827693</v>
      </c>
      <c r="O877">
        <v>0.13179277450465446</v>
      </c>
      <c r="P877">
        <v>16.816956258396477</v>
      </c>
      <c r="Q877">
        <v>12.633939166450896</v>
      </c>
      <c r="R877">
        <v>0.40201746688363232</v>
      </c>
      <c r="S877">
        <v>0.14797595053376544</v>
      </c>
      <c r="T877">
        <v>16.816067416131688</v>
      </c>
      <c r="U877">
        <v>1535.2008528087617</v>
      </c>
      <c r="V877">
        <v>9.959821546480498</v>
      </c>
      <c r="W877">
        <v>1298.7661852379933</v>
      </c>
      <c r="X877">
        <v>7.3968729832781124</v>
      </c>
      <c r="Y877">
        <v>2880.2938938862421</v>
      </c>
      <c r="Z877">
        <v>10.00578495740049</v>
      </c>
      <c r="AA877">
        <v>2730.1464330876779</v>
      </c>
      <c r="AB877">
        <v>7.4246462734669452</v>
      </c>
      <c r="AC877">
        <v>2209.6200232818614</v>
      </c>
      <c r="AD877">
        <v>9.9886263137825519</v>
      </c>
      <c r="AE877">
        <v>2024.0743628811911</v>
      </c>
      <c r="AF877">
        <v>7.4142914983178061</v>
      </c>
      <c r="AG877">
        <v>2112.165413072561</v>
      </c>
      <c r="AH877">
        <v>9.9777490574421819</v>
      </c>
      <c r="AI877">
        <v>1909.7138302374726</v>
      </c>
      <c r="AJ877">
        <v>7.4077192030528138</v>
      </c>
    </row>
    <row r="878" spans="4:36" x14ac:dyDescent="0.55000000000000004">
      <c r="D878">
        <v>871</v>
      </c>
      <c r="E878">
        <v>12.305498682152619</v>
      </c>
      <c r="F878">
        <v>0.5041106769966196</v>
      </c>
      <c r="G878">
        <v>0.18586866184328599</v>
      </c>
      <c r="H878">
        <v>17.004521979007489</v>
      </c>
      <c r="I878">
        <v>12.533763327511199</v>
      </c>
      <c r="J878">
        <v>0.31886884073480348</v>
      </c>
      <c r="K878">
        <v>0.11719169016246082</v>
      </c>
      <c r="L878">
        <v>17.030176141591546</v>
      </c>
      <c r="M878">
        <v>12.458581788216383</v>
      </c>
      <c r="N878">
        <v>0.37990565679194627</v>
      </c>
      <c r="O878">
        <v>0.13977123991740328</v>
      </c>
      <c r="P878">
        <v>17.021741315074273</v>
      </c>
      <c r="Q878">
        <v>12.407548392820408</v>
      </c>
      <c r="R878">
        <v>0.42132346367085644</v>
      </c>
      <c r="S878">
        <v>0.15512058193132719</v>
      </c>
      <c r="T878">
        <v>17.016007561577418</v>
      </c>
      <c r="U878">
        <v>1573.827647298539</v>
      </c>
      <c r="V878">
        <v>9.7763023723563691</v>
      </c>
      <c r="W878">
        <v>1323.1227164845909</v>
      </c>
      <c r="X878">
        <v>7.280158628815502</v>
      </c>
      <c r="Y878">
        <v>2899.4037170202855</v>
      </c>
      <c r="Z878">
        <v>9.8056792173167686</v>
      </c>
      <c r="AA878">
        <v>2740.7544774458843</v>
      </c>
      <c r="AB878">
        <v>7.2990256847233059</v>
      </c>
      <c r="AC878">
        <v>2231.2907134309517</v>
      </c>
      <c r="AD878">
        <v>9.7959941270841071</v>
      </c>
      <c r="AE878">
        <v>2037.007979271337</v>
      </c>
      <c r="AF878">
        <v>7.292815894571377</v>
      </c>
      <c r="AG878">
        <v>2118.8249704977911</v>
      </c>
      <c r="AH878">
        <v>9.7894251599907722</v>
      </c>
      <c r="AI878">
        <v>1911.3431098523145</v>
      </c>
      <c r="AJ878">
        <v>7.2885982887377549</v>
      </c>
    </row>
    <row r="879" spans="4:36" x14ac:dyDescent="0.55000000000000004">
      <c r="D879">
        <v>872</v>
      </c>
      <c r="E879">
        <v>11.549559494632634</v>
      </c>
      <c r="F879">
        <v>0.41596392422465289</v>
      </c>
      <c r="G879">
        <v>0.14024556044567188</v>
      </c>
      <c r="H879">
        <v>17.894231020697028</v>
      </c>
      <c r="I879">
        <v>11.741638722726581</v>
      </c>
      <c r="J879">
        <v>0.27095762870444728</v>
      </c>
      <c r="K879">
        <v>9.1094004051938696E-2</v>
      </c>
      <c r="L879">
        <v>17.896309644517039</v>
      </c>
      <c r="M879">
        <v>11.682999619255822</v>
      </c>
      <c r="N879">
        <v>0.31524816100276609</v>
      </c>
      <c r="O879">
        <v>0.10607654282775088</v>
      </c>
      <c r="P879">
        <v>17.895675676913648</v>
      </c>
      <c r="Q879">
        <v>11.617281366582437</v>
      </c>
      <c r="R879">
        <v>0.36486256341167744</v>
      </c>
      <c r="S879">
        <v>0.12289152887995906</v>
      </c>
      <c r="T879">
        <v>17.894964541125919</v>
      </c>
      <c r="U879">
        <v>1485.1966370901912</v>
      </c>
      <c r="V879">
        <v>9.1798021373877567</v>
      </c>
      <c r="W879">
        <v>1274.6957463382162</v>
      </c>
      <c r="X879">
        <v>6.9309051539238347</v>
      </c>
      <c r="Y879">
        <v>2859.6378543163942</v>
      </c>
      <c r="Z879">
        <v>9.2128793450833975</v>
      </c>
      <c r="AA879">
        <v>2721.9194671860105</v>
      </c>
      <c r="AB879">
        <v>6.9511151841259915</v>
      </c>
      <c r="AC879">
        <v>2163.7462942751358</v>
      </c>
      <c r="AD879">
        <v>9.2027813198812751</v>
      </c>
      <c r="AE879">
        <v>2000.0575136245645</v>
      </c>
      <c r="AF879">
        <v>6.9449527980870753</v>
      </c>
      <c r="AG879">
        <v>2067.1088310654477</v>
      </c>
      <c r="AH879">
        <v>9.1914642373311768</v>
      </c>
      <c r="AI879">
        <v>1886.4746671653054</v>
      </c>
      <c r="AJ879">
        <v>6.938038705771115</v>
      </c>
    </row>
    <row r="880" spans="4:36" x14ac:dyDescent="0.55000000000000004">
      <c r="D880">
        <v>873</v>
      </c>
      <c r="E880">
        <v>12.779125485639078</v>
      </c>
      <c r="F880">
        <v>0.45384093889142668</v>
      </c>
      <c r="G880">
        <v>0.17493999764925736</v>
      </c>
      <c r="H880">
        <v>16.592093577820233</v>
      </c>
      <c r="I880">
        <v>13.024481034915402</v>
      </c>
      <c r="J880">
        <v>0.28518254229167916</v>
      </c>
      <c r="K880">
        <v>0.1095519784382931</v>
      </c>
      <c r="L880">
        <v>16.580784444354627</v>
      </c>
      <c r="M880">
        <v>12.896680026060761</v>
      </c>
      <c r="N880">
        <v>0.37308158764067934</v>
      </c>
      <c r="O880">
        <v>0.14357319125712414</v>
      </c>
      <c r="P880">
        <v>16.58666519504143</v>
      </c>
      <c r="Q880">
        <v>12.861946678363886</v>
      </c>
      <c r="R880">
        <v>0.39695248060405014</v>
      </c>
      <c r="S880">
        <v>0.15283366405366131</v>
      </c>
      <c r="T880">
        <v>16.588267176978423</v>
      </c>
      <c r="U880">
        <v>1543.8637072431832</v>
      </c>
      <c r="V880">
        <v>9.9963026820159744</v>
      </c>
      <c r="W880">
        <v>1307.5709882310007</v>
      </c>
      <c r="X880">
        <v>7.3989419814455575</v>
      </c>
      <c r="Y880">
        <v>2898.8457457352924</v>
      </c>
      <c r="Z880">
        <v>10.044882037560543</v>
      </c>
      <c r="AA880">
        <v>2744.6936704761497</v>
      </c>
      <c r="AB880">
        <v>7.4274226361701494</v>
      </c>
      <c r="AC880">
        <v>2205.4902427494521</v>
      </c>
      <c r="AD880">
        <v>10.019583855920219</v>
      </c>
      <c r="AE880">
        <v>2020.5751451837079</v>
      </c>
      <c r="AF880">
        <v>7.4126032526413672</v>
      </c>
      <c r="AG880">
        <v>2116.3079351864394</v>
      </c>
      <c r="AH880">
        <v>10.012706197146166</v>
      </c>
      <c r="AI880">
        <v>1913.9160306537533</v>
      </c>
      <c r="AJ880">
        <v>7.4085698317206603</v>
      </c>
    </row>
    <row r="881" spans="4:36" x14ac:dyDescent="0.55000000000000004">
      <c r="D881">
        <v>874</v>
      </c>
      <c r="E881">
        <v>12.871455066366046</v>
      </c>
      <c r="F881">
        <v>0.43067978178000904</v>
      </c>
      <c r="G881">
        <v>0.16430364507678794</v>
      </c>
      <c r="H881">
        <v>16.533561506777158</v>
      </c>
      <c r="I881">
        <v>13.092097377028486</v>
      </c>
      <c r="J881">
        <v>0.28295590001143001</v>
      </c>
      <c r="K881">
        <v>0.10759846572718619</v>
      </c>
      <c r="L881">
        <v>16.517348257232889</v>
      </c>
      <c r="M881">
        <v>12.999603017595739</v>
      </c>
      <c r="N881">
        <v>0.34492171518020776</v>
      </c>
      <c r="O881">
        <v>0.13133926473029789</v>
      </c>
      <c r="P881">
        <v>16.524136002493766</v>
      </c>
      <c r="Q881">
        <v>12.944467683711103</v>
      </c>
      <c r="R881">
        <v>0.38183229838938004</v>
      </c>
      <c r="S881">
        <v>0.14551176452920309</v>
      </c>
      <c r="T881">
        <v>16.528188253370303</v>
      </c>
      <c r="U881">
        <v>1550.7737344919813</v>
      </c>
      <c r="V881">
        <v>10.074973396252444</v>
      </c>
      <c r="W881">
        <v>1310.4442949806701</v>
      </c>
      <c r="X881">
        <v>7.4509629760441793</v>
      </c>
      <c r="Y881">
        <v>2894.1794784799908</v>
      </c>
      <c r="Z881">
        <v>10.124165193650736</v>
      </c>
      <c r="AA881">
        <v>2738.8674399395295</v>
      </c>
      <c r="AB881">
        <v>7.4797051854892631</v>
      </c>
      <c r="AC881">
        <v>2234.228848687716</v>
      </c>
      <c r="AD881">
        <v>10.103549151008524</v>
      </c>
      <c r="AE881">
        <v>2040.8427246302874</v>
      </c>
      <c r="AF881">
        <v>7.4676701491284208</v>
      </c>
      <c r="AG881">
        <v>2107.0949363767322</v>
      </c>
      <c r="AH881">
        <v>10.091256349484228</v>
      </c>
      <c r="AI881">
        <v>1904.724968095803</v>
      </c>
      <c r="AJ881">
        <v>7.4604866617478196</v>
      </c>
    </row>
    <row r="882" spans="4:36" x14ac:dyDescent="0.55000000000000004">
      <c r="D882">
        <v>875</v>
      </c>
      <c r="E882">
        <v>13.171597774965734</v>
      </c>
      <c r="F882">
        <v>0.48858803839699094</v>
      </c>
      <c r="G882">
        <v>0.17068091148051323</v>
      </c>
      <c r="H882">
        <v>16.169133275156774</v>
      </c>
      <c r="I882">
        <v>13.380921788186168</v>
      </c>
      <c r="J882">
        <v>0.33487728000390271</v>
      </c>
      <c r="K882">
        <v>0.11665468441956635</v>
      </c>
      <c r="L882">
        <v>16.167546247390362</v>
      </c>
      <c r="M882">
        <v>13.29939626262296</v>
      </c>
      <c r="N882">
        <v>0.39477215960766793</v>
      </c>
      <c r="O882">
        <v>0.13766972444613287</v>
      </c>
      <c r="P882">
        <v>16.168161853323234</v>
      </c>
      <c r="Q882">
        <v>13.249956003829107</v>
      </c>
      <c r="R882">
        <v>0.43107673142496727</v>
      </c>
      <c r="S882">
        <v>0.15043053924043034</v>
      </c>
      <c r="T882">
        <v>16.16853672550549</v>
      </c>
      <c r="U882">
        <v>1594.1725239352393</v>
      </c>
      <c r="V882">
        <v>10.367314884617173</v>
      </c>
      <c r="W882">
        <v>1336.6571341287245</v>
      </c>
      <c r="X882">
        <v>7.6269736827583863</v>
      </c>
      <c r="Y882">
        <v>2922.7187060304877</v>
      </c>
      <c r="Z882">
        <v>10.4064197256635</v>
      </c>
      <c r="AA882">
        <v>2755.0502060012182</v>
      </c>
      <c r="AB882">
        <v>7.6501065692240866</v>
      </c>
      <c r="AC882">
        <v>2263.6742305538901</v>
      </c>
      <c r="AD882">
        <v>10.391190685887034</v>
      </c>
      <c r="AE882">
        <v>2057.6081851655131</v>
      </c>
      <c r="AF882">
        <v>7.6411058991892666</v>
      </c>
      <c r="AG882">
        <v>2134.3181215735403</v>
      </c>
      <c r="AH882">
        <v>10.381954495262434</v>
      </c>
      <c r="AI882">
        <v>1919.9138511348267</v>
      </c>
      <c r="AJ882">
        <v>7.635642026158</v>
      </c>
    </row>
    <row r="883" spans="4:36" x14ac:dyDescent="0.55000000000000004">
      <c r="D883">
        <v>876</v>
      </c>
      <c r="E883">
        <v>12.614899625096207</v>
      </c>
      <c r="F883">
        <v>0.46620821081089248</v>
      </c>
      <c r="G883">
        <v>0.16078672306591896</v>
      </c>
      <c r="H883">
        <v>16.758105441026967</v>
      </c>
      <c r="I883">
        <v>12.829889456669953</v>
      </c>
      <c r="J883">
        <v>0.30186795330811494</v>
      </c>
      <c r="K883">
        <v>0.10378930652281013</v>
      </c>
      <c r="L883">
        <v>16.76445328349914</v>
      </c>
      <c r="M883">
        <v>12.744389694120217</v>
      </c>
      <c r="N883">
        <v>0.36725364070269573</v>
      </c>
      <c r="O883">
        <v>0.12642421216735206</v>
      </c>
      <c r="P883">
        <v>16.761932453009745</v>
      </c>
      <c r="Q883">
        <v>12.683887489540215</v>
      </c>
      <c r="R883">
        <v>0.41349955103705116</v>
      </c>
      <c r="S883">
        <v>0.14246723187864341</v>
      </c>
      <c r="T883">
        <v>16.760145727544099</v>
      </c>
      <c r="U883">
        <v>1573.1160857844263</v>
      </c>
      <c r="V883">
        <v>10.058452820946195</v>
      </c>
      <c r="W883">
        <v>1327.1162051777442</v>
      </c>
      <c r="X883">
        <v>7.4629433228928104</v>
      </c>
      <c r="Y883">
        <v>2892.1429040056582</v>
      </c>
      <c r="Z883">
        <v>10.096338070435097</v>
      </c>
      <c r="AA883">
        <v>2737.6753104534191</v>
      </c>
      <c r="AB883">
        <v>7.4858913169680905</v>
      </c>
      <c r="AC883">
        <v>2248.182509628276</v>
      </c>
      <c r="AD883">
        <v>10.081269489852854</v>
      </c>
      <c r="AE883">
        <v>2051.7296369569663</v>
      </c>
      <c r="AF883">
        <v>7.4767737108953503</v>
      </c>
      <c r="AG883">
        <v>2129.5721485929416</v>
      </c>
      <c r="AH883">
        <v>10.0706080330931</v>
      </c>
      <c r="AI883">
        <v>1921.3578636895645</v>
      </c>
      <c r="AJ883">
        <v>7.4703149550210357</v>
      </c>
    </row>
    <row r="884" spans="4:36" x14ac:dyDescent="0.55000000000000004">
      <c r="D884">
        <v>877</v>
      </c>
      <c r="E884">
        <v>12.549219717225824</v>
      </c>
      <c r="F884">
        <v>0.44762722057326815</v>
      </c>
      <c r="G884">
        <v>0.16494818500778408</v>
      </c>
      <c r="H884">
        <v>16.838204877193121</v>
      </c>
      <c r="I884">
        <v>12.730832979705989</v>
      </c>
      <c r="J884">
        <v>0.30883740901881485</v>
      </c>
      <c r="K884">
        <v>0.11350143458850227</v>
      </c>
      <c r="L884">
        <v>16.846828176686685</v>
      </c>
      <c r="M884">
        <v>12.638747054961673</v>
      </c>
      <c r="N884">
        <v>0.37923156631507654</v>
      </c>
      <c r="O884">
        <v>0.13956038688499911</v>
      </c>
      <c r="P884">
        <v>16.842460991838252</v>
      </c>
      <c r="Q884">
        <v>12.566777360900787</v>
      </c>
      <c r="R884">
        <v>0.43421714659992611</v>
      </c>
      <c r="S884">
        <v>0.15996512445250918</v>
      </c>
      <c r="T884">
        <v>16.839040368046785</v>
      </c>
      <c r="U884">
        <v>1566.9422845600095</v>
      </c>
      <c r="V884">
        <v>9.8869964249020477</v>
      </c>
      <c r="W884">
        <v>1319.9674430266527</v>
      </c>
      <c r="X884">
        <v>7.3429904758730773</v>
      </c>
      <c r="Y884">
        <v>2902.5175187394957</v>
      </c>
      <c r="Z884">
        <v>9.9154363669145305</v>
      </c>
      <c r="AA884">
        <v>2742.12867520692</v>
      </c>
      <c r="AB884">
        <v>7.3604544561768579</v>
      </c>
      <c r="AC884">
        <v>2238.7511168003266</v>
      </c>
      <c r="AD884">
        <v>9.9010131116379174</v>
      </c>
      <c r="AE884">
        <v>2040.4132878774487</v>
      </c>
      <c r="AF884">
        <v>7.3516047053057179</v>
      </c>
      <c r="AG884">
        <v>2150.3000974013889</v>
      </c>
      <c r="AH884">
        <v>9.8897448504559353</v>
      </c>
      <c r="AI884">
        <v>1931.3558760994692</v>
      </c>
      <c r="AJ884">
        <v>7.3446806665172781</v>
      </c>
    </row>
    <row r="885" spans="4:36" x14ac:dyDescent="0.55000000000000004">
      <c r="D885">
        <v>878</v>
      </c>
      <c r="E885">
        <v>12.537325229581377</v>
      </c>
      <c r="F885">
        <v>0.45096308279399155</v>
      </c>
      <c r="G885">
        <v>0.14142106431112023</v>
      </c>
      <c r="H885">
        <v>16.870290623313494</v>
      </c>
      <c r="I885">
        <v>12.747185260252888</v>
      </c>
      <c r="J885">
        <v>0.29521294082034344</v>
      </c>
      <c r="K885">
        <v>9.2315449010623843E-2</v>
      </c>
      <c r="L885">
        <v>16.865286349916143</v>
      </c>
      <c r="M885">
        <v>12.677643436966733</v>
      </c>
      <c r="N885">
        <v>0.34685164506920541</v>
      </c>
      <c r="O885">
        <v>0.10856500818886858</v>
      </c>
      <c r="P885">
        <v>16.866939909775194</v>
      </c>
      <c r="Q885">
        <v>12.6094090099516</v>
      </c>
      <c r="R885">
        <v>0.39749320084753748</v>
      </c>
      <c r="S885">
        <v>0.12453087545996326</v>
      </c>
      <c r="T885">
        <v>16.868566913740906</v>
      </c>
      <c r="U885">
        <v>1554.4861715272889</v>
      </c>
      <c r="V885">
        <v>9.9410493972994178</v>
      </c>
      <c r="W885">
        <v>1316.1356780854044</v>
      </c>
      <c r="X885">
        <v>7.3881416600599845</v>
      </c>
      <c r="Y885">
        <v>2883.7756614901768</v>
      </c>
      <c r="Z885">
        <v>9.9825992691566316</v>
      </c>
      <c r="AA885">
        <v>2733.0660898827191</v>
      </c>
      <c r="AB885">
        <v>7.4127731943978148</v>
      </c>
      <c r="AC885">
        <v>2219.3329449964194</v>
      </c>
      <c r="AD885">
        <v>9.9688334192871455</v>
      </c>
      <c r="AE885">
        <v>2033.1339609483982</v>
      </c>
      <c r="AF885">
        <v>7.404621061765325</v>
      </c>
      <c r="AG885">
        <v>2134.5395307042741</v>
      </c>
      <c r="AH885">
        <v>9.9553238425782382</v>
      </c>
      <c r="AI885">
        <v>1927.8338430021668</v>
      </c>
      <c r="AJ885">
        <v>7.39661251364788</v>
      </c>
    </row>
    <row r="886" spans="4:36" x14ac:dyDescent="0.55000000000000004">
      <c r="D886">
        <v>879</v>
      </c>
      <c r="E886">
        <v>11.297885886785183</v>
      </c>
      <c r="F886">
        <v>0.45706105331611274</v>
      </c>
      <c r="G886">
        <v>0.1567490385301443</v>
      </c>
      <c r="H886">
        <v>18.088304021368565</v>
      </c>
      <c r="I886">
        <v>11.495515606398044</v>
      </c>
      <c r="J886">
        <v>0.29065144347917704</v>
      </c>
      <c r="K886">
        <v>9.936262895477585E-2</v>
      </c>
      <c r="L886">
        <v>18.114470321168014</v>
      </c>
      <c r="M886">
        <v>11.422655831091014</v>
      </c>
      <c r="N886">
        <v>0.35201941334915549</v>
      </c>
      <c r="O886">
        <v>0.12048244076281001</v>
      </c>
      <c r="P886">
        <v>18.104842314797025</v>
      </c>
      <c r="Q886">
        <v>11.380971662792362</v>
      </c>
      <c r="R886">
        <v>0.38711949665085932</v>
      </c>
      <c r="S886">
        <v>0.13258462506840296</v>
      </c>
      <c r="T886">
        <v>18.099324215488387</v>
      </c>
      <c r="U886">
        <v>1488.8498482019522</v>
      </c>
      <c r="V886">
        <v>8.8959529632414771</v>
      </c>
      <c r="W886">
        <v>1277.6557975922867</v>
      </c>
      <c r="X886">
        <v>6.7357118698015608</v>
      </c>
      <c r="Y886">
        <v>2828.4284742213908</v>
      </c>
      <c r="Z886">
        <v>8.9143883028839817</v>
      </c>
      <c r="AA886">
        <v>2698.8195816484185</v>
      </c>
      <c r="AB886">
        <v>6.7483330778060653</v>
      </c>
      <c r="AC886">
        <v>2128.3937116169623</v>
      </c>
      <c r="AD886">
        <v>8.9075812957113385</v>
      </c>
      <c r="AE886">
        <v>1972.8703631432861</v>
      </c>
      <c r="AF886">
        <v>6.7436817017287538</v>
      </c>
      <c r="AG886">
        <v>2067.1060170285873</v>
      </c>
      <c r="AH886">
        <v>8.9036923922931006</v>
      </c>
      <c r="AI886">
        <v>1887.6025353661043</v>
      </c>
      <c r="AJ886">
        <v>6.7410197120924824</v>
      </c>
    </row>
    <row r="887" spans="4:36" x14ac:dyDescent="0.55000000000000004">
      <c r="D887">
        <v>880</v>
      </c>
      <c r="E887">
        <v>12.136546660833927</v>
      </c>
      <c r="F887">
        <v>0.4202136885340777</v>
      </c>
      <c r="G887">
        <v>0.15632946738739265</v>
      </c>
      <c r="H887">
        <v>17.28691018324459</v>
      </c>
      <c r="I887">
        <v>12.357373711825611</v>
      </c>
      <c r="J887">
        <v>0.26615095080555506</v>
      </c>
      <c r="K887">
        <v>9.8679773697265369E-2</v>
      </c>
      <c r="L887">
        <v>17.277795563671575</v>
      </c>
      <c r="M887">
        <v>12.25296865563937</v>
      </c>
      <c r="N887">
        <v>0.33902959832459273</v>
      </c>
      <c r="O887">
        <v>0.1259013231458867</v>
      </c>
      <c r="P887">
        <v>17.282100422890139</v>
      </c>
      <c r="Q887">
        <v>12.225130467021895</v>
      </c>
      <c r="R887">
        <v>0.35844987578577114</v>
      </c>
      <c r="S887">
        <v>0.13317005779183647</v>
      </c>
      <c r="T887">
        <v>17.283249599400495</v>
      </c>
      <c r="U887">
        <v>1508.9805325254765</v>
      </c>
      <c r="V887">
        <v>9.5476041732482297</v>
      </c>
      <c r="W887">
        <v>1288.241508537466</v>
      </c>
      <c r="X887">
        <v>7.1420297444727154</v>
      </c>
      <c r="Y887">
        <v>2851.9582748453904</v>
      </c>
      <c r="Z887">
        <v>9.5966202620226717</v>
      </c>
      <c r="AA887">
        <v>2713.870215073357</v>
      </c>
      <c r="AB887">
        <v>7.1713932484238079</v>
      </c>
      <c r="AC887">
        <v>2171.0837711131421</v>
      </c>
      <c r="AD887">
        <v>9.5734480259178838</v>
      </c>
      <c r="AE887">
        <v>2000.6071307497052</v>
      </c>
      <c r="AF887">
        <v>7.1575248254109232</v>
      </c>
      <c r="AG887">
        <v>2056.3888012351154</v>
      </c>
      <c r="AH887">
        <v>9.5672688201521243</v>
      </c>
      <c r="AI887">
        <v>1875.4589810017346</v>
      </c>
      <c r="AJ887">
        <v>7.153822662256335</v>
      </c>
    </row>
    <row r="888" spans="4:36" x14ac:dyDescent="0.55000000000000004">
      <c r="D888">
        <v>881</v>
      </c>
      <c r="E888">
        <v>12.805471249178273</v>
      </c>
      <c r="F888">
        <v>0.41215310025342644</v>
      </c>
      <c r="G888">
        <v>0.15771672807848708</v>
      </c>
      <c r="H888">
        <v>16.624658922489797</v>
      </c>
      <c r="I888">
        <v>12.979523444311855</v>
      </c>
      <c r="J888">
        <v>0.29311305729617892</v>
      </c>
      <c r="K888">
        <v>0.11187958993411451</v>
      </c>
      <c r="L888">
        <v>16.615483908457865</v>
      </c>
      <c r="M888">
        <v>12.905291909172037</v>
      </c>
      <c r="N888">
        <v>0.34390634050217855</v>
      </c>
      <c r="O888">
        <v>0.13140896485730058</v>
      </c>
      <c r="P888">
        <v>16.619392785468474</v>
      </c>
      <c r="Q888">
        <v>12.843856621048358</v>
      </c>
      <c r="R888">
        <v>0.38591689999944923</v>
      </c>
      <c r="S888">
        <v>0.14759394983797347</v>
      </c>
      <c r="T888">
        <v>16.622632529114227</v>
      </c>
      <c r="U888">
        <v>1536.1683953423428</v>
      </c>
      <c r="V888">
        <v>10.065334093298839</v>
      </c>
      <c r="W888">
        <v>1301.96878940335</v>
      </c>
      <c r="X888">
        <v>7.4531030158722551</v>
      </c>
      <c r="Y888">
        <v>2894.4754498334923</v>
      </c>
      <c r="Z888">
        <v>10.103229607095484</v>
      </c>
      <c r="AA888">
        <v>2738.9508822598641</v>
      </c>
      <c r="AB888">
        <v>7.4754138905722636</v>
      </c>
      <c r="AC888">
        <v>2196.6765105436816</v>
      </c>
      <c r="AD888">
        <v>10.087069940302378</v>
      </c>
      <c r="AE888">
        <v>2013.7999067748831</v>
      </c>
      <c r="AF888">
        <v>7.4659067693273728</v>
      </c>
      <c r="AG888">
        <v>2104.1245604377614</v>
      </c>
      <c r="AH888">
        <v>10.073693234543651</v>
      </c>
      <c r="AI888">
        <v>1903.053521650321</v>
      </c>
      <c r="AJ888">
        <v>7.4580292545148916</v>
      </c>
    </row>
    <row r="889" spans="4:36" x14ac:dyDescent="0.55000000000000004">
      <c r="D889">
        <v>882</v>
      </c>
      <c r="E889">
        <v>13.768080247439388</v>
      </c>
      <c r="F889">
        <v>0.4832786618521227</v>
      </c>
      <c r="G889">
        <v>0.17094722383126981</v>
      </c>
      <c r="H889">
        <v>15.577693866877228</v>
      </c>
      <c r="I889">
        <v>14.032906680948454</v>
      </c>
      <c r="J889">
        <v>0.30329125103239563</v>
      </c>
      <c r="K889">
        <v>0.10688794490937005</v>
      </c>
      <c r="L889">
        <v>15.556914123109767</v>
      </c>
      <c r="M889">
        <v>13.88669819887887</v>
      </c>
      <c r="N889">
        <v>0.40271468194224985</v>
      </c>
      <c r="O889">
        <v>0.14221453533056658</v>
      </c>
      <c r="P889">
        <v>15.568372583848316</v>
      </c>
      <c r="Q889">
        <v>13.870040092078288</v>
      </c>
      <c r="R889">
        <v>0.41403398567304056</v>
      </c>
      <c r="S889">
        <v>0.14624566977414705</v>
      </c>
      <c r="T889">
        <v>15.569680252474535</v>
      </c>
      <c r="U889">
        <v>1580.9507993574944</v>
      </c>
      <c r="V889">
        <v>10.869582200856495</v>
      </c>
      <c r="W889">
        <v>1325.4589330531744</v>
      </c>
      <c r="X889">
        <v>7.9330633683351293</v>
      </c>
      <c r="Y889">
        <v>2931.1062014804666</v>
      </c>
      <c r="Z889">
        <v>10.93346982926467</v>
      </c>
      <c r="AA889">
        <v>2762.2958722855146</v>
      </c>
      <c r="AB889">
        <v>7.9699124832051407</v>
      </c>
      <c r="AC889">
        <v>2271.0854948547617</v>
      </c>
      <c r="AD889">
        <v>10.898206255726024</v>
      </c>
      <c r="AE889">
        <v>2061.0670071884147</v>
      </c>
      <c r="AF889">
        <v>7.949588087582149</v>
      </c>
      <c r="AG889">
        <v>2161.0917637722023</v>
      </c>
      <c r="AH889">
        <v>10.894187251036671</v>
      </c>
      <c r="AI889">
        <v>1939.388057598791</v>
      </c>
      <c r="AJ889">
        <v>7.9472693813543858</v>
      </c>
    </row>
    <row r="890" spans="4:36" x14ac:dyDescent="0.55000000000000004">
      <c r="D890">
        <v>883</v>
      </c>
      <c r="E890">
        <v>11.118751426086945</v>
      </c>
      <c r="F890">
        <v>0.44990797960129331</v>
      </c>
      <c r="G890">
        <v>0.17341555069861944</v>
      </c>
      <c r="H890">
        <v>18.257925043613142</v>
      </c>
      <c r="I890">
        <v>11.306442503071501</v>
      </c>
      <c r="J890">
        <v>0.2861939277632905</v>
      </c>
      <c r="K890">
        <v>0.10998963721068855</v>
      </c>
      <c r="L890">
        <v>18.297373931954525</v>
      </c>
      <c r="M890">
        <v>11.218789274182843</v>
      </c>
      <c r="N890">
        <v>0.36266423495675432</v>
      </c>
      <c r="O890">
        <v>0.13956884466133626</v>
      </c>
      <c r="P890">
        <v>18.278977646199067</v>
      </c>
      <c r="Q890">
        <v>11.184121502063608</v>
      </c>
      <c r="R890">
        <v>0.39290203083952818</v>
      </c>
      <c r="S890">
        <v>0.15128760223398971</v>
      </c>
      <c r="T890">
        <v>18.271688864862888</v>
      </c>
      <c r="U890">
        <v>1471.2572704903723</v>
      </c>
      <c r="V890">
        <v>8.8144741627174046</v>
      </c>
      <c r="W890">
        <v>1259.0029703089094</v>
      </c>
      <c r="X890">
        <v>6.6918139785205373</v>
      </c>
      <c r="Y890">
        <v>2867.7847619550898</v>
      </c>
      <c r="Z890">
        <v>8.8238878270459296</v>
      </c>
      <c r="AA890">
        <v>2725.5871323141196</v>
      </c>
      <c r="AB890">
        <v>6.6995204988669199</v>
      </c>
      <c r="AC890">
        <v>2191.7652602390308</v>
      </c>
      <c r="AD890">
        <v>8.8194763105570821</v>
      </c>
      <c r="AE890">
        <v>2015.8146441769636</v>
      </c>
      <c r="AF890">
        <v>6.6959194247502696</v>
      </c>
      <c r="AG890">
        <v>2069.1315055782761</v>
      </c>
      <c r="AH890">
        <v>8.8177388690873446</v>
      </c>
      <c r="AI890">
        <v>1883.7169907909004</v>
      </c>
      <c r="AJ890">
        <v>6.6944961598857251</v>
      </c>
    </row>
    <row r="891" spans="4:36" x14ac:dyDescent="0.55000000000000004">
      <c r="D891">
        <v>884</v>
      </c>
      <c r="E891">
        <v>13.582488264182135</v>
      </c>
      <c r="F891">
        <v>0.52062592953317011</v>
      </c>
      <c r="G891">
        <v>0.18265892235810158</v>
      </c>
      <c r="H891">
        <v>15.71422688392661</v>
      </c>
      <c r="I891">
        <v>13.896723941444867</v>
      </c>
      <c r="J891">
        <v>0.30372345514593879</v>
      </c>
      <c r="K891">
        <v>0.10611773731752273</v>
      </c>
      <c r="L891">
        <v>15.693434866091664</v>
      </c>
      <c r="M891">
        <v>13.760958244347037</v>
      </c>
      <c r="N891">
        <v>0.39751036180590682</v>
      </c>
      <c r="O891">
        <v>0.13913419352779938</v>
      </c>
      <c r="P891">
        <v>15.702397200319249</v>
      </c>
      <c r="Q891">
        <v>13.741836544243666</v>
      </c>
      <c r="R891">
        <v>0.41071062196579533</v>
      </c>
      <c r="S891">
        <v>0.14379081247120015</v>
      </c>
      <c r="T891">
        <v>15.703662021319332</v>
      </c>
      <c r="U891">
        <v>1581.1695426436511</v>
      </c>
      <c r="V891">
        <v>10.742171269606766</v>
      </c>
      <c r="W891">
        <v>1322.9371620755044</v>
      </c>
      <c r="X891">
        <v>7.8550024499480822</v>
      </c>
      <c r="Y891">
        <v>2910.1766054262439</v>
      </c>
      <c r="Z891">
        <v>10.811337857560323</v>
      </c>
      <c r="AA891">
        <v>2746.8891810979799</v>
      </c>
      <c r="AB891">
        <v>7.8948689067241684</v>
      </c>
      <c r="AC891">
        <v>2257.2224525684292</v>
      </c>
      <c r="AD891">
        <v>10.781466894968768</v>
      </c>
      <c r="AE891">
        <v>2051.1299589999994</v>
      </c>
      <c r="AF891">
        <v>7.8776706993123087</v>
      </c>
      <c r="AG891">
        <v>2173.1887201742015</v>
      </c>
      <c r="AH891">
        <v>10.777258248779525</v>
      </c>
      <c r="AI891">
        <v>1948.4204776860315</v>
      </c>
      <c r="AJ891">
        <v>7.875245274862503</v>
      </c>
    </row>
    <row r="892" spans="4:36" x14ac:dyDescent="0.55000000000000004">
      <c r="D892">
        <v>885</v>
      </c>
      <c r="E892">
        <v>12.153738787132644</v>
      </c>
      <c r="F892">
        <v>0.4543559524223072</v>
      </c>
      <c r="G892">
        <v>0.16534850087681113</v>
      </c>
      <c r="H892">
        <v>17.226556759568229</v>
      </c>
      <c r="I892">
        <v>12.36709461346242</v>
      </c>
      <c r="J892">
        <v>0.28970578806914005</v>
      </c>
      <c r="K892">
        <v>0.10509764969841627</v>
      </c>
      <c r="L892">
        <v>17.238101948770009</v>
      </c>
      <c r="M892">
        <v>12.282352446157185</v>
      </c>
      <c r="N892">
        <v>0.35513103399959828</v>
      </c>
      <c r="O892">
        <v>0.12899282760233252</v>
      </c>
      <c r="P892">
        <v>17.233523692240887</v>
      </c>
      <c r="Q892">
        <v>12.242335475566289</v>
      </c>
      <c r="R892">
        <v>0.38601322554198075</v>
      </c>
      <c r="S892">
        <v>0.14029290424048516</v>
      </c>
      <c r="T892">
        <v>17.231358394651259</v>
      </c>
      <c r="U892">
        <v>1514.5957761811201</v>
      </c>
      <c r="V892">
        <v>9.656876938073907</v>
      </c>
      <c r="W892">
        <v>1287.7518079106317</v>
      </c>
      <c r="X892">
        <v>7.2159249935146121</v>
      </c>
      <c r="Y892">
        <v>2869.7029695431333</v>
      </c>
      <c r="Z892">
        <v>9.6923404746104005</v>
      </c>
      <c r="AA892">
        <v>2724.0972133664263</v>
      </c>
      <c r="AB892">
        <v>7.2378632387452768</v>
      </c>
      <c r="AC892">
        <v>2203.116301966335</v>
      </c>
      <c r="AD892">
        <v>9.6782504967272054</v>
      </c>
      <c r="AE892">
        <v>2021.8174646549221</v>
      </c>
      <c r="AF892">
        <v>7.2291574507612841</v>
      </c>
      <c r="AG892">
        <v>2100.2218383724403</v>
      </c>
      <c r="AH892">
        <v>9.6715988958710373</v>
      </c>
      <c r="AI892">
        <v>1904.5472720880509</v>
      </c>
      <c r="AJ892">
        <v>7.2250428444902415</v>
      </c>
    </row>
    <row r="893" spans="4:36" x14ac:dyDescent="0.55000000000000004">
      <c r="D893">
        <v>886</v>
      </c>
      <c r="E893">
        <v>13.523334907286273</v>
      </c>
      <c r="F893">
        <v>0.46742027559665011</v>
      </c>
      <c r="G893">
        <v>0.18626071142369804</v>
      </c>
      <c r="H893">
        <v>15.822984105693372</v>
      </c>
      <c r="I893">
        <v>13.755874102130958</v>
      </c>
      <c r="J893">
        <v>0.31077584709240835</v>
      </c>
      <c r="K893">
        <v>0.12344231735685249</v>
      </c>
      <c r="L893">
        <v>15.809907733419774</v>
      </c>
      <c r="M893">
        <v>13.642704048612611</v>
      </c>
      <c r="N893">
        <v>0.38705315562274695</v>
      </c>
      <c r="O893">
        <v>0.15398014618600431</v>
      </c>
      <c r="P893">
        <v>15.81626264957864</v>
      </c>
      <c r="Q893">
        <v>13.601812232738993</v>
      </c>
      <c r="R893">
        <v>0.41459447766518481</v>
      </c>
      <c r="S893">
        <v>0.16503024099589428</v>
      </c>
      <c r="T893">
        <v>15.818563048599943</v>
      </c>
      <c r="U893">
        <v>1651.5640703218146</v>
      </c>
      <c r="V893">
        <v>10.669918336347974</v>
      </c>
      <c r="W893">
        <v>1373.2027591625945</v>
      </c>
      <c r="X893">
        <v>7.8140289487718686</v>
      </c>
      <c r="Y893">
        <v>2965.4489725527496</v>
      </c>
      <c r="Z893">
        <v>10.725007501326481</v>
      </c>
      <c r="AA893">
        <v>2783.471301144034</v>
      </c>
      <c r="AB893">
        <v>7.8461458222384852</v>
      </c>
      <c r="AC893">
        <v>2264.9365195044243</v>
      </c>
      <c r="AD893">
        <v>10.698201632105341</v>
      </c>
      <c r="AE893">
        <v>2053.1461144575987</v>
      </c>
      <c r="AF893">
        <v>7.830530330335252</v>
      </c>
      <c r="AG893">
        <v>2209.0012860125012</v>
      </c>
      <c r="AH893">
        <v>10.688513791720569</v>
      </c>
      <c r="AI893">
        <v>1969.8447322697727</v>
      </c>
      <c r="AJ893">
        <v>7.8248810693944293</v>
      </c>
    </row>
    <row r="894" spans="4:36" x14ac:dyDescent="0.55000000000000004">
      <c r="D894">
        <v>887</v>
      </c>
      <c r="E894">
        <v>12.166225969043966</v>
      </c>
      <c r="F894">
        <v>0.43116498167670209</v>
      </c>
      <c r="G894">
        <v>0.16698851354353983</v>
      </c>
      <c r="H894">
        <v>17.23562053573578</v>
      </c>
      <c r="I894">
        <v>12.357446547214325</v>
      </c>
      <c r="J894">
        <v>0.28801073169666019</v>
      </c>
      <c r="K894">
        <v>0.11123620636043702</v>
      </c>
      <c r="L894">
        <v>17.243306514728587</v>
      </c>
      <c r="M894">
        <v>12.278357473517289</v>
      </c>
      <c r="N894">
        <v>0.3472443938674562</v>
      </c>
      <c r="O894">
        <v>0.13426707883475081</v>
      </c>
      <c r="P894">
        <v>17.240131053780516</v>
      </c>
      <c r="Q894">
        <v>12.272630979371261</v>
      </c>
      <c r="R894">
        <v>0.35153188704318833</v>
      </c>
      <c r="S894">
        <v>0.13593619038537591</v>
      </c>
      <c r="T894">
        <v>17.239900943200176</v>
      </c>
      <c r="U894">
        <v>1507.7797604015545</v>
      </c>
      <c r="V894">
        <v>9.6122248786881812</v>
      </c>
      <c r="W894">
        <v>1284.4909365562339</v>
      </c>
      <c r="X894">
        <v>7.1827580565274394</v>
      </c>
      <c r="Y894">
        <v>2888.7556362968389</v>
      </c>
      <c r="Z894">
        <v>9.6438525720402293</v>
      </c>
      <c r="AA894">
        <v>2738.550742279333</v>
      </c>
      <c r="AB894">
        <v>7.20217714019733</v>
      </c>
      <c r="AC894">
        <v>2189.8486579684259</v>
      </c>
      <c r="AD894">
        <v>9.630769061619791</v>
      </c>
      <c r="AE894">
        <v>2012.5109510121158</v>
      </c>
      <c r="AF894">
        <v>7.1941520822240435</v>
      </c>
      <c r="AG894">
        <v>2091.1637704331492</v>
      </c>
      <c r="AH894">
        <v>9.6298218649330778</v>
      </c>
      <c r="AI894">
        <v>1900.4843838787649</v>
      </c>
      <c r="AJ894">
        <v>7.1935706578609189</v>
      </c>
    </row>
    <row r="895" spans="4:36" x14ac:dyDescent="0.55000000000000004">
      <c r="D895">
        <v>888</v>
      </c>
      <c r="E895">
        <v>11.385914110663057</v>
      </c>
      <c r="F895">
        <v>0.39473494679046178</v>
      </c>
      <c r="G895">
        <v>0.14316529305954342</v>
      </c>
      <c r="H895">
        <v>18.076185649486927</v>
      </c>
      <c r="I895">
        <v>11.541785648996678</v>
      </c>
      <c r="J895">
        <v>0.27324598655020865</v>
      </c>
      <c r="K895">
        <v>9.8853709319653926E-2</v>
      </c>
      <c r="L895">
        <v>18.086114655133464</v>
      </c>
      <c r="M895">
        <v>11.480850572426846</v>
      </c>
      <c r="N895">
        <v>0.3207550126581159</v>
      </c>
      <c r="O895">
        <v>0.11615515795146028</v>
      </c>
      <c r="P895">
        <v>18.082239256963572</v>
      </c>
      <c r="Q895">
        <v>11.44398194288363</v>
      </c>
      <c r="R895">
        <v>0.34949080094317958</v>
      </c>
      <c r="S895">
        <v>0.12663663093798627</v>
      </c>
      <c r="T895">
        <v>18.079890625235201</v>
      </c>
      <c r="U895">
        <v>1443.2627277241158</v>
      </c>
      <c r="V895">
        <v>8.9799230400359686</v>
      </c>
      <c r="W895">
        <v>1244.3605199417896</v>
      </c>
      <c r="X895">
        <v>6.7992392343809973</v>
      </c>
      <c r="Y895">
        <v>2842.3445658845708</v>
      </c>
      <c r="Z895">
        <v>9.0039208190715847</v>
      </c>
      <c r="AA895">
        <v>2708.5476360081993</v>
      </c>
      <c r="AB895">
        <v>6.8144868591620016</v>
      </c>
      <c r="AC895">
        <v>2176.5937680378988</v>
      </c>
      <c r="AD895">
        <v>8.9945357805013284</v>
      </c>
      <c r="AE895">
        <v>2009.3817729778955</v>
      </c>
      <c r="AF895">
        <v>6.8085300688901746</v>
      </c>
      <c r="AG895">
        <v>2068.9265625201751</v>
      </c>
      <c r="AH895">
        <v>8.988859593553487</v>
      </c>
      <c r="AI895">
        <v>1889.0210086629986</v>
      </c>
      <c r="AJ895">
        <v>6.8049234502298557</v>
      </c>
    </row>
    <row r="896" spans="4:36" x14ac:dyDescent="0.55000000000000004">
      <c r="D896">
        <v>889</v>
      </c>
      <c r="E896">
        <v>10.974000178888943</v>
      </c>
      <c r="F896">
        <v>0.40674815798423047</v>
      </c>
      <c r="G896">
        <v>0.17442351093978414</v>
      </c>
      <c r="H896">
        <v>18.444828152187029</v>
      </c>
      <c r="I896">
        <v>11.14504433932359</v>
      </c>
      <c r="J896">
        <v>0.26966427199724574</v>
      </c>
      <c r="K896">
        <v>0.11531009328582123</v>
      </c>
      <c r="L896">
        <v>18.469981295393342</v>
      </c>
      <c r="M896">
        <v>11.081169068182936</v>
      </c>
      <c r="N896">
        <v>0.32087409566413255</v>
      </c>
      <c r="O896">
        <v>0.13735301775043263</v>
      </c>
      <c r="P896">
        <v>18.460603818402507</v>
      </c>
      <c r="Q896">
        <v>11.068775194901649</v>
      </c>
      <c r="R896">
        <v>0.33080815240507561</v>
      </c>
      <c r="S896">
        <v>0.14163454048363089</v>
      </c>
      <c r="T896">
        <v>18.458782112209651</v>
      </c>
      <c r="U896">
        <v>1470.4119899844322</v>
      </c>
      <c r="V896">
        <v>8.6905902973362554</v>
      </c>
      <c r="W896">
        <v>1265.4926865745638</v>
      </c>
      <c r="X896">
        <v>6.6205707133127323</v>
      </c>
      <c r="Y896">
        <v>2840.8701170701088</v>
      </c>
      <c r="Z896">
        <v>8.7089825714400035</v>
      </c>
      <c r="AA896">
        <v>2708.5627797377851</v>
      </c>
      <c r="AB896">
        <v>6.6331770264527945</v>
      </c>
      <c r="AC896">
        <v>2165.902993511374</v>
      </c>
      <c r="AD896">
        <v>8.702105388930967</v>
      </c>
      <c r="AE896">
        <v>2002.3714684735471</v>
      </c>
      <c r="AF896">
        <v>6.6284711029381391</v>
      </c>
      <c r="AG896">
        <v>2026.3354224410427</v>
      </c>
      <c r="AH896">
        <v>8.7007721908236295</v>
      </c>
      <c r="AI896">
        <v>1859.2587149122617</v>
      </c>
      <c r="AJ896">
        <v>6.6275577516927422</v>
      </c>
    </row>
    <row r="897" spans="4:36" x14ac:dyDescent="0.55000000000000004">
      <c r="D897">
        <v>890</v>
      </c>
      <c r="E897">
        <v>13.668525652338634</v>
      </c>
      <c r="F897">
        <v>0.49585710994030063</v>
      </c>
      <c r="G897">
        <v>0.13012759076899785</v>
      </c>
      <c r="H897">
        <v>15.705489646952069</v>
      </c>
      <c r="I897">
        <v>13.964493278411995</v>
      </c>
      <c r="J897">
        <v>0.29734170971192087</v>
      </c>
      <c r="K897">
        <v>7.7753400562492248E-2</v>
      </c>
      <c r="L897">
        <v>15.660411611313586</v>
      </c>
      <c r="M897">
        <v>13.85886502390373</v>
      </c>
      <c r="N897">
        <v>0.36825392563782039</v>
      </c>
      <c r="O897">
        <v>9.6418582304956105E-2</v>
      </c>
      <c r="P897">
        <v>15.676462468153492</v>
      </c>
      <c r="Q897">
        <v>13.801545136701492</v>
      </c>
      <c r="R897">
        <v>0.40670540963294854</v>
      </c>
      <c r="S897">
        <v>0.10655972810381445</v>
      </c>
      <c r="T897">
        <v>15.685189725561756</v>
      </c>
      <c r="U897">
        <v>1566.8886634695493</v>
      </c>
      <c r="V897">
        <v>10.691320575001546</v>
      </c>
      <c r="W897">
        <v>1320.2093585990647</v>
      </c>
      <c r="X897">
        <v>7.8177073235859389</v>
      </c>
      <c r="Y897">
        <v>2904.8229506300868</v>
      </c>
      <c r="Z897">
        <v>10.772524914995834</v>
      </c>
      <c r="AA897">
        <v>2746.9584797201887</v>
      </c>
      <c r="AB897">
        <v>7.863766747298321</v>
      </c>
      <c r="AC897">
        <v>2243.6455062564592</v>
      </c>
      <c r="AD897">
        <v>10.743564253180029</v>
      </c>
      <c r="AE897">
        <v>2047.6280865768576</v>
      </c>
      <c r="AF897">
        <v>7.8473577845482456</v>
      </c>
      <c r="AG897">
        <v>2130.0294519787299</v>
      </c>
      <c r="AH897">
        <v>10.727839097216723</v>
      </c>
      <c r="AI897">
        <v>1921.907352832691</v>
      </c>
      <c r="AJ897">
        <v>7.838439840635318</v>
      </c>
    </row>
    <row r="898" spans="4:36" x14ac:dyDescent="0.55000000000000004">
      <c r="D898">
        <v>891</v>
      </c>
      <c r="E898">
        <v>13.336922662612137</v>
      </c>
      <c r="F898">
        <v>0.48553356087276667</v>
      </c>
      <c r="G898">
        <v>0.17753782533148277</v>
      </c>
      <c r="H898">
        <v>16.000005951183613</v>
      </c>
      <c r="I898">
        <v>13.546858366185162</v>
      </c>
      <c r="J898">
        <v>0.33295327592506091</v>
      </c>
      <c r="K898">
        <v>0.12139197283554885</v>
      </c>
      <c r="L898">
        <v>15.998796385054217</v>
      </c>
      <c r="M898">
        <v>13.452552171414119</v>
      </c>
      <c r="N898">
        <v>0.40152541592848612</v>
      </c>
      <c r="O898">
        <v>0.14658376995242201</v>
      </c>
      <c r="P898">
        <v>15.999338642704988</v>
      </c>
      <c r="Q898">
        <v>13.416560258763205</v>
      </c>
      <c r="R898">
        <v>0.42768271309152961</v>
      </c>
      <c r="S898">
        <v>0.15621096276917965</v>
      </c>
      <c r="T898">
        <v>15.999546065376084</v>
      </c>
      <c r="U898">
        <v>1563.4783734537084</v>
      </c>
      <c r="V898">
        <v>10.582825806518345</v>
      </c>
      <c r="W898">
        <v>1313.1785260808047</v>
      </c>
      <c r="X898">
        <v>7.76659694017658</v>
      </c>
      <c r="Y898">
        <v>2914.0279601420066</v>
      </c>
      <c r="Z898">
        <v>10.62193958606669</v>
      </c>
      <c r="AA898">
        <v>2748.1707655048936</v>
      </c>
      <c r="AB898">
        <v>7.7897285350641443</v>
      </c>
      <c r="AC898">
        <v>2268.2355319857393</v>
      </c>
      <c r="AD898">
        <v>10.604369719196926</v>
      </c>
      <c r="AE898">
        <v>2059.6850894132617</v>
      </c>
      <c r="AF898">
        <v>7.7793464175998484</v>
      </c>
      <c r="AG898">
        <v>2175.3316151667364</v>
      </c>
      <c r="AH898">
        <v>10.597663924082465</v>
      </c>
      <c r="AI898">
        <v>1949.6522836098759</v>
      </c>
      <c r="AJ898">
        <v>7.7753802589155026</v>
      </c>
    </row>
    <row r="899" spans="4:36" x14ac:dyDescent="0.55000000000000004">
      <c r="D899">
        <v>892</v>
      </c>
      <c r="E899">
        <v>14.585639978482345</v>
      </c>
      <c r="F899">
        <v>0.51407997132798555</v>
      </c>
      <c r="G899">
        <v>0.17830030936392166</v>
      </c>
      <c r="H899">
        <v>14.721979740825748</v>
      </c>
      <c r="I899">
        <v>14.837467172991957</v>
      </c>
      <c r="J899">
        <v>0.34461279019723601</v>
      </c>
      <c r="K899">
        <v>0.11913171635211915</v>
      </c>
      <c r="L899">
        <v>14.698788320458696</v>
      </c>
      <c r="M899">
        <v>14.741391641691912</v>
      </c>
      <c r="N899">
        <v>0.40931215401440385</v>
      </c>
      <c r="O899">
        <v>0.14167458631320864</v>
      </c>
      <c r="P899">
        <v>14.707621617980458</v>
      </c>
      <c r="Q899">
        <v>14.68050203090411</v>
      </c>
      <c r="R899">
        <v>0.45028769992757217</v>
      </c>
      <c r="S899">
        <v>0.1559811270110579</v>
      </c>
      <c r="T899">
        <v>14.713229142157253</v>
      </c>
      <c r="U899">
        <v>1646.5661426626325</v>
      </c>
      <c r="V899">
        <v>11.553071155302666</v>
      </c>
      <c r="W899">
        <v>1363.3928568773756</v>
      </c>
      <c r="X899">
        <v>8.3371205044353154</v>
      </c>
      <c r="Y899">
        <v>2956.6555966096303</v>
      </c>
      <c r="Z899">
        <v>11.614569441282629</v>
      </c>
      <c r="AA899">
        <v>2772.9571199108036</v>
      </c>
      <c r="AB899">
        <v>8.3720476820740561</v>
      </c>
      <c r="AC899">
        <v>2295.6359856469239</v>
      </c>
      <c r="AD899">
        <v>11.591115699482227</v>
      </c>
      <c r="AE899">
        <v>2072.2005725962667</v>
      </c>
      <c r="AF899">
        <v>8.3587387588421667</v>
      </c>
      <c r="AG899">
        <v>2205.4032811778525</v>
      </c>
      <c r="AH899">
        <v>11.576245927343642</v>
      </c>
      <c r="AI899">
        <v>1962.472559689827</v>
      </c>
      <c r="AJ899">
        <v>8.3502936316693699</v>
      </c>
    </row>
    <row r="900" spans="4:36" x14ac:dyDescent="0.55000000000000004">
      <c r="D900">
        <v>893</v>
      </c>
      <c r="E900">
        <v>11.081282379763334</v>
      </c>
      <c r="F900">
        <v>0.39126610706035414</v>
      </c>
      <c r="G900">
        <v>0.14054544604106445</v>
      </c>
      <c r="H900">
        <v>18.38690606713525</v>
      </c>
      <c r="I900">
        <v>11.224415770480542</v>
      </c>
      <c r="J900">
        <v>0.27749205810315847</v>
      </c>
      <c r="K900">
        <v>9.9448525642195709E-2</v>
      </c>
      <c r="L900">
        <v>18.398643645774118</v>
      </c>
      <c r="M900">
        <v>11.184842804973934</v>
      </c>
      <c r="N900">
        <v>0.30895813980072828</v>
      </c>
      <c r="O900">
        <v>0.11079547206125462</v>
      </c>
      <c r="P900">
        <v>18.395403583164089</v>
      </c>
      <c r="Q900">
        <v>11.141483214949687</v>
      </c>
      <c r="R900">
        <v>0.34342612830505292</v>
      </c>
      <c r="S900">
        <v>0.12324162987443969</v>
      </c>
      <c r="T900">
        <v>18.391849026870801</v>
      </c>
      <c r="U900">
        <v>1440.9465495121112</v>
      </c>
      <c r="V900">
        <v>8.7124703586041434</v>
      </c>
      <c r="W900">
        <v>1245.4000399227582</v>
      </c>
      <c r="X900">
        <v>6.6314076480874737</v>
      </c>
      <c r="Y900">
        <v>2839.4156590625162</v>
      </c>
      <c r="Z900">
        <v>8.734354217945155</v>
      </c>
      <c r="AA900">
        <v>2707.6140063488037</v>
      </c>
      <c r="AB900">
        <v>6.6455238558900778</v>
      </c>
      <c r="AC900">
        <v>2109.6231153903336</v>
      </c>
      <c r="AD900">
        <v>8.7283007601418348</v>
      </c>
      <c r="AE900">
        <v>1961.2513716718627</v>
      </c>
      <c r="AF900">
        <v>6.6416238614560408</v>
      </c>
      <c r="AG900">
        <v>2010.403046451022</v>
      </c>
      <c r="AH900">
        <v>8.7216707712162229</v>
      </c>
      <c r="AI900">
        <v>1847.001523202691</v>
      </c>
      <c r="AJ900">
        <v>6.6373482389378688</v>
      </c>
    </row>
    <row r="901" spans="4:36" x14ac:dyDescent="0.55000000000000004">
      <c r="D901">
        <v>894</v>
      </c>
      <c r="E901">
        <v>13.739859333329106</v>
      </c>
      <c r="F901">
        <v>0.50292101581003512</v>
      </c>
      <c r="G901">
        <v>0.17242483192055416</v>
      </c>
      <c r="H901">
        <v>15.584794818940329</v>
      </c>
      <c r="I901">
        <v>14.018002480709002</v>
      </c>
      <c r="J901">
        <v>0.3126032150419053</v>
      </c>
      <c r="K901">
        <v>0.10678864881913573</v>
      </c>
      <c r="L901">
        <v>15.56260565542995</v>
      </c>
      <c r="M901">
        <v>13.927350379862853</v>
      </c>
      <c r="N901">
        <v>0.37468362619556306</v>
      </c>
      <c r="O901">
        <v>0.12814587174563968</v>
      </c>
      <c r="P901">
        <v>15.569820122195935</v>
      </c>
      <c r="Q901">
        <v>13.831532772907108</v>
      </c>
      <c r="R901">
        <v>0.44024672718560315</v>
      </c>
      <c r="S901">
        <v>0.15075658962248009</v>
      </c>
      <c r="T901">
        <v>15.577463910284807</v>
      </c>
      <c r="U901">
        <v>1630.5800663850005</v>
      </c>
      <c r="V901">
        <v>10.872546089754316</v>
      </c>
      <c r="W901">
        <v>1356.6045962841436</v>
      </c>
      <c r="X901">
        <v>7.9360434437126166</v>
      </c>
      <c r="Y901">
        <v>2933.6963863379942</v>
      </c>
      <c r="Z901">
        <v>10.937189420325319</v>
      </c>
      <c r="AA901">
        <v>2761.0860276100752</v>
      </c>
      <c r="AB901">
        <v>7.9731496946141185</v>
      </c>
      <c r="AC901">
        <v>2269.0537534804207</v>
      </c>
      <c r="AD901">
        <v>10.916130965718349</v>
      </c>
      <c r="AE901">
        <v>2058.4797783651416</v>
      </c>
      <c r="AF901">
        <v>7.9610753593587189</v>
      </c>
      <c r="AG901">
        <v>2195.8109527654697</v>
      </c>
      <c r="AH901">
        <v>10.89386206133686</v>
      </c>
      <c r="AI901">
        <v>1959.6043239111207</v>
      </c>
      <c r="AJ901">
        <v>7.9482928066036589</v>
      </c>
    </row>
    <row r="902" spans="4:36" x14ac:dyDescent="0.55000000000000004">
      <c r="D902">
        <v>895</v>
      </c>
      <c r="E902">
        <v>14.115163965358587</v>
      </c>
      <c r="F902">
        <v>0.49447051959488958</v>
      </c>
      <c r="G902">
        <v>0.16814519515065698</v>
      </c>
      <c r="H902">
        <v>15.222220319895873</v>
      </c>
      <c r="I902">
        <v>14.378963219872091</v>
      </c>
      <c r="J902">
        <v>0.3164018996955309</v>
      </c>
      <c r="K902">
        <v>0.10723657660896649</v>
      </c>
      <c r="L902">
        <v>15.197398303823402</v>
      </c>
      <c r="M902">
        <v>14.276267585001914</v>
      </c>
      <c r="N902">
        <v>0.38577403802303689</v>
      </c>
      <c r="O902">
        <v>0.130916633728767</v>
      </c>
      <c r="P902">
        <v>15.20704174324629</v>
      </c>
      <c r="Q902">
        <v>14.238755284781034</v>
      </c>
      <c r="R902">
        <v>0.41109790856485062</v>
      </c>
      <c r="S902">
        <v>0.13957632696758038</v>
      </c>
      <c r="T902">
        <v>15.210570479686552</v>
      </c>
      <c r="U902">
        <v>1656.5457503629084</v>
      </c>
      <c r="V902">
        <v>11.094139316501302</v>
      </c>
      <c r="W902">
        <v>1373.3189547471122</v>
      </c>
      <c r="X902">
        <v>8.0587815262129201</v>
      </c>
      <c r="Y902">
        <v>2957.1392291653997</v>
      </c>
      <c r="Z902">
        <v>11.159813606141869</v>
      </c>
      <c r="AA902">
        <v>2776.0885568487943</v>
      </c>
      <c r="AB902">
        <v>8.0962829517498704</v>
      </c>
      <c r="AC902">
        <v>2297.5614579512885</v>
      </c>
      <c r="AD902">
        <v>11.134257434225063</v>
      </c>
      <c r="AE902">
        <v>2076.2407743188555</v>
      </c>
      <c r="AF902">
        <v>8.081703242394795</v>
      </c>
      <c r="AG902">
        <v>2199.6962695365351</v>
      </c>
      <c r="AH902">
        <v>11.124919050239468</v>
      </c>
      <c r="AI902">
        <v>1962.137850517556</v>
      </c>
      <c r="AJ902">
        <v>8.0763714832856941</v>
      </c>
    </row>
    <row r="903" spans="4:36" x14ac:dyDescent="0.55000000000000004">
      <c r="D903">
        <v>896</v>
      </c>
      <c r="E903">
        <v>12.615794119482072</v>
      </c>
      <c r="F903">
        <v>0.45701936982351798</v>
      </c>
      <c r="G903">
        <v>0.16119061921924116</v>
      </c>
      <c r="H903">
        <v>16.765995891475157</v>
      </c>
      <c r="I903">
        <v>12.846875536117139</v>
      </c>
      <c r="J903">
        <v>0.29265980485701792</v>
      </c>
      <c r="K903">
        <v>0.10288619085989191</v>
      </c>
      <c r="L903">
        <v>16.757578468165956</v>
      </c>
      <c r="M903">
        <v>12.779390167083299</v>
      </c>
      <c r="N903">
        <v>0.34069324548603147</v>
      </c>
      <c r="O903">
        <v>0.11988572678160098</v>
      </c>
      <c r="P903">
        <v>16.760030860649067</v>
      </c>
      <c r="Q903">
        <v>12.720175141987701</v>
      </c>
      <c r="R903">
        <v>0.38281741610028719</v>
      </c>
      <c r="S903">
        <v>0.13482077486662633</v>
      </c>
      <c r="T903">
        <v>16.762186667045395</v>
      </c>
      <c r="U903">
        <v>1532.1657408359056</v>
      </c>
      <c r="V903">
        <v>9.9504778903213609</v>
      </c>
      <c r="W903">
        <v>1299.4832072333018</v>
      </c>
      <c r="X903">
        <v>7.3845436113086107</v>
      </c>
      <c r="Y903">
        <v>2888.9574178160128</v>
      </c>
      <c r="Z903">
        <v>9.9978628613851317</v>
      </c>
      <c r="AA903">
        <v>2737.3908156308366</v>
      </c>
      <c r="AB903">
        <v>7.4125352024601137</v>
      </c>
      <c r="AC903">
        <v>2215.5786022463167</v>
      </c>
      <c r="AD903">
        <v>9.9840278675953265</v>
      </c>
      <c r="AE903">
        <v>2031.0787013084171</v>
      </c>
      <c r="AF903">
        <v>7.4043722748854988</v>
      </c>
      <c r="AG903">
        <v>2089.8483530577982</v>
      </c>
      <c r="AH903">
        <v>9.9718860638795679</v>
      </c>
      <c r="AI903">
        <v>1895.9182291352174</v>
      </c>
      <c r="AJ903">
        <v>7.3972017492782829</v>
      </c>
    </row>
    <row r="904" spans="4:36" x14ac:dyDescent="0.55000000000000004">
      <c r="D904">
        <v>897</v>
      </c>
      <c r="E904">
        <v>11.192474495425426</v>
      </c>
      <c r="F904">
        <v>0.45478677353510655</v>
      </c>
      <c r="G904">
        <v>0.14872113102698137</v>
      </c>
      <c r="H904">
        <v>18.204017600012481</v>
      </c>
      <c r="I904">
        <v>11.390575189138241</v>
      </c>
      <c r="J904">
        <v>0.28014321298901473</v>
      </c>
      <c r="K904">
        <v>9.1323479924394116E-2</v>
      </c>
      <c r="L904">
        <v>18.237958117948367</v>
      </c>
      <c r="M904">
        <v>11.301955941321454</v>
      </c>
      <c r="N904">
        <v>0.35828399214458756</v>
      </c>
      <c r="O904">
        <v>0.11695987596938494</v>
      </c>
      <c r="P904">
        <v>18.222800190564566</v>
      </c>
      <c r="Q904">
        <v>11.256985845311643</v>
      </c>
      <c r="R904">
        <v>0.39792752571330786</v>
      </c>
      <c r="S904">
        <v>0.12999391803376975</v>
      </c>
      <c r="T904">
        <v>18.215092710941285</v>
      </c>
      <c r="U904">
        <v>1464.7691925049683</v>
      </c>
      <c r="V904">
        <v>8.927512701091679</v>
      </c>
      <c r="W904">
        <v>1257.307008586841</v>
      </c>
      <c r="X904">
        <v>6.7733781356387404</v>
      </c>
      <c r="Y904">
        <v>2838.7474095926077</v>
      </c>
      <c r="Z904">
        <v>8.9461097100223501</v>
      </c>
      <c r="AA904">
        <v>2706.2464926157545</v>
      </c>
      <c r="AB904">
        <v>6.7864962097977699</v>
      </c>
      <c r="AC904">
        <v>2178.2364426547342</v>
      </c>
      <c r="AD904">
        <v>8.9377761705028416</v>
      </c>
      <c r="AE904">
        <v>2008.7751430382864</v>
      </c>
      <c r="AF904">
        <v>6.7806288703179511</v>
      </c>
      <c r="AG904">
        <v>2059.2420334972794</v>
      </c>
      <c r="AH904">
        <v>8.9335561032878505</v>
      </c>
      <c r="AI904">
        <v>1878.942646655036</v>
      </c>
      <c r="AJ904">
        <v>6.7776508815820149</v>
      </c>
    </row>
    <row r="905" spans="4:36" x14ac:dyDescent="0.55000000000000004">
      <c r="D905">
        <v>898</v>
      </c>
      <c r="E905">
        <v>13.137184060675779</v>
      </c>
      <c r="F905">
        <v>0.46894266434018639</v>
      </c>
      <c r="G905">
        <v>0.19931019277387946</v>
      </c>
      <c r="H905">
        <v>16.19456308221018</v>
      </c>
      <c r="I905">
        <v>13.373302517708959</v>
      </c>
      <c r="J905">
        <v>0.30583232065844251</v>
      </c>
      <c r="K905">
        <v>0.12954273726922291</v>
      </c>
      <c r="L905">
        <v>16.191322424363371</v>
      </c>
      <c r="M905">
        <v>13.311225811442968</v>
      </c>
      <c r="N905">
        <v>0.34874854036252462</v>
      </c>
      <c r="O905">
        <v>0.14785262883126635</v>
      </c>
      <c r="P905">
        <v>16.192173019363228</v>
      </c>
      <c r="Q905">
        <v>13.267374749221936</v>
      </c>
      <c r="R905">
        <v>0.37905018496756537</v>
      </c>
      <c r="S905">
        <v>0.16080059010814049</v>
      </c>
      <c r="T905">
        <v>16.192774475702354</v>
      </c>
      <c r="U905">
        <v>1542.0118083776213</v>
      </c>
      <c r="V905">
        <v>10.393412062370142</v>
      </c>
      <c r="W905">
        <v>1298.9087073104401</v>
      </c>
      <c r="X905">
        <v>7.6486409478253954</v>
      </c>
      <c r="Y905">
        <v>2905.0932920179639</v>
      </c>
      <c r="Z905">
        <v>10.43620770027178</v>
      </c>
      <c r="AA905">
        <v>2743.8362581599381</v>
      </c>
      <c r="AB905">
        <v>7.6738187888836302</v>
      </c>
      <c r="AC905">
        <v>2217.0066733667336</v>
      </c>
      <c r="AD905">
        <v>10.424958484805524</v>
      </c>
      <c r="AE905">
        <v>2026.11826727312</v>
      </c>
      <c r="AF905">
        <v>7.667208670490127</v>
      </c>
      <c r="AG905">
        <v>2150.5288866146193</v>
      </c>
      <c r="AH905">
        <v>10.417011182415282</v>
      </c>
      <c r="AI905">
        <v>1935.3385911196394</v>
      </c>
      <c r="AJ905">
        <v>7.6625353161788983</v>
      </c>
    </row>
    <row r="906" spans="4:36" x14ac:dyDescent="0.55000000000000004">
      <c r="D906">
        <v>899</v>
      </c>
      <c r="E906">
        <v>14.934869516627375</v>
      </c>
      <c r="F906">
        <v>0.54679651898845216</v>
      </c>
      <c r="G906">
        <v>0.19972207771639322</v>
      </c>
      <c r="H906">
        <v>14.318611886667789</v>
      </c>
      <c r="I906">
        <v>15.211833224664025</v>
      </c>
      <c r="J906">
        <v>0.35978174340441715</v>
      </c>
      <c r="K906">
        <v>0.13096088692218857</v>
      </c>
      <c r="L906">
        <v>14.297424145009362</v>
      </c>
      <c r="M906">
        <v>15.111150479867479</v>
      </c>
      <c r="N906">
        <v>0.42781852944808518</v>
      </c>
      <c r="O906">
        <v>0.15592071010232292</v>
      </c>
      <c r="P906">
        <v>14.305110280582129</v>
      </c>
      <c r="Q906">
        <v>15.072298071213925</v>
      </c>
      <c r="R906">
        <v>0.45405722033406626</v>
      </c>
      <c r="S906">
        <v>0.16556353477909241</v>
      </c>
      <c r="T906">
        <v>14.308081173672905</v>
      </c>
      <c r="U906">
        <v>1661.0656659500848</v>
      </c>
      <c r="V906">
        <v>11.734510609900848</v>
      </c>
      <c r="W906">
        <v>1371.6376855413948</v>
      </c>
      <c r="X906">
        <v>8.4252927960653103</v>
      </c>
      <c r="Y906">
        <v>2962.2227128358495</v>
      </c>
      <c r="Z906">
        <v>11.797889674879055</v>
      </c>
      <c r="AA906">
        <v>2775.9547855157348</v>
      </c>
      <c r="AB906">
        <v>8.4611771164976055</v>
      </c>
      <c r="AC906">
        <v>2316.9920796382298</v>
      </c>
      <c r="AD906">
        <v>11.77485918772701</v>
      </c>
      <c r="AE906">
        <v>2086.3064618640519</v>
      </c>
      <c r="AF906">
        <v>8.4481496502944893</v>
      </c>
      <c r="AG906">
        <v>2202.0183240799142</v>
      </c>
      <c r="AH906">
        <v>11.765969145999783</v>
      </c>
      <c r="AI906">
        <v>1959.6681576034814</v>
      </c>
      <c r="AJ906">
        <v>8.443117226906347</v>
      </c>
    </row>
    <row r="907" spans="4:36" x14ac:dyDescent="0.55000000000000004">
      <c r="D907">
        <v>900</v>
      </c>
      <c r="E907">
        <v>13.327040169782288</v>
      </c>
      <c r="F907">
        <v>0.51229176738901594</v>
      </c>
      <c r="G907">
        <v>0.1979227839717512</v>
      </c>
      <c r="H907">
        <v>15.962745278856946</v>
      </c>
      <c r="I907">
        <v>13.584578156095048</v>
      </c>
      <c r="J907">
        <v>0.32648764524444129</v>
      </c>
      <c r="K907">
        <v>0.12569057144567825</v>
      </c>
      <c r="L907">
        <v>15.963243627214835</v>
      </c>
      <c r="M907">
        <v>13.494726704037884</v>
      </c>
      <c r="N907">
        <v>0.39135533498757769</v>
      </c>
      <c r="O907">
        <v>0.15084902874464659</v>
      </c>
      <c r="P907">
        <v>15.963068932229902</v>
      </c>
      <c r="Q907">
        <v>13.46473300859039</v>
      </c>
      <c r="R907">
        <v>0.41299883890654832</v>
      </c>
      <c r="S907">
        <v>0.15925733990170071</v>
      </c>
      <c r="T907">
        <v>15.963010812601347</v>
      </c>
      <c r="U907">
        <v>1584.9987379587899</v>
      </c>
      <c r="V907">
        <v>10.567936747683829</v>
      </c>
      <c r="W907">
        <v>1323.395121789961</v>
      </c>
      <c r="X907">
        <v>7.7545193781763464</v>
      </c>
      <c r="Y907">
        <v>2947.7135990055053</v>
      </c>
      <c r="Z907">
        <v>10.619452373762215</v>
      </c>
      <c r="AA907">
        <v>2771.0963131188478</v>
      </c>
      <c r="AB907">
        <v>7.7850431105667983</v>
      </c>
      <c r="AC907">
        <v>2289.1540000285254</v>
      </c>
      <c r="AD907">
        <v>10.601479657902235</v>
      </c>
      <c r="AE907">
        <v>2072.9976836789328</v>
      </c>
      <c r="AF907">
        <v>7.7744068334251013</v>
      </c>
      <c r="AG907">
        <v>2161.9128004924273</v>
      </c>
      <c r="AH907">
        <v>10.59548002028456</v>
      </c>
      <c r="AI907">
        <v>1937.7901172823838</v>
      </c>
      <c r="AJ907">
        <v>7.7708532022663031</v>
      </c>
    </row>
    <row r="908" spans="4:36" x14ac:dyDescent="0.55000000000000004">
      <c r="D908">
        <v>901</v>
      </c>
      <c r="E908">
        <v>13.01267995332943</v>
      </c>
      <c r="F908">
        <v>0.488717238538182</v>
      </c>
      <c r="G908">
        <v>0.15356666566446595</v>
      </c>
      <c r="H908">
        <v>16.345036142467908</v>
      </c>
      <c r="I908">
        <v>13.241924754777289</v>
      </c>
      <c r="J908">
        <v>0.32313664807488424</v>
      </c>
      <c r="K908">
        <v>0.10122705017508114</v>
      </c>
      <c r="L908">
        <v>16.333711546972751</v>
      </c>
      <c r="M908">
        <v>13.165889649979265</v>
      </c>
      <c r="N908">
        <v>0.37808968956327532</v>
      </c>
      <c r="O908">
        <v>0.11856154616055259</v>
      </c>
      <c r="P908">
        <v>16.337459114296905</v>
      </c>
      <c r="Q908">
        <v>13.138421733028663</v>
      </c>
      <c r="R908">
        <v>0.39793341982781405</v>
      </c>
      <c r="S908">
        <v>0.12482984018061515</v>
      </c>
      <c r="T908">
        <v>16.338815006962907</v>
      </c>
      <c r="U908">
        <v>1567.4669243167857</v>
      </c>
      <c r="V908">
        <v>10.277101521126657</v>
      </c>
      <c r="W908">
        <v>1317.2857617243212</v>
      </c>
      <c r="X908">
        <v>7.5809192212451091</v>
      </c>
      <c r="Y908">
        <v>2935.9033332996587</v>
      </c>
      <c r="Z908">
        <v>10.326459082873498</v>
      </c>
      <c r="AA908">
        <v>2765.9556289238421</v>
      </c>
      <c r="AB908">
        <v>7.6097874671458694</v>
      </c>
      <c r="AC908">
        <v>2262.9778178724964</v>
      </c>
      <c r="AD908">
        <v>10.310093042668989</v>
      </c>
      <c r="AE908">
        <v>2058.7103908054473</v>
      </c>
      <c r="AF908">
        <v>7.600225288350126</v>
      </c>
      <c r="AG908">
        <v>2132.8927706334621</v>
      </c>
      <c r="AH908">
        <v>10.304179618441138</v>
      </c>
      <c r="AI908">
        <v>1921.7022725724078</v>
      </c>
      <c r="AJ908">
        <v>7.5967678302345245</v>
      </c>
    </row>
    <row r="909" spans="4:36" x14ac:dyDescent="0.55000000000000004">
      <c r="D909">
        <v>902</v>
      </c>
      <c r="E909">
        <v>11.97308512052108</v>
      </c>
      <c r="F909">
        <v>0.41971805145171276</v>
      </c>
      <c r="G909">
        <v>0.17164123942801207</v>
      </c>
      <c r="H909">
        <v>17.435555588599204</v>
      </c>
      <c r="I909">
        <v>12.166744284806049</v>
      </c>
      <c r="J909">
        <v>0.27629437256876133</v>
      </c>
      <c r="K909">
        <v>0.1126466644206373</v>
      </c>
      <c r="L909">
        <v>17.444314678204556</v>
      </c>
      <c r="M909">
        <v>12.065191190383828</v>
      </c>
      <c r="N909">
        <v>0.35153158814852326</v>
      </c>
      <c r="O909">
        <v>0.14354877175358022</v>
      </c>
      <c r="P909">
        <v>17.439728449714071</v>
      </c>
      <c r="Q909">
        <v>12.030535203051143</v>
      </c>
      <c r="R909">
        <v>0.3771933517619051</v>
      </c>
      <c r="S909">
        <v>0.15411159356009679</v>
      </c>
      <c r="T909">
        <v>17.438159851626857</v>
      </c>
      <c r="U909">
        <v>1502.0693558810094</v>
      </c>
      <c r="V909">
        <v>9.4854906404284822</v>
      </c>
      <c r="W909">
        <v>1281.6908412578689</v>
      </c>
      <c r="X909">
        <v>7.1109288849435259</v>
      </c>
      <c r="Y909">
        <v>2881.7538677583957</v>
      </c>
      <c r="Z909">
        <v>9.520419499591668</v>
      </c>
      <c r="AA909">
        <v>2734.6260303433528</v>
      </c>
      <c r="AB909">
        <v>7.1326335944618231</v>
      </c>
      <c r="AC909">
        <v>2176.5539390214858</v>
      </c>
      <c r="AD909">
        <v>9.5020986540762387</v>
      </c>
      <c r="AE909">
        <v>2002.5721273950755</v>
      </c>
      <c r="AF909">
        <v>7.1212592349682913</v>
      </c>
      <c r="AG909">
        <v>2064.6676743479443</v>
      </c>
      <c r="AH909">
        <v>9.4958487372129916</v>
      </c>
      <c r="AI909">
        <v>1878.9721365116104</v>
      </c>
      <c r="AJ909">
        <v>7.1173739038317176</v>
      </c>
    </row>
    <row r="910" spans="4:36" x14ac:dyDescent="0.55000000000000004">
      <c r="D910">
        <v>903</v>
      </c>
      <c r="E910">
        <v>11.44183926292008</v>
      </c>
      <c r="F910">
        <v>0.41186328101848146</v>
      </c>
      <c r="G910">
        <v>0.169114771886932</v>
      </c>
      <c r="H910">
        <v>17.977182684174515</v>
      </c>
      <c r="I910">
        <v>11.610626111523279</v>
      </c>
      <c r="J910">
        <v>0.27906054386346318</v>
      </c>
      <c r="K910">
        <v>0.1142718113389318</v>
      </c>
      <c r="L910">
        <v>17.996041533274319</v>
      </c>
      <c r="M910">
        <v>11.555115631313289</v>
      </c>
      <c r="N910">
        <v>0.32275260005538303</v>
      </c>
      <c r="O910">
        <v>0.13228162458960652</v>
      </c>
      <c r="P910">
        <v>17.989850144041718</v>
      </c>
      <c r="Q910">
        <v>11.487166795380125</v>
      </c>
      <c r="R910">
        <v>0.37621352177218992</v>
      </c>
      <c r="S910">
        <v>0.15436275105232988</v>
      </c>
      <c r="T910">
        <v>17.982256931795348</v>
      </c>
      <c r="U910">
        <v>1483.87284302547</v>
      </c>
      <c r="V910">
        <v>9.1048692061070273</v>
      </c>
      <c r="W910">
        <v>1267.4420626972606</v>
      </c>
      <c r="X910">
        <v>6.883569634091379</v>
      </c>
      <c r="Y910">
        <v>2872.537369878803</v>
      </c>
      <c r="Z910">
        <v>9.127998039764357</v>
      </c>
      <c r="AA910">
        <v>2726.6804323399951</v>
      </c>
      <c r="AB910">
        <v>6.8986192886812532</v>
      </c>
      <c r="AC910">
        <v>2195.5718816448903</v>
      </c>
      <c r="AD910">
        <v>9.1203856505015128</v>
      </c>
      <c r="AE910">
        <v>2018.5853603373462</v>
      </c>
      <c r="AF910">
        <v>6.8936728453340992</v>
      </c>
      <c r="AG910">
        <v>2112.5449975554766</v>
      </c>
      <c r="AH910">
        <v>9.1110752555892933</v>
      </c>
      <c r="AI910">
        <v>1914.1536173262848</v>
      </c>
      <c r="AJ910">
        <v>6.8876139496128115</v>
      </c>
    </row>
    <row r="911" spans="4:36" x14ac:dyDescent="0.55000000000000004">
      <c r="D911">
        <v>904</v>
      </c>
      <c r="E911">
        <v>14.691350063807064</v>
      </c>
      <c r="F911">
        <v>0.53591461443353805</v>
      </c>
      <c r="G911">
        <v>0.17676191549207132</v>
      </c>
      <c r="H911">
        <v>14.595973406267341</v>
      </c>
      <c r="I911">
        <v>15.018440869635299</v>
      </c>
      <c r="J911">
        <v>0.32309859472207864</v>
      </c>
      <c r="K911">
        <v>0.10612598135711204</v>
      </c>
      <c r="L911">
        <v>14.552334554285517</v>
      </c>
      <c r="M911">
        <v>14.864172266212332</v>
      </c>
      <c r="N911">
        <v>0.42355470888856123</v>
      </c>
      <c r="O911">
        <v>0.1393939264575054</v>
      </c>
      <c r="P911">
        <v>14.572879098441588</v>
      </c>
      <c r="Q911">
        <v>14.807552711484725</v>
      </c>
      <c r="R911">
        <v>0.46038660809783238</v>
      </c>
      <c r="S911">
        <v>0.15162473544523572</v>
      </c>
      <c r="T911">
        <v>14.580435944972201</v>
      </c>
      <c r="U911">
        <v>1655.8271842657616</v>
      </c>
      <c r="V911">
        <v>11.572744726857511</v>
      </c>
      <c r="W911">
        <v>1367.3211518782171</v>
      </c>
      <c r="X911">
        <v>8.339171111281475</v>
      </c>
      <c r="Y911">
        <v>2964.9913404220406</v>
      </c>
      <c r="Z911">
        <v>11.658997965270398</v>
      </c>
      <c r="AA911">
        <v>2779.5929682786668</v>
      </c>
      <c r="AB911">
        <v>8.3877564299938037</v>
      </c>
      <c r="AC911">
        <v>2329.1002746124004</v>
      </c>
      <c r="AD911">
        <v>11.618338353493341</v>
      </c>
      <c r="AE911">
        <v>2094.3763263903666</v>
      </c>
      <c r="AF911">
        <v>8.3648739607384819</v>
      </c>
      <c r="AG911">
        <v>2211.8370041962457</v>
      </c>
      <c r="AH911">
        <v>11.603406242558584</v>
      </c>
      <c r="AI911">
        <v>1965.2934639353252</v>
      </c>
      <c r="AJ911">
        <v>8.3564612813613355</v>
      </c>
    </row>
    <row r="912" spans="4:36" x14ac:dyDescent="0.55000000000000004">
      <c r="D912">
        <v>905</v>
      </c>
      <c r="E912">
        <v>12.365291774820468</v>
      </c>
      <c r="F912">
        <v>0.44700577593254731</v>
      </c>
      <c r="G912">
        <v>0.17471049860548701</v>
      </c>
      <c r="H912">
        <v>17.012991950641482</v>
      </c>
      <c r="I912">
        <v>12.574460384035334</v>
      </c>
      <c r="J912">
        <v>0.29380410452661548</v>
      </c>
      <c r="K912">
        <v>0.11446754150967287</v>
      </c>
      <c r="L912">
        <v>17.017267969928383</v>
      </c>
      <c r="M912">
        <v>12.511320627683233</v>
      </c>
      <c r="N912">
        <v>0.34007651361569813</v>
      </c>
      <c r="O912">
        <v>0.13262215937023497</v>
      </c>
      <c r="P912">
        <v>17.015980699330843</v>
      </c>
      <c r="Q912">
        <v>12.448336586329333</v>
      </c>
      <c r="R912">
        <v>0.38621173041449192</v>
      </c>
      <c r="S912">
        <v>0.15075807665035285</v>
      </c>
      <c r="T912">
        <v>17.01469360660581</v>
      </c>
      <c r="U912">
        <v>1511.5332708143292</v>
      </c>
      <c r="V912">
        <v>9.7129390257768264</v>
      </c>
      <c r="W912">
        <v>1282.7760911965966</v>
      </c>
      <c r="X912">
        <v>7.23278160136464</v>
      </c>
      <c r="Y912">
        <v>2895.3683398092062</v>
      </c>
      <c r="Z912">
        <v>9.7468951674213944</v>
      </c>
      <c r="AA912">
        <v>2740.8525781985431</v>
      </c>
      <c r="AB912">
        <v>7.2534850018100068</v>
      </c>
      <c r="AC912">
        <v>2202.3476567050334</v>
      </c>
      <c r="AD912">
        <v>9.7366431165210372</v>
      </c>
      <c r="AE912">
        <v>2019.8719183932765</v>
      </c>
      <c r="AF912">
        <v>7.2472421693661522</v>
      </c>
      <c r="AG912">
        <v>2116.4870656140188</v>
      </c>
      <c r="AH912">
        <v>9.7264180922195802</v>
      </c>
      <c r="AI912">
        <v>1913.9101706290751</v>
      </c>
      <c r="AJ912">
        <v>7.2410089765215497</v>
      </c>
    </row>
    <row r="913" spans="4:36" x14ac:dyDescent="0.55000000000000004">
      <c r="D913">
        <v>906</v>
      </c>
      <c r="E913">
        <v>11.074203277118906</v>
      </c>
      <c r="F913">
        <v>0.40051721353602365</v>
      </c>
      <c r="G913">
        <v>0.14149202108537742</v>
      </c>
      <c r="H913">
        <v>18.383787488259689</v>
      </c>
      <c r="I913">
        <v>11.24190655674105</v>
      </c>
      <c r="J913">
        <v>0.26467821098947858</v>
      </c>
      <c r="K913">
        <v>9.3251053892742922E-2</v>
      </c>
      <c r="L913">
        <v>18.400164178376738</v>
      </c>
      <c r="M913">
        <v>11.162465886072457</v>
      </c>
      <c r="N913">
        <v>0.3290413419982719</v>
      </c>
      <c r="O913">
        <v>0.11607561302330996</v>
      </c>
      <c r="P913">
        <v>18.392417158905968</v>
      </c>
      <c r="Q913">
        <v>11.149336622194303</v>
      </c>
      <c r="R913">
        <v>0.33967586990402626</v>
      </c>
      <c r="S913">
        <v>0.11985253737660111</v>
      </c>
      <c r="T913">
        <v>18.391134970525066</v>
      </c>
      <c r="U913">
        <v>1436.5709984445359</v>
      </c>
      <c r="V913">
        <v>8.8239979072767873</v>
      </c>
      <c r="W913">
        <v>1238.9821256360092</v>
      </c>
      <c r="X913">
        <v>6.7160759727150383</v>
      </c>
      <c r="Y913">
        <v>2855.7888611728858</v>
      </c>
      <c r="Z913">
        <v>8.8486812589611468</v>
      </c>
      <c r="AA913">
        <v>2719.7190418295831</v>
      </c>
      <c r="AB913">
        <v>6.7321193145195783</v>
      </c>
      <c r="AC913">
        <v>2147.7917960099908</v>
      </c>
      <c r="AD913">
        <v>8.8369827827477803</v>
      </c>
      <c r="AE913">
        <v>1986.9079414766022</v>
      </c>
      <c r="AF913">
        <v>6.7245239514942607</v>
      </c>
      <c r="AG913">
        <v>2038.3264604231651</v>
      </c>
      <c r="AH913">
        <v>8.8350504015994691</v>
      </c>
      <c r="AI913">
        <v>1866.7579916342488</v>
      </c>
      <c r="AJ913">
        <v>6.7232679080605919</v>
      </c>
    </row>
    <row r="914" spans="4:36" x14ac:dyDescent="0.55000000000000004">
      <c r="D914">
        <v>907</v>
      </c>
      <c r="E914">
        <v>11.824169330863306</v>
      </c>
      <c r="F914">
        <v>0.39263158632985212</v>
      </c>
      <c r="G914">
        <v>0.13736504469624225</v>
      </c>
      <c r="H914">
        <v>17.645834038110596</v>
      </c>
      <c r="I914">
        <v>11.998103844900184</v>
      </c>
      <c r="J914">
        <v>0.26670154883258179</v>
      </c>
      <c r="K914">
        <v>9.3057503742722453E-2</v>
      </c>
      <c r="L914">
        <v>17.642137102524526</v>
      </c>
      <c r="M914">
        <v>11.907120150255199</v>
      </c>
      <c r="N914">
        <v>0.33259760977800978</v>
      </c>
      <c r="O914">
        <v>0.11621247489321845</v>
      </c>
      <c r="P914">
        <v>17.64406976507356</v>
      </c>
      <c r="Q914">
        <v>11.89232452457362</v>
      </c>
      <c r="R914">
        <v>0.34330874399751748</v>
      </c>
      <c r="S914">
        <v>0.11998243687345296</v>
      </c>
      <c r="T914">
        <v>17.644384294555397</v>
      </c>
      <c r="U914">
        <v>1444.8874695647853</v>
      </c>
      <c r="V914">
        <v>9.235889542797894</v>
      </c>
      <c r="W914">
        <v>1243.0108157565492</v>
      </c>
      <c r="X914">
        <v>6.945350292696812</v>
      </c>
      <c r="Y914">
        <v>2855.2838454620287</v>
      </c>
      <c r="Z914">
        <v>9.26953401811347</v>
      </c>
      <c r="AA914">
        <v>2717.0288066959597</v>
      </c>
      <c r="AB914">
        <v>6.9656870779479867</v>
      </c>
      <c r="AC914">
        <v>2189.8314627024365</v>
      </c>
      <c r="AD914">
        <v>9.2519355698866761</v>
      </c>
      <c r="AE914">
        <v>2016.0817665073323</v>
      </c>
      <c r="AF914">
        <v>6.955057085274917</v>
      </c>
      <c r="AG914">
        <v>2070.5100296149153</v>
      </c>
      <c r="AH914">
        <v>9.249073593701997</v>
      </c>
      <c r="AI914">
        <v>1888.1838325796816</v>
      </c>
      <c r="AJ914">
        <v>6.9533267969895434</v>
      </c>
    </row>
    <row r="915" spans="4:36" x14ac:dyDescent="0.55000000000000004">
      <c r="D915">
        <v>908</v>
      </c>
      <c r="E915">
        <v>12.463148081407267</v>
      </c>
      <c r="F915">
        <v>0.49488373493640392</v>
      </c>
      <c r="G915">
        <v>0.16874026188707089</v>
      </c>
      <c r="H915">
        <v>16.873227921769274</v>
      </c>
      <c r="I915">
        <v>12.6841499915067</v>
      </c>
      <c r="J915">
        <v>0.32041841630011941</v>
      </c>
      <c r="K915">
        <v>0.10890248571254972</v>
      </c>
      <c r="L915">
        <v>16.886529106480626</v>
      </c>
      <c r="M915">
        <v>12.621736646161377</v>
      </c>
      <c r="N915">
        <v>0.36971303965323321</v>
      </c>
      <c r="O915">
        <v>0.12576999839793615</v>
      </c>
      <c r="P915">
        <v>16.882780315787453</v>
      </c>
      <c r="Q915">
        <v>12.546900631094772</v>
      </c>
      <c r="R915">
        <v>0.4287946638891133</v>
      </c>
      <c r="S915">
        <v>0.14602720401075875</v>
      </c>
      <c r="T915">
        <v>16.878277501005371</v>
      </c>
      <c r="U915">
        <v>1551.3421709931699</v>
      </c>
      <c r="V915">
        <v>9.7941568831841348</v>
      </c>
      <c r="W915">
        <v>1307.9927399111082</v>
      </c>
      <c r="X915">
        <v>7.2782499190786183</v>
      </c>
      <c r="Y915">
        <v>2924.7219533796847</v>
      </c>
      <c r="Z915">
        <v>9.8249407938308071</v>
      </c>
      <c r="AA915">
        <v>2760.1282025232954</v>
      </c>
      <c r="AB915">
        <v>7.2972483204856937</v>
      </c>
      <c r="AC915">
        <v>2224.4524840148565</v>
      </c>
      <c r="AD915">
        <v>9.8162433878642741</v>
      </c>
      <c r="AE915">
        <v>2033.4052864889313</v>
      </c>
      <c r="AF915">
        <v>7.2918884533037653</v>
      </c>
      <c r="AG915">
        <v>2144.9320570290811</v>
      </c>
      <c r="AH915">
        <v>9.8058186828591811</v>
      </c>
      <c r="AI915">
        <v>1931.095971937478</v>
      </c>
      <c r="AJ915">
        <v>7.2854560932027193</v>
      </c>
    </row>
    <row r="916" spans="4:36" x14ac:dyDescent="0.55000000000000004">
      <c r="D916">
        <v>909</v>
      </c>
      <c r="E916">
        <v>12.503933049890598</v>
      </c>
      <c r="F916">
        <v>0.42484393992694702</v>
      </c>
      <c r="G916">
        <v>0.15771094566536897</v>
      </c>
      <c r="H916">
        <v>16.913512064517086</v>
      </c>
      <c r="I916">
        <v>12.716457601350029</v>
      </c>
      <c r="J916">
        <v>0.28080836120035052</v>
      </c>
      <c r="K916">
        <v>0.10391215957965853</v>
      </c>
      <c r="L916">
        <v>16.89882187786996</v>
      </c>
      <c r="M916">
        <v>12.639573370197597</v>
      </c>
      <c r="N916">
        <v>0.33295010327810243</v>
      </c>
      <c r="O916">
        <v>0.12334771343521225</v>
      </c>
      <c r="P916">
        <v>16.904128813089088</v>
      </c>
      <c r="Q916">
        <v>12.595246542909351</v>
      </c>
      <c r="R916">
        <v>0.36299417264653644</v>
      </c>
      <c r="S916">
        <v>0.13456697022794659</v>
      </c>
      <c r="T916">
        <v>16.907192314216172</v>
      </c>
      <c r="U916">
        <v>1518.8021501763662</v>
      </c>
      <c r="V916">
        <v>9.8848445162037653</v>
      </c>
      <c r="W916">
        <v>1292.0858152362109</v>
      </c>
      <c r="X916">
        <v>7.352213518474259</v>
      </c>
      <c r="Y916">
        <v>2867.5626574261605</v>
      </c>
      <c r="Z916">
        <v>9.9335450318829022</v>
      </c>
      <c r="AA916">
        <v>2722.4588006387921</v>
      </c>
      <c r="AB916">
        <v>7.3808663115935893</v>
      </c>
      <c r="AC916">
        <v>2195.1186105490569</v>
      </c>
      <c r="AD916">
        <v>9.9159315080220569</v>
      </c>
      <c r="AE916">
        <v>2016.6079629482313</v>
      </c>
      <c r="AF916">
        <v>7.3705137052756138</v>
      </c>
      <c r="AG916">
        <v>2106.5110342899038</v>
      </c>
      <c r="AH916">
        <v>9.9057742033168772</v>
      </c>
      <c r="AI916">
        <v>1910.0349666117729</v>
      </c>
      <c r="AJ916">
        <v>7.3645383397396138</v>
      </c>
    </row>
    <row r="917" spans="4:36" x14ac:dyDescent="0.55000000000000004">
      <c r="D917">
        <v>910</v>
      </c>
      <c r="E917">
        <v>11.964063021569629</v>
      </c>
      <c r="F917">
        <v>0.38882295924597177</v>
      </c>
      <c r="G917">
        <v>0.12129743068339241</v>
      </c>
      <c r="H917">
        <v>17.525816588501019</v>
      </c>
      <c r="I917">
        <v>12.146175120930229</v>
      </c>
      <c r="J917">
        <v>0.25811146349291331</v>
      </c>
      <c r="K917">
        <v>8.0312041731793057E-2</v>
      </c>
      <c r="L917">
        <v>17.515401373845059</v>
      </c>
      <c r="M917">
        <v>12.015630399570648</v>
      </c>
      <c r="N917">
        <v>0.35183115480404897</v>
      </c>
      <c r="O917">
        <v>0.10967652817723805</v>
      </c>
      <c r="P917">
        <v>17.522861917448051</v>
      </c>
      <c r="Q917">
        <v>12.029442830666124</v>
      </c>
      <c r="R917">
        <v>0.34192001519213211</v>
      </c>
      <c r="S917">
        <v>0.10656591437679676</v>
      </c>
      <c r="T917">
        <v>17.522071239764959</v>
      </c>
      <c r="U917">
        <v>1469.8147052131533</v>
      </c>
      <c r="V917">
        <v>9.4137389888453313</v>
      </c>
      <c r="W917">
        <v>1262.0545278923917</v>
      </c>
      <c r="X917">
        <v>7.0670202145707748</v>
      </c>
      <c r="Y917">
        <v>2853.7212810984756</v>
      </c>
      <c r="Z917">
        <v>9.4553284714239005</v>
      </c>
      <c r="AA917">
        <v>2716.4641900359261</v>
      </c>
      <c r="AB917">
        <v>7.0917536022255243</v>
      </c>
      <c r="AC917">
        <v>2197.9693930284925</v>
      </c>
      <c r="AD917">
        <v>9.4255186122084691</v>
      </c>
      <c r="AE917">
        <v>2020.6721919080144</v>
      </c>
      <c r="AF917">
        <v>7.0740327797836349</v>
      </c>
      <c r="AG917">
        <v>2063.1840148887009</v>
      </c>
      <c r="AH917">
        <v>9.4286734011092435</v>
      </c>
      <c r="AI917">
        <v>1882.662058816338</v>
      </c>
      <c r="AJ917">
        <v>7.0759098975218251</v>
      </c>
    </row>
    <row r="918" spans="4:36" x14ac:dyDescent="0.55000000000000004">
      <c r="D918">
        <v>911</v>
      </c>
      <c r="E918">
        <v>12.347243218954386</v>
      </c>
      <c r="F918">
        <v>0.43815373606441699</v>
      </c>
      <c r="G918">
        <v>0.14189177599455524</v>
      </c>
      <c r="H918">
        <v>17.072711268986637</v>
      </c>
      <c r="I918">
        <v>12.539940514323773</v>
      </c>
      <c r="J918">
        <v>0.29487668862751959</v>
      </c>
      <c r="K918">
        <v>9.5230452572533847E-2</v>
      </c>
      <c r="L918">
        <v>17.069952344476196</v>
      </c>
      <c r="M918">
        <v>12.432331677531508</v>
      </c>
      <c r="N918">
        <v>0.37491344772473245</v>
      </c>
      <c r="O918">
        <v>0.12126404807358487</v>
      </c>
      <c r="P918">
        <v>17.071490826670182</v>
      </c>
      <c r="Q918">
        <v>12.4447460972413</v>
      </c>
      <c r="R918">
        <v>0.36568324385928791</v>
      </c>
      <c r="S918">
        <v>0.11825760338196768</v>
      </c>
      <c r="T918">
        <v>17.071313055517447</v>
      </c>
      <c r="U918">
        <v>1555.5034211587465</v>
      </c>
      <c r="V918">
        <v>9.8417766399815712</v>
      </c>
      <c r="W918">
        <v>1318.1302624038174</v>
      </c>
      <c r="X918">
        <v>7.3364245060425013</v>
      </c>
      <c r="Y918">
        <v>2900.7715087699594</v>
      </c>
      <c r="Z918">
        <v>9.8793496319191956</v>
      </c>
      <c r="AA918">
        <v>2745.9052382180562</v>
      </c>
      <c r="AB918">
        <v>7.3588732235313508</v>
      </c>
      <c r="AC918">
        <v>2232.9505480463517</v>
      </c>
      <c r="AD918">
        <v>9.8583690696418085</v>
      </c>
      <c r="AE918">
        <v>2041.3484598941968</v>
      </c>
      <c r="AF918">
        <v>7.3463463688399147</v>
      </c>
      <c r="AG918">
        <v>2092.6361149280124</v>
      </c>
      <c r="AH918">
        <v>9.8607897091776948</v>
      </c>
      <c r="AI918">
        <v>1899.0780278110324</v>
      </c>
      <c r="AJ918">
        <v>7.3477927371096117</v>
      </c>
    </row>
    <row r="919" spans="4:36" x14ac:dyDescent="0.55000000000000004">
      <c r="D919">
        <v>912</v>
      </c>
      <c r="E919">
        <v>12.478009992481152</v>
      </c>
      <c r="F919">
        <v>0.46212904619116613</v>
      </c>
      <c r="G919">
        <v>0.17614927210657202</v>
      </c>
      <c r="H919">
        <v>16.883711689221109</v>
      </c>
      <c r="I919">
        <v>12.698088600340622</v>
      </c>
      <c r="J919">
        <v>0.29408243802227296</v>
      </c>
      <c r="K919">
        <v>0.1117402055729754</v>
      </c>
      <c r="L919">
        <v>16.896088756064149</v>
      </c>
      <c r="M919">
        <v>12.602172297968647</v>
      </c>
      <c r="N919">
        <v>0.3673531128153163</v>
      </c>
      <c r="O919">
        <v>0.13977254822563109</v>
      </c>
      <c r="P919">
        <v>16.890702040990412</v>
      </c>
      <c r="Q919">
        <v>12.550778011215334</v>
      </c>
      <c r="R919">
        <v>0.40659344702141026</v>
      </c>
      <c r="S919">
        <v>0.15481762085666334</v>
      </c>
      <c r="T919">
        <v>16.887810920906606</v>
      </c>
      <c r="U919">
        <v>1529.996817306449</v>
      </c>
      <c r="V919">
        <v>9.9002643780469359</v>
      </c>
      <c r="W919">
        <v>1293.9587990341324</v>
      </c>
      <c r="X919">
        <v>7.35956293279148</v>
      </c>
      <c r="Y919">
        <v>2895.9904558971234</v>
      </c>
      <c r="Z919">
        <v>9.9366023200136091</v>
      </c>
      <c r="AA919">
        <v>2740.3904728953335</v>
      </c>
      <c r="AB919">
        <v>7.3819018213828942</v>
      </c>
      <c r="AC919">
        <v>2239.7293371687974</v>
      </c>
      <c r="AD919">
        <v>9.9207608541257741</v>
      </c>
      <c r="AE919">
        <v>2044.4781625241192</v>
      </c>
      <c r="AF919">
        <v>7.3721740115823202</v>
      </c>
      <c r="AG919">
        <v>2127.0639609620707</v>
      </c>
      <c r="AH919">
        <v>9.9122753965569501</v>
      </c>
      <c r="AI919">
        <v>1918.9247238601204</v>
      </c>
      <c r="AJ919">
        <v>7.3669564888571299</v>
      </c>
    </row>
    <row r="920" spans="4:36" x14ac:dyDescent="0.55000000000000004">
      <c r="D920">
        <v>913</v>
      </c>
      <c r="E920">
        <v>13.258284844829083</v>
      </c>
      <c r="F920">
        <v>0.48212990862510552</v>
      </c>
      <c r="G920">
        <v>0.18272624482021571</v>
      </c>
      <c r="H920">
        <v>16.076859001725595</v>
      </c>
      <c r="I920">
        <v>13.499410064237095</v>
      </c>
      <c r="J920">
        <v>0.31065854403568488</v>
      </c>
      <c r="K920">
        <v>0.1173212572999989</v>
      </c>
      <c r="L920">
        <v>16.072610134427215</v>
      </c>
      <c r="M920">
        <v>13.392730405622647</v>
      </c>
      <c r="N920">
        <v>0.38656405097065555</v>
      </c>
      <c r="O920">
        <v>0.14621596288011332</v>
      </c>
      <c r="P920">
        <v>16.074489580526581</v>
      </c>
      <c r="Q920">
        <v>13.34074635845097</v>
      </c>
      <c r="R920">
        <v>0.42352781149669388</v>
      </c>
      <c r="S920">
        <v>0.16032020628602628</v>
      </c>
      <c r="T920">
        <v>16.075405623766297</v>
      </c>
      <c r="U920">
        <v>1618.9360274306716</v>
      </c>
      <c r="V920">
        <v>10.490429011097209</v>
      </c>
      <c r="W920">
        <v>1350.7155931099103</v>
      </c>
      <c r="X920">
        <v>7.7074478320466424</v>
      </c>
      <c r="Y920">
        <v>2946.4797151022958</v>
      </c>
      <c r="Z920">
        <v>10.537711567882853</v>
      </c>
      <c r="AA920">
        <v>2771.3693238151404</v>
      </c>
      <c r="AB920">
        <v>7.7354885298379239</v>
      </c>
      <c r="AC920">
        <v>2293.1749341975215</v>
      </c>
      <c r="AD920">
        <v>10.516792604413299</v>
      </c>
      <c r="AE920">
        <v>2076.222310780051</v>
      </c>
      <c r="AF920">
        <v>7.7230948605375689</v>
      </c>
      <c r="AG920">
        <v>2166.9944925743757</v>
      </c>
      <c r="AH920">
        <v>10.506598985174607</v>
      </c>
      <c r="AI920">
        <v>1940.5148525187781</v>
      </c>
      <c r="AJ920">
        <v>7.7170485356039862</v>
      </c>
    </row>
    <row r="921" spans="4:36" x14ac:dyDescent="0.55000000000000004">
      <c r="D921">
        <v>914</v>
      </c>
      <c r="E921">
        <v>12.198345327882198</v>
      </c>
      <c r="F921">
        <v>0.41793563703023617</v>
      </c>
      <c r="G921">
        <v>0.15157977583294113</v>
      </c>
      <c r="H921">
        <v>17.232139259254637</v>
      </c>
      <c r="I921">
        <v>12.402767025679566</v>
      </c>
      <c r="J921">
        <v>0.27019293774482889</v>
      </c>
      <c r="K921">
        <v>9.7702661893821374E-2</v>
      </c>
      <c r="L921">
        <v>17.229337374681798</v>
      </c>
      <c r="M921">
        <v>12.309240387321708</v>
      </c>
      <c r="N921">
        <v>0.33781919511434216</v>
      </c>
      <c r="O921">
        <v>0.12232326849097819</v>
      </c>
      <c r="P921">
        <v>17.230617149072977</v>
      </c>
      <c r="Q921">
        <v>12.279419228035044</v>
      </c>
      <c r="R921">
        <v>0.35937090081311207</v>
      </c>
      <c r="S921">
        <v>0.13018390746078662</v>
      </c>
      <c r="T921">
        <v>17.231025963691049</v>
      </c>
      <c r="U921">
        <v>1554.7216560879713</v>
      </c>
      <c r="V921">
        <v>9.5846428322194974</v>
      </c>
      <c r="W921">
        <v>1317.2307021577424</v>
      </c>
      <c r="X921">
        <v>7.1608174109616716</v>
      </c>
      <c r="Y921">
        <v>2898.4611886524299</v>
      </c>
      <c r="Z921">
        <v>9.621301804187917</v>
      </c>
      <c r="AA921">
        <v>2744.9045019835653</v>
      </c>
      <c r="AB921">
        <v>7.18284097529365</v>
      </c>
      <c r="AC921">
        <v>2225.4725463778568</v>
      </c>
      <c r="AD921">
        <v>9.6045306329235114</v>
      </c>
      <c r="AE921">
        <v>2037.0954052262084</v>
      </c>
      <c r="AF921">
        <v>7.1727744635436625</v>
      </c>
      <c r="AG921">
        <v>2116.0369860026294</v>
      </c>
      <c r="AH921">
        <v>9.5991827665415475</v>
      </c>
      <c r="AI921">
        <v>1915.4636528009462</v>
      </c>
      <c r="AJ921">
        <v>7.1695613199799233</v>
      </c>
    </row>
    <row r="922" spans="4:36" x14ac:dyDescent="0.55000000000000004">
      <c r="D922">
        <v>915</v>
      </c>
      <c r="E922">
        <v>14.311447100730609</v>
      </c>
      <c r="F922">
        <v>0.52432708352534019</v>
      </c>
      <c r="G922">
        <v>0.1888896708544715</v>
      </c>
      <c r="H922">
        <v>14.97533614488958</v>
      </c>
      <c r="I922">
        <v>14.607761154908578</v>
      </c>
      <c r="J922">
        <v>0.33091242009071192</v>
      </c>
      <c r="K922">
        <v>0.11875518685079738</v>
      </c>
      <c r="L922">
        <v>14.942571238149904</v>
      </c>
      <c r="M922">
        <v>14.512812144543741</v>
      </c>
      <c r="N922">
        <v>0.39295000817064213</v>
      </c>
      <c r="O922">
        <v>0.14119119024141574</v>
      </c>
      <c r="P922">
        <v>14.953046657044201</v>
      </c>
      <c r="Q922">
        <v>14.448128061619959</v>
      </c>
      <c r="R922">
        <v>0.43518035725898413</v>
      </c>
      <c r="S922">
        <v>0.15649587329170192</v>
      </c>
      <c r="T922">
        <v>14.960195707829357</v>
      </c>
      <c r="U922">
        <v>1652.5859988512709</v>
      </c>
      <c r="V922">
        <v>11.364446624481197</v>
      </c>
      <c r="W922">
        <v>1368.796048900801</v>
      </c>
      <c r="X922">
        <v>8.229486695666731</v>
      </c>
      <c r="Y922">
        <v>2946.7741673387559</v>
      </c>
      <c r="Z922">
        <v>11.439970046146247</v>
      </c>
      <c r="AA922">
        <v>2767.761734624059</v>
      </c>
      <c r="AB922">
        <v>8.2723388512693372</v>
      </c>
      <c r="AC922">
        <v>2295.0902637460313</v>
      </c>
      <c r="AD922">
        <v>11.415783405377109</v>
      </c>
      <c r="AE922">
        <v>2074.2183323456402</v>
      </c>
      <c r="AF922">
        <v>8.2586304572270457</v>
      </c>
      <c r="AG922">
        <v>2212.1356691185724</v>
      </c>
      <c r="AH922">
        <v>11.3992989239284</v>
      </c>
      <c r="AI922">
        <v>1969.816949470925</v>
      </c>
      <c r="AJ922">
        <v>8.2492793143140215</v>
      </c>
    </row>
    <row r="923" spans="4:36" x14ac:dyDescent="0.55000000000000004">
      <c r="D923">
        <v>916</v>
      </c>
      <c r="E923">
        <v>12.519357777093951</v>
      </c>
      <c r="F923">
        <v>0.47760689598141381</v>
      </c>
      <c r="G923">
        <v>0.14751294735311168</v>
      </c>
      <c r="H923">
        <v>16.855522379571521</v>
      </c>
      <c r="I923">
        <v>12.721310314818066</v>
      </c>
      <c r="J923">
        <v>0.31794454470883693</v>
      </c>
      <c r="K923">
        <v>9.7925608552448778E-2</v>
      </c>
      <c r="L923">
        <v>16.862819531920646</v>
      </c>
      <c r="M923">
        <v>12.626304228281329</v>
      </c>
      <c r="N923">
        <v>0.39307993492632326</v>
      </c>
      <c r="O923">
        <v>0.12122584141475287</v>
      </c>
      <c r="P923">
        <v>16.85938999537759</v>
      </c>
      <c r="Q923">
        <v>12.578209379102477</v>
      </c>
      <c r="R923">
        <v>0.43109930110535533</v>
      </c>
      <c r="S923">
        <v>0.13303969957990341</v>
      </c>
      <c r="T923">
        <v>16.857651620212273</v>
      </c>
      <c r="U923">
        <v>1549.9624561147909</v>
      </c>
      <c r="V923">
        <v>9.8096209827207961</v>
      </c>
      <c r="W923">
        <v>1306.3586157523432</v>
      </c>
      <c r="X923">
        <v>7.2874956850244335</v>
      </c>
      <c r="Y923">
        <v>2916.3613629249512</v>
      </c>
      <c r="Z923">
        <v>9.840659336367656</v>
      </c>
      <c r="AA923">
        <v>2752.7858938833288</v>
      </c>
      <c r="AB923">
        <v>7.3063899798520469</v>
      </c>
      <c r="AC923">
        <v>2267.7194452753233</v>
      </c>
      <c r="AD923">
        <v>9.8260557828450139</v>
      </c>
      <c r="AE923">
        <v>2062.2409912938379</v>
      </c>
      <c r="AF923">
        <v>7.297508273096132</v>
      </c>
      <c r="AG923">
        <v>2140.2806670328741</v>
      </c>
      <c r="AH923">
        <v>9.8186643514220826</v>
      </c>
      <c r="AI923">
        <v>1925.6628340035143</v>
      </c>
      <c r="AJ923">
        <v>7.2930074460904022</v>
      </c>
    </row>
    <row r="924" spans="4:36" x14ac:dyDescent="0.55000000000000004">
      <c r="D924">
        <v>917</v>
      </c>
      <c r="E924">
        <v>11.904869688148326</v>
      </c>
      <c r="F924">
        <v>0.50267943152196604</v>
      </c>
      <c r="G924">
        <v>0.17475191891033406</v>
      </c>
      <c r="H924">
        <v>17.417698961419365</v>
      </c>
      <c r="I924">
        <v>12.13465117580748</v>
      </c>
      <c r="J924">
        <v>0.30887610024061579</v>
      </c>
      <c r="K924">
        <v>0.10701219567373854</v>
      </c>
      <c r="L924">
        <v>17.449460528278173</v>
      </c>
      <c r="M924">
        <v>12.025474558405699</v>
      </c>
      <c r="N924">
        <v>0.40098352456169584</v>
      </c>
      <c r="O924">
        <v>0.13914791338367249</v>
      </c>
      <c r="P924">
        <v>17.434394003648929</v>
      </c>
      <c r="Q924">
        <v>11.991074891646175</v>
      </c>
      <c r="R924">
        <v>0.42999556510324649</v>
      </c>
      <c r="S924">
        <v>0.14929187055804327</v>
      </c>
      <c r="T924">
        <v>17.429637672692529</v>
      </c>
      <c r="U924">
        <v>1534.5576653715243</v>
      </c>
      <c r="V924">
        <v>9.4892741227679309</v>
      </c>
      <c r="W924">
        <v>1298.1358330926082</v>
      </c>
      <c r="X924">
        <v>7.1112467402322022</v>
      </c>
      <c r="Y924">
        <v>2862.4836253158905</v>
      </c>
      <c r="Z924">
        <v>9.516857036128501</v>
      </c>
      <c r="AA924">
        <v>2716.6702165155398</v>
      </c>
      <c r="AB924">
        <v>7.1295321298816194</v>
      </c>
      <c r="AC924">
        <v>2228.4781936913209</v>
      </c>
      <c r="AD924">
        <v>9.5037365688356381</v>
      </c>
      <c r="AE924">
        <v>2036.6316563598396</v>
      </c>
      <c r="AF924">
        <v>7.12084775106345</v>
      </c>
      <c r="AG924">
        <v>2143.689154479815</v>
      </c>
      <c r="AH924">
        <v>9.4996081180505954</v>
      </c>
      <c r="AI924">
        <v>1933.1473810547263</v>
      </c>
      <c r="AJ924">
        <v>7.1181101092455243</v>
      </c>
    </row>
    <row r="925" spans="4:36" x14ac:dyDescent="0.55000000000000004">
      <c r="D925">
        <v>918</v>
      </c>
      <c r="E925">
        <v>12.257443146734269</v>
      </c>
      <c r="F925">
        <v>0.47955531936896434</v>
      </c>
      <c r="G925">
        <v>0.1383343296699871</v>
      </c>
      <c r="H925">
        <v>17.124667204226775</v>
      </c>
      <c r="I925">
        <v>12.479943189600856</v>
      </c>
      <c r="J925">
        <v>0.30102895347157244</v>
      </c>
      <c r="K925">
        <v>8.6566636916529674E-2</v>
      </c>
      <c r="L925">
        <v>17.132461220011031</v>
      </c>
      <c r="M925">
        <v>12.37870584253287</v>
      </c>
      <c r="N925">
        <v>0.38228651372419276</v>
      </c>
      <c r="O925">
        <v>0.11008866235388733</v>
      </c>
      <c r="P925">
        <v>17.128918981389049</v>
      </c>
      <c r="Q925">
        <v>12.33105005497247</v>
      </c>
      <c r="R925">
        <v>0.42052089534341086</v>
      </c>
      <c r="S925">
        <v>0.12117984289472675</v>
      </c>
      <c r="T925">
        <v>17.127249206789383</v>
      </c>
      <c r="U925">
        <v>1507.3514675520128</v>
      </c>
      <c r="V925">
        <v>9.6977076607051522</v>
      </c>
      <c r="W925">
        <v>1282.5505289640723</v>
      </c>
      <c r="X925">
        <v>7.2358917226313677</v>
      </c>
      <c r="Y925">
        <v>2872.6367945118841</v>
      </c>
      <c r="Z925">
        <v>9.7377841134788987</v>
      </c>
      <c r="AA925">
        <v>2726.7801391195603</v>
      </c>
      <c r="AB925">
        <v>7.2603459229944791</v>
      </c>
      <c r="AC925">
        <v>2185.042364828385</v>
      </c>
      <c r="AD925">
        <v>9.7195469270193779</v>
      </c>
      <c r="AE925">
        <v>2007.883195839589</v>
      </c>
      <c r="AF925">
        <v>7.2492295201438992</v>
      </c>
      <c r="AG925">
        <v>2110.5508544574127</v>
      </c>
      <c r="AH925">
        <v>9.7109634784841461</v>
      </c>
      <c r="AI925">
        <v>1911.5487948877069</v>
      </c>
      <c r="AJ925">
        <v>7.2439907624701334</v>
      </c>
    </row>
    <row r="926" spans="4:36" x14ac:dyDescent="0.55000000000000004">
      <c r="D926">
        <v>919</v>
      </c>
      <c r="E926">
        <v>12.724172108010254</v>
      </c>
      <c r="F926">
        <v>0.40723826728130935</v>
      </c>
      <c r="G926">
        <v>0.16393821400103586</v>
      </c>
      <c r="H926">
        <v>16.704651410707388</v>
      </c>
      <c r="I926">
        <v>12.935921239038954</v>
      </c>
      <c r="J926">
        <v>0.26432935585575795</v>
      </c>
      <c r="K926">
        <v>0.10607825770776233</v>
      </c>
      <c r="L926">
        <v>16.693671147397524</v>
      </c>
      <c r="M926">
        <v>12.840886133982464</v>
      </c>
      <c r="N926">
        <v>0.32850481734811465</v>
      </c>
      <c r="O926">
        <v>0.13201601418795125</v>
      </c>
      <c r="P926">
        <v>16.698593034481476</v>
      </c>
      <c r="Q926">
        <v>12.802750114365216</v>
      </c>
      <c r="R926">
        <v>0.354240692374368</v>
      </c>
      <c r="S926">
        <v>0.1424382725382744</v>
      </c>
      <c r="T926">
        <v>16.700570920722122</v>
      </c>
      <c r="U926">
        <v>1520.9433044910872</v>
      </c>
      <c r="V926">
        <v>10.031307080275235</v>
      </c>
      <c r="W926">
        <v>1293.8134560380142</v>
      </c>
      <c r="X926">
        <v>7.4362409218375536</v>
      </c>
      <c r="Y926">
        <v>2871.8448895110532</v>
      </c>
      <c r="Z926">
        <v>10.075869985376478</v>
      </c>
      <c r="AA926">
        <v>2726.184648535967</v>
      </c>
      <c r="AB926">
        <v>7.4624607324064831</v>
      </c>
      <c r="AC926">
        <v>2189.9302074807456</v>
      </c>
      <c r="AD926">
        <v>10.055873531434813</v>
      </c>
      <c r="AE926">
        <v>2012.2029889576941</v>
      </c>
      <c r="AF926">
        <v>7.4507051605270513</v>
      </c>
      <c r="AG926">
        <v>2062.4134146535494</v>
      </c>
      <c r="AH926">
        <v>10.04784754086155</v>
      </c>
      <c r="AI926">
        <v>1876.8369682416512</v>
      </c>
      <c r="AJ926">
        <v>7.4459823054589931</v>
      </c>
    </row>
    <row r="927" spans="4:36" x14ac:dyDescent="0.55000000000000004">
      <c r="D927">
        <v>920</v>
      </c>
      <c r="E927">
        <v>12.60526104203648</v>
      </c>
      <c r="F927">
        <v>0.46900728912253026</v>
      </c>
      <c r="G927">
        <v>0.17461728058665529</v>
      </c>
      <c r="H927">
        <v>16.751114388254337</v>
      </c>
      <c r="I927">
        <v>12.834699106312669</v>
      </c>
      <c r="J927">
        <v>0.29998238918432807</v>
      </c>
      <c r="K927">
        <v>0.11129707261358321</v>
      </c>
      <c r="L927">
        <v>16.754021431889409</v>
      </c>
      <c r="M927">
        <v>12.735602069446987</v>
      </c>
      <c r="N927">
        <v>0.37302303633046857</v>
      </c>
      <c r="O927">
        <v>0.13860444473435149</v>
      </c>
      <c r="P927">
        <v>16.752770449488189</v>
      </c>
      <c r="Q927">
        <v>12.706705794075262</v>
      </c>
      <c r="R927">
        <v>0.39431088693747812</v>
      </c>
      <c r="S927">
        <v>0.14657896282535776</v>
      </c>
      <c r="T927">
        <v>16.752404356161904</v>
      </c>
      <c r="U927">
        <v>1541.5790160633187</v>
      </c>
      <c r="V927">
        <v>10.044118149280679</v>
      </c>
      <c r="W927">
        <v>1300.5396510495041</v>
      </c>
      <c r="X927">
        <v>7.4512730322483893</v>
      </c>
      <c r="Y927">
        <v>2923.333005271576</v>
      </c>
      <c r="Z927">
        <v>10.084435790832547</v>
      </c>
      <c r="AA927">
        <v>2759.2569553051553</v>
      </c>
      <c r="AB927">
        <v>7.4756100573676454</v>
      </c>
      <c r="AC927">
        <v>2199.2903567182898</v>
      </c>
      <c r="AD927">
        <v>10.06702029643505</v>
      </c>
      <c r="AE927">
        <v>2012.5847016966181</v>
      </c>
      <c r="AF927">
        <v>7.4651088113583297</v>
      </c>
      <c r="AG927">
        <v>2138.1654503209415</v>
      </c>
      <c r="AH927">
        <v>10.061942531757849</v>
      </c>
      <c r="AI927">
        <v>1926.8839251479817</v>
      </c>
      <c r="AJ927">
        <v>7.4620437839668767</v>
      </c>
    </row>
    <row r="928" spans="4:36" x14ac:dyDescent="0.55000000000000004">
      <c r="D928">
        <v>921</v>
      </c>
      <c r="E928">
        <v>11.392647831078555</v>
      </c>
      <c r="F928">
        <v>0.39999895064356195</v>
      </c>
      <c r="G928">
        <v>0.14763155865067026</v>
      </c>
      <c r="H928">
        <v>18.059721659627211</v>
      </c>
      <c r="I928">
        <v>11.577451879178895</v>
      </c>
      <c r="J928">
        <v>0.25555684498477182</v>
      </c>
      <c r="K928">
        <v>9.4055684578297938E-2</v>
      </c>
      <c r="L928">
        <v>18.072935591258027</v>
      </c>
      <c r="M928">
        <v>11.480015069656135</v>
      </c>
      <c r="N928">
        <v>0.3317352098284248</v>
      </c>
      <c r="O928">
        <v>0.12227337424543083</v>
      </c>
      <c r="P928">
        <v>18.065976346270006</v>
      </c>
      <c r="Q928">
        <v>11.450511477786325</v>
      </c>
      <c r="R928">
        <v>0.3547920839506371</v>
      </c>
      <c r="S928">
        <v>0.13083072043720836</v>
      </c>
      <c r="T928">
        <v>18.063865717825834</v>
      </c>
      <c r="U928">
        <v>1442.1175147199042</v>
      </c>
      <c r="V928">
        <v>9.020424272337257</v>
      </c>
      <c r="W928">
        <v>1244.4422811437867</v>
      </c>
      <c r="X928">
        <v>6.8280580090467211</v>
      </c>
      <c r="Y928">
        <v>2850.3832768193706</v>
      </c>
      <c r="Z928">
        <v>9.0467917170900964</v>
      </c>
      <c r="AA928">
        <v>2717.0152364489841</v>
      </c>
      <c r="AB928">
        <v>6.8447410099191881</v>
      </c>
      <c r="AC928">
        <v>2142.1039867612631</v>
      </c>
      <c r="AD928">
        <v>9.0328855632903711</v>
      </c>
      <c r="AE928">
        <v>1983.3617549510352</v>
      </c>
      <c r="AF928">
        <v>6.8359506406624115</v>
      </c>
      <c r="AG928">
        <v>2047.3738121744211</v>
      </c>
      <c r="AH928">
        <v>9.0286766094798576</v>
      </c>
      <c r="AI928">
        <v>1873.3922660295173</v>
      </c>
      <c r="AJ928">
        <v>6.8332864673168121</v>
      </c>
    </row>
    <row r="929" spans="4:36" x14ac:dyDescent="0.55000000000000004">
      <c r="D929">
        <v>922</v>
      </c>
      <c r="E929">
        <v>13.372893101966701</v>
      </c>
      <c r="F929">
        <v>0.45897609202614903</v>
      </c>
      <c r="G929">
        <v>0.17838569616621808</v>
      </c>
      <c r="H929">
        <v>15.989745109840928</v>
      </c>
      <c r="I929">
        <v>13.567065503684782</v>
      </c>
      <c r="J929">
        <v>0.3220520529014701</v>
      </c>
      <c r="K929">
        <v>0.12483032032489701</v>
      </c>
      <c r="L929">
        <v>15.986052123088857</v>
      </c>
      <c r="M929">
        <v>13.488963715015863</v>
      </c>
      <c r="N929">
        <v>0.37715395762752918</v>
      </c>
      <c r="O929">
        <v>0.14634704500671247</v>
      </c>
      <c r="P929">
        <v>15.98753528234989</v>
      </c>
      <c r="Q929">
        <v>13.468549401700312</v>
      </c>
      <c r="R929">
        <v>0.39155055508899655</v>
      </c>
      <c r="S929">
        <v>0.15197659021226728</v>
      </c>
      <c r="T929">
        <v>15.98792345299842</v>
      </c>
      <c r="U929">
        <v>1603.0147107882879</v>
      </c>
      <c r="V929">
        <v>10.512683586800039</v>
      </c>
      <c r="W929">
        <v>1340.7099284047279</v>
      </c>
      <c r="X929">
        <v>7.7136668841655576</v>
      </c>
      <c r="Y929">
        <v>2948.7785938570123</v>
      </c>
      <c r="Z929">
        <v>10.550280914342457</v>
      </c>
      <c r="AA929">
        <v>2772.0623913291156</v>
      </c>
      <c r="AB929">
        <v>7.7358235723010687</v>
      </c>
      <c r="AC929">
        <v>2276.6635620866355</v>
      </c>
      <c r="AD929">
        <v>10.53515923048956</v>
      </c>
      <c r="AE929">
        <v>2064.7307973927345</v>
      </c>
      <c r="AF929">
        <v>7.7269193658664515</v>
      </c>
      <c r="AG929">
        <v>2155.9357191191139</v>
      </c>
      <c r="AH929">
        <v>10.531206478454923</v>
      </c>
      <c r="AI929">
        <v>1934.8983460139593</v>
      </c>
      <c r="AJ929">
        <v>7.7245902406586007</v>
      </c>
    </row>
    <row r="930" spans="4:36" x14ac:dyDescent="0.55000000000000004">
      <c r="D930">
        <v>923</v>
      </c>
      <c r="E930">
        <v>11.855435398303873</v>
      </c>
      <c r="F930">
        <v>0.44224043241704492</v>
      </c>
      <c r="G930">
        <v>0.16093444886431935</v>
      </c>
      <c r="H930">
        <v>17.54138972041477</v>
      </c>
      <c r="I930">
        <v>12.068874019506131</v>
      </c>
      <c r="J930">
        <v>0.27733726691237703</v>
      </c>
      <c r="K930">
        <v>0.10061539522652255</v>
      </c>
      <c r="L930">
        <v>17.553173318354979</v>
      </c>
      <c r="M930">
        <v>12.008887916072286</v>
      </c>
      <c r="N930">
        <v>0.32370684201638422</v>
      </c>
      <c r="O930">
        <v>0.11753878332536301</v>
      </c>
      <c r="P930">
        <v>17.549866458585964</v>
      </c>
      <c r="Q930">
        <v>11.905056127669621</v>
      </c>
      <c r="R930">
        <v>0.40392477573309282</v>
      </c>
      <c r="S930">
        <v>0.14688557637299549</v>
      </c>
      <c r="T930">
        <v>17.544133520224282</v>
      </c>
      <c r="U930">
        <v>1517.231552343271</v>
      </c>
      <c r="V930">
        <v>9.3410280511057664</v>
      </c>
      <c r="W930">
        <v>1290.6379274549743</v>
      </c>
      <c r="X930">
        <v>7.0131707812867994</v>
      </c>
      <c r="Y930">
        <v>2870.8786960108455</v>
      </c>
      <c r="Z930">
        <v>9.3733687855892107</v>
      </c>
      <c r="AA930">
        <v>2725.9610839055781</v>
      </c>
      <c r="AB930">
        <v>7.0332943967542816</v>
      </c>
      <c r="AC930">
        <v>2177.3374466429309</v>
      </c>
      <c r="AD930">
        <v>9.3642762964566639</v>
      </c>
      <c r="AE930">
        <v>2004.9826501207997</v>
      </c>
      <c r="AF930">
        <v>7.0276450606222314</v>
      </c>
      <c r="AG930">
        <v>2125.0795390696771</v>
      </c>
      <c r="AH930">
        <v>9.3485438232660574</v>
      </c>
      <c r="AI930">
        <v>1921.7401603441326</v>
      </c>
      <c r="AJ930">
        <v>7.0178547869563923</v>
      </c>
    </row>
    <row r="931" spans="4:36" x14ac:dyDescent="0.55000000000000004">
      <c r="D931">
        <v>924</v>
      </c>
      <c r="E931">
        <v>12.979196007798675</v>
      </c>
      <c r="F931">
        <v>0.46660466965919317</v>
      </c>
      <c r="G931">
        <v>0.16121362029042302</v>
      </c>
      <c r="H931">
        <v>16.392985702251703</v>
      </c>
      <c r="I931">
        <v>13.233384407049776</v>
      </c>
      <c r="J931">
        <v>0.28952640001259017</v>
      </c>
      <c r="K931">
        <v>9.9665458857878558E-2</v>
      </c>
      <c r="L931">
        <v>16.377423734079752</v>
      </c>
      <c r="M931">
        <v>13.137107093631684</v>
      </c>
      <c r="N931">
        <v>0.35664435428207764</v>
      </c>
      <c r="O931">
        <v>0.12294004241571538</v>
      </c>
      <c r="P931">
        <v>16.38330850967052</v>
      </c>
      <c r="Q931">
        <v>13.070192049637132</v>
      </c>
      <c r="R931">
        <v>0.40325918459034482</v>
      </c>
      <c r="S931">
        <v>0.13914337149101152</v>
      </c>
      <c r="T931">
        <v>16.387405394281515</v>
      </c>
      <c r="U931">
        <v>1544.6859484153233</v>
      </c>
      <c r="V931">
        <v>10.262163972028553</v>
      </c>
      <c r="W931">
        <v>1304.2735404935047</v>
      </c>
      <c r="X931">
        <v>7.5745018121373446</v>
      </c>
      <c r="Y931">
        <v>2900.2900155317066</v>
      </c>
      <c r="Z931">
        <v>10.318462396777983</v>
      </c>
      <c r="AA931">
        <v>2743.5641375066321</v>
      </c>
      <c r="AB931">
        <v>7.6075317593089062</v>
      </c>
      <c r="AC931">
        <v>2242.5001659339709</v>
      </c>
      <c r="AD931">
        <v>10.2971436011197</v>
      </c>
      <c r="AE931">
        <v>2046.8773394347991</v>
      </c>
      <c r="AF931">
        <v>7.5950379778989516</v>
      </c>
      <c r="AG931">
        <v>2107.2302754507609</v>
      </c>
      <c r="AH931">
        <v>10.282322947632272</v>
      </c>
      <c r="AI931">
        <v>1904.1670481237659</v>
      </c>
      <c r="AJ931">
        <v>7.5863425101354798</v>
      </c>
    </row>
    <row r="932" spans="4:36" x14ac:dyDescent="0.55000000000000004">
      <c r="D932">
        <v>925</v>
      </c>
      <c r="E932">
        <v>12.229809686739882</v>
      </c>
      <c r="F932">
        <v>0.4111867228844705</v>
      </c>
      <c r="G932">
        <v>0.14074844217397159</v>
      </c>
      <c r="H932">
        <v>17.218255148201674</v>
      </c>
      <c r="I932">
        <v>12.408472876793715</v>
      </c>
      <c r="J932">
        <v>0.28218627506376925</v>
      </c>
      <c r="K932">
        <v>9.6336530899694378E-2</v>
      </c>
      <c r="L932">
        <v>17.213004317242799</v>
      </c>
      <c r="M932">
        <v>12.316150039397943</v>
      </c>
      <c r="N932">
        <v>0.3488703560861563</v>
      </c>
      <c r="O932">
        <v>0.11926456580668558</v>
      </c>
      <c r="P932">
        <v>17.215715038709199</v>
      </c>
      <c r="Q932">
        <v>12.285894265761984</v>
      </c>
      <c r="R932">
        <v>0.37071268714777439</v>
      </c>
      <c r="S932">
        <v>0.12678844893546151</v>
      </c>
      <c r="T932">
        <v>17.216604598154774</v>
      </c>
      <c r="U932">
        <v>1512.1433986654915</v>
      </c>
      <c r="V932">
        <v>9.6671205354592828</v>
      </c>
      <c r="W932">
        <v>1288.7045787116342</v>
      </c>
      <c r="X932">
        <v>7.221672182618895</v>
      </c>
      <c r="Y932">
        <v>2886.733382674081</v>
      </c>
      <c r="Z932">
        <v>9.7030421819818926</v>
      </c>
      <c r="AA932">
        <v>2737.0625215269743</v>
      </c>
      <c r="AB932">
        <v>7.2431517200817579</v>
      </c>
      <c r="AC932">
        <v>2175.1100976500302</v>
      </c>
      <c r="AD932">
        <v>9.6844813962243652</v>
      </c>
      <c r="AE932">
        <v>2000.8069682237888</v>
      </c>
      <c r="AF932">
        <v>7.2320608473556689</v>
      </c>
      <c r="AG932">
        <v>2111.0588516172647</v>
      </c>
      <c r="AH932">
        <v>9.678398035688037</v>
      </c>
      <c r="AI932">
        <v>1913.3908914899193</v>
      </c>
      <c r="AJ932">
        <v>7.2284222278553294</v>
      </c>
    </row>
    <row r="933" spans="4:36" x14ac:dyDescent="0.55000000000000004">
      <c r="D933">
        <v>926</v>
      </c>
      <c r="E933">
        <v>11.278574699553543</v>
      </c>
      <c r="F933">
        <v>0.43492911013537044</v>
      </c>
      <c r="G933">
        <v>0.15663005976277861</v>
      </c>
      <c r="H933">
        <v>18.129866130548308</v>
      </c>
      <c r="I933">
        <v>11.47098935240458</v>
      </c>
      <c r="J933">
        <v>0.27611543564408719</v>
      </c>
      <c r="K933">
        <v>9.914250432160096E-2</v>
      </c>
      <c r="L933">
        <v>18.153752707629739</v>
      </c>
      <c r="M933">
        <v>11.385106308848059</v>
      </c>
      <c r="N933">
        <v>0.34702074199681238</v>
      </c>
      <c r="O933">
        <v>0.12476625775749096</v>
      </c>
      <c r="P933">
        <v>18.143106691397648</v>
      </c>
      <c r="Q933">
        <v>11.366595740079141</v>
      </c>
      <c r="R933">
        <v>0.36229894819266667</v>
      </c>
      <c r="S933">
        <v>0.13029646427648814</v>
      </c>
      <c r="T933">
        <v>18.140808847451702</v>
      </c>
      <c r="U933">
        <v>1460.0929215061783</v>
      </c>
      <c r="V933">
        <v>8.9149076286582893</v>
      </c>
      <c r="W933">
        <v>1255.3422144452156</v>
      </c>
      <c r="X933">
        <v>6.7558059345361094</v>
      </c>
      <c r="Y933">
        <v>2833.9027061474685</v>
      </c>
      <c r="Z933">
        <v>8.9363707675390653</v>
      </c>
      <c r="AA933">
        <v>2702.8256735705845</v>
      </c>
      <c r="AB933">
        <v>6.7700564325928605</v>
      </c>
      <c r="AC933">
        <v>2185.7180084537608</v>
      </c>
      <c r="AD933">
        <v>8.9267821771071816</v>
      </c>
      <c r="AE933">
        <v>2015.3450088904951</v>
      </c>
      <c r="AF933">
        <v>6.7636990435134443</v>
      </c>
      <c r="AG933">
        <v>2022.8172407891318</v>
      </c>
      <c r="AH933">
        <v>8.924717347937742</v>
      </c>
      <c r="AI933">
        <v>1854.031329051624</v>
      </c>
      <c r="AJ933">
        <v>6.7623281424202295</v>
      </c>
    </row>
    <row r="934" spans="4:36" x14ac:dyDescent="0.55000000000000004">
      <c r="D934">
        <v>927</v>
      </c>
      <c r="E934">
        <v>13.582941494143739</v>
      </c>
      <c r="F934">
        <v>0.51544046333889126</v>
      </c>
      <c r="G934">
        <v>0.17959882668147653</v>
      </c>
      <c r="H934">
        <v>15.722019215835886</v>
      </c>
      <c r="I934">
        <v>13.851951855483181</v>
      </c>
      <c r="J934">
        <v>0.32518488329250261</v>
      </c>
      <c r="K934">
        <v>0.11290815203801026</v>
      </c>
      <c r="L934">
        <v>15.709955109186316</v>
      </c>
      <c r="M934">
        <v>13.784702043657392</v>
      </c>
      <c r="N934">
        <v>0.37278662138515556</v>
      </c>
      <c r="O934">
        <v>0.12954939737049095</v>
      </c>
      <c r="P934">
        <v>15.712961937586948</v>
      </c>
      <c r="Q934">
        <v>13.727661001178067</v>
      </c>
      <c r="R934">
        <v>0.41314154291233435</v>
      </c>
      <c r="S934">
        <v>0.14368042324483618</v>
      </c>
      <c r="T934">
        <v>15.71551703266476</v>
      </c>
      <c r="U934">
        <v>1615.9651611757056</v>
      </c>
      <c r="V934">
        <v>10.788804241703152</v>
      </c>
      <c r="W934">
        <v>1345.5152179348822</v>
      </c>
      <c r="X934">
        <v>7.8885504917890126</v>
      </c>
      <c r="Y934">
        <v>2928.6661408155483</v>
      </c>
      <c r="Z934">
        <v>10.843856048448165</v>
      </c>
      <c r="AA934">
        <v>2756.8280422992175</v>
      </c>
      <c r="AB934">
        <v>7.9205025016490094</v>
      </c>
      <c r="AC934">
        <v>2259.1385599921559</v>
      </c>
      <c r="AD934">
        <v>10.830098567739226</v>
      </c>
      <c r="AE934">
        <v>2051.8519134911626</v>
      </c>
      <c r="AF934">
        <v>7.9125279000066593</v>
      </c>
      <c r="AG934">
        <v>2199.3851268020758</v>
      </c>
      <c r="AH934">
        <v>10.818426976423055</v>
      </c>
      <c r="AI934">
        <v>1964.8189743520422</v>
      </c>
      <c r="AJ934">
        <v>7.9057570850857308</v>
      </c>
    </row>
    <row r="935" spans="4:36" x14ac:dyDescent="0.55000000000000004">
      <c r="D935">
        <v>928</v>
      </c>
      <c r="E935">
        <v>15.184686317146179</v>
      </c>
      <c r="F935">
        <v>0.55512853111248162</v>
      </c>
      <c r="G935">
        <v>0.16593799284790589</v>
      </c>
      <c r="H935">
        <v>14.094247158893435</v>
      </c>
      <c r="I935">
        <v>15.480464158078561</v>
      </c>
      <c r="J935">
        <v>0.35995924699306309</v>
      </c>
      <c r="K935">
        <v>0.10722272539406857</v>
      </c>
      <c r="L935">
        <v>14.05235386953431</v>
      </c>
      <c r="M935">
        <v>15.360649227185455</v>
      </c>
      <c r="N935">
        <v>0.43908293334408399</v>
      </c>
      <c r="O935">
        <v>0.13097615450832945</v>
      </c>
      <c r="P935">
        <v>14.069291684962128</v>
      </c>
      <c r="Q935">
        <v>15.32528084295004</v>
      </c>
      <c r="R935">
        <v>0.46242308798893733</v>
      </c>
      <c r="S935">
        <v>0.13799606063907027</v>
      </c>
      <c r="T935">
        <v>14.074300008421938</v>
      </c>
      <c r="U935">
        <v>1686.4017720542079</v>
      </c>
      <c r="V935">
        <v>12.00344326939457</v>
      </c>
      <c r="W935">
        <v>1385.3696645316602</v>
      </c>
      <c r="X935">
        <v>8.5966127661719476</v>
      </c>
      <c r="Y935">
        <v>3000.0781085245471</v>
      </c>
      <c r="Z935">
        <v>12.086904961252587</v>
      </c>
      <c r="AA935">
        <v>2800.5526244768807</v>
      </c>
      <c r="AB935">
        <v>8.6434248983434916</v>
      </c>
      <c r="AC935">
        <v>2339.0936855459772</v>
      </c>
      <c r="AD935">
        <v>12.053112685725681</v>
      </c>
      <c r="AE935">
        <v>2098.3133641781151</v>
      </c>
      <c r="AF935">
        <v>8.6244878771521769</v>
      </c>
      <c r="AG935">
        <v>2237.1766033985109</v>
      </c>
      <c r="AH935">
        <v>12.043133146838045</v>
      </c>
      <c r="AI935">
        <v>1981.0930504565822</v>
      </c>
      <c r="AJ935">
        <v>8.6188911343782202</v>
      </c>
    </row>
    <row r="936" spans="4:36" x14ac:dyDescent="0.55000000000000004">
      <c r="D936">
        <v>929</v>
      </c>
      <c r="E936">
        <v>13.729667397535897</v>
      </c>
      <c r="F936">
        <v>0.45619445624003441</v>
      </c>
      <c r="G936">
        <v>0.1665214193601316</v>
      </c>
      <c r="H936">
        <v>15.647616726863953</v>
      </c>
      <c r="I936">
        <v>13.957900183937912</v>
      </c>
      <c r="J936">
        <v>0.30349586224292741</v>
      </c>
      <c r="K936">
        <v>0.1104324277452482</v>
      </c>
      <c r="L936">
        <v>15.628171526073913</v>
      </c>
      <c r="M936">
        <v>13.880206930366175</v>
      </c>
      <c r="N936">
        <v>0.35551351595677139</v>
      </c>
      <c r="O936">
        <v>0.12949895911455025</v>
      </c>
      <c r="P936">
        <v>15.634780594562486</v>
      </c>
      <c r="Q936">
        <v>13.792454567091481</v>
      </c>
      <c r="R936">
        <v>0.41421996295639257</v>
      </c>
      <c r="S936">
        <v>0.15106733753965659</v>
      </c>
      <c r="T936">
        <v>15.64225813241246</v>
      </c>
      <c r="U936">
        <v>1621.3153925684549</v>
      </c>
      <c r="V936">
        <v>10.857085421124143</v>
      </c>
      <c r="W936">
        <v>1353.2326923181677</v>
      </c>
      <c r="X936">
        <v>7.9304907309012664</v>
      </c>
      <c r="Y936">
        <v>2936.6816588966267</v>
      </c>
      <c r="Z936">
        <v>10.912735494458206</v>
      </c>
      <c r="AA936">
        <v>2763.9289591780407</v>
      </c>
      <c r="AB936">
        <v>7.9626058367166603</v>
      </c>
      <c r="AC936">
        <v>2269.6241493486009</v>
      </c>
      <c r="AD936">
        <v>10.893797239863202</v>
      </c>
      <c r="AE936">
        <v>2060.3239442576346</v>
      </c>
      <c r="AF936">
        <v>7.9516869677119315</v>
      </c>
      <c r="AG936">
        <v>2174.6641988968622</v>
      </c>
      <c r="AH936">
        <v>10.872399929257657</v>
      </c>
      <c r="AI936">
        <v>1945.9857725708334</v>
      </c>
      <c r="AJ936">
        <v>7.9393376852181463</v>
      </c>
    </row>
    <row r="937" spans="4:36" x14ac:dyDescent="0.55000000000000004">
      <c r="D937">
        <v>930</v>
      </c>
      <c r="E937">
        <v>12.023880271784197</v>
      </c>
      <c r="F937">
        <v>0.40965471144183674</v>
      </c>
      <c r="G937">
        <v>0.13479178033218228</v>
      </c>
      <c r="H937">
        <v>17.431673236441796</v>
      </c>
      <c r="I937">
        <v>12.208979589261604</v>
      </c>
      <c r="J937">
        <v>0.27531153543052739</v>
      </c>
      <c r="K937">
        <v>9.0345707225681207E-2</v>
      </c>
      <c r="L937">
        <v>17.425363168082189</v>
      </c>
      <c r="M937">
        <v>12.142472954231513</v>
      </c>
      <c r="N937">
        <v>0.32360515691691938</v>
      </c>
      <c r="O937">
        <v>0.10629541915871871</v>
      </c>
      <c r="P937">
        <v>17.427626469692839</v>
      </c>
      <c r="Q937">
        <v>12.112549661654002</v>
      </c>
      <c r="R937">
        <v>0.34532520299623232</v>
      </c>
      <c r="S937">
        <v>0.11347891029836533</v>
      </c>
      <c r="T937">
        <v>17.428646225051416</v>
      </c>
      <c r="U937">
        <v>1494.317914634451</v>
      </c>
      <c r="V937">
        <v>9.492604116483605</v>
      </c>
      <c r="W937">
        <v>1279.8220415714529</v>
      </c>
      <c r="X937">
        <v>7.1157759815404242</v>
      </c>
      <c r="Y937">
        <v>2853.3954892266415</v>
      </c>
      <c r="Z937">
        <v>9.5314899825301378</v>
      </c>
      <c r="AA937">
        <v>2715.4716580492641</v>
      </c>
      <c r="AB937">
        <v>7.1389762878693137</v>
      </c>
      <c r="AC937">
        <v>2167.5819361283707</v>
      </c>
      <c r="AD937">
        <v>9.5175207219069105</v>
      </c>
      <c r="AE937">
        <v>2000.5816152751411</v>
      </c>
      <c r="AF937">
        <v>7.1306497150768831</v>
      </c>
      <c r="AG937">
        <v>2048.4590567525206</v>
      </c>
      <c r="AH937">
        <v>9.5112346197346938</v>
      </c>
      <c r="AI937">
        <v>1872.0117620207775</v>
      </c>
      <c r="AJ937">
        <v>7.1268999375020448</v>
      </c>
    </row>
    <row r="938" spans="4:36" x14ac:dyDescent="0.55000000000000004">
      <c r="D938">
        <v>931</v>
      </c>
      <c r="E938">
        <v>12.103795184659504</v>
      </c>
      <c r="F938">
        <v>0.46077415125066812</v>
      </c>
      <c r="G938">
        <v>0.17390608350560502</v>
      </c>
      <c r="H938">
        <v>17.261524580584215</v>
      </c>
      <c r="I938">
        <v>12.349745674507229</v>
      </c>
      <c r="J938">
        <v>0.276096076198318</v>
      </c>
      <c r="K938">
        <v>0.10381998767037891</v>
      </c>
      <c r="L938">
        <v>17.270338261624058</v>
      </c>
      <c r="M938">
        <v>12.238048174153846</v>
      </c>
      <c r="N938">
        <v>0.36000882042484428</v>
      </c>
      <c r="O938">
        <v>0.13560007564035392</v>
      </c>
      <c r="P938">
        <v>17.266342929780951</v>
      </c>
      <c r="Q938">
        <v>12.195373821682393</v>
      </c>
      <c r="R938">
        <v>0.39204958952316327</v>
      </c>
      <c r="S938">
        <v>0.14776331218606301</v>
      </c>
      <c r="T938">
        <v>17.264813276608383</v>
      </c>
      <c r="U938">
        <v>1513.367121294156</v>
      </c>
      <c r="V938">
        <v>9.7040147528405285</v>
      </c>
      <c r="W938">
        <v>1284.5304554282254</v>
      </c>
      <c r="X938">
        <v>7.2561172345302376</v>
      </c>
      <c r="Y938">
        <v>2890.5282288656658</v>
      </c>
      <c r="Z938">
        <v>9.747900266422505</v>
      </c>
      <c r="AA938">
        <v>2739.7337509718704</v>
      </c>
      <c r="AB938">
        <v>7.2829804510531808</v>
      </c>
      <c r="AC938">
        <v>2220.5015126903377</v>
      </c>
      <c r="AD938">
        <v>9.7279663559176068</v>
      </c>
      <c r="AE938">
        <v>2033.0951714779201</v>
      </c>
      <c r="AF938">
        <v>7.270793143704692</v>
      </c>
      <c r="AG938">
        <v>2098.9692299900262</v>
      </c>
      <c r="AH938">
        <v>9.7203520655222988</v>
      </c>
      <c r="AI938">
        <v>1901.5982527929473</v>
      </c>
      <c r="AJ938">
        <v>7.2661314711073368</v>
      </c>
    </row>
    <row r="939" spans="4:36" x14ac:dyDescent="0.55000000000000004">
      <c r="D939">
        <v>932</v>
      </c>
      <c r="E939">
        <v>11.433012038146206</v>
      </c>
      <c r="F939">
        <v>0.42100296202787746</v>
      </c>
      <c r="G939">
        <v>0.14054733858458285</v>
      </c>
      <c r="H939">
        <v>18.005437661241327</v>
      </c>
      <c r="I939">
        <v>11.598997841450318</v>
      </c>
      <c r="J939">
        <v>0.28716616066859352</v>
      </c>
      <c r="K939">
        <v>9.5622022437057391E-2</v>
      </c>
      <c r="L939">
        <v>18.018213975444016</v>
      </c>
      <c r="M939">
        <v>11.54489489001711</v>
      </c>
      <c r="N939">
        <v>0.33080440143689738</v>
      </c>
      <c r="O939">
        <v>0.11024458387504373</v>
      </c>
      <c r="P939">
        <v>18.014056124670955</v>
      </c>
      <c r="Q939">
        <v>11.50290416911472</v>
      </c>
      <c r="R939">
        <v>0.36466372366015221</v>
      </c>
      <c r="S939">
        <v>0.12160737284550938</v>
      </c>
      <c r="T939">
        <v>18.010824734379614</v>
      </c>
      <c r="U939">
        <v>1450.4020428575011</v>
      </c>
      <c r="V939">
        <v>8.9875547920205392</v>
      </c>
      <c r="W939">
        <v>1249.7270222671643</v>
      </c>
      <c r="X939">
        <v>6.7963598549972879</v>
      </c>
      <c r="Y939">
        <v>2849.4555071670752</v>
      </c>
      <c r="Z939">
        <v>9.0090061840280562</v>
      </c>
      <c r="AA939">
        <v>2714.2228539312491</v>
      </c>
      <c r="AB939">
        <v>6.8100860782390589</v>
      </c>
      <c r="AC939">
        <v>2154.5327852707042</v>
      </c>
      <c r="AD939">
        <v>9.0020104278181243</v>
      </c>
      <c r="AE939">
        <v>1993.3765922901316</v>
      </c>
      <c r="AF939">
        <v>6.8056153046723358</v>
      </c>
      <c r="AG939">
        <v>2034.9540374438386</v>
      </c>
      <c r="AH939">
        <v>8.9965832907895642</v>
      </c>
      <c r="AI939">
        <v>1863.6955901575845</v>
      </c>
      <c r="AJ939">
        <v>6.8021432424442843</v>
      </c>
    </row>
    <row r="940" spans="4:36" x14ac:dyDescent="0.55000000000000004">
      <c r="D940">
        <v>933</v>
      </c>
      <c r="E940">
        <v>12.504440069701685</v>
      </c>
      <c r="F940">
        <v>0.44564152383333006</v>
      </c>
      <c r="G940">
        <v>0.17788623039480558</v>
      </c>
      <c r="H940">
        <v>16.872032176070189</v>
      </c>
      <c r="I940">
        <v>12.758383649425605</v>
      </c>
      <c r="J940">
        <v>0.26847663878649192</v>
      </c>
      <c r="K940">
        <v>0.10676743376572795</v>
      </c>
      <c r="L940">
        <v>16.86637227802219</v>
      </c>
      <c r="M940">
        <v>12.673493801775914</v>
      </c>
      <c r="N940">
        <v>0.3277457973132763</v>
      </c>
      <c r="O940">
        <v>0.13049968085221217</v>
      </c>
      <c r="P940">
        <v>16.868260720058604</v>
      </c>
      <c r="Q940">
        <v>12.617443978292014</v>
      </c>
      <c r="R940">
        <v>0.36685429271988262</v>
      </c>
      <c r="S940">
        <v>0.14619217145017691</v>
      </c>
      <c r="T940">
        <v>16.869509557537924</v>
      </c>
      <c r="U940">
        <v>1515.1269703124008</v>
      </c>
      <c r="V940">
        <v>9.7945810181246298</v>
      </c>
      <c r="W940">
        <v>1287.2701859802594</v>
      </c>
      <c r="X940">
        <v>7.2793596969308929</v>
      </c>
      <c r="Y940">
        <v>2880.8837396770737</v>
      </c>
      <c r="Z940">
        <v>9.8420237651561333</v>
      </c>
      <c r="AA940">
        <v>2733.0082653630943</v>
      </c>
      <c r="AB940">
        <v>7.3075884404783498</v>
      </c>
      <c r="AC940">
        <v>2187.1219601029234</v>
      </c>
      <c r="AD940">
        <v>9.8261666790318785</v>
      </c>
      <c r="AE940">
        <v>2010.6231309840239</v>
      </c>
      <c r="AF940">
        <v>7.2981655788681898</v>
      </c>
      <c r="AG940">
        <v>2114.3017423401388</v>
      </c>
      <c r="AH940">
        <v>9.8156954945173069</v>
      </c>
      <c r="AI940">
        <v>1915.1219887154175</v>
      </c>
      <c r="AJ940">
        <v>7.2919365323883651</v>
      </c>
    </row>
    <row r="941" spans="4:36" x14ac:dyDescent="0.55000000000000004">
      <c r="D941">
        <v>934</v>
      </c>
      <c r="E941">
        <v>11.730263009969034</v>
      </c>
      <c r="F941">
        <v>0.42057242446355175</v>
      </c>
      <c r="G941">
        <v>0.16163851887919048</v>
      </c>
      <c r="H941">
        <v>17.68752604668822</v>
      </c>
      <c r="I941">
        <v>11.890309518636702</v>
      </c>
      <c r="J941">
        <v>0.29759013243866878</v>
      </c>
      <c r="K941">
        <v>0.11409567950263393</v>
      </c>
      <c r="L941">
        <v>17.698004669422005</v>
      </c>
      <c r="M941">
        <v>11.80867386641242</v>
      </c>
      <c r="N941">
        <v>0.36033748918249037</v>
      </c>
      <c r="O941">
        <v>0.13832351024164535</v>
      </c>
      <c r="P941">
        <v>17.692665134163452</v>
      </c>
      <c r="Q941">
        <v>11.818647756439573</v>
      </c>
      <c r="R941">
        <v>0.35267320537921526</v>
      </c>
      <c r="S941">
        <v>0.13536094817027869</v>
      </c>
      <c r="T941">
        <v>17.69331809001093</v>
      </c>
      <c r="U941">
        <v>1492.8734928327831</v>
      </c>
      <c r="V941">
        <v>9.2070978920331275</v>
      </c>
      <c r="W941">
        <v>1277.7000475469117</v>
      </c>
      <c r="X941">
        <v>6.9278822822825594</v>
      </c>
      <c r="Y941">
        <v>2861.3722174747268</v>
      </c>
      <c r="Z941">
        <v>9.2300169768364189</v>
      </c>
      <c r="AA941">
        <v>2719.5194498504261</v>
      </c>
      <c r="AB941">
        <v>6.9422835624904105</v>
      </c>
      <c r="AC941">
        <v>2165.2309299006624</v>
      </c>
      <c r="AD941">
        <v>9.2183235660190324</v>
      </c>
      <c r="AE941">
        <v>1995.7101738870776</v>
      </c>
      <c r="AF941">
        <v>6.934941868119977</v>
      </c>
      <c r="AG941">
        <v>2062.7012298314321</v>
      </c>
      <c r="AH941">
        <v>9.2197518859202425</v>
      </c>
      <c r="AI941">
        <v>1882.0180169362773</v>
      </c>
      <c r="AJ941">
        <v>6.9358392926854284</v>
      </c>
    </row>
    <row r="942" spans="4:36" x14ac:dyDescent="0.55000000000000004">
      <c r="D942">
        <v>935</v>
      </c>
      <c r="E942">
        <v>13.051420355548309</v>
      </c>
      <c r="F942">
        <v>0.45179059193736576</v>
      </c>
      <c r="G942">
        <v>0.16429618102545882</v>
      </c>
      <c r="H942">
        <v>16.332492871488864</v>
      </c>
      <c r="I942">
        <v>13.263212110023508</v>
      </c>
      <c r="J942">
        <v>0.30259999813753352</v>
      </c>
      <c r="K942">
        <v>0.1097227072486316</v>
      </c>
      <c r="L942">
        <v>16.324465184590334</v>
      </c>
      <c r="M942">
        <v>13.163285507804902</v>
      </c>
      <c r="N942">
        <v>0.37302437458196741</v>
      </c>
      <c r="O942">
        <v>0.13544359013700707</v>
      </c>
      <c r="P942">
        <v>16.328246527476143</v>
      </c>
      <c r="Q942">
        <v>13.116662479260663</v>
      </c>
      <c r="R942">
        <v>0.40586175686419207</v>
      </c>
      <c r="S942">
        <v>0.14746115883941499</v>
      </c>
      <c r="T942">
        <v>16.330014605035728</v>
      </c>
      <c r="U942">
        <v>1551.4449579433472</v>
      </c>
      <c r="V942">
        <v>10.151082725527614</v>
      </c>
      <c r="W942">
        <v>1311.1034540275648</v>
      </c>
      <c r="X942">
        <v>7.4836099263095806</v>
      </c>
      <c r="Y942">
        <v>2894.0147754619175</v>
      </c>
      <c r="Z942">
        <v>10.189606516662391</v>
      </c>
      <c r="AA942">
        <v>2738.4736433281123</v>
      </c>
      <c r="AB942">
        <v>7.5060821532218416</v>
      </c>
      <c r="AC942">
        <v>2242.0001753259016</v>
      </c>
      <c r="AD942">
        <v>10.171434596212096</v>
      </c>
      <c r="AE942">
        <v>2045.9510730731731</v>
      </c>
      <c r="AF942">
        <v>7.4954898434492847</v>
      </c>
      <c r="AG942">
        <v>2157.178220641003</v>
      </c>
      <c r="AH942">
        <v>10.162953515442524</v>
      </c>
      <c r="AI942">
        <v>1941.7323922114322</v>
      </c>
      <c r="AJ942">
        <v>7.4905414026068486</v>
      </c>
    </row>
    <row r="943" spans="4:36" x14ac:dyDescent="0.55000000000000004">
      <c r="D943">
        <v>936</v>
      </c>
      <c r="E943">
        <v>11.965334943921656</v>
      </c>
      <c r="F943">
        <v>0.42787948663839231</v>
      </c>
      <c r="G943">
        <v>0.14640712242886045</v>
      </c>
      <c r="H943">
        <v>17.460378447011102</v>
      </c>
      <c r="I943">
        <v>12.14570613225284</v>
      </c>
      <c r="J943">
        <v>0.28904985711372122</v>
      </c>
      <c r="K943">
        <v>9.8649728592330246E-2</v>
      </c>
      <c r="L943">
        <v>17.466594282041122</v>
      </c>
      <c r="M943">
        <v>12.063361986069998</v>
      </c>
      <c r="N943">
        <v>0.35245054858790353</v>
      </c>
      <c r="O943">
        <v>0.12042866875834785</v>
      </c>
      <c r="P943">
        <v>17.463758796583765</v>
      </c>
      <c r="Q943">
        <v>12.03380859222578</v>
      </c>
      <c r="R943">
        <v>0.37519639430366436</v>
      </c>
      <c r="S943">
        <v>0.1282547769578419</v>
      </c>
      <c r="T943">
        <v>17.462740236512705</v>
      </c>
      <c r="U943">
        <v>1503.5774600916095</v>
      </c>
      <c r="V943">
        <v>9.4787432098585036</v>
      </c>
      <c r="W943">
        <v>1280.7058701590793</v>
      </c>
      <c r="X943">
        <v>7.1080593267729135</v>
      </c>
      <c r="Y943">
        <v>2896.5490116745664</v>
      </c>
      <c r="Z943">
        <v>9.5095825503196991</v>
      </c>
      <c r="AA943">
        <v>2743.75805392451</v>
      </c>
      <c r="AB943">
        <v>7.1268782375602839</v>
      </c>
      <c r="AC943">
        <v>2226.1085993048091</v>
      </c>
      <c r="AD943">
        <v>9.4955028333419467</v>
      </c>
      <c r="AE943">
        <v>2038.6732570310314</v>
      </c>
      <c r="AF943">
        <v>7.1182938674274379</v>
      </c>
      <c r="AG943">
        <v>2101.0309557605729</v>
      </c>
      <c r="AH943">
        <v>9.4904499179427386</v>
      </c>
      <c r="AI943">
        <v>1905.2945590088684</v>
      </c>
      <c r="AJ943">
        <v>7.1152100899067552</v>
      </c>
    </row>
    <row r="944" spans="4:36" x14ac:dyDescent="0.55000000000000004">
      <c r="D944">
        <v>937</v>
      </c>
      <c r="E944">
        <v>12.747025451272245</v>
      </c>
      <c r="F944">
        <v>0.47003340125550164</v>
      </c>
      <c r="G944">
        <v>0.16536375305608708</v>
      </c>
      <c r="H944">
        <v>16.61757739441617</v>
      </c>
      <c r="I944">
        <v>12.992661304831406</v>
      </c>
      <c r="J944">
        <v>0.2957161452393387</v>
      </c>
      <c r="K944">
        <v>0.10367154896630737</v>
      </c>
      <c r="L944">
        <v>16.607951000962942</v>
      </c>
      <c r="M944">
        <v>12.889000824456488</v>
      </c>
      <c r="N944">
        <v>0.36932431687426298</v>
      </c>
      <c r="O944">
        <v>0.12966833482647064</v>
      </c>
      <c r="P944">
        <v>16.612006523842791</v>
      </c>
      <c r="Q944">
        <v>12.86513778452882</v>
      </c>
      <c r="R944">
        <v>0.38625998318199395</v>
      </c>
      <c r="S944">
        <v>0.1356606912758172</v>
      </c>
      <c r="T944">
        <v>16.612941541013381</v>
      </c>
      <c r="U944">
        <v>1550.7793707505061</v>
      </c>
      <c r="V944">
        <v>10.058360380181819</v>
      </c>
      <c r="W944">
        <v>1311.4013998924052</v>
      </c>
      <c r="X944">
        <v>7.448507610102352</v>
      </c>
      <c r="Y944">
        <v>2909.2343538781711</v>
      </c>
      <c r="Z944">
        <v>10.108745493112655</v>
      </c>
      <c r="AA944">
        <v>2751.5628670925516</v>
      </c>
      <c r="AB944">
        <v>7.4781725086450557</v>
      </c>
      <c r="AC944">
        <v>2244.7068274404091</v>
      </c>
      <c r="AD944">
        <v>10.087487194953528</v>
      </c>
      <c r="AE944">
        <v>2049.8773697147421</v>
      </c>
      <c r="AF944">
        <v>7.4656691815768363</v>
      </c>
      <c r="AG944">
        <v>2110.8709159554955</v>
      </c>
      <c r="AH944">
        <v>10.082592493811569</v>
      </c>
      <c r="AI944">
        <v>1910.4573954431476</v>
      </c>
      <c r="AJ944">
        <v>7.462787675887264</v>
      </c>
    </row>
    <row r="945" spans="4:36" x14ac:dyDescent="0.55000000000000004">
      <c r="D945">
        <v>938</v>
      </c>
      <c r="E945">
        <v>12.05656399671768</v>
      </c>
      <c r="F945">
        <v>0.45650426803100069</v>
      </c>
      <c r="G945">
        <v>0.18059173122591338</v>
      </c>
      <c r="H945">
        <v>17.306340004025415</v>
      </c>
      <c r="I945">
        <v>12.277798579702793</v>
      </c>
      <c r="J945">
        <v>0.28882721639525344</v>
      </c>
      <c r="K945">
        <v>0.11388192439336815</v>
      </c>
      <c r="L945">
        <v>17.319492279508587</v>
      </c>
      <c r="M945">
        <v>12.198522586789867</v>
      </c>
      <c r="N945">
        <v>0.34894249999088706</v>
      </c>
      <c r="O945">
        <v>0.13774720535180682</v>
      </c>
      <c r="P945">
        <v>17.314787707867424</v>
      </c>
      <c r="Q945">
        <v>12.169400033821001</v>
      </c>
      <c r="R945">
        <v>0.37101763682910038</v>
      </c>
      <c r="S945">
        <v>0.14652520657207244</v>
      </c>
      <c r="T945">
        <v>17.313057122777828</v>
      </c>
      <c r="U945">
        <v>1511.4407814148931</v>
      </c>
      <c r="V945">
        <v>9.5922606261011794</v>
      </c>
      <c r="W945">
        <v>1284.6568022113331</v>
      </c>
      <c r="X945">
        <v>7.1757108276429671</v>
      </c>
      <c r="Y945">
        <v>2860.9880491623303</v>
      </c>
      <c r="Z945">
        <v>9.6252660050936729</v>
      </c>
      <c r="AA945">
        <v>2717.2596297427576</v>
      </c>
      <c r="AB945">
        <v>7.1962545780240772</v>
      </c>
      <c r="AC945">
        <v>2157.0742221444234</v>
      </c>
      <c r="AD945">
        <v>9.6134342325383244</v>
      </c>
      <c r="AE945">
        <v>1987.2621120941124</v>
      </c>
      <c r="AF945">
        <v>7.18890013177458</v>
      </c>
      <c r="AG945">
        <v>2064.3595593841287</v>
      </c>
      <c r="AH945">
        <v>9.6090890957236645</v>
      </c>
      <c r="AI945">
        <v>1878.3119889078955</v>
      </c>
      <c r="AJ945">
        <v>7.1861964506652729</v>
      </c>
    </row>
    <row r="946" spans="4:36" x14ac:dyDescent="0.55000000000000004">
      <c r="D946">
        <v>939</v>
      </c>
      <c r="E946">
        <v>11.363425511989318</v>
      </c>
      <c r="F946">
        <v>0.42319057787398506</v>
      </c>
      <c r="G946">
        <v>0.17423726354613872</v>
      </c>
      <c r="H946">
        <v>18.039146646590563</v>
      </c>
      <c r="I946">
        <v>11.544500854555904</v>
      </c>
      <c r="J946">
        <v>0.27984321938721901</v>
      </c>
      <c r="K946">
        <v>0.11487638557215565</v>
      </c>
      <c r="L946">
        <v>18.060779540484713</v>
      </c>
      <c r="M946">
        <v>11.492339698198785</v>
      </c>
      <c r="N946">
        <v>0.32115317771401591</v>
      </c>
      <c r="O946">
        <v>0.13194649320645313</v>
      </c>
      <c r="P946">
        <v>18.054560630880747</v>
      </c>
      <c r="Q946">
        <v>11.459066938734415</v>
      </c>
      <c r="R946">
        <v>0.34749703687435396</v>
      </c>
      <c r="S946">
        <v>0.1428476956994254</v>
      </c>
      <c r="T946">
        <v>18.050588328691806</v>
      </c>
      <c r="U946">
        <v>1466.9118860615042</v>
      </c>
      <c r="V946">
        <v>8.9790083124717182</v>
      </c>
      <c r="W946">
        <v>1256.6199157532126</v>
      </c>
      <c r="X946">
        <v>6.7940540634088347</v>
      </c>
      <c r="Y946">
        <v>2876.7871944289718</v>
      </c>
      <c r="Z946">
        <v>8.999888040997881</v>
      </c>
      <c r="AA946">
        <v>2731.940207112355</v>
      </c>
      <c r="AB946">
        <v>6.8079653215816567</v>
      </c>
      <c r="AC946">
        <v>2165.9962395014481</v>
      </c>
      <c r="AD946">
        <v>8.9938661326452678</v>
      </c>
      <c r="AE946">
        <v>1998.6813658585506</v>
      </c>
      <c r="AF946">
        <v>6.8039601990165215</v>
      </c>
      <c r="AG946">
        <v>2073.7670036256886</v>
      </c>
      <c r="AH946">
        <v>8.9900278962268754</v>
      </c>
      <c r="AI946">
        <v>1890.0471235542695</v>
      </c>
      <c r="AJ946">
        <v>6.8014044709977401</v>
      </c>
    </row>
    <row r="947" spans="4:36" x14ac:dyDescent="0.55000000000000004">
      <c r="D947">
        <v>940</v>
      </c>
      <c r="E947">
        <v>13.251610302655665</v>
      </c>
      <c r="F947">
        <v>0.46214442972689279</v>
      </c>
      <c r="G947">
        <v>0.17483676074306009</v>
      </c>
      <c r="H947">
        <v>16.111408506874383</v>
      </c>
      <c r="I947">
        <v>13.455777165820482</v>
      </c>
      <c r="J947">
        <v>0.32062514152482768</v>
      </c>
      <c r="K947">
        <v>0.12094994021633339</v>
      </c>
      <c r="L947">
        <v>16.102647752438344</v>
      </c>
      <c r="M947">
        <v>13.376121422264497</v>
      </c>
      <c r="N947">
        <v>0.37586958707213769</v>
      </c>
      <c r="O947">
        <v>0.14194818842923029</v>
      </c>
      <c r="P947">
        <v>16.106060802234143</v>
      </c>
      <c r="Q947">
        <v>13.326300478186889</v>
      </c>
      <c r="R947">
        <v>0.41040251181331683</v>
      </c>
      <c r="S947">
        <v>0.15509828734427822</v>
      </c>
      <c r="T947">
        <v>16.108198722655505</v>
      </c>
      <c r="U947">
        <v>1572.9158539204107</v>
      </c>
      <c r="V947">
        <v>10.482953009802305</v>
      </c>
      <c r="W947">
        <v>1321.7916846877861</v>
      </c>
      <c r="X947">
        <v>7.7058872225627848</v>
      </c>
      <c r="Y947">
        <v>2906.6753837405968</v>
      </c>
      <c r="Z947">
        <v>10.525608303433717</v>
      </c>
      <c r="AA947">
        <v>2743.5412093850009</v>
      </c>
      <c r="AB947">
        <v>7.7308578597395989</v>
      </c>
      <c r="AC947">
        <v>2227.1755892481083</v>
      </c>
      <c r="AD947">
        <v>10.508969187565269</v>
      </c>
      <c r="AE947">
        <v>2031.1668519657899</v>
      </c>
      <c r="AF947">
        <v>7.7211254992195464</v>
      </c>
      <c r="AG947">
        <v>2119.7260892317699</v>
      </c>
      <c r="AH947">
        <v>10.498560346163989</v>
      </c>
      <c r="AI947">
        <v>1909.7355405615299</v>
      </c>
      <c r="AJ947">
        <v>7.715031919740067</v>
      </c>
    </row>
    <row r="948" spans="4:36" x14ac:dyDescent="0.55000000000000004">
      <c r="D948">
        <v>941</v>
      </c>
      <c r="E948">
        <v>13.430390850658698</v>
      </c>
      <c r="F948">
        <v>0.50829593979078702</v>
      </c>
      <c r="G948">
        <v>0.16237018730285882</v>
      </c>
      <c r="H948">
        <v>15.898943022247664</v>
      </c>
      <c r="I948">
        <v>13.720686953593844</v>
      </c>
      <c r="J948">
        <v>0.3073948249979464</v>
      </c>
      <c r="K948">
        <v>9.782245465463775E-2</v>
      </c>
      <c r="L948">
        <v>15.874095766753566</v>
      </c>
      <c r="M948">
        <v>13.616824381806682</v>
      </c>
      <c r="N948">
        <v>0.37933290549233573</v>
      </c>
      <c r="O948">
        <v>0.12087838362679507</v>
      </c>
      <c r="P948">
        <v>15.882964329074197</v>
      </c>
      <c r="Q948">
        <v>13.551674390485616</v>
      </c>
      <c r="R948">
        <v>0.4244239589666447</v>
      </c>
      <c r="S948">
        <v>0.13536225692364015</v>
      </c>
      <c r="T948">
        <v>15.888539393624104</v>
      </c>
      <c r="U948">
        <v>1607.6877904718465</v>
      </c>
      <c r="V948">
        <v>10.660395608628665</v>
      </c>
      <c r="W948">
        <v>1345.1812970055014</v>
      </c>
      <c r="X948">
        <v>7.8164995675978721</v>
      </c>
      <c r="Y948">
        <v>2931.1667052729549</v>
      </c>
      <c r="Z948">
        <v>10.732040739508166</v>
      </c>
      <c r="AA948">
        <v>2763.1822463053986</v>
      </c>
      <c r="AB948">
        <v>7.8577801768641251</v>
      </c>
      <c r="AC948">
        <v>2258.3836971284863</v>
      </c>
      <c r="AD948">
        <v>10.706419861884955</v>
      </c>
      <c r="AE948">
        <v>2054.676638874726</v>
      </c>
      <c r="AF948">
        <v>7.8430349394265324</v>
      </c>
      <c r="AG948">
        <v>2160.6136345080286</v>
      </c>
      <c r="AH948">
        <v>10.690341592629796</v>
      </c>
      <c r="AI948">
        <v>1939.780482149107</v>
      </c>
      <c r="AJ948">
        <v>7.8337719879064363</v>
      </c>
    </row>
    <row r="949" spans="4:36" x14ac:dyDescent="0.55000000000000004">
      <c r="D949">
        <v>942</v>
      </c>
      <c r="E949">
        <v>12.291068218069396</v>
      </c>
      <c r="F949">
        <v>0.44418847498939373</v>
      </c>
      <c r="G949">
        <v>0.13953227012148942</v>
      </c>
      <c r="H949">
        <v>17.125211036819731</v>
      </c>
      <c r="I949">
        <v>12.482217920935405</v>
      </c>
      <c r="J949">
        <v>0.29228633979342544</v>
      </c>
      <c r="K949">
        <v>9.1570097359363722E-2</v>
      </c>
      <c r="L949">
        <v>17.133925641911823</v>
      </c>
      <c r="M949">
        <v>12.378771850991493</v>
      </c>
      <c r="N949">
        <v>0.37451397126577529</v>
      </c>
      <c r="O949">
        <v>0.11750066812472976</v>
      </c>
      <c r="P949">
        <v>17.129213509617994</v>
      </c>
      <c r="Q949">
        <v>12.350563959219361</v>
      </c>
      <c r="R949">
        <v>0.39692719643054686</v>
      </c>
      <c r="S949">
        <v>0.1245818921725784</v>
      </c>
      <c r="T949">
        <v>17.127926952177514</v>
      </c>
      <c r="U949">
        <v>1523.6089195087882</v>
      </c>
      <c r="V949">
        <v>9.6466946946864827</v>
      </c>
      <c r="W949">
        <v>1295.1323751281448</v>
      </c>
      <c r="X949">
        <v>7.1953041324979958</v>
      </c>
      <c r="Y949">
        <v>2875.804135324749</v>
      </c>
      <c r="Z949">
        <v>9.6759868214217519</v>
      </c>
      <c r="AA949">
        <v>2728.3944723858604</v>
      </c>
      <c r="AB949">
        <v>7.2132344411582228</v>
      </c>
      <c r="AC949">
        <v>2219.0787059956797</v>
      </c>
      <c r="AD949">
        <v>9.6601325732907704</v>
      </c>
      <c r="AE949">
        <v>2032.1811369035361</v>
      </c>
      <c r="AF949">
        <v>7.2035372262071693</v>
      </c>
      <c r="AG949">
        <v>2082.8729367820506</v>
      </c>
      <c r="AH949">
        <v>9.6558102144672997</v>
      </c>
      <c r="AI949">
        <v>1890.5611398816732</v>
      </c>
      <c r="AJ949">
        <v>7.2008904066295703</v>
      </c>
    </row>
    <row r="950" spans="4:36" x14ac:dyDescent="0.55000000000000004">
      <c r="D950">
        <v>943</v>
      </c>
      <c r="E950">
        <v>12.768219039170138</v>
      </c>
      <c r="F950">
        <v>0.44181996551703406</v>
      </c>
      <c r="G950">
        <v>0.16878317993014699</v>
      </c>
      <c r="H950">
        <v>16.621177815382669</v>
      </c>
      <c r="I950">
        <v>12.977974307489005</v>
      </c>
      <c r="J950">
        <v>0.29571864279337789</v>
      </c>
      <c r="K950">
        <v>0.112632265899885</v>
      </c>
      <c r="L950">
        <v>16.613674783817743</v>
      </c>
      <c r="M950">
        <v>12.896584120975872</v>
      </c>
      <c r="N950">
        <v>0.35244231371103252</v>
      </c>
      <c r="O950">
        <v>0.1343923044744581</v>
      </c>
      <c r="P950">
        <v>16.616581260838643</v>
      </c>
      <c r="Q950">
        <v>12.87184672477691</v>
      </c>
      <c r="R950">
        <v>0.36967446549018534</v>
      </c>
      <c r="S950">
        <v>0.14101294418691793</v>
      </c>
      <c r="T950">
        <v>16.617465865545984</v>
      </c>
      <c r="U950">
        <v>1533.6544004019963</v>
      </c>
      <c r="V950">
        <v>10.095605043180218</v>
      </c>
      <c r="W950">
        <v>1298.6729930149863</v>
      </c>
      <c r="X950">
        <v>7.4757865307538633</v>
      </c>
      <c r="Y950">
        <v>2902.8409100457425</v>
      </c>
      <c r="Z950">
        <v>10.138403392158121</v>
      </c>
      <c r="AA950">
        <v>2745.5258982560217</v>
      </c>
      <c r="AB950">
        <v>7.500989383224784</v>
      </c>
      <c r="AC950">
        <v>2216.8631346601474</v>
      </c>
      <c r="AD950">
        <v>10.121799871130307</v>
      </c>
      <c r="AE950">
        <v>2028.8239861244761</v>
      </c>
      <c r="AF950">
        <v>7.491221006693749</v>
      </c>
      <c r="AG950">
        <v>2106.4146863444721</v>
      </c>
      <c r="AH950">
        <v>10.116752642868619</v>
      </c>
      <c r="AI950">
        <v>1906.7072681026664</v>
      </c>
      <c r="AJ950">
        <v>7.4882493086566395</v>
      </c>
    </row>
    <row r="951" spans="4:36" x14ac:dyDescent="0.55000000000000004">
      <c r="D951">
        <v>944</v>
      </c>
      <c r="E951">
        <v>11.124240865213881</v>
      </c>
      <c r="F951">
        <v>0.42256150746253879</v>
      </c>
      <c r="G951">
        <v>0.17688396112089141</v>
      </c>
      <c r="H951">
        <v>18.276313666202672</v>
      </c>
      <c r="I951">
        <v>11.313650917925491</v>
      </c>
      <c r="J951">
        <v>0.26661622970377002</v>
      </c>
      <c r="K951">
        <v>0.11126055670562594</v>
      </c>
      <c r="L951">
        <v>18.308472295665133</v>
      </c>
      <c r="M951">
        <v>11.24003082086713</v>
      </c>
      <c r="N951">
        <v>0.32724800052555281</v>
      </c>
      <c r="O951">
        <v>0.1367262312262354</v>
      </c>
      <c r="P951">
        <v>18.295994947381072</v>
      </c>
      <c r="Q951">
        <v>11.191807415733464</v>
      </c>
      <c r="R951">
        <v>0.3669507343621366</v>
      </c>
      <c r="S951">
        <v>0.15343513500761849</v>
      </c>
      <c r="T951">
        <v>18.287806714896792</v>
      </c>
      <c r="U951">
        <v>1505.0788827681574</v>
      </c>
      <c r="V951">
        <v>8.8525246564784581</v>
      </c>
      <c r="W951">
        <v>1288.502006525011</v>
      </c>
      <c r="X951">
        <v>6.7245904058772226</v>
      </c>
      <c r="Y951">
        <v>2853.0262672031449</v>
      </c>
      <c r="Z951">
        <v>8.8708964813766933</v>
      </c>
      <c r="AA951">
        <v>2716.7846441092606</v>
      </c>
      <c r="AB951">
        <v>6.7375645025983095</v>
      </c>
      <c r="AC951">
        <v>2157.0209290095149</v>
      </c>
      <c r="AD951">
        <v>8.8637427447688388</v>
      </c>
      <c r="AE951">
        <v>1993.3371165992878</v>
      </c>
      <c r="AF951">
        <v>6.7325226480997271</v>
      </c>
      <c r="AG951">
        <v>2059.4182336403887</v>
      </c>
      <c r="AH951">
        <v>8.8590657340379035</v>
      </c>
      <c r="AI951">
        <v>1879.5998346802985</v>
      </c>
      <c r="AJ951">
        <v>6.7292194417673672</v>
      </c>
    </row>
    <row r="952" spans="4:36" x14ac:dyDescent="0.55000000000000004">
      <c r="D952">
        <v>945</v>
      </c>
      <c r="E952">
        <v>11.928358559160426</v>
      </c>
      <c r="F952">
        <v>0.42880807820056338</v>
      </c>
      <c r="G952">
        <v>0.14471952057429641</v>
      </c>
      <c r="H952">
        <v>17.498113842064704</v>
      </c>
      <c r="I952">
        <v>12.134273164724373</v>
      </c>
      <c r="J952">
        <v>0.27635943714036587</v>
      </c>
      <c r="K952">
        <v>9.2973532308191845E-2</v>
      </c>
      <c r="L952">
        <v>17.496393865827077</v>
      </c>
      <c r="M952">
        <v>12.071231480998701</v>
      </c>
      <c r="N952">
        <v>0.32305845138269634</v>
      </c>
      <c r="O952">
        <v>0.10878933654463645</v>
      </c>
      <c r="P952">
        <v>17.49692073107396</v>
      </c>
      <c r="Q952">
        <v>11.985632936546356</v>
      </c>
      <c r="R952">
        <v>0.38642987921870703</v>
      </c>
      <c r="S952">
        <v>0.13030147347996193</v>
      </c>
      <c r="T952">
        <v>17.497635710754967</v>
      </c>
      <c r="U952">
        <v>1462.0807670892846</v>
      </c>
      <c r="V952">
        <v>9.4049328020497622</v>
      </c>
      <c r="W952">
        <v>1253.4581761190375</v>
      </c>
      <c r="X952">
        <v>7.0574575539747437</v>
      </c>
      <c r="Y952">
        <v>2874.2940345752509</v>
      </c>
      <c r="Z952">
        <v>9.4455363097751022</v>
      </c>
      <c r="AA952">
        <v>2730.7328597268802</v>
      </c>
      <c r="AB952">
        <v>7.0820827159497517</v>
      </c>
      <c r="AC952">
        <v>2170.8530697882443</v>
      </c>
      <c r="AD952">
        <v>9.4331052183857089</v>
      </c>
      <c r="AE952">
        <v>2002.6333350452951</v>
      </c>
      <c r="AF952">
        <v>7.0745528605235641</v>
      </c>
      <c r="AG952">
        <v>2098.1759069326549</v>
      </c>
      <c r="AH952">
        <v>9.4162263777111725</v>
      </c>
      <c r="AI952">
        <v>1905.9273264005487</v>
      </c>
      <c r="AJ952">
        <v>7.0643157289715885</v>
      </c>
    </row>
    <row r="953" spans="4:36" x14ac:dyDescent="0.55000000000000004">
      <c r="D953">
        <v>946</v>
      </c>
      <c r="E953">
        <v>11.60981229125481</v>
      </c>
      <c r="F953">
        <v>0.45566513435185008</v>
      </c>
      <c r="G953">
        <v>0.16598093532059244</v>
      </c>
      <c r="H953">
        <v>17.768541639072758</v>
      </c>
      <c r="I953">
        <v>11.817986847576549</v>
      </c>
      <c r="J953">
        <v>0.28851438862349921</v>
      </c>
      <c r="K953">
        <v>0.10477039711286236</v>
      </c>
      <c r="L953">
        <v>17.788728366687103</v>
      </c>
      <c r="M953">
        <v>11.765635535307924</v>
      </c>
      <c r="N953">
        <v>0.33056839383790254</v>
      </c>
      <c r="O953">
        <v>0.12013456102559228</v>
      </c>
      <c r="P953">
        <v>17.783661509828562</v>
      </c>
      <c r="Q953">
        <v>11.715577034879638</v>
      </c>
      <c r="R953">
        <v>0.37076850962249397</v>
      </c>
      <c r="S953">
        <v>0.1348439370725559</v>
      </c>
      <c r="T953">
        <v>17.778810518425299</v>
      </c>
      <c r="U953">
        <v>1506.406307004265</v>
      </c>
      <c r="V953">
        <v>9.2783173834780452</v>
      </c>
      <c r="W953">
        <v>1283.3756592546692</v>
      </c>
      <c r="X953">
        <v>6.9908080411613946</v>
      </c>
      <c r="Y953">
        <v>2866.4333236258685</v>
      </c>
      <c r="Z953">
        <v>9.3044184690610763</v>
      </c>
      <c r="AA953">
        <v>2722.9741669967634</v>
      </c>
      <c r="AB953">
        <v>7.0075717404884168</v>
      </c>
      <c r="AC953">
        <v>2167.8445158074724</v>
      </c>
      <c r="AD953">
        <v>9.297849192965888</v>
      </c>
      <c r="AE953">
        <v>1998.8125139259873</v>
      </c>
      <c r="AF953">
        <v>7.0033599432793681</v>
      </c>
      <c r="AG953">
        <v>2065.3536459853899</v>
      </c>
      <c r="AH953">
        <v>9.2915710265150242</v>
      </c>
      <c r="AI953">
        <v>1881.133079829769</v>
      </c>
      <c r="AJ953">
        <v>6.9993301696098316</v>
      </c>
    </row>
    <row r="954" spans="4:36" x14ac:dyDescent="0.55000000000000004">
      <c r="D954">
        <v>947</v>
      </c>
      <c r="E954">
        <v>14.118233419624413</v>
      </c>
      <c r="F954">
        <v>0.53531876629528119</v>
      </c>
      <c r="G954">
        <v>0.18096143490503025</v>
      </c>
      <c r="H954">
        <v>15.165486379175295</v>
      </c>
      <c r="I954">
        <v>14.386097065215999</v>
      </c>
      <c r="J954">
        <v>0.35027312970924673</v>
      </c>
      <c r="K954">
        <v>0.11799732770701309</v>
      </c>
      <c r="L954">
        <v>15.145632477367746</v>
      </c>
      <c r="M954">
        <v>14.332274503391693</v>
      </c>
      <c r="N954">
        <v>0.38748911083541798</v>
      </c>
      <c r="O954">
        <v>0.13062489525239787</v>
      </c>
      <c r="P954">
        <v>15.149611490520481</v>
      </c>
      <c r="Q954">
        <v>14.216212003888971</v>
      </c>
      <c r="R954">
        <v>0.46768287253288743</v>
      </c>
      <c r="S954">
        <v>0.15789578384225958</v>
      </c>
      <c r="T954">
        <v>15.158209339735883</v>
      </c>
      <c r="U954">
        <v>1694.419833078367</v>
      </c>
      <c r="V954">
        <v>11.174849214683512</v>
      </c>
      <c r="W954">
        <v>1396.5630503068192</v>
      </c>
      <c r="X954">
        <v>8.1118657815527477</v>
      </c>
      <c r="Y954">
        <v>2998.4406688162826</v>
      </c>
      <c r="Z954">
        <v>11.237797265941236</v>
      </c>
      <c r="AA954">
        <v>2802.6950182094211</v>
      </c>
      <c r="AB954">
        <v>8.1479574814229103</v>
      </c>
      <c r="AC954">
        <v>2327.7015982317589</v>
      </c>
      <c r="AD954">
        <v>11.225154712352756</v>
      </c>
      <c r="AE954">
        <v>2097.0193965646954</v>
      </c>
      <c r="AF954">
        <v>8.140717836670877</v>
      </c>
      <c r="AG954">
        <v>2187.572382117844</v>
      </c>
      <c r="AH954">
        <v>11.197882584713026</v>
      </c>
      <c r="AI954">
        <v>1947.8498399882742</v>
      </c>
      <c r="AJ954">
        <v>8.1250852652601733</v>
      </c>
    </row>
    <row r="955" spans="4:36" x14ac:dyDescent="0.55000000000000004">
      <c r="D955">
        <v>948</v>
      </c>
      <c r="E955">
        <v>12.782416939728419</v>
      </c>
      <c r="F955">
        <v>0.44192207575494663</v>
      </c>
      <c r="G955">
        <v>0.13788309738277316</v>
      </c>
      <c r="H955">
        <v>16.637777887133858</v>
      </c>
      <c r="I955">
        <v>12.969940248328029</v>
      </c>
      <c r="J955">
        <v>0.30554506158612854</v>
      </c>
      <c r="K955">
        <v>9.5081847502771766E-2</v>
      </c>
      <c r="L955">
        <v>16.629432842583078</v>
      </c>
      <c r="M955">
        <v>12.893150234512376</v>
      </c>
      <c r="N955">
        <v>0.36141554313712093</v>
      </c>
      <c r="O955">
        <v>0.11258889437747352</v>
      </c>
      <c r="P955">
        <v>16.632845327973037</v>
      </c>
      <c r="Q955">
        <v>12.818986936138291</v>
      </c>
      <c r="R955">
        <v>0.41534246525745944</v>
      </c>
      <c r="S955">
        <v>0.12952323569652818</v>
      </c>
      <c r="T955">
        <v>16.63614736290771</v>
      </c>
      <c r="U955">
        <v>1505.126963626182</v>
      </c>
      <c r="V955">
        <v>10.12227835224283</v>
      </c>
      <c r="W955">
        <v>1278.1067835855526</v>
      </c>
      <c r="X955">
        <v>7.4977913130588014</v>
      </c>
      <c r="Y955">
        <v>2922.5257315962949</v>
      </c>
      <c r="Z955">
        <v>10.164527866079618</v>
      </c>
      <c r="AA955">
        <v>2759.9264559926314</v>
      </c>
      <c r="AB955">
        <v>7.5227317566272376</v>
      </c>
      <c r="AC955">
        <v>2228.9857851565007</v>
      </c>
      <c r="AD955">
        <v>10.147229368314331</v>
      </c>
      <c r="AE955">
        <v>2037.7690983548355</v>
      </c>
      <c r="AF955">
        <v>7.512528440879243</v>
      </c>
      <c r="AG955">
        <v>2126.683338151558</v>
      </c>
      <c r="AH955">
        <v>10.130519301461611</v>
      </c>
      <c r="AI955">
        <v>1919.0483963666638</v>
      </c>
      <c r="AJ955">
        <v>7.5026614055052683</v>
      </c>
    </row>
    <row r="956" spans="4:36" x14ac:dyDescent="0.55000000000000004">
      <c r="D956">
        <v>949</v>
      </c>
      <c r="E956">
        <v>10.702983388610667</v>
      </c>
      <c r="F956">
        <v>0.37250746588076222</v>
      </c>
      <c r="G956">
        <v>0.14867640901978485</v>
      </c>
      <c r="H956">
        <v>18.775832736488788</v>
      </c>
      <c r="I956">
        <v>10.887528715031985</v>
      </c>
      <c r="J956">
        <v>0.2335798010552454</v>
      </c>
      <c r="K956">
        <v>9.2915569611693172E-2</v>
      </c>
      <c r="L956">
        <v>18.785975914301066</v>
      </c>
      <c r="M956">
        <v>10.810721267323309</v>
      </c>
      <c r="N956">
        <v>0.29142569517573846</v>
      </c>
      <c r="O956">
        <v>0.1160870499866309</v>
      </c>
      <c r="P956">
        <v>18.781765987514323</v>
      </c>
      <c r="Q956">
        <v>10.773430765348181</v>
      </c>
      <c r="R956">
        <v>0.3194977113616172</v>
      </c>
      <c r="S956">
        <v>0.12735544846750055</v>
      </c>
      <c r="T956">
        <v>18.779716074822716</v>
      </c>
      <c r="U956">
        <v>1420.0826391615219</v>
      </c>
      <c r="V956">
        <v>8.4478398153516672</v>
      </c>
      <c r="W956">
        <v>1235.1151291512879</v>
      </c>
      <c r="X956">
        <v>6.4721847755486497</v>
      </c>
      <c r="Y956">
        <v>2806.806218981947</v>
      </c>
      <c r="Z956">
        <v>8.4764454006579744</v>
      </c>
      <c r="AA956">
        <v>2688.9627960391172</v>
      </c>
      <c r="AB956">
        <v>6.4906859653979492</v>
      </c>
      <c r="AC956">
        <v>2102.3076908953344</v>
      </c>
      <c r="AD956">
        <v>8.4645333855582692</v>
      </c>
      <c r="AE956">
        <v>1960.2509164090472</v>
      </c>
      <c r="AF956">
        <v>6.4829920136035684</v>
      </c>
      <c r="AG956">
        <v>1977.5258694478287</v>
      </c>
      <c r="AH956">
        <v>8.4587533156134658</v>
      </c>
      <c r="AI956">
        <v>1827.1578863737629</v>
      </c>
      <c r="AJ956">
        <v>6.4792533695639758</v>
      </c>
    </row>
    <row r="957" spans="4:36" x14ac:dyDescent="0.55000000000000004">
      <c r="D957">
        <v>950</v>
      </c>
      <c r="E957">
        <v>12.343609961161723</v>
      </c>
      <c r="F957">
        <v>0.42449391407996018</v>
      </c>
      <c r="G957">
        <v>0.16510126401822001</v>
      </c>
      <c r="H957">
        <v>17.066794860740099</v>
      </c>
      <c r="I957">
        <v>12.565310301052209</v>
      </c>
      <c r="J957">
        <v>0.27073520376980353</v>
      </c>
      <c r="K957">
        <v>0.1049383461556192</v>
      </c>
      <c r="L957">
        <v>17.059016149022387</v>
      </c>
      <c r="M957">
        <v>12.473246507756667</v>
      </c>
      <c r="N957">
        <v>0.33462383299215137</v>
      </c>
      <c r="O957">
        <v>0.12988595778181136</v>
      </c>
      <c r="P957">
        <v>17.062243701469381</v>
      </c>
      <c r="Q957">
        <v>12.456593898053537</v>
      </c>
      <c r="R957">
        <v>0.34617427873715806</v>
      </c>
      <c r="S957">
        <v>0.13440391677821958</v>
      </c>
      <c r="T957">
        <v>17.062827906431089</v>
      </c>
      <c r="U957">
        <v>1516.966177337627</v>
      </c>
      <c r="V957">
        <v>9.6889045451453946</v>
      </c>
      <c r="W957">
        <v>1288.8606325861092</v>
      </c>
      <c r="X957">
        <v>7.2220014960128136</v>
      </c>
      <c r="Y957">
        <v>2885.8517313881275</v>
      </c>
      <c r="Z957">
        <v>9.7337401717965069</v>
      </c>
      <c r="AA957">
        <v>2735.7214213616726</v>
      </c>
      <c r="AB957">
        <v>7.2487675757613026</v>
      </c>
      <c r="AC957">
        <v>2202.4366479506798</v>
      </c>
      <c r="AD957">
        <v>9.7151233981891334</v>
      </c>
      <c r="AE957">
        <v>2020.5067663059071</v>
      </c>
      <c r="AF957">
        <v>7.2376650988807318</v>
      </c>
      <c r="AG957">
        <v>2090.394363743967</v>
      </c>
      <c r="AH957">
        <v>9.7117557057787227</v>
      </c>
      <c r="AI957">
        <v>1897.7521524249698</v>
      </c>
      <c r="AJ957">
        <v>7.235654988287612</v>
      </c>
    </row>
    <row r="958" spans="4:36" x14ac:dyDescent="0.55000000000000004">
      <c r="D958">
        <v>951</v>
      </c>
      <c r="E958">
        <v>12.972907071135559</v>
      </c>
      <c r="F958">
        <v>0.49539761798630194</v>
      </c>
      <c r="G958">
        <v>0.15646969256938764</v>
      </c>
      <c r="H958">
        <v>16.375225618308765</v>
      </c>
      <c r="I958">
        <v>13.195855716317977</v>
      </c>
      <c r="J958">
        <v>0.31869746771995189</v>
      </c>
      <c r="K958">
        <v>0.1003509459571662</v>
      </c>
      <c r="L958">
        <v>16.385095870004921</v>
      </c>
      <c r="M958">
        <v>13.078056279364748</v>
      </c>
      <c r="N958">
        <v>0.41208917119534555</v>
      </c>
      <c r="O958">
        <v>0.12996794247474569</v>
      </c>
      <c r="P958">
        <v>16.379886606965147</v>
      </c>
      <c r="Q958">
        <v>13.021789980823121</v>
      </c>
      <c r="R958">
        <v>0.45667466960086633</v>
      </c>
      <c r="S958">
        <v>0.14414156525045257</v>
      </c>
      <c r="T958">
        <v>16.377393784325559</v>
      </c>
      <c r="U958">
        <v>1555.0336251969857</v>
      </c>
      <c r="V958">
        <v>10.235186703009385</v>
      </c>
      <c r="W958">
        <v>1310.1810575677182</v>
      </c>
      <c r="X958">
        <v>7.5498369562522489</v>
      </c>
      <c r="Y958">
        <v>2908.0113756789901</v>
      </c>
      <c r="Z958">
        <v>10.266974292225688</v>
      </c>
      <c r="AA958">
        <v>2747.4276774587638</v>
      </c>
      <c r="AB958">
        <v>7.5690134848287043</v>
      </c>
      <c r="AC958">
        <v>2240.9679360668024</v>
      </c>
      <c r="AD958">
        <v>10.250176715795305</v>
      </c>
      <c r="AE958">
        <v>2042.0166400761548</v>
      </c>
      <c r="AF958">
        <v>7.5588885136827528</v>
      </c>
      <c r="AG958">
        <v>2160.743712568104</v>
      </c>
      <c r="AH958">
        <v>10.242154985773224</v>
      </c>
      <c r="AI958">
        <v>1940.3309864109735</v>
      </c>
      <c r="AJ958">
        <v>7.5540465850858336</v>
      </c>
    </row>
    <row r="959" spans="4:36" x14ac:dyDescent="0.55000000000000004">
      <c r="D959">
        <v>952</v>
      </c>
      <c r="E959">
        <v>12.483779866648442</v>
      </c>
      <c r="F959">
        <v>0.46662968769898788</v>
      </c>
      <c r="G959">
        <v>0.19157285019791626</v>
      </c>
      <c r="H959">
        <v>16.858017595454644</v>
      </c>
      <c r="I959">
        <v>12.699634037887259</v>
      </c>
      <c r="J959">
        <v>0.30354754458459038</v>
      </c>
      <c r="K959">
        <v>0.12421244209417151</v>
      </c>
      <c r="L959">
        <v>16.872605975433988</v>
      </c>
      <c r="M959">
        <v>12.634435130043936</v>
      </c>
      <c r="N959">
        <v>0.35283315738475141</v>
      </c>
      <c r="O959">
        <v>0.14452251157218374</v>
      </c>
      <c r="P959">
        <v>16.868209200999132</v>
      </c>
      <c r="Q959">
        <v>12.5811649982512</v>
      </c>
      <c r="R959">
        <v>0.39308449964223241</v>
      </c>
      <c r="S959">
        <v>0.16113982211267813</v>
      </c>
      <c r="T959">
        <v>16.864610679993881</v>
      </c>
      <c r="U959">
        <v>1520.9320387202501</v>
      </c>
      <c r="V959">
        <v>9.8480658965805379</v>
      </c>
      <c r="W959">
        <v>1286.1355375672404</v>
      </c>
      <c r="X959">
        <v>7.3165330524489036</v>
      </c>
      <c r="Y959">
        <v>2888.4072723805393</v>
      </c>
      <c r="Z959">
        <v>9.8787731007251196</v>
      </c>
      <c r="AA959">
        <v>2733.5047922858635</v>
      </c>
      <c r="AB959">
        <v>7.3356777367361206</v>
      </c>
      <c r="AC959">
        <v>2210.6982428870037</v>
      </c>
      <c r="AD959">
        <v>9.8694925858211118</v>
      </c>
      <c r="AE959">
        <v>2023.464931114396</v>
      </c>
      <c r="AF959">
        <v>7.3299001055433788</v>
      </c>
      <c r="AG959">
        <v>2114.9218377652537</v>
      </c>
      <c r="AH959">
        <v>9.8619134755596818</v>
      </c>
      <c r="AI959">
        <v>1910.3844352106203</v>
      </c>
      <c r="AJ959">
        <v>7.3251763289492304</v>
      </c>
    </row>
    <row r="960" spans="4:36" x14ac:dyDescent="0.55000000000000004">
      <c r="D960">
        <v>953</v>
      </c>
      <c r="E960">
        <v>15.067279371964782</v>
      </c>
      <c r="F960">
        <v>0.4958175914694164</v>
      </c>
      <c r="G960">
        <v>0.18691773030446365</v>
      </c>
      <c r="H960">
        <v>14.249985306261349</v>
      </c>
      <c r="I960">
        <v>15.373592084919952</v>
      </c>
      <c r="J960">
        <v>0.3202101840894272</v>
      </c>
      <c r="K960">
        <v>0.1202354729309378</v>
      </c>
      <c r="L960">
        <v>14.185962258059687</v>
      </c>
      <c r="M960">
        <v>15.287344831904871</v>
      </c>
      <c r="N960">
        <v>0.36972113518105448</v>
      </c>
      <c r="O960">
        <v>0.13898120991385685</v>
      </c>
      <c r="P960">
        <v>14.203952823000224</v>
      </c>
      <c r="Q960">
        <v>15.240286271999766</v>
      </c>
      <c r="R960">
        <v>0.39671383500052915</v>
      </c>
      <c r="S960">
        <v>0.14921910596317478</v>
      </c>
      <c r="T960">
        <v>14.213780787036512</v>
      </c>
      <c r="U960">
        <v>1648.1324413820382</v>
      </c>
      <c r="V960">
        <v>11.873659111533975</v>
      </c>
      <c r="W960">
        <v>1362.4181674812444</v>
      </c>
      <c r="X960">
        <v>8.5193239924692108</v>
      </c>
      <c r="Y960">
        <v>2955.8184955541619</v>
      </c>
      <c r="Z960">
        <v>11.96738001410511</v>
      </c>
      <c r="AA960">
        <v>2771.7828557938733</v>
      </c>
      <c r="AB960">
        <v>8.5714805115808339</v>
      </c>
      <c r="AC960">
        <v>2341.0640301988683</v>
      </c>
      <c r="AD960">
        <v>11.941011767446245</v>
      </c>
      <c r="AE960">
        <v>2104.8427724521757</v>
      </c>
      <c r="AF960">
        <v>8.5568218739676833</v>
      </c>
      <c r="AG960">
        <v>2217.2354551484591</v>
      </c>
      <c r="AH960">
        <v>11.926617925480592</v>
      </c>
      <c r="AI960">
        <v>1971.6486485980797</v>
      </c>
      <c r="AJ960">
        <v>8.5488149492537442</v>
      </c>
    </row>
    <row r="961" spans="4:36" x14ac:dyDescent="0.55000000000000004">
      <c r="D961">
        <v>954</v>
      </c>
      <c r="E961">
        <v>12.460054742979299</v>
      </c>
      <c r="F961">
        <v>0.43586568433018996</v>
      </c>
      <c r="G961">
        <v>0.16256393974914665</v>
      </c>
      <c r="H961">
        <v>16.941515632941371</v>
      </c>
      <c r="I961">
        <v>12.672964565287318</v>
      </c>
      <c r="J961">
        <v>0.28296456046146407</v>
      </c>
      <c r="K961">
        <v>0.10521347074001665</v>
      </c>
      <c r="L961">
        <v>16.938857403511189</v>
      </c>
      <c r="M961">
        <v>12.586813476345556</v>
      </c>
      <c r="N961">
        <v>0.34486687581198988</v>
      </c>
      <c r="O961">
        <v>0.12838894501912326</v>
      </c>
      <c r="P961">
        <v>16.939930702823347</v>
      </c>
      <c r="Q961">
        <v>12.550428564645093</v>
      </c>
      <c r="R961">
        <v>0.37099719633601225</v>
      </c>
      <c r="S961">
        <v>0.13818929821500575</v>
      </c>
      <c r="T961">
        <v>16.940384940803899</v>
      </c>
      <c r="U961">
        <v>1459.9984666639989</v>
      </c>
      <c r="V961">
        <v>9.8319487781409016</v>
      </c>
      <c r="W961">
        <v>1249.6075057533726</v>
      </c>
      <c r="X961">
        <v>7.314869474836474</v>
      </c>
      <c r="Y961">
        <v>2878.5337703325713</v>
      </c>
      <c r="Z961">
        <v>9.8733174474055598</v>
      </c>
      <c r="AA961">
        <v>2732.0590750595024</v>
      </c>
      <c r="AB961">
        <v>7.3396333901626063</v>
      </c>
      <c r="AC961">
        <v>2189.395053498341</v>
      </c>
      <c r="AD961">
        <v>9.8565791404688028</v>
      </c>
      <c r="AE961">
        <v>2013.3502963621602</v>
      </c>
      <c r="AF961">
        <v>7.3296235872255648</v>
      </c>
      <c r="AG961">
        <v>2071.814540418532</v>
      </c>
      <c r="AH961">
        <v>9.849509517647574</v>
      </c>
      <c r="AI961">
        <v>1885.5360641105685</v>
      </c>
      <c r="AJ961">
        <v>7.3253917615142123</v>
      </c>
    </row>
    <row r="962" spans="4:36" x14ac:dyDescent="0.55000000000000004">
      <c r="D962">
        <v>955</v>
      </c>
      <c r="E962">
        <v>11.518302977340712</v>
      </c>
      <c r="F962">
        <v>0.44345247171447827</v>
      </c>
      <c r="G962">
        <v>0.16473473642790301</v>
      </c>
      <c r="H962">
        <v>17.873509814516918</v>
      </c>
      <c r="I962">
        <v>11.766294310152011</v>
      </c>
      <c r="J962">
        <v>0.25663180665446156</v>
      </c>
      <c r="K962">
        <v>9.4943867457333797E-2</v>
      </c>
      <c r="L962">
        <v>17.88213001573618</v>
      </c>
      <c r="M962">
        <v>11.673668703650586</v>
      </c>
      <c r="N962">
        <v>0.32645091434920825</v>
      </c>
      <c r="O962">
        <v>0.12095844080753979</v>
      </c>
      <c r="P962">
        <v>17.878921941192672</v>
      </c>
      <c r="Q962">
        <v>11.648730289499099</v>
      </c>
      <c r="R962">
        <v>0.34524062998786242</v>
      </c>
      <c r="S962">
        <v>0.12797322616788398</v>
      </c>
      <c r="T962">
        <v>17.878055854345174</v>
      </c>
      <c r="U962">
        <v>1479.2906620438628</v>
      </c>
      <c r="V962">
        <v>9.1165546257143788</v>
      </c>
      <c r="W962">
        <v>1266.7035032350325</v>
      </c>
      <c r="X962">
        <v>6.8823766697217508</v>
      </c>
      <c r="Y962">
        <v>2854.6823724378819</v>
      </c>
      <c r="Z962">
        <v>9.1603285251758937</v>
      </c>
      <c r="AA962">
        <v>2718.4949312344779</v>
      </c>
      <c r="AB962">
        <v>6.9097488894048888</v>
      </c>
      <c r="AC962">
        <v>2177.8871215393319</v>
      </c>
      <c r="AD962">
        <v>9.1439719615203057</v>
      </c>
      <c r="AE962">
        <v>2008.8945414447987</v>
      </c>
      <c r="AF962">
        <v>6.899537252001406</v>
      </c>
      <c r="AG962">
        <v>2053.3110959508044</v>
      </c>
      <c r="AH962">
        <v>9.1395695282857616</v>
      </c>
      <c r="AI962">
        <v>1876.4339323317952</v>
      </c>
      <c r="AJ962">
        <v>6.8967854576271872</v>
      </c>
    </row>
    <row r="963" spans="4:36" x14ac:dyDescent="0.55000000000000004">
      <c r="D963">
        <v>956</v>
      </c>
      <c r="E963">
        <v>12.455304893524206</v>
      </c>
      <c r="F963">
        <v>0.42715533815866225</v>
      </c>
      <c r="G963">
        <v>0.15971800946312673</v>
      </c>
      <c r="H963">
        <v>16.957821758853992</v>
      </c>
      <c r="I963">
        <v>12.683783388514646</v>
      </c>
      <c r="J963">
        <v>0.26434554450433229</v>
      </c>
      <c r="K963">
        <v>9.8507780947315132E-2</v>
      </c>
      <c r="L963">
        <v>16.953363286033696</v>
      </c>
      <c r="M963">
        <v>12.55792497756164</v>
      </c>
      <c r="N963">
        <v>0.35406958445174608</v>
      </c>
      <c r="O963">
        <v>0.1321885749407688</v>
      </c>
      <c r="P963">
        <v>16.955816863045847</v>
      </c>
      <c r="Q963">
        <v>12.522874614078912</v>
      </c>
      <c r="R963">
        <v>0.37903965172497683</v>
      </c>
      <c r="S963">
        <v>0.14158453091083364</v>
      </c>
      <c r="T963">
        <v>16.956501203285285</v>
      </c>
      <c r="U963">
        <v>1527.5685922222208</v>
      </c>
      <c r="V963">
        <v>9.8292389569700376</v>
      </c>
      <c r="W963">
        <v>1296.811474897404</v>
      </c>
      <c r="X963">
        <v>7.3150323814063496</v>
      </c>
      <c r="Y963">
        <v>2871.050101654801</v>
      </c>
      <c r="Z963">
        <v>9.8770813567686435</v>
      </c>
      <c r="AA963">
        <v>2725.3234405339099</v>
      </c>
      <c r="AB963">
        <v>7.3437780422524197</v>
      </c>
      <c r="AC963">
        <v>2208.870575669057</v>
      </c>
      <c r="AD963">
        <v>9.8507272261788383</v>
      </c>
      <c r="AE963">
        <v>2023.9621276219882</v>
      </c>
      <c r="AF963">
        <v>7.3279565070917085</v>
      </c>
      <c r="AG963">
        <v>2124.3581067673217</v>
      </c>
      <c r="AH963">
        <v>9.8433878217088555</v>
      </c>
      <c r="AI963">
        <v>1920.7489434991976</v>
      </c>
      <c r="AJ963">
        <v>7.3235446403904154</v>
      </c>
    </row>
    <row r="964" spans="4:36" x14ac:dyDescent="0.55000000000000004">
      <c r="D964">
        <v>957</v>
      </c>
      <c r="E964">
        <v>11.384181467965073</v>
      </c>
      <c r="F964">
        <v>0.4140691456725123</v>
      </c>
      <c r="G964">
        <v>0.14413993029529515</v>
      </c>
      <c r="H964">
        <v>18.057609456067123</v>
      </c>
      <c r="I964">
        <v>11.558387057413533</v>
      </c>
      <c r="J964">
        <v>0.27744714223299</v>
      </c>
      <c r="K964">
        <v>9.6323603173898556E-2</v>
      </c>
      <c r="L964">
        <v>18.067842197179569</v>
      </c>
      <c r="M964">
        <v>11.49373993084291</v>
      </c>
      <c r="N964">
        <v>0.32816537525887451</v>
      </c>
      <c r="O964">
        <v>0.11404432940390927</v>
      </c>
      <c r="P964">
        <v>18.064050364494292</v>
      </c>
      <c r="Q964">
        <v>11.468046230523722</v>
      </c>
      <c r="R964">
        <v>0.34831713883761867</v>
      </c>
      <c r="S964">
        <v>0.12109511021810901</v>
      </c>
      <c r="T964">
        <v>18.062541520420552</v>
      </c>
      <c r="U964">
        <v>1469.3932366576703</v>
      </c>
      <c r="V964">
        <v>9.0718340010473462</v>
      </c>
      <c r="W964">
        <v>1263.1450540026235</v>
      </c>
      <c r="X964">
        <v>6.8666857484777859</v>
      </c>
      <c r="Y964">
        <v>2851.8445689989226</v>
      </c>
      <c r="Z964">
        <v>9.0970355609285409</v>
      </c>
      <c r="AA964">
        <v>2715.7134859010571</v>
      </c>
      <c r="AB964">
        <v>6.8825620854663621</v>
      </c>
      <c r="AC964">
        <v>2165.0586664264542</v>
      </c>
      <c r="AD964">
        <v>9.0876803666368637</v>
      </c>
      <c r="AE964">
        <v>2000.3276246915602</v>
      </c>
      <c r="AF964">
        <v>6.8766753376636851</v>
      </c>
      <c r="AG964">
        <v>2059.978720019933</v>
      </c>
      <c r="AH964">
        <v>9.0839631606105939</v>
      </c>
      <c r="AI964">
        <v>1882.6576100360412</v>
      </c>
      <c r="AJ964">
        <v>6.8743340753502329</v>
      </c>
    </row>
    <row r="965" spans="4:36" x14ac:dyDescent="0.55000000000000004">
      <c r="D965">
        <v>958</v>
      </c>
      <c r="E965">
        <v>11.473632572385757</v>
      </c>
      <c r="F965">
        <v>0.41159196095791084</v>
      </c>
      <c r="G965">
        <v>0.15093360024691438</v>
      </c>
      <c r="H965">
        <v>17.963841866409403</v>
      </c>
      <c r="I965">
        <v>11.660137328220493</v>
      </c>
      <c r="J965">
        <v>0.26559338326650095</v>
      </c>
      <c r="K965">
        <v>9.710753478808748E-2</v>
      </c>
      <c r="L965">
        <v>17.977161753724921</v>
      </c>
      <c r="M965">
        <v>11.550194025972758</v>
      </c>
      <c r="N965">
        <v>0.35168029995683264</v>
      </c>
      <c r="O965">
        <v>0.12880663901520834</v>
      </c>
      <c r="P965">
        <v>17.969319035055204</v>
      </c>
      <c r="Q965">
        <v>11.544429444925937</v>
      </c>
      <c r="R965">
        <v>0.35619231804824508</v>
      </c>
      <c r="S965">
        <v>0.13047114578983252</v>
      </c>
      <c r="T965">
        <v>17.968907091235977</v>
      </c>
      <c r="U965">
        <v>1491.3577674921721</v>
      </c>
      <c r="V965">
        <v>9.0835844813027826</v>
      </c>
      <c r="W965">
        <v>1274.8953556081076</v>
      </c>
      <c r="X965">
        <v>6.865326472124397</v>
      </c>
      <c r="Y965">
        <v>2862.712790189049</v>
      </c>
      <c r="Z965">
        <v>9.1115521341366925</v>
      </c>
      <c r="AA965">
        <v>2721.6314191256838</v>
      </c>
      <c r="AB965">
        <v>6.8831826739469379</v>
      </c>
      <c r="AC965">
        <v>2199.8853074964077</v>
      </c>
      <c r="AD965">
        <v>9.0950595277886972</v>
      </c>
      <c r="AE965">
        <v>2020.5483046390025</v>
      </c>
      <c r="AF965">
        <v>6.8726618446981256</v>
      </c>
      <c r="AG965">
        <v>2111.8839179235761</v>
      </c>
      <c r="AH965">
        <v>9.0941952455411599</v>
      </c>
      <c r="AI965">
        <v>1917.0441298454648</v>
      </c>
      <c r="AJ965">
        <v>6.8721097963657813</v>
      </c>
    </row>
    <row r="966" spans="4:36" x14ac:dyDescent="0.55000000000000004">
      <c r="D966">
        <v>959</v>
      </c>
      <c r="E966">
        <v>12.753847703864718</v>
      </c>
      <c r="F966">
        <v>0.50690974120500698</v>
      </c>
      <c r="G966">
        <v>0.16524067773300052</v>
      </c>
      <c r="H966">
        <v>16.574001877197283</v>
      </c>
      <c r="I966">
        <v>13.014128491576644</v>
      </c>
      <c r="J966">
        <v>0.31272433092080376</v>
      </c>
      <c r="K966">
        <v>0.10156766892573829</v>
      </c>
      <c r="L966">
        <v>16.571579508576804</v>
      </c>
      <c r="M966">
        <v>12.921031699130658</v>
      </c>
      <c r="N966">
        <v>0.3822229934045579</v>
      </c>
      <c r="O966">
        <v>0.12430172714835375</v>
      </c>
      <c r="P966">
        <v>16.572443580316442</v>
      </c>
      <c r="Q966">
        <v>12.875292321669757</v>
      </c>
      <c r="R966">
        <v>0.41635100858788454</v>
      </c>
      <c r="S966">
        <v>0.13548760561113574</v>
      </c>
      <c r="T966">
        <v>16.572869064131236</v>
      </c>
      <c r="U966">
        <v>1593.4104744167598</v>
      </c>
      <c r="V966">
        <v>10.044607169647803</v>
      </c>
      <c r="W966">
        <v>1338.6527212529834</v>
      </c>
      <c r="X966">
        <v>7.4349657590872793</v>
      </c>
      <c r="Y966">
        <v>2904.9263501430041</v>
      </c>
      <c r="Z966">
        <v>10.096933107860458</v>
      </c>
      <c r="AA966">
        <v>2745.9738129706438</v>
      </c>
      <c r="AB966">
        <v>7.4661103964473829</v>
      </c>
      <c r="AC966">
        <v>2243.8202205180664</v>
      </c>
      <c r="AD966">
        <v>10.078218811412794</v>
      </c>
      <c r="AE966">
        <v>2046.8438458776045</v>
      </c>
      <c r="AF966">
        <v>7.4549856218652515</v>
      </c>
      <c r="AG966">
        <v>2166.7842333890271</v>
      </c>
      <c r="AH966">
        <v>10.069023659947067</v>
      </c>
      <c r="AI966">
        <v>1948.3641057437405</v>
      </c>
      <c r="AJ966">
        <v>7.4495138292010159</v>
      </c>
    </row>
    <row r="967" spans="4:36" x14ac:dyDescent="0.55000000000000004">
      <c r="D967">
        <v>960</v>
      </c>
      <c r="E967">
        <v>11.836302410595906</v>
      </c>
      <c r="F967">
        <v>0.45260460530988589</v>
      </c>
      <c r="G967">
        <v>0.17058020262601367</v>
      </c>
      <c r="H967">
        <v>17.540512781468188</v>
      </c>
      <c r="I967">
        <v>12.028694874349698</v>
      </c>
      <c r="J967">
        <v>0.2993677207374732</v>
      </c>
      <c r="K967">
        <v>0.11249500940384863</v>
      </c>
      <c r="L967">
        <v>17.559442395508974</v>
      </c>
      <c r="M967">
        <v>11.94497947320011</v>
      </c>
      <c r="N967">
        <v>0.36606730893478573</v>
      </c>
      <c r="O967">
        <v>0.13773513080399521</v>
      </c>
      <c r="P967">
        <v>17.551218087061098</v>
      </c>
      <c r="Q967">
        <v>11.892428646673793</v>
      </c>
      <c r="R967">
        <v>0.40791957717252658</v>
      </c>
      <c r="S967">
        <v>0.15360616717355671</v>
      </c>
      <c r="T967">
        <v>17.546045608980123</v>
      </c>
      <c r="U967">
        <v>1512.3188909664957</v>
      </c>
      <c r="V967">
        <v>9.2996217822861205</v>
      </c>
      <c r="W967">
        <v>1283.8810784439397</v>
      </c>
      <c r="X967">
        <v>6.9813428824453236</v>
      </c>
      <c r="Y967">
        <v>2893.8031520797708</v>
      </c>
      <c r="Z967">
        <v>9.3239540859420842</v>
      </c>
      <c r="AA967">
        <v>2739.956192265824</v>
      </c>
      <c r="AB967">
        <v>6.9969911229104413</v>
      </c>
      <c r="AC967">
        <v>2221.4078859650699</v>
      </c>
      <c r="AD967">
        <v>9.3133594733458676</v>
      </c>
      <c r="AE967">
        <v>2032.9202330865842</v>
      </c>
      <c r="AF967">
        <v>6.9901860726342182</v>
      </c>
      <c r="AG967">
        <v>2141.1810003288001</v>
      </c>
      <c r="AH967">
        <v>9.3067143464240729</v>
      </c>
      <c r="AI967">
        <v>1931.6370581136528</v>
      </c>
      <c r="AJ967">
        <v>6.985911232417636</v>
      </c>
    </row>
    <row r="968" spans="4:36" x14ac:dyDescent="0.55000000000000004">
      <c r="D968">
        <v>961</v>
      </c>
      <c r="E968">
        <v>12.368160358208234</v>
      </c>
      <c r="F968">
        <v>0.42042430043944168</v>
      </c>
      <c r="G968">
        <v>0.17016961660334526</v>
      </c>
      <c r="H968">
        <v>17.041245724748975</v>
      </c>
      <c r="I968">
        <v>12.554970724958576</v>
      </c>
      <c r="J968">
        <v>0.2843892774606086</v>
      </c>
      <c r="K968">
        <v>0.1147951599631454</v>
      </c>
      <c r="L968">
        <v>17.045844837617661</v>
      </c>
      <c r="M968">
        <v>12.483085991208672</v>
      </c>
      <c r="N968">
        <v>0.33675999204336088</v>
      </c>
      <c r="O968">
        <v>0.13607698509317936</v>
      </c>
      <c r="P968">
        <v>17.044077031654794</v>
      </c>
      <c r="Q968">
        <v>12.422290510929452</v>
      </c>
      <c r="R968">
        <v>0.38102803161174892</v>
      </c>
      <c r="S968">
        <v>0.15410140836766736</v>
      </c>
      <c r="T968">
        <v>17.042580049091136</v>
      </c>
      <c r="U968">
        <v>1520.1486956639872</v>
      </c>
      <c r="V968">
        <v>9.6948864369418324</v>
      </c>
      <c r="W968">
        <v>1290.6014868305294</v>
      </c>
      <c r="X968">
        <v>7.2224114392686554</v>
      </c>
      <c r="Y968">
        <v>2874.1792308319627</v>
      </c>
      <c r="Z968">
        <v>9.7255417603155365</v>
      </c>
      <c r="AA968">
        <v>2725.2521446421188</v>
      </c>
      <c r="AB968">
        <v>7.2409922755316041</v>
      </c>
      <c r="AC968">
        <v>2229.8862895458155</v>
      </c>
      <c r="AD968">
        <v>9.7137447496321094</v>
      </c>
      <c r="AE968">
        <v>2040.14709133163</v>
      </c>
      <c r="AF968">
        <v>7.2338487578969959</v>
      </c>
      <c r="AG968">
        <v>2106.0476288524019</v>
      </c>
      <c r="AH968">
        <v>9.7037684015760117</v>
      </c>
      <c r="AI968">
        <v>1905.799007949121</v>
      </c>
      <c r="AJ968">
        <v>7.2278009992932333</v>
      </c>
    </row>
    <row r="969" spans="4:36" x14ac:dyDescent="0.55000000000000004">
      <c r="D969">
        <v>962</v>
      </c>
      <c r="E969">
        <v>11.709928707300982</v>
      </c>
      <c r="F969">
        <v>0.43607372234735781</v>
      </c>
      <c r="G969">
        <v>0.14693209190952095</v>
      </c>
      <c r="H969">
        <v>17.707065478442132</v>
      </c>
      <c r="I969">
        <v>11.90000025490435</v>
      </c>
      <c r="J969">
        <v>0.28387050024748894</v>
      </c>
      <c r="K969">
        <v>9.5373490277738643E-2</v>
      </c>
      <c r="L969">
        <v>17.720755754570416</v>
      </c>
      <c r="M969">
        <v>11.800977776610122</v>
      </c>
      <c r="N969">
        <v>0.36318597316624873</v>
      </c>
      <c r="O969">
        <v>0.12220397399977738</v>
      </c>
      <c r="P969">
        <v>17.713632276223844</v>
      </c>
      <c r="Q969">
        <v>11.767253065012376</v>
      </c>
      <c r="R969">
        <v>0.39018832450541979</v>
      </c>
      <c r="S969">
        <v>0.13135678671497666</v>
      </c>
      <c r="T969">
        <v>17.711201823767215</v>
      </c>
      <c r="U969">
        <v>1512.8753813002527</v>
      </c>
      <c r="V969">
        <v>9.1787965970708552</v>
      </c>
      <c r="W969">
        <v>1290.5697402391493</v>
      </c>
      <c r="X969">
        <v>6.9068710054339908</v>
      </c>
      <c r="Y969">
        <v>2866.2195106818535</v>
      </c>
      <c r="Z969">
        <v>9.2013658721536125</v>
      </c>
      <c r="AA969">
        <v>2723.632030477273</v>
      </c>
      <c r="AB969">
        <v>6.9212537584415506</v>
      </c>
      <c r="AC969">
        <v>2211.367750443741</v>
      </c>
      <c r="AD969">
        <v>9.1896027346252005</v>
      </c>
      <c r="AE969">
        <v>2029.5376149507304</v>
      </c>
      <c r="AF969">
        <v>6.9137649104196388</v>
      </c>
      <c r="AG969">
        <v>2089.176584352555</v>
      </c>
      <c r="AH969">
        <v>9.1855990223962571</v>
      </c>
      <c r="AI969">
        <v>1898.133075869521</v>
      </c>
      <c r="AJ969">
        <v>6.9112123052924819</v>
      </c>
    </row>
    <row r="970" spans="4:36" x14ac:dyDescent="0.55000000000000004">
      <c r="D970">
        <v>963</v>
      </c>
      <c r="E970">
        <v>12.710220438640828</v>
      </c>
      <c r="F970">
        <v>0.45167724002776716</v>
      </c>
      <c r="G970">
        <v>0.17065189748934848</v>
      </c>
      <c r="H970">
        <v>16.66745042384207</v>
      </c>
      <c r="I970">
        <v>12.929498548358676</v>
      </c>
      <c r="J970">
        <v>0.2937113343397158</v>
      </c>
      <c r="K970">
        <v>0.11061331588718511</v>
      </c>
      <c r="L970">
        <v>16.66617680141443</v>
      </c>
      <c r="M970">
        <v>12.858995285193959</v>
      </c>
      <c r="N970">
        <v>0.34453228723773488</v>
      </c>
      <c r="O970">
        <v>0.12988630916636301</v>
      </c>
      <c r="P970">
        <v>16.666586118401959</v>
      </c>
      <c r="Q970">
        <v>12.800528392934714</v>
      </c>
      <c r="R970">
        <v>0.38665479219004439</v>
      </c>
      <c r="S970">
        <v>0.1458911262511686</v>
      </c>
      <c r="T970">
        <v>16.666925688624062</v>
      </c>
      <c r="U970">
        <v>1551.8748109368607</v>
      </c>
      <c r="V970">
        <v>10.129266488246317</v>
      </c>
      <c r="W970">
        <v>1309.7681739222132</v>
      </c>
      <c r="X970">
        <v>7.5073039039532858</v>
      </c>
      <c r="Y970">
        <v>2890.8707688643512</v>
      </c>
      <c r="Z970">
        <v>10.176117810605913</v>
      </c>
      <c r="AA970">
        <v>2735.6761567346048</v>
      </c>
      <c r="AB970">
        <v>7.5353572765684182</v>
      </c>
      <c r="AC970">
        <v>2213.2601350438931</v>
      </c>
      <c r="AD970">
        <v>10.161053885947172</v>
      </c>
      <c r="AE970">
        <v>2025.4384942236272</v>
      </c>
      <c r="AF970">
        <v>7.5263478816707128</v>
      </c>
      <c r="AG970">
        <v>2132.2288499503184</v>
      </c>
      <c r="AH970">
        <v>10.148561743931911</v>
      </c>
      <c r="AI970">
        <v>1923.1726089684571</v>
      </c>
      <c r="AJ970">
        <v>7.5188690971656307</v>
      </c>
    </row>
    <row r="971" spans="4:36" x14ac:dyDescent="0.55000000000000004">
      <c r="D971">
        <v>964</v>
      </c>
      <c r="E971">
        <v>12.135729371207207</v>
      </c>
      <c r="F971">
        <v>0.41776059891647066</v>
      </c>
      <c r="G971">
        <v>0.17021941123383638</v>
      </c>
      <c r="H971">
        <v>17.276290618642474</v>
      </c>
      <c r="I971">
        <v>12.351568789059865</v>
      </c>
      <c r="J971">
        <v>0.26666488347088141</v>
      </c>
      <c r="K971">
        <v>0.10828992688138653</v>
      </c>
      <c r="L971">
        <v>17.273476400587878</v>
      </c>
      <c r="M971">
        <v>12.259714749156066</v>
      </c>
      <c r="N971">
        <v>0.33100264548274805</v>
      </c>
      <c r="O971">
        <v>0.13460840552614747</v>
      </c>
      <c r="P971">
        <v>17.274674199835033</v>
      </c>
      <c r="Q971">
        <v>12.212959526672435</v>
      </c>
      <c r="R971">
        <v>0.36373092898539644</v>
      </c>
      <c r="S971">
        <v>0.14802573549100073</v>
      </c>
      <c r="T971">
        <v>17.275283808851164</v>
      </c>
      <c r="U971">
        <v>1477.4395457526055</v>
      </c>
      <c r="V971">
        <v>9.5776813722591481</v>
      </c>
      <c r="W971">
        <v>1263.0158894847686</v>
      </c>
      <c r="X971">
        <v>7.1622309252840521</v>
      </c>
      <c r="Y971">
        <v>2860.773359187599</v>
      </c>
      <c r="Z971">
        <v>9.6205323465852537</v>
      </c>
      <c r="AA971">
        <v>2719.4094162619444</v>
      </c>
      <c r="AB971">
        <v>7.1881562668534791</v>
      </c>
      <c r="AC971">
        <v>2192.3790139073781</v>
      </c>
      <c r="AD971">
        <v>9.6022959126451415</v>
      </c>
      <c r="AE971">
        <v>2015.9136139535128</v>
      </c>
      <c r="AF971">
        <v>7.1771346410760026</v>
      </c>
      <c r="AG971">
        <v>2083.3719492702453</v>
      </c>
      <c r="AH971">
        <v>9.5930135450800691</v>
      </c>
      <c r="AI971">
        <v>1893.9318383155526</v>
      </c>
      <c r="AJ971">
        <v>7.1715180264585801</v>
      </c>
    </row>
    <row r="972" spans="4:36" x14ac:dyDescent="0.55000000000000004">
      <c r="D972">
        <v>965</v>
      </c>
      <c r="E972">
        <v>12.664163975558514</v>
      </c>
      <c r="F972">
        <v>0.45007707847380418</v>
      </c>
      <c r="G972">
        <v>0.18514096231250621</v>
      </c>
      <c r="H972">
        <v>16.70061798365516</v>
      </c>
      <c r="I972">
        <v>12.838345241423987</v>
      </c>
      <c r="J972">
        <v>0.32277417517981954</v>
      </c>
      <c r="K972">
        <v>0.13241850373360831</v>
      </c>
      <c r="L972">
        <v>16.706462079662593</v>
      </c>
      <c r="M972">
        <v>12.776633068655109</v>
      </c>
      <c r="N972">
        <v>0.36789747188433608</v>
      </c>
      <c r="O972">
        <v>0.15107346007107422</v>
      </c>
      <c r="P972">
        <v>16.704395999389476</v>
      </c>
      <c r="Q972">
        <v>12.757881114520661</v>
      </c>
      <c r="R972">
        <v>0.3816043587487909</v>
      </c>
      <c r="S972">
        <v>0.15674729836595647</v>
      </c>
      <c r="T972">
        <v>16.703767228364594</v>
      </c>
      <c r="U972">
        <v>1572.3853934896317</v>
      </c>
      <c r="V972">
        <v>9.8738231172434574</v>
      </c>
      <c r="W972">
        <v>1320.3737601417429</v>
      </c>
      <c r="X972">
        <v>7.318351544483864</v>
      </c>
      <c r="Y972">
        <v>2921.7961427412242</v>
      </c>
      <c r="Z972">
        <v>9.9015847495936917</v>
      </c>
      <c r="AA972">
        <v>2752.8605356294547</v>
      </c>
      <c r="AB972">
        <v>7.3353457531599995</v>
      </c>
      <c r="AC972">
        <v>2240.7300524139619</v>
      </c>
      <c r="AD972">
        <v>9.891746316529396</v>
      </c>
      <c r="AE972">
        <v>2040.0862189747922</v>
      </c>
      <c r="AF972">
        <v>7.32932915621537</v>
      </c>
      <c r="AG972">
        <v>2136.0461209948126</v>
      </c>
      <c r="AH972">
        <v>9.8887573423727808</v>
      </c>
      <c r="AI972">
        <v>1922.3552733393135</v>
      </c>
      <c r="AJ972">
        <v>7.3274999857909275</v>
      </c>
    </row>
    <row r="973" spans="4:36" x14ac:dyDescent="0.55000000000000004">
      <c r="D973">
        <v>966</v>
      </c>
      <c r="E973">
        <v>11.232579177185897</v>
      </c>
      <c r="F973">
        <v>0.39750505084342824</v>
      </c>
      <c r="G973">
        <v>0.16886340109793568</v>
      </c>
      <c r="H973">
        <v>18.201052370872745</v>
      </c>
      <c r="I973">
        <v>11.385834968170919</v>
      </c>
      <c r="J973">
        <v>0.27588743461289916</v>
      </c>
      <c r="K973">
        <v>0.11689480966936212</v>
      </c>
      <c r="L973">
        <v>18.221382787546805</v>
      </c>
      <c r="M973">
        <v>11.334529976663314</v>
      </c>
      <c r="N973">
        <v>0.31661409809561447</v>
      </c>
      <c r="O973">
        <v>0.13426732179597889</v>
      </c>
      <c r="P973">
        <v>18.214588603445105</v>
      </c>
      <c r="Q973">
        <v>11.295295968534528</v>
      </c>
      <c r="R973">
        <v>0.34774976716909162</v>
      </c>
      <c r="S973">
        <v>0.1475692872574999</v>
      </c>
      <c r="T973">
        <v>18.209384977038891</v>
      </c>
      <c r="U973">
        <v>1462.8671210207181</v>
      </c>
      <c r="V973">
        <v>8.8252368056036907</v>
      </c>
      <c r="W973">
        <v>1256.3496581790905</v>
      </c>
      <c r="X973">
        <v>6.6954943197758574</v>
      </c>
      <c r="Y973">
        <v>2856.8838260303964</v>
      </c>
      <c r="Z973">
        <v>8.843220761492983</v>
      </c>
      <c r="AA973">
        <v>2717.4768496715992</v>
      </c>
      <c r="AB973">
        <v>6.7075919936671085</v>
      </c>
      <c r="AC973">
        <v>2151.3453114770509</v>
      </c>
      <c r="AD973">
        <v>8.8371939850933394</v>
      </c>
      <c r="AE973">
        <v>1988.3297102794988</v>
      </c>
      <c r="AF973">
        <v>6.7035437359342653</v>
      </c>
      <c r="AG973">
        <v>2067.3492187133556</v>
      </c>
      <c r="AH973">
        <v>8.8325894758128349</v>
      </c>
      <c r="AI973">
        <v>1885.590600017541</v>
      </c>
      <c r="AJ973">
        <v>6.7004468347296866</v>
      </c>
    </row>
    <row r="974" spans="4:36" x14ac:dyDescent="0.55000000000000004">
      <c r="D974">
        <v>967</v>
      </c>
      <c r="E974">
        <v>12.137500275918169</v>
      </c>
      <c r="F974">
        <v>0.43834492515851603</v>
      </c>
      <c r="G974">
        <v>0.16746819175665975</v>
      </c>
      <c r="H974">
        <v>17.256686607166646</v>
      </c>
      <c r="I974">
        <v>12.351010053664847</v>
      </c>
      <c r="J974">
        <v>0.28053249508293743</v>
      </c>
      <c r="K974">
        <v>0.10681884503207792</v>
      </c>
      <c r="L974">
        <v>17.261638606220124</v>
      </c>
      <c r="M974">
        <v>12.261160982240748</v>
      </c>
      <c r="N974">
        <v>0.34697515083481179</v>
      </c>
      <c r="O974">
        <v>0.13230352219632016</v>
      </c>
      <c r="P974">
        <v>17.259560344728122</v>
      </c>
      <c r="Q974">
        <v>12.230186467411277</v>
      </c>
      <c r="R974">
        <v>0.36986977245368685</v>
      </c>
      <c r="S974">
        <v>0.14110176433916977</v>
      </c>
      <c r="T974">
        <v>17.258841995795862</v>
      </c>
      <c r="U974">
        <v>1501.6000290524419</v>
      </c>
      <c r="V974">
        <v>9.5231796441228767</v>
      </c>
      <c r="W974">
        <v>1280.9471445977938</v>
      </c>
      <c r="X974">
        <v>7.1178356995116818</v>
      </c>
      <c r="Y974">
        <v>2852.8419107590325</v>
      </c>
      <c r="Z974">
        <v>9.5578979090938425</v>
      </c>
      <c r="AA974">
        <v>2713.2408621892823</v>
      </c>
      <c r="AB974">
        <v>7.1391337464806695</v>
      </c>
      <c r="AC974">
        <v>2171.339610411972</v>
      </c>
      <c r="AD974">
        <v>9.5432847435392194</v>
      </c>
      <c r="AE974">
        <v>1999.923090982043</v>
      </c>
      <c r="AF974">
        <v>7.1301793375596132</v>
      </c>
      <c r="AG974">
        <v>2075.4388591267002</v>
      </c>
      <c r="AH974">
        <v>9.5382480304173534</v>
      </c>
      <c r="AI974">
        <v>1888.6226478939354</v>
      </c>
      <c r="AJ974">
        <v>7.1270896422974044</v>
      </c>
    </row>
    <row r="975" spans="4:36" x14ac:dyDescent="0.55000000000000004">
      <c r="D975">
        <v>968</v>
      </c>
      <c r="E975">
        <v>14.002695543742302</v>
      </c>
      <c r="F975">
        <v>0.50695919752638274</v>
      </c>
      <c r="G975">
        <v>0.18807777907050938</v>
      </c>
      <c r="H975">
        <v>15.302267479660811</v>
      </c>
      <c r="I975">
        <v>14.24375012319431</v>
      </c>
      <c r="J975">
        <v>0.34159256428046808</v>
      </c>
      <c r="K975">
        <v>0.12631990681251939</v>
      </c>
      <c r="L975">
        <v>15.288337405712685</v>
      </c>
      <c r="M975">
        <v>14.161781156684143</v>
      </c>
      <c r="N975">
        <v>0.39786384892026544</v>
      </c>
      <c r="O975">
        <v>0.14728957060406569</v>
      </c>
      <c r="P975">
        <v>15.293065423791507</v>
      </c>
      <c r="Q975">
        <v>14.119792340637101</v>
      </c>
      <c r="R975">
        <v>0.42667326092560454</v>
      </c>
      <c r="S975">
        <v>0.15804353401721366</v>
      </c>
      <c r="T975">
        <v>15.295490864420062</v>
      </c>
      <c r="U975">
        <v>1647.1968247153782</v>
      </c>
      <c r="V975">
        <v>11.042849719293224</v>
      </c>
      <c r="W975">
        <v>1363.9953158756618</v>
      </c>
      <c r="X975">
        <v>8.0288551772367374</v>
      </c>
      <c r="Y975">
        <v>2986.3786257373222</v>
      </c>
      <c r="Z975">
        <v>11.095130834118772</v>
      </c>
      <c r="AA975">
        <v>2794.4570773073738</v>
      </c>
      <c r="AB975">
        <v>8.058983059899786</v>
      </c>
      <c r="AC975">
        <v>2305.3431070212523</v>
      </c>
      <c r="AD975">
        <v>11.077358131914872</v>
      </c>
      <c r="AE975">
        <v>2079.8087383308984</v>
      </c>
      <c r="AF975">
        <v>8.0487510928456416</v>
      </c>
      <c r="AG975">
        <v>2208.8331137367991</v>
      </c>
      <c r="AH975">
        <v>11.068251978262891</v>
      </c>
      <c r="AI975">
        <v>1966.3568923644887</v>
      </c>
      <c r="AJ975">
        <v>8.0435046513049198</v>
      </c>
    </row>
    <row r="976" spans="4:36" x14ac:dyDescent="0.55000000000000004">
      <c r="D976">
        <v>969</v>
      </c>
      <c r="E976">
        <v>16.226766087032001</v>
      </c>
      <c r="F976">
        <v>0.55844647549247806</v>
      </c>
      <c r="G976">
        <v>0.20308436093948753</v>
      </c>
      <c r="H976">
        <v>13.011703076536024</v>
      </c>
      <c r="I976">
        <v>16.496244424334598</v>
      </c>
      <c r="J976">
        <v>0.38909814312667113</v>
      </c>
      <c r="K976">
        <v>0.14104831326073161</v>
      </c>
      <c r="L976">
        <v>12.973609119278001</v>
      </c>
      <c r="M976">
        <v>16.434329038247483</v>
      </c>
      <c r="N976">
        <v>0.42804676942136693</v>
      </c>
      <c r="O976">
        <v>0.15528040480150565</v>
      </c>
      <c r="P976">
        <v>12.982343787529626</v>
      </c>
      <c r="Q976">
        <v>16.320960303848953</v>
      </c>
      <c r="R976">
        <v>0.49930241848015433</v>
      </c>
      <c r="S976">
        <v>0.18137262742606</v>
      </c>
      <c r="T976">
        <v>12.998364650244836</v>
      </c>
      <c r="U976">
        <v>1774.411848503506</v>
      </c>
      <c r="V976">
        <v>12.72048454460074</v>
      </c>
      <c r="W976">
        <v>1437.8080693815587</v>
      </c>
      <c r="X976">
        <v>8.9917015721412969</v>
      </c>
      <c r="Y976">
        <v>3050.1212946099004</v>
      </c>
      <c r="Z976">
        <v>12.790528709986077</v>
      </c>
      <c r="AA976">
        <v>2827.5422295967755</v>
      </c>
      <c r="AB976">
        <v>9.0303730082548714</v>
      </c>
      <c r="AC976">
        <v>2368.1248104362635</v>
      </c>
      <c r="AD976">
        <v>12.774445548889641</v>
      </c>
      <c r="AE976">
        <v>2111.7922198546476</v>
      </c>
      <c r="AF976">
        <v>9.0215014332068311</v>
      </c>
      <c r="AG976">
        <v>2301.9159755844298</v>
      </c>
      <c r="AH976">
        <v>12.744981127545008</v>
      </c>
      <c r="AI976">
        <v>2016.1986554843663</v>
      </c>
      <c r="AJ976">
        <v>9.0052364120438799</v>
      </c>
    </row>
    <row r="977" spans="4:36" x14ac:dyDescent="0.55000000000000004">
      <c r="D977">
        <v>970</v>
      </c>
      <c r="E977">
        <v>11.868909424075905</v>
      </c>
      <c r="F977">
        <v>0.4404621141879751</v>
      </c>
      <c r="G977">
        <v>0.16532823747750988</v>
      </c>
      <c r="H977">
        <v>17.525300224258615</v>
      </c>
      <c r="I977">
        <v>12.069273659586699</v>
      </c>
      <c r="J977">
        <v>0.28602340781779007</v>
      </c>
      <c r="K977">
        <v>0.10704438321319026</v>
      </c>
      <c r="L977">
        <v>17.537658549382321</v>
      </c>
      <c r="M977">
        <v>11.970858946622798</v>
      </c>
      <c r="N977">
        <v>0.36190702443640826</v>
      </c>
      <c r="O977">
        <v>0.13563882167035435</v>
      </c>
      <c r="P977">
        <v>17.531595207270431</v>
      </c>
      <c r="Q977">
        <v>11.949690819052407</v>
      </c>
      <c r="R977">
        <v>0.3782222332417684</v>
      </c>
      <c r="S977">
        <v>0.14179762383361844</v>
      </c>
      <c r="T977">
        <v>17.530289323872186</v>
      </c>
      <c r="U977">
        <v>1505.6693664197358</v>
      </c>
      <c r="V977">
        <v>9.4469047121158898</v>
      </c>
      <c r="W977">
        <v>1283.7334829888359</v>
      </c>
      <c r="X977">
        <v>7.090606627885343</v>
      </c>
      <c r="Y977">
        <v>2874.8968865133752</v>
      </c>
      <c r="Z977">
        <v>9.4756567016696955</v>
      </c>
      <c r="AA977">
        <v>2729.3262920986695</v>
      </c>
      <c r="AB977">
        <v>7.1084666341011999</v>
      </c>
      <c r="AC977">
        <v>2194.3136330374537</v>
      </c>
      <c r="AD977">
        <v>9.4615311016068411</v>
      </c>
      <c r="AE977">
        <v>2015.9202117670507</v>
      </c>
      <c r="AF977">
        <v>7.0997007619426977</v>
      </c>
      <c r="AG977">
        <v>2077.1174562224551</v>
      </c>
      <c r="AH977">
        <v>9.4584936222844771</v>
      </c>
      <c r="AI977">
        <v>1889.1259318214093</v>
      </c>
      <c r="AJ977">
        <v>7.0978136455800973</v>
      </c>
    </row>
    <row r="978" spans="4:36" x14ac:dyDescent="0.55000000000000004">
      <c r="D978">
        <v>971</v>
      </c>
      <c r="E978">
        <v>13.857104056378484</v>
      </c>
      <c r="F978">
        <v>0.53180598412070412</v>
      </c>
      <c r="G978">
        <v>0.16343761618662628</v>
      </c>
      <c r="H978">
        <v>15.447652343314186</v>
      </c>
      <c r="I978">
        <v>14.136224466229127</v>
      </c>
      <c r="J978">
        <v>0.33287403924032527</v>
      </c>
      <c r="K978">
        <v>0.10192057674376488</v>
      </c>
      <c r="L978">
        <v>15.428980917786783</v>
      </c>
      <c r="M978">
        <v>14.02366608303063</v>
      </c>
      <c r="N978">
        <v>0.41314911888481187</v>
      </c>
      <c r="O978">
        <v>0.1266885799911566</v>
      </c>
      <c r="P978">
        <v>15.436496218093414</v>
      </c>
      <c r="Q978">
        <v>13.939901702894106</v>
      </c>
      <c r="R978">
        <v>0.47284184948467806</v>
      </c>
      <c r="S978">
        <v>0.14515506582439897</v>
      </c>
      <c r="T978">
        <v>15.442101381796824</v>
      </c>
      <c r="U978">
        <v>1631.160257179708</v>
      </c>
      <c r="V978">
        <v>10.933118495485923</v>
      </c>
      <c r="W978">
        <v>1357.5406652587678</v>
      </c>
      <c r="X978">
        <v>7.9657123578173765</v>
      </c>
      <c r="Y978">
        <v>2946.2584507627344</v>
      </c>
      <c r="Z978">
        <v>10.997041910541407</v>
      </c>
      <c r="AA978">
        <v>2770.4022867783083</v>
      </c>
      <c r="AB978">
        <v>8.0025707017749461</v>
      </c>
      <c r="AC978">
        <v>2259.7495442373929</v>
      </c>
      <c r="AD978">
        <v>10.971272306252446</v>
      </c>
      <c r="AE978">
        <v>2050.8568224985893</v>
      </c>
      <c r="AF978">
        <v>7.9877270418696469</v>
      </c>
      <c r="AG978">
        <v>2198.9650312805434</v>
      </c>
      <c r="AH978">
        <v>10.952087738954845</v>
      </c>
      <c r="AI978">
        <v>1961.8804616590755</v>
      </c>
      <c r="AJ978">
        <v>7.9766632249780294</v>
      </c>
    </row>
    <row r="979" spans="4:36" x14ac:dyDescent="0.55000000000000004">
      <c r="D979">
        <v>972</v>
      </c>
      <c r="E979">
        <v>12.404702152271874</v>
      </c>
      <c r="F979">
        <v>0.47567948290852835</v>
      </c>
      <c r="G979">
        <v>0.17217504163611899</v>
      </c>
      <c r="H979">
        <v>16.947443323183489</v>
      </c>
      <c r="I979">
        <v>12.650487718359665</v>
      </c>
      <c r="J979">
        <v>0.2903850399403784</v>
      </c>
      <c r="K979">
        <v>0.10472678576200566</v>
      </c>
      <c r="L979">
        <v>16.954400455937954</v>
      </c>
      <c r="M979">
        <v>12.550752117379123</v>
      </c>
      <c r="N979">
        <v>0.3656140819222265</v>
      </c>
      <c r="O979">
        <v>0.1320508997035576</v>
      </c>
      <c r="P979">
        <v>16.951582900995099</v>
      </c>
      <c r="Q979">
        <v>12.536889288843764</v>
      </c>
      <c r="R979">
        <v>0.37606632968074327</v>
      </c>
      <c r="S979">
        <v>0.13585370359927959</v>
      </c>
      <c r="T979">
        <v>16.951190677876202</v>
      </c>
      <c r="U979">
        <v>1539.060445647081</v>
      </c>
      <c r="V979">
        <v>9.6965949234931177</v>
      </c>
      <c r="W979">
        <v>1300.4313692080411</v>
      </c>
      <c r="X979">
        <v>7.2143389245020115</v>
      </c>
      <c r="Y979">
        <v>2877.3517086898132</v>
      </c>
      <c r="Z979">
        <v>9.7362051520318342</v>
      </c>
      <c r="AA979">
        <v>2727.2578136416291</v>
      </c>
      <c r="AB979">
        <v>7.2384997813854168</v>
      </c>
      <c r="AC979">
        <v>2224.0952295304869</v>
      </c>
      <c r="AD979">
        <v>9.7201286721738178</v>
      </c>
      <c r="AE979">
        <v>2033.5403555094481</v>
      </c>
      <c r="AF979">
        <v>7.2287060949058599</v>
      </c>
      <c r="AG979">
        <v>2091.8053157044369</v>
      </c>
      <c r="AH979">
        <v>9.7178944665545011</v>
      </c>
      <c r="AI979">
        <v>1895.6865512792172</v>
      </c>
      <c r="AJ979">
        <v>7.2273436988053286</v>
      </c>
    </row>
    <row r="980" spans="4:36" x14ac:dyDescent="0.55000000000000004">
      <c r="D980">
        <v>973</v>
      </c>
      <c r="E980">
        <v>13.859443762327496</v>
      </c>
      <c r="F980">
        <v>0.44965672536595658</v>
      </c>
      <c r="G980">
        <v>0.18951223373290188</v>
      </c>
      <c r="H980">
        <v>15.50138727857364</v>
      </c>
      <c r="I980">
        <v>14.071122054483213</v>
      </c>
      <c r="J980">
        <v>0.31337779235690216</v>
      </c>
      <c r="K980">
        <v>0.13169623973771727</v>
      </c>
      <c r="L980">
        <v>15.483803913422163</v>
      </c>
      <c r="M980">
        <v>13.996632510279438</v>
      </c>
      <c r="N980">
        <v>0.36136822103032856</v>
      </c>
      <c r="O980">
        <v>0.15201746960105095</v>
      </c>
      <c r="P980">
        <v>15.48998179908919</v>
      </c>
      <c r="Q980">
        <v>13.965306300626088</v>
      </c>
      <c r="R980">
        <v>0.38153940017297067</v>
      </c>
      <c r="S980">
        <v>0.16057128743222429</v>
      </c>
      <c r="T980">
        <v>15.492583011768708</v>
      </c>
      <c r="U980">
        <v>1629.1563249627682</v>
      </c>
      <c r="V980">
        <v>10.920615839622535</v>
      </c>
      <c r="W980">
        <v>1357.8947018953363</v>
      </c>
      <c r="X980">
        <v>7.9611260539008208</v>
      </c>
      <c r="Y980">
        <v>2948.7561759952159</v>
      </c>
      <c r="Z980">
        <v>10.970821990639092</v>
      </c>
      <c r="AA980">
        <v>2770.9446857254893</v>
      </c>
      <c r="AB980">
        <v>7.9899702876387702</v>
      </c>
      <c r="AC980">
        <v>2285.4230687542899</v>
      </c>
      <c r="AD980">
        <v>10.953160019715973</v>
      </c>
      <c r="AE980">
        <v>2070.1938759505906</v>
      </c>
      <c r="AF980">
        <v>7.9798315652576015</v>
      </c>
      <c r="AG980">
        <v>2148.2370303510888</v>
      </c>
      <c r="AH980">
        <v>10.945730567650308</v>
      </c>
      <c r="AI980">
        <v>1927.7597660925321</v>
      </c>
      <c r="AJ980">
        <v>7.9755640433961652</v>
      </c>
    </row>
    <row r="981" spans="4:36" x14ac:dyDescent="0.55000000000000004">
      <c r="D981">
        <v>974</v>
      </c>
      <c r="E981">
        <v>13.261510436237822</v>
      </c>
      <c r="F981">
        <v>0.47895474479764294</v>
      </c>
      <c r="G981">
        <v>0.16371756936403459</v>
      </c>
      <c r="H981">
        <v>16.095817249600486</v>
      </c>
      <c r="I981">
        <v>13.505376172402658</v>
      </c>
      <c r="J981">
        <v>0.30564489130699402</v>
      </c>
      <c r="K981">
        <v>0.10411282218244249</v>
      </c>
      <c r="L981">
        <v>16.084866114107911</v>
      </c>
      <c r="M981">
        <v>13.39463678751634</v>
      </c>
      <c r="N981">
        <v>0.38438848685792298</v>
      </c>
      <c r="O981">
        <v>0.13114203748957379</v>
      </c>
      <c r="P981">
        <v>16.089832688136166</v>
      </c>
      <c r="Q981">
        <v>13.370506664565934</v>
      </c>
      <c r="R981">
        <v>0.40153713063314872</v>
      </c>
      <c r="S981">
        <v>0.13703990646459552</v>
      </c>
      <c r="T981">
        <v>16.090916298336321</v>
      </c>
      <c r="U981">
        <v>1576.9781067004458</v>
      </c>
      <c r="V981">
        <v>10.524087915588579</v>
      </c>
      <c r="W981">
        <v>1324.9367208314138</v>
      </c>
      <c r="X981">
        <v>7.7348272582962139</v>
      </c>
      <c r="Y981">
        <v>2928.196301495946</v>
      </c>
      <c r="Z981">
        <v>10.576505205330145</v>
      </c>
      <c r="AA981">
        <v>2761.4643206938954</v>
      </c>
      <c r="AB981">
        <v>7.7655613539991286</v>
      </c>
      <c r="AC981">
        <v>2266.7225485917957</v>
      </c>
      <c r="AD981">
        <v>10.552706122740743</v>
      </c>
      <c r="AE981">
        <v>2060.8597402320875</v>
      </c>
      <c r="AF981">
        <v>7.7516199229408258</v>
      </c>
      <c r="AG981">
        <v>2144.4071613811566</v>
      </c>
      <c r="AH981">
        <v>10.547519508754133</v>
      </c>
      <c r="AI981">
        <v>1929.8165229566898</v>
      </c>
      <c r="AJ981">
        <v>7.7485788066059653</v>
      </c>
    </row>
    <row r="982" spans="4:36" x14ac:dyDescent="0.55000000000000004">
      <c r="D982">
        <v>975</v>
      </c>
      <c r="E982">
        <v>12.262720893889437</v>
      </c>
      <c r="F982">
        <v>0.46258979401149902</v>
      </c>
      <c r="G982">
        <v>0.15939520243560371</v>
      </c>
      <c r="H982">
        <v>17.115294109663466</v>
      </c>
      <c r="I982">
        <v>12.472242053325973</v>
      </c>
      <c r="J982">
        <v>0.29987385699483071</v>
      </c>
      <c r="K982">
        <v>0.10299091344953964</v>
      </c>
      <c r="L982">
        <v>17.124893176229662</v>
      </c>
      <c r="M982">
        <v>12.362767217625292</v>
      </c>
      <c r="N982">
        <v>0.38492082480886602</v>
      </c>
      <c r="O982">
        <v>0.13242518078136301</v>
      </c>
      <c r="P982">
        <v>17.119886776784476</v>
      </c>
      <c r="Q982">
        <v>12.346319711284206</v>
      </c>
      <c r="R982">
        <v>0.39769303341334972</v>
      </c>
      <c r="S982">
        <v>0.1368543574251361</v>
      </c>
      <c r="T982">
        <v>17.119132897877297</v>
      </c>
      <c r="U982">
        <v>1538.4610567695054</v>
      </c>
      <c r="V982">
        <v>9.6985408506306392</v>
      </c>
      <c r="W982">
        <v>1302.7870222766346</v>
      </c>
      <c r="X982">
        <v>7.2343177058676611</v>
      </c>
      <c r="Y982">
        <v>2887.5713746559309</v>
      </c>
      <c r="Z982">
        <v>9.7336778721289683</v>
      </c>
      <c r="AA982">
        <v>2735.2391338864036</v>
      </c>
      <c r="AB982">
        <v>7.2560453309569475</v>
      </c>
      <c r="AC982">
        <v>2206.2013046397183</v>
      </c>
      <c r="AD982">
        <v>9.7153137622426851</v>
      </c>
      <c r="AE982">
        <v>2019.9516138810754</v>
      </c>
      <c r="AF982">
        <v>7.244700242516191</v>
      </c>
      <c r="AG982">
        <v>2118.5816327321813</v>
      </c>
      <c r="AH982">
        <v>9.71255568128832</v>
      </c>
      <c r="AI982">
        <v>1915.4774713641284</v>
      </c>
      <c r="AJ982">
        <v>7.2429943245547577</v>
      </c>
    </row>
    <row r="983" spans="4:36" x14ac:dyDescent="0.55000000000000004">
      <c r="D983">
        <v>976</v>
      </c>
      <c r="E983">
        <v>13.085869092361124</v>
      </c>
      <c r="F983">
        <v>0.49063306540173174</v>
      </c>
      <c r="G983">
        <v>0.18977537334507444</v>
      </c>
      <c r="H983">
        <v>16.233722468892061</v>
      </c>
      <c r="I983">
        <v>13.303976400420316</v>
      </c>
      <c r="J983">
        <v>0.32931462956315871</v>
      </c>
      <c r="K983">
        <v>0.12700248010252768</v>
      </c>
      <c r="L983">
        <v>16.239706489914003</v>
      </c>
      <c r="M983">
        <v>13.210577320436361</v>
      </c>
      <c r="N983">
        <v>0.39842741226778</v>
      </c>
      <c r="O983">
        <v>0.15384987689978402</v>
      </c>
      <c r="P983">
        <v>16.237145390396059</v>
      </c>
      <c r="Q983">
        <v>13.167686176381432</v>
      </c>
      <c r="R983">
        <v>0.43014961178682343</v>
      </c>
      <c r="S983">
        <v>0.16619564790277311</v>
      </c>
      <c r="T983">
        <v>16.235968563928964</v>
      </c>
      <c r="U983">
        <v>1611.9420426384772</v>
      </c>
      <c r="V983">
        <v>10.357810448907765</v>
      </c>
      <c r="W983">
        <v>1348.835958591085</v>
      </c>
      <c r="X983">
        <v>7.627799607261152</v>
      </c>
      <c r="Y983">
        <v>2922.4026492136509</v>
      </c>
      <c r="Z983">
        <v>10.396940807154612</v>
      </c>
      <c r="AA983">
        <v>2754.6510264193894</v>
      </c>
      <c r="AB983">
        <v>7.6512998607626024</v>
      </c>
      <c r="AC983">
        <v>2245.3357604786052</v>
      </c>
      <c r="AD983">
        <v>10.380182693448022</v>
      </c>
      <c r="AE983">
        <v>2043.0520531647426</v>
      </c>
      <c r="AF983">
        <v>7.6412452317683623</v>
      </c>
      <c r="AG983">
        <v>2191.5539477871544</v>
      </c>
      <c r="AH983">
        <v>10.372487709766052</v>
      </c>
      <c r="AI983">
        <v>1961.6128667186206</v>
      </c>
      <c r="AJ983">
        <v>7.6366235124401687</v>
      </c>
    </row>
    <row r="984" spans="4:36" x14ac:dyDescent="0.55000000000000004">
      <c r="D984">
        <v>977</v>
      </c>
      <c r="E984">
        <v>12.108102487422384</v>
      </c>
      <c r="F984">
        <v>0.47365674717078177</v>
      </c>
      <c r="G984">
        <v>0.16055962137183624</v>
      </c>
      <c r="H984">
        <v>17.257681144034997</v>
      </c>
      <c r="I984">
        <v>12.328156708490422</v>
      </c>
      <c r="J984">
        <v>0.29866579404645494</v>
      </c>
      <c r="K984">
        <v>0.10091597219155482</v>
      </c>
      <c r="L984">
        <v>17.27226152527156</v>
      </c>
      <c r="M984">
        <v>12.225413904012422</v>
      </c>
      <c r="N984">
        <v>0.3803974119709721</v>
      </c>
      <c r="O984">
        <v>0.1287248003162097</v>
      </c>
      <c r="P984">
        <v>17.265463883700392</v>
      </c>
      <c r="Q984">
        <v>12.212427063523942</v>
      </c>
      <c r="R984">
        <v>0.39072483702875815</v>
      </c>
      <c r="S984">
        <v>0.13224467764176356</v>
      </c>
      <c r="T984">
        <v>17.264603421805536</v>
      </c>
      <c r="U984">
        <v>1579.0212156302284</v>
      </c>
      <c r="V984">
        <v>9.6144214984747531</v>
      </c>
      <c r="W984">
        <v>1329.9065591438598</v>
      </c>
      <c r="X984">
        <v>7.187082828407136</v>
      </c>
      <c r="Y984">
        <v>2937.8478643202393</v>
      </c>
      <c r="Z984">
        <v>9.6470177885902952</v>
      </c>
      <c r="AA984">
        <v>2771.5190547675588</v>
      </c>
      <c r="AB984">
        <v>7.2073433020596749</v>
      </c>
      <c r="AC984">
        <v>2247.6964015419726</v>
      </c>
      <c r="AD984">
        <v>9.6317936489754246</v>
      </c>
      <c r="AE984">
        <v>2049.4619902616651</v>
      </c>
      <c r="AF984">
        <v>7.1978912460040867</v>
      </c>
      <c r="AG984">
        <v>2129.1073853761882</v>
      </c>
      <c r="AH984">
        <v>9.6298699173902413</v>
      </c>
      <c r="AI984">
        <v>1921.9161598069297</v>
      </c>
      <c r="AJ984">
        <v>7.1966955604744269</v>
      </c>
    </row>
    <row r="985" spans="4:36" x14ac:dyDescent="0.55000000000000004">
      <c r="D985">
        <v>978</v>
      </c>
      <c r="E985">
        <v>12.946130290245016</v>
      </c>
      <c r="F985">
        <v>0.5102167404372161</v>
      </c>
      <c r="G985">
        <v>0.16926454519899026</v>
      </c>
      <c r="H985">
        <v>16.374388424118781</v>
      </c>
      <c r="I985">
        <v>13.161069150297271</v>
      </c>
      <c r="J985">
        <v>0.34039099644280751</v>
      </c>
      <c r="K985">
        <v>0.11259330044894804</v>
      </c>
      <c r="L985">
        <v>16.385946552810967</v>
      </c>
      <c r="M985">
        <v>13.081488246820092</v>
      </c>
      <c r="N985">
        <v>0.40329395892698655</v>
      </c>
      <c r="O985">
        <v>0.13354477248440461</v>
      </c>
      <c r="P985">
        <v>16.381673021768535</v>
      </c>
      <c r="Q985">
        <v>13.026630420388216</v>
      </c>
      <c r="R985">
        <v>0.44663794667886453</v>
      </c>
      <c r="S985">
        <v>0.14800849894319396</v>
      </c>
      <c r="T985">
        <v>16.378723133989734</v>
      </c>
      <c r="U985">
        <v>1532.2488981724223</v>
      </c>
      <c r="V985">
        <v>10.311257456206803</v>
      </c>
      <c r="W985">
        <v>1293.1334829307079</v>
      </c>
      <c r="X985">
        <v>7.6076687598169794</v>
      </c>
      <c r="Y985">
        <v>2925.9597104592799</v>
      </c>
      <c r="Z985">
        <v>10.344700634556281</v>
      </c>
      <c r="AA985">
        <v>2759.7589203653224</v>
      </c>
      <c r="AB985">
        <v>7.6279879810167648</v>
      </c>
      <c r="AC985">
        <v>2234.545903963372</v>
      </c>
      <c r="AD985">
        <v>10.33231543625485</v>
      </c>
      <c r="AE985">
        <v>2038.6396497701162</v>
      </c>
      <c r="AF985">
        <v>7.6204714530814899</v>
      </c>
      <c r="AG985">
        <v>2112.3256286237333</v>
      </c>
      <c r="AH985">
        <v>10.323779873313237</v>
      </c>
      <c r="AI985">
        <v>1905.9274882663838</v>
      </c>
      <c r="AJ985">
        <v>7.6152855227981684</v>
      </c>
    </row>
    <row r="986" spans="4:36" x14ac:dyDescent="0.55000000000000004">
      <c r="D986">
        <v>979</v>
      </c>
      <c r="E986">
        <v>12.051690262357541</v>
      </c>
      <c r="F986">
        <v>0.43303739439640743</v>
      </c>
      <c r="G986">
        <v>0.14149223107441142</v>
      </c>
      <c r="H986">
        <v>17.373780112171644</v>
      </c>
      <c r="I986">
        <v>12.234213969423648</v>
      </c>
      <c r="J986">
        <v>0.2890870413691578</v>
      </c>
      <c r="K986">
        <v>9.4209618896685596E-2</v>
      </c>
      <c r="L986">
        <v>17.382489370310505</v>
      </c>
      <c r="M986">
        <v>12.130120222416364</v>
      </c>
      <c r="N986">
        <v>0.371202359233543</v>
      </c>
      <c r="O986">
        <v>0.12115075461074412</v>
      </c>
      <c r="P986">
        <v>17.377526663739353</v>
      </c>
      <c r="Q986">
        <v>12.098877308672728</v>
      </c>
      <c r="R986">
        <v>0.39583825297155889</v>
      </c>
      <c r="S986">
        <v>0.12924946636309267</v>
      </c>
      <c r="T986">
        <v>17.376034971992631</v>
      </c>
      <c r="U986">
        <v>1530.011684309922</v>
      </c>
      <c r="V986">
        <v>9.487262912975158</v>
      </c>
      <c r="W986">
        <v>1303.660887522595</v>
      </c>
      <c r="X986">
        <v>7.1037354247336788</v>
      </c>
      <c r="Y986">
        <v>2874.5308887111782</v>
      </c>
      <c r="Z986">
        <v>9.5163816172738525</v>
      </c>
      <c r="AA986">
        <v>2729.4951875212419</v>
      </c>
      <c r="AB986">
        <v>7.1217585664919065</v>
      </c>
      <c r="AC986">
        <v>2201.5381671379173</v>
      </c>
      <c r="AD986">
        <v>9.4997723088232799</v>
      </c>
      <c r="AE986">
        <v>2021.5495361857713</v>
      </c>
      <c r="AF986">
        <v>7.1114857352753518</v>
      </c>
      <c r="AG986">
        <v>2101.6558626039905</v>
      </c>
      <c r="AH986">
        <v>9.4947886223627656</v>
      </c>
      <c r="AI986">
        <v>1907.2042058039808</v>
      </c>
      <c r="AJ986">
        <v>7.1083994225346343</v>
      </c>
    </row>
    <row r="987" spans="4:36" x14ac:dyDescent="0.55000000000000004">
      <c r="D987">
        <v>980</v>
      </c>
      <c r="E987">
        <v>11.918726802393802</v>
      </c>
      <c r="F987">
        <v>0.38585200526459285</v>
      </c>
      <c r="G987">
        <v>0.16711542474759492</v>
      </c>
      <c r="H987">
        <v>17.528305767594009</v>
      </c>
      <c r="I987">
        <v>12.096835500225508</v>
      </c>
      <c r="J987">
        <v>0.25792526926460879</v>
      </c>
      <c r="K987">
        <v>0.11139819299047381</v>
      </c>
      <c r="L987">
        <v>17.533841037519412</v>
      </c>
      <c r="M987">
        <v>11.998084437365039</v>
      </c>
      <c r="N987">
        <v>0.32887755677318986</v>
      </c>
      <c r="O987">
        <v>0.14226183495232647</v>
      </c>
      <c r="P987">
        <v>17.530776170909448</v>
      </c>
      <c r="Q987">
        <v>11.984977923661758</v>
      </c>
      <c r="R987">
        <v>0.33829001548134352</v>
      </c>
      <c r="S987">
        <v>0.14636343664902937</v>
      </c>
      <c r="T987">
        <v>17.530368624207867</v>
      </c>
      <c r="U987">
        <v>1488.7682209795048</v>
      </c>
      <c r="V987">
        <v>9.4508071020908151</v>
      </c>
      <c r="W987">
        <v>1271.572192486756</v>
      </c>
      <c r="X987">
        <v>7.0933010959909595</v>
      </c>
      <c r="Y987">
        <v>2883.1092552896193</v>
      </c>
      <c r="Z987">
        <v>9.4806726618298924</v>
      </c>
      <c r="AA987">
        <v>2735.293262824669</v>
      </c>
      <c r="AB987">
        <v>7.1116931446239917</v>
      </c>
      <c r="AC987">
        <v>2209.4303023380444</v>
      </c>
      <c r="AD987">
        <v>9.4641118028441262</v>
      </c>
      <c r="AE987">
        <v>2026.8055345765561</v>
      </c>
      <c r="AF987">
        <v>7.1015020601992127</v>
      </c>
      <c r="AG987">
        <v>2110.9481455228497</v>
      </c>
      <c r="AH987">
        <v>9.4619141950126711</v>
      </c>
      <c r="AI987">
        <v>1914.6004645023465</v>
      </c>
      <c r="AJ987">
        <v>7.1001483055149128</v>
      </c>
    </row>
    <row r="988" spans="4:36" x14ac:dyDescent="0.55000000000000004">
      <c r="D988">
        <v>981</v>
      </c>
      <c r="E988">
        <v>12.123106193640629</v>
      </c>
      <c r="F988">
        <v>0.4270124209613968</v>
      </c>
      <c r="G988">
        <v>0.17635575519442312</v>
      </c>
      <c r="H988">
        <v>17.273525630203558</v>
      </c>
      <c r="I988">
        <v>12.319398589726566</v>
      </c>
      <c r="J988">
        <v>0.2834704101324183</v>
      </c>
      <c r="K988">
        <v>0.116713666814309</v>
      </c>
      <c r="L988">
        <v>17.28041733332671</v>
      </c>
      <c r="M988">
        <v>12.257732529725709</v>
      </c>
      <c r="N988">
        <v>0.32858926992096621</v>
      </c>
      <c r="O988">
        <v>0.1354206509091547</v>
      </c>
      <c r="P988">
        <v>17.278257549444188</v>
      </c>
      <c r="Q988">
        <v>12.198260363607897</v>
      </c>
      <c r="R988">
        <v>0.37208169072908043</v>
      </c>
      <c r="S988">
        <v>0.15348790207928137</v>
      </c>
      <c r="T988">
        <v>17.276170043583747</v>
      </c>
      <c r="U988">
        <v>1507.8206622440737</v>
      </c>
      <c r="V988">
        <v>9.6148853564734971</v>
      </c>
      <c r="W988">
        <v>1286.0565260951171</v>
      </c>
      <c r="X988">
        <v>7.1890422473802351</v>
      </c>
      <c r="Y988">
        <v>2868.4404305282037</v>
      </c>
      <c r="Z988">
        <v>9.6487715318559175</v>
      </c>
      <c r="AA988">
        <v>2724.4393079566098</v>
      </c>
      <c r="AB988">
        <v>7.2099813664752688</v>
      </c>
      <c r="AC988">
        <v>2184.698945337293</v>
      </c>
      <c r="AD988">
        <v>9.638122682847035</v>
      </c>
      <c r="AE988">
        <v>2011.0292504117072</v>
      </c>
      <c r="AF988">
        <v>7.203409492746319</v>
      </c>
      <c r="AG988">
        <v>2062.2687279100737</v>
      </c>
      <c r="AH988">
        <v>9.627855601446015</v>
      </c>
      <c r="AI988">
        <v>1878.180014257214</v>
      </c>
      <c r="AJ988">
        <v>7.197066034621197</v>
      </c>
    </row>
    <row r="989" spans="4:36" x14ac:dyDescent="0.55000000000000004">
      <c r="D989">
        <v>982</v>
      </c>
      <c r="E989">
        <v>11.962599769011907</v>
      </c>
      <c r="F989">
        <v>0.44070626439546023</v>
      </c>
      <c r="G989">
        <v>0.1548313186175268</v>
      </c>
      <c r="H989">
        <v>17.441862647975114</v>
      </c>
      <c r="I989">
        <v>12.136995340881729</v>
      </c>
      <c r="J989">
        <v>0.30143708463485303</v>
      </c>
      <c r="K989">
        <v>0.1056275383799522</v>
      </c>
      <c r="L989">
        <v>17.455940036103463</v>
      </c>
      <c r="M989">
        <v>12.059119851437904</v>
      </c>
      <c r="N989">
        <v>0.36364487265680012</v>
      </c>
      <c r="O989">
        <v>0.12757350955577418</v>
      </c>
      <c r="P989">
        <v>17.449661766349518</v>
      </c>
      <c r="Q989">
        <v>12.009315980301418</v>
      </c>
      <c r="R989">
        <v>0.40341370027626927</v>
      </c>
      <c r="S989">
        <v>0.1416303947539572</v>
      </c>
      <c r="T989">
        <v>17.445639924668352</v>
      </c>
      <c r="U989">
        <v>1529.5761659928833</v>
      </c>
      <c r="V989">
        <v>9.4378820655965185</v>
      </c>
      <c r="W989">
        <v>1301.5852819833281</v>
      </c>
      <c r="X989">
        <v>7.0743587484262296</v>
      </c>
      <c r="Y989">
        <v>2891.9267703027408</v>
      </c>
      <c r="Z989">
        <v>9.4633968339763399</v>
      </c>
      <c r="AA989">
        <v>2740.817387976394</v>
      </c>
      <c r="AB989">
        <v>7.0905343237300498</v>
      </c>
      <c r="AC989">
        <v>2176.6583529654135</v>
      </c>
      <c r="AD989">
        <v>9.4519982738594628</v>
      </c>
      <c r="AE989">
        <v>2002.3623250384401</v>
      </c>
      <c r="AF989">
        <v>7.0833153473911246</v>
      </c>
      <c r="AG989">
        <v>2073.3135555828017</v>
      </c>
      <c r="AH989">
        <v>9.4447128064843735</v>
      </c>
      <c r="AI989">
        <v>1884.1194310040055</v>
      </c>
      <c r="AJ989">
        <v>7.0786950803044633</v>
      </c>
    </row>
    <row r="990" spans="4:36" x14ac:dyDescent="0.55000000000000004">
      <c r="D990">
        <v>983</v>
      </c>
      <c r="E990">
        <v>13.273310494339107</v>
      </c>
      <c r="F990">
        <v>0.49169735850730317</v>
      </c>
      <c r="G990">
        <v>0.17105291541690465</v>
      </c>
      <c r="H990">
        <v>16.063939231736683</v>
      </c>
      <c r="I990">
        <v>13.525914480061248</v>
      </c>
      <c r="J990">
        <v>0.31681845500488709</v>
      </c>
      <c r="K990">
        <v>0.10982172078198654</v>
      </c>
      <c r="L990">
        <v>16.0474453441519</v>
      </c>
      <c r="M990">
        <v>13.451538099260002</v>
      </c>
      <c r="N990">
        <v>0.36835052906975951</v>
      </c>
      <c r="O990">
        <v>0.12781867127920624</v>
      </c>
      <c r="P990">
        <v>16.052292700391018</v>
      </c>
      <c r="Q990">
        <v>13.417828539251776</v>
      </c>
      <c r="R990">
        <v>0.39169517552753225</v>
      </c>
      <c r="S990">
        <v>0.13598413704283804</v>
      </c>
      <c r="T990">
        <v>16.054492148177847</v>
      </c>
      <c r="U990">
        <v>1609.6558665464438</v>
      </c>
      <c r="V990">
        <v>10.555858820257226</v>
      </c>
      <c r="W990">
        <v>1343.5182180669256</v>
      </c>
      <c r="X990">
        <v>7.7558008235145213</v>
      </c>
      <c r="Y990">
        <v>2949.0175962771809</v>
      </c>
      <c r="Z990">
        <v>10.612918704390504</v>
      </c>
      <c r="AA990">
        <v>2772.9739085861775</v>
      </c>
      <c r="AB990">
        <v>7.7890152732425966</v>
      </c>
      <c r="AC990">
        <v>2279.2629842421884</v>
      </c>
      <c r="AD990">
        <v>10.596123483057193</v>
      </c>
      <c r="AE990">
        <v>2067.7397840002473</v>
      </c>
      <c r="AF990">
        <v>7.7792503510588613</v>
      </c>
      <c r="AG990">
        <v>2158.8004183994849</v>
      </c>
      <c r="AH990">
        <v>10.588509914752818</v>
      </c>
      <c r="AI990">
        <v>1937.4006454672447</v>
      </c>
      <c r="AJ990">
        <v>7.7748205874287146</v>
      </c>
    </row>
    <row r="991" spans="4:36" x14ac:dyDescent="0.55000000000000004">
      <c r="D991">
        <v>984</v>
      </c>
      <c r="E991">
        <v>12.560173598353463</v>
      </c>
      <c r="F991">
        <v>0.44629417084072909</v>
      </c>
      <c r="G991">
        <v>0.15500285962774718</v>
      </c>
      <c r="H991">
        <v>16.838529371178062</v>
      </c>
      <c r="I991">
        <v>12.786890332150755</v>
      </c>
      <c r="J991">
        <v>0.28325069597658609</v>
      </c>
      <c r="K991">
        <v>9.8062024986742088E-2</v>
      </c>
      <c r="L991">
        <v>16.831796946885923</v>
      </c>
      <c r="M991">
        <v>12.697996878807157</v>
      </c>
      <c r="N991">
        <v>0.34721514267704284</v>
      </c>
      <c r="O991">
        <v>0.12035678368664937</v>
      </c>
      <c r="P991">
        <v>16.834431194829165</v>
      </c>
      <c r="Q991">
        <v>12.665130367731221</v>
      </c>
      <c r="R991">
        <v>0.37085273904685173</v>
      </c>
      <c r="S991">
        <v>0.12860996049072432</v>
      </c>
      <c r="T991">
        <v>16.835406932731207</v>
      </c>
      <c r="U991">
        <v>1515.130573758807</v>
      </c>
      <c r="V991">
        <v>9.9177016279701551</v>
      </c>
      <c r="W991">
        <v>1288.1795220963472</v>
      </c>
      <c r="X991">
        <v>7.3690856277401693</v>
      </c>
      <c r="Y991">
        <v>2877.0530090169104</v>
      </c>
      <c r="Z991">
        <v>9.9676474671722328</v>
      </c>
      <c r="AA991">
        <v>2729.6519497471118</v>
      </c>
      <c r="AB991">
        <v>7.3987823821511265</v>
      </c>
      <c r="AC991">
        <v>2209.5664541707879</v>
      </c>
      <c r="AD991">
        <v>9.9480667665075799</v>
      </c>
      <c r="AE991">
        <v>2026.6771194018472</v>
      </c>
      <c r="AF991">
        <v>7.38715226422116</v>
      </c>
      <c r="AG991">
        <v>2094.6962601970672</v>
      </c>
      <c r="AH991">
        <v>9.9408263684432452</v>
      </c>
      <c r="AI991">
        <v>1900.966737607303</v>
      </c>
      <c r="AJ991">
        <v>7.382847818090446</v>
      </c>
    </row>
    <row r="992" spans="4:36" x14ac:dyDescent="0.55000000000000004">
      <c r="D992">
        <v>985</v>
      </c>
      <c r="E992">
        <v>11.866620220510692</v>
      </c>
      <c r="F992">
        <v>0.47137619200962028</v>
      </c>
      <c r="G992">
        <v>0.16581608756377625</v>
      </c>
      <c r="H992">
        <v>17.496187499915916</v>
      </c>
      <c r="I992">
        <v>12.047218675721439</v>
      </c>
      <c r="J992">
        <v>0.31927571421436057</v>
      </c>
      <c r="K992">
        <v>0.1120187176161926</v>
      </c>
      <c r="L992">
        <v>17.521486892447999</v>
      </c>
      <c r="M992">
        <v>11.986596437627663</v>
      </c>
      <c r="N992">
        <v>0.37034595456661101</v>
      </c>
      <c r="O992">
        <v>0.13005035306908352</v>
      </c>
      <c r="P992">
        <v>17.513007254736653</v>
      </c>
      <c r="Q992">
        <v>11.952661195245478</v>
      </c>
      <c r="R992">
        <v>0.39892798732114393</v>
      </c>
      <c r="S992">
        <v>0.14015590277677151</v>
      </c>
      <c r="T992">
        <v>17.508254914656614</v>
      </c>
      <c r="U992">
        <v>1540.8003715805069</v>
      </c>
      <c r="V992">
        <v>9.3932166724862345</v>
      </c>
      <c r="W992">
        <v>1303.3432378538587</v>
      </c>
      <c r="X992">
        <v>7.045576883839936</v>
      </c>
      <c r="Y992">
        <v>2899.2927109319639</v>
      </c>
      <c r="Z992">
        <v>9.4105613943025972</v>
      </c>
      <c r="AA992">
        <v>2742.0531006140541</v>
      </c>
      <c r="AB992">
        <v>7.0572334927983134</v>
      </c>
      <c r="AC992">
        <v>2212.428790756248</v>
      </c>
      <c r="AD992">
        <v>9.4047317518696651</v>
      </c>
      <c r="AE992">
        <v>2025.4592513855757</v>
      </c>
      <c r="AF992">
        <v>7.0533220152411156</v>
      </c>
      <c r="AG992">
        <v>2115.5971618956596</v>
      </c>
      <c r="AH992">
        <v>9.4014717058624075</v>
      </c>
      <c r="AI992">
        <v>1912.7751492921959</v>
      </c>
      <c r="AJ992">
        <v>7.0511318500703526</v>
      </c>
    </row>
    <row r="993" spans="4:36" x14ac:dyDescent="0.55000000000000004">
      <c r="D993">
        <v>986</v>
      </c>
      <c r="E993">
        <v>14.509726637318058</v>
      </c>
      <c r="F993">
        <v>0.5020632764609857</v>
      </c>
      <c r="G993">
        <v>0.20222045770467945</v>
      </c>
      <c r="H993">
        <v>14.785989628516282</v>
      </c>
      <c r="I993">
        <v>14.774013688185399</v>
      </c>
      <c r="J993">
        <v>0.32384435285095103</v>
      </c>
      <c r="K993">
        <v>0.12997646524676615</v>
      </c>
      <c r="L993">
        <v>14.772165493716894</v>
      </c>
      <c r="M993">
        <v>14.649387901780022</v>
      </c>
      <c r="N993">
        <v>0.40793703513049689</v>
      </c>
      <c r="O993">
        <v>0.16400000650296204</v>
      </c>
      <c r="P993">
        <v>14.778675056586515</v>
      </c>
      <c r="Q993">
        <v>14.590608945956053</v>
      </c>
      <c r="R993">
        <v>0.44756624365960795</v>
      </c>
      <c r="S993">
        <v>0.18007383290702297</v>
      </c>
      <c r="T993">
        <v>14.781750977477332</v>
      </c>
      <c r="U993">
        <v>1661.3706653051424</v>
      </c>
      <c r="V993">
        <v>11.500543080575554</v>
      </c>
      <c r="W993">
        <v>1374.7315013449122</v>
      </c>
      <c r="X993">
        <v>8.3050802222091153</v>
      </c>
      <c r="Y993">
        <v>2951.8147834083234</v>
      </c>
      <c r="Z993">
        <v>11.558500736597679</v>
      </c>
      <c r="AA993">
        <v>2770.7470819434407</v>
      </c>
      <c r="AB993">
        <v>8.338332317820063</v>
      </c>
      <c r="AC993">
        <v>2311.646129503084</v>
      </c>
      <c r="AD993">
        <v>11.531176412074549</v>
      </c>
      <c r="AE993">
        <v>2083.709206240876</v>
      </c>
      <c r="AF993">
        <v>8.3226682011357909</v>
      </c>
      <c r="AG993">
        <v>2224.3379726323142</v>
      </c>
      <c r="AH993">
        <v>11.518285438656992</v>
      </c>
      <c r="AI993">
        <v>1976.1780800052231</v>
      </c>
      <c r="AJ993">
        <v>8.3152704035321339</v>
      </c>
    </row>
    <row r="994" spans="4:36" x14ac:dyDescent="0.55000000000000004">
      <c r="D994">
        <v>987</v>
      </c>
      <c r="E994">
        <v>13.605347696338628</v>
      </c>
      <c r="F994">
        <v>0.51243095594677579</v>
      </c>
      <c r="G994">
        <v>0.16665159746287908</v>
      </c>
      <c r="H994">
        <v>15.715569750251721</v>
      </c>
      <c r="I994">
        <v>13.839928569048768</v>
      </c>
      <c r="J994">
        <v>0.3301344061146434</v>
      </c>
      <c r="K994">
        <v>0.10701797343572418</v>
      </c>
      <c r="L994">
        <v>15.722919051400867</v>
      </c>
      <c r="M994">
        <v>13.724154348711412</v>
      </c>
      <c r="N994">
        <v>0.42013702213902193</v>
      </c>
      <c r="O994">
        <v>0.13641096716545989</v>
      </c>
      <c r="P994">
        <v>15.719297661984111</v>
      </c>
      <c r="Q994">
        <v>13.630727508609828</v>
      </c>
      <c r="R994">
        <v>0.49272052957873763</v>
      </c>
      <c r="S994">
        <v>0.16018484381987033</v>
      </c>
      <c r="T994">
        <v>15.716367117991556</v>
      </c>
      <c r="U994">
        <v>1562.2262218664623</v>
      </c>
      <c r="V994">
        <v>10.799659061772267</v>
      </c>
      <c r="W994">
        <v>1311.7088997284013</v>
      </c>
      <c r="X994">
        <v>7.8951943264036117</v>
      </c>
      <c r="Y994">
        <v>2901.096697263004</v>
      </c>
      <c r="Z994">
        <v>10.842676401937883</v>
      </c>
      <c r="AA994">
        <v>2739.8431968812106</v>
      </c>
      <c r="AB994">
        <v>7.9209381351020642</v>
      </c>
      <c r="AC994">
        <v>2235.624402622343</v>
      </c>
      <c r="AD994">
        <v>10.821442547575501</v>
      </c>
      <c r="AE994">
        <v>2035.5076513374363</v>
      </c>
      <c r="AF994">
        <v>7.908242039462225</v>
      </c>
      <c r="AG994">
        <v>2175.069172519673</v>
      </c>
      <c r="AH994">
        <v>10.804311950653609</v>
      </c>
      <c r="AI994">
        <v>1946.2017187760775</v>
      </c>
      <c r="AJ994">
        <v>7.8979832532747922</v>
      </c>
    </row>
    <row r="995" spans="4:36" x14ac:dyDescent="0.55000000000000004">
      <c r="D995">
        <v>988</v>
      </c>
      <c r="E995">
        <v>13.27324416684376</v>
      </c>
      <c r="F995">
        <v>0.44663388796471737</v>
      </c>
      <c r="G995">
        <v>0.17599525872407171</v>
      </c>
      <c r="H995">
        <v>16.10412668646746</v>
      </c>
      <c r="I995">
        <v>13.48038494328728</v>
      </c>
      <c r="J995">
        <v>0.30159945552785117</v>
      </c>
      <c r="K995">
        <v>0.11848268284425076</v>
      </c>
      <c r="L995">
        <v>16.099532918340618</v>
      </c>
      <c r="M995">
        <v>13.402142584741984</v>
      </c>
      <c r="N995">
        <v>0.35641326172635451</v>
      </c>
      <c r="O995">
        <v>0.14017694619347718</v>
      </c>
      <c r="P995">
        <v>16.101267207338179</v>
      </c>
      <c r="Q995">
        <v>13.297447481555952</v>
      </c>
      <c r="R995">
        <v>0.42970085688013415</v>
      </c>
      <c r="S995">
        <v>0.16926212594134413</v>
      </c>
      <c r="T995">
        <v>16.103589535622579</v>
      </c>
      <c r="U995">
        <v>1587.7385888230697</v>
      </c>
      <c r="V995">
        <v>10.517412779148437</v>
      </c>
      <c r="W995">
        <v>1331.263583180478</v>
      </c>
      <c r="X995">
        <v>7.7301657190447548</v>
      </c>
      <c r="Y995">
        <v>2922.1426648922129</v>
      </c>
      <c r="Z995">
        <v>10.56109089933218</v>
      </c>
      <c r="AA995">
        <v>2754.6583484271669</v>
      </c>
      <c r="AB995">
        <v>7.7560814955105952</v>
      </c>
      <c r="AC995">
        <v>2245.4247771505252</v>
      </c>
      <c r="AD995">
        <v>10.544592499470623</v>
      </c>
      <c r="AE995">
        <v>2044.0323794654203</v>
      </c>
      <c r="AF995">
        <v>7.7463016605575188</v>
      </c>
      <c r="AG995">
        <v>2213.1545478456092</v>
      </c>
      <c r="AH995">
        <v>10.522516312118334</v>
      </c>
      <c r="AI995">
        <v>1974.8413557194513</v>
      </c>
      <c r="AJ995">
        <v>7.7331979061394787</v>
      </c>
    </row>
    <row r="996" spans="4:36" x14ac:dyDescent="0.55000000000000004">
      <c r="D996">
        <v>989</v>
      </c>
      <c r="E996">
        <v>10.882354606676511</v>
      </c>
      <c r="F996">
        <v>0.42795662086795411</v>
      </c>
      <c r="G996">
        <v>0.15328319210974958</v>
      </c>
      <c r="H996">
        <v>18.536405580345782</v>
      </c>
      <c r="I996">
        <v>11.062170959735214</v>
      </c>
      <c r="J996">
        <v>0.27771160603746342</v>
      </c>
      <c r="K996">
        <v>9.9165351414154723E-2</v>
      </c>
      <c r="L996">
        <v>18.56095208281317</v>
      </c>
      <c r="M996">
        <v>10.975300271296199</v>
      </c>
      <c r="N996">
        <v>0.3503131002628605</v>
      </c>
      <c r="O996">
        <v>0.12527434118356978</v>
      </c>
      <c r="P996">
        <v>18.549112287257365</v>
      </c>
      <c r="Q996">
        <v>10.970594172043063</v>
      </c>
      <c r="R996">
        <v>0.35424528408856087</v>
      </c>
      <c r="S996">
        <v>0.12669066122625364</v>
      </c>
      <c r="T996">
        <v>18.548469882642124</v>
      </c>
      <c r="U996">
        <v>1476.9792041306989</v>
      </c>
      <c r="V996">
        <v>8.5979881526230422</v>
      </c>
      <c r="W996">
        <v>1270.7186334560913</v>
      </c>
      <c r="X996">
        <v>6.5604597095672723</v>
      </c>
      <c r="Y996">
        <v>2846.7446311405429</v>
      </c>
      <c r="Z996">
        <v>8.6190621187721064</v>
      </c>
      <c r="AA996">
        <v>2713.6684968502936</v>
      </c>
      <c r="AB996">
        <v>6.5748448958880283</v>
      </c>
      <c r="AC996">
        <v>2151.8186730373773</v>
      </c>
      <c r="AD996">
        <v>8.6088703608568302</v>
      </c>
      <c r="AE996">
        <v>1990.5995359837286</v>
      </c>
      <c r="AF996">
        <v>6.5678978737136848</v>
      </c>
      <c r="AG996">
        <v>2029.0581396542166</v>
      </c>
      <c r="AH996">
        <v>8.6083188085006839</v>
      </c>
      <c r="AI996">
        <v>1860.9520082687081</v>
      </c>
      <c r="AJ996">
        <v>6.5675213917475075</v>
      </c>
    </row>
    <row r="997" spans="4:36" x14ac:dyDescent="0.55000000000000004">
      <c r="D997">
        <v>990</v>
      </c>
      <c r="E997">
        <v>12.626741083490707</v>
      </c>
      <c r="F997">
        <v>0.48551643430130598</v>
      </c>
      <c r="G997">
        <v>0.15882250141729579</v>
      </c>
      <c r="H997">
        <v>16.728919980790703</v>
      </c>
      <c r="I997">
        <v>12.860704603974147</v>
      </c>
      <c r="J997">
        <v>0.30269443528919104</v>
      </c>
      <c r="K997">
        <v>9.8708835544666362E-2</v>
      </c>
      <c r="L997">
        <v>16.737892125191994</v>
      </c>
      <c r="M997">
        <v>12.757505376404371</v>
      </c>
      <c r="N997">
        <v>0.38336867530108854</v>
      </c>
      <c r="O997">
        <v>0.12518838995584552</v>
      </c>
      <c r="P997">
        <v>16.733937558338706</v>
      </c>
      <c r="Q997">
        <v>12.71465644558918</v>
      </c>
      <c r="R997">
        <v>0.41684980575396891</v>
      </c>
      <c r="S997">
        <v>0.1361995228816387</v>
      </c>
      <c r="T997">
        <v>16.732294225775227</v>
      </c>
      <c r="U997">
        <v>1550.2267256632433</v>
      </c>
      <c r="V997">
        <v>10.094494041461838</v>
      </c>
      <c r="W997">
        <v>1308.0080169950036</v>
      </c>
      <c r="X997">
        <v>7.4868992728378583</v>
      </c>
      <c r="Y997">
        <v>2913.8242552689976</v>
      </c>
      <c r="Z997">
        <v>10.135020270666326</v>
      </c>
      <c r="AA997">
        <v>2753.4370930625296</v>
      </c>
      <c r="AB997">
        <v>7.5114974877515515</v>
      </c>
      <c r="AC997">
        <v>2225.0534720139581</v>
      </c>
      <c r="AD997">
        <v>10.117142041224843</v>
      </c>
      <c r="AE997">
        <v>2032.8259611543222</v>
      </c>
      <c r="AF997">
        <v>7.500657660341143</v>
      </c>
      <c r="AG997">
        <v>2140.2585185506277</v>
      </c>
      <c r="AH997">
        <v>10.109720037371552</v>
      </c>
      <c r="AI997">
        <v>1928.6226322359246</v>
      </c>
      <c r="AJ997">
        <v>7.4961521774988435</v>
      </c>
    </row>
    <row r="998" spans="4:36" x14ac:dyDescent="0.55000000000000004">
      <c r="D998">
        <v>991</v>
      </c>
      <c r="E998">
        <v>12.061228678703678</v>
      </c>
      <c r="F998">
        <v>0.4451848482733301</v>
      </c>
      <c r="G998">
        <v>0.14356821721130647</v>
      </c>
      <c r="H998">
        <v>17.35001825581169</v>
      </c>
      <c r="I998">
        <v>12.274476271204136</v>
      </c>
      <c r="J998">
        <v>0.28234719391566176</v>
      </c>
      <c r="K998">
        <v>9.0771929519434788E-2</v>
      </c>
      <c r="L998">
        <v>17.352404605360757</v>
      </c>
      <c r="M998">
        <v>12.175571373019038</v>
      </c>
      <c r="N998">
        <v>0.35790218891038067</v>
      </c>
      <c r="O998">
        <v>0.11522749684578509</v>
      </c>
      <c r="P998">
        <v>17.351298941224798</v>
      </c>
      <c r="Q998">
        <v>12.155045492698653</v>
      </c>
      <c r="R998">
        <v>0.373575666144908</v>
      </c>
      <c r="S998">
        <v>0.1203096047317354</v>
      </c>
      <c r="T998">
        <v>17.351069236424685</v>
      </c>
      <c r="U998">
        <v>1474.7318754085309</v>
      </c>
      <c r="V998">
        <v>9.5799594161594932</v>
      </c>
      <c r="W998">
        <v>1260.4488046514102</v>
      </c>
      <c r="X998">
        <v>7.171307317366387</v>
      </c>
      <c r="Y998">
        <v>2850.8147754344495</v>
      </c>
      <c r="Z998">
        <v>9.6175306977490038</v>
      </c>
      <c r="AA998">
        <v>2711.7600778619812</v>
      </c>
      <c r="AB998">
        <v>7.1941195280954604</v>
      </c>
      <c r="AC998">
        <v>2199.2855674340854</v>
      </c>
      <c r="AD998">
        <v>9.6001043969925988</v>
      </c>
      <c r="AE998">
        <v>2020.333664238595</v>
      </c>
      <c r="AF998">
        <v>7.1835491789796464</v>
      </c>
      <c r="AG998">
        <v>2080.7961510641703</v>
      </c>
      <c r="AH998">
        <v>9.5964880256189975</v>
      </c>
      <c r="AI998">
        <v>1892.6147271752995</v>
      </c>
      <c r="AJ998">
        <v>7.1813533355398311</v>
      </c>
    </row>
    <row r="999" spans="4:36" x14ac:dyDescent="0.55000000000000004">
      <c r="D999">
        <v>992</v>
      </c>
      <c r="E999">
        <v>11.591730381837769</v>
      </c>
      <c r="F999">
        <v>0.41343113462187453</v>
      </c>
      <c r="G999">
        <v>0.13760606996380517</v>
      </c>
      <c r="H999">
        <v>17.857232413576547</v>
      </c>
      <c r="I999">
        <v>11.769716923813617</v>
      </c>
      <c r="J999">
        <v>0.27414173467214686</v>
      </c>
      <c r="K999">
        <v>9.1002844334657135E-2</v>
      </c>
      <c r="L999">
        <v>17.865138497179579</v>
      </c>
      <c r="M999">
        <v>11.665627778802063</v>
      </c>
      <c r="N999">
        <v>0.35561999666170907</v>
      </c>
      <c r="O999">
        <v>0.11823322031412453</v>
      </c>
      <c r="P999">
        <v>17.860519004222095</v>
      </c>
      <c r="Q999">
        <v>11.643617003500399</v>
      </c>
      <c r="R999">
        <v>0.37284233505019676</v>
      </c>
      <c r="S999">
        <v>0.12399997578143275</v>
      </c>
      <c r="T999">
        <v>17.85954068566798</v>
      </c>
      <c r="U999">
        <v>1493.1505425182825</v>
      </c>
      <c r="V999">
        <v>9.0308061511496494</v>
      </c>
      <c r="W999">
        <v>1279.8048861799743</v>
      </c>
      <c r="X999">
        <v>6.8140826006760609</v>
      </c>
      <c r="Y999">
        <v>2855.4959489495759</v>
      </c>
      <c r="Z999">
        <v>9.0595802512501855</v>
      </c>
      <c r="AA999">
        <v>2717.8264941008074</v>
      </c>
      <c r="AB999">
        <v>6.8320103230848908</v>
      </c>
      <c r="AC999">
        <v>2196.7703542580821</v>
      </c>
      <c r="AD999">
        <v>9.0427501370832939</v>
      </c>
      <c r="AE999">
        <v>2021.049908364429</v>
      </c>
      <c r="AF999">
        <v>6.8215319825688745</v>
      </c>
      <c r="AG999">
        <v>2075.1076526285651</v>
      </c>
      <c r="AH999">
        <v>9.0391921629060761</v>
      </c>
      <c r="AI999">
        <v>1890.945512197718</v>
      </c>
      <c r="AJ999">
        <v>6.8193140451581016</v>
      </c>
    </row>
    <row r="1000" spans="4:36" x14ac:dyDescent="0.55000000000000004">
      <c r="D1000">
        <v>993</v>
      </c>
      <c r="E1000">
        <v>12.496862973420846</v>
      </c>
      <c r="F1000">
        <v>0.45201618685820355</v>
      </c>
      <c r="G1000">
        <v>0.15072692382632552</v>
      </c>
      <c r="H1000">
        <v>16.900393915894622</v>
      </c>
      <c r="I1000">
        <v>12.728385574791318</v>
      </c>
      <c r="J1000">
        <v>0.27796302395040595</v>
      </c>
      <c r="K1000">
        <v>9.2392745540576166E-2</v>
      </c>
      <c r="L1000">
        <v>16.901258655717712</v>
      </c>
      <c r="M1000">
        <v>12.620231783341776</v>
      </c>
      <c r="N1000">
        <v>0.35930690949258348</v>
      </c>
      <c r="O1000">
        <v>0.1196082937649173</v>
      </c>
      <c r="P1000">
        <v>16.900853013400727</v>
      </c>
      <c r="Q1000">
        <v>12.586307391192129</v>
      </c>
      <c r="R1000">
        <v>0.38480876661623881</v>
      </c>
      <c r="S1000">
        <v>0.12815745978929594</v>
      </c>
      <c r="T1000">
        <v>16.900726382402336</v>
      </c>
      <c r="U1000">
        <v>1505.73158971409</v>
      </c>
      <c r="V1000">
        <v>9.9738045439449845</v>
      </c>
      <c r="W1000">
        <v>1281.0856474325533</v>
      </c>
      <c r="X1000">
        <v>7.4173086160517441</v>
      </c>
      <c r="Y1000">
        <v>2871.7899529263377</v>
      </c>
      <c r="Z1000">
        <v>10.022217322273523</v>
      </c>
      <c r="AA1000">
        <v>2726.3782239599832</v>
      </c>
      <c r="AB1000">
        <v>7.4464670851106147</v>
      </c>
      <c r="AC1000">
        <v>2207.3284511539446</v>
      </c>
      <c r="AD1000">
        <v>9.9996012875756506</v>
      </c>
      <c r="AE1000">
        <v>2024.4467008591414</v>
      </c>
      <c r="AF1000">
        <v>7.4328592363906827</v>
      </c>
      <c r="AG1000">
        <v>2083.839787706745</v>
      </c>
      <c r="AH1000">
        <v>9.9925075119660018</v>
      </c>
      <c r="AI1000">
        <v>1892.1714142121052</v>
      </c>
      <c r="AJ1000">
        <v>7.4285861120924785</v>
      </c>
    </row>
    <row r="1001" spans="4:36" x14ac:dyDescent="0.55000000000000004">
      <c r="D1001">
        <v>994</v>
      </c>
      <c r="E1001">
        <v>12.720017605773414</v>
      </c>
      <c r="F1001">
        <v>0.43768711620139494</v>
      </c>
      <c r="G1001">
        <v>0.1674895426987856</v>
      </c>
      <c r="H1001">
        <v>16.674805735326416</v>
      </c>
      <c r="I1001">
        <v>12.911153454895025</v>
      </c>
      <c r="J1001">
        <v>0.29707956526986445</v>
      </c>
      <c r="K1001">
        <v>0.1133593773401135</v>
      </c>
      <c r="L1001">
        <v>16.678407602494993</v>
      </c>
      <c r="M1001">
        <v>12.789767052352369</v>
      </c>
      <c r="N1001">
        <v>0.38640057412199824</v>
      </c>
      <c r="O1001">
        <v>0.14770923932395566</v>
      </c>
      <c r="P1001">
        <v>16.676123134201664</v>
      </c>
      <c r="Q1001">
        <v>12.773618289579407</v>
      </c>
      <c r="R1001">
        <v>0.39827718083900715</v>
      </c>
      <c r="S1001">
        <v>0.15228609776638982</v>
      </c>
      <c r="T1001">
        <v>16.675818431815188</v>
      </c>
      <c r="U1001">
        <v>1559.0077514356235</v>
      </c>
      <c r="V1001">
        <v>10.028587746230448</v>
      </c>
      <c r="W1001">
        <v>1318.3787804781216</v>
      </c>
      <c r="X1001">
        <v>7.4299018130143226</v>
      </c>
      <c r="Y1001">
        <v>2888.0405942594357</v>
      </c>
      <c r="Z1001">
        <v>10.060816717251122</v>
      </c>
      <c r="AA1001">
        <v>2734.7756654591108</v>
      </c>
      <c r="AB1001">
        <v>7.4494091249718721</v>
      </c>
      <c r="AC1001">
        <v>2252.8665618222794</v>
      </c>
      <c r="AD1001">
        <v>10.040347105470278</v>
      </c>
      <c r="AE1001">
        <v>2053.4893017628001</v>
      </c>
      <c r="AF1001">
        <v>7.4370266072396731</v>
      </c>
      <c r="AG1001">
        <v>2132.4267250334628</v>
      </c>
      <c r="AH1001">
        <v>10.0376243450908</v>
      </c>
      <c r="AI1001">
        <v>1924.3722460359431</v>
      </c>
      <c r="AJ1001">
        <v>7.4353776718359335</v>
      </c>
    </row>
    <row r="1002" spans="4:36" x14ac:dyDescent="0.55000000000000004">
      <c r="D1002">
        <v>995</v>
      </c>
      <c r="E1002">
        <v>11.989876252473026</v>
      </c>
      <c r="F1002">
        <v>0.41729452847596149</v>
      </c>
      <c r="G1002">
        <v>0.16394009031663506</v>
      </c>
      <c r="H1002">
        <v>17.428889128734387</v>
      </c>
      <c r="I1002">
        <v>12.169397649330961</v>
      </c>
      <c r="J1002">
        <v>0.2829371474682229</v>
      </c>
      <c r="K1002">
        <v>0.11085284410728506</v>
      </c>
      <c r="L1002">
        <v>17.436812359093533</v>
      </c>
      <c r="M1002">
        <v>12.100267279847783</v>
      </c>
      <c r="N1002">
        <v>0.33469729347086907</v>
      </c>
      <c r="O1002">
        <v>0.13126953027883428</v>
      </c>
      <c r="P1002">
        <v>17.433765896402523</v>
      </c>
      <c r="Q1002">
        <v>12.044287301653297</v>
      </c>
      <c r="R1002">
        <v>0.37659152917156058</v>
      </c>
      <c r="S1002">
        <v>0.14782645598470345</v>
      </c>
      <c r="T1002">
        <v>17.431294713190415</v>
      </c>
      <c r="U1002">
        <v>1510.9211137027651</v>
      </c>
      <c r="V1002">
        <v>9.4678649995441457</v>
      </c>
      <c r="W1002">
        <v>1287.0388395659008</v>
      </c>
      <c r="X1002">
        <v>7.0951742277667638</v>
      </c>
      <c r="Y1002">
        <v>2896.0859589119182</v>
      </c>
      <c r="Z1002">
        <v>9.4961343272677219</v>
      </c>
      <c r="AA1002">
        <v>2743.8480160873137</v>
      </c>
      <c r="AB1002">
        <v>7.1126913035230608</v>
      </c>
      <c r="AC1002">
        <v>2212.7410515940342</v>
      </c>
      <c r="AD1002">
        <v>9.4852455704753744</v>
      </c>
      <c r="AE1002">
        <v>2030.0071740384499</v>
      </c>
      <c r="AF1002">
        <v>7.1059511775819413</v>
      </c>
      <c r="AG1002">
        <v>2103.1971382329202</v>
      </c>
      <c r="AH1002">
        <v>9.4764306667855873</v>
      </c>
      <c r="AI1002">
        <v>1906.7171468235224</v>
      </c>
      <c r="AJ1002">
        <v>7.1004882782664369</v>
      </c>
    </row>
    <row r="1003" spans="4:36" x14ac:dyDescent="0.55000000000000004">
      <c r="D1003">
        <v>996</v>
      </c>
      <c r="E1003">
        <v>13.072181366999869</v>
      </c>
      <c r="F1003">
        <v>0.45949547065705859</v>
      </c>
      <c r="G1003">
        <v>0.18885419737831066</v>
      </c>
      <c r="H1003">
        <v>16.279468964964749</v>
      </c>
      <c r="I1003">
        <v>13.337673701540941</v>
      </c>
      <c r="J1003">
        <v>0.27936819371413435</v>
      </c>
      <c r="K1003">
        <v>0.11438157384580337</v>
      </c>
      <c r="L1003">
        <v>16.268576530899107</v>
      </c>
      <c r="M1003">
        <v>13.217452475015753</v>
      </c>
      <c r="N1003">
        <v>0.36099026352121527</v>
      </c>
      <c r="O1003">
        <v>0.14805587376449417</v>
      </c>
      <c r="P1003">
        <v>16.273501387698527</v>
      </c>
      <c r="Q1003">
        <v>13.194726874237849</v>
      </c>
      <c r="R1003">
        <v>0.37640900423082335</v>
      </c>
      <c r="S1003">
        <v>0.15443039247221679</v>
      </c>
      <c r="T1003">
        <v>16.274433729059105</v>
      </c>
      <c r="U1003">
        <v>1596.3833336271814</v>
      </c>
      <c r="V1003">
        <v>10.248150891059229</v>
      </c>
      <c r="W1003">
        <v>1341.9320239756182</v>
      </c>
      <c r="X1003">
        <v>7.5512948325529745</v>
      </c>
      <c r="Y1003">
        <v>2874.5053039350792</v>
      </c>
      <c r="Z1003">
        <v>10.301014124603388</v>
      </c>
      <c r="AA1003">
        <v>2724.4643835487182</v>
      </c>
      <c r="AB1003">
        <v>7.5822571675625179</v>
      </c>
      <c r="AC1003">
        <v>2226.909422401161</v>
      </c>
      <c r="AD1003">
        <v>10.277081637064976</v>
      </c>
      <c r="AE1003">
        <v>2034.0267890535886</v>
      </c>
      <c r="AF1003">
        <v>7.5682538294224031</v>
      </c>
      <c r="AG1003">
        <v>2127.8199529679896</v>
      </c>
      <c r="AH1003">
        <v>10.272556672456284</v>
      </c>
      <c r="AI1003">
        <v>1920.3469900693656</v>
      </c>
      <c r="AJ1003">
        <v>7.5656035859369437</v>
      </c>
    </row>
    <row r="1004" spans="4:36" x14ac:dyDescent="0.55000000000000004">
      <c r="D1004">
        <v>997</v>
      </c>
      <c r="E1004">
        <v>12.751967510088953</v>
      </c>
      <c r="F1004">
        <v>0.47984607108275029</v>
      </c>
      <c r="G1004">
        <v>0.17104468432285486</v>
      </c>
      <c r="H1004">
        <v>16.597141734505442</v>
      </c>
      <c r="I1004">
        <v>12.987592989821463</v>
      </c>
      <c r="J1004">
        <v>0.30150419946228968</v>
      </c>
      <c r="K1004">
        <v>0.10712205943888001</v>
      </c>
      <c r="L1004">
        <v>16.603780751277348</v>
      </c>
      <c r="M1004">
        <v>12.882859986197625</v>
      </c>
      <c r="N1004">
        <v>0.38081165153229868</v>
      </c>
      <c r="O1004">
        <v>0.13549560788052581</v>
      </c>
      <c r="P1004">
        <v>16.60083275438955</v>
      </c>
      <c r="Q1004">
        <v>12.87272646414069</v>
      </c>
      <c r="R1004">
        <v>0.38848202773464913</v>
      </c>
      <c r="S1004">
        <v>0.13824424114429013</v>
      </c>
      <c r="T1004">
        <v>16.600547266980389</v>
      </c>
      <c r="U1004">
        <v>1552.3601595129599</v>
      </c>
      <c r="V1004">
        <v>10.143196541398057</v>
      </c>
      <c r="W1004">
        <v>1308.7040347048703</v>
      </c>
      <c r="X1004">
        <v>7.5082325637350849</v>
      </c>
      <c r="Y1004">
        <v>2906.6679712961118</v>
      </c>
      <c r="Z1004">
        <v>10.183407045704282</v>
      </c>
      <c r="AA1004">
        <v>2747.3249548248996</v>
      </c>
      <c r="AB1004">
        <v>7.5324081874525497</v>
      </c>
      <c r="AC1004">
        <v>2236.3820757178687</v>
      </c>
      <c r="AD1004">
        <v>10.165532947786684</v>
      </c>
      <c r="AE1004">
        <v>2040.3973810160066</v>
      </c>
      <c r="AF1004">
        <v>7.5216729270347624</v>
      </c>
      <c r="AG1004">
        <v>2112.6584705692444</v>
      </c>
      <c r="AH1004">
        <v>10.163803606943523</v>
      </c>
      <c r="AI1004">
        <v>1909.1046055184236</v>
      </c>
      <c r="AJ1004">
        <v>7.5206333383081549</v>
      </c>
    </row>
    <row r="1005" spans="4:36" x14ac:dyDescent="0.55000000000000004">
      <c r="D1005">
        <v>998</v>
      </c>
      <c r="E1005">
        <v>12.603622490921188</v>
      </c>
      <c r="F1005">
        <v>0.44461662698540821</v>
      </c>
      <c r="G1005">
        <v>0.18244882960701744</v>
      </c>
      <c r="H1005">
        <v>16.769312052486388</v>
      </c>
      <c r="I1005">
        <v>12.805445488888958</v>
      </c>
      <c r="J1005">
        <v>0.29847363573851016</v>
      </c>
      <c r="K1005">
        <v>0.12210003880173703</v>
      </c>
      <c r="L1005">
        <v>16.773980836570789</v>
      </c>
      <c r="M1005">
        <v>12.719628472873824</v>
      </c>
      <c r="N1005">
        <v>0.36064436924286347</v>
      </c>
      <c r="O1005">
        <v>0.14772667671769565</v>
      </c>
      <c r="P1005">
        <v>16.772000481165616</v>
      </c>
      <c r="Q1005">
        <v>12.683648567286982</v>
      </c>
      <c r="R1005">
        <v>0.38669736877830091</v>
      </c>
      <c r="S1005">
        <v>0.1584860021503845</v>
      </c>
      <c r="T1005">
        <v>16.771168061784344</v>
      </c>
      <c r="U1005">
        <v>1547.1409282333705</v>
      </c>
      <c r="V1005">
        <v>9.9848117283548063</v>
      </c>
      <c r="W1005">
        <v>1306.9845215290009</v>
      </c>
      <c r="X1005">
        <v>7.4094026996430387</v>
      </c>
      <c r="Y1005">
        <v>2897.4625790507798</v>
      </c>
      <c r="Z1005">
        <v>10.021400845740414</v>
      </c>
      <c r="AA1005">
        <v>2740.292391463327</v>
      </c>
      <c r="AB1005">
        <v>7.4316874931050672</v>
      </c>
      <c r="AC1005">
        <v>2256.4321286359077</v>
      </c>
      <c r="AD1005">
        <v>10.005839821112584</v>
      </c>
      <c r="AE1005">
        <v>2056.471804397027</v>
      </c>
      <c r="AF1005">
        <v>7.4222194303416416</v>
      </c>
      <c r="AG1005">
        <v>2069.9746685142841</v>
      </c>
      <c r="AH1005">
        <v>9.9993169703764444</v>
      </c>
      <c r="AI1005">
        <v>1876.8547255402643</v>
      </c>
      <c r="AJ1005">
        <v>7.4182464713166212</v>
      </c>
    </row>
    <row r="1006" spans="4:36" x14ac:dyDescent="0.55000000000000004">
      <c r="D1006">
        <v>999</v>
      </c>
      <c r="E1006">
        <v>12.586797070917491</v>
      </c>
      <c r="F1006">
        <v>0.45202099515121069</v>
      </c>
      <c r="G1006">
        <v>0.15672678865989639</v>
      </c>
      <c r="H1006">
        <v>16.804455145271405</v>
      </c>
      <c r="I1006">
        <v>12.816065157981287</v>
      </c>
      <c r="J1006">
        <v>0.28902344667930202</v>
      </c>
      <c r="K1006">
        <v>9.9884231569002613E-2</v>
      </c>
      <c r="L1006">
        <v>16.79502716377042</v>
      </c>
      <c r="M1006">
        <v>12.729891796258988</v>
      </c>
      <c r="N1006">
        <v>0.35032582905826831</v>
      </c>
      <c r="O1006">
        <v>0.12121812465457348</v>
      </c>
      <c r="P1006">
        <v>16.798564250028175</v>
      </c>
      <c r="Q1006">
        <v>12.695341140585926</v>
      </c>
      <c r="R1006">
        <v>0.37489193742299426</v>
      </c>
      <c r="S1006">
        <v>0.12978229640136288</v>
      </c>
      <c r="T1006">
        <v>16.799984625589726</v>
      </c>
      <c r="U1006">
        <v>1509.6411187728725</v>
      </c>
      <c r="V1006">
        <v>9.9731701403055766</v>
      </c>
      <c r="W1006">
        <v>1282.6567859663649</v>
      </c>
      <c r="X1006">
        <v>7.4061851304075583</v>
      </c>
      <c r="Y1006">
        <v>2905.2253660640777</v>
      </c>
      <c r="Z1006">
        <v>10.023393729892863</v>
      </c>
      <c r="AA1006">
        <v>2749.5702700850302</v>
      </c>
      <c r="AB1006">
        <v>7.4359478836789368</v>
      </c>
      <c r="AC1006">
        <v>2201.9636368369233</v>
      </c>
      <c r="AD1006">
        <v>10.004519812119606</v>
      </c>
      <c r="AE1006">
        <v>2019.9850469786631</v>
      </c>
      <c r="AF1006">
        <v>7.4247750462900308</v>
      </c>
      <c r="AG1006">
        <v>2100.6920574949022</v>
      </c>
      <c r="AH1006">
        <v>9.9969513364034714</v>
      </c>
      <c r="AI1006">
        <v>1904.3042479593933</v>
      </c>
      <c r="AJ1006">
        <v>7.4202906985479169</v>
      </c>
    </row>
    <row r="1007" spans="4:36" x14ac:dyDescent="0.55000000000000004">
      <c r="D1007">
        <v>1000</v>
      </c>
      <c r="E1007">
        <v>11.649425041404193</v>
      </c>
      <c r="F1007">
        <v>0.41037592777344173</v>
      </c>
      <c r="G1007">
        <v>0.15622418281776188</v>
      </c>
      <c r="H1007">
        <v>17.783974848004583</v>
      </c>
      <c r="I1007">
        <v>11.830818547579574</v>
      </c>
      <c r="J1007">
        <v>0.27134473283199334</v>
      </c>
      <c r="K1007">
        <v>0.10300008620788238</v>
      </c>
      <c r="L1007">
        <v>17.794836633380548</v>
      </c>
      <c r="M1007">
        <v>11.736586758077369</v>
      </c>
      <c r="N1007">
        <v>0.34359209636138638</v>
      </c>
      <c r="O1007">
        <v>0.13061915388870685</v>
      </c>
      <c r="P1007">
        <v>17.789201991672535</v>
      </c>
      <c r="Q1007">
        <v>11.716612298282664</v>
      </c>
      <c r="R1007">
        <v>0.35890030633059411</v>
      </c>
      <c r="S1007">
        <v>0.13648198300062603</v>
      </c>
      <c r="T1007">
        <v>17.788005412386099</v>
      </c>
      <c r="U1007">
        <v>1510.7405066263211</v>
      </c>
      <c r="V1007">
        <v>9.1939274194381362</v>
      </c>
      <c r="W1007">
        <v>1290.1751980096408</v>
      </c>
      <c r="X1007">
        <v>6.9284805368099622</v>
      </c>
      <c r="Y1007">
        <v>2866.6740798079386</v>
      </c>
      <c r="Z1007">
        <v>9.2217113749209094</v>
      </c>
      <c r="AA1007">
        <v>2724.4038969483845</v>
      </c>
      <c r="AB1007">
        <v>6.9460475047046923</v>
      </c>
      <c r="AC1007">
        <v>2205.6351525551058</v>
      </c>
      <c r="AD1007">
        <v>9.2072729838138052</v>
      </c>
      <c r="AE1007">
        <v>2026.0493894509805</v>
      </c>
      <c r="AF1007">
        <v>6.9369270189666787</v>
      </c>
      <c r="AG1007">
        <v>2076.6474635031623</v>
      </c>
      <c r="AH1007">
        <v>9.2042138272996592</v>
      </c>
      <c r="AI1007">
        <v>1890.4189004582438</v>
      </c>
      <c r="AJ1007">
        <v>6.9349922553656489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640080</xdr:colOff>
                    <xdr:row>3</xdr:row>
                    <xdr:rowOff>3810</xdr:rowOff>
                  </from>
                  <to>
                    <xdr:col>3</xdr:col>
                    <xdr:colOff>1306830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E8:BZ15"/>
  <sheetViews>
    <sheetView tabSelected="1" topLeftCell="E1" workbookViewId="0">
      <selection activeCell="F9" sqref="F9:I12"/>
    </sheetView>
  </sheetViews>
  <sheetFormatPr defaultRowHeight="14.4" x14ac:dyDescent="0.55000000000000004"/>
  <cols>
    <col min="5" max="5" width="24.7890625" customWidth="1"/>
  </cols>
  <sheetData>
    <row r="8" spans="5:78" x14ac:dyDescent="0.55000000000000004">
      <c r="E8" s="7" t="s">
        <v>64</v>
      </c>
      <c r="F8" s="7" t="str">
        <f>IF(Results!F8="","",Results!F8)</f>
        <v>cemented</v>
      </c>
      <c r="G8" s="7" t="str">
        <f>IF(Results!G8="","",Results!G8)</f>
        <v>uncemented</v>
      </c>
      <c r="H8" s="7" t="str">
        <f>IF(Results!H8="","",Results!H8)</f>
        <v>hybrid</v>
      </c>
      <c r="I8" s="7" t="str">
        <f>IF(Results!I8="","",Results!I8)</f>
        <v>reverse_hybrid</v>
      </c>
      <c r="J8" s="7" t="str">
        <f>IF(Results!J8="","",Results!J8)</f>
        <v/>
      </c>
      <c r="K8" s="7" t="str">
        <f>IF(Results!K8="","",Results!K8)</f>
        <v/>
      </c>
      <c r="L8" s="7" t="str">
        <f>IF(Results!L8="","",Results!L8)</f>
        <v/>
      </c>
      <c r="M8" s="7" t="str">
        <f>IF(Results!M8="","",Results!M8)</f>
        <v/>
      </c>
      <c r="N8" s="7" t="str">
        <f>IF(Results!N8="","",Results!N8)</f>
        <v/>
      </c>
      <c r="O8" s="7" t="str">
        <f>IF(Results!O8="","",Results!O8)</f>
        <v/>
      </c>
      <c r="P8" s="7" t="str">
        <f>IF(Results!P8="","",Results!P8)</f>
        <v/>
      </c>
      <c r="Q8" s="7" t="str">
        <f>IF(Results!Q8="","",Results!Q8)</f>
        <v/>
      </c>
      <c r="R8" s="7" t="str">
        <f>IF(Results!R8="","",Results!R8)</f>
        <v/>
      </c>
      <c r="S8" s="7" t="str">
        <f>IF(Results!S8="","",Results!S8)</f>
        <v/>
      </c>
      <c r="T8" s="7" t="str">
        <f>IF(Results!T8="","",Results!T8)</f>
        <v/>
      </c>
      <c r="U8" s="7" t="str">
        <f>IF(Results!U8="","",Results!U8)</f>
        <v/>
      </c>
      <c r="V8" s="7" t="str">
        <f>IF(Results!V8="","",Results!V8)</f>
        <v/>
      </c>
      <c r="W8" s="7" t="str">
        <f>IF(Results!W8="","",Results!W8)</f>
        <v/>
      </c>
      <c r="X8" s="7" t="str">
        <f>IF(Results!X8="","",Results!X8)</f>
        <v/>
      </c>
      <c r="Y8" s="7" t="str">
        <f>IF(Results!Y8="","",Results!Y8)</f>
        <v/>
      </c>
      <c r="Z8" s="7" t="str">
        <f>IF(Results!Z8="","",Results!Z8)</f>
        <v/>
      </c>
      <c r="AA8" s="7" t="str">
        <f>IF(Results!AA8="","",Results!AA8)</f>
        <v/>
      </c>
      <c r="AB8" s="7" t="str">
        <f>IF(Results!AB8="","",Results!AB8)</f>
        <v/>
      </c>
      <c r="AC8" s="7" t="str">
        <f>IF(Results!AC8="","",Results!AC8)</f>
        <v/>
      </c>
      <c r="AD8" s="7" t="str">
        <f>IF(Results!AD8="","",Results!AD8)</f>
        <v/>
      </c>
      <c r="AE8" s="7" t="str">
        <f>IF(Results!AE8="","",Results!AE8)</f>
        <v/>
      </c>
      <c r="AF8" s="7" t="str">
        <f>IF(Results!AF8="","",Results!AF8)</f>
        <v/>
      </c>
      <c r="AG8" s="7" t="str">
        <f>IF(Results!AG8="","",Results!AG8)</f>
        <v/>
      </c>
      <c r="AH8" s="7" t="str">
        <f>IF(Results!AH8="","",Results!AH8)</f>
        <v/>
      </c>
      <c r="AI8" s="7" t="str">
        <f>IF(Results!AI8="","",Results!AI8)</f>
        <v/>
      </c>
      <c r="AJ8" s="7" t="str">
        <f>IF(Results!AJ8="","",Results!AJ8)</f>
        <v/>
      </c>
      <c r="AK8" s="7" t="str">
        <f>IF(Results!AK8="","",Results!AK8)</f>
        <v/>
      </c>
      <c r="AL8" s="7" t="str">
        <f>IF(Results!AL8="","",Results!AL8)</f>
        <v/>
      </c>
      <c r="AM8" s="7" t="str">
        <f>IF(Results!AM8="","",Results!AM8)</f>
        <v/>
      </c>
      <c r="AN8" s="7" t="str">
        <f>IF(Results!AN8="","",Results!AN8)</f>
        <v/>
      </c>
      <c r="AO8" s="7" t="str">
        <f>IF(Results!AO8="","",Results!AO8)</f>
        <v/>
      </c>
      <c r="AP8" s="7" t="str">
        <f>IF(Results!AP8="","",Results!AP8)</f>
        <v/>
      </c>
      <c r="AQ8" s="7" t="str">
        <f>IF(Results!AQ8="","",Results!AQ8)</f>
        <v/>
      </c>
      <c r="AR8" s="7" t="str">
        <f>IF(Results!AR8="","",Results!AR8)</f>
        <v/>
      </c>
      <c r="AS8" s="7" t="str">
        <f>IF(Results!AS8="","",Results!AS8)</f>
        <v/>
      </c>
      <c r="AT8" s="7" t="str">
        <f>IF(Results!AT8="","",Results!AT8)</f>
        <v/>
      </c>
      <c r="AU8" s="7" t="str">
        <f>IF(Results!AU8="","",Results!AU8)</f>
        <v/>
      </c>
      <c r="AV8" s="7" t="str">
        <f>IF(Results!AV8="","",Results!AV8)</f>
        <v/>
      </c>
      <c r="AW8" s="7" t="str">
        <f>IF(Results!AW8="","",Results!AW8)</f>
        <v/>
      </c>
      <c r="AX8" s="7" t="str">
        <f>IF(Results!AX8="","",Results!AX8)</f>
        <v/>
      </c>
      <c r="AY8" s="7" t="str">
        <f>IF(Results!AY8="","",Results!AY8)</f>
        <v/>
      </c>
      <c r="AZ8" s="7" t="str">
        <f>IF(Results!AZ8="","",Results!AZ8)</f>
        <v/>
      </c>
      <c r="BA8" s="7" t="str">
        <f>IF(Results!BA8="","",Results!BA8)</f>
        <v/>
      </c>
      <c r="BB8" s="7" t="str">
        <f>IF(Results!BB8="","",Results!BB8)</f>
        <v/>
      </c>
      <c r="BC8" s="7" t="str">
        <f>IF(Results!BC8="","",Results!BC8)</f>
        <v/>
      </c>
      <c r="BD8" s="7" t="str">
        <f>IF(Results!BD8="","",Results!BD8)</f>
        <v/>
      </c>
      <c r="BE8" s="7" t="str">
        <f>IF(Results!BE8="","",Results!BE8)</f>
        <v/>
      </c>
      <c r="BF8" s="7" t="str">
        <f>IF(Results!BF8="","",Results!BF8)</f>
        <v/>
      </c>
      <c r="BG8" s="7" t="str">
        <f>IF(Results!BG8="","",Results!BG8)</f>
        <v/>
      </c>
      <c r="BH8" s="7" t="str">
        <f>IF(Results!BH8="","",Results!BH8)</f>
        <v/>
      </c>
      <c r="BI8" s="7" t="str">
        <f>IF(Results!BI8="","",Results!BI8)</f>
        <v/>
      </c>
      <c r="BJ8" s="7" t="str">
        <f>IF(Results!BJ8="","",Results!BJ8)</f>
        <v/>
      </c>
      <c r="BK8" s="7" t="str">
        <f>IF(Results!BK8="","",Results!BK8)</f>
        <v/>
      </c>
      <c r="BL8" s="7" t="str">
        <f>IF(Results!BL8="","",Results!BL8)</f>
        <v/>
      </c>
      <c r="BM8" s="7" t="str">
        <f>IF(Results!BM8="","",Results!BM8)</f>
        <v/>
      </c>
      <c r="BN8" s="7" t="str">
        <f>IF(Results!BN8="","",Results!BN8)</f>
        <v/>
      </c>
      <c r="BO8" s="7" t="str">
        <f>IF(Results!BO8="","",Results!BO8)</f>
        <v/>
      </c>
      <c r="BP8" s="7" t="str">
        <f>IF(Results!BP8="","",Results!BP8)</f>
        <v/>
      </c>
      <c r="BQ8" s="7" t="str">
        <f>IF(Results!BQ8="","",Results!BQ8)</f>
        <v/>
      </c>
      <c r="BR8" s="7" t="str">
        <f>IF(Results!BR8="","",Results!BR8)</f>
        <v/>
      </c>
      <c r="BS8" s="7" t="str">
        <f>IF(Results!BS8="","",Results!BS8)</f>
        <v/>
      </c>
      <c r="BT8" s="7" t="str">
        <f>IF(Results!BT8="","",Results!BT8)</f>
        <v/>
      </c>
      <c r="BU8" s="7" t="str">
        <f>IF(Results!BU8="","",Results!BU8)</f>
        <v/>
      </c>
      <c r="BV8" s="7" t="str">
        <f>IF(Results!BV8="","",Results!BV8)</f>
        <v/>
      </c>
      <c r="BW8" s="7" t="str">
        <f>IF(Results!BW8="","",Results!BW8)</f>
        <v/>
      </c>
      <c r="BX8" s="7" t="str">
        <f>IF(Results!BX8="","",Results!BX8)</f>
        <v/>
      </c>
      <c r="BY8" s="7" t="str">
        <f>IF(Results!BY8="","",Results!BY8)</f>
        <v/>
      </c>
      <c r="BZ8" s="7" t="str">
        <f>IF(Results!BZ8="","",Results!BZ8)</f>
        <v/>
      </c>
    </row>
    <row r="9" spans="5:78" x14ac:dyDescent="0.55000000000000004">
      <c r="E9" t="s">
        <v>65</v>
      </c>
      <c r="F9" t="s">
        <v>167</v>
      </c>
      <c r="G9" t="s">
        <v>171</v>
      </c>
      <c r="H9" t="s">
        <v>177</v>
      </c>
      <c r="I9" t="s">
        <v>183</v>
      </c>
    </row>
    <row r="10" spans="5:78" x14ac:dyDescent="0.55000000000000004">
      <c r="E10" t="s">
        <v>66</v>
      </c>
      <c r="F10" t="s">
        <v>168</v>
      </c>
      <c r="G10" t="s">
        <v>172</v>
      </c>
      <c r="H10" t="s">
        <v>178</v>
      </c>
      <c r="I10" t="s">
        <v>184</v>
      </c>
    </row>
    <row r="11" spans="5:78" x14ac:dyDescent="0.55000000000000004">
      <c r="E11" t="s">
        <v>67</v>
      </c>
      <c r="F11" t="s">
        <v>169</v>
      </c>
      <c r="G11" t="s">
        <v>173</v>
      </c>
      <c r="H11" t="s">
        <v>179</v>
      </c>
      <c r="I11" t="s">
        <v>185</v>
      </c>
    </row>
    <row r="12" spans="5:78" x14ac:dyDescent="0.55000000000000004">
      <c r="E12" t="s">
        <v>68</v>
      </c>
      <c r="F12" t="s">
        <v>170</v>
      </c>
      <c r="G12" t="s">
        <v>174</v>
      </c>
      <c r="H12" t="s">
        <v>180</v>
      </c>
      <c r="I12" t="s">
        <v>186</v>
      </c>
    </row>
    <row r="13" spans="5:78" x14ac:dyDescent="0.55000000000000004">
      <c r="E13" t="s">
        <v>69</v>
      </c>
      <c r="G13" t="s">
        <v>175</v>
      </c>
      <c r="H13" t="s">
        <v>181</v>
      </c>
      <c r="I13" t="s">
        <v>187</v>
      </c>
      <c r="J13" t="str">
        <f t="shared" ref="H13:BS13" si="0">IF(J9&lt;&gt;"",J9-$F$9,"")</f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  <c r="BA13" t="str">
        <f t="shared" si="0"/>
        <v/>
      </c>
      <c r="BB13" t="str">
        <f t="shared" si="0"/>
        <v/>
      </c>
      <c r="BC13" t="str">
        <f t="shared" si="0"/>
        <v/>
      </c>
      <c r="BD13" t="str">
        <f t="shared" si="0"/>
        <v/>
      </c>
      <c r="BE13" t="str">
        <f t="shared" si="0"/>
        <v/>
      </c>
      <c r="BF13" t="str">
        <f t="shared" si="0"/>
        <v/>
      </c>
      <c r="BG13" t="str">
        <f t="shared" si="0"/>
        <v/>
      </c>
      <c r="BH13" t="str">
        <f t="shared" si="0"/>
        <v/>
      </c>
      <c r="BI13" t="str">
        <f t="shared" si="0"/>
        <v/>
      </c>
      <c r="BJ13" t="str">
        <f t="shared" si="0"/>
        <v/>
      </c>
      <c r="BK13" t="str">
        <f t="shared" si="0"/>
        <v/>
      </c>
      <c r="BL13" t="str">
        <f t="shared" si="0"/>
        <v/>
      </c>
      <c r="BM13" t="str">
        <f t="shared" si="0"/>
        <v/>
      </c>
      <c r="BN13" t="str">
        <f t="shared" si="0"/>
        <v/>
      </c>
      <c r="BO13" t="str">
        <f t="shared" si="0"/>
        <v/>
      </c>
      <c r="BP13" t="str">
        <f t="shared" si="0"/>
        <v/>
      </c>
      <c r="BQ13" t="str">
        <f t="shared" si="0"/>
        <v/>
      </c>
      <c r="BR13" t="str">
        <f t="shared" si="0"/>
        <v/>
      </c>
      <c r="BS13" t="str">
        <f t="shared" si="0"/>
        <v/>
      </c>
      <c r="BT13" t="str">
        <f t="shared" ref="BT13:BZ13" si="1">IF(BT9&lt;&gt;"",BT9-$F$9,"")</f>
        <v/>
      </c>
      <c r="BU13" t="str">
        <f t="shared" si="1"/>
        <v/>
      </c>
      <c r="BV13" t="str">
        <f t="shared" si="1"/>
        <v/>
      </c>
      <c r="BW13" t="str">
        <f t="shared" si="1"/>
        <v/>
      </c>
      <c r="BX13" t="str">
        <f t="shared" si="1"/>
        <v/>
      </c>
      <c r="BY13" t="str">
        <f t="shared" si="1"/>
        <v/>
      </c>
      <c r="BZ13" t="str">
        <f t="shared" si="1"/>
        <v/>
      </c>
    </row>
    <row r="14" spans="5:78" x14ac:dyDescent="0.55000000000000004">
      <c r="E14" t="s">
        <v>70</v>
      </c>
      <c r="G14" t="s">
        <v>176</v>
      </c>
      <c r="H14" t="s">
        <v>182</v>
      </c>
      <c r="I14" t="s">
        <v>188</v>
      </c>
      <c r="J14" t="str">
        <f t="shared" ref="H14:BS14" si="2">IF(J10&lt;&gt;"", J10-$F$10, "")</f>
        <v/>
      </c>
      <c r="K14" t="str">
        <f t="shared" si="2"/>
        <v/>
      </c>
      <c r="L14" t="str">
        <f t="shared" si="2"/>
        <v/>
      </c>
      <c r="M14" t="str">
        <f t="shared" si="2"/>
        <v/>
      </c>
      <c r="N14" t="str">
        <f t="shared" si="2"/>
        <v/>
      </c>
      <c r="O14" t="str">
        <f t="shared" si="2"/>
        <v/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B14" t="str">
        <f t="shared" si="2"/>
        <v/>
      </c>
      <c r="AC14" t="str">
        <f t="shared" si="2"/>
        <v/>
      </c>
      <c r="AD14" t="str">
        <f t="shared" si="2"/>
        <v/>
      </c>
      <c r="AE14" t="str">
        <f t="shared" si="2"/>
        <v/>
      </c>
      <c r="AF14" t="str">
        <f t="shared" si="2"/>
        <v/>
      </c>
      <c r="AG14" t="str">
        <f t="shared" si="2"/>
        <v/>
      </c>
      <c r="AH14" t="str">
        <f t="shared" si="2"/>
        <v/>
      </c>
      <c r="AI14" t="str">
        <f t="shared" si="2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2"/>
        <v/>
      </c>
      <c r="AU14" t="str">
        <f t="shared" si="2"/>
        <v/>
      </c>
      <c r="AV14" t="str">
        <f t="shared" si="2"/>
        <v/>
      </c>
      <c r="AW14" t="str">
        <f t="shared" si="2"/>
        <v/>
      </c>
      <c r="AX14" t="str">
        <f t="shared" si="2"/>
        <v/>
      </c>
      <c r="AY14" t="str">
        <f t="shared" si="2"/>
        <v/>
      </c>
      <c r="AZ14" t="str">
        <f t="shared" si="2"/>
        <v/>
      </c>
      <c r="BA14" t="str">
        <f t="shared" si="2"/>
        <v/>
      </c>
      <c r="BB14" t="str">
        <f t="shared" si="2"/>
        <v/>
      </c>
      <c r="BC14" t="str">
        <f t="shared" si="2"/>
        <v/>
      </c>
      <c r="BD14" t="str">
        <f t="shared" si="2"/>
        <v/>
      </c>
      <c r="BE14" t="str">
        <f t="shared" si="2"/>
        <v/>
      </c>
      <c r="BF14" t="str">
        <f t="shared" si="2"/>
        <v/>
      </c>
      <c r="BG14" t="str">
        <f t="shared" si="2"/>
        <v/>
      </c>
      <c r="BH14" t="str">
        <f t="shared" si="2"/>
        <v/>
      </c>
      <c r="BI14" t="str">
        <f t="shared" si="2"/>
        <v/>
      </c>
      <c r="BJ14" t="str">
        <f t="shared" si="2"/>
        <v/>
      </c>
      <c r="BK14" t="str">
        <f t="shared" si="2"/>
        <v/>
      </c>
      <c r="BL14" t="str">
        <f t="shared" si="2"/>
        <v/>
      </c>
      <c r="BM14" t="str">
        <f t="shared" si="2"/>
        <v/>
      </c>
      <c r="BN14" t="str">
        <f t="shared" si="2"/>
        <v/>
      </c>
      <c r="BO14" t="str">
        <f t="shared" si="2"/>
        <v/>
      </c>
      <c r="BP14" t="str">
        <f t="shared" si="2"/>
        <v/>
      </c>
      <c r="BQ14" t="str">
        <f t="shared" si="2"/>
        <v/>
      </c>
      <c r="BR14" t="str">
        <f t="shared" si="2"/>
        <v/>
      </c>
      <c r="BS14" t="str">
        <f t="shared" si="2"/>
        <v/>
      </c>
      <c r="BT14" t="str">
        <f t="shared" ref="BT14:BZ14" si="3">IF(BT10&lt;&gt;"", BT10-$F$10, "")</f>
        <v/>
      </c>
      <c r="BU14" t="str">
        <f t="shared" si="3"/>
        <v/>
      </c>
      <c r="BV14" t="str">
        <f t="shared" si="3"/>
        <v/>
      </c>
      <c r="BW14" t="str">
        <f t="shared" si="3"/>
        <v/>
      </c>
      <c r="BX14" t="str">
        <f t="shared" si="3"/>
        <v/>
      </c>
      <c r="BY14" t="str">
        <f t="shared" si="3"/>
        <v/>
      </c>
      <c r="BZ14" t="str">
        <f t="shared" si="3"/>
        <v/>
      </c>
    </row>
    <row r="15" spans="5:78" x14ac:dyDescent="0.55000000000000004">
      <c r="E15" t="s">
        <v>71</v>
      </c>
      <c r="G15" s="8">
        <v>57580.72</v>
      </c>
      <c r="H15" s="8">
        <v>49737.2</v>
      </c>
      <c r="I15" s="8">
        <v>60118.43</v>
      </c>
      <c r="J15" t="str">
        <f t="shared" ref="H15:BS15" si="4">IF(J13&lt;&gt;"", J13/J14, "")</f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/>
      </c>
      <c r="O15" t="str">
        <f t="shared" si="4"/>
        <v/>
      </c>
      <c r="P15" t="str">
        <f t="shared" si="4"/>
        <v/>
      </c>
      <c r="Q15" t="str">
        <f t="shared" si="4"/>
        <v/>
      </c>
      <c r="R15" t="str">
        <f t="shared" si="4"/>
        <v/>
      </c>
      <c r="S15" t="str">
        <f t="shared" si="4"/>
        <v/>
      </c>
      <c r="T15" t="str">
        <f t="shared" si="4"/>
        <v/>
      </c>
      <c r="U15" t="str">
        <f t="shared" si="4"/>
        <v/>
      </c>
      <c r="V15" t="str">
        <f t="shared" si="4"/>
        <v/>
      </c>
      <c r="W15" t="str">
        <f t="shared" si="4"/>
        <v/>
      </c>
      <c r="X15" t="str">
        <f t="shared" si="4"/>
        <v/>
      </c>
      <c r="Y15" t="str">
        <f t="shared" si="4"/>
        <v/>
      </c>
      <c r="Z15" t="str">
        <f t="shared" si="4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4"/>
        <v/>
      </c>
      <c r="AT15" t="str">
        <f t="shared" si="4"/>
        <v/>
      </c>
      <c r="AU15" t="str">
        <f t="shared" si="4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  <c r="BC15" t="str">
        <f t="shared" si="4"/>
        <v/>
      </c>
      <c r="BD15" t="str">
        <f t="shared" si="4"/>
        <v/>
      </c>
      <c r="BE15" t="str">
        <f t="shared" si="4"/>
        <v/>
      </c>
      <c r="BF15" t="str">
        <f t="shared" si="4"/>
        <v/>
      </c>
      <c r="BG15" t="str">
        <f t="shared" si="4"/>
        <v/>
      </c>
      <c r="BH15" t="str">
        <f t="shared" si="4"/>
        <v/>
      </c>
      <c r="BI15" t="str">
        <f t="shared" si="4"/>
        <v/>
      </c>
      <c r="BJ15" t="str">
        <f t="shared" si="4"/>
        <v/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4"/>
        <v/>
      </c>
      <c r="BO15" t="str">
        <f t="shared" si="4"/>
        <v/>
      </c>
      <c r="BP15" t="str">
        <f t="shared" si="4"/>
        <v/>
      </c>
      <c r="BQ15" t="str">
        <f t="shared" si="4"/>
        <v/>
      </c>
      <c r="BR15" t="str">
        <f t="shared" si="4"/>
        <v/>
      </c>
      <c r="BS15" t="str">
        <f t="shared" si="4"/>
        <v/>
      </c>
      <c r="BT15" t="str">
        <f t="shared" ref="BT15:BZ15" si="5">IF(BT13&lt;&gt;"", BT13/BT14, "")</f>
        <v/>
      </c>
      <c r="BU15" t="str">
        <f t="shared" si="5"/>
        <v/>
      </c>
      <c r="BV15" t="str">
        <f t="shared" si="5"/>
        <v/>
      </c>
      <c r="BW15" t="str">
        <f t="shared" si="5"/>
        <v/>
      </c>
      <c r="BX15" t="str">
        <f t="shared" si="5"/>
        <v/>
      </c>
      <c r="BY15" t="str">
        <f t="shared" si="5"/>
        <v/>
      </c>
      <c r="BZ15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2026-02-01T15:24:33Z</dcterms:modified>
</cp:coreProperties>
</file>