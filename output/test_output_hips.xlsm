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0" documentId="108_{F1C5D758-4711-4E38-B06E-B5B716504DAD}" xr6:coauthVersionLast="47" xr6:coauthVersionMax="47" xr10:uidLastSave="{00000000-0000-0000-0000-000000000000}"/>
  <bookViews>
    <workbookView xWindow="-96" yWindow="-96" windowWidth="23232" windowHeight="12432" firstSheet="1" activeTab="7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14" i="14" l="1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BZ13" i="14"/>
  <c r="BZ15" i="14" s="1"/>
  <c r="BY13" i="14"/>
  <c r="BY15" i="14" s="1"/>
  <c r="BX13" i="14"/>
  <c r="BX15" i="14" s="1"/>
  <c r="BW13" i="14"/>
  <c r="BW15" i="14" s="1"/>
  <c r="BV13" i="14"/>
  <c r="BV15" i="14" s="1"/>
  <c r="BU13" i="14"/>
  <c r="BU15" i="14" s="1"/>
  <c r="BT13" i="14"/>
  <c r="BT15" i="14" s="1"/>
  <c r="BS13" i="14"/>
  <c r="BS15" i="14" s="1"/>
  <c r="BR13" i="14"/>
  <c r="BR15" i="14" s="1"/>
  <c r="BQ13" i="14"/>
  <c r="BQ15" i="14" s="1"/>
  <c r="BP13" i="14"/>
  <c r="BP15" i="14" s="1"/>
  <c r="BO13" i="14"/>
  <c r="BO15" i="14" s="1"/>
  <c r="BN13" i="14"/>
  <c r="BN15" i="14" s="1"/>
  <c r="BM13" i="14"/>
  <c r="BM15" i="14" s="1"/>
  <c r="BL13" i="14"/>
  <c r="BL15" i="14" s="1"/>
  <c r="BK13" i="14"/>
  <c r="BK15" i="14" s="1"/>
  <c r="BJ13" i="14"/>
  <c r="BJ15" i="14" s="1"/>
  <c r="BI13" i="14"/>
  <c r="BI15" i="14" s="1"/>
  <c r="BH13" i="14"/>
  <c r="BH15" i="14" s="1"/>
  <c r="BG13" i="14"/>
  <c r="BG15" i="14" s="1"/>
  <c r="BF13" i="14"/>
  <c r="BF15" i="14" s="1"/>
  <c r="BE13" i="14"/>
  <c r="BE15" i="14" s="1"/>
  <c r="BD13" i="14"/>
  <c r="BD15" i="14" s="1"/>
  <c r="BC13" i="14"/>
  <c r="BC15" i="14" s="1"/>
  <c r="BB13" i="14"/>
  <c r="BB15" i="14" s="1"/>
  <c r="BA13" i="14"/>
  <c r="BA15" i="14" s="1"/>
  <c r="AZ13" i="14"/>
  <c r="AZ15" i="14" s="1"/>
  <c r="AY13" i="14"/>
  <c r="AY15" i="14" s="1"/>
  <c r="AX13" i="14"/>
  <c r="AX15" i="14" s="1"/>
  <c r="AW13" i="14"/>
  <c r="AW15" i="14" s="1"/>
  <c r="AV13" i="14"/>
  <c r="AV15" i="14" s="1"/>
  <c r="AU13" i="14"/>
  <c r="AU15" i="14" s="1"/>
  <c r="AT13" i="14"/>
  <c r="AT15" i="14" s="1"/>
  <c r="AS13" i="14"/>
  <c r="AS15" i="14" s="1"/>
  <c r="AR13" i="14"/>
  <c r="AR15" i="14" s="1"/>
  <c r="AQ13" i="14"/>
  <c r="AQ15" i="14" s="1"/>
  <c r="AP13" i="14"/>
  <c r="AP15" i="14" s="1"/>
  <c r="AO13" i="14"/>
  <c r="AO15" i="14" s="1"/>
  <c r="AN13" i="14"/>
  <c r="AN15" i="14" s="1"/>
  <c r="AM13" i="14"/>
  <c r="AM15" i="14" s="1"/>
  <c r="AL13" i="14"/>
  <c r="AL15" i="14" s="1"/>
  <c r="AK13" i="14"/>
  <c r="AK15" i="14" s="1"/>
  <c r="AJ13" i="14"/>
  <c r="AJ15" i="14" s="1"/>
  <c r="AI13" i="14"/>
  <c r="AI15" i="14" s="1"/>
  <c r="AH13" i="14"/>
  <c r="AH15" i="14" s="1"/>
  <c r="AG13" i="14"/>
  <c r="AG15" i="14" s="1"/>
  <c r="AF13" i="14"/>
  <c r="AF15" i="14" s="1"/>
  <c r="AE13" i="14"/>
  <c r="AE15" i="14" s="1"/>
  <c r="AD13" i="14"/>
  <c r="AD15" i="14" s="1"/>
  <c r="AC13" i="14"/>
  <c r="AC15" i="14" s="1"/>
  <c r="AB13" i="14"/>
  <c r="AB15" i="14" s="1"/>
  <c r="AA13" i="14"/>
  <c r="AA15" i="14" s="1"/>
  <c r="Z13" i="14"/>
  <c r="Z15" i="14" s="1"/>
  <c r="Y13" i="14"/>
  <c r="Y15" i="14" s="1"/>
  <c r="X13" i="14"/>
  <c r="X15" i="14" s="1"/>
  <c r="W13" i="14"/>
  <c r="W15" i="14" s="1"/>
  <c r="V13" i="14"/>
  <c r="V15" i="14" s="1"/>
  <c r="U13" i="14"/>
  <c r="U15" i="14" s="1"/>
  <c r="T13" i="14"/>
  <c r="T15" i="14" s="1"/>
  <c r="S13" i="14"/>
  <c r="S15" i="14" s="1"/>
  <c r="R13" i="14"/>
  <c r="R15" i="14" s="1"/>
  <c r="Q13" i="14"/>
  <c r="Q15" i="14" s="1"/>
  <c r="P13" i="14"/>
  <c r="P15" i="14" s="1"/>
  <c r="O13" i="14"/>
  <c r="O15" i="14" s="1"/>
  <c r="N13" i="14"/>
  <c r="N15" i="14" s="1"/>
  <c r="M13" i="14"/>
  <c r="M15" i="14" s="1"/>
  <c r="L13" i="14"/>
  <c r="L15" i="14" s="1"/>
  <c r="K13" i="14"/>
  <c r="K15" i="14" s="1"/>
  <c r="J13" i="14"/>
  <c r="J15" i="14" s="1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BZ7" i="7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P9" i="11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O30" i="9"/>
  <c r="O29" i="9"/>
  <c r="O28" i="9"/>
  <c r="O27" i="9"/>
  <c r="O26" i="9"/>
  <c r="L9" i="11" s="1"/>
  <c r="O25" i="9"/>
  <c r="K9" i="11" s="1"/>
  <c r="O24" i="9"/>
  <c r="J9" i="11" s="1"/>
  <c r="O23" i="9"/>
  <c r="I9" i="11" s="1"/>
  <c r="O22" i="9"/>
  <c r="K9" i="10" s="1"/>
  <c r="O21" i="9"/>
  <c r="F9" i="10" s="1"/>
  <c r="O20" i="9"/>
  <c r="Q9" i="10" s="1"/>
  <c r="O19" i="9"/>
  <c r="M9" i="10" s="1"/>
  <c r="O18" i="9"/>
  <c r="I9" i="10" s="1"/>
  <c r="O17" i="9"/>
  <c r="E9" i="10" s="1"/>
  <c r="O16" i="9"/>
  <c r="O15" i="9"/>
  <c r="O14" i="9"/>
  <c r="O13" i="9"/>
  <c r="O12" i="9"/>
  <c r="O11" i="9"/>
  <c r="O10" i="9"/>
  <c r="O9" i="9"/>
  <c r="N10" i="8" l="1"/>
  <c r="N11" i="8" s="1"/>
  <c r="K10" i="8"/>
  <c r="M10" i="8"/>
  <c r="J10" i="8"/>
  <c r="O10" i="8"/>
  <c r="L10" i="8"/>
  <c r="O9" i="10"/>
  <c r="N9" i="11"/>
  <c r="P10" i="8"/>
  <c r="Q10" i="8"/>
  <c r="AC9" i="8"/>
  <c r="AA9" i="8"/>
  <c r="F10" i="8"/>
  <c r="R10" i="8"/>
  <c r="G10" i="8"/>
  <c r="S10" i="8"/>
  <c r="H10" i="8"/>
  <c r="T10" i="8"/>
  <c r="I10" i="8"/>
  <c r="U10" i="8"/>
  <c r="O9" i="11"/>
  <c r="R9" i="10"/>
  <c r="Q9" i="11"/>
  <c r="S9" i="10"/>
  <c r="R9" i="11"/>
  <c r="E9" i="11"/>
  <c r="S9" i="11"/>
  <c r="F9" i="11"/>
  <c r="T9" i="11"/>
  <c r="G9" i="11"/>
  <c r="H9" i="11"/>
  <c r="G9" i="10"/>
  <c r="V9" i="8" s="1"/>
  <c r="N9" i="10"/>
  <c r="J9" i="10"/>
  <c r="AB9" i="8" s="1"/>
  <c r="M9" i="11"/>
  <c r="O11" i="8" l="1"/>
  <c r="O12" i="8" s="1"/>
  <c r="AF9" i="8"/>
  <c r="T11" i="8"/>
  <c r="L11" i="8"/>
  <c r="AH9" i="8"/>
  <c r="X9" i="8"/>
  <c r="AJ9" i="8"/>
  <c r="M11" i="8"/>
  <c r="AD9" i="8"/>
  <c r="AG10" i="8"/>
  <c r="AB10" i="8"/>
  <c r="AK9" i="8"/>
  <c r="Q11" i="8"/>
  <c r="W9" i="8"/>
  <c r="U11" i="8"/>
  <c r="AD10" i="8"/>
  <c r="Z9" i="8"/>
  <c r="I11" i="8"/>
  <c r="K11" i="8"/>
  <c r="Y9" i="8"/>
  <c r="AA10" i="8"/>
  <c r="P11" i="8"/>
  <c r="H11" i="8"/>
  <c r="AC10" i="8"/>
  <c r="J11" i="8"/>
  <c r="S11" i="8"/>
  <c r="AE10" i="8"/>
  <c r="X10" i="8"/>
  <c r="F11" i="8"/>
  <c r="Y10" i="8"/>
  <c r="W10" i="8"/>
  <c r="V10" i="8"/>
  <c r="G11" i="8"/>
  <c r="Z10" i="8"/>
  <c r="AF10" i="8"/>
  <c r="AI9" i="8"/>
  <c r="N12" i="8"/>
  <c r="AG9" i="8"/>
  <c r="AE9" i="8"/>
  <c r="R11" i="8"/>
  <c r="AK10" i="8"/>
  <c r="AJ10" i="8"/>
  <c r="AI10" i="8"/>
  <c r="AH10" i="8"/>
  <c r="AG11" i="8" l="1"/>
  <c r="P12" i="8"/>
  <c r="P13" i="8" s="1"/>
  <c r="H12" i="8"/>
  <c r="AF11" i="8"/>
  <c r="T12" i="8"/>
  <c r="M12" i="8"/>
  <c r="AD11" i="8"/>
  <c r="AA11" i="8"/>
  <c r="AC11" i="8"/>
  <c r="J12" i="8"/>
  <c r="J13" i="8" s="1"/>
  <c r="U12" i="8"/>
  <c r="S12" i="8"/>
  <c r="T13" i="8" s="1"/>
  <c r="K12" i="8"/>
  <c r="I12" i="8"/>
  <c r="L12" i="8"/>
  <c r="O13" i="8"/>
  <c r="Q12" i="8"/>
  <c r="Z11" i="8"/>
  <c r="AB11" i="8"/>
  <c r="AE11" i="8"/>
  <c r="AK11" i="8"/>
  <c r="R12" i="8"/>
  <c r="AJ11" i="8"/>
  <c r="AI11" i="8"/>
  <c r="AH11" i="8"/>
  <c r="N13" i="8"/>
  <c r="G12" i="8"/>
  <c r="Y11" i="8"/>
  <c r="F12" i="8"/>
  <c r="X11" i="8"/>
  <c r="W11" i="8"/>
  <c r="V11" i="8"/>
  <c r="K13" i="8" l="1"/>
  <c r="K14" i="8" s="1"/>
  <c r="Q13" i="8"/>
  <c r="AD13" i="8" s="1"/>
  <c r="L13" i="8"/>
  <c r="H13" i="8"/>
  <c r="M13" i="8"/>
  <c r="AE12" i="8"/>
  <c r="AA12" i="8"/>
  <c r="AD12" i="8"/>
  <c r="AC12" i="8"/>
  <c r="AF12" i="8"/>
  <c r="AB12" i="8"/>
  <c r="P14" i="8"/>
  <c r="AG12" i="8"/>
  <c r="Z12" i="8"/>
  <c r="I13" i="8"/>
  <c r="N14" i="8"/>
  <c r="O14" i="8"/>
  <c r="Y12" i="8"/>
  <c r="V12" i="8"/>
  <c r="X12" i="8"/>
  <c r="F13" i="8"/>
  <c r="W12" i="8"/>
  <c r="AK12" i="8"/>
  <c r="AH12" i="8"/>
  <c r="AJ12" i="8"/>
  <c r="R13" i="8"/>
  <c r="AI12" i="8"/>
  <c r="S13" i="8"/>
  <c r="G13" i="8"/>
  <c r="U13" i="8"/>
  <c r="J14" i="8"/>
  <c r="H14" i="8" l="1"/>
  <c r="L14" i="8"/>
  <c r="AE13" i="8"/>
  <c r="AF13" i="8"/>
  <c r="Q14" i="8"/>
  <c r="AG14" i="8" s="1"/>
  <c r="AG13" i="8"/>
  <c r="AA13" i="8"/>
  <c r="M14" i="8"/>
  <c r="AB13" i="8"/>
  <c r="AC13" i="8"/>
  <c r="Z13" i="8"/>
  <c r="Q15" i="8"/>
  <c r="S14" i="8"/>
  <c r="I14" i="8"/>
  <c r="T14" i="8"/>
  <c r="O15" i="8"/>
  <c r="P15" i="8"/>
  <c r="F14" i="8"/>
  <c r="V13" i="8"/>
  <c r="Y13" i="8"/>
  <c r="X13" i="8"/>
  <c r="W13" i="8"/>
  <c r="R14" i="8"/>
  <c r="AJ13" i="8"/>
  <c r="AI13" i="8"/>
  <c r="AH13" i="8"/>
  <c r="AK13" i="8"/>
  <c r="U14" i="8"/>
  <c r="N15" i="8"/>
  <c r="J15" i="8"/>
  <c r="G14" i="8"/>
  <c r="K15" i="8"/>
  <c r="AE14" i="8" l="1"/>
  <c r="AF14" i="8"/>
  <c r="AD14" i="8"/>
  <c r="AC14" i="8"/>
  <c r="M15" i="8"/>
  <c r="AB14" i="8"/>
  <c r="L15" i="8"/>
  <c r="L16" i="8" s="1"/>
  <c r="AA14" i="8"/>
  <c r="Z14" i="8"/>
  <c r="T15" i="8"/>
  <c r="I15" i="8"/>
  <c r="Q16" i="8"/>
  <c r="P16" i="8"/>
  <c r="S15" i="8"/>
  <c r="K16" i="8"/>
  <c r="G15" i="8"/>
  <c r="U15" i="8"/>
  <c r="O16" i="8"/>
  <c r="J16" i="8"/>
  <c r="AH14" i="8"/>
  <c r="AK14" i="8"/>
  <c r="AJ14" i="8"/>
  <c r="R15" i="8"/>
  <c r="AI14" i="8"/>
  <c r="H15" i="8"/>
  <c r="N16" i="8"/>
  <c r="AD15" i="8"/>
  <c r="AG15" i="8"/>
  <c r="AF15" i="8"/>
  <c r="AE15" i="8"/>
  <c r="Y14" i="8"/>
  <c r="F15" i="8"/>
  <c r="X14" i="8"/>
  <c r="W14" i="8"/>
  <c r="V14" i="8"/>
  <c r="T16" i="8" l="1"/>
  <c r="M16" i="8"/>
  <c r="M17" i="8" s="1"/>
  <c r="Z15" i="8"/>
  <c r="AA15" i="8"/>
  <c r="AC15" i="8"/>
  <c r="H16" i="8"/>
  <c r="AB15" i="8"/>
  <c r="U16" i="8"/>
  <c r="K17" i="8"/>
  <c r="O17" i="8"/>
  <c r="L17" i="8"/>
  <c r="I16" i="8"/>
  <c r="P17" i="8"/>
  <c r="G16" i="8"/>
  <c r="AG16" i="8"/>
  <c r="N17" i="8"/>
  <c r="AF16" i="8"/>
  <c r="AE16" i="8"/>
  <c r="AD16" i="8"/>
  <c r="J17" i="8"/>
  <c r="Y15" i="8"/>
  <c r="V15" i="8"/>
  <c r="X15" i="8"/>
  <c r="F16" i="8"/>
  <c r="W15" i="8"/>
  <c r="AK15" i="8"/>
  <c r="AH15" i="8"/>
  <c r="AJ15" i="8"/>
  <c r="R16" i="8"/>
  <c r="AI15" i="8"/>
  <c r="S16" i="8"/>
  <c r="Q17" i="8"/>
  <c r="T17" i="8" l="1"/>
  <c r="Z16" i="8"/>
  <c r="AB16" i="8"/>
  <c r="AC16" i="8"/>
  <c r="AA16" i="8"/>
  <c r="H17" i="8"/>
  <c r="L18" i="8"/>
  <c r="Q18" i="8"/>
  <c r="P18" i="8"/>
  <c r="F17" i="8"/>
  <c r="Y16" i="8"/>
  <c r="X16" i="8"/>
  <c r="W16" i="8"/>
  <c r="V16" i="8"/>
  <c r="AG17" i="8"/>
  <c r="AD17" i="8"/>
  <c r="AF17" i="8"/>
  <c r="N18" i="8"/>
  <c r="AE17" i="8"/>
  <c r="M18" i="8"/>
  <c r="O18" i="8"/>
  <c r="S17" i="8"/>
  <c r="G17" i="8"/>
  <c r="J18" i="8"/>
  <c r="AC17" i="8"/>
  <c r="AB17" i="8"/>
  <c r="AA17" i="8"/>
  <c r="Z17" i="8"/>
  <c r="K18" i="8"/>
  <c r="R17" i="8"/>
  <c r="AK16" i="8"/>
  <c r="AJ16" i="8"/>
  <c r="AI16" i="8"/>
  <c r="AH16" i="8"/>
  <c r="U17" i="8"/>
  <c r="I17" i="8"/>
  <c r="T18" i="8" l="1"/>
  <c r="G18" i="8"/>
  <c r="P19" i="8"/>
  <c r="I18" i="8"/>
  <c r="H18" i="8"/>
  <c r="Q19" i="8"/>
  <c r="M19" i="8"/>
  <c r="AK17" i="8"/>
  <c r="R18" i="8"/>
  <c r="AJ17" i="8"/>
  <c r="AI17" i="8"/>
  <c r="AH17" i="8"/>
  <c r="K19" i="8"/>
  <c r="L19" i="8"/>
  <c r="N19" i="8"/>
  <c r="AG18" i="8"/>
  <c r="AF18" i="8"/>
  <c r="AE18" i="8"/>
  <c r="AD18" i="8"/>
  <c r="S18" i="8"/>
  <c r="U18" i="8"/>
  <c r="AC18" i="8"/>
  <c r="J19" i="8"/>
  <c r="AB18" i="8"/>
  <c r="AA18" i="8"/>
  <c r="Z18" i="8"/>
  <c r="O19" i="8"/>
  <c r="F18" i="8"/>
  <c r="X17" i="8"/>
  <c r="W17" i="8"/>
  <c r="V17" i="8"/>
  <c r="Y17" i="8"/>
  <c r="P20" i="8" l="1"/>
  <c r="H19" i="8"/>
  <c r="G19" i="8"/>
  <c r="L20" i="8"/>
  <c r="U19" i="8"/>
  <c r="S19" i="8"/>
  <c r="T19" i="8"/>
  <c r="Q20" i="8"/>
  <c r="AC19" i="8"/>
  <c r="Z19" i="8"/>
  <c r="AB19" i="8"/>
  <c r="J20" i="8"/>
  <c r="AA19" i="8"/>
  <c r="AK18" i="8"/>
  <c r="AH18" i="8"/>
  <c r="R19" i="8"/>
  <c r="AI18" i="8"/>
  <c r="AJ18" i="8"/>
  <c r="K20" i="8"/>
  <c r="Y18" i="8"/>
  <c r="V18" i="8"/>
  <c r="X18" i="8"/>
  <c r="F19" i="8"/>
  <c r="W18" i="8"/>
  <c r="N20" i="8"/>
  <c r="AF19" i="8"/>
  <c r="AE19" i="8"/>
  <c r="AD19" i="8"/>
  <c r="AG19" i="8"/>
  <c r="I19" i="8"/>
  <c r="O20" i="8"/>
  <c r="M20" i="8"/>
  <c r="P21" i="8" l="1"/>
  <c r="H20" i="8"/>
  <c r="Q21" i="8"/>
  <c r="L21" i="8"/>
  <c r="T20" i="8"/>
  <c r="M21" i="8"/>
  <c r="K21" i="8"/>
  <c r="R20" i="8"/>
  <c r="AI19" i="8"/>
  <c r="AK19" i="8"/>
  <c r="AJ19" i="8"/>
  <c r="AH19" i="8"/>
  <c r="F20" i="8"/>
  <c r="Y19" i="8"/>
  <c r="X19" i="8"/>
  <c r="W19" i="8"/>
  <c r="V19" i="8"/>
  <c r="AG20" i="8"/>
  <c r="AD20" i="8"/>
  <c r="AF20" i="8"/>
  <c r="N21" i="8"/>
  <c r="AE20" i="8"/>
  <c r="I20" i="8"/>
  <c r="J21" i="8"/>
  <c r="AB20" i="8"/>
  <c r="AA20" i="8"/>
  <c r="Z20" i="8"/>
  <c r="AC20" i="8"/>
  <c r="S20" i="8"/>
  <c r="O21" i="8"/>
  <c r="G20" i="8"/>
  <c r="U20" i="8"/>
  <c r="Q22" i="8" l="1"/>
  <c r="M22" i="8"/>
  <c r="L22" i="8"/>
  <c r="U21" i="8"/>
  <c r="I21" i="8"/>
  <c r="K22" i="8"/>
  <c r="Y20" i="8"/>
  <c r="F21" i="8"/>
  <c r="X20" i="8"/>
  <c r="W20" i="8"/>
  <c r="V20" i="8"/>
  <c r="K23" i="8"/>
  <c r="G21" i="8"/>
  <c r="H21" i="8"/>
  <c r="O22" i="8"/>
  <c r="Z21" i="8"/>
  <c r="AC21" i="8"/>
  <c r="J22" i="8"/>
  <c r="AB21" i="8"/>
  <c r="AA21" i="8"/>
  <c r="AK20" i="8"/>
  <c r="R21" i="8"/>
  <c r="AJ20" i="8"/>
  <c r="AI20" i="8"/>
  <c r="AH20" i="8"/>
  <c r="N22" i="8"/>
  <c r="AG21" i="8"/>
  <c r="AF21" i="8"/>
  <c r="AE21" i="8"/>
  <c r="AD21" i="8"/>
  <c r="S21" i="8"/>
  <c r="T21" i="8"/>
  <c r="P22" i="8"/>
  <c r="L23" i="8"/>
  <c r="G22" i="8" l="1"/>
  <c r="U22" i="8"/>
  <c r="T22" i="8"/>
  <c r="H22" i="8"/>
  <c r="O23" i="8"/>
  <c r="Q23" i="8"/>
  <c r="L24" i="8"/>
  <c r="P23" i="8"/>
  <c r="P24" i="8" s="1"/>
  <c r="Y21" i="8"/>
  <c r="V21" i="8"/>
  <c r="X21" i="8"/>
  <c r="F22" i="8"/>
  <c r="W21" i="8"/>
  <c r="S22" i="8"/>
  <c r="AC22" i="8"/>
  <c r="Z22" i="8"/>
  <c r="AB22" i="8"/>
  <c r="J23" i="8"/>
  <c r="AA22" i="8"/>
  <c r="I22" i="8"/>
  <c r="AG22" i="8"/>
  <c r="N23" i="8"/>
  <c r="AF22" i="8"/>
  <c r="AE22" i="8"/>
  <c r="AD22" i="8"/>
  <c r="AK21" i="8"/>
  <c r="AH21" i="8"/>
  <c r="AJ21" i="8"/>
  <c r="R22" i="8"/>
  <c r="AI21" i="8"/>
  <c r="M23" i="8"/>
  <c r="G23" i="8" l="1"/>
  <c r="H23" i="8"/>
  <c r="M24" i="8"/>
  <c r="T23" i="8"/>
  <c r="U23" i="8"/>
  <c r="R23" i="8"/>
  <c r="AJ22" i="8"/>
  <c r="AI22" i="8"/>
  <c r="AH22" i="8"/>
  <c r="AK22" i="8"/>
  <c r="J24" i="8"/>
  <c r="AC23" i="8"/>
  <c r="AB23" i="8"/>
  <c r="AA23" i="8"/>
  <c r="Z23" i="8"/>
  <c r="AG23" i="8"/>
  <c r="AD23" i="8"/>
  <c r="AF23" i="8"/>
  <c r="N24" i="8"/>
  <c r="AE23" i="8"/>
  <c r="F23" i="8"/>
  <c r="V22" i="8"/>
  <c r="Y22" i="8"/>
  <c r="W22" i="8"/>
  <c r="X22" i="8"/>
  <c r="O24" i="8"/>
  <c r="I23" i="8"/>
  <c r="S23" i="8"/>
  <c r="K24" i="8"/>
  <c r="Q24" i="8"/>
  <c r="H24" i="8" l="1"/>
  <c r="T24" i="8"/>
  <c r="Q25" i="8"/>
  <c r="S24" i="8"/>
  <c r="K25" i="8"/>
  <c r="L25" i="8"/>
  <c r="N25" i="8"/>
  <c r="AD24" i="8"/>
  <c r="AG24" i="8"/>
  <c r="AF24" i="8"/>
  <c r="AE24" i="8"/>
  <c r="Y23" i="8"/>
  <c r="F24" i="8"/>
  <c r="X23" i="8"/>
  <c r="W23" i="8"/>
  <c r="V23" i="8"/>
  <c r="AC24" i="8"/>
  <c r="J25" i="8"/>
  <c r="AB24" i="8"/>
  <c r="AA24" i="8"/>
  <c r="Z24" i="8"/>
  <c r="O25" i="8"/>
  <c r="O26" i="8" s="1"/>
  <c r="AH23" i="8"/>
  <c r="AK23" i="8"/>
  <c r="R24" i="8"/>
  <c r="AJ23" i="8"/>
  <c r="AI23" i="8"/>
  <c r="U24" i="8"/>
  <c r="M25" i="8"/>
  <c r="I24" i="8"/>
  <c r="P25" i="8"/>
  <c r="G24" i="8"/>
  <c r="S25" i="8" l="1"/>
  <c r="T25" i="8"/>
  <c r="K26" i="8"/>
  <c r="AG25" i="8"/>
  <c r="N26" i="8"/>
  <c r="AF25" i="8"/>
  <c r="AE25" i="8"/>
  <c r="AD25" i="8"/>
  <c r="O27" i="8"/>
  <c r="AC25" i="8"/>
  <c r="Z25" i="8"/>
  <c r="J26" i="8"/>
  <c r="AA25" i="8"/>
  <c r="AB25" i="8"/>
  <c r="Q26" i="8"/>
  <c r="Y24" i="8"/>
  <c r="V24" i="8"/>
  <c r="X24" i="8"/>
  <c r="F25" i="8"/>
  <c r="W24" i="8"/>
  <c r="AK24" i="8"/>
  <c r="AH24" i="8"/>
  <c r="AJ24" i="8"/>
  <c r="R25" i="8"/>
  <c r="AI24" i="8"/>
  <c r="G25" i="8"/>
  <c r="P26" i="8"/>
  <c r="P27" i="8" s="1"/>
  <c r="I25" i="8"/>
  <c r="M26" i="8"/>
  <c r="H25" i="8"/>
  <c r="U25" i="8"/>
  <c r="L26" i="8"/>
  <c r="T26" i="8" l="1"/>
  <c r="L27" i="8"/>
  <c r="H26" i="8"/>
  <c r="AG26" i="8"/>
  <c r="AD26" i="8"/>
  <c r="AF26" i="8"/>
  <c r="N27" i="8"/>
  <c r="O28" i="8" s="1"/>
  <c r="AE26" i="8"/>
  <c r="J27" i="8"/>
  <c r="AC26" i="8"/>
  <c r="AB26" i="8"/>
  <c r="AA26" i="8"/>
  <c r="Z26" i="8"/>
  <c r="Q27" i="8"/>
  <c r="R26" i="8"/>
  <c r="AK25" i="8"/>
  <c r="AJ25" i="8"/>
  <c r="AI25" i="8"/>
  <c r="AH25" i="8"/>
  <c r="F26" i="8"/>
  <c r="Y25" i="8"/>
  <c r="X25" i="8"/>
  <c r="W25" i="8"/>
  <c r="V25" i="8"/>
  <c r="M27" i="8"/>
  <c r="I26" i="8"/>
  <c r="P28" i="8"/>
  <c r="K27" i="8"/>
  <c r="U26" i="8"/>
  <c r="G26" i="8"/>
  <c r="S26" i="8"/>
  <c r="S27" i="8" s="1"/>
  <c r="L28" i="8" l="1"/>
  <c r="G27" i="8"/>
  <c r="K28" i="8"/>
  <c r="P29" i="8"/>
  <c r="M28" i="8"/>
  <c r="H27" i="8"/>
  <c r="AC27" i="8"/>
  <c r="J28" i="8"/>
  <c r="AB27" i="8"/>
  <c r="AA27" i="8"/>
  <c r="Z27" i="8"/>
  <c r="U27" i="8"/>
  <c r="F27" i="8"/>
  <c r="X26" i="8"/>
  <c r="W26" i="8"/>
  <c r="V26" i="8"/>
  <c r="Y26" i="8"/>
  <c r="T27" i="8"/>
  <c r="T28" i="8" s="1"/>
  <c r="N28" i="8"/>
  <c r="O29" i="8" s="1"/>
  <c r="AG27" i="8"/>
  <c r="AF27" i="8"/>
  <c r="AE27" i="8"/>
  <c r="AD27" i="8"/>
  <c r="AK26" i="8"/>
  <c r="R27" i="8"/>
  <c r="S28" i="8" s="1"/>
  <c r="AJ26" i="8"/>
  <c r="AI26" i="8"/>
  <c r="AH26" i="8"/>
  <c r="I27" i="8"/>
  <c r="Q28" i="8"/>
  <c r="L29" i="8" l="1"/>
  <c r="H28" i="8"/>
  <c r="Q29" i="8"/>
  <c r="U28" i="8"/>
  <c r="M29" i="8"/>
  <c r="K29" i="8"/>
  <c r="Y27" i="8"/>
  <c r="V27" i="8"/>
  <c r="X27" i="8"/>
  <c r="F28" i="8"/>
  <c r="W27" i="8"/>
  <c r="G28" i="8"/>
  <c r="AC28" i="8"/>
  <c r="Z28" i="8"/>
  <c r="AB28" i="8"/>
  <c r="J29" i="8"/>
  <c r="AA28" i="8"/>
  <c r="T29" i="8"/>
  <c r="N29" i="8"/>
  <c r="AF28" i="8"/>
  <c r="AE28" i="8"/>
  <c r="AD28" i="8"/>
  <c r="AG28" i="8"/>
  <c r="I28" i="8"/>
  <c r="AK27" i="8"/>
  <c r="AH27" i="8"/>
  <c r="R28" i="8"/>
  <c r="AI27" i="8"/>
  <c r="AJ27" i="8"/>
  <c r="P30" i="8"/>
  <c r="Q30" i="8" l="1"/>
  <c r="U29" i="8"/>
  <c r="L30" i="8"/>
  <c r="M30" i="8"/>
  <c r="O30" i="8"/>
  <c r="P31" i="8" s="1"/>
  <c r="K30" i="8"/>
  <c r="G29" i="8"/>
  <c r="H29" i="8"/>
  <c r="I29" i="8"/>
  <c r="F29" i="8"/>
  <c r="Y28" i="8"/>
  <c r="X28" i="8"/>
  <c r="W28" i="8"/>
  <c r="V28" i="8"/>
  <c r="J30" i="8"/>
  <c r="AB29" i="8"/>
  <c r="AA29" i="8"/>
  <c r="Z29" i="8"/>
  <c r="AC29" i="8"/>
  <c r="AG29" i="8"/>
  <c r="AD29" i="8"/>
  <c r="AF29" i="8"/>
  <c r="N30" i="8"/>
  <c r="AE29" i="8"/>
  <c r="R29" i="8"/>
  <c r="AK28" i="8"/>
  <c r="AJ28" i="8"/>
  <c r="AI28" i="8"/>
  <c r="AH28" i="8"/>
  <c r="S29" i="8"/>
  <c r="L31" i="8" l="1"/>
  <c r="O31" i="8"/>
  <c r="P32" i="8" s="1"/>
  <c r="K31" i="8"/>
  <c r="H30" i="8"/>
  <c r="S30" i="8"/>
  <c r="T30" i="8"/>
  <c r="I30" i="8"/>
  <c r="Y29" i="8"/>
  <c r="F30" i="8"/>
  <c r="X29" i="8"/>
  <c r="W29" i="8"/>
  <c r="V29" i="8"/>
  <c r="N31" i="8"/>
  <c r="AG30" i="8"/>
  <c r="AF30" i="8"/>
  <c r="AE30" i="8"/>
  <c r="AD30" i="8"/>
  <c r="AK29" i="8"/>
  <c r="R30" i="8"/>
  <c r="S31" i="8" s="1"/>
  <c r="AJ29" i="8"/>
  <c r="AI29" i="8"/>
  <c r="AH29" i="8"/>
  <c r="Z30" i="8"/>
  <c r="AC30" i="8"/>
  <c r="J31" i="8"/>
  <c r="AB30" i="8"/>
  <c r="AA30" i="8"/>
  <c r="U30" i="8"/>
  <c r="G30" i="8"/>
  <c r="M31" i="8"/>
  <c r="Q31" i="8"/>
  <c r="H31" i="8" l="1"/>
  <c r="L32" i="8"/>
  <c r="T31" i="8"/>
  <c r="T32" i="8" s="1"/>
  <c r="Y30" i="8"/>
  <c r="V30" i="8"/>
  <c r="X30" i="8"/>
  <c r="F31" i="8"/>
  <c r="W30" i="8"/>
  <c r="M32" i="8"/>
  <c r="AC31" i="8"/>
  <c r="Z31" i="8"/>
  <c r="AB31" i="8"/>
  <c r="J32" i="8"/>
  <c r="AA31" i="8"/>
  <c r="U31" i="8"/>
  <c r="AG31" i="8"/>
  <c r="N32" i="8"/>
  <c r="AF31" i="8"/>
  <c r="AE31" i="8"/>
  <c r="AD31" i="8"/>
  <c r="I31" i="8"/>
  <c r="Q32" i="8"/>
  <c r="Q33" i="8" s="1"/>
  <c r="P33" i="8"/>
  <c r="P34" i="8" s="1"/>
  <c r="AK30" i="8"/>
  <c r="AH30" i="8"/>
  <c r="AJ30" i="8"/>
  <c r="R31" i="8"/>
  <c r="S32" i="8" s="1"/>
  <c r="AI30" i="8"/>
  <c r="G31" i="8"/>
  <c r="K32" i="8"/>
  <c r="O32" i="8"/>
  <c r="O33" i="8" s="1"/>
  <c r="I32" i="8" l="1"/>
  <c r="T33" i="8"/>
  <c r="G32" i="8"/>
  <c r="J33" i="8"/>
  <c r="AC32" i="8"/>
  <c r="AB32" i="8"/>
  <c r="AA32" i="8"/>
  <c r="Z32" i="8"/>
  <c r="K33" i="8"/>
  <c r="K34" i="8" s="1"/>
  <c r="F32" i="8"/>
  <c r="V31" i="8"/>
  <c r="Y31" i="8"/>
  <c r="X31" i="8"/>
  <c r="W31" i="8"/>
  <c r="M33" i="8"/>
  <c r="AG32" i="8"/>
  <c r="AD32" i="8"/>
  <c r="AF32" i="8"/>
  <c r="N33" i="8"/>
  <c r="O34" i="8" s="1"/>
  <c r="P35" i="8" s="1"/>
  <c r="AE32" i="8"/>
  <c r="R32" i="8"/>
  <c r="AJ31" i="8"/>
  <c r="AI31" i="8"/>
  <c r="AH31" i="8"/>
  <c r="AK31" i="8"/>
  <c r="L33" i="8"/>
  <c r="U32" i="8"/>
  <c r="H32" i="8"/>
  <c r="H33" i="8" l="1"/>
  <c r="Y32" i="8"/>
  <c r="F33" i="8"/>
  <c r="X32" i="8"/>
  <c r="W32" i="8"/>
  <c r="V32" i="8"/>
  <c r="G33" i="8"/>
  <c r="G34" i="8" s="1"/>
  <c r="U33" i="8"/>
  <c r="L34" i="8"/>
  <c r="L35" i="8" s="1"/>
  <c r="M34" i="8"/>
  <c r="AH32" i="8"/>
  <c r="AK32" i="8"/>
  <c r="R33" i="8"/>
  <c r="AJ32" i="8"/>
  <c r="AI32" i="8"/>
  <c r="N34" i="8"/>
  <c r="AD33" i="8"/>
  <c r="AG33" i="8"/>
  <c r="AF33" i="8"/>
  <c r="AE33" i="8"/>
  <c r="I33" i="8"/>
  <c r="S33" i="8"/>
  <c r="Q34" i="8"/>
  <c r="AC33" i="8"/>
  <c r="J34" i="8"/>
  <c r="K35" i="8" s="1"/>
  <c r="AB33" i="8"/>
  <c r="AA33" i="8"/>
  <c r="Z33" i="8"/>
  <c r="M35" i="8" l="1"/>
  <c r="L36" i="8"/>
  <c r="H34" i="8"/>
  <c r="H35" i="8" s="1"/>
  <c r="I34" i="8"/>
  <c r="U34" i="8"/>
  <c r="AC34" i="8"/>
  <c r="Z34" i="8"/>
  <c r="J35" i="8"/>
  <c r="AA34" i="8"/>
  <c r="AB34" i="8"/>
  <c r="Y33" i="8"/>
  <c r="V33" i="8"/>
  <c r="X33" i="8"/>
  <c r="F34" i="8"/>
  <c r="G35" i="8" s="1"/>
  <c r="W33" i="8"/>
  <c r="AE34" i="8"/>
  <c r="AG34" i="8"/>
  <c r="N35" i="8"/>
  <c r="AF34" i="8"/>
  <c r="AD34" i="8"/>
  <c r="O35" i="8"/>
  <c r="Q35" i="8"/>
  <c r="AK33" i="8"/>
  <c r="AH33" i="8"/>
  <c r="AJ33" i="8"/>
  <c r="R34" i="8"/>
  <c r="AI33" i="8"/>
  <c r="S34" i="8"/>
  <c r="T34" i="8"/>
  <c r="H36" i="8" l="1"/>
  <c r="Q36" i="8"/>
  <c r="T35" i="8"/>
  <c r="S35" i="8"/>
  <c r="J36" i="8"/>
  <c r="AC35" i="8"/>
  <c r="AB35" i="8"/>
  <c r="AA35" i="8"/>
  <c r="Z35" i="8"/>
  <c r="O36" i="8"/>
  <c r="O37" i="8" s="1"/>
  <c r="P36" i="8"/>
  <c r="R35" i="8"/>
  <c r="S36" i="8" s="1"/>
  <c r="AK34" i="8"/>
  <c r="AJ34" i="8"/>
  <c r="AI34" i="8"/>
  <c r="AH34" i="8"/>
  <c r="U35" i="8"/>
  <c r="F35" i="8"/>
  <c r="G36" i="8" s="1"/>
  <c r="Y34" i="8"/>
  <c r="X34" i="8"/>
  <c r="W34" i="8"/>
  <c r="V34" i="8"/>
  <c r="K36" i="8"/>
  <c r="AG35" i="8"/>
  <c r="AD35" i="8"/>
  <c r="AF35" i="8"/>
  <c r="N36" i="8"/>
  <c r="AE35" i="8"/>
  <c r="M36" i="8"/>
  <c r="I35" i="8"/>
  <c r="P37" i="8" l="1"/>
  <c r="P38" i="8" s="1"/>
  <c r="I36" i="8"/>
  <c r="Q37" i="8"/>
  <c r="T36" i="8"/>
  <c r="T37" i="8" s="1"/>
  <c r="K37" i="8"/>
  <c r="L37" i="8"/>
  <c r="M37" i="8"/>
  <c r="N37" i="8"/>
  <c r="AG36" i="8"/>
  <c r="AF36" i="8"/>
  <c r="AE36" i="8"/>
  <c r="AD36" i="8"/>
  <c r="F36" i="8"/>
  <c r="X35" i="8"/>
  <c r="W35" i="8"/>
  <c r="V35" i="8"/>
  <c r="Y35" i="8"/>
  <c r="AC36" i="8"/>
  <c r="J37" i="8"/>
  <c r="AB36" i="8"/>
  <c r="AA36" i="8"/>
  <c r="Z36" i="8"/>
  <c r="AK35" i="8"/>
  <c r="R36" i="8"/>
  <c r="AJ35" i="8"/>
  <c r="AI35" i="8"/>
  <c r="AH35" i="8"/>
  <c r="U36" i="8"/>
  <c r="H37" i="8"/>
  <c r="I37" i="8" l="1"/>
  <c r="L38" i="8"/>
  <c r="U37" i="8"/>
  <c r="N38" i="8"/>
  <c r="AF37" i="8"/>
  <c r="AE37" i="8"/>
  <c r="AD37" i="8"/>
  <c r="AG37" i="8"/>
  <c r="AC37" i="8"/>
  <c r="Z37" i="8"/>
  <c r="AB37" i="8"/>
  <c r="J38" i="8"/>
  <c r="AA37" i="8"/>
  <c r="M38" i="8"/>
  <c r="G37" i="8"/>
  <c r="K38" i="8"/>
  <c r="O38" i="8"/>
  <c r="Y36" i="8"/>
  <c r="V36" i="8"/>
  <c r="X36" i="8"/>
  <c r="F37" i="8"/>
  <c r="W36" i="8"/>
  <c r="T38" i="8"/>
  <c r="AK36" i="8"/>
  <c r="AH36" i="8"/>
  <c r="R37" i="8"/>
  <c r="AI36" i="8"/>
  <c r="AJ36" i="8"/>
  <c r="Q38" i="8"/>
  <c r="S37" i="8"/>
  <c r="S38" i="8" l="1"/>
  <c r="F38" i="8"/>
  <c r="Y37" i="8"/>
  <c r="X37" i="8"/>
  <c r="W37" i="8"/>
  <c r="V37" i="8"/>
  <c r="AB38" i="8"/>
  <c r="G9" i="13" s="1"/>
  <c r="AA38" i="8"/>
  <c r="G12" i="13" s="1"/>
  <c r="Z38" i="8"/>
  <c r="G11" i="13" s="1"/>
  <c r="AC38" i="8"/>
  <c r="G10" i="13" s="1"/>
  <c r="U38" i="8"/>
  <c r="R38" i="8"/>
  <c r="AK37" i="8"/>
  <c r="AJ37" i="8"/>
  <c r="AI37" i="8"/>
  <c r="AH37" i="8"/>
  <c r="G38" i="8"/>
  <c r="AG38" i="8"/>
  <c r="H10" i="13" s="1"/>
  <c r="AD38" i="8"/>
  <c r="H11" i="13" s="1"/>
  <c r="AF38" i="8"/>
  <c r="H9" i="13" s="1"/>
  <c r="AE38" i="8"/>
  <c r="H12" i="13" s="1"/>
  <c r="H38" i="8"/>
  <c r="I38" i="8"/>
  <c r="AK38" i="8" l="1"/>
  <c r="I10" i="13" s="1"/>
  <c r="AJ38" i="8"/>
  <c r="I9" i="13" s="1"/>
  <c r="AI38" i="8"/>
  <c r="I12" i="13" s="1"/>
  <c r="AH38" i="8"/>
  <c r="I11" i="13" s="1"/>
  <c r="Y38" i="8"/>
  <c r="F10" i="13" s="1"/>
  <c r="F14" i="13" s="1"/>
  <c r="X38" i="8"/>
  <c r="F9" i="13" s="1"/>
  <c r="F13" i="13" s="1"/>
  <c r="W38" i="8"/>
  <c r="F12" i="13" s="1"/>
  <c r="V38" i="8"/>
  <c r="F11" i="13" s="1"/>
  <c r="I14" i="13" l="1"/>
  <c r="H14" i="13"/>
  <c r="G13" i="13"/>
  <c r="H13" i="13"/>
  <c r="G14" i="13"/>
  <c r="I13" i="13"/>
  <c r="I15" i="13" l="1"/>
  <c r="H15" i="13"/>
  <c r="G15" i="13"/>
</calcChain>
</file>

<file path=xl/sharedStrings.xml><?xml version="1.0" encoding="utf-8"?>
<sst xmlns="http://schemas.openxmlformats.org/spreadsheetml/2006/main" count="283" uniqueCount="189">
  <si>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</si>
  <si>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</si>
  <si>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</si>
  <si>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</si>
  <si>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</si>
  <si>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</si>
  <si>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</si>
  <si>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</si>
  <si>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</si>
  <si>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</si>
  <si>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</si>
  <si>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</si>
  <si>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</si>
  <si>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</si>
  <si>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</si>
  <si>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</si>
  <si>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</si>
  <si>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</si>
  <si>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</si>
  <si>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</si>
  <si>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</si>
  <si>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</si>
  <si>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</si>
  <si>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N</t>
  </si>
  <si>
    <t>model_settings!F14</t>
  </si>
  <si>
    <t>n_cycles</t>
  </si>
  <si>
    <t>model_settings!F15</t>
  </si>
  <si>
    <t>n_states</t>
  </si>
  <si>
    <t>model_settings!F16</t>
  </si>
  <si>
    <t>n_parameters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</si>
  <si>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</si>
  <si>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</si>
  <si>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</si>
  <si>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</si>
  <si>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</si>
  <si>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</si>
  <si>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</si>
  <si>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</si>
  <si>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</si>
  <si>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</si>
  <si>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</si>
  <si>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</si>
  <si>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</si>
  <si>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</si>
  <si>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transition_probability</t>
  </si>
  <si>
    <t>input_parameters!O9</t>
  </si>
  <si>
    <t>input_parameters!O10</t>
  </si>
  <si>
    <t>input_parameters!O11</t>
  </si>
  <si>
    <t>utility</t>
  </si>
  <si>
    <t>normal</t>
  </si>
  <si>
    <t>input_parameters!O12</t>
  </si>
  <si>
    <t>fixed</t>
  </si>
  <si>
    <t>input_parameters!O13</t>
  </si>
  <si>
    <t>one_off_cost</t>
  </si>
  <si>
    <t>input_parameters!O14</t>
  </si>
  <si>
    <t>cost</t>
  </si>
  <si>
    <t>input_parameters!O15</t>
  </si>
  <si>
    <t>input_parameters!O16</t>
  </si>
  <si>
    <t>cycle</t>
  </si>
  <si>
    <t>setting_names</t>
  </si>
  <si>
    <t>settings</t>
  </si>
  <si>
    <t>n cycles</t>
  </si>
  <si>
    <t>n states</t>
  </si>
  <si>
    <t>n treatments</t>
  </si>
  <si>
    <t>Result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</si>
  <si>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</si>
  <si>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</si>
  <si>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</si>
  <si>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</si>
  <si>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</si>
  <si>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</si>
  <si>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</si>
  <si>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</si>
  <si>
    <t>Probability_1st_revision_cemented</t>
  </si>
  <si>
    <t>Probability of 1st revision if using cemented, follows a normal distribution</t>
  </si>
  <si>
    <t>Probability_1st_revision_uncemented</t>
  </si>
  <si>
    <t>Probability of 1st revision if using uncemented, follows a normal distribution</t>
  </si>
  <si>
    <t>Probability_1st_revision_hybrid</t>
  </si>
  <si>
    <t>Probability of 1st revision if using hybrid, follows a normal distribution</t>
  </si>
  <si>
    <t>Probability_1st_revision_reverse_hybrid</t>
  </si>
  <si>
    <t>Probability of 1st revision if using reverse_hybrid, follows a normal distribution</t>
  </si>
  <si>
    <t>Probability_2nd_revision</t>
  </si>
  <si>
    <t>Probability of 2nd revision, follows a normal distribution</t>
  </si>
  <si>
    <t>Probability_death</t>
  </si>
  <si>
    <t>Probability of death, follows a normal distribution</t>
  </si>
  <si>
    <t>cost_1st_revision_cemented</t>
  </si>
  <si>
    <t>Cost of revision of post THR state if using cemented, follows a normal distribution, with fixed revision cost and normally distributed probability</t>
  </si>
  <si>
    <t>input_parameters!O17</t>
  </si>
  <si>
    <t>cost_1st_revision_uncemented</t>
  </si>
  <si>
    <t>Cost of revision of post THR state if using uncemented, follows a normal distribution, with fixed revision cost and normally distributed probability</t>
  </si>
  <si>
    <t>input_parameters!O18</t>
  </si>
  <si>
    <t>cost_1st_revision_hybrid</t>
  </si>
  <si>
    <t>Cost of revision of post THR state if using hybrid, follows a normal distribution, with fixed revision cost and normally distributed probability</t>
  </si>
  <si>
    <t>input_parameters!O19</t>
  </si>
  <si>
    <t>cost_1st_revision_reverse_hybrid</t>
  </si>
  <si>
    <t>Cost of revision of post THR state if using reverse_hybrid, follows a normal distribution, with fixed revision cost and normally distributed probability</t>
  </si>
  <si>
    <t>input_parameters!O20</t>
  </si>
  <si>
    <t>cost_2nd_revision</t>
  </si>
  <si>
    <t>Cost of revision of post 1st revision state, follows a normal distribution, with fixed revision cost and normally distributed probability</t>
  </si>
  <si>
    <t>input_parameters!O21</t>
  </si>
  <si>
    <t>cost_higher_revision</t>
  </si>
  <si>
    <t>Cost of revision of post 2nd revision state, follows a normal distribution, with fixed revision cost and normally distributed probability</t>
  </si>
  <si>
    <t>input_parameters!O22</t>
  </si>
  <si>
    <t>state_utility_post_thr</t>
  </si>
  <si>
    <t xml:space="preserve">Utility of post THR state, follows a normal distribution </t>
  </si>
  <si>
    <t>input_parameters!O23</t>
  </si>
  <si>
    <t>state_utility_post_1st_rev</t>
  </si>
  <si>
    <t xml:space="preserve">Utility of post 1st revision state, follows a normal distribution </t>
  </si>
  <si>
    <t>input_parameters!O24</t>
  </si>
  <si>
    <t>state_utility_post_2nd_rev</t>
  </si>
  <si>
    <t xml:space="preserve">Utility of post 2nd revision state, follows a normal distribution </t>
  </si>
  <si>
    <t>input_parameters!O25</t>
  </si>
  <si>
    <t>state_utility_dead</t>
  </si>
  <si>
    <t>Utility of death, fixed value and model assumes no cost</t>
  </si>
  <si>
    <t>input_parameters!O26</t>
  </si>
  <si>
    <t>implant_cost_cemented</t>
  </si>
  <si>
    <t>Cost ofcemented, fixed value</t>
  </si>
  <si>
    <t>input_parameters!O27</t>
  </si>
  <si>
    <t>implant_cost_uncemented</t>
  </si>
  <si>
    <t>Cost ofuncemented, fixed value</t>
  </si>
  <si>
    <t>input_parameters!O28</t>
  </si>
  <si>
    <t>implant_cost_hybrid</t>
  </si>
  <si>
    <t>Cost ofhybrid, fixed value</t>
  </si>
  <si>
    <t>input_parameters!O29</t>
  </si>
  <si>
    <t>implant_cost_reverse_hybrid</t>
  </si>
  <si>
    <t>Cost ofreverse_hybrid, fixed value</t>
  </si>
  <si>
    <t>input_parameters!O30</t>
  </si>
  <si>
    <t>cemented_post_thr</t>
  </si>
  <si>
    <t>cemented_post_1st_rev</t>
  </si>
  <si>
    <t>cemented_post_2nd_rev</t>
  </si>
  <si>
    <t>cemented_dead</t>
  </si>
  <si>
    <t>uncemented_post_thr</t>
  </si>
  <si>
    <t>uncemented_post_1st_rev</t>
  </si>
  <si>
    <t>uncemented_post_2nd_rev</t>
  </si>
  <si>
    <t>uncemented_dead</t>
  </si>
  <si>
    <t>hybrid_post_thr</t>
  </si>
  <si>
    <t>hybrid_post_1st_rev</t>
  </si>
  <si>
    <t>hybrid_post_2nd_rev</t>
  </si>
  <si>
    <t>hybrid_dead</t>
  </si>
  <si>
    <t>reverse_hybrid_post_thr</t>
  </si>
  <si>
    <t>reverse_hybrid_post_1st_rev</t>
  </si>
  <si>
    <t>reverse_hybrid_post_2nd_rev</t>
  </si>
  <si>
    <t>reverse_hybrid_dead</t>
  </si>
  <si>
    <t>cemented Undiscounted Costs</t>
  </si>
  <si>
    <t>cemented Undiscounted QALYs</t>
  </si>
  <si>
    <t>cemented Discounted Costs</t>
  </si>
  <si>
    <t>cemented Discounted QALYs</t>
  </si>
  <si>
    <t>uncemented Undiscounted Costs</t>
  </si>
  <si>
    <t>uncemented Undiscounted QALYs</t>
  </si>
  <si>
    <t>uncemented Discounted Costs</t>
  </si>
  <si>
    <t>uncemented Discounted QALYs</t>
  </si>
  <si>
    <t>hybrid Undiscounted Costs</t>
  </si>
  <si>
    <t>hybrid Undiscounted QALYs</t>
  </si>
  <si>
    <t>hybrid Discounted Costs</t>
  </si>
  <si>
    <t>hybrid Discounted QALYs</t>
  </si>
  <si>
    <t>reverse_hybrid Undiscounted Costs</t>
  </si>
  <si>
    <t>reverse_hybrid Undiscounted QALYs</t>
  </si>
  <si>
    <t>reverse_hybrid Discounted Costs</t>
  </si>
  <si>
    <t>reverse_hybrid Discounted QALYs</t>
  </si>
  <si>
    <t>1</t>
  </si>
  <si>
    <t>cemented</t>
  </si>
  <si>
    <t>30</t>
  </si>
  <si>
    <t>4</t>
  </si>
  <si>
    <t>22</t>
  </si>
  <si>
    <t>uncemented</t>
  </si>
  <si>
    <t>hybrid</t>
  </si>
  <si>
    <t>reverse_hybrid</t>
  </si>
  <si>
    <t>1289.11 (1236.04, 1349.39)</t>
  </si>
  <si>
    <t>7.149 (6.499, 7.922)</t>
  </si>
  <si>
    <t>1548.11 (1456.42, 1653.67)</t>
  </si>
  <si>
    <t>9.978 (8.866, 11.338)</t>
  </si>
  <si>
    <t>2731.14 (2694.55, 2771.39)</t>
  </si>
  <si>
    <t>7.174 (6.513, 7.961)</t>
  </si>
  <si>
    <t>2900.18 (2836.60, 2971.91)</t>
  </si>
  <si>
    <t>10.020 (8.890, 11.393)</t>
  </si>
  <si>
    <t>1442.03 (1406.07, 1474.96)</t>
  </si>
  <si>
    <t>0.024 (0.012, 0.040)</t>
  </si>
  <si>
    <t>2019.59 (1971.63, 2072.19)</t>
  </si>
  <si>
    <t>7.164 (6.508, 7.948)</t>
  </si>
  <si>
    <t>2225.93 (2144.94, 2317.84)</t>
  </si>
  <si>
    <t>10.002 (8.882, 11.366)</t>
  </si>
  <si>
    <t>730.48 (696.24, 761.30)</t>
  </si>
  <si>
    <t>0.014 (0.006, 0.024)</t>
  </si>
  <si>
    <t>1901.84 (1853.05, 1956.66)</t>
  </si>
  <si>
    <t>7.159 (6.505, 7.941)</t>
  </si>
  <si>
    <t>2124.06 (2039.87, 2217.64)</t>
  </si>
  <si>
    <t>9.995 (8.878, 11.351)</t>
  </si>
  <si>
    <t>612.74 (578.24, 646.10)</t>
  </si>
  <si>
    <t>0.010 (0.004, 0.018)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</si>
</sst>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640080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640080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54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FCAA54BB-9ED1-31F4-A2EB-6EAA0150C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P30"/>
  <sheetViews>
    <sheetView topLeftCell="D1" workbookViewId="0">
      <selection activeCell="O16" sqref="O16"/>
    </sheetView>
  </sheetViews>
  <sheetFormatPr defaultColWidth="10.9453125" defaultRowHeight="14.4" x14ac:dyDescent="0.55000000000000004"/>
  <cols>
    <col min="5" max="5" width="31.578125" customWidth="1"/>
    <col min="6" max="6" width="13.3125" customWidth="1"/>
  </cols>
  <sheetData>
    <row r="8" spans="5:16" x14ac:dyDescent="0.55000000000000004">
      <c r="E8" t="s">
        <v>33</v>
      </c>
      <c r="F8" t="s">
        <v>34</v>
      </c>
      <c r="G8" t="s">
        <v>35</v>
      </c>
      <c r="H8" t="s">
        <v>36</v>
      </c>
      <c r="I8" t="s">
        <v>37</v>
      </c>
      <c r="J8" t="s">
        <v>38</v>
      </c>
      <c r="K8" t="s">
        <v>39</v>
      </c>
      <c r="L8" t="s">
        <v>40</v>
      </c>
      <c r="M8" t="s">
        <v>41</v>
      </c>
      <c r="N8" t="s">
        <v>42</v>
      </c>
      <c r="O8" t="s">
        <v>43</v>
      </c>
      <c r="P8" t="s">
        <v>7</v>
      </c>
    </row>
    <row r="9" spans="5:16" x14ac:dyDescent="0.55000000000000004">
      <c r="E9" t="s">
        <v>73</v>
      </c>
      <c r="F9" t="s">
        <v>74</v>
      </c>
      <c r="G9" t="s">
        <v>44</v>
      </c>
      <c r="H9" t="s">
        <v>49</v>
      </c>
      <c r="I9">
        <v>4.7000000000000002E-3</v>
      </c>
      <c r="J9">
        <v>1.4535706731701799E-4</v>
      </c>
      <c r="K9">
        <v>1</v>
      </c>
      <c r="L9">
        <v>2</v>
      </c>
      <c r="M9">
        <v>1</v>
      </c>
      <c r="N9">
        <v>1</v>
      </c>
      <c r="O9">
        <f t="shared" ref="O9:O25" ca="1" si="0">_xlfn.NORM.INV(RAND(), I9, J9)</f>
        <v>4.6095432682359948E-3</v>
      </c>
      <c r="P9" t="s">
        <v>45</v>
      </c>
    </row>
    <row r="10" spans="5:16" x14ac:dyDescent="0.55000000000000004">
      <c r="E10" t="s">
        <v>75</v>
      </c>
      <c r="F10" t="s">
        <v>76</v>
      </c>
      <c r="G10" t="s">
        <v>44</v>
      </c>
      <c r="H10" t="s">
        <v>49</v>
      </c>
      <c r="I10">
        <v>3.0000000000000001E-3</v>
      </c>
      <c r="J10">
        <v>9.2860360290372706E-5</v>
      </c>
      <c r="K10">
        <v>1</v>
      </c>
      <c r="L10">
        <v>2</v>
      </c>
      <c r="M10">
        <v>2</v>
      </c>
      <c r="N10">
        <v>1</v>
      </c>
      <c r="O10">
        <f t="shared" ca="1" si="0"/>
        <v>3.113788591679623E-3</v>
      </c>
      <c r="P10" t="s">
        <v>46</v>
      </c>
    </row>
    <row r="11" spans="5:16" x14ac:dyDescent="0.55000000000000004">
      <c r="E11" t="s">
        <v>77</v>
      </c>
      <c r="F11" t="s">
        <v>78</v>
      </c>
      <c r="G11" t="s">
        <v>44</v>
      </c>
      <c r="H11" t="s">
        <v>49</v>
      </c>
      <c r="I11">
        <v>3.7000000000000002E-3</v>
      </c>
      <c r="J11">
        <v>1.14487542807599E-4</v>
      </c>
      <c r="K11">
        <v>1</v>
      </c>
      <c r="L11">
        <v>2</v>
      </c>
      <c r="M11">
        <v>3</v>
      </c>
      <c r="N11">
        <v>1</v>
      </c>
      <c r="O11">
        <f t="shared" ca="1" si="0"/>
        <v>3.7198028878527522E-3</v>
      </c>
      <c r="P11" t="s">
        <v>47</v>
      </c>
    </row>
    <row r="12" spans="5:16" x14ac:dyDescent="0.55000000000000004">
      <c r="E12" t="s">
        <v>79</v>
      </c>
      <c r="F12" t="s">
        <v>80</v>
      </c>
      <c r="G12" t="s">
        <v>44</v>
      </c>
      <c r="H12" t="s">
        <v>49</v>
      </c>
      <c r="I12">
        <v>4.0000000000000001E-3</v>
      </c>
      <c r="J12">
        <v>1.2375166867040899E-4</v>
      </c>
      <c r="K12">
        <v>1</v>
      </c>
      <c r="L12">
        <v>2</v>
      </c>
      <c r="M12">
        <v>4</v>
      </c>
      <c r="N12">
        <v>1</v>
      </c>
      <c r="O12">
        <f t="shared" ca="1" si="0"/>
        <v>3.9829358776407447E-3</v>
      </c>
      <c r="P12" t="s">
        <v>50</v>
      </c>
    </row>
    <row r="13" spans="5:16" x14ac:dyDescent="0.55000000000000004">
      <c r="E13" t="s">
        <v>81</v>
      </c>
      <c r="F13" t="s">
        <v>82</v>
      </c>
      <c r="G13" t="s">
        <v>44</v>
      </c>
      <c r="H13" t="s">
        <v>49</v>
      </c>
      <c r="I13">
        <v>4.2000000000000003E-2</v>
      </c>
      <c r="J13">
        <v>3.0006931757226101E-3</v>
      </c>
      <c r="K13">
        <v>2</v>
      </c>
      <c r="L13">
        <v>3</v>
      </c>
      <c r="N13">
        <v>2</v>
      </c>
      <c r="O13">
        <f t="shared" ca="1" si="0"/>
        <v>4.3907222346077697E-2</v>
      </c>
      <c r="P13" t="s">
        <v>52</v>
      </c>
    </row>
    <row r="14" spans="5:16" x14ac:dyDescent="0.55000000000000004">
      <c r="E14" t="s">
        <v>83</v>
      </c>
      <c r="F14" t="s">
        <v>84</v>
      </c>
      <c r="G14" t="s">
        <v>44</v>
      </c>
      <c r="H14" t="s">
        <v>49</v>
      </c>
      <c r="I14">
        <v>6.6000000000000003E-2</v>
      </c>
      <c r="J14">
        <v>6.6E-3</v>
      </c>
      <c r="K14">
        <v>1</v>
      </c>
      <c r="L14">
        <v>4</v>
      </c>
      <c r="N14">
        <v>1</v>
      </c>
      <c r="O14">
        <f t="shared" ca="1" si="0"/>
        <v>7.6507378575107046E-2</v>
      </c>
      <c r="P14" t="s">
        <v>54</v>
      </c>
    </row>
    <row r="15" spans="5:16" x14ac:dyDescent="0.55000000000000004">
      <c r="E15" t="s">
        <v>83</v>
      </c>
      <c r="F15" t="s">
        <v>84</v>
      </c>
      <c r="G15" t="s">
        <v>44</v>
      </c>
      <c r="H15" t="s">
        <v>49</v>
      </c>
      <c r="I15">
        <v>6.6000000000000003E-2</v>
      </c>
      <c r="J15">
        <v>6.6E-3</v>
      </c>
      <c r="K15">
        <v>2</v>
      </c>
      <c r="L15">
        <v>4</v>
      </c>
      <c r="N15">
        <v>2</v>
      </c>
      <c r="O15">
        <f t="shared" ca="1" si="0"/>
        <v>6.7960830741509076E-2</v>
      </c>
      <c r="P15" t="s">
        <v>56</v>
      </c>
    </row>
    <row r="16" spans="5:16" x14ac:dyDescent="0.55000000000000004">
      <c r="E16" t="s">
        <v>83</v>
      </c>
      <c r="F16" t="s">
        <v>84</v>
      </c>
      <c r="G16" t="s">
        <v>44</v>
      </c>
      <c r="H16" t="s">
        <v>49</v>
      </c>
      <c r="I16">
        <v>6.6000000000000003E-2</v>
      </c>
      <c r="J16">
        <v>6.6E-3</v>
      </c>
      <c r="K16">
        <v>3</v>
      </c>
      <c r="L16">
        <v>4</v>
      </c>
      <c r="N16">
        <v>3</v>
      </c>
      <c r="O16">
        <f t="shared" ca="1" si="0"/>
        <v>7.2251783589589724E-2</v>
      </c>
      <c r="P16" t="s">
        <v>57</v>
      </c>
    </row>
    <row r="17" spans="5:16" x14ac:dyDescent="0.55000000000000004">
      <c r="E17" t="s">
        <v>85</v>
      </c>
      <c r="F17" t="s">
        <v>86</v>
      </c>
      <c r="G17" t="s">
        <v>55</v>
      </c>
      <c r="H17" t="s">
        <v>49</v>
      </c>
      <c r="I17">
        <v>42.323264999999999</v>
      </c>
      <c r="J17">
        <v>1.3089331233363799</v>
      </c>
      <c r="M17">
        <v>1</v>
      </c>
      <c r="N17">
        <v>1</v>
      </c>
      <c r="O17">
        <f t="shared" ca="1" si="0"/>
        <v>42.850241728911627</v>
      </c>
      <c r="P17" t="s">
        <v>87</v>
      </c>
    </row>
    <row r="18" spans="5:16" x14ac:dyDescent="0.55000000000000004">
      <c r="E18" t="s">
        <v>88</v>
      </c>
      <c r="F18" t="s">
        <v>89</v>
      </c>
      <c r="G18" t="s">
        <v>55</v>
      </c>
      <c r="H18" t="s">
        <v>49</v>
      </c>
      <c r="I18">
        <v>27.014849999999999</v>
      </c>
      <c r="J18">
        <v>0.83620290139679199</v>
      </c>
      <c r="M18">
        <v>2</v>
      </c>
      <c r="N18">
        <v>1</v>
      </c>
      <c r="O18">
        <f t="shared" ca="1" si="0"/>
        <v>27.787507287097974</v>
      </c>
      <c r="P18" t="s">
        <v>90</v>
      </c>
    </row>
    <row r="19" spans="5:16" x14ac:dyDescent="0.55000000000000004">
      <c r="E19" t="s">
        <v>91</v>
      </c>
      <c r="F19" t="s">
        <v>92</v>
      </c>
      <c r="G19" t="s">
        <v>55</v>
      </c>
      <c r="H19" t="s">
        <v>49</v>
      </c>
      <c r="I19">
        <v>33.318314999999998</v>
      </c>
      <c r="J19">
        <v>1.0309545986052899</v>
      </c>
      <c r="M19">
        <v>3</v>
      </c>
      <c r="N19">
        <v>1</v>
      </c>
      <c r="O19">
        <f t="shared" ca="1" si="0"/>
        <v>33.26137299778906</v>
      </c>
      <c r="P19" t="s">
        <v>93</v>
      </c>
    </row>
    <row r="20" spans="5:16" x14ac:dyDescent="0.55000000000000004">
      <c r="E20" t="s">
        <v>94</v>
      </c>
      <c r="F20" t="s">
        <v>95</v>
      </c>
      <c r="G20" t="s">
        <v>55</v>
      </c>
      <c r="H20" t="s">
        <v>49</v>
      </c>
      <c r="I20">
        <v>36.019799999999996</v>
      </c>
      <c r="J20">
        <v>1.1143775887936</v>
      </c>
      <c r="M20">
        <v>4</v>
      </c>
      <c r="N20">
        <v>1</v>
      </c>
      <c r="O20">
        <f t="shared" ca="1" si="0"/>
        <v>35.191218793488126</v>
      </c>
      <c r="P20" t="s">
        <v>96</v>
      </c>
    </row>
    <row r="21" spans="5:16" x14ac:dyDescent="0.55000000000000004">
      <c r="E21" t="s">
        <v>97</v>
      </c>
      <c r="F21" t="s">
        <v>98</v>
      </c>
      <c r="G21" t="s">
        <v>55</v>
      </c>
      <c r="H21" t="s">
        <v>49</v>
      </c>
      <c r="I21">
        <v>378.2079</v>
      </c>
      <c r="J21">
        <v>27.0210920127234</v>
      </c>
      <c r="N21">
        <v>2</v>
      </c>
      <c r="O21">
        <f t="shared" ca="1" si="0"/>
        <v>358.71886234831379</v>
      </c>
      <c r="P21" t="s">
        <v>99</v>
      </c>
    </row>
    <row r="22" spans="5:16" x14ac:dyDescent="0.55000000000000004">
      <c r="E22" t="s">
        <v>100</v>
      </c>
      <c r="F22" t="s">
        <v>101</v>
      </c>
      <c r="G22" t="s">
        <v>55</v>
      </c>
      <c r="H22" t="s">
        <v>49</v>
      </c>
      <c r="I22">
        <v>504.27719999999999</v>
      </c>
      <c r="J22">
        <v>25.963970294861898</v>
      </c>
      <c r="N22">
        <v>3</v>
      </c>
      <c r="O22">
        <f t="shared" ca="1" si="0"/>
        <v>501.88208035761801</v>
      </c>
      <c r="P22" t="s">
        <v>102</v>
      </c>
    </row>
    <row r="23" spans="5:16" x14ac:dyDescent="0.55000000000000004">
      <c r="E23" t="s">
        <v>103</v>
      </c>
      <c r="F23" t="s">
        <v>104</v>
      </c>
      <c r="G23" t="s">
        <v>48</v>
      </c>
      <c r="H23" t="s">
        <v>49</v>
      </c>
      <c r="I23">
        <v>0.76200000000000001</v>
      </c>
      <c r="J23">
        <v>4.0000000000000001E-3</v>
      </c>
      <c r="N23">
        <v>1</v>
      </c>
      <c r="O23">
        <f t="shared" ca="1" si="0"/>
        <v>0.75639151256538006</v>
      </c>
      <c r="P23" t="s">
        <v>105</v>
      </c>
    </row>
    <row r="24" spans="5:16" x14ac:dyDescent="0.55000000000000004">
      <c r="E24" t="s">
        <v>106</v>
      </c>
      <c r="F24" t="s">
        <v>107</v>
      </c>
      <c r="G24" t="s">
        <v>48</v>
      </c>
      <c r="H24" t="s">
        <v>49</v>
      </c>
      <c r="I24">
        <v>0.57499999999999996</v>
      </c>
      <c r="J24">
        <v>8.9999999999999993E-3</v>
      </c>
      <c r="N24">
        <v>2</v>
      </c>
      <c r="O24">
        <f t="shared" ca="1" si="0"/>
        <v>0.578534027576043</v>
      </c>
      <c r="P24" t="s">
        <v>108</v>
      </c>
    </row>
    <row r="25" spans="5:16" x14ac:dyDescent="0.55000000000000004">
      <c r="E25" t="s">
        <v>109</v>
      </c>
      <c r="F25" t="s">
        <v>110</v>
      </c>
      <c r="G25" t="s">
        <v>48</v>
      </c>
      <c r="H25" t="s">
        <v>49</v>
      </c>
      <c r="I25">
        <v>0.57499999999999996</v>
      </c>
      <c r="J25">
        <v>8.9999999999999993E-3</v>
      </c>
      <c r="N25">
        <v>3</v>
      </c>
      <c r="O25">
        <f t="shared" ca="1" si="0"/>
        <v>0.57225227385892852</v>
      </c>
      <c r="P25" t="s">
        <v>111</v>
      </c>
    </row>
    <row r="26" spans="5:16" x14ac:dyDescent="0.55000000000000004">
      <c r="E26" t="s">
        <v>112</v>
      </c>
      <c r="F26" t="s">
        <v>113</v>
      </c>
      <c r="G26" t="s">
        <v>48</v>
      </c>
      <c r="H26" t="s">
        <v>51</v>
      </c>
      <c r="I26">
        <v>0</v>
      </c>
      <c r="N26">
        <v>4</v>
      </c>
      <c r="O26">
        <f>I26</f>
        <v>0</v>
      </c>
      <c r="P26" t="s">
        <v>114</v>
      </c>
    </row>
    <row r="27" spans="5:16" x14ac:dyDescent="0.55000000000000004">
      <c r="E27" t="s">
        <v>115</v>
      </c>
      <c r="F27" t="s">
        <v>116</v>
      </c>
      <c r="G27" t="s">
        <v>53</v>
      </c>
      <c r="H27" t="s">
        <v>51</v>
      </c>
      <c r="I27">
        <v>756</v>
      </c>
      <c r="M27">
        <v>1</v>
      </c>
      <c r="O27">
        <f>I27</f>
        <v>756</v>
      </c>
      <c r="P27" t="s">
        <v>117</v>
      </c>
    </row>
    <row r="28" spans="5:16" x14ac:dyDescent="0.55000000000000004">
      <c r="E28" t="s">
        <v>118</v>
      </c>
      <c r="F28" t="s">
        <v>119</v>
      </c>
      <c r="G28" t="s">
        <v>53</v>
      </c>
      <c r="H28" t="s">
        <v>51</v>
      </c>
      <c r="I28">
        <v>2386</v>
      </c>
      <c r="M28">
        <v>2</v>
      </c>
      <c r="O28">
        <f>I28</f>
        <v>2386</v>
      </c>
      <c r="P28" t="s">
        <v>120</v>
      </c>
    </row>
    <row r="29" spans="5:16" x14ac:dyDescent="0.55000000000000004">
      <c r="E29" t="s">
        <v>121</v>
      </c>
      <c r="F29" t="s">
        <v>122</v>
      </c>
      <c r="G29" t="s">
        <v>53</v>
      </c>
      <c r="H29" t="s">
        <v>51</v>
      </c>
      <c r="I29">
        <v>1597</v>
      </c>
      <c r="M29">
        <v>3</v>
      </c>
      <c r="O29">
        <f>I29</f>
        <v>1597</v>
      </c>
      <c r="P29" t="s">
        <v>123</v>
      </c>
    </row>
    <row r="30" spans="5:16" x14ac:dyDescent="0.55000000000000004">
      <c r="E30" t="s">
        <v>124</v>
      </c>
      <c r="F30" t="s">
        <v>125</v>
      </c>
      <c r="G30" t="s">
        <v>53</v>
      </c>
      <c r="H30" t="s">
        <v>51</v>
      </c>
      <c r="I30">
        <v>1446</v>
      </c>
      <c r="M30">
        <v>4</v>
      </c>
      <c r="O30">
        <f>I30</f>
        <v>1446</v>
      </c>
      <c r="P30" t="s">
        <v>126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AK38"/>
  <sheetViews>
    <sheetView workbookViewId="0">
      <selection activeCell="F9" sqref="F9"/>
    </sheetView>
  </sheetViews>
  <sheetFormatPr defaultColWidth="10.9453125" defaultRowHeight="14.4" x14ac:dyDescent="0.55000000000000004"/>
  <sheetData>
    <row r="8" spans="5:37" x14ac:dyDescent="0.55000000000000004">
      <c r="E8" t="s">
        <v>58</v>
      </c>
      <c r="F8" t="s">
        <v>127</v>
      </c>
      <c r="G8" t="s">
        <v>128</v>
      </c>
      <c r="H8" t="s">
        <v>129</v>
      </c>
      <c r="I8" t="s">
        <v>130</v>
      </c>
      <c r="J8" t="s">
        <v>131</v>
      </c>
      <c r="K8" t="s">
        <v>132</v>
      </c>
      <c r="L8" t="s">
        <v>133</v>
      </c>
      <c r="M8" t="s">
        <v>134</v>
      </c>
      <c r="N8" t="s">
        <v>135</v>
      </c>
      <c r="O8" t="s">
        <v>136</v>
      </c>
      <c r="P8" t="s">
        <v>137</v>
      </c>
      <c r="Q8" t="s">
        <v>138</v>
      </c>
      <c r="R8" t="s">
        <v>139</v>
      </c>
      <c r="S8" t="s">
        <v>140</v>
      </c>
      <c r="T8" t="s">
        <v>141</v>
      </c>
      <c r="U8" t="s">
        <v>142</v>
      </c>
      <c r="V8" t="s">
        <v>143</v>
      </c>
      <c r="W8" t="s">
        <v>144</v>
      </c>
      <c r="X8" t="s">
        <v>145</v>
      </c>
      <c r="Y8" t="s">
        <v>146</v>
      </c>
      <c r="Z8" t="s">
        <v>147</v>
      </c>
      <c r="AA8" t="s">
        <v>148</v>
      </c>
      <c r="AB8" t="s">
        <v>149</v>
      </c>
      <c r="AC8" t="s">
        <v>150</v>
      </c>
      <c r="AD8" t="s">
        <v>151</v>
      </c>
      <c r="AE8" t="s">
        <v>152</v>
      </c>
      <c r="AF8" t="s">
        <v>153</v>
      </c>
      <c r="AG8" t="s">
        <v>154</v>
      </c>
      <c r="AH8" t="s">
        <v>155</v>
      </c>
      <c r="AI8" t="s">
        <v>156</v>
      </c>
      <c r="AJ8" t="s">
        <v>157</v>
      </c>
      <c r="AK8" t="s">
        <v>158</v>
      </c>
    </row>
    <row r="9" spans="5:37" x14ac:dyDescent="0.55000000000000004">
      <c r="E9">
        <v>1</v>
      </c>
      <c r="F9">
        <f>1</f>
        <v>1</v>
      </c>
      <c r="G9">
        <f>0</f>
        <v>0</v>
      </c>
      <c r="H9">
        <f>0</f>
        <v>0</v>
      </c>
      <c r="I9">
        <f>0</f>
        <v>0</v>
      </c>
      <c r="J9">
        <f>1</f>
        <v>1</v>
      </c>
      <c r="K9">
        <f>0</f>
        <v>0</v>
      </c>
      <c r="L9">
        <f>0</f>
        <v>0</v>
      </c>
      <c r="M9">
        <f>0</f>
        <v>0</v>
      </c>
      <c r="N9">
        <f>1</f>
        <v>1</v>
      </c>
      <c r="O9">
        <f>0</f>
        <v>0</v>
      </c>
      <c r="P9">
        <f>0</f>
        <v>0</v>
      </c>
      <c r="Q9">
        <f>0</f>
        <v>0</v>
      </c>
      <c r="R9">
        <f>1</f>
        <v>1</v>
      </c>
      <c r="S9">
        <f>0</f>
        <v>0</v>
      </c>
      <c r="T9">
        <f>0</f>
        <v>0</v>
      </c>
      <c r="U9">
        <f>0</f>
        <v>0</v>
      </c>
      <c r="V9">
        <f ca="1">input_parameters!O27+F9 * state_costs!E9 + G9 * state_costs!F9 + H9 * state_costs!G9 + I9 * state_costs!H9</f>
        <v>798.85024172891167</v>
      </c>
      <c r="W9">
        <f ca="1">F9 * state_qalys!E9 + G9 * state_qalys!F9 + H9 * state_qalys!G9 + I9 * state_qalys!H9</f>
        <v>0.75639151256538006</v>
      </c>
      <c r="X9">
        <f ca="1">input_parameters!O27+(F9 * state_costs!E9 + G9 * state_costs!F9 + H9 * state_costs!G9 + I9 * state_costs!H9) * (1 / (1 + model_settings!F10)^(1 * model_settings!F9))</f>
        <v>797.40119973807884</v>
      </c>
      <c r="Y9">
        <f ca="1">(F9 * state_qalys!E9 + G9 * state_qalys!F9 + H9 * state_qalys!G9 + I9 * state_qalys!H9) * (1 / (1 + model_settings!F11)^(1 * model_settings!F9))</f>
        <v>0.73081305561872478</v>
      </c>
      <c r="Z9">
        <f ca="1">input_parameters!O28+J9 * state_costs!I9 + K9 * state_costs!J9 + L9 * state_costs!K9 + M9 * state_costs!L9</f>
        <v>2413.7875072870979</v>
      </c>
      <c r="AA9">
        <f ca="1">J9 * state_qalys!I9 + K9 * state_qalys!J9 + L9 * state_qalys!K9 + M9 * state_qalys!L9</f>
        <v>0.75639151256538006</v>
      </c>
      <c r="AB9">
        <f ca="1">input_parameters!O28+(J9 * state_costs!I9 + K9 * state_costs!J9 + L9 * state_costs!K9 + M9 * state_costs!L9) * (1 / (1 + model_settings!F10)^(1 * model_settings!F9))</f>
        <v>2412.847833127631</v>
      </c>
      <c r="AC9">
        <f ca="1">(J9 * state_qalys!I9 + K9 * state_qalys!J9 + L9 * state_qalys!K9 + M9 * state_qalys!L9) * (1 / (1 + model_settings!F11)^(1 * model_settings!F9))</f>
        <v>0.73081305561872478</v>
      </c>
      <c r="AD9">
        <f ca="1">input_parameters!O29+N9 * state_costs!M9 + O9 * state_costs!N9 + P9 * state_costs!O9 + Q9 * state_costs!P9</f>
        <v>1630.2613729977891</v>
      </c>
      <c r="AE9">
        <f ca="1">N9 * state_qalys!M9 + O9 * state_qalys!N9 + P9 * state_qalys!O9 + Q9 * state_qalys!P9</f>
        <v>0.75639151256538006</v>
      </c>
      <c r="AF9">
        <f ca="1">input_parameters!O29+(N9 * state_costs!M9 + O9 * state_costs!N9 + P9 * state_costs!O9 + Q9 * state_costs!P9) * (1 / (1 + model_settings!F10)^(1 * model_settings!F9))</f>
        <v>1629.1365922683951</v>
      </c>
      <c r="AG9">
        <f ca="1">(N9 * state_qalys!M9 + O9 * state_qalys!N9 + P9 * state_qalys!O9 + Q9 * state_qalys!P9) * (1 / (1 + model_settings!F11)^(1 * model_settings!F9))</f>
        <v>0.73081305561872478</v>
      </c>
      <c r="AH9">
        <f ca="1">input_parameters!O30+R9 * state_costs!Q9 + S9 * state_costs!R9 + T9 * state_costs!S9 + U9 * state_costs!T9</f>
        <v>1481.1912187934881</v>
      </c>
      <c r="AI9">
        <f ca="1">R9 * state_qalys!Q9 + S9 * state_qalys!R9 + T9 * state_qalys!S9 + U9 * state_qalys!T9</f>
        <v>0.75639151256538006</v>
      </c>
      <c r="AJ9">
        <f ca="1">input_parameters!O30+(R9 * state_costs!Q9 + S9 * state_costs!R9 + T9 * state_costs!S9 + U9 * state_costs!T9) * (1 / (1 + model_settings!F10)^(1 * model_settings!F9))</f>
        <v>1480.0011775782493</v>
      </c>
      <c r="AK9">
        <f ca="1">(R9 * state_qalys!Q9 + S9 * state_qalys!R9 + T9 * state_qalys!S9 + U9 * state_qalys!T9) * (1 / (1 + model_settings!F11)^(1 * model_settings!F9))</f>
        <v>0.73081305561872478</v>
      </c>
    </row>
    <row r="10" spans="5:37" x14ac:dyDescent="0.55000000000000004">
      <c r="E10">
        <v>2</v>
      </c>
      <c r="F10">
        <f ca="1">F9 * (1 - (input_parameters!O9+input_parameters!O14))</f>
        <v>0.91888307815665693</v>
      </c>
      <c r="G10">
        <f ca="1">G9 * (1 - (input_parameters!O13+input_parameters!O15)) + F9 * input_parameters!O9</f>
        <v>4.6095432682359948E-3</v>
      </c>
      <c r="H10">
        <f ca="1">H9 * (1 - (input_parameters!O16)) + G9 * input_parameters!O13</f>
        <v>0</v>
      </c>
      <c r="I10">
        <f ca="1">I9 * (1 - (0)) + F9 * input_parameters!O14+G9 * input_parameters!O15+H9 * input_parameters!O16</f>
        <v>7.6507378575107046E-2</v>
      </c>
      <c r="J10">
        <f ca="1">J9 * (1 - (input_parameters!O10+input_parameters!O14))</f>
        <v>0.92037883283321331</v>
      </c>
      <c r="K10">
        <f ca="1">K9 * (1 - (input_parameters!O13+input_parameters!O15)) + J9 * input_parameters!O10</f>
        <v>3.113788591679623E-3</v>
      </c>
      <c r="L10">
        <f ca="1">L9 * (1 - (input_parameters!O16)) + K9 * input_parameters!O13</f>
        <v>0</v>
      </c>
      <c r="M10">
        <f ca="1">M9 * (1 - (0)) + J9 * input_parameters!O14+K9 * input_parameters!O15+L9 * input_parameters!O16</f>
        <v>7.6507378575107046E-2</v>
      </c>
      <c r="N10">
        <f ca="1">N9 * (1 - (input_parameters!O11+input_parameters!O14))</f>
        <v>0.91977281853704018</v>
      </c>
      <c r="O10">
        <f ca="1">O9 * (1 - (input_parameters!O13+input_parameters!O15)) + N9 * input_parameters!O11</f>
        <v>3.7198028878527522E-3</v>
      </c>
      <c r="P10">
        <f ca="1">P9 * (1 - (input_parameters!O16)) + O9 * input_parameters!O13</f>
        <v>0</v>
      </c>
      <c r="Q10">
        <f ca="1">Q9 * (1 - (0)) + N9 * input_parameters!O14+O9 * input_parameters!O15+P9 * input_parameters!O16</f>
        <v>7.6507378575107046E-2</v>
      </c>
      <c r="R10">
        <f ca="1">R9 * (1 - (input_parameters!O12+input_parameters!O14))</f>
        <v>0.91950968554725221</v>
      </c>
      <c r="S10">
        <f ca="1">S9 * (1 - (input_parameters!O13+input_parameters!O15)) + R9 * input_parameters!O12</f>
        <v>3.9829358776407447E-3</v>
      </c>
      <c r="T10">
        <f ca="1">T9 * (1 - (input_parameters!O16)) + S9 * input_parameters!O13</f>
        <v>0</v>
      </c>
      <c r="U10">
        <f ca="1">U9 * (1 - (0)) + R9 * input_parameters!O14+S9 * input_parameters!O15+T9 * input_parameters!O16</f>
        <v>7.6507378575107046E-2</v>
      </c>
      <c r="V10">
        <f ca="1">F10 * state_costs!E9 + G10 * state_costs!F9 + H10 * state_costs!G9 + I10 * state_costs!H9</f>
        <v>41.027892136746082</v>
      </c>
      <c r="W10">
        <f ca="1">F10 * state_qalys!E9 + G10 * state_qalys!F9 + H10 * state_qalys!G9 + I10 * state_qalys!H9</f>
        <v>0.69770213898990474</v>
      </c>
      <c r="X10">
        <f ca="1">(F10 * state_costs!E9 + G10 * state_costs!F9 + H10 * state_costs!G9 + I10 * state_costs!H9) * (1 / (1 + model_settings!F10)^(2 * model_settings!F9))</f>
        <v>38.299976323131077</v>
      </c>
      <c r="Y10">
        <f ca="1">(F10 * state_qalys!E9 + G10 * state_qalys!F9 + H10 * state_qalys!G9 + I10 * state_qalys!H9) * (1 / (1 + model_settings!F11)^(2 * model_settings!F9))</f>
        <v>0.65131241241560345</v>
      </c>
      <c r="Z10">
        <f ca="1">J10 * state_costs!I9 + K10 * state_costs!J9 + L10 * state_costs!K9 + M10 * state_costs!L9</f>
        <v>26.692008225444116</v>
      </c>
      <c r="AA10">
        <f ca="1">J10 * state_qalys!I9 + K10 * state_qalys!J9 + L10 * state_qalys!K9 + M10 * state_qalys!L9</f>
        <v>0.69796817015483814</v>
      </c>
      <c r="AB10">
        <f ca="1">(J10 * state_costs!I9 + K10 * state_costs!J9 + L10 * state_costs!K9 + M10 * state_costs!L9) * (1 / (1 + model_settings!F10)^(2 * model_settings!F9))</f>
        <v>24.917275292720127</v>
      </c>
      <c r="AC10">
        <f ca="1">(J10 * state_qalys!I9 + K10 * state_qalys!J9 + L10 * state_qalys!K9 + M10 * state_qalys!L9) * (1 / (1 + model_settings!F11)^(2 * model_settings!F9))</f>
        <v>0.65156075535469971</v>
      </c>
      <c r="AD10">
        <f ca="1">N10 * state_costs!M9 + O10 * state_costs!N9 + P10 * state_costs!O9 + Q10 * state_costs!P9</f>
        <v>31.927270250678756</v>
      </c>
      <c r="AE10">
        <f ca="1">N10 * state_qalys!M9 + O10 * state_qalys!N9 + P10 * state_qalys!O9 + Q10 * state_qalys!P9</f>
        <v>0.69786038597625311</v>
      </c>
      <c r="AF10">
        <f ca="1">(N10 * state_costs!M9 + O10 * state_costs!N9 + P10 * state_costs!O9 + Q10 * state_costs!P9) * (1 / (1 + model_settings!F10)^(2 * model_settings!F9))</f>
        <v>29.804448412498552</v>
      </c>
      <c r="AG10">
        <f ca="1">(N10 * state_qalys!M9 + O10 * state_qalys!N9 + P10 * state_qalys!O9 + Q10 * state_qalys!P9) * (1 / (1 + model_settings!F11)^(2 * model_settings!F9))</f>
        <v>0.65146013767066036</v>
      </c>
      <c r="AH10">
        <f ca="1">R10 * state_costs!Q9 + S10 * state_costs!R9 + T10 * state_costs!S9 + U10 * state_costs!T9</f>
        <v>33.787420753658388</v>
      </c>
      <c r="AI10">
        <f ca="1">R10 * state_qalys!Q9 + S10 * state_qalys!R9 + T10 * state_qalys!S9 + U10 * state_qalys!T9</f>
        <v>0.69781358580447173</v>
      </c>
      <c r="AJ10">
        <f ca="1">(R10 * state_costs!Q9 + S10 * state_costs!R9 + T10 * state_costs!S9 + U10 * state_costs!T9) * (1 / (1 + model_settings!F10)^(2 * model_settings!F9))</f>
        <v>31.540918811321983</v>
      </c>
      <c r="AK10">
        <f ca="1">(R10 * state_qalys!Q9 + S10 * state_qalys!R9 + T10 * state_qalys!S9 + U10 * state_qalys!T9) * (1 / (1 + model_settings!F11)^(2 * model_settings!F9))</f>
        <v>0.65141644920952346</v>
      </c>
    </row>
    <row r="11" spans="5:37" x14ac:dyDescent="0.55000000000000004">
      <c r="E11">
        <v>3</v>
      </c>
      <c r="F11">
        <f ca="1">F10 * (1 - (input_parameters!O9+input_parameters!O14))</f>
        <v>0.84434611132265291</v>
      </c>
      <c r="G11">
        <f ca="1">G10 * (1 - (input_parameters!O13+input_parameters!O15)) + F10 * input_parameters!O9</f>
        <v>8.3295139444084301E-3</v>
      </c>
      <c r="H11">
        <f ca="1">H10 * (1 - (input_parameters!O16)) + G10 * input_parameters!O13</f>
        <v>2.0239224119230348E-4</v>
      </c>
      <c r="I11">
        <f ca="1">I10 * (1 - (0)) + F10 * input_parameters!O14+G10 * input_parameters!O15+H10 * input_parameters!O16</f>
        <v>0.14712198249174632</v>
      </c>
      <c r="J11">
        <f ca="1">J10 * (1 - (input_parameters!O10+input_parameters!O14))</f>
        <v>0.84709719592742805</v>
      </c>
      <c r="K11">
        <f ca="1">K10 * (1 - (input_parameters!O13+input_parameters!O15)) + J10 * input_parameters!O10</f>
        <v>5.6313202339015513E-3</v>
      </c>
      <c r="L11">
        <f ca="1">L10 * (1 - (input_parameters!O16)) + K10 * input_parameters!O13</f>
        <v>1.3671780803355734E-4</v>
      </c>
      <c r="M11">
        <f ca="1">M10 * (1 - (0)) + J10 * input_parameters!O14+K10 * input_parameters!O15+L10 * input_parameters!O16</f>
        <v>0.14713476603063683</v>
      </c>
      <c r="N11">
        <f ca="1">N10 * (1 - (input_parameters!O11+input_parameters!O14))</f>
        <v>0.84598203771957103</v>
      </c>
      <c r="O11">
        <f ca="1">O10 * (1 - (input_parameters!O13+input_parameters!O15)) + N10 * input_parameters!O11</f>
        <v>6.7250493674816288E-3</v>
      </c>
      <c r="P11">
        <f ca="1">P10 * (1 - (input_parameters!O16)) + O10 * input_parameters!O13</f>
        <v>1.6332621248053272E-4</v>
      </c>
      <c r="Q11">
        <f ca="1">Q10 * (1 - (0)) + N10 * input_parameters!O14+O10 * input_parameters!O15+P10 * input_parameters!O16</f>
        <v>0.14712958670046675</v>
      </c>
      <c r="R11">
        <f ca="1">R10 * (1 - (input_parameters!O12+input_parameters!O14))</f>
        <v>0.84549806181520659</v>
      </c>
      <c r="S11">
        <f ca="1">S10 * (1 - (input_parameters!O13+input_parameters!O15)) + R10 * input_parameters!O12</f>
        <v>7.1997207118406868E-3</v>
      </c>
      <c r="T11">
        <f ca="1">T10 * (1 - (input_parameters!O16)) + S10 * input_parameters!O13</f>
        <v>1.748796511697423E-4</v>
      </c>
      <c r="U11">
        <f ca="1">U10 * (1 - (0)) + R10 * input_parameters!O14+S10 * input_parameters!O15+T10 * input_parameters!O16</f>
        <v>0.14712733782178294</v>
      </c>
      <c r="V11">
        <f ca="1">F11 * state_costs!E9 + G11 * state_costs!F9 + H11 * state_costs!G9 + I11 * state_costs!H9</f>
        <v>39.269965778152645</v>
      </c>
      <c r="W11">
        <f ca="1">F11 * state_qalys!E9 + G11 * state_qalys!F9 + H11 * state_qalys!G9 + I11 * state_qalys!H9</f>
        <v>0.64359095894228147</v>
      </c>
      <c r="X11">
        <f ca="1">(F11 * state_costs!E9 + G11 * state_costs!F9 + H11 * state_costs!G9 + I11 * state_costs!H9) * (1 / (1 + model_settings!F10)^(3 * model_settings!F9))</f>
        <v>35.419259185437646</v>
      </c>
      <c r="Y11">
        <f ca="1">(F11 * state_qalys!E9 + G11 * state_qalys!F9 + H11 * state_qalys!G9 + I11 * state_qalys!H9) * (1 / (1 + model_settings!F11)^(3 * model_settings!F9))</f>
        <v>0.58048217085187848</v>
      </c>
      <c r="Z11">
        <f ca="1">J11 * state_costs!I9 + K11 * state_costs!J9 + L11 * state_costs!K9 + M11 * state_costs!L9</f>
        <v>25.627396510455682</v>
      </c>
      <c r="AA11">
        <f ca="1">J11 * state_qalys!I9 + K11 * state_qalys!J9 + L11 * state_qalys!K9 + M11 * state_qalys!L9</f>
        <v>0.64407327676945314</v>
      </c>
      <c r="AB11">
        <f ca="1">(J11 * state_costs!I9 + K11 * state_costs!J9 + L11 * state_costs!K9 + M11 * state_costs!L9) * (1 / (1 + model_settings!F10)^(3 * model_settings!F9))</f>
        <v>23.114443347867631</v>
      </c>
      <c r="AC11">
        <f ca="1">(J11 * state_qalys!I9 + K11 * state_qalys!J9 + L11 * state_qalys!K9 + M11 * state_qalys!L9) * (1 / (1 + model_settings!F11)^(3 * model_settings!F9))</f>
        <v>0.58091719389790963</v>
      </c>
      <c r="AD11">
        <f ca="1">N11 * state_costs!M9 + O11 * state_costs!N9 + P11 * state_costs!O9 + Q11 * state_costs!P9</f>
        <v>30.632896663656222</v>
      </c>
      <c r="AE11">
        <f ca="1">N11 * state_qalys!M9 + O11 * state_qalys!N9 + P11 * state_qalys!O9 + Q11 * state_qalys!P9</f>
        <v>0.64387776680653841</v>
      </c>
      <c r="AF11">
        <f ca="1">(N11 * state_costs!M9 + O11 * state_costs!N9 + P11 * state_costs!O9 + Q11 * state_costs!P9) * (1 / (1 + model_settings!F10)^(3 * model_settings!F9))</f>
        <v>27.629117699267027</v>
      </c>
      <c r="AG11">
        <f ca="1">(N11 * state_qalys!M9 + O11 * state_qalys!N9 + P11 * state_qalys!O9 + Q11 * state_qalys!P9) * (1 / (1 + model_settings!F11)^(3 * model_settings!F9))</f>
        <v>0.58074085511297324</v>
      </c>
      <c r="AH11">
        <f ca="1">R11 * state_costs!Q9 + S11 * state_costs!R9 + T11 * state_costs!S9 + U11 * state_costs!T9</f>
        <v>32.424551868927452</v>
      </c>
      <c r="AI11">
        <f ca="1">R11 * state_qalys!Q9 + S11 * state_qalys!R9 + T11 * state_qalys!S9 + U11 * state_qalys!T9</f>
        <v>0.64379291654637882</v>
      </c>
      <c r="AJ11">
        <f ca="1">(R11 * state_costs!Q9 + S11 * state_costs!R9 + T11 * state_costs!S9 + U11 * state_costs!T9) * (1 / (1 + model_settings!F10)^(3 * model_settings!F9))</f>
        <v>29.245088042733556</v>
      </c>
      <c r="AK11">
        <f ca="1">(R11 * state_qalys!Q9 + S11 * state_qalys!R9 + T11 * state_qalys!S9 + U11 * state_qalys!T9) * (1 / (1 + model_settings!F11)^(3 * model_settings!F9))</f>
        <v>0.5806643250397483</v>
      </c>
    </row>
    <row r="12" spans="5:37" x14ac:dyDescent="0.55000000000000004">
      <c r="E12">
        <v>4</v>
      </c>
      <c r="F12">
        <f ca="1">F11 * (1 - (input_parameters!O9+input_parameters!O14))</f>
        <v>0.77585535380176263</v>
      </c>
      <c r="G12">
        <f ca="1">G11 * (1 - (input_parameters!O13+input_parameters!O15)) + F11 * input_parameters!O9</f>
        <v>1.1289757369790128E-2</v>
      </c>
      <c r="H12">
        <f ca="1">H11 * (1 - (input_parameters!O16)) + G11 * input_parameters!O13</f>
        <v>5.5349486157336069E-4</v>
      </c>
      <c r="I12">
        <f ca="1">I11 * (1 - (0)) + F11 * input_parameters!O14+G11 * input_parameters!O15+H11 * input_parameters!O16</f>
        <v>0.21230139396687386</v>
      </c>
      <c r="J12">
        <f ca="1">J11 * (1 - (input_parameters!O10+input_parameters!O14))</f>
        <v>0.77965032848397409</v>
      </c>
      <c r="K12">
        <f ca="1">K11 * (1 - (input_parameters!O13+input_parameters!O15)) + J11 * input_parameters!O10</f>
        <v>7.6390369877448747E-3</v>
      </c>
      <c r="L12">
        <f ca="1">L11 * (1 - (input_parameters!O16)) + K11 * input_parameters!O13</f>
        <v>3.7409533216655534E-4</v>
      </c>
      <c r="M12">
        <f ca="1">M11 * (1 - (0)) + J11 * input_parameters!O14+K11 * input_parameters!O15+L11 * input_parameters!O16</f>
        <v>0.21233653919611453</v>
      </c>
      <c r="N12">
        <f ca="1">N11 * (1 - (input_parameters!O11+input_parameters!O14))</f>
        <v>0.77811128326503853</v>
      </c>
      <c r="O12">
        <f ca="1">O11 * (1 - (input_parameters!O13+input_parameters!O15)) + N11 * input_parameters!O11</f>
        <v>9.1196176148043689E-3</v>
      </c>
      <c r="P12">
        <f ca="1">P11 * (1 - (input_parameters!O16)) + O11 * input_parameters!O13</f>
        <v>4.4680384018824695E-4</v>
      </c>
      <c r="Q12">
        <f ca="1">Q11 * (1 - (0)) + N11 * input_parameters!O14+O11 * input_parameters!O15+P11 * input_parameters!O16</f>
        <v>0.21232229527996885</v>
      </c>
      <c r="R12">
        <f ca="1">R11 * (1 - (input_parameters!O12+input_parameters!O14))</f>
        <v>0.77744365695051187</v>
      </c>
      <c r="S12">
        <f ca="1">S11 * (1 - (input_parameters!O13+input_parameters!O15)) + R11 * input_parameters!O12</f>
        <v>9.7618665379121932E-3</v>
      </c>
      <c r="T12">
        <f ca="1">T11 * (1 - (input_parameters!O16)) + S11 * input_parameters!O13</f>
        <v>4.7836402258365294E-4</v>
      </c>
      <c r="U12">
        <f ca="1">U11 * (1 - (0)) + R11 * input_parameters!O14+S11 * input_parameters!O15+T11 * input_parameters!O16</f>
        <v>0.21231611248899226</v>
      </c>
      <c r="V12">
        <f ca="1">F12 * state_costs!E9 + G12 * state_costs!F9 + H12 * state_costs!G9 + I12 * state_costs!H9</f>
        <v>37.573227529549079</v>
      </c>
      <c r="W12">
        <f ca="1">F12 * state_qalys!E9 + G12 * state_qalys!F9 + H12 * state_qalys!G9 + I12 * state_qalys!H9</f>
        <v>0.5936986520886689</v>
      </c>
      <c r="X12">
        <f ca="1">(F12 * state_costs!E9 + G12 * state_costs!F9 + H12 * state_costs!G9 + I12 * state_costs!H9) * (1 / (1 + model_settings!F10)^(4 * model_settings!F9))</f>
        <v>32.742897100175576</v>
      </c>
      <c r="Y12">
        <f ca="1">(F12 * state_qalys!E9 + G12 * state_qalys!F9 + H12 * state_qalys!G9 + I12 * state_qalys!H9) * (1 / (1 + model_settings!F11)^(4 * model_settings!F9))</f>
        <v>0.51737407595778928</v>
      </c>
      <c r="Z12">
        <f ca="1">J12 * state_costs!I9 + K12 * state_costs!J9 + L12 * state_costs!K9 + M12 * state_costs!L9</f>
        <v>24.592557585377119</v>
      </c>
      <c r="AA12">
        <f ca="1">J12 * state_qalys!I9 + K12 * state_qalys!J9 + L12 * state_qalys!K9 + M12 * state_qalys!L9</f>
        <v>0.5943544109738832</v>
      </c>
      <c r="AB12">
        <f ca="1">(J12 * state_costs!I9 + K12 * state_costs!J9 + L12 * state_costs!K9 + M12 * state_costs!L9) * (1 / (1 + model_settings!F10)^(4 * model_settings!F9))</f>
        <v>21.430993167006459</v>
      </c>
      <c r="AC12">
        <f ca="1">(J12 * state_qalys!I9 + K12 * state_qalys!J9 + L12 * state_qalys!K9 + M12 * state_qalys!L9) * (1 / (1 + model_settings!F11)^(4 * model_settings!F9))</f>
        <v>0.51794553194155357</v>
      </c>
      <c r="AD12">
        <f ca="1">N12 * state_costs!M9 + O12 * state_costs!N9 + P12 * state_costs!O9 + Q12 * state_costs!P9</f>
        <v>29.376671323126462</v>
      </c>
      <c r="AE12">
        <f ca="1">N12 * state_qalys!M9 + O12 * state_qalys!N9 + P12 * state_qalys!O9 + Q12 * state_qalys!P9</f>
        <v>0.59408846411519434</v>
      </c>
      <c r="AF12">
        <f ca="1">(N12 * state_costs!M9 + O12 * state_costs!N9 + P12 * state_costs!O9 + Q12 * state_costs!P9) * (1 / (1 + model_settings!F10)^(4 * model_settings!F9))</f>
        <v>25.600071900194092</v>
      </c>
      <c r="AG12">
        <f ca="1">(N12 * state_qalys!M9 + O12 * state_qalys!N9 + P12 * state_qalys!O9 + Q12 * state_qalys!P9) * (1 / (1 + model_settings!F11)^(4 * model_settings!F9))</f>
        <v>0.51771377461856838</v>
      </c>
      <c r="AH12">
        <f ca="1">R12 * state_costs!Q9 + S12 * state_costs!R9 + T12 * state_costs!S9 + U12 * state_costs!T9</f>
        <v>31.101037821053445</v>
      </c>
      <c r="AI12">
        <f ca="1">R12 * state_qalys!Q9 + S12 * state_qalys!R9 + T12 * state_qalys!S9 + U12 * state_qalys!T9</f>
        <v>0.59397310047965202</v>
      </c>
      <c r="AJ12">
        <f ca="1">(R12 * state_costs!Q9 + S12 * state_costs!R9 + T12 * state_costs!S9 + U12 * state_costs!T9) * (1 / (1 + model_settings!F10)^(4 * model_settings!F9))</f>
        <v>27.102757682516369</v>
      </c>
      <c r="AK12">
        <f ca="1">(R12 * state_qalys!Q9 + S12 * state_qalys!R9 + T12 * state_qalys!S9 + U12 * state_qalys!T9) * (1 / (1 + model_settings!F11)^(4 * model_settings!F9))</f>
        <v>0.51761324187501589</v>
      </c>
    </row>
    <row r="13" spans="5:37" x14ac:dyDescent="0.55000000000000004">
      <c r="E13">
        <v>5</v>
      </c>
      <c r="F13">
        <f ca="1">F12 * (1 - (input_parameters!O9+input_parameters!O14))</f>
        <v>0.71292035570568579</v>
      </c>
      <c r="G13">
        <f ca="1">G12 * (1 - (input_parameters!O13+input_parameters!O15)) + F12 * input_parameters!O9</f>
        <v>1.3603133016242244E-2</v>
      </c>
      <c r="H13">
        <f ca="1">H12 * (1 - (input_parameters!O16)) + G12 * input_parameters!O13</f>
        <v>1.0092057576856568E-3</v>
      </c>
      <c r="I13">
        <f ca="1">I12 * (1 - (0)) + F12 * input_parameters!O14+G12 * input_parameters!O15+H12 * input_parameters!O16</f>
        <v>0.27246730552038628</v>
      </c>
      <c r="J13">
        <f ca="1">J12 * (1 - (input_parameters!O10+input_parameters!O14))</f>
        <v>0.71757365934811146</v>
      </c>
      <c r="K13">
        <f ca="1">K12 * (1 - (input_parameters!O13+input_parameters!O15)) + J12 * input_parameters!O10</f>
        <v>9.2121390907944616E-3</v>
      </c>
      <c r="L13">
        <f ca="1">L12 * (1 - (input_parameters!O16)) + K12 * input_parameters!O13</f>
        <v>6.8247517271580746E-4</v>
      </c>
      <c r="M13">
        <f ca="1">M12 * (1 - (0)) + J12 * input_parameters!O14+K12 * input_parameters!O15+L12 * input_parameters!O16</f>
        <v>0.27253172638837836</v>
      </c>
      <c r="N13">
        <f ca="1">N12 * (1 - (input_parameters!O11+input_parameters!O14))</f>
        <v>0.71568560814415771</v>
      </c>
      <c r="O13">
        <f ca="1">O12 * (1 - (input_parameters!O13+input_parameters!O15)) + N12 * input_parameters!O11</f>
        <v>1.0993844345893043E-2</v>
      </c>
      <c r="P13">
        <f ca="1">P12 * (1 - (input_parameters!O16)) + O12 * input_parameters!O13</f>
        <v>8.1493854414439021E-4</v>
      </c>
      <c r="Q13">
        <f ca="1">Q12 * (1 - (0)) + N12 * input_parameters!O14+O12 * input_parameters!O15+P12 * input_parameters!O16</f>
        <v>0.27250560896580472</v>
      </c>
      <c r="R13">
        <f ca="1">R12 * (1 - (input_parameters!O12+input_parameters!O14))</f>
        <v>0.71486697253327103</v>
      </c>
      <c r="S13">
        <f ca="1">S12 * (1 - (input_parameters!O13+input_parameters!O15)) + R12 * input_parameters!O12</f>
        <v>1.1766333767927512E-2</v>
      </c>
      <c r="T13">
        <f ca="1">T12 * (1 - (input_parameters!O16)) + S12 * input_parameters!O13</f>
        <v>8.7241781333973964E-4</v>
      </c>
      <c r="U13">
        <f ca="1">U12 * (1 - (0)) + R12 * input_parameters!O14+S12 * input_parameters!O15+T12 * input_parameters!O16</f>
        <v>0.27249427588546177</v>
      </c>
      <c r="V13">
        <f ca="1">F13 * state_costs!E9 + G13 * state_costs!F9 + H13 * state_costs!G9 + I13 * state_costs!H9</f>
        <v>35.935012260585658</v>
      </c>
      <c r="W13">
        <f ca="1">F13 * state_qalys!E9 + G13 * state_qalys!F9 + H13 * state_qalys!G9 + I13 * state_qalys!H9</f>
        <v>0.54769430181203882</v>
      </c>
      <c r="X13">
        <f ca="1">(F13 * state_costs!E9 + G13 * state_costs!F9 + H13 * state_costs!G9 + I13 * state_costs!H9) * (1 / (1 + model_settings!F10)^(5 * model_settings!F9))</f>
        <v>30.2563160741452</v>
      </c>
      <c r="Y13">
        <f ca="1">(F13 * state_qalys!E9 + G13 * state_qalys!F9 + H13 * state_qalys!G9 + I13 * state_qalys!H9) * (1 / (1 + model_settings!F11)^(5 * model_settings!F9))</f>
        <v>0.46114390576705067</v>
      </c>
      <c r="Z13">
        <f ca="1">J13 * state_costs!I9 + K13 * state_costs!J9 + L13 * state_costs!K9 + M13 * state_costs!L9</f>
        <v>23.586673402084458</v>
      </c>
      <c r="AA13">
        <f ca="1">J13 * state_qalys!I9 + K13 * state_qalys!J9 + L13 * state_qalys!K9 + M13 * state_qalys!L9</f>
        <v>0.5484867094716197</v>
      </c>
      <c r="AB13">
        <f ca="1">(J13 * state_costs!I9 + K13 * state_costs!J9 + L13 * state_costs!K9 + M13 * state_costs!L9) * (1 / (1 + model_settings!F10)^(5 * model_settings!F9))</f>
        <v>19.859346100010772</v>
      </c>
      <c r="AC13">
        <f ca="1">(J13 * state_qalys!I9 + K13 * state_qalys!J9 + L13 * state_qalys!K9 + M13 * state_qalys!L9) * (1 / (1 + model_settings!F11)^(5 * model_settings!F9))</f>
        <v>0.46181109175363094</v>
      </c>
      <c r="AD13">
        <f ca="1">N13 * state_costs!M9 + O13 * state_costs!N9 + P13 * state_costs!O9 + Q13 * state_costs!P9</f>
        <v>28.157388350124322</v>
      </c>
      <c r="AE13">
        <f ca="1">N13 * state_qalys!M9 + O13 * state_qalys!N9 + P13 * state_qalys!O9 + Q13 * state_qalys!P9</f>
        <v>0.54816518314834883</v>
      </c>
      <c r="AF13">
        <f ca="1">(N13 * state_costs!M9 + O13 * state_costs!N9 + P13 * state_costs!O9 + Q13 * state_costs!P9) * (1 / (1 + model_settings!F10)^(5 * model_settings!F9))</f>
        <v>23.707765439619489</v>
      </c>
      <c r="AG13">
        <f ca="1">(N13 * state_qalys!M9 + O13 * state_qalys!N9 + P13 * state_qalys!O9 + Q13 * state_qalys!P9) * (1 / (1 + model_settings!F11)^(5 * model_settings!F9))</f>
        <v>0.4615403752169982</v>
      </c>
      <c r="AH13">
        <f ca="1">R13 * state_costs!Q9 + S13 * state_costs!R9 + T13 * state_costs!S9 + U13 * state_costs!T9</f>
        <v>29.815696768998304</v>
      </c>
      <c r="AI13">
        <f ca="1">R13 * state_qalys!Q9 + S13 * state_qalys!R9 + T13 * state_qalys!S9 + U13 * state_qalys!T9</f>
        <v>0.54802577817947662</v>
      </c>
      <c r="AJ13">
        <f ca="1">(R13 * state_costs!Q9 + S13 * state_costs!R9 + T13 * state_costs!S9 + U13 * state_costs!T9) * (1 / (1 + model_settings!F10)^(5 * model_settings!F9))</f>
        <v>25.104016630686971</v>
      </c>
      <c r="AK13">
        <f ca="1">(R13 * state_qalys!Q9 + S13 * state_qalys!R9 + T13 * state_qalys!S9 + U13 * state_qalys!T9) * (1 / (1 + model_settings!F11)^(5 * model_settings!F9))</f>
        <v>0.46142299997388103</v>
      </c>
    </row>
    <row r="14" spans="5:37" x14ac:dyDescent="0.55000000000000004">
      <c r="E14">
        <v>6</v>
      </c>
      <c r="F14">
        <f ca="1">F13 * (1 - (input_parameters!O9+input_parameters!O14))</f>
        <v>0.6550904509313793</v>
      </c>
      <c r="G14">
        <f ca="1">G13 * (1 - (input_parameters!O13+input_parameters!O15)) + F13 * input_parameters!O9</f>
        <v>1.5367614236255307E-2</v>
      </c>
      <c r="H14">
        <f ca="1">H13 * (1 - (input_parameters!O16)) + G13 * input_parameters!O13</f>
        <v>1.5335646276314037E-3</v>
      </c>
      <c r="I14">
        <f ca="1">I13 * (1 - (0)) + F13 * input_parameters!O14+G13 * input_parameters!O15+H13 * input_parameters!O16</f>
        <v>0.32800837020473395</v>
      </c>
      <c r="J14">
        <f ca="1">J13 * (1 - (input_parameters!O10+input_parameters!O14))</f>
        <v>0.66043960706267268</v>
      </c>
      <c r="K14">
        <f ca="1">K13 * (1 - (input_parameters!O13+input_parameters!O15)) + J13 * input_parameters!O10</f>
        <v>1.0415967700103182E-2</v>
      </c>
      <c r="L14">
        <f ca="1">L13 * (1 - (input_parameters!O16)) + K13 * input_parameters!O13</f>
        <v>1.0376445635739836E-3</v>
      </c>
      <c r="M14">
        <f ca="1">M13 * (1 - (0)) + J13 * input_parameters!O14+K13 * input_parameters!O15+L13 * input_parameters!O16</f>
        <v>0.32810678067365029</v>
      </c>
      <c r="N14">
        <f ca="1">N13 * (1 - (input_parameters!O11+input_parameters!O14))</f>
        <v>0.65826816898914764</v>
      </c>
      <c r="O14">
        <f ca="1">O13 * (1 - (input_parameters!O13+input_parameters!O15)) + N13 * input_parameters!O11</f>
        <v>1.2426193774939306E-2</v>
      </c>
      <c r="P14">
        <f ca="1">P13 * (1 - (input_parameters!O16)) + O13 * input_parameters!O13</f>
        <v>1.2387669489473494E-3</v>
      </c>
      <c r="Q14">
        <f ca="1">Q13 * (1 - (0)) + N13 * input_parameters!O14+O13 * input_parameters!O15+P13 * input_parameters!O16</f>
        <v>0.32806687028696552</v>
      </c>
      <c r="R14">
        <f ca="1">R13 * (1 - (input_parameters!O12+input_parameters!O14))</f>
        <v>0.65732710512218417</v>
      </c>
      <c r="S14">
        <f ca="1">S13 * (1 - (input_parameters!O13+input_parameters!O15)) + R13 * input_parameters!O12</f>
        <v>1.329732622997392E-2</v>
      </c>
      <c r="T14">
        <f ca="1">T13 * (1 - (input_parameters!O16)) + S13 * input_parameters!O13</f>
        <v>1.326011103237169E-3</v>
      </c>
      <c r="U14">
        <f ca="1">U13 * (1 - (0)) + R13 * input_parameters!O14+S13 * input_parameters!O15+T13 * input_parameters!O16</f>
        <v>0.32804955754460474</v>
      </c>
      <c r="V14">
        <f ca="1">F14 * state_costs!E9 + G14 * state_costs!F9 + H14 * state_costs!G9 + I14 * state_costs!H9</f>
        <v>34.353105878227083</v>
      </c>
      <c r="W14">
        <f ca="1">F14 * state_qalys!E9 + G14 * state_qalys!F9 + H14 * state_qalys!G9 + I14 * state_qalys!H9</f>
        <v>0.50527313065073021</v>
      </c>
      <c r="X14">
        <f ca="1">(F14 * state_costs!E9 + G14 * state_costs!F9 + H14 * state_costs!G9 + I14 * state_costs!H9) * (1 / (1 + model_settings!F10)^(6 * model_settings!F9))</f>
        <v>27.946273765910185</v>
      </c>
      <c r="Y14">
        <f ca="1">(F14 * state_qalys!E9 + G14 * state_qalys!F9 + H14 * state_qalys!G9 + I14 * state_qalys!H9) * (1 / (1 + model_settings!F11)^(6 * model_settings!F9))</f>
        <v>0.4110400173357644</v>
      </c>
      <c r="Z14">
        <f ca="1">J14 * state_costs!I9 + K14 * state_costs!J9 + L14 * state_costs!K9 + M14 * state_costs!L9</f>
        <v>22.609149689818221</v>
      </c>
      <c r="AA14">
        <f ca="1">J14 * state_qalys!I9 + K14 * state_qalys!J9 + L14 * state_qalys!K9 + M14 * state_qalys!L9</f>
        <v>0.50617069954982541</v>
      </c>
      <c r="AB14">
        <f ca="1">(J14 * state_costs!I9 + K14 * state_costs!J9 + L14 * state_costs!K9 + M14 * state_costs!L9) * (1 / (1 + model_settings!F10)^(6 * model_settings!F9))</f>
        <v>18.392557839917551</v>
      </c>
      <c r="AC14">
        <f ca="1">(J14 * state_qalys!I9 + K14 * state_qalys!J9 + L14 * state_qalys!K9 + M14 * state_qalys!L9) * (1 / (1 + model_settings!F11)^(6 * model_settings!F9))</f>
        <v>0.41177019021348893</v>
      </c>
      <c r="AD14">
        <f ca="1">N14 * state_costs!M9 + O14 * state_costs!N9 + P14 * state_costs!O9 + Q14 * state_costs!P9</f>
        <v>26.974128129001564</v>
      </c>
      <c r="AE14">
        <f ca="1">N14 * state_qalys!M9 + O14 * state_qalys!N9 + P14 * state_qalys!O9 + Q14 * state_qalys!P9</f>
        <v>0.50580631915071705</v>
      </c>
      <c r="AF14">
        <f ca="1">(N14 * state_costs!M9 + O14 * state_costs!N9 + P14 * state_costs!O9 + Q14 * state_costs!P9) * (1 / (1 + model_settings!F10)^(6 * model_settings!F9))</f>
        <v>21.943470612582651</v>
      </c>
      <c r="AG14">
        <f ca="1">(N14 * state_qalys!M9 + O14 * state_qalys!N9 + P14 * state_qalys!O9 + Q14 * state_qalys!P9) * (1 / (1 + model_settings!F11)^(6 * model_settings!F9))</f>
        <v>0.41147376652404116</v>
      </c>
      <c r="AH14">
        <f ca="1">R14 * state_costs!Q9 + S14 * state_costs!R9 + T14 * state_costs!S9 + U14 * state_costs!T9</f>
        <v>28.56764492380556</v>
      </c>
      <c r="AI14">
        <f ca="1">R14 * state_qalys!Q9 + S14 * state_qalys!R9 + T14 * state_qalys!S9 + U14 * state_qalys!T9</f>
        <v>0.50564841186240062</v>
      </c>
      <c r="AJ14">
        <f ca="1">(R14 * state_costs!Q9 + S14 * state_costs!R9 + T14 * state_costs!S9 + U14 * state_costs!T9) * (1 / (1 + model_settings!F10)^(6 * model_settings!F9))</f>
        <v>23.239797551870925</v>
      </c>
      <c r="AK14">
        <f ca="1">(R14 * state_qalys!Q9 + S14 * state_qalys!R9 + T14 * state_qalys!S9 + U14 * state_qalys!T9) * (1 / (1 + model_settings!F11)^(6 * model_settings!F9))</f>
        <v>0.41134530884325488</v>
      </c>
    </row>
    <row r="15" spans="5:37" x14ac:dyDescent="0.55000000000000004">
      <c r="E15">
        <v>7</v>
      </c>
      <c r="F15">
        <f ca="1">F14 * (1 - (input_parameters!O9+input_parameters!O14))</f>
        <v>0.60195153002285828</v>
      </c>
      <c r="G15">
        <f ca="1">G14 * (1 - (input_parameters!O13+input_parameters!O15)) + F14 * input_parameters!O9</f>
        <v>1.6668136929220766E-2</v>
      </c>
      <c r="H15">
        <f ca="1">H14 * (1 - (input_parameters!O16)) + G14 * input_parameters!O13</f>
        <v>2.0975111032351407E-3</v>
      </c>
      <c r="I15">
        <f ca="1">I14 * (1 - (0)) + F14 * input_parameters!O14+G14 * input_parameters!O15+H14 * input_parameters!O16</f>
        <v>0.37928282194468577</v>
      </c>
      <c r="J15">
        <f ca="1">J14 * (1 - (input_parameters!O10+input_parameters!O14))</f>
        <v>0.60785463470516876</v>
      </c>
      <c r="K15">
        <f ca="1">K14 * (1 - (input_parameters!O13+input_parameters!O15)) + J14 * input_parameters!O10</f>
        <v>1.1307222986434573E-2</v>
      </c>
      <c r="L15">
        <f ca="1">L14 * (1 - (input_parameters!O16)) + K14 * input_parameters!O13</f>
        <v>1.4200091028817158E-3</v>
      </c>
      <c r="M15">
        <f ca="1">M14 * (1 - (0)) + J14 * input_parameters!O14+K14 * input_parameters!O15+L14 * input_parameters!O16</f>
        <v>0.37941813320551515</v>
      </c>
      <c r="N15">
        <f ca="1">N14 * (1 - (input_parameters!O11+input_parameters!O14))</f>
        <v>0.60545716914436498</v>
      </c>
      <c r="O15">
        <f ca="1">O14 * (1 - (input_parameters!O13+input_parameters!O15)) + N14 * input_parameters!O11</f>
        <v>1.3484727506035131E-2</v>
      </c>
      <c r="P15">
        <f ca="1">P14 * (1 - (input_parameters!O16)) + O14 * input_parameters!O13</f>
        <v>1.6948634804257758E-3</v>
      </c>
      <c r="Q15">
        <f ca="1">Q14 * (1 - (0)) + N14 * input_parameters!O14+O14 * input_parameters!O15+P14 * input_parameters!O16</f>
        <v>0.37936323986917392</v>
      </c>
      <c r="R15">
        <f ca="1">R14 * (1 - (input_parameters!O12+input_parameters!O14))</f>
        <v>0.60441863973258514</v>
      </c>
      <c r="S15">
        <f ca="1">S14 * (1 - (input_parameters!O13+input_parameters!O15)) + R14 * input_parameters!O12</f>
        <v>1.4427871943693115E-2</v>
      </c>
      <c r="T15">
        <f ca="1">T14 * (1 - (input_parameters!O16)) + S14 * input_parameters!O13</f>
        <v>1.81405309535648E-3</v>
      </c>
      <c r="U15">
        <f ca="1">U14 * (1 - (0)) + R14 * input_parameters!O14+S14 * input_parameters!O15+T14 * input_parameters!O16</f>
        <v>0.37933943522836527</v>
      </c>
      <c r="V15">
        <f ca="1">F15 * state_costs!E9 + G15 * state_costs!F9 + H15 * state_costs!G9 + I15 * state_costs!H9</f>
        <v>32.825646923348529</v>
      </c>
      <c r="W15">
        <f ca="1">F15 * state_qalys!E9 + G15 * state_qalys!F9 + H15 * state_qalys!G9 + I15 * state_qalys!H9</f>
        <v>0.46615441817315628</v>
      </c>
      <c r="X15">
        <f ca="1">(F15 * state_costs!E9 + G15 * state_costs!F9 + H15 * state_costs!G9 + I15 * state_costs!H9) * (1 / (1 + model_settings!F10)^(7 * model_settings!F9))</f>
        <v>25.800661760350561</v>
      </c>
      <c r="Y15">
        <f ca="1">(F15 * state_qalys!E9 + G15 * state_qalys!F9 + H15 * state_qalys!G9 + I15 * state_qalys!H9) * (1 / (1 + model_settings!F11)^(7 * model_settings!F9))</f>
        <v>0.36639315896692587</v>
      </c>
      <c r="Z15">
        <f ca="1">J15 * state_costs!I9 + K15 * state_costs!J9 + L15 * state_costs!K9 + M15 * state_costs!L9</f>
        <v>21.659556380059694</v>
      </c>
      <c r="AA15">
        <f ca="1">J15 * state_qalys!I9 + K15 * state_qalys!J9 + L15 * state_qalys!K9 + M15 * state_qalys!L9</f>
        <v>0.46713030325758603</v>
      </c>
      <c r="AB15">
        <f ca="1">(J15 * state_costs!I9 + K15 * state_costs!J9 + L15 * state_costs!K9 + M15 * state_costs!L9) * (1 / (1 + model_settings!F10)^(7 * model_settings!F9))</f>
        <v>17.024215527148463</v>
      </c>
      <c r="AC15">
        <f ca="1">(J15 * state_qalys!I9 + K15 * state_qalys!J9 + L15 * state_qalys!K9 + M15 * state_qalys!L9) * (1 / (1 + model_settings!F11)^(7 * model_settings!F9))</f>
        <v>0.36716019582195381</v>
      </c>
      <c r="AD15">
        <f ca="1">N15 * state_costs!M9 + O15 * state_costs!N9 + P15 * state_costs!O9 + Q15 * state_costs!P9</f>
        <v>25.826184456616364</v>
      </c>
      <c r="AE15">
        <f ca="1">N15 * state_qalys!M9 + O15 * state_qalys!N9 + P15 * state_qalys!O9 + Q15 * state_qalys!P9</f>
        <v>0.46673392715804546</v>
      </c>
      <c r="AF15">
        <f ca="1">(N15 * state_costs!M9 + O15 * state_costs!N9 + P15 * state_costs!O9 + Q15 * state_costs!P9) * (1 / (1 + model_settings!F10)^(7 * model_settings!F9))</f>
        <v>20.299147531853414</v>
      </c>
      <c r="AG15">
        <f ca="1">(N15 * state_qalys!M9 + O15 * state_qalys!N9 + P15 * state_qalys!O9 + Q15 * state_qalys!P9) * (1 / (1 + model_settings!F11)^(7 * model_settings!F9))</f>
        <v>0.36684864779068382</v>
      </c>
      <c r="AH15">
        <f ca="1">R15 * state_costs!Q9 + S15 * state_costs!R9 + T15 * state_costs!S9 + U15 * state_costs!T9</f>
        <v>27.356219144817313</v>
      </c>
      <c r="AI15">
        <f ca="1">R15 * state_qalys!Q9 + S15 * state_qalys!R9 + T15 * state_qalys!S9 + U15 * state_qalys!T9</f>
        <v>0.46656224000369434</v>
      </c>
      <c r="AJ15">
        <f ca="1">(R15 * state_costs!Q9 + S15 * state_costs!R9 + T15 * state_costs!S9 + U15 * state_costs!T9) * (1 / (1 + model_settings!F10)^(7 * model_settings!F9))</f>
        <v>21.501740966312045</v>
      </c>
      <c r="AK15">
        <f ca="1">(R15 * state_qalys!Q9 + S15 * state_qalys!R9 + T15 * state_qalys!S9 + U15 * state_qalys!T9) * (1 / (1 + model_settings!F11)^(7 * model_settings!F9))</f>
        <v>0.36671370323929831</v>
      </c>
    </row>
    <row r="16" spans="5:37" x14ac:dyDescent="0.55000000000000004">
      <c r="E16">
        <v>8</v>
      </c>
      <c r="F16">
        <f ca="1">F15 * (1 - (input_parameters!O9+input_parameters!O14))</f>
        <v>0.5531230748085133</v>
      </c>
      <c r="G16">
        <f ca="1">G15 * (1 - (input_parameters!O13+input_parameters!O15)) + F15 * input_parameters!O9</f>
        <v>1.7578226525372755E-2</v>
      </c>
      <c r="H16">
        <f ca="1">H15 * (1 - (input_parameters!O16)) + G15 * input_parameters!O13</f>
        <v>2.6778137791735987E-3</v>
      </c>
      <c r="I16">
        <f ca="1">I15 * (1 - (0)) + F15 * input_parameters!O14+G15 * input_parameters!O15+H15 * input_parameters!O16</f>
        <v>0.42662088488694028</v>
      </c>
      <c r="J16">
        <f ca="1">J15 * (1 - (input_parameters!O10+input_parameters!O14))</f>
        <v>0.55945653922220251</v>
      </c>
      <c r="K16">
        <f ca="1">K15 * (1 - (input_parameters!O13+input_parameters!O15)) + J15 * input_parameters!O10</f>
        <v>1.193503679205947E-2</v>
      </c>
      <c r="L16">
        <f ca="1">L15 * (1 - (input_parameters!O16)) + K15 * input_parameters!O13</f>
        <v>1.8138796662671222E-3</v>
      </c>
      <c r="M16">
        <f ca="1">M15 * (1 - (0)) + J15 * input_parameters!O14+K15 * input_parameters!O15+L15 * input_parameters!O16</f>
        <v>0.42679454431947111</v>
      </c>
      <c r="N16">
        <f ca="1">N15 * (1 - (input_parameters!O11+input_parameters!O14))</f>
        <v>0.55688304696737001</v>
      </c>
      <c r="O16">
        <f ca="1">O15 * (1 - (input_parameters!O13+input_parameters!O15)) + N15 * input_parameters!O11</f>
        <v>1.4228398619772712E-2</v>
      </c>
      <c r="P16">
        <f ca="1">P15 * (1 - (input_parameters!O16)) + O15 * input_parameters!O13</f>
        <v>2.1644834999079081E-3</v>
      </c>
      <c r="Q16">
        <f ca="1">Q15 * (1 - (0)) + N15 * input_parameters!O14+O15 * input_parameters!O15+P15 * input_parameters!O16</f>
        <v>0.42672407091294906</v>
      </c>
      <c r="R16">
        <f ca="1">R15 * (1 - (input_parameters!O12+input_parameters!O14))</f>
        <v>0.55576879335940732</v>
      </c>
      <c r="S16">
        <f ca="1">S15 * (1 - (input_parameters!O13+input_parameters!O15)) + R15 * input_parameters!O12</f>
        <v>1.5221214684460881E-2</v>
      </c>
      <c r="T16">
        <f ca="1">T15 * (1 - (input_parameters!O16)) + S15 * input_parameters!O13</f>
        <v>2.3164723051032282E-3</v>
      </c>
      <c r="U16">
        <f ca="1">U15 * (1 - (0)) + R15 * input_parameters!O14+S15 * input_parameters!O15+T15 * input_parameters!O16</f>
        <v>0.42669351965102864</v>
      </c>
      <c r="V16">
        <f ca="1">F16 * state_costs!E9 + G16 * state_costs!F9 + H16 * state_costs!G9 + I16 * state_costs!H9</f>
        <v>31.351045632968276</v>
      </c>
      <c r="W16">
        <f ca="1">F16 * state_qalys!E9 + G16 * state_qalys!F9 + H16 * state_qalys!G9 + I16 * state_qalys!H9</f>
        <v>0.430079586402696</v>
      </c>
      <c r="X16">
        <f ca="1">(F16 * state_costs!E9 + G16 * state_costs!F9 + H16 * state_costs!G9 + I16 * state_costs!H9) * (1 / (1 + model_settings!F10)^(8 * model_settings!F9))</f>
        <v>23.808346353139125</v>
      </c>
      <c r="Y16">
        <f ca="1">(F16 * state_qalys!E9 + G16 * state_qalys!F9 + H16 * state_qalys!G9 + I16 * state_qalys!H9) * (1 / (1 + model_settings!F11)^(8 * model_settings!F9))</f>
        <v>0.32660740800691279</v>
      </c>
      <c r="Z16">
        <f ca="1">J16 * state_costs!I9 + K16 * state_costs!J9 + L16 * state_costs!K9 + M16 * state_costs!L9</f>
        <v>20.737579181008932</v>
      </c>
      <c r="AA16">
        <f ca="1">J16 * state_qalys!I9 + K16 * state_qalys!J9 + L16 * state_qalys!K9 + M16 * state_qalys!L9</f>
        <v>0.43111099958498089</v>
      </c>
      <c r="AB16">
        <f ca="1">(J16 * state_costs!I9 + K16 * state_costs!J9 + L16 * state_costs!K9 + M16 * state_costs!L9) * (1 / (1 + model_settings!F10)^(8 * model_settings!F9))</f>
        <v>15.748357278007711</v>
      </c>
      <c r="AC16">
        <f ca="1">(J16 * state_qalys!I9 + K16 * state_qalys!J9 + L16 * state_qalys!K9 + M16 * state_qalys!L9) * (1 / (1 + model_settings!F11)^(8 * model_settings!F9))</f>
        <v>0.32739067509677366</v>
      </c>
      <c r="AD16">
        <f ca="1">N16 * state_costs!M9 + O16 * state_costs!N9 + P16 * state_costs!O9 + Q16 * state_costs!P9</f>
        <v>24.713005189083681</v>
      </c>
      <c r="AE16">
        <f ca="1">N16 * state_qalys!M9 + O16 * state_qalys!N9 + P16 * state_qalys!O9 + Q16 * state_qalys!P9</f>
        <v>0.4306918535816735</v>
      </c>
      <c r="AF16">
        <f ca="1">(N16 * state_costs!M9 + O16 * state_costs!N9 + P16 * state_costs!O9 + Q16 * state_costs!P9) * (1 / (1 + model_settings!F10)^(8 * model_settings!F9))</f>
        <v>18.767341729422313</v>
      </c>
      <c r="AG16">
        <f ca="1">(N16 * state_qalys!M9 + O16 * state_qalys!N9 + P16 * state_qalys!O9 + Q16 * state_qalys!P9) * (1 / (1 + model_settings!F11)^(8 * model_settings!F9))</f>
        <v>0.32707237077812018</v>
      </c>
      <c r="AH16">
        <f ca="1">R16 * state_costs!Q9 + S16 * state_costs!R9 + T16 * state_costs!S9 + U16 * state_costs!T9</f>
        <v>26.180913960449061</v>
      </c>
      <c r="AI16">
        <f ca="1">R16 * state_qalys!Q9 + S16 * state_qalys!R9 + T16 * state_qalys!S9 + U16 * state_qalys!T9</f>
        <v>0.43051039542568553</v>
      </c>
      <c r="AJ16">
        <f ca="1">(R16 * state_costs!Q9 + S16 * state_costs!R9 + T16 * state_costs!S9 + U16 * state_costs!T9) * (1 / (1 + model_settings!F10)^(8 * model_settings!F9))</f>
        <v>19.88208861386838</v>
      </c>
      <c r="AK16">
        <f ca="1">(R16 * state_qalys!Q9 + S16 * state_qalys!R9 + T16 * state_qalys!S9 + U16 * state_qalys!T9) * (1 / (1 + model_settings!F11)^(8 * model_settings!F9))</f>
        <v>0.32693456935749327</v>
      </c>
    </row>
    <row r="17" spans="5:37" x14ac:dyDescent="0.55000000000000004">
      <c r="E17">
        <v>9</v>
      </c>
      <c r="F17">
        <f ca="1">F16 * (1 - (input_parameters!O9+input_parameters!O14))</f>
        <v>0.50825543357952152</v>
      </c>
      <c r="G17">
        <f ca="1">G16 * (1 - (input_parameters!O13+input_parameters!O15)) + F16 * input_parameters!O9</f>
        <v>1.8161429293236307E-2</v>
      </c>
      <c r="H17">
        <f ca="1">H16 * (1 - (input_parameters!O16)) + G16 * input_parameters!O13</f>
        <v>3.256148058006789E-3</v>
      </c>
      <c r="I17">
        <f ca="1">I16 * (1 - (0)) + F16 * input_parameters!O14+G16 * input_parameters!O15+H16 * input_parameters!O16</f>
        <v>0.47032698906923531</v>
      </c>
      <c r="J17">
        <f ca="1">J16 * (1 - (input_parameters!O10+input_parameters!O14))</f>
        <v>0.51491195659023958</v>
      </c>
      <c r="K17">
        <f ca="1">K16 * (1 - (input_parameters!O13+input_parameters!O15)) + J16 * input_parameters!O10</f>
        <v>1.2341916851973719E-2</v>
      </c>
      <c r="L17">
        <f ca="1">L16 * (1 - (input_parameters!O16)) + K16 * input_parameters!O13</f>
        <v>2.2068579393000058E-3</v>
      </c>
      <c r="M17">
        <f ca="1">M16 * (1 - (0)) + J16 * input_parameters!O14+K16 * input_parameters!O15+L16 * input_parameters!O16</f>
        <v>0.47053926861848688</v>
      </c>
      <c r="N17">
        <f ca="1">N16 * (1 - (input_parameters!O11+input_parameters!O14))</f>
        <v>0.51220588970467285</v>
      </c>
      <c r="O17">
        <f ca="1">O16 * (1 - (input_parameters!O13+input_parameters!O15)) + N16 * input_parameters!O11</f>
        <v>1.4708190533930094E-2</v>
      </c>
      <c r="P17">
        <f ca="1">P16 * (1 - (input_parameters!O16)) + O16 * input_parameters!O13</f>
        <v>2.6328251683163098E-3</v>
      </c>
      <c r="Q17">
        <f ca="1">Q16 * (1 - (0)) + N16 * input_parameters!O14+O16 * input_parameters!O15+P16 * input_parameters!O16</f>
        <v>0.47045309459308043</v>
      </c>
      <c r="R17">
        <f ca="1">R16 * (1 - (input_parameters!O12+input_parameters!O14))</f>
        <v>0.51103478841888439</v>
      </c>
      <c r="S17">
        <f ca="1">S16 * (1 - (input_parameters!O13+input_parameters!O15)) + R16 * input_parameters!O12</f>
        <v>1.5732038498826345E-2</v>
      </c>
      <c r="T17">
        <f ca="1">T16 * (1 - (input_parameters!O16)) + S16 * input_parameters!O13</f>
        <v>2.8174243069516384E-3</v>
      </c>
      <c r="U17">
        <f ca="1">U16 * (1 - (0)) + R16 * input_parameters!O14+S16 * input_parameters!O15+T16 * input_parameters!O16</f>
        <v>0.47041574877533771</v>
      </c>
      <c r="V17">
        <f ca="1">F17 * state_costs!E9 + G17 * state_costs!F9 + H17 * state_costs!G9 + I17 * state_costs!H9</f>
        <v>29.927917804909221</v>
      </c>
      <c r="W17">
        <f ca="1">F17 * state_qalys!E9 + G17 * state_qalys!F9 + H17 * state_qalys!G9 + I17 * state_qalys!H9</f>
        <v>0.39681043914055658</v>
      </c>
      <c r="X17">
        <f ca="1">(F17 * state_costs!E9 + G17 * state_costs!F9 + H17 * state_costs!G9 + I17 * state_costs!H9) * (1 / (1 + model_settings!F10)^(9 * model_settings!F9))</f>
        <v>21.959040226606906</v>
      </c>
      <c r="Y17">
        <f ca="1">(F17 * state_qalys!E9 + G17 * state_qalys!F9 + H17 * state_qalys!G9 + I17 * state_qalys!H9) * (1 / (1 + model_settings!F11)^(9 * model_settings!F9))</f>
        <v>0.29115210928558827</v>
      </c>
      <c r="Z17">
        <f ca="1">J17 * state_costs!I9 + K17 * state_costs!J9 + L17 * state_costs!K9 + M17 * state_costs!L9</f>
        <v>19.842980571932266</v>
      </c>
      <c r="AA17">
        <f ca="1">J17 * state_qalys!I9 + K17 * state_qalys!J9 + L17 * state_qalys!K9 + M17 * state_qalys!L9</f>
        <v>0.39787813202151967</v>
      </c>
      <c r="AB17">
        <f ca="1">(J17 * state_costs!I9 + K17 * state_costs!J9 + L17 * state_costs!K9 + M17 * state_costs!L9) * (1 / (1 + model_settings!F10)^(9 * model_settings!F9))</f>
        <v>14.559409426183487</v>
      </c>
      <c r="AC17">
        <f ca="1">(J17 * state_qalys!I9 + K17 * state_qalys!J9 + L17 * state_qalys!K9 + M17 * state_qalys!L9) * (1 / (1 + model_settings!F11)^(9 * model_settings!F9))</f>
        <v>0.29193550862113726</v>
      </c>
      <c r="AD17">
        <f ca="1">N17 * state_costs!M9 + O17 * state_costs!N9 + P17 * state_costs!O9 + Q17 * state_costs!P9</f>
        <v>23.634144297357654</v>
      </c>
      <c r="AE17">
        <f ca="1">N17 * state_qalys!M9 + O17 * state_qalys!N9 + P17 * state_qalys!O9 + Q17 * state_qalys!P9</f>
        <v>0.39744401655580613</v>
      </c>
      <c r="AF17">
        <f ca="1">(N17 * state_costs!M9 + O17 * state_costs!N9 + P17 * state_costs!O9 + Q17 * state_costs!P9) * (1 / (1 + model_settings!F10)^(9 * model_settings!F9))</f>
        <v>17.341103672169858</v>
      </c>
      <c r="AG17">
        <f ca="1">(N17 * state_qalys!M9 + O17 * state_qalys!N9 + P17 * state_qalys!O9 + Q17 * state_qalys!P9) * (1 / (1 + model_settings!F11)^(9 * model_settings!F9))</f>
        <v>0.29161698465843672</v>
      </c>
      <c r="AH17">
        <f ca="1">R17 * state_costs!Q9 + S17 * state_costs!R9 + T17 * state_costs!S9 + U17 * state_costs!T9</f>
        <v>25.041330775474741</v>
      </c>
      <c r="AI17">
        <f ca="1">R17 * state_qalys!Q9 + S17 * state_qalys!R9 + T17 * state_qalys!S9 + U17 * state_qalys!T9</f>
        <v>0.39725617364647481</v>
      </c>
      <c r="AJ17">
        <f ca="1">(R17 * state_costs!Q9 + S17 * state_costs!R9 + T17 * state_costs!S9 + U17 * state_costs!T9) * (1 / (1 + model_settings!F10)^(9 * model_settings!F9))</f>
        <v>18.373599974810787</v>
      </c>
      <c r="AK17">
        <f ca="1">(R17 * state_qalys!Q9 + S17 * state_qalys!R9 + T17 * state_qalys!S9 + U17 * state_qalys!T9) * (1 / (1 + model_settings!F11)^(9 * model_settings!F9))</f>
        <v>0.29147915849795414</v>
      </c>
    </row>
    <row r="18" spans="5:37" x14ac:dyDescent="0.55000000000000004">
      <c r="E18">
        <v>10</v>
      </c>
      <c r="F18">
        <f ca="1">F17 * (1 - (input_parameters!O9+input_parameters!O14))</f>
        <v>0.46702731729739705</v>
      </c>
      <c r="G18">
        <f ca="1">G17 * (1 - (input_parameters!O13+input_parameters!O15)) + F17 * input_parameters!O9</f>
        <v>1.8472570969314945E-2</v>
      </c>
      <c r="H18">
        <f ca="1">H17 * (1 - (input_parameters!O16)) + G17 * input_parameters!O13</f>
        <v>3.8183034672847147E-3</v>
      </c>
      <c r="I18">
        <f ca="1">I17 * (1 - (0)) + F17 * input_parameters!O14+G17 * input_parameters!O15+H17 * input_parameters!O16</f>
        <v>0.51068180826600318</v>
      </c>
      <c r="J18">
        <f ca="1">J17 * (1 - (input_parameters!O10+input_parameters!O14))</f>
        <v>0.47391406561839089</v>
      </c>
      <c r="K18">
        <f ca="1">K17 * (1 - (input_parameters!O13+input_parameters!O15)) + J17 * input_parameters!O10</f>
        <v>1.2564577618524662E-2</v>
      </c>
      <c r="L18">
        <f ca="1">L17 * (1 - (input_parameters!O16)) + K17 * input_parameters!O13</f>
        <v>2.5893078044531472E-3</v>
      </c>
      <c r="M18">
        <f ca="1">M17 * (1 - (0)) + J17 * input_parameters!O14+K17 * input_parameters!O15+L17 * input_parameters!O16</f>
        <v>0.51093204895863142</v>
      </c>
      <c r="N18">
        <f ca="1">N17 * (1 - (input_parameters!O11+input_parameters!O14))</f>
        <v>0.47111305484493926</v>
      </c>
      <c r="O18">
        <f ca="1">O17 * (1 - (input_parameters!O13+input_parameters!O15)) + N17 * input_parameters!O11</f>
        <v>1.4968118842156691E-2</v>
      </c>
      <c r="P18">
        <f ca="1">P17 * (1 - (input_parameters!O16)) + O17 * input_parameters!O13</f>
        <v>3.0883946461076383E-3</v>
      </c>
      <c r="Q18">
        <f ca="1">Q17 * (1 - (0)) + N17 * input_parameters!O14+O17 * input_parameters!O15+P17 * input_parameters!O16</f>
        <v>0.51083043166679609</v>
      </c>
      <c r="R18">
        <f ca="1">R17 * (1 - (input_parameters!O12+input_parameters!O14))</f>
        <v>0.46990143760275493</v>
      </c>
      <c r="S18">
        <f ca="1">S17 * (1 - (input_parameters!O13+input_parameters!O15)) + R17 * input_parameters!O12</f>
        <v>1.6007544774379802E-2</v>
      </c>
      <c r="T18">
        <f ca="1">T17 * (1 - (input_parameters!O16)) + S17 * input_parameters!O13</f>
        <v>3.3046104879707414E-3</v>
      </c>
      <c r="U18">
        <f ca="1">U17 * (1 - (0)) + R17 * input_parameters!O14+S17 * input_parameters!O15+T17 * input_parameters!O16</f>
        <v>0.51078640713489454</v>
      </c>
      <c r="V18">
        <f ca="1">F18 * state_costs!E9 + G18 * state_costs!F9 + H18 * state_costs!G9 + I18 * state_costs!H9</f>
        <v>28.555031170557278</v>
      </c>
      <c r="W18">
        <f ca="1">F18 * state_qalys!E9 + G18 * state_qalys!F9 + H18 * state_qalys!G9 + I18 * state_qalys!H9</f>
        <v>0.36612754266392905</v>
      </c>
      <c r="X18">
        <f ca="1">(F18 * state_costs!E9 + G18 * state_costs!F9 + H18 * state_costs!G9 + I18 * state_costs!H9) * (1 / (1 + model_settings!F10)^(10 * model_settings!F9))</f>
        <v>20.243198822877034</v>
      </c>
      <c r="Y18">
        <f ca="1">(F18 * state_qalys!E9 + G18 * state_qalys!F9 + H18 * state_qalys!G9 + I18 * state_qalys!H9) * (1 / (1 + model_settings!F11)^(10 * model_settings!F9))</f>
        <v>0.25955470321178659</v>
      </c>
      <c r="Z18">
        <f ca="1">J18 * state_costs!I9 + K18 * state_costs!J9 + L18 * state_costs!K9 + M18 * state_costs!L9</f>
        <v>18.975568728618679</v>
      </c>
      <c r="AA18">
        <f ca="1">J18 * state_qalys!I9 + K18 * state_qalys!J9 + L18 * state_qalys!K9 + M18 * state_qalys!L9</f>
        <v>0.36721534989235932</v>
      </c>
      <c r="AB18">
        <f ca="1">(J18 * state_costs!I9 + K18 * state_costs!J9 + L18 * state_costs!K9 + M18 * state_costs!L9) * (1 / (1 + model_settings!F10)^(10 * model_settings!F9))</f>
        <v>13.452137672560603</v>
      </c>
      <c r="AC18">
        <f ca="1">(J18 * state_qalys!I9 + K18 * state_qalys!J9 + L18 * state_qalys!K9 + M18 * state_qalys!L9) * (1 / (1 + model_settings!F11)^(10 * model_settings!F9))</f>
        <v>0.26032587022171028</v>
      </c>
      <c r="AD18">
        <f ca="1">N18 * state_costs!M9 + O18 * state_costs!N9 + P18 * state_costs!O9 + Q18 * state_costs!P9</f>
        <v>22.589223533832019</v>
      </c>
      <c r="AE18">
        <f ca="1">N18 * state_qalys!M9 + O18 * state_qalys!N9 + P18 * state_qalys!O9 + Q18 * state_qalys!P9</f>
        <v>0.36677282308125908</v>
      </c>
      <c r="AF18">
        <f ca="1">(N18 * state_costs!M9 + O18 * state_costs!N9 + P18 * state_costs!O9 + Q18 * state_costs!P9) * (1 / (1 + model_settings!F10)^(10 * model_settings!F9))</f>
        <v>16.013925550229061</v>
      </c>
      <c r="AG18">
        <f ca="1">(N18 * state_qalys!M9 + O18 * state_qalys!N9 + P18 * state_qalys!O9 + Q18 * state_qalys!P9) * (1 / (1 + model_settings!F11)^(10 * model_settings!F9))</f>
        <v>0.2600121546397503</v>
      </c>
      <c r="AH18">
        <f ca="1">R18 * state_costs!Q9 + S18 * state_costs!R9 + T18 * state_costs!S9 + U18 * state_costs!T9</f>
        <v>23.937137338982733</v>
      </c>
      <c r="AI18">
        <f ca="1">R18 * state_qalys!Q9 + S18 * state_qalys!R9 + T18 * state_qalys!S9 + U18 * state_qalys!T9</f>
        <v>0.36658143936087945</v>
      </c>
      <c r="AJ18">
        <f ca="1">(R18 * state_costs!Q9 + S18 * state_costs!R9 + T18 * state_costs!S9 + U18 * state_costs!T9) * (1 / (1 + model_settings!F10)^(10 * model_settings!F9))</f>
        <v>16.969487005959532</v>
      </c>
      <c r="AK18">
        <f ca="1">(R18 * state_qalys!Q9 + S18 * state_qalys!R9 + T18 * state_qalys!S9 + U18 * state_qalys!T9) * (1 / (1 + model_settings!F11)^(10 * model_settings!F9))</f>
        <v>0.25987647911973544</v>
      </c>
    </row>
    <row r="19" spans="5:37" x14ac:dyDescent="0.55000000000000004">
      <c r="E19">
        <v>11</v>
      </c>
      <c r="F19">
        <f ca="1">F18 * (1 - (input_parameters!O9+input_parameters!O14))</f>
        <v>0.4291434989014779</v>
      </c>
      <c r="G19">
        <f ca="1">G18 * (1 - (input_parameters!O13+input_parameters!O15)) + F18 * input_parameters!O9</f>
        <v>1.8558863045985939E-2</v>
      </c>
      <c r="H19">
        <f ca="1">H18 * (1 - (input_parameters!O16)) + G18 * input_parameters!O13</f>
        <v>4.3535035123404902E-3</v>
      </c>
      <c r="I19">
        <f ca="1">I18 * (1 - (0)) + F18 * input_parameters!O14+G18 * input_parameters!O15+H18 * input_parameters!O16</f>
        <v>0.54794413454019553</v>
      </c>
      <c r="J19">
        <f ca="1">J18 * (1 - (input_parameters!O10+input_parameters!O14))</f>
        <v>0.43618047457709747</v>
      </c>
      <c r="K19">
        <f ca="1">K18 * (1 - (input_parameters!O13+input_parameters!O15)) + J18 * input_parameters!O10</f>
        <v>1.2634670993431494E-2</v>
      </c>
      <c r="L19">
        <f ca="1">L18 * (1 - (input_parameters!O16)) + K18 * input_parameters!O13</f>
        <v>2.9539014005000763E-3</v>
      </c>
      <c r="M19">
        <f ca="1">M18 * (1 - (0)) + J18 * input_parameters!O14+K18 * input_parameters!O15+L18 * input_parameters!O16</f>
        <v>0.54823095302897107</v>
      </c>
      <c r="N19">
        <f ca="1">N18 * (1 - (input_parameters!O11+input_parameters!O14))</f>
        <v>0.43331698230432497</v>
      </c>
      <c r="O19">
        <f ca="1">O18 * (1 - (input_parameters!O13+input_parameters!O15)) + N18 * input_parameters!O11</f>
        <v>1.5046112230818335E-2</v>
      </c>
      <c r="P19">
        <f ca="1">P18 * (1 - (input_parameters!O16)) + O18 * input_parameters!O13</f>
        <v>3.5224611466029105E-3</v>
      </c>
      <c r="Q19">
        <f ca="1">Q18 * (1 - (0)) + N18 * input_parameters!O14+O18 * input_parameters!O15+P18 * input_parameters!O16</f>
        <v>0.5481144443182534</v>
      </c>
      <c r="R19">
        <f ca="1">R18 * (1 - (input_parameters!O12+input_parameters!O14))</f>
        <v>0.43207892312831092</v>
      </c>
      <c r="S19">
        <f ca="1">S18 * (1 - (input_parameters!O13+input_parameters!O15)) + R18 * input_parameters!O12</f>
        <v>1.6088399200540535E-2</v>
      </c>
      <c r="T19">
        <f ca="1">T18 * (1 - (input_parameters!O16)) + S18 * input_parameters!O13</f>
        <v>3.7686933137694788E-3</v>
      </c>
      <c r="U19">
        <f ca="1">U18 * (1 - (0)) + R18 * input_parameters!O14+S18 * input_parameters!O15+T18 * input_parameters!O16</f>
        <v>0.54806398435737902</v>
      </c>
      <c r="V19">
        <f ca="1">F19 * state_costs!E9 + G19 * state_costs!F9 + H19 * state_costs!G9 + I19 * state_costs!H9</f>
        <v>27.23126230227113</v>
      </c>
      <c r="W19">
        <f ca="1">F19 * state_qalys!E9 + G19 * state_qalys!F9 + H19 * state_qalys!G9 + I19 * state_qalys!H9</f>
        <v>0.33782873631110455</v>
      </c>
      <c r="X19">
        <f ca="1">(F19 * state_costs!E9 + G19 * state_costs!F9 + H19 * state_costs!G9 + I19 * state_costs!H9) * (1 / (1 + model_settings!F10)^(11 * model_settings!F9))</f>
        <v>18.651936393377479</v>
      </c>
      <c r="Y19">
        <f ca="1">(F19 * state_qalys!E9 + G19 * state_qalys!F9 + H19 * state_qalys!G9 + I19 * state_qalys!H9) * (1 / (1 + model_settings!F11)^(11 * model_settings!F9))</f>
        <v>0.23139434491085958</v>
      </c>
      <c r="Z19">
        <f ca="1">J19 * state_costs!I9 + K19 * state_costs!J9 + L19 * state_costs!K9 + M19 * state_costs!L9</f>
        <v>18.135173100764192</v>
      </c>
      <c r="AA19">
        <f ca="1">J19 * state_qalys!I9 + K19 * state_qalys!J9 + L19 * state_qalys!K9 + M19 * state_qalys!L9</f>
        <v>0.33892317280697543</v>
      </c>
      <c r="AB19">
        <f ca="1">(J19 * state_costs!I9 + K19 * state_costs!J9 + L19 * state_costs!K9 + M19 * state_costs!L9) * (1 / (1 + model_settings!F10)^(11 * model_settings!F9))</f>
        <v>12.421609083106398</v>
      </c>
      <c r="AC19">
        <f ca="1">(J19 * state_qalys!I9 + K19 * state_qalys!J9 + L19 * state_qalys!K9 + M19 * state_qalys!L9) * (1 / (1 + model_settings!F11)^(11 * model_settings!F9))</f>
        <v>0.23214397449765523</v>
      </c>
      <c r="AD19">
        <f ca="1">N19 * state_costs!M9 + O19 * state_costs!N9 + P19 * state_costs!O9 + Q19 * state_costs!P9</f>
        <v>21.577902165140667</v>
      </c>
      <c r="AE19">
        <f ca="1">N19 * state_qalys!M9 + O19 * state_qalys!N9 + P19 * state_qalys!O9 + Q19 * state_qalys!P9</f>
        <v>0.33847771197441412</v>
      </c>
      <c r="AF19">
        <f ca="1">(N19 * state_costs!M9 + O19 * state_costs!N9 + P19 * state_costs!O9 + Q19 * state_costs!P9) * (1 / (1 + model_settings!F10)^(11 * model_settings!F9))</f>
        <v>14.77969159928217</v>
      </c>
      <c r="AG19">
        <f ca="1">(N19 * state_qalys!M9 + O19 * state_qalys!N9 + P19 * state_qalys!O9 + Q19 * state_qalys!P9) * (1 / (1 + model_settings!F11)^(11 * model_settings!F9))</f>
        <v>0.23183885800975809</v>
      </c>
      <c r="AH19">
        <f ca="1">R19 * state_costs!Q9 + S19 * state_costs!R9 + T19 * state_costs!S9 + U19 * state_costs!T9</f>
        <v>22.868035818631022</v>
      </c>
      <c r="AI19">
        <f ca="1">R19 * state_qalys!Q9 + S19 * state_qalys!R9 + T19 * state_qalys!S9 + U19 * state_qalys!T9</f>
        <v>0.33828515991766511</v>
      </c>
      <c r="AJ19">
        <f ca="1">(R19 * state_costs!Q9 + S19 * state_costs!R9 + T19 * state_costs!S9 + U19 * state_costs!T9) * (1 / (1 + model_settings!F10)^(11 * model_settings!F9))</f>
        <v>15.663363115378244</v>
      </c>
      <c r="AK19">
        <f ca="1">(R19 * state_qalys!Q9 + S19 * state_qalys!R9 + T19 * state_qalys!S9 + U19 * state_qalys!T9) * (1 / (1 + model_settings!F11)^(11 * model_settings!F9))</f>
        <v>0.23170697030381809</v>
      </c>
    </row>
    <row r="20" spans="5:37" x14ac:dyDescent="0.55000000000000004">
      <c r="E20">
        <v>12</v>
      </c>
      <c r="F20">
        <f ca="1">F19 * (1 - (input_parameters!O9+input_parameters!O14))</f>
        <v>0.39433269924150793</v>
      </c>
      <c r="G20">
        <f ca="1">G19 * (1 - (input_parameters!O13+input_parameters!O15)) + F19 * input_parameters!O9</f>
        <v>1.8460874695980879E-2</v>
      </c>
      <c r="H20">
        <f ca="1">H19 * (1 - (input_parameters!O16)) + G19 * input_parameters!O13</f>
        <v>4.8538232449608556E-3</v>
      </c>
      <c r="I20">
        <f ca="1">I19 * (1 - (0)) + F19 * input_parameters!O14+G19 * input_parameters!O15+H19 * input_parameters!O16</f>
        <v>0.58235260281755008</v>
      </c>
      <c r="J20">
        <f ca="1">J19 * (1 - (input_parameters!O10+input_parameters!O14))</f>
        <v>0.40145127609590603</v>
      </c>
      <c r="K20">
        <f ca="1">K19 * (1 - (input_parameters!O13+input_parameters!O15)) + J19 * input_parameters!O10</f>
        <v>1.2579428733645677E-2</v>
      </c>
      <c r="L20">
        <f ca="1">L19 * (1 - (input_parameters!O16)) + K19 * input_parameters!O13</f>
        <v>3.2952300643442939E-3</v>
      </c>
      <c r="M20">
        <f ca="1">M19 * (1 - (0)) + J19 * input_parameters!O14+K19 * input_parameters!O15+L19 * input_parameters!O16</f>
        <v>0.5826740651061042</v>
      </c>
      <c r="N20">
        <f ca="1">N19 * (1 - (input_parameters!O11+input_parameters!O14))</f>
        <v>0.39855318213401375</v>
      </c>
      <c r="O20">
        <f ca="1">O19 * (1 - (input_parameters!O13+input_parameters!O15)) + N19 * input_parameters!O11</f>
        <v>1.497478671115063E-2</v>
      </c>
      <c r="P20">
        <f ca="1">P19 * (1 - (input_parameters!O16)) + O19 * input_parameters!O13</f>
        <v>3.9285900412983988E-3</v>
      </c>
      <c r="Q20">
        <f ca="1">Q19 * (1 - (0)) + N19 * input_parameters!O14+O19 * input_parameters!O15+P19 * input_parameters!O16</f>
        <v>0.58254344111353684</v>
      </c>
      <c r="R20">
        <f ca="1">R19 * (1 - (input_parameters!O12+input_parameters!O14))</f>
        <v>0.39730075473730853</v>
      </c>
      <c r="S20">
        <f ca="1">S19 * (1 - (input_parameters!O13+input_parameters!O15)) + R19 * input_parameters!O12</f>
        <v>1.6009563949580304E-2</v>
      </c>
      <c r="T20">
        <f ca="1">T19 * (1 - (input_parameters!O16)) + S19 * input_parameters!O13</f>
        <v>4.2027954209380644E-3</v>
      </c>
      <c r="U20">
        <f ca="1">U19 * (1 - (0)) + R19 * input_parameters!O14+S19 * input_parameters!O15+T19 * input_parameters!O16</f>
        <v>0.58248688589217312</v>
      </c>
      <c r="V20">
        <f ca="1">F20 * state_costs!E9 + G20 * state_costs!F9 + H20 * state_costs!G9 + I20 * state_costs!H9</f>
        <v>25.955562360878975</v>
      </c>
      <c r="W20">
        <f ca="1">F20 * state_qalys!E9 + G20 * state_qalys!F9 + H20 * state_qalys!G9 + I20 * state_qalys!H9</f>
        <v>0.31172776241255401</v>
      </c>
      <c r="X20">
        <f ca="1">(F20 * state_costs!E9 + G20 * state_costs!F9 + H20 * state_costs!G9 + I20 * state_costs!H9) * (1 / (1 + model_settings!F10)^(12 * model_settings!F9))</f>
        <v>17.17695766813166</v>
      </c>
      <c r="Y20">
        <f ca="1">(F20 * state_qalys!E9 + G20 * state_qalys!F9 + H20 * state_qalys!G9 + I20 * state_qalys!H9) * (1 / (1 + model_settings!F11)^(12 * model_settings!F9))</f>
        <v>0.20629622677766996</v>
      </c>
      <c r="Z20">
        <f ca="1">J20 * state_costs!I9 + K20 * state_costs!J9 + L20 * state_costs!K9 + M20 * state_costs!L9</f>
        <v>17.321625544204917</v>
      </c>
      <c r="AA20">
        <f ca="1">J20 * state_qalys!I9 + K20 * state_qalys!J9 + L20 * state_qalys!K9 + M20 * state_qalys!L9</f>
        <v>0.31281766841457553</v>
      </c>
      <c r="AB20">
        <f ca="1">(J20 * state_costs!I9 + K20 * state_costs!J9 + L20 * state_costs!K9 + M20 * state_costs!L9) * (1 / (1 + model_settings!F10)^(12 * model_settings!F9))</f>
        <v>11.463162484373159</v>
      </c>
      <c r="AC20">
        <f ca="1">(J20 * state_qalys!I9 + K20 * state_qalys!J9 + L20 * state_qalys!K9 + M20 * state_qalys!L9) * (1 / (1 + model_settings!F11)^(12 * model_settings!F9))</f>
        <v>0.20701750836651286</v>
      </c>
      <c r="AD20">
        <f ca="1">N20 * state_costs!M9 + O20 * state_costs!N9 + P20 * state_costs!O9 + Q20 * state_costs!P9</f>
        <v>20.599853446146852</v>
      </c>
      <c r="AE20">
        <f ca="1">N20 * state_qalys!M9 + O20 * state_qalys!N9 + P20 * state_qalys!O9 + Q20 * state_qalys!P9</f>
        <v>0.31237381252437879</v>
      </c>
      <c r="AF20">
        <f ca="1">(N20 * state_costs!M9 + O20 * state_costs!N9 + P20 * state_costs!O9 + Q20 * state_costs!P9) * (1 / (1 + model_settings!F10)^(12 * model_settings!F9))</f>
        <v>13.632638957863744</v>
      </c>
      <c r="AG20">
        <f ca="1">(N20 * state_qalys!M9 + O20 * state_qalys!N9 + P20 * state_qalys!O9 + Q20 * state_qalys!P9) * (1 / (1 + model_settings!F11)^(12 * model_settings!F9))</f>
        <v>0.20672377195153341</v>
      </c>
      <c r="AH20">
        <f ca="1">R20 * state_costs!Q9 + S20 * state_costs!R9 + T20 * state_costs!S9 + U20 * state_costs!T9</f>
        <v>21.833738062642478</v>
      </c>
      <c r="AI20">
        <f ca="1">R20 * state_qalys!Q9 + S20 * state_qalys!R9 + T20 * state_qalys!S9 + U20 * state_qalys!T9</f>
        <v>0.31218205556680256</v>
      </c>
      <c r="AJ20">
        <f ca="1">(R20 * state_costs!Q9 + S20 * state_costs!R9 + T20 * state_costs!S9 + U20 * state_costs!T9) * (1 / (1 + model_settings!F10)^(12 * model_settings!F9))</f>
        <v>14.449203189076435</v>
      </c>
      <c r="AK20">
        <f ca="1">(R20 * state_qalys!Q9 + S20 * state_qalys!R9 + T20 * state_qalys!S9 + U20 * state_qalys!T9) * (1 / (1 + model_settings!F11)^(12 * model_settings!F9))</f>
        <v>0.20659687039967872</v>
      </c>
    </row>
    <row r="21" spans="5:37" x14ac:dyDescent="0.55000000000000004">
      <c r="E21">
        <v>13</v>
      </c>
      <c r="F21">
        <f ca="1">F20 * (1 - (input_parameters!O9+input_parameters!O14))</f>
        <v>0.36234564449686002</v>
      </c>
      <c r="G21">
        <f ca="1">G20 * (1 - (input_parameters!O13+input_parameters!O15)) + F20 * input_parameters!O9</f>
        <v>1.8213386224681626E-2</v>
      </c>
      <c r="H21">
        <f ca="1">H20 * (1 - (input_parameters!O16)) + G20 * input_parameters!O13</f>
        <v>5.3136915882633353E-3</v>
      </c>
      <c r="I21">
        <f ca="1">I20 * (1 - (0)) + F20 * input_parameters!O14+G20 * input_parameters!O15+H20 * input_parameters!O16</f>
        <v>0.61412727769019482</v>
      </c>
      <c r="J21">
        <f ca="1">J20 * (1 - (input_parameters!O10+input_parameters!O14))</f>
        <v>0.36948725693255408</v>
      </c>
      <c r="K21">
        <f ca="1">K20 * (1 - (input_parameters!O13+input_parameters!O15)) + J20 * input_parameters!O10</f>
        <v>1.2422226935881348E-2</v>
      </c>
      <c r="L21">
        <f ca="1">L20 * (1 - (input_parameters!O16)) + K20 * input_parameters!O13</f>
        <v>3.6094715892521995E-3</v>
      </c>
      <c r="M21">
        <f ca="1">M20 * (1 - (0)) + J20 * input_parameters!O14+K20 * input_parameters!O15+L20 * input_parameters!O16</f>
        <v>0.61448104454231267</v>
      </c>
      <c r="N21">
        <f ca="1">N20 * (1 - (input_parameters!O11+input_parameters!O14))</f>
        <v>0.36657838366830814</v>
      </c>
      <c r="O21">
        <f ca="1">O20 * (1 - (input_parameters!O13+input_parameters!O15)) + N20 * input_parameters!O11</f>
        <v>1.4782125754237352E-2</v>
      </c>
      <c r="P21">
        <f ca="1">P20 * (1 - (input_parameters!O16)) + O20 * input_parameters!O13</f>
        <v>4.30224369353387E-3</v>
      </c>
      <c r="Q21">
        <f ca="1">Q20 * (1 - (0)) + N20 * input_parameters!O14+O20 * input_parameters!O15+P20 * input_parameters!O16</f>
        <v>0.61433724688392033</v>
      </c>
      <c r="R21">
        <f ca="1">R20 * (1 - (input_parameters!O12+input_parameters!O14))</f>
        <v>0.36532189205618854</v>
      </c>
      <c r="S21">
        <f ca="1">S20 * (1 - (input_parameters!O13+input_parameters!O15)) + R20 * input_parameters!O12</f>
        <v>1.5801028630016513E-2</v>
      </c>
      <c r="T21">
        <f ca="1">T20 * (1 - (input_parameters!O16)) + S20 * input_parameters!O13</f>
        <v>4.602071439711101E-3</v>
      </c>
      <c r="U21">
        <f ca="1">U20 * (1 - (0)) + R20 * input_parameters!O14+S20 * input_parameters!O15+T20 * input_parameters!O16</f>
        <v>0.61427500787408384</v>
      </c>
      <c r="V21">
        <f ca="1">F21 * state_costs!E9 + G21 * state_costs!F9 + H21 * state_costs!G9 + I21 * state_costs!H9</f>
        <v>24.72693023083335</v>
      </c>
      <c r="W21">
        <f ca="1">F21 * state_qalys!E9 + G21 * state_qalys!F9 + H21 * state_qalys!G9 + I21 * state_qalys!H9</f>
        <v>0.28765300589478926</v>
      </c>
      <c r="X21">
        <f ca="1">(F21 * state_costs!E9 + G21 * state_costs!F9 + H21 * state_costs!G9 + I21 * state_costs!H9) * (1 / (1 + model_settings!F10)^(13 * model_settings!F9))</f>
        <v>15.810501878962388</v>
      </c>
      <c r="Y21">
        <f ca="1">(F21 * state_qalys!E9 + G21 * state_qalys!F9 + H21 * state_qalys!G9 + I21 * state_qalys!H9) * (1 / (1 + model_settings!F11)^(13 * model_settings!F9))</f>
        <v>0.18392652657375452</v>
      </c>
      <c r="Z21">
        <f ca="1">J21 * state_costs!I9 + K21 * state_costs!J9 + L21 * state_costs!K9 + M21 * state_costs!L9</f>
        <v>16.534746068980738</v>
      </c>
      <c r="AA21">
        <f ca="1">J21 * state_qalys!I9 + K21 * state_qalys!J9 + L21 * state_qalys!K9 + M21 * state_qalys!L9</f>
        <v>0.28872923444990561</v>
      </c>
      <c r="AB21">
        <f ca="1">(J21 * state_costs!I9 + K21 * state_costs!J9 + L21 * state_costs!K9 + M21 * state_costs!L9) * (1 / (1 + model_settings!F10)^(13 * model_settings!F9))</f>
        <v>10.572385304254382</v>
      </c>
      <c r="AC21">
        <f ca="1">(J21 * state_qalys!I9 + K21 * state_qalys!J9 + L21 * state_qalys!K9 + M21 * state_qalys!L9) * (1 / (1 + model_settings!F11)^(13 * model_settings!F9))</f>
        <v>0.18461467158140463</v>
      </c>
      <c r="AD21">
        <f ca="1">N21 * state_costs!M9 + O21 * state_costs!N9 + P21 * state_costs!O9 + Q21 * state_costs!P9</f>
        <v>19.654746700884175</v>
      </c>
      <c r="AE21">
        <f ca="1">N21 * state_qalys!M9 + O21 * state_qalys!N9 + P21 * state_qalys!O9 + Q21 * state_qalys!P9</f>
        <v>0.28829070958169828</v>
      </c>
      <c r="AF21">
        <f ca="1">(N21 * state_costs!M9 + O21 * state_costs!N9 + P21 * state_costs!O9 + Q21 * state_costs!P9) * (1 / (1 + model_settings!F10)^(13 * model_settings!F9))</f>
        <v>12.567326665457497</v>
      </c>
      <c r="AG21">
        <f ca="1">(N21 * state_qalys!M9 + O21 * state_qalys!N9 + P21 * state_qalys!O9 + Q21 * state_qalys!P9) * (1 / (1 + model_settings!F11)^(13 * model_settings!F9))</f>
        <v>0.18433427695950699</v>
      </c>
      <c r="AH21">
        <f ca="1">R21 * state_costs!Q9 + S21 * state_costs!R9 + T21 * state_costs!S9 + U21 * state_costs!T9</f>
        <v>20.833946835609627</v>
      </c>
      <c r="AI21">
        <f ca="1">R21 * state_qalys!Q9 + S21 * state_qalys!R9 + T21 * state_qalys!S9 + U21 * state_qalys!T9</f>
        <v>0.28810135708463069</v>
      </c>
      <c r="AJ21">
        <f ca="1">(R21 * state_costs!Q9 + S21 * state_costs!R9 + T21 * state_costs!S9 + U21 * state_costs!T9) * (1 / (1 + model_settings!F10)^(13 * model_settings!F9))</f>
        <v>13.321312128744061</v>
      </c>
      <c r="AK21">
        <f ca="1">(R21 * state_qalys!Q9 + S21 * state_qalys!R9 + T21 * state_qalys!S9 + U21 * state_qalys!T9) * (1 / (1 + model_settings!F11)^(13 * model_settings!F9))</f>
        <v>0.1842132041865131</v>
      </c>
    </row>
    <row r="22" spans="5:37" x14ac:dyDescent="0.55000000000000004">
      <c r="E22">
        <v>14</v>
      </c>
      <c r="F22">
        <f ca="1">F21 * (1 - (input_parameters!O9+input_parameters!O14))</f>
        <v>0.33295328117193246</v>
      </c>
      <c r="G22">
        <f ca="1">G21 * (1 - (input_parameters!O13+input_parameters!O15)) + F21 * input_parameters!O9</f>
        <v>1.7846138093959355E-2</v>
      </c>
      <c r="H22">
        <f ca="1">H21 * (1 - (input_parameters!O16)) + G21 * input_parameters!O13</f>
        <v>5.7294670922083939E-3</v>
      </c>
      <c r="I22">
        <f ca="1">I21 * (1 - (0)) + F21 * input_parameters!O14+G21 * input_parameters!O15+H21 * input_parameters!O16</f>
        <v>0.64347111364189946</v>
      </c>
      <c r="J22">
        <f ca="1">J21 * (1 - (input_parameters!O10+input_parameters!O14))</f>
        <v>0.34006825028232973</v>
      </c>
      <c r="K22">
        <f ca="1">K21 * (1 - (input_parameters!O13+input_parameters!O15)) + J21 * input_parameters!O10</f>
        <v>1.2183081798959708E-2</v>
      </c>
      <c r="L22">
        <f ca="1">L21 * (1 - (input_parameters!O16)) + K21 * input_parameters!O13</f>
        <v>3.8941063092199548E-3</v>
      </c>
      <c r="M22">
        <f ca="1">M21 * (1 - (0)) + J21 * input_parameters!O14+K21 * input_parameters!O15+L21 * input_parameters!O16</f>
        <v>0.64385456160949084</v>
      </c>
      <c r="N22">
        <f ca="1">N21 * (1 - (input_parameters!O11+input_parameters!O14))</f>
        <v>0.33716883316135227</v>
      </c>
      <c r="O22">
        <f ca="1">O21 * (1 - (input_parameters!O13+input_parameters!O15)) + N21 * input_parameters!O11</f>
        <v>1.4492077455808711E-2</v>
      </c>
      <c r="P22">
        <f ca="1">P21 * (1 - (input_parameters!O16)) + O21 * input_parameters!O13</f>
        <v>4.6404409954779648E-3</v>
      </c>
      <c r="Q22">
        <f ca="1">Q21 * (1 - (0)) + N21 * input_parameters!O14+O21 * input_parameters!O15+P21 * input_parameters!O16</f>
        <v>0.64369864838736068</v>
      </c>
      <c r="R22">
        <f ca="1">R21 * (1 - (input_parameters!O12+input_parameters!O14))</f>
        <v>0.33591701808811314</v>
      </c>
      <c r="S22">
        <f ca="1">S21 * (1 - (input_parameters!O13+input_parameters!O15)) + R21 * input_parameters!O12</f>
        <v>1.5488451991153541E-2</v>
      </c>
      <c r="T22">
        <f ca="1">T21 * (1 - (input_parameters!O16)) + S21 * input_parameters!O13</f>
        <v>4.9633428473401372E-3</v>
      </c>
      <c r="U22">
        <f ca="1">U21 * (1 - (0)) + R21 * input_parameters!O14+S21 * input_parameters!O15+T21 * input_parameters!O16</f>
        <v>0.64363118707339317</v>
      </c>
      <c r="V22">
        <f ca="1">F22 * state_costs!E9 + G22 * state_costs!F9 + H22 * state_costs!G9 + I22 * state_costs!H9</f>
        <v>23.544391800605649</v>
      </c>
      <c r="W22">
        <f ca="1">F22 * state_qalys!E9 + G22 * state_qalys!F9 + H22 * state_qalys!G9 + I22 * state_qalys!H9</f>
        <v>0.26544633467893697</v>
      </c>
      <c r="X22">
        <f ca="1">(F22 * state_costs!E9 + G22 * state_costs!F9 + H22 * state_costs!G9 + I22 * state_costs!H9) * (1 / (1 + model_settings!F10)^(14 * model_settings!F9))</f>
        <v>14.545296517553579</v>
      </c>
      <c r="Y22">
        <f ca="1">(F22 * state_qalys!E9 + G22 * state_qalys!F9 + H22 * state_qalys!G9 + I22 * state_qalys!H9) * (1 / (1 + model_settings!F11)^(14 * model_settings!F9))</f>
        <v>0.1639879118603346</v>
      </c>
      <c r="Z22">
        <f ca="1">J22 * state_costs!I9 + K22 * state_costs!J9 + L22 * state_costs!K9 + M22 * state_costs!L9</f>
        <v>15.774332401255208</v>
      </c>
      <c r="AA22">
        <f ca="1">J22 * state_qalys!I9 + K22 * state_qalys!J9 + L22 * state_qalys!K9 + M22 * state_qalys!L9</f>
        <v>0.26650147677805375</v>
      </c>
      <c r="AB22">
        <f ca="1">(J22 * state_costs!I9 + K22 * state_costs!J9 + L22 * state_costs!K9 + M22 * state_costs!L9) * (1 / (1 + model_settings!F10)^(14 * model_settings!F9))</f>
        <v>9.7450953112667733</v>
      </c>
      <c r="AC22">
        <f ca="1">(J22 * state_qalys!I9 + K22 * state_qalys!J9 + L22 * state_qalys!K9 + M22 * state_qalys!L9) * (1 / (1 + model_settings!F11)^(14 * model_settings!F9))</f>
        <v>0.16463975943532325</v>
      </c>
      <c r="AD22">
        <f ca="1">N22 * state_costs!M9 + O22 * state_costs!N9 + P22 * state_costs!O9 + Q22 * state_costs!P9</f>
        <v>18.742234041607649</v>
      </c>
      <c r="AE22">
        <f ca="1">N22 * state_qalys!M9 + O22 * state_qalys!N9 + P22 * state_qalys!O9 + Q22 * state_qalys!P9</f>
        <v>0.26607130655464295</v>
      </c>
      <c r="AF22">
        <f ca="1">(N22 * state_costs!M9 + O22 * state_costs!N9 + P22 * state_costs!O9 + Q22 * state_costs!P9) * (1 / (1 + model_settings!F10)^(14 * model_settings!F9))</f>
        <v>11.578610900008778</v>
      </c>
      <c r="AG22">
        <f ca="1">(N22 * state_qalys!M9 + O22 * state_qalys!N9 + P22 * state_qalys!O9 + Q22 * state_qalys!P9) * (1 / (1 + model_settings!F11)^(14 * model_settings!F9))</f>
        <v>0.1643740081045808</v>
      </c>
      <c r="AH22">
        <f ca="1">R22 * state_costs!Q9 + S22 * state_costs!R9 + T22 * state_costs!S9 + U22 * state_costs!T9</f>
        <v>19.868341991549141</v>
      </c>
      <c r="AI22">
        <f ca="1">R22 * state_qalys!Q9 + S22 * state_qalys!R9 + T22 * state_qalys!S9 + U22 * state_qalys!T9</f>
        <v>0.26588566214981207</v>
      </c>
      <c r="AJ22">
        <f ca="1">(R22 * state_costs!Q9 + S22 * state_costs!R9 + T22 * state_costs!S9 + U22 * state_costs!T9) * (1 / (1 + model_settings!F10)^(14 * model_settings!F9))</f>
        <v>12.274299885368427</v>
      </c>
      <c r="AK22">
        <f ca="1">(R22 * state_qalys!Q9 + S22 * state_qalys!R9 + T22 * state_qalys!S9 + U22 * state_qalys!T9) * (1 / (1 + model_settings!F11)^(14 * model_settings!F9))</f>
        <v>0.16425932037180954</v>
      </c>
    </row>
    <row r="23" spans="5:37" x14ac:dyDescent="0.55000000000000004">
      <c r="E23">
        <v>15</v>
      </c>
      <c r="F23">
        <f ca="1">F22 * (1 - (input_parameters!O9+input_parameters!O14))</f>
        <v>0.30594513588562416</v>
      </c>
      <c r="G23">
        <f ca="1">G22 * (1 - (input_parameters!O13+input_parameters!O15)) + F22 * input_parameters!O9</f>
        <v>1.7384487926119071E-2</v>
      </c>
      <c r="H23">
        <f ca="1">H22 * (1 - (input_parameters!O16)) + G22 * input_parameters!O13</f>
        <v>6.099077229088758E-3</v>
      </c>
      <c r="I23">
        <f ca="1">I22 * (1 - (0)) + F22 * input_parameters!O14+G22 * input_parameters!O15+H22 * input_parameters!O16</f>
        <v>0.67057129895916767</v>
      </c>
      <c r="J23">
        <f ca="1">J22 * (1 - (input_parameters!O10+input_parameters!O14))</f>
        <v>0.31299161927848368</v>
      </c>
      <c r="K23">
        <f ca="1">K22 * (1 - (input_parameters!O13+input_parameters!O15)) + J22 * input_parameters!O10</f>
        <v>1.187908479562484E-2</v>
      </c>
      <c r="L23">
        <f ca="1">L22 * (1 - (input_parameters!O16)) + K22 * input_parameters!O13</f>
        <v>4.1476754642987149E-3</v>
      </c>
      <c r="M23">
        <f ca="1">M22 * (1 - (0)) + J22 * input_parameters!O14+K22 * input_parameters!O15+L22 * input_parameters!O16</f>
        <v>0.67098162046159293</v>
      </c>
      <c r="N23">
        <f ca="1">N22 * (1 - (input_parameters!O11+input_parameters!O14))</f>
        <v>0.31011872799966206</v>
      </c>
      <c r="O23">
        <f ca="1">O22 * (1 - (input_parameters!O13+input_parameters!O15)) + N22 * input_parameters!O11</f>
        <v>1.4125078564920424E-2</v>
      </c>
      <c r="P23">
        <f ca="1">P22 * (1 - (input_parameters!O16)) + O22 * input_parameters!O13</f>
        <v>4.9414677240212038E-3</v>
      </c>
      <c r="Q23">
        <f ca="1">Q22 * (1 - (0)) + N22 * input_parameters!O14+O22 * input_parameters!O15+P22 * input_parameters!O16</f>
        <v>0.670814725711396</v>
      </c>
      <c r="R23">
        <f ca="1">R22 * (1 - (input_parameters!O12+input_parameters!O14))</f>
        <v>0.30887895167217155</v>
      </c>
      <c r="S23">
        <f ca="1">S22 * (1 - (input_parameters!O13+input_parameters!O15)) + R22 * input_parameters!O12</f>
        <v>1.5093724964815879E-2</v>
      </c>
      <c r="T23">
        <f ca="1">T22 * (1 - (input_parameters!O16)) + S22 * input_parameters!O13</f>
        <v>5.284787379425308E-3</v>
      </c>
      <c r="U23">
        <f ca="1">U22 * (1 - (0)) + R22 * input_parameters!O14+S22 * input_parameters!O15+T22 * input_parameters!O16</f>
        <v>0.67074253598358735</v>
      </c>
      <c r="V23">
        <f ca="1">F23 * state_costs!E9 + G23 * state_costs!F9 + H23 * state_costs!G9 + I23 * state_costs!H9</f>
        <v>22.406984327845983</v>
      </c>
      <c r="W23">
        <f ca="1">F23 * state_qalys!E9 + G23 * state_qalys!F9 + H23 * state_qalys!G9 + I23 * state_qalys!H9</f>
        <v>0.24496203272458</v>
      </c>
      <c r="X23">
        <f ca="1">(F23 * state_costs!E9 + G23 * state_costs!F9 + H23 * state_costs!G9 + I23 * state_costs!H9) * (1 / (1 + model_settings!F10)^(15 * model_settings!F9))</f>
        <v>13.374518736964298</v>
      </c>
      <c r="Y23">
        <f ca="1">(F23 * state_qalys!E9 + G23 * state_qalys!F9 + H23 * state_qalys!G9 + I23 * state_qalys!H9) * (1 / (1 + model_settings!F11)^(15 * model_settings!F9))</f>
        <v>0.14621553925256428</v>
      </c>
      <c r="Z23">
        <f ca="1">J23 * state_costs!I9 + K23 * state_costs!J9 + L23 * state_costs!K9 + M23 * state_costs!L9</f>
        <v>15.040152675797641</v>
      </c>
      <c r="AA23">
        <f ca="1">J23 * state_qalys!I9 + K23 * state_qalys!J9 + L23 * state_qalys!K9 + M23 * state_qalys!L9</f>
        <v>0.24599017581274382</v>
      </c>
      <c r="AB23">
        <f ca="1">(J23 * state_costs!I9 + K23 * state_costs!J9 + L23 * state_costs!K9 + M23 * state_costs!L9) * (1 / (1 + model_settings!F10)^(15 * model_settings!F9))</f>
        <v>8.9773260348683692</v>
      </c>
      <c r="AC23">
        <f ca="1">(J23 * state_qalys!I9 + K23 * state_qalys!J9 + L23 * state_qalys!K9 + M23 * state_qalys!L9) * (1 / (1 + model_settings!F11)^(15 * model_settings!F9))</f>
        <v>0.14682922821649319</v>
      </c>
      <c r="AD23">
        <f ca="1">N23 * state_costs!M9 + O23 * state_costs!N9 + P23 * state_costs!O9 + Q23 * state_costs!P9</f>
        <v>17.861940900337242</v>
      </c>
      <c r="AE23">
        <f ca="1">N23 * state_qalys!M9 + O23 * state_qalys!N9 + P23 * state_qalys!O9 + Q23 * state_qalys!P9</f>
        <v>0.24557077847977915</v>
      </c>
      <c r="AF23">
        <f ca="1">(N23 * state_costs!M9 + O23 * state_costs!N9 + P23 * state_costs!O9 + Q23 * state_costs!P9) * (1 / (1 + model_settings!F10)^(15 * model_settings!F9))</f>
        <v>10.661624953842002</v>
      </c>
      <c r="AG23">
        <f ca="1">(N23 * state_qalys!M9 + O23 * state_qalys!N9 + P23 * state_qalys!O9 + Q23 * state_qalys!P9) * (1 / (1 + model_settings!F11)^(15 * model_settings!F9))</f>
        <v>0.14657889388297032</v>
      </c>
      <c r="AH23">
        <f ca="1">R23 * state_costs!Q9 + S23 * state_costs!R9 + T23 * state_costs!S9 + U23 * state_costs!T9</f>
        <v>18.936570701209384</v>
      </c>
      <c r="AI23">
        <f ca="1">R23 * state_qalys!Q9 + S23 * state_qalys!R9 + T23 * state_qalys!S9 + U23 * state_qalys!T9</f>
        <v>0.24538988254467989</v>
      </c>
      <c r="AJ23">
        <f ca="1">(R23 * state_costs!Q9 + S23 * state_costs!R9 + T23 * state_costs!S9 + U23 * state_costs!T9) * (1 / (1 + model_settings!F10)^(15 * model_settings!F9))</f>
        <v>11.303061400477226</v>
      </c>
      <c r="AK23">
        <f ca="1">(R23 * state_qalys!Q9 + S23 * state_qalys!R9 + T23 * state_qalys!S9 + U23 * state_qalys!T9) * (1 / (1 + model_settings!F11)^(15 * model_settings!F9))</f>
        <v>0.1464709187963622</v>
      </c>
    </row>
    <row r="24" spans="5:37" x14ac:dyDescent="0.55000000000000004">
      <c r="E24">
        <v>16</v>
      </c>
      <c r="F24">
        <f ca="1">F23 * (1 - (input_parameters!O9+input_parameters!O14))</f>
        <v>0.28112780820963901</v>
      </c>
      <c r="G24">
        <f ca="1">G23 * (1 - (input_parameters!O13+input_parameters!O15)) + F23 * input_parameters!O9</f>
        <v>1.6849986449470597E-2</v>
      </c>
      <c r="H24">
        <f ca="1">H23 * (1 - (input_parameters!O16)) + G23 * input_parameters!O13</f>
        <v>6.4217125977812563E-3</v>
      </c>
      <c r="I24">
        <f ca="1">I23 * (1 - (0)) + F23 * input_parameters!O14+G23 * input_parameters!O15+H23 * input_parameters!O16</f>
        <v>0.69560049274310876</v>
      </c>
      <c r="J24">
        <f ca="1">J23 * (1 - (input_parameters!O10+input_parameters!O14))</f>
        <v>0.28807086123810827</v>
      </c>
      <c r="K24">
        <f ca="1">K23 * (1 - (input_parameters!O13+input_parameters!O15)) + J23 * input_parameters!O10</f>
        <v>1.1524784440476612E-2</v>
      </c>
      <c r="L24">
        <f ca="1">L23 * (1 - (input_parameters!O16)) + K23 * input_parameters!O13</f>
        <v>4.3695761316417635E-3</v>
      </c>
      <c r="M24">
        <f ca="1">M23 * (1 - (0)) + J23 * input_parameters!O14+K23 * input_parameters!O15+L23 * input_parameters!O16</f>
        <v>0.69603477818977355</v>
      </c>
      <c r="N24">
        <f ca="1">N23 * (1 - (input_parameters!O11+input_parameters!O14))</f>
        <v>0.28523877653337087</v>
      </c>
      <c r="O24">
        <f ca="1">O23 * (1 - (input_parameters!O13+input_parameters!O15)) + N23 * input_parameters!O11</f>
        <v>1.3698514066143938E-2</v>
      </c>
      <c r="P24">
        <f ca="1">P23 * (1 - (input_parameters!O16)) + O23 * input_parameters!O13</f>
        <v>5.2046308326160577E-3</v>
      </c>
      <c r="Q24">
        <f ca="1">Q23 * (1 - (0)) + N23 * input_parameters!O14+O23 * input_parameters!O15+P23 * input_parameters!O16</f>
        <v>0.69585807856786874</v>
      </c>
      <c r="R24">
        <f ca="1">R23 * (1 - (input_parameters!O12+input_parameters!O14))</f>
        <v>0.28401718772424339</v>
      </c>
      <c r="S24">
        <f ca="1">S23 * (1 - (input_parameters!O13+input_parameters!O15)) + R23 * input_parameters!O12</f>
        <v>1.4635464397625577E-2</v>
      </c>
      <c r="T24">
        <f ca="1">T23 * (1 - (input_parameters!O16)) + S23 * input_parameters!O13</f>
        <v>5.5656756034307905E-3</v>
      </c>
      <c r="U24">
        <f ca="1">U23 * (1 - (0)) + R23 * input_parameters!O14+S23 * input_parameters!O15+T23 * input_parameters!O16</f>
        <v>0.69578167227470034</v>
      </c>
      <c r="V24">
        <f ca="1">F24 * state_costs!E9 + G24 * state_costs!F9 + H24 * state_costs!G9 + I24 * state_costs!H9</f>
        <v>21.313744986273914</v>
      </c>
      <c r="W24">
        <f ca="1">F24 * state_qalys!E9 + G24 * state_qalys!F9 + H24 * state_qalys!G9 + I24 * state_qalys!H9</f>
        <v>0.22606581823724173</v>
      </c>
      <c r="X24">
        <f ca="1">(F24 * state_costs!E9 + G24 * state_costs!F9 + H24 * state_costs!G9 + I24 * state_costs!H9) * (1 / (1 + model_settings!F10)^(16 * model_settings!F9))</f>
        <v>12.291762734365578</v>
      </c>
      <c r="Y24">
        <f ca="1">(F24 * state_qalys!E9 + G24 * state_qalys!F9 + H24 * state_qalys!G9 + I24 * state_qalys!H9) * (1 / (1 + model_settings!F11)^(16 * model_settings!F9))</f>
        <v>0.13037349381405791</v>
      </c>
      <c r="Z24">
        <f ca="1">J24 * state_costs!I9 + K24 * state_costs!J9 + L24 * state_costs!K9 + M24 * state_costs!L9</f>
        <v>14.331940678381201</v>
      </c>
      <c r="AA24">
        <f ca="1">J24 * state_qalys!I9 + K24 * state_qalys!J9 + L24 * state_qalys!K9 + M24 * state_qalys!L9</f>
        <v>0.22706233429433076</v>
      </c>
      <c r="AB24">
        <f ca="1">(J24 * state_costs!I9 + K24 * state_costs!J9 + L24 * state_costs!K9 + M24 * state_costs!L9) * (1 / (1 + model_settings!F10)^(16 * model_settings!F9))</f>
        <v>8.2653149155680801</v>
      </c>
      <c r="AC24">
        <f ca="1">(J24 * state_qalys!I9 + K24 * state_qalys!J9 + L24 * state_qalys!K9 + M24 * state_qalys!L9) * (1 / (1 + model_settings!F11)^(16 * model_settings!F9))</f>
        <v>0.13094819051529988</v>
      </c>
      <c r="AD24">
        <f ca="1">N24 * state_costs!M9 + O24 * state_costs!N9 + P24 * state_costs!O9 + Q24 * state_costs!P9</f>
        <v>17.013459671145725</v>
      </c>
      <c r="AE24">
        <f ca="1">N24 * state_qalys!M9 + O24 * state_qalys!N9 + P24 * state_qalys!O9 + Q24 * state_qalys!P9</f>
        <v>0.22665560796742898</v>
      </c>
      <c r="AF24">
        <f ca="1">(N24 * state_costs!M9 + O24 * state_costs!N9 + P24 * state_costs!O9 + Q24 * state_costs!P9) * (1 / (1 + model_settings!F10)^(16 * model_settings!F9))</f>
        <v>9.8117627710708639</v>
      </c>
      <c r="AG24">
        <f ca="1">(N24 * state_qalys!M9 + O24 * state_qalys!N9 + P24 * state_qalys!O9 + Q24 * state_qalys!P9) * (1 / (1 + model_settings!F11)^(16 * model_settings!F9))</f>
        <v>0.13071362903812558</v>
      </c>
      <c r="AH24">
        <f ca="1">R24 * state_costs!Q9 + S24 * state_costs!R9 + T24 * state_costs!S9 + U24 * state_costs!T9</f>
        <v>18.038240983416021</v>
      </c>
      <c r="AI24">
        <f ca="1">R24 * state_qalys!Q9 + S24 * state_qalys!R9 + T24 * state_qalys!S9 + U24 * state_qalys!T9</f>
        <v>0.22648027490033451</v>
      </c>
      <c r="AJ24">
        <f ca="1">(R24 * state_costs!Q9 + S24 * state_costs!R9 + T24 * state_costs!S9 + U24 * state_costs!T9) * (1 / (1 + model_settings!F10)^(16 * model_settings!F9))</f>
        <v>10.40276021207198</v>
      </c>
      <c r="AK24">
        <f ca="1">(R24 * state_qalys!Q9 + S24 * state_qalys!R9 + T24 * state_qalys!S9 + U24 * state_qalys!T9) * (1 / (1 + model_settings!F11)^(16 * model_settings!F9))</f>
        <v>0.1306125134218131</v>
      </c>
    </row>
    <row r="25" spans="5:37" x14ac:dyDescent="0.55000000000000004">
      <c r="E25">
        <v>17</v>
      </c>
      <c r="F25">
        <f ca="1">F24 * (1 - (input_parameters!O9+input_parameters!O14))</f>
        <v>0.25832358576310738</v>
      </c>
      <c r="G25">
        <f ca="1">G24 * (1 - (input_parameters!O13+input_parameters!O15)) + F24 * input_parameters!O9</f>
        <v>1.6260882066662784E-2</v>
      </c>
      <c r="H25">
        <f ca="1">H24 * (1 - (input_parameters!O16)) + G24 * input_parameters!O13</f>
        <v>6.6975685104571246E-3</v>
      </c>
      <c r="I25">
        <f ca="1">I24 * (1 - (0)) + F24 * input_parameters!O14+G24 * input_parameters!O15+H24 * input_parameters!O16</f>
        <v>0.71871796365977236</v>
      </c>
      <c r="J25">
        <f ca="1">J24 * (1 - (input_parameters!O10+input_parameters!O14))</f>
        <v>0.26513432303958862</v>
      </c>
      <c r="K25">
        <f ca="1">K24 * (1 - (input_parameters!O13+input_parameters!O15)) + J24 * input_parameters!O10</f>
        <v>1.1132521004184924E-2</v>
      </c>
      <c r="L25">
        <f ca="1">L24 * (1 - (input_parameters!O16)) + K24 * input_parameters!O13</f>
        <v>4.5598877355187695E-3</v>
      </c>
      <c r="M25">
        <f ca="1">M24 * (1 - (0)) + J24 * input_parameters!O14+K24 * input_parameters!O15+L24 * input_parameters!O16</f>
        <v>0.71917326822070782</v>
      </c>
      <c r="N25">
        <f ca="1">N24 * (1 - (input_parameters!O11+input_parameters!O14))</f>
        <v>0.2623548734481555</v>
      </c>
      <c r="O25">
        <f ca="1">O24 * (1 - (input_parameters!O13+input_parameters!O15)) + N24 * input_parameters!O11</f>
        <v>1.3227119992047913E-2</v>
      </c>
      <c r="P25">
        <f ca="1">P24 * (1 - (input_parameters!O16)) + O24 * input_parameters!O13</f>
        <v>5.4300506749472314E-3</v>
      </c>
      <c r="Q25">
        <f ca="1">Q24 * (1 - (0)) + N24 * input_parameters!O14+O24 * input_parameters!O15+P24 * input_parameters!O16</f>
        <v>0.71898795588484898</v>
      </c>
      <c r="R25">
        <f ca="1">R24 * (1 - (input_parameters!O12+input_parameters!O14))</f>
        <v>0.26115655497433393</v>
      </c>
      <c r="S25">
        <f ca="1">S24 * (1 - (input_parameters!O13+input_parameters!O15)) + R24 * input_parameters!O12</f>
        <v>1.4129445736284029E-2</v>
      </c>
      <c r="T25">
        <f ca="1">T24 * (1 - (input_parameters!O16)) + S24 * input_parameters!O13</f>
        <v>5.8061482036465004E-3</v>
      </c>
      <c r="U25">
        <f ca="1">U24 * (1 - (0)) + R24 * input_parameters!O14+S24 * input_parameters!O15+T24 * input_parameters!O16</f>
        <v>0.71890785108573563</v>
      </c>
      <c r="V25">
        <f ca="1">F25 * state_costs!E9 + G25 * state_costs!F9 + H25 * state_costs!G9 + I25 * state_costs!H9</f>
        <v>20.263702827327652</v>
      </c>
      <c r="W25">
        <f ca="1">F25 * state_qalys!E9 + G25 * state_qalys!F9 + H25 * state_qalys!G9 + I25 * state_qalys!H9</f>
        <v>0.20863394017006998</v>
      </c>
      <c r="X25">
        <f ca="1">(F25 * state_costs!E9 + G25 * state_costs!F9 + H25 * state_costs!G9 + I25 * state_costs!H9) * (1 / (1 + model_settings!F10)^(17 * model_settings!F9))</f>
        <v>11.291011800726098</v>
      </c>
      <c r="Y25">
        <f ca="1">(F25 * state_qalys!E9 + G25 * state_qalys!F9 + H25 * state_qalys!G9 + I25 * state_qalys!H9) * (1 / (1 + model_settings!F11)^(17 * model_settings!F9))</f>
        <v>0.11625161998109047</v>
      </c>
      <c r="Z25">
        <f ca="1">J25 * state_costs!I9 + K25 * state_costs!J9 + L25 * state_costs!K9 + M25 * state_costs!L9</f>
        <v>13.649393146111628</v>
      </c>
      <c r="AA25">
        <f ca="1">J25 * state_qalys!I9 + K25 * state_qalys!J9 + L25 * state_qalys!K9 + M25 * state_qalys!L9</f>
        <v>0.20959529997573059</v>
      </c>
      <c r="AB25">
        <f ca="1">(J25 * state_costs!I9 + K25 * state_costs!J9 + L25 * state_costs!K9 + M25 * state_costs!L9) * (1 / (1 + model_settings!F10)^(17 * model_settings!F9))</f>
        <v>7.6054934480018153</v>
      </c>
      <c r="AC25">
        <f ca="1">(J25 * state_qalys!I9 + K25 * state_qalys!J9 + L25 * state_qalys!K9 + M25 * state_qalys!L9) * (1 / (1 + model_settings!F11)^(17 * model_settings!F9))</f>
        <v>0.11678729329820106</v>
      </c>
      <c r="AD25">
        <f ca="1">N25 * state_costs!M9 + O25 * state_costs!N9 + P25 * state_costs!O9 + Q25 * state_costs!P9</f>
        <v>16.196345868428715</v>
      </c>
      <c r="AE25">
        <f ca="1">N25 * state_qalys!M9 + O25 * state_qalys!N9 + P25 * state_qalys!O9 + Q25 * state_qalys!P9</f>
        <v>0.20920269740448805</v>
      </c>
      <c r="AF25">
        <f ca="1">(N25 * state_costs!M9 + O25 * state_costs!N9 + P25 * state_costs!O9 + Q25 * state_costs!P9) * (1 / (1 + model_settings!F10)^(17 * model_settings!F9))</f>
        <v>9.0246651309180805</v>
      </c>
      <c r="AG25">
        <f ca="1">(N25 * state_qalys!M9 + O25 * state_qalys!N9 + P25 * state_qalys!O9 + Q25 * state_qalys!P9) * (1 / (1 + model_settings!F11)^(17 * model_settings!F9))</f>
        <v>0.11656853366168898</v>
      </c>
      <c r="AH25">
        <f ca="1">R25 * state_costs!Q9 + S25 * state_costs!R9 + T25 * state_costs!S9 + U25 * state_costs!T9</f>
        <v>17.172917904898188</v>
      </c>
      <c r="AI25">
        <f ca="1">R25 * state_qalys!Q9 + S25 * state_qalys!R9 + T25 * state_qalys!S9 + U25 * state_qalys!T9</f>
        <v>0.2090335482945285</v>
      </c>
      <c r="AJ25">
        <f ca="1">(R25 * state_costs!Q9 + S25 * state_costs!R9 + T25 * state_costs!S9 + U25 * state_costs!T9) * (1 / (1 + model_settings!F10)^(17 * model_settings!F9))</f>
        <v>9.5688147605289942</v>
      </c>
      <c r="AK25">
        <f ca="1">(R25 * state_qalys!Q9 + S25 * state_qalys!R9 + T25 * state_qalys!S9 + U25 * state_qalys!T9) * (1 / (1 + model_settings!F11)^(17 * model_settings!F9))</f>
        <v>0.11647428313833152</v>
      </c>
    </row>
    <row r="26" spans="5:37" x14ac:dyDescent="0.55000000000000004">
      <c r="E26">
        <v>18</v>
      </c>
      <c r="F26">
        <f ca="1">F25 * (1 - (input_parameters!O9+input_parameters!O14))</f>
        <v>0.23736917164646926</v>
      </c>
      <c r="G26">
        <f ca="1">G25 * (1 - (input_parameters!O13+input_parameters!O15)) + F25 * input_parameters!O9</f>
        <v>1.563256259415928E-2</v>
      </c>
      <c r="H26">
        <f ca="1">H25 * (1 - (input_parameters!O16)) + G25 * input_parameters!O13</f>
        <v>6.9276274043074361E-3</v>
      </c>
      <c r="I26">
        <f ca="1">I25 * (1 - (0)) + F25 * input_parameters!O14+G25 * input_parameters!O15+H25 * input_parameters!O16</f>
        <v>0.7400706383550637</v>
      </c>
      <c r="J26">
        <f ca="1">J25 * (1 - (input_parameters!O10+input_parameters!O14))</f>
        <v>0.24402401878320071</v>
      </c>
      <c r="K26">
        <f ca="1">K25 * (1 - (input_parameters!O13+input_parameters!O15)) + J25 * input_parameters!O10</f>
        <v>1.0712719783833462E-2</v>
      </c>
      <c r="L26">
        <f ca="1">L25 * (1 - (input_parameters!O16)) + K25 * input_parameters!O13</f>
        <v>4.7192257886623703E-3</v>
      </c>
      <c r="M26">
        <f ca="1">M25 * (1 - (0)) + J25 * input_parameters!O14+K25 * input_parameters!O15+L25 * input_parameters!O16</f>
        <v>0.7405440356443036</v>
      </c>
      <c r="N26">
        <f ca="1">N25 * (1 - (input_parameters!O11+input_parameters!O14))</f>
        <v>0.24130688140833847</v>
      </c>
      <c r="O26">
        <f ca="1">O25 * (1 - (input_parameters!O13+input_parameters!O15)) + N25 * input_parameters!O11</f>
        <v>1.272333624647631E-2</v>
      </c>
      <c r="P26">
        <f ca="1">P25 * (1 - (input_parameters!O16)) + O25 * input_parameters!O13</f>
        <v>5.6184859271895355E-3</v>
      </c>
      <c r="Q26">
        <f ca="1">Q25 * (1 - (0)) + N25 * input_parameters!O14+O25 * input_parameters!O15+P25 * input_parameters!O16</f>
        <v>0.74035129641799524</v>
      </c>
      <c r="R26">
        <f ca="1">R25 * (1 - (input_parameters!O12+input_parameters!O14))</f>
        <v>0.24013598174305348</v>
      </c>
      <c r="S26">
        <f ca="1">S25 * (1 - (input_parameters!O13+input_parameters!O15)) + R25 * input_parameters!O12</f>
        <v>1.3588981963047564E-2</v>
      </c>
      <c r="T26">
        <f ca="1">T25 * (1 - (input_parameters!O16)) + S25 * input_parameters!O13</f>
        <v>6.0070283557174114E-3</v>
      </c>
      <c r="U26">
        <f ca="1">U25 * (1 - (0)) + R25 * input_parameters!O14+S25 * input_parameters!O15+T25 * input_parameters!O16</f>
        <v>0.74026800793818159</v>
      </c>
      <c r="V26">
        <f ca="1">F26 * state_costs!E9 + G26 * state_costs!F9 + H26 * state_costs!G9 + I26 * state_costs!H9</f>
        <v>19.255873507024607</v>
      </c>
      <c r="W26">
        <f ca="1">F26 * state_qalys!E9 + G26 * state_qalys!F9 + H26 * state_qalys!G9 + I26 * state_qalys!H9</f>
        <v>0.19255234671156013</v>
      </c>
      <c r="X26">
        <f ca="1">(F26 * state_costs!E9 + G26 * state_costs!F9 + H26 * state_costs!G9 + I26 * state_costs!H9) * (1 / (1 + model_settings!F10)^(18 * model_settings!F9))</f>
        <v>10.366614004278512</v>
      </c>
      <c r="Y26">
        <f ca="1">(F26 * state_qalys!E9 + G26 * state_qalys!F9 + H26 * state_qalys!G9 + I26 * state_qalys!H9) * (1 / (1 + model_settings!F11)^(18 * model_settings!F9))</f>
        <v>0.10366270079872311</v>
      </c>
      <c r="Z26">
        <f ca="1">J26 * state_costs!I9 + K26 * state_costs!J9 + L26 * state_costs!K9 + M26 * state_costs!L9</f>
        <v>12.992168710169327</v>
      </c>
      <c r="AA26">
        <f ca="1">J26 * state_qalys!I9 + K26 * state_qalys!J9 + L26 * state_qalys!K9 + M26 * state_qalys!L9</f>
        <v>0.19347595728095837</v>
      </c>
      <c r="AB26">
        <f ca="1">(J26 * state_costs!I9 + K26 * state_costs!J9 + L26 * state_costs!K9 + M26 * state_costs!L9) * (1 / (1 + model_settings!F10)^(18 * model_settings!F9))</f>
        <v>6.9944787520367218</v>
      </c>
      <c r="AC26">
        <f ca="1">(J26 * state_qalys!I9 + K26 * state_qalys!J9 + L26 * state_qalys!K9 + M26 * state_qalys!L9) * (1 / (1 + model_settings!F11)^(18 * model_settings!F9))</f>
        <v>0.10415993683736506</v>
      </c>
      <c r="AD26">
        <f ca="1">N26 * state_costs!M9 + O26 * state_costs!N9 + P26 * state_costs!O9 + Q26 * state_costs!P9</f>
        <v>15.410116298664928</v>
      </c>
      <c r="AE26">
        <f ca="1">N26 * state_qalys!M9 + O26 * state_qalys!N9 + P26 * state_qalys!O9 + Q26 * state_qalys!P9</f>
        <v>0.19309855133124471</v>
      </c>
      <c r="AF26">
        <f ca="1">(N26 * state_costs!M9 + O26 * state_costs!N9 + P26 * state_costs!O9 + Q26 * state_costs!P9) * (1 / (1 + model_settings!F10)^(18 * model_settings!F9))</f>
        <v>8.2962077711521527</v>
      </c>
      <c r="AG26">
        <f ca="1">(N26 * state_qalys!M9 + O26 * state_qalys!N9 + P26 * state_qalys!O9 + Q26 * state_qalys!P9) * (1 / (1 + model_settings!F11)^(18 * model_settings!F9))</f>
        <v>0.10395675614020414</v>
      </c>
      <c r="AH26">
        <f ca="1">R26 * state_costs!Q9 + S26 * state_costs!R9 + T26 * state_costs!S9 + U26 * state_costs!T9</f>
        <v>16.340121911899701</v>
      </c>
      <c r="AI26">
        <f ca="1">R26 * state_qalys!Q9 + S26 * state_qalys!R9 + T26 * state_qalys!S9 + U26 * state_qalys!T9</f>
        <v>0.19293604255343519</v>
      </c>
      <c r="AJ26">
        <f ca="1">(R26 * state_costs!Q9 + S26 * state_costs!R9 + T26 * state_costs!S9 + U26 * state_costs!T9) * (1 / (1 + model_settings!F10)^(18 * model_settings!F9))</f>
        <v>8.7968866528814154</v>
      </c>
      <c r="AK26">
        <f ca="1">(R26 * state_qalys!Q9 + S26 * state_qalys!R9 + T26 * state_qalys!S9 + U26 * state_qalys!T9) * (1 / (1 + model_settings!F11)^(18 * model_settings!F9))</f>
        <v>0.10386926772939568</v>
      </c>
    </row>
    <row r="27" spans="5:37" x14ac:dyDescent="0.55000000000000004">
      <c r="E27">
        <v>19</v>
      </c>
      <c r="F27">
        <f ca="1">F26 * (1 - (input_parameters!O9+input_parameters!O14))</f>
        <v>0.21811451510200353</v>
      </c>
      <c r="G27">
        <f ca="1">G26 * (1 - (input_parameters!O13+input_parameters!O15)) + F26 * input_parameters!O9</f>
        <v>1.4977941719230583E-2</v>
      </c>
      <c r="H27">
        <f ca="1">H26 * (1 - (input_parameters!O16)) + G26 * input_parameters!O13</f>
        <v>7.1134763699628335E-3</v>
      </c>
      <c r="I27">
        <f ca="1">I26 * (1 - (0)) + F26 * input_parameters!O14+G26 * input_parameters!O15+H26 * input_parameters!O16</f>
        <v>0.75979406680880268</v>
      </c>
      <c r="J27">
        <f ca="1">J26 * (1 - (input_parameters!O10+input_parameters!O14))</f>
        <v>0.22459454159095238</v>
      </c>
      <c r="K27">
        <f ca="1">K26 * (1 - (input_parameters!O13+input_parameters!O15)) + J26 * input_parameters!O10</f>
        <v>1.0274147884126084E-2</v>
      </c>
      <c r="L27">
        <f ca="1">L26 * (1 - (input_parameters!O16)) + K26 * input_parameters!O13</f>
        <v>4.8486190777495266E-3</v>
      </c>
      <c r="M27">
        <f ca="1">M26 * (1 - (0)) + J26 * input_parameters!O14+K26 * input_parameters!O15+L26 * input_parameters!O16</f>
        <v>0.7602826914471722</v>
      </c>
      <c r="N27">
        <f ca="1">N26 * (1 - (input_parameters!O11+input_parameters!O14))</f>
        <v>0.22194751044533079</v>
      </c>
      <c r="O27">
        <f ca="1">O26 * (1 - (input_parameters!O13+input_parameters!O15)) + N26 * input_parameters!O11</f>
        <v>1.2197615426125762E-2</v>
      </c>
      <c r="P27">
        <f ca="1">P26 * (1 - (input_parameters!O16)) + O26 * input_parameters!O13</f>
        <v>5.7711866514350268E-3</v>
      </c>
      <c r="Q27">
        <f ca="1">Q26 * (1 - (0)) + N26 * input_parameters!O14+O26 * input_parameters!O15+P26 * input_parameters!O16</f>
        <v>0.76008368747710797</v>
      </c>
      <c r="R27">
        <f ca="1">R26 * (1 - (input_parameters!O12+input_parameters!O14))</f>
        <v>0.2208073610611358</v>
      </c>
      <c r="S27">
        <f ca="1">S26 * (1 - (input_parameters!O13+input_parameters!O15)) + R26 * input_parameters!O12</f>
        <v>1.3025255224595991E-2</v>
      </c>
      <c r="T27">
        <f ca="1">T26 * (1 - (input_parameters!O16)) + S26 * input_parameters!O13</f>
        <v>6.1696642954519564E-3</v>
      </c>
      <c r="U27">
        <f ca="1">U26 * (1 - (0)) + R26 * input_parameters!O14+S26 * input_parameters!O15+T26 * input_parameters!O16</f>
        <v>0.75999771941881633</v>
      </c>
      <c r="V27">
        <f ca="1">F27 * state_costs!E9 + G27 * state_costs!F9 + H27 * state_costs!G9 + I27 * state_costs!H9</f>
        <v>18.289256229678642</v>
      </c>
      <c r="W27">
        <f ca="1">F27 * state_qalys!E9 + G27 * state_qalys!F9 + H27 * state_qalys!G9 + I27 * state_qalys!H9</f>
        <v>0.17771591996584757</v>
      </c>
      <c r="X27">
        <f ca="1">(F27 * state_costs!E9 + G27 * state_costs!F9 + H27 * state_costs!G9 + I27 * state_costs!H9) * (1 / (1 + model_settings!F10)^(19 * model_settings!F9))</f>
        <v>9.5132607008091945</v>
      </c>
      <c r="Y27">
        <f ca="1">(F27 * state_qalys!E9 + G27 * state_qalys!F9 + H27 * state_qalys!G9 + I27 * state_qalys!H9) * (1 / (1 + model_settings!F11)^(19 * model_settings!F9))</f>
        <v>9.2439947042557022E-2</v>
      </c>
      <c r="Z27">
        <f ca="1">J27 * state_costs!I9 + K27 * state_costs!J9 + L27 * state_costs!K9 + M27 * state_costs!L9</f>
        <v>12.35988813129563</v>
      </c>
      <c r="AA27">
        <f ca="1">J27 * state_qalys!I9 + K27 * state_qalys!J9 + L27 * state_qalys!K9 + M27 * state_qalys!L9</f>
        <v>0.17859998247554193</v>
      </c>
      <c r="AB27">
        <f ca="1">(J27 * state_costs!I9 + K27 * state_costs!J9 + L27 * state_costs!K9 + M27 * state_costs!L9) * (1 / (1 + model_settings!F10)^(19 * model_settings!F9))</f>
        <v>6.4290661440374359</v>
      </c>
      <c r="AC27">
        <f ca="1">(J27 * state_qalys!I9 + K27 * state_qalys!J9 + L27 * state_qalys!K9 + M27 * state_qalys!L9) * (1 / (1 + model_settings!F11)^(19 * model_settings!F9))</f>
        <v>9.2899797187632166E-2</v>
      </c>
      <c r="AD27">
        <f ca="1">N27 * state_costs!M9 + O27 * state_costs!N9 + P27 * state_costs!O9 + Q27 * state_costs!P9</f>
        <v>14.654248822629233</v>
      </c>
      <c r="AE27">
        <f ca="1">N27 * state_qalys!M9 + O27 * state_qalys!N9 + P27 * state_qalys!O9 + Q27 * state_qalys!P9</f>
        <v>0.17823852339931243</v>
      </c>
      <c r="AF27">
        <f ca="1">(N27 * state_costs!M9 + O27 * state_costs!N9 + P27 * state_costs!O9 + Q27 * state_costs!P9) * (1 / (1 + model_settings!F10)^(19 * model_settings!F9))</f>
        <v>7.6224909134343539</v>
      </c>
      <c r="AG27">
        <f ca="1">(N27 * state_qalys!M9 + O27 * state_qalys!N9 + P27 * state_qalys!O9 + Q27 * state_qalys!P9) * (1 / (1 + model_settings!F11)^(19 * model_settings!F9))</f>
        <v>9.2711782192289441E-2</v>
      </c>
      <c r="AH27">
        <f ca="1">R27 * state_costs!Q9 + S27 * state_costs!R9 + T27 * state_costs!S9 + U27 * state_costs!T9</f>
        <v>15.539328841988212</v>
      </c>
      <c r="AI27">
        <f ca="1">R27 * state_qalys!Q9 + S27 * state_qalys!R9 + T27 * state_qalys!S9 + U27 * state_qalys!T9</f>
        <v>0.17808297160591255</v>
      </c>
      <c r="AJ27">
        <f ca="1">(R27 * state_costs!Q9 + S27 * state_costs!R9 + T27 * state_costs!S9 + U27 * state_costs!T9) * (1 / (1 + model_settings!F10)^(19 * model_settings!F9))</f>
        <v>8.0828703219515674</v>
      </c>
      <c r="AK27">
        <f ca="1">(R27 * state_qalys!Q9 + S27 * state_qalys!R9 + T27 * state_qalys!S9 + U27 * state_qalys!T9) * (1 / (1 + model_settings!F11)^(19 * model_settings!F9))</f>
        <v>9.263087104180262E-2</v>
      </c>
    </row>
    <row r="28" spans="5:37" x14ac:dyDescent="0.55000000000000004">
      <c r="E28">
        <v>20</v>
      </c>
      <c r="F28">
        <f ca="1">F27 * (1 - (input_parameters!O9+input_parameters!O14))</f>
        <v>0.20042173702757562</v>
      </c>
      <c r="G28">
        <f ca="1">G27 * (1 - (input_parameters!O13+input_parameters!O15)) + F27 * input_parameters!O9</f>
        <v>1.4307796834633913E-2</v>
      </c>
      <c r="H28">
        <f ca="1">H27 * (1 - (input_parameters!O16)) + G27 * input_parameters!O13</f>
        <v>7.2571548320634685E-3</v>
      </c>
      <c r="I28">
        <f ca="1">I27 * (1 - (0)) + F27 * input_parameters!O14+G27 * input_parameters!O15+H27 * input_parameters!O16</f>
        <v>0.7780133113057266</v>
      </c>
      <c r="J28">
        <f ca="1">J27 * (1 - (input_parameters!O10+input_parameters!O14))</f>
        <v>0.20671206205019133</v>
      </c>
      <c r="K28">
        <f ca="1">K27 * (1 - (input_parameters!O13+input_parameters!O15)) + J27 * input_parameters!O10</f>
        <v>9.8241388845543738E-3</v>
      </c>
      <c r="L28">
        <f ca="1">L27 * (1 - (input_parameters!O16)) + K27 * input_parameters!O13</f>
        <v>4.9494069970004197E-3</v>
      </c>
      <c r="M28">
        <f ca="1">M27 * (1 - (0)) + J27 * input_parameters!O14+K27 * input_parameters!O15+L27 * input_parameters!O16</f>
        <v>0.77851439206825412</v>
      </c>
      <c r="N28">
        <f ca="1">N27 * (1 - (input_parameters!O11+input_parameters!O14))</f>
        <v>0.20414128724958105</v>
      </c>
      <c r="O28">
        <f ca="1">O27 * (1 - (input_parameters!O13+input_parameters!O15)) + N27 * input_parameters!O11</f>
        <v>1.1658692926400227E-2</v>
      </c>
      <c r="P28">
        <f ca="1">P27 * (1 - (input_parameters!O16)) + O27 * input_parameters!O13</f>
        <v>5.8897715350472654E-3</v>
      </c>
      <c r="Q28">
        <f ca="1">Q27 * (1 - (0)) + N27 * input_parameters!O14+O27 * input_parameters!O15+P27 * input_parameters!O16</f>
        <v>0.778310248288971</v>
      </c>
      <c r="R28">
        <f ca="1">R27 * (1 - (input_parameters!O12+input_parameters!O14))</f>
        <v>0.20303450713584356</v>
      </c>
      <c r="S28">
        <f ca="1">S27 * (1 - (input_parameters!O13+input_parameters!O15)) + R27 * input_parameters!O12</f>
        <v>1.2447606842069091E-2</v>
      </c>
      <c r="T28">
        <f ca="1">T27 * (1 - (input_parameters!O16)) + S27 * input_parameters!O13</f>
        <v>6.2957978232172892E-3</v>
      </c>
      <c r="U28">
        <f ca="1">U27 * (1 - (0)) + R27 * input_parameters!O14+S27 * input_parameters!O15+T27 * input_parameters!O16</f>
        <v>0.77822208819887018</v>
      </c>
      <c r="V28">
        <f ca="1">F28 * state_costs!E9 + G28 * state_costs!F9 + H28 * state_costs!G9 + I28 * state_costs!H9</f>
        <v>17.362832447184012</v>
      </c>
      <c r="W28">
        <f ca="1">F28 * state_qalys!E9 + G28 * state_qalys!F9 + H28 * state_qalys!G9 + I28 * state_qalys!H9</f>
        <v>0.16402777150414391</v>
      </c>
      <c r="X28">
        <f ca="1">(F28 * state_costs!E9 + G28 * state_costs!F9 + H28 * state_costs!G9 + I28 * state_costs!H9) * (1 / (1 + model_settings!F10)^(20 * model_settings!F9))</f>
        <v>8.7259672450579409</v>
      </c>
      <c r="Y28">
        <f ca="1">(F28 * state_qalys!E9 + G28 * state_qalys!F9 + H28 * state_qalys!G9 + I28 * state_qalys!H9) * (1 / (1 + model_settings!F11)^(20 * model_settings!F9))</f>
        <v>8.2434762057336061E-2</v>
      </c>
      <c r="Z28">
        <f ca="1">J28 * state_costs!I9 + K28 * state_costs!J9 + L28 * state_costs!K9 + M28 * state_costs!L9</f>
        <v>11.75213553496104</v>
      </c>
      <c r="AA28">
        <f ca="1">J28 * state_qalys!I9 + K28 * state_qalys!J9 + L28 * state_qalys!K9 + M28 * state_qalys!L9</f>
        <v>0.16487115732428734</v>
      </c>
      <c r="AB28">
        <f ca="1">(J28 * state_costs!I9 + K28 * state_costs!J9 + L28 * state_costs!K9 + M28 * state_costs!L9) * (1 / (1 + model_settings!F10)^(20 * model_settings!F9))</f>
        <v>5.9062223890885592</v>
      </c>
      <c r="AC28">
        <f ca="1">(J28 * state_qalys!I9 + K28 * state_qalys!J9 + L28 * state_qalys!K9 + M28 * state_qalys!L9) * (1 / (1 + model_settings!F11)^(20 * model_settings!F9))</f>
        <v>8.2858618997953576E-2</v>
      </c>
      <c r="AD28">
        <f ca="1">N28 * state_costs!M9 + O28 * state_costs!N9 + P28 * state_costs!O9 + Q28 * state_costs!P9</f>
        <v>13.928183353324341</v>
      </c>
      <c r="AE28">
        <f ca="1">N28 * state_qalys!M9 + O28 * state_qalys!N9 + P28 * state_qalys!O9 + Q28 * state_qalys!P9</f>
        <v>0.16452612276817738</v>
      </c>
      <c r="AF28">
        <f ca="1">(N28 * state_costs!M9 + O28 * state_costs!N9 + P28 * state_costs!O9 + Q28 * state_costs!P9) * (1 / (1 + model_settings!F10)^(20 * model_settings!F9))</f>
        <v>6.9998297854899194</v>
      </c>
      <c r="AG28">
        <f ca="1">(N28 * state_qalys!M9 + O28 * state_qalys!N9 + P28 * state_qalys!O9 + Q28 * state_qalys!P9) * (1 / (1 + model_settings!F11)^(20 * model_settings!F9))</f>
        <v>8.2685216401102685E-2</v>
      </c>
      <c r="AH28">
        <f ca="1">R28 * state_costs!Q9 + S28 * state_costs!R9 + T28 * state_costs!S9 + U28 * state_costs!T9</f>
        <v>14.769971237618865</v>
      </c>
      <c r="AI28">
        <f ca="1">R28 * state_qalys!Q9 + S28 * state_qalys!R9 + T28 * state_qalys!S9 + U28 * state_qalys!T9</f>
        <v>0.16437772669556469</v>
      </c>
      <c r="AJ28">
        <f ca="1">(R28 * state_costs!Q9 + S28 * state_costs!R9 + T28 * state_costs!S9 + U28 * state_costs!T9) * (1 / (1 + model_settings!F10)^(20 * model_settings!F9))</f>
        <v>7.4228836580642614</v>
      </c>
      <c r="AK28">
        <f ca="1">(R28 * state_qalys!Q9 + S28 * state_qalys!R9 + T28 * state_qalys!S9 + U28 * state_qalys!T9) * (1 / (1 + model_settings!F11)^(20 * model_settings!F9))</f>
        <v>8.2610637597623895E-2</v>
      </c>
    </row>
    <row r="29" spans="5:37" x14ac:dyDescent="0.55000000000000004">
      <c r="E29">
        <v>21</v>
      </c>
      <c r="F29">
        <f ca="1">F28 * (1 - (input_parameters!O9+input_parameters!O14))</f>
        <v>0.1841641426494027</v>
      </c>
      <c r="G29">
        <f ca="1">G28 * (1 - (input_parameters!O13+input_parameters!O15)) + F28 * input_parameters!O9</f>
        <v>1.3631064127494307E-2</v>
      </c>
      <c r="H29">
        <f ca="1">H28 * (1 - (input_parameters!O16)) + G28 * input_parameters!O13</f>
        <v>7.361028068561851E-3</v>
      </c>
      <c r="I29">
        <f ca="1">I28 * (1 - (0)) + F28 * input_parameters!O14+G28 * input_parameters!O15+H28 * input_parameters!O16</f>
        <v>0.79484376515454069</v>
      </c>
      <c r="J29">
        <f ca="1">J28 * (1 - (input_parameters!O10+input_parameters!O14))</f>
        <v>0.19025340640230187</v>
      </c>
      <c r="K29">
        <f ca="1">K28 * (1 - (input_parameters!O13+input_parameters!O15)) + J28 * input_parameters!O10</f>
        <v>9.3687892548516769E-3</v>
      </c>
      <c r="L29">
        <f ca="1">L28 * (1 - (input_parameters!O16)) + K28 * input_parameters!O13</f>
        <v>5.023154164119221E-3</v>
      </c>
      <c r="M29">
        <f ca="1">M28 * (1 - (0)) + J28 * input_parameters!O14+K28 * input_parameters!O15+L28 * input_parameters!O16</f>
        <v>0.79535465017872753</v>
      </c>
      <c r="N29">
        <f ca="1">N28 * (1 - (input_parameters!O11+input_parameters!O14))</f>
        <v>0.18776360715332671</v>
      </c>
      <c r="O29">
        <f ca="1">O28 * (1 - (input_parameters!O13+input_parameters!O15)) + N28 * input_parameters!O11</f>
        <v>1.1113822997018784E-2</v>
      </c>
      <c r="P29">
        <f ca="1">P28 * (1 - (input_parameters!O16)) + O28 * input_parameters!O13</f>
        <v>5.9761258592890025E-3</v>
      </c>
      <c r="Q29">
        <f ca="1">Q28 * (1 - (0)) + N28 * input_parameters!O14+O28 * input_parameters!O15+P28 * input_parameters!O16</f>
        <v>0.79514644399036505</v>
      </c>
      <c r="R29">
        <f ca="1">R28 * (1 - (input_parameters!O12+input_parameters!O14))</f>
        <v>0.18669219581172083</v>
      </c>
      <c r="S29">
        <f ca="1">S28 * (1 - (input_parameters!O13+input_parameters!O15)) + R28 * input_parameters!O12</f>
        <v>1.1863790721917556E-2</v>
      </c>
      <c r="T29">
        <f ca="1">T28 * (1 - (input_parameters!O16)) + S28 * input_parameters!O13</f>
        <v>6.3874550426616687E-3</v>
      </c>
      <c r="U29">
        <f ca="1">U28 * (1 - (0)) + R28 * input_parameters!O14+S28 * input_parameters!O15+T28 * input_parameters!O16</f>
        <v>0.79505655842370004</v>
      </c>
      <c r="V29">
        <f ca="1">F29 * state_costs!E9 + G29 * state_costs!F9 + H29 * state_costs!G9 + I29 * state_costs!H9</f>
        <v>16.475565927356978</v>
      </c>
      <c r="W29">
        <f ca="1">F29 * state_qalys!E9 + G29 * state_qalys!F9 + H29 * state_qalys!G9 + I29 * state_qalys!H9</f>
        <v>0.15139859389888866</v>
      </c>
      <c r="X29">
        <f ca="1">(F29 * state_costs!E9 + G29 * state_costs!F9 + H29 * state_costs!G9 + I29 * state_costs!H9) * (1 / (1 + model_settings!F10)^(21 * model_settings!F9))</f>
        <v>8.0000554220236317</v>
      </c>
      <c r="Y29">
        <f ca="1">(F29 * state_qalys!E9 + G29 * state_qalys!F9 + H29 * state_qalys!G9 + I29 * state_qalys!H9) * (1 / (1 + model_settings!F11)^(21 * model_settings!F9))</f>
        <v>7.3514751927059252E-2</v>
      </c>
      <c r="Z29">
        <f ca="1">J29 * state_costs!I9 + K29 * state_costs!J9 + L29 * state_costs!K9 + M29 * state_costs!L9</f>
        <v>11.168460401725863</v>
      </c>
      <c r="AA29">
        <f ca="1">J29 * state_qalys!I9 + K29 * state_qalys!J9 + L29 * state_qalys!K9 + M29 * state_qalys!L9</f>
        <v>0.15220073661283476</v>
      </c>
      <c r="AB29">
        <f ca="1">(J29 * state_costs!I9 + K29 * state_costs!J9 + L29 * state_costs!K9 + M29 * state_costs!L9) * (1 / (1 + model_settings!F10)^(21 * model_settings!F9))</f>
        <v>5.4230794005154115</v>
      </c>
      <c r="AC29">
        <f ca="1">(J29 * state_qalys!I9 + K29 * state_qalys!J9 + L29 * state_qalys!K9 + M29 * state_qalys!L9) * (1 / (1 + model_settings!F11)^(21 * model_settings!F9))</f>
        <v>7.3904249088870597E-2</v>
      </c>
      <c r="AD29">
        <f ca="1">N29 * state_costs!M9 + O29 * state_costs!N9 + P29 * state_costs!O9 + Q29 * state_costs!P9</f>
        <v>13.23132379350716</v>
      </c>
      <c r="AE29">
        <f ca="1">N29 * state_qalys!M9 + O29 * state_qalys!N9 + P29 * state_qalys!O9 + Q29 * state_qalys!P9</f>
        <v>0.15187237521151439</v>
      </c>
      <c r="AF29">
        <f ca="1">(N29 * state_costs!M9 + O29 * state_costs!N9 + P29 * state_costs!O9 + Q29 * state_costs!P9) * (1 / (1 + model_settings!F10)^(21 * model_settings!F9))</f>
        <v>6.4247458400828359</v>
      </c>
      <c r="AG29">
        <f ca="1">(N29 * state_qalys!M9 + O29 * state_qalys!N9 + P29 * state_qalys!O9 + Q29 * state_qalys!P9) * (1 / (1 + model_settings!F11)^(21 * model_settings!F9))</f>
        <v>7.3744806346776118E-2</v>
      </c>
      <c r="AH29">
        <f ca="1">R29 * state_costs!Q9 + S29 * state_costs!R9 + T29 * state_costs!S9 + U29 * state_costs!T9</f>
        <v>14.031440645753538</v>
      </c>
      <c r="AI29">
        <f ca="1">R29 * state_qalys!Q9 + S29 * state_qalys!R9 + T29 * state_qalys!S9 + U29 * state_qalys!T9</f>
        <v>0.15173123467518468</v>
      </c>
      <c r="AJ29">
        <f ca="1">(R29 * state_costs!Q9 + S29 * state_costs!R9 + T29 * state_costs!S9 + U29 * state_costs!T9) * (1 / (1 + model_settings!F10)^(21 * model_settings!F9))</f>
        <v>6.8132593023996328</v>
      </c>
      <c r="AK29">
        <f ca="1">(R29 * state_qalys!Q9 + S29 * state_qalys!R9 + T29 * state_qalys!S9 + U29 * state_qalys!T9) * (1 / (1 + model_settings!F11)^(21 * model_settings!F9))</f>
        <v>7.3676272609124224E-2</v>
      </c>
    </row>
    <row r="30" spans="5:37" x14ac:dyDescent="0.55000000000000004">
      <c r="E30">
        <v>22</v>
      </c>
      <c r="F30">
        <f ca="1">F29 * (1 - (input_parameters!O9+input_parameters!O14))</f>
        <v>0.16922531428376481</v>
      </c>
      <c r="G30">
        <f ca="1">G29 * (1 - (input_parameters!O13+input_parameters!O15)) + F29 * input_parameters!O9</f>
        <v>1.2955096106039482E-2</v>
      </c>
      <c r="H30">
        <f ca="1">H29 * (1 - (input_parameters!O16)) + G29 * input_parameters!O13</f>
        <v>7.4276828250147611E-3</v>
      </c>
      <c r="I30">
        <f ca="1">I29 * (1 - (0)) + F29 * input_parameters!O14+G29 * input_parameters!O15+H29 * input_parameters!O16</f>
        <v>0.81039190678518047</v>
      </c>
      <c r="J30">
        <f ca="1">J29 * (1 - (input_parameters!O10+input_parameters!O14))</f>
        <v>0.1751052081270936</v>
      </c>
      <c r="K30">
        <f ca="1">K29 * (1 - (input_parameters!O13+input_parameters!O15)) + J29 * input_parameters!O10</f>
        <v>8.9131299275071914E-3</v>
      </c>
      <c r="L30">
        <f ca="1">L29 * (1 - (input_parameters!O16)) + K29 * input_parameters!O13</f>
        <v>5.0715798294424484E-3</v>
      </c>
      <c r="M30">
        <f ca="1">M29 * (1 - (0)) + J29 * input_parameters!O14+K29 * input_parameters!O15+L29 * input_parameters!O16</f>
        <v>0.81091008211595705</v>
      </c>
      <c r="N30">
        <f ca="1">N29 * (1 - (input_parameters!O11+input_parameters!O14))</f>
        <v>0.17269986217009686</v>
      </c>
      <c r="O30">
        <f ca="1">O29 * (1 - (input_parameters!O13+input_parameters!O15)) + N29 * input_parameters!O11</f>
        <v>1.0568984864104838E-2</v>
      </c>
      <c r="P30">
        <f ca="1">P29 * (1 - (input_parameters!O16)) + O29 * input_parameters!O13</f>
        <v>6.0323172044445574E-3</v>
      </c>
      <c r="Q30">
        <f ca="1">Q29 * (1 - (0)) + N29 * input_parameters!O14+O29 * input_parameters!O15+P29 * input_parameters!O16</f>
        <v>0.81069883576135338</v>
      </c>
      <c r="R30">
        <f ca="1">R29 * (1 - (input_parameters!O12+input_parameters!O14))</f>
        <v>0.17166528226496147</v>
      </c>
      <c r="S30">
        <f ca="1">S29 * (1 - (input_parameters!O13+input_parameters!O15)) + R29 * input_parameters!O12</f>
        <v>1.1280194596392097E-2</v>
      </c>
      <c r="T30">
        <f ca="1">T29 * (1 - (input_parameters!O16)) + S29 * input_parameters!O13</f>
        <v>6.4468561203256114E-3</v>
      </c>
      <c r="U30">
        <f ca="1">U29 * (1 - (0)) + R29 * input_parameters!O14+S29 * input_parameters!O15+T29 * input_parameters!O16</f>
        <v>0.81060766701832099</v>
      </c>
      <c r="V30">
        <f ca="1">F30 * state_costs!E9 + G30 * state_costs!F9 + H30 * state_costs!G9 + I30 * state_costs!H9</f>
        <v>15.626403868936874</v>
      </c>
      <c r="W30">
        <f ca="1">F30 * state_qalys!E9 + G30 * state_qalys!F9 + H30 * state_qalys!G9 + I30 * state_qalys!H9</f>
        <v>0.139746063749428</v>
      </c>
      <c r="X30">
        <f ca="1">(F30 * state_costs!E9 + G30 * state_costs!F9 + H30 * state_costs!G9 + I30 * state_costs!H9) * (1 / (1 + model_settings!F10)^(22 * model_settings!F9))</f>
        <v>7.3311372315608221</v>
      </c>
      <c r="Y30">
        <f ca="1">(F30 * state_qalys!E9 + G30 * state_qalys!F9 + H30 * state_qalys!G9 + I30 * state_qalys!H9) * (1 / (1 + model_settings!F11)^(22 * model_settings!F9))</f>
        <v>6.5561953953722066E-2</v>
      </c>
      <c r="Z30">
        <f ca="1">J30 * state_costs!I9 + K30 * state_costs!J9 + L30 * state_costs!K9 + M30 * state_costs!L9</f>
        <v>10.608380109898819</v>
      </c>
      <c r="AA30">
        <f ca="1">J30 * state_qalys!I9 + K30 * state_qalys!J9 + L30 * state_qalys!K9 + M30 * state_qalys!L9</f>
        <v>0.14050686527805281</v>
      </c>
      <c r="AB30">
        <f ca="1">(J30 * state_costs!I9 + K30 * state_costs!J9 + L30 * state_costs!K9 + M30 * state_costs!L9) * (1 / (1 + model_settings!F10)^(22 * model_settings!F9))</f>
        <v>4.9769282198591744</v>
      </c>
      <c r="AC30">
        <f ca="1">(J30 * state_qalys!I9 + K30 * state_qalys!J9 + L30 * state_qalys!K9 + M30 * state_qalys!L9) * (1 / (1 + model_settings!F11)^(22 * model_settings!F9))</f>
        <v>6.5918884470756584E-2</v>
      </c>
      <c r="AD30">
        <f ca="1">N30 * state_costs!M9 + O30 * state_costs!N9 + P30 * state_costs!O9 + Q30 * state_costs!P9</f>
        <v>12.563040666878273</v>
      </c>
      <c r="AE30">
        <f ca="1">N30 * state_qalys!M9 + O30 * state_qalys!N9 + P30 * state_qalys!O9 + Q30 * state_qalys!P9</f>
        <v>0.14019523458437477</v>
      </c>
      <c r="AF30">
        <f ca="1">(N30 * state_costs!M9 + O30 * state_costs!N9 + P30 * state_costs!O9 + Q30 * state_costs!P9) * (1 / (1 + model_settings!F10)^(22 * model_settings!F9))</f>
        <v>5.8939584530800957</v>
      </c>
      <c r="AG30">
        <f ca="1">(N30 * state_qalys!M9 + O30 * state_qalys!N9 + P30 * state_qalys!O9 + Q30 * state_qalys!P9) * (1 / (1 + model_settings!F11)^(22 * model_settings!F9))</f>
        <v>6.5772682734254573E-2</v>
      </c>
      <c r="AH30">
        <f ca="1">R30 * state_costs!Q9 + S30 * state_costs!R9 + T30 * state_costs!S9 + U30 * state_costs!T9</f>
        <v>13.323090641552787</v>
      </c>
      <c r="AI30">
        <f ca="1">R30 * state_qalys!Q9 + S30 * state_qalys!R9 + T30 * state_qalys!S9 + U30 * state_qalys!T9</f>
        <v>0.14006136699314703</v>
      </c>
      <c r="AJ30">
        <f ca="1">(R30 * state_costs!Q9 + S30 * state_costs!R9 + T30 * state_costs!S9 + U30 * state_costs!T9) * (1 / (1 + model_settings!F10)^(22 * model_settings!F9))</f>
        <v>6.2505363781047789</v>
      </c>
      <c r="AK30">
        <f ca="1">(R30 * state_qalys!Q9 + S30 * state_qalys!R9 + T30 * state_qalys!S9 + U30 * state_qalys!T9) * (1 / (1 + model_settings!F11)^(22 * model_settings!F9))</f>
        <v>6.5709878669392291E-2</v>
      </c>
    </row>
    <row r="31" spans="5:37" x14ac:dyDescent="0.55000000000000004">
      <c r="E31">
        <v>23</v>
      </c>
      <c r="F31">
        <f ca="1">F30 * (1 - (input_parameters!O9+input_parameters!O14))</f>
        <v>0.15549827769109348</v>
      </c>
      <c r="G31">
        <f ca="1">G30 * (1 - (input_parameters!O13+input_parameters!O15)) + F30 * input_parameters!O9</f>
        <v>1.2285886135366119E-2</v>
      </c>
      <c r="H31">
        <f ca="1">H30 * (1 - (input_parameters!O16)) + G30 * input_parameters!O13</f>
        <v>7.4598417782123635E-3</v>
      </c>
      <c r="I31">
        <f ca="1">I30 * (1 - (0)) + F30 * input_parameters!O14+G30 * input_parameters!O15+H30 * input_parameters!O16</f>
        <v>0.82475599439532754</v>
      </c>
      <c r="J31">
        <f ca="1">J30 * (1 - (input_parameters!O10+input_parameters!O14))</f>
        <v>0.1611631270790313</v>
      </c>
      <c r="K31">
        <f ca="1">K30 * (1 - (input_parameters!O13+input_parameters!O15)) + J30 * input_parameters!O10</f>
        <v>8.4612760350100888E-3</v>
      </c>
      <c r="L31">
        <f ca="1">L30 * (1 - (input_parameters!O16)) + K30 * input_parameters!O13</f>
        <v>5.0964999186747821E-3</v>
      </c>
      <c r="M31">
        <f ca="1">M30 * (1 - (0)) + J30 * input_parameters!O14+K30 * input_parameters!O15+L30 * input_parameters!O16</f>
        <v>0.82527909696728408</v>
      </c>
      <c r="N31">
        <f ca="1">N30 * (1 - (input_parameters!O11+input_parameters!O14))</f>
        <v>0.15884463898914836</v>
      </c>
      <c r="O31">
        <f ca="1">O30 * (1 - (input_parameters!O13+input_parameters!O15)) + N30 * input_parameters!O11</f>
        <v>1.0029062550277355E-2</v>
      </c>
      <c r="P31">
        <f ca="1">P30 * (1 - (input_parameters!O16)) + O30 * input_parameters!O13</f>
        <v>6.0605262956458517E-3</v>
      </c>
      <c r="Q31">
        <f ca="1">Q30 * (1 - (0)) + N30 * input_parameters!O14+O30 * input_parameters!O15+P30 * input_parameters!O16</f>
        <v>0.82506577216492816</v>
      </c>
      <c r="R31">
        <f ca="1">R30 * (1 - (input_parameters!O12+input_parameters!O14))</f>
        <v>0.15784788971483502</v>
      </c>
      <c r="S31">
        <f ca="1">S30 * (1 - (input_parameters!O13+input_parameters!O15)) + R30 * input_parameters!O12</f>
        <v>1.0702033000123037E-2</v>
      </c>
      <c r="T31">
        <f ca="1">T30 * (1 - (input_parameters!O16)) + S30 * input_parameters!O13</f>
        <v>6.4763412793374352E-3</v>
      </c>
      <c r="U31">
        <f ca="1">U30 * (1 - (0)) + R30 * input_parameters!O14+S30 * input_parameters!O15+T30 * input_parameters!O16</f>
        <v>0.82497373600570467</v>
      </c>
      <c r="V31">
        <f ca="1">F31 * state_costs!E9 + G31 * state_costs!F9 + H31 * state_costs!G9 + I31 * state_costs!H9</f>
        <v>14.81427879570013</v>
      </c>
      <c r="W31">
        <f ca="1">F31 * state_qalys!E9 + G31 * state_qalys!F9 + H31 * state_qalys!G9 + I31 * state_qalys!H9</f>
        <v>0.12899429207252158</v>
      </c>
      <c r="X31">
        <f ca="1">(F31 * state_costs!E9 + G31 * state_costs!F9 + H31 * state_costs!G9 + I31 * state_costs!H9) * (1 / (1 + model_settings!F10)^(23 * model_settings!F9))</f>
        <v>6.715099749950709</v>
      </c>
      <c r="Y31">
        <f ca="1">(F31 * state_qalys!E9 + G31 * state_qalys!F9 + H31 * state_qalys!G9 + I31 * state_qalys!H9) * (1 / (1 + model_settings!F11)^(23 * model_settings!F9))</f>
        <v>5.847125941039244E-2</v>
      </c>
      <c r="Z31">
        <f ca="1">J31 * state_costs!I9 + K31 * state_costs!J9 + L31 * state_costs!K9 + M31 * state_costs!L9</f>
        <v>10.071382863140879</v>
      </c>
      <c r="AA31">
        <f ca="1">J31 * state_qalys!I9 + K31 * state_qalys!J9 + L31 * state_qalys!K9 + M31 * state_qalys!L9</f>
        <v>0.1297140412312256</v>
      </c>
      <c r="AB31">
        <f ca="1">(J31 * state_costs!I9 + K31 * state_costs!J9 + L31 * state_costs!K9 + M31 * state_costs!L9) * (1 / (1 + model_settings!F10)^(23 * model_settings!F9))</f>
        <v>4.5652131621530572</v>
      </c>
      <c r="AC31">
        <f ca="1">(J31 * state_qalys!I9 + K31 * state_qalys!J9 + L31 * state_qalys!K9 + M31 * state_qalys!L9) * (1 / (1 + model_settings!F11)^(23 * model_settings!F9))</f>
        <v>5.8797511363814801E-2</v>
      </c>
      <c r="AD31">
        <f ca="1">N31 * state_costs!M9 + O31 * state_costs!N9 + P31 * state_costs!O9 + Q31 * state_costs!P9</f>
        <v>11.922674239893569</v>
      </c>
      <c r="AE31">
        <f ca="1">N31 * state_qalys!M9 + O31 * state_qalys!N9 + P31 * state_qalys!O9 + Q31 * state_qalys!P9</f>
        <v>0.12941904065139287</v>
      </c>
      <c r="AF31">
        <f ca="1">(N31 * state_costs!M9 + O31 * state_costs!N9 + P31 * state_costs!O9 + Q31 * state_costs!P9) * (1 / (1 + model_settings!F10)^(23 * model_settings!F9))</f>
        <v>5.4043769468069671</v>
      </c>
      <c r="AG31">
        <f ca="1">(N31 * state_qalys!M9 + O31 * state_qalys!N9 + P31 * state_qalys!O9 + Q31 * state_qalys!P9) * (1 / (1 + model_settings!F11)^(23 * model_settings!F9))</f>
        <v>5.8663791839078633E-2</v>
      </c>
      <c r="AH31">
        <f ca="1">R31 * state_costs!Q9 + S31 * state_costs!R9 + T31 * state_costs!S9 + U31 * state_costs!T9</f>
        <v>12.644240360043179</v>
      </c>
      <c r="AI31">
        <f ca="1">R31 * state_qalys!Q9 + S31 * state_qalys!R9 + T31 * state_qalys!S9 + U31 * state_qalys!T9</f>
        <v>0.12929239533485753</v>
      </c>
      <c r="AJ31">
        <f ca="1">(R31 * state_costs!Q9 + S31 * state_costs!R9 + T31 * state_costs!S9 + U31 * state_costs!T9) * (1 / (1 + model_settings!F10)^(23 * model_settings!F9))</f>
        <v>5.7314525027493826</v>
      </c>
      <c r="AK31">
        <f ca="1">(R31 * state_qalys!Q9 + S31 * state_qalys!R9 + T31 * state_qalys!S9 + U31 * state_qalys!T9) * (1 / (1 + model_settings!F11)^(23 * model_settings!F9))</f>
        <v>5.8606385336532882E-2</v>
      </c>
    </row>
    <row r="32" spans="5:37" x14ac:dyDescent="0.55000000000000004">
      <c r="E32">
        <v>24</v>
      </c>
      <c r="F32">
        <f ca="1">F31 * (1 - (input_parameters!O9+input_parameters!O14))</f>
        <v>0.1428847360528506</v>
      </c>
      <c r="G32">
        <f ca="1">G31 * (1 - (input_parameters!O13+input_parameters!O15)) + F31 * input_parameters!O9</f>
        <v>1.1628264012100207E-2</v>
      </c>
      <c r="H32">
        <f ca="1">H31 * (1 - (input_parameters!O16)) + G31 * input_parameters!O13</f>
        <v>7.4602940387044972E-3</v>
      </c>
      <c r="I32">
        <f ca="1">I31 * (1 - (0)) + F31 * input_parameters!O14+G31 * input_parameters!O15+H31 * input_parameters!O16</f>
        <v>0.8380267058963442</v>
      </c>
      <c r="J32">
        <f ca="1">J31 * (1 - (input_parameters!O10+input_parameters!O14))</f>
        <v>0.14833113079674967</v>
      </c>
      <c r="K32">
        <f ca="1">K31 * (1 - (input_parameters!O13+input_parameters!O15)) + J31 * input_parameters!O10</f>
        <v>8.0165574648349558E-3</v>
      </c>
      <c r="L32">
        <f ca="1">L31 * (1 - (input_parameters!O16)) + K31 * input_parameters!O13</f>
        <v>5.0997798376870565E-3</v>
      </c>
      <c r="M32">
        <f ca="1">M31 * (1 - (0)) + J31 * input_parameters!O14+K31 * input_parameters!O15+L31 * input_parameters!O16</f>
        <v>0.83855253190072854</v>
      </c>
      <c r="N32">
        <f ca="1">N31 * (1 - (input_parameters!O11+input_parameters!O14))</f>
        <v>0.14610098131254762</v>
      </c>
      <c r="O32">
        <f ca="1">O31 * (1 - (input_parameters!O13+input_parameters!O15)) + N31 * input_parameters!O11</f>
        <v>9.4980015953159622E-3</v>
      </c>
      <c r="P32">
        <f ca="1">P31 * (1 - (input_parameters!O16)) + O31 * input_parameters!O13</f>
        <v>6.0629907406115789E-3</v>
      </c>
      <c r="Q32">
        <f ca="1">Q31 * (1 - (0)) + N31 * input_parameters!O14+O31 * input_parameters!O15+P31 * input_parameters!O16</f>
        <v>0.83833802635152455</v>
      </c>
      <c r="R32">
        <f ca="1">R31 * (1 - (input_parameters!O12+input_parameters!O14))</f>
        <v>0.14514266343598528</v>
      </c>
      <c r="S32">
        <f ca="1">S31 * (1 - (input_parameters!O13+input_parameters!O15)) + R31 * input_parameters!O12</f>
        <v>1.0133515427475264E-2</v>
      </c>
      <c r="T32">
        <f ca="1">T31 * (1 - (input_parameters!O16)) + S31 * input_parameters!O13</f>
        <v>6.4783106132618833E-3</v>
      </c>
      <c r="U32">
        <f ca="1">U31 * (1 - (0)) + R31 * input_parameters!O14+S31 * input_parameters!O15+T31 * input_parameters!O16</f>
        <v>0.83824551052327767</v>
      </c>
      <c r="V32">
        <f ca="1">F32 * state_costs!E9 + G32 * state_costs!F9 + H32 * state_costs!G9 + I32 * state_costs!H9</f>
        <v>14.038111008967356</v>
      </c>
      <c r="W32">
        <f ca="1">F32 * state_qalys!E9 + G32 * state_qalys!F9 + H32 * state_qalys!G9 + I32 * state_qalys!H9</f>
        <v>0.11907331826546351</v>
      </c>
      <c r="X32">
        <f ca="1">(F32 * state_costs!E9 + G32 * state_costs!F9 + H32 * state_costs!G9 + I32 * state_costs!H9) * (1 / (1 + model_settings!F10)^(24 * model_settings!F9))</f>
        <v>6.1480908627793056</v>
      </c>
      <c r="Y32">
        <f ca="1">(F32 * state_qalys!E9 + G32 * state_qalys!F9 + H32 * state_qalys!G9 + I32 * state_qalys!H9) * (1 / (1 + model_settings!F11)^(24 * model_settings!F9))</f>
        <v>5.2149009190842678E-2</v>
      </c>
      <c r="Z32">
        <f ca="1">J32 * state_costs!I9 + K32 * state_costs!J9 + L32 * state_costs!K9 + M32 * state_costs!L9</f>
        <v>9.5569308659578578</v>
      </c>
      <c r="AA32">
        <f ca="1">J32 * state_qalys!I9 + K32 * state_qalys!J9 + L32 * state_qalys!K9 + M32 * state_qalys!L9</f>
        <v>0.11975262026960881</v>
      </c>
      <c r="AB32">
        <f ca="1">(J32 * state_costs!I9 + K32 * state_costs!J9 + L32 * state_costs!K9 + M32 * state_costs!L9) * (1 / (1 + model_settings!F10)^(24 * model_settings!F9))</f>
        <v>4.1855260508821965</v>
      </c>
      <c r="AC32">
        <f ca="1">(J32 * state_qalys!I9 + K32 * state_qalys!J9 + L32 * state_qalys!K9 + M32 * state_qalys!L9) * (1 / (1 + model_settings!F11)^(24 * model_settings!F9))</f>
        <v>5.2446514349626903E-2</v>
      </c>
      <c r="AD32">
        <f ca="1">N32 * state_costs!M9 + O32 * state_costs!N9 + P32 * state_costs!O9 + Q32 * state_costs!P9</f>
        <v>11.309537967720981</v>
      </c>
      <c r="AE32">
        <f ca="1">N32 * state_qalys!M9 + O32 * state_qalys!N9 + P32 * state_qalys!O9 + Q32 * state_qalys!P9</f>
        <v>0.11947401959684666</v>
      </c>
      <c r="AF32">
        <f ca="1">(N32 * state_costs!M9 + O32 * state_costs!N9 + P32 * state_costs!O9 + Q32 * state_costs!P9) * (1 / (1 + model_settings!F10)^(24 * model_settings!F9))</f>
        <v>4.9530928340134128</v>
      </c>
      <c r="AG32">
        <f ca="1">(N32 * state_qalys!M9 + O32 * state_qalys!N9 + P32 * state_qalys!O9 + Q32 * state_qalys!P9) * (1 / (1 + model_settings!F11)^(24 * model_settings!F9))</f>
        <v>5.2324499197482929E-2</v>
      </c>
      <c r="AH32">
        <f ca="1">R32 * state_costs!Q9 + S32 * state_costs!R9 + T32 * state_costs!S9 + U32 * state_costs!T9</f>
        <v>11.99417835876509</v>
      </c>
      <c r="AI32">
        <f ca="1">R32 * state_qalys!Q9 + S32 * state_qalys!R9 + T32 * state_qalys!S9 + U32 * state_qalys!T9</f>
        <v>0.11935449020707757</v>
      </c>
      <c r="AJ32">
        <f ca="1">(R32 * state_costs!Q9 + S32 * state_costs!R9 + T32 * state_costs!S9 + U32 * state_costs!T9) * (1 / (1 + model_settings!F10)^(24 * model_settings!F9))</f>
        <v>5.2529359774234585</v>
      </c>
      <c r="AK32">
        <f ca="1">(R32 * state_qalys!Q9 + S32 * state_qalys!R9 + T32 * state_qalys!S9 + U32 * state_qalys!T9) * (1 / (1 + model_settings!F11)^(24 * model_settings!F9))</f>
        <v>5.2272150448523506E-2</v>
      </c>
    </row>
    <row r="33" spans="5:37" x14ac:dyDescent="0.55000000000000004">
      <c r="E33">
        <v>25</v>
      </c>
      <c r="F33">
        <f ca="1">F32 * (1 - (input_parameters!O9+input_parameters!O14))</f>
        <v>0.1312943660858448</v>
      </c>
      <c r="G33">
        <f ca="1">G32 * (1 - (input_parameters!O13+input_parameters!O15)) + F32 * input_parameters!O9</f>
        <v>1.0986066129484202E-2</v>
      </c>
      <c r="H33">
        <f ca="1">H32 * (1 - (input_parameters!O16)) + G32 * input_parameters!O13</f>
        <v>7.4318392617834907E-3</v>
      </c>
      <c r="I33">
        <f ca="1">I32 * (1 - (0)) + F32 * input_parameters!O14+G32 * input_parameters!O15+H32 * input_parameters!O16</f>
        <v>0.85028772852288692</v>
      </c>
      <c r="J33">
        <f ca="1">J32 * (1 - (input_parameters!O10+input_parameters!O14))</f>
        <v>0.13652083303554316</v>
      </c>
      <c r="K33">
        <f ca="1">K32 * (1 - (input_parameters!O13+input_parameters!O15)) + J32 * input_parameters!O10</f>
        <v>7.5816325716449662E-3</v>
      </c>
      <c r="L33">
        <f ca="1">L32 * (1 - (input_parameters!O16)) + K32 * input_parameters!O13</f>
        <v>5.0832964195585556E-3</v>
      </c>
      <c r="M33">
        <f ca="1">M32 * (1 - (0)) + J32 * input_parameters!O14+K32 * input_parameters!O15+L32 * input_parameters!O16</f>
        <v>0.85081423797325351</v>
      </c>
      <c r="N33">
        <f ca="1">N32 * (1 - (input_parameters!O11+input_parameters!O14))</f>
        <v>0.13437971137286936</v>
      </c>
      <c r="O33">
        <f ca="1">O32 * (1 - (input_parameters!O13+input_parameters!O15)) + N32 * input_parameters!O11</f>
        <v>8.9789455008297079E-3</v>
      </c>
      <c r="P33">
        <f ca="1">P32 * (1 - (input_parameters!O16)) + O32 * input_parameters!O13</f>
        <v>6.0419597136041631E-3</v>
      </c>
      <c r="Q33">
        <f ca="1">Q32 * (1 - (0)) + N32 * input_parameters!O14+O32 * input_parameters!O15+P32 * input_parameters!O16</f>
        <v>0.85059938341269647</v>
      </c>
      <c r="R33">
        <f ca="1">R32 * (1 - (input_parameters!O12+input_parameters!O14))</f>
        <v>0.1334600848155135</v>
      </c>
      <c r="S33">
        <f ca="1">S32 * (1 - (input_parameters!O13+input_parameters!O15)) + R32 * input_parameters!O12</f>
        <v>9.5779927072461024E-3</v>
      </c>
      <c r="T33">
        <f ca="1">T32 * (1 - (input_parameters!O16)) + S32 * input_parameters!O13</f>
        <v>6.4551756318279082E-3</v>
      </c>
      <c r="U33">
        <f ca="1">U32 * (1 - (0)) + R32 * input_parameters!O14+S32 * input_parameters!O15+T32 * input_parameters!O16</f>
        <v>0.8505067468454125</v>
      </c>
      <c r="V33">
        <f ca="1">F33 * state_costs!E9 + G33 * state_costs!F9 + H33 * state_costs!G9 + I33 * state_costs!H9</f>
        <v>13.296811417661905</v>
      </c>
      <c r="W33">
        <f ca="1">F33 * state_qalys!E9 + G33 * state_qalys!F9 + H33 * state_qalys!G9 + I33 * state_qalys!H9</f>
        <v>0.10991864415660178</v>
      </c>
      <c r="X33">
        <f ca="1">(F33 * state_costs!E9 + G33 * state_costs!F9 + H33 * state_costs!G9 + I33 * state_costs!H9) * (1 / (1 + model_settings!F10)^(25 * model_settings!F9))</f>
        <v>5.6265057182744469</v>
      </c>
      <c r="Y33">
        <f ca="1">(F33 * state_qalys!E9 + G33 * state_qalys!F9 + H33 * state_qalys!G9 + I33 * state_qalys!H9) * (1 / (1 + model_settings!F11)^(25 * model_settings!F9))</f>
        <v>4.6511743339505293E-2</v>
      </c>
      <c r="Z33">
        <f ca="1">J33 * state_costs!I9 + K33 * state_costs!J9 + L33 * state_costs!K9 + M33 * state_costs!L9</f>
        <v>9.0644636357817223</v>
      </c>
      <c r="AA33">
        <f ca="1">J33 * state_qalys!I9 + K33 * state_qalys!J9 + L33 * state_qalys!K9 + M33 * state_qalys!L9</f>
        <v>0.110558359758507</v>
      </c>
      <c r="AB33">
        <f ca="1">(J33 * state_costs!I9 + K33 * state_costs!J9 + L33 * state_costs!K9 + M33 * state_costs!L9) * (1 / (1 + model_settings!F10)^(25 * model_settings!F9))</f>
        <v>3.8356004968283326</v>
      </c>
      <c r="AC33">
        <f ca="1">(J33 * state_qalys!I9 + K33 * state_qalys!J9 + L33 * state_qalys!K9 + M33 * state_qalys!L9) * (1 / (1 + model_settings!F11)^(25 * model_settings!F9))</f>
        <v>4.6782437070440532E-2</v>
      </c>
      <c r="AD33">
        <f ca="1">N33 * state_costs!M9 + O33 * state_costs!N9 + P33 * state_costs!O9 + Q33 * state_costs!P9</f>
        <v>10.722922128953963</v>
      </c>
      <c r="AE33">
        <f ca="1">N33 * state_qalys!M9 + O33 * state_qalys!N9 + P33 * state_qalys!O9 + Q33 * state_qalys!P9</f>
        <v>0.11029582383207868</v>
      </c>
      <c r="AF33">
        <f ca="1">(N33 * state_costs!M9 + O33 * state_costs!N9 + P33 * state_costs!O9 + Q33 * state_costs!P9) * (1 / (1 + model_settings!F10)^(25 * model_settings!F9))</f>
        <v>4.5373722150434084</v>
      </c>
      <c r="AG33">
        <f ca="1">(N33 * state_qalys!M9 + O33 * state_qalys!N9 + P33 * state_qalys!O9 + Q33 * state_qalys!P9) * (1 / (1 + model_settings!F11)^(25 * model_settings!F9))</f>
        <v>4.6671345783597176E-2</v>
      </c>
      <c r="AH33">
        <f ca="1">R33 * state_costs!Q9 + S33 * state_costs!R9 + T33 * state_costs!S9 + U33 * state_costs!T9</f>
        <v>11.372166667639577</v>
      </c>
      <c r="AI33">
        <f ca="1">R33 * state_qalys!Q9 + S33 * state_qalys!R9 + T33 * state_qalys!S9 + U33 * state_qalys!T9</f>
        <v>0.11018325905119948</v>
      </c>
      <c r="AJ33">
        <f ca="1">(R33 * state_costs!Q9 + S33 * state_costs!R9 + T33 * state_costs!S9 + U33 * state_costs!T9) * (1 / (1 + model_settings!F10)^(25 * model_settings!F9))</f>
        <v>4.8120980868882093</v>
      </c>
      <c r="AK33">
        <f ca="1">(R33 * state_qalys!Q9 + S33 * state_qalys!R9 + T33 * state_qalys!S9 + U33 * state_qalys!T9) * (1 / (1 + model_settings!F11)^(25 * model_settings!F9))</f>
        <v>4.6623714335470308E-2</v>
      </c>
    </row>
    <row r="34" spans="5:37" x14ac:dyDescent="0.55000000000000004">
      <c r="E34">
        <v>26</v>
      </c>
      <c r="F34">
        <f ca="1">F33 * (1 - (input_parameters!O9+input_parameters!O14))</f>
        <v>0.12064417125358805</v>
      </c>
      <c r="G34">
        <f ca="1">G33 * (1 - (input_parameters!O13+input_parameters!O15)) + F33 * input_parameters!O9</f>
        <v>1.0362283361835643E-2</v>
      </c>
      <c r="H34">
        <f ca="1">H33 * (1 - (input_parameters!O16)) + G33 * input_parameters!O13</f>
        <v>7.3772432680244693E-3</v>
      </c>
      <c r="I34">
        <f ca="1">I33 * (1 - (0)) + F33 * input_parameters!O14+G33 * input_parameters!O15+H33 * input_parameters!O16</f>
        <v>0.86161630211655127</v>
      </c>
      <c r="J34">
        <f ca="1">J33 * (1 - (input_parameters!O10+input_parameters!O14))</f>
        <v>0.12565088496667121</v>
      </c>
      <c r="K34">
        <f ca="1">K33 * (1 - (input_parameters!O13+input_parameters!O15)) + J33 * input_parameters!O10</f>
        <v>7.1585871090622836E-3</v>
      </c>
      <c r="L34">
        <f ca="1">L33 * (1 - (input_parameters!O16)) + K33 * input_parameters!O13</f>
        <v>5.0489076138003552E-3</v>
      </c>
      <c r="M34">
        <f ca="1">M33 * (1 - (0)) + J33 * input_parameters!O14+K33 * input_parameters!O15+L33 * input_parameters!O16</f>
        <v>0.86214162031046637</v>
      </c>
      <c r="N34">
        <f ca="1">N33 * (1 - (input_parameters!O11+input_parameters!O14))</f>
        <v>0.123598805883618</v>
      </c>
      <c r="O34">
        <f ca="1">O33 * (1 - (input_parameters!O13+input_parameters!O15)) + N33 * input_parameters!O11</f>
        <v>8.4743543873059615E-3</v>
      </c>
      <c r="P34">
        <f ca="1">P33 * (1 - (input_parameters!O16)) + O33 * input_parameters!O13</f>
        <v>5.9996579044580599E-3</v>
      </c>
      <c r="Q34">
        <f ca="1">Q33 * (1 - (0)) + N33 * input_parameters!O14+O33 * input_parameters!O15+P33 * input_parameters!O16</f>
        <v>0.86192718182461769</v>
      </c>
      <c r="R34">
        <f ca="1">R33 * (1 - (input_parameters!O12+input_parameters!O14))</f>
        <v>0.12271784062182242</v>
      </c>
      <c r="S34">
        <f ca="1">S33 * (1 - (input_parameters!O13+input_parameters!O15)) + R33 * input_parameters!O12</f>
        <v>9.0380842706440628E-3</v>
      </c>
      <c r="T34">
        <f ca="1">T33 * (1 - (input_parameters!O16)) + S33 * input_parameters!O13</f>
        <v>6.4093207344704502E-3</v>
      </c>
      <c r="U34">
        <f ca="1">U33 * (1 - (0)) + R33 * input_parameters!O14+S33 * input_parameters!O15+T33 * input_parameters!O16</f>
        <v>0.86183475437306312</v>
      </c>
      <c r="V34">
        <f ca="1">F34 * state_costs!E9 + G34 * state_costs!F9 + H34 * state_costs!G9 + I34 * state_costs!H9</f>
        <v>12.589284598949355</v>
      </c>
      <c r="W34">
        <f ca="1">F34 * state_qalys!E9 + G34 * state_qalys!F9 + H34 * state_qalys!G9 + I34 * state_qalys!H9</f>
        <v>0.10147080493984267</v>
      </c>
      <c r="X34">
        <f ca="1">(F34 * state_costs!E9 + G34 * state_costs!F9 + H34 * state_costs!G9 + I34 * state_costs!H9) * (1 / (1 + model_settings!F10)^(26 * model_settings!F9))</f>
        <v>5.1469737923753218</v>
      </c>
      <c r="Y34">
        <f ca="1">(F34 * state_qalys!E9 + G34 * state_qalys!F9 + H34 * state_qalys!G9 + I34 * state_qalys!H9) * (1 / (1 + model_settings!F11)^(26 * model_settings!F9))</f>
        <v>4.1485087545021004E-2</v>
      </c>
      <c r="Z34">
        <f ca="1">J34 * state_costs!I9 + K34 * state_costs!J9 + L34 * state_costs!K9 + M34 * state_costs!L9</f>
        <v>8.5934013621733509</v>
      </c>
      <c r="AA34">
        <f ca="1">J34 * state_qalys!I9 + K34 * state_qalys!J9 + L34 * state_qalys!K9 + M34 * state_qalys!L9</f>
        <v>0.10207199802957967</v>
      </c>
      <c r="AB34">
        <f ca="1">(J34 * state_costs!I9 + K34 * state_costs!J9 + L34 * state_costs!K9 + M34 * state_costs!L9) * (1 / (1 + model_settings!F10)^(26 * model_settings!F9))</f>
        <v>3.5133061970939847</v>
      </c>
      <c r="AC34">
        <f ca="1">(J34 * state_qalys!I9 + K34 * state_qalys!J9 + L34 * state_qalys!K9 + M34 * state_qalys!L9) * (1 / (1 + model_settings!F11)^(26 * model_settings!F9))</f>
        <v>4.173087792752548E-2</v>
      </c>
      <c r="AD34">
        <f ca="1">N34 * state_costs!M9 + O34 * state_costs!N9 + P34 * state_costs!O9 + Q34 * state_costs!P9</f>
        <v>10.162097540050619</v>
      </c>
      <c r="AE34">
        <f ca="1">N34 * state_qalys!M9 + O34 * state_qalys!N9 + P34 * state_qalys!O9 + Q34 * state_qalys!P9</f>
        <v>0.10182510798658127</v>
      </c>
      <c r="AF34">
        <f ca="1">(N34 * state_costs!M9 + O34 * state_costs!N9 + P34 * state_costs!O9 + Q34 * state_costs!P9) * (1 / (1 + model_settings!F10)^(26 * model_settings!F9))</f>
        <v>4.1546482886380476</v>
      </c>
      <c r="AG34">
        <f ca="1">(N34 * state_qalys!M9 + O34 * state_qalys!N9 + P34 * state_qalys!O9 + Q34 * state_qalys!P9) * (1 / (1 + model_settings!F11)^(26 * model_settings!F9))</f>
        <v>4.1629939977404211E-2</v>
      </c>
      <c r="AH34">
        <f ca="1">R34 * state_costs!Q9 + S34 * state_costs!R9 + T34 * state_costs!S9 + U34 * state_costs!T9</f>
        <v>10.777444910455831</v>
      </c>
      <c r="AI34">
        <f ca="1">R34 * state_qalys!Q9 + S34 * state_qalys!R9 + T34 * state_qalys!S9 + U34 * state_qalys!T9</f>
        <v>0.10171932074555678</v>
      </c>
      <c r="AJ34">
        <f ca="1">(R34 * state_costs!Q9 + S34 * state_costs!R9 + T34 * state_costs!S9 + U34 * state_costs!T9) * (1 / (1 + model_settings!F10)^(26 * model_settings!F9))</f>
        <v>4.4062254742826559</v>
      </c>
      <c r="AK34">
        <f ca="1">(R34 * state_qalys!Q9 + S34 * state_qalys!R9 + T34 * state_qalys!S9 + U34 * state_qalys!T9) * (1 / (1 + model_settings!F11)^(26 * model_settings!F9))</f>
        <v>4.1586690168184219E-2</v>
      </c>
    </row>
    <row r="35" spans="5:37" x14ac:dyDescent="0.55000000000000004">
      <c r="E35">
        <v>27</v>
      </c>
      <c r="F35">
        <f ca="1">F34 * (1 - (input_parameters!O9+input_parameters!O14))</f>
        <v>0.11085788744315585</v>
      </c>
      <c r="G35">
        <f ca="1">G34 * (1 - (input_parameters!O13+input_parameters!O15)) + F34 * input_parameters!O9</f>
        <v>9.7591894240590844E-3</v>
      </c>
      <c r="H35">
        <f ca="1">H34 * (1 - (input_parameters!O16)) + G34 * input_parameters!O13</f>
        <v>7.2992033635165864E-3</v>
      </c>
      <c r="I35">
        <f ca="1">I34 * (1 - (0)) + F34 * input_parameters!O14+G34 * input_parameters!O15+H34 * input_parameters!O16</f>
        <v>0.87208371976926791</v>
      </c>
      <c r="J35">
        <f ca="1">J34 * (1 - (input_parameters!O10+input_parameters!O14))</f>
        <v>0.1156464148500852</v>
      </c>
      <c r="K35">
        <f ca="1">K34 * (1 - (input_parameters!O13+input_parameters!O15)) + J34 * input_parameters!O10</f>
        <v>6.7490201984572598E-3</v>
      </c>
      <c r="L35">
        <f ca="1">L34 * (1 - (input_parameters!O16)) + K34 * input_parameters!O13</f>
        <v>4.998428709405583E-3</v>
      </c>
      <c r="M35">
        <f ca="1">M34 * (1 - (0)) + J34 * input_parameters!O14+K34 * input_parameters!O15+L34 * input_parameters!O16</f>
        <v>0.87260613624205208</v>
      </c>
      <c r="N35">
        <f ca="1">N34 * (1 - (input_parameters!O11+input_parameters!O14))</f>
        <v>0.11368282205538784</v>
      </c>
      <c r="O35">
        <f ca="1">O34 * (1 - (input_parameters!O13+input_parameters!O15)) + N34 * input_parameters!O11</f>
        <v>7.9861080558848285E-3</v>
      </c>
      <c r="P35">
        <f ca="1">P34 * (1 - (input_parameters!O16)) + O34 * input_parameters!O13</f>
        <v>5.938257282256487E-3</v>
      </c>
      <c r="Q35">
        <f ca="1">Q34 * (1 - (0)) + N34 * input_parameters!O14+O34 * input_parameters!O15+P34 * input_parameters!O16</f>
        <v>0.87239281260647061</v>
      </c>
      <c r="R35">
        <f ca="1">R34 * (1 - (input_parameters!O12+input_parameters!O14))</f>
        <v>0.11284024304120975</v>
      </c>
      <c r="S35">
        <f ca="1">S34 * (1 - (input_parameters!O13+input_parameters!O15)) + R34 * input_parameters!O12</f>
        <v>8.5157886698848263E-3</v>
      </c>
      <c r="T35">
        <f ca="1">T34 * (1 - (input_parameters!O16)) + S34 * input_parameters!O13</f>
        <v>6.3430730554609772E-3</v>
      </c>
      <c r="U35">
        <f ca="1">U34 * (1 - (0)) + R34 * input_parameters!O14+S34 * input_parameters!O15+T34 * input_parameters!O16</f>
        <v>0.87230089523344445</v>
      </c>
      <c r="V35">
        <f ca="1">F35 * state_costs!E9 + G35 * state_costs!F9 + H35 * state_costs!G9 + I35 * state_costs!H9</f>
        <v>11.914431971170902</v>
      </c>
      <c r="W35">
        <f ca="1">F35 * state_qalys!E9 + G35 * state_qalys!F9 + H35 * state_qalys!G9 + I35 * state_qalys!H9</f>
        <v>9.3674974048440829E-2</v>
      </c>
      <c r="X35">
        <f ca="1">(F35 * state_costs!E9 + G35 * state_costs!F9 + H35 * state_costs!G9 + I35 * state_costs!H9) * (1 / (1 + model_settings!F10)^(27 * model_settings!F9))</f>
        <v>4.7063464887983999</v>
      </c>
      <c r="Y35">
        <f ca="1">(F35 * state_qalys!E9 + G35 * state_qalys!F9 + H35 * state_qalys!G9 + I35 * state_qalys!H9) * (1 / (1 + model_settings!F11)^(27 * model_settings!F9))</f>
        <v>3.7002761547333264E-2</v>
      </c>
      <c r="Z35">
        <f ca="1">J35 * state_costs!I9 + K35 * state_costs!J9 + L35 * state_costs!K9 + M35 * state_costs!L9</f>
        <v>8.1431482421255943</v>
      </c>
      <c r="AA35">
        <f ca="1">J35 * state_qalys!I9 + K35 * state_qalys!J9 + L35 * state_qalys!K9 + M35 * state_qalys!L9</f>
        <v>9.4238866683504008E-2</v>
      </c>
      <c r="AB35">
        <f ca="1">(J35 * state_costs!I9 + K35 * state_costs!J9 + L35 * state_costs!K9 + M35 * state_costs!L9) * (1 / (1 + model_settings!F10)^(27 * model_settings!F9))</f>
        <v>3.2166432465958574</v>
      </c>
      <c r="AC35">
        <f ca="1">(J35 * state_qalys!I9 + K35 * state_qalys!J9 + L35 * state_qalys!K9 + M35 * state_qalys!L9) * (1 / (1 + model_settings!F11)^(27 * model_settings!F9))</f>
        <v>3.7225506041532429E-2</v>
      </c>
      <c r="AD35">
        <f ca="1">N35 * state_costs!M9 + O35 * state_costs!N9 + P35 * state_costs!O9 + Q35 * state_costs!P9</f>
        <v>9.6263192627409051</v>
      </c>
      <c r="AE35">
        <f ca="1">N35 * state_qalys!M9 + O35 * state_qalys!N9 + P35 * state_qalys!O9 + Q35 * state_qalys!P9</f>
        <v>9.400713821793491E-2</v>
      </c>
      <c r="AF35">
        <f ca="1">(N35 * state_costs!M9 + O35 * state_costs!N9 + P35 * state_costs!O9 + Q35 * state_costs!P9) * (1 / (1 + model_settings!F10)^(27 * model_settings!F9))</f>
        <v>3.8025139571803428</v>
      </c>
      <c r="AG35">
        <f ca="1">(N35 * state_qalys!M9 + O35 * state_qalys!N9 + P35 * state_qalys!O9 + Q35 * state_qalys!P9) * (1 / (1 + model_settings!F11)^(27 * model_settings!F9))</f>
        <v>3.7133970460740608E-2</v>
      </c>
      <c r="AH35">
        <f ca="1">R35 * state_costs!Q9 + S35 * state_costs!R9 + T35 * state_costs!S9 + U35 * state_costs!T9</f>
        <v>10.209234406168441</v>
      </c>
      <c r="AI35">
        <f ca="1">R35 * state_qalys!Q9 + S35 * state_qalys!R9 + T35 * state_qalys!S9 + U35 * state_qalys!T9</f>
        <v>9.3907913608601498E-2</v>
      </c>
      <c r="AJ35">
        <f ca="1">(R35 * state_costs!Q9 + S35 * state_costs!R9 + T35 * state_costs!S9 + U35 * state_costs!T9) * (1 / (1 + model_settings!F10)^(27 * model_settings!F9))</f>
        <v>4.0327725750629027</v>
      </c>
      <c r="AK35">
        <f ca="1">(R35 * state_qalys!Q9 + S35 * state_qalys!R9 + T35 * state_qalys!S9 + U35 * state_qalys!T9) * (1 / (1 + model_settings!F11)^(27 * model_settings!F9))</f>
        <v>3.709477552531535E-2</v>
      </c>
    </row>
    <row r="36" spans="5:37" x14ac:dyDescent="0.55000000000000004">
      <c r="E36">
        <v>28</v>
      </c>
      <c r="F36">
        <f ca="1">F35 * (1 - (input_parameters!O9+input_parameters!O14))</f>
        <v>0.10186543685171125</v>
      </c>
      <c r="G36">
        <f ca="1">G35 * (1 - (input_parameters!O13+input_parameters!O15)) + F35 * input_parameters!O9</f>
        <v>9.1784521322710918E-3</v>
      </c>
      <c r="H36">
        <f ca="1">H35 * (1 - (input_parameters!O16)) + G35 * input_parameters!O13</f>
        <v>7.200321801679033E-3</v>
      </c>
      <c r="I36">
        <f ca="1">I35 * (1 - (0)) + F35 * input_parameters!O14+G35 * input_parameters!O15+H35 * input_parameters!O16</f>
        <v>0.88175578921433806</v>
      </c>
      <c r="J36">
        <f ca="1">J35 * (1 - (input_parameters!O10+input_parameters!O14))</f>
        <v>0.10643851232106701</v>
      </c>
      <c r="K36">
        <f ca="1">K35 * (1 - (input_parameters!O13+input_parameters!O15)) + J35 * input_parameters!O10</f>
        <v>6.3541189358358929E-3</v>
      </c>
      <c r="L36">
        <f ca="1">L35 * (1 - (input_parameters!O16)) + K35 * input_parameters!O13</f>
        <v>4.9336140504774506E-3</v>
      </c>
      <c r="M36">
        <f ca="1">M35 * (1 - (0)) + J35 * input_parameters!O14+K35 * input_parameters!O15+L35 * input_parameters!O16</f>
        <v>0.88227375469261982</v>
      </c>
      <c r="N36">
        <f ca="1">N35 * (1 - (input_parameters!O11+input_parameters!O14))</f>
        <v>0.10456236966112886</v>
      </c>
      <c r="O36">
        <f ca="1">O35 * (1 - (input_parameters!O13+input_parameters!O15)) + N35 * input_parameters!O11</f>
        <v>7.5155953857067824E-3</v>
      </c>
      <c r="P36">
        <f ca="1">P35 * (1 - (input_parameters!O16)) + O35 * input_parameters!O13</f>
        <v>5.8598554242891236E-3</v>
      </c>
      <c r="Q36">
        <f ca="1">Q35 * (1 - (0)) + N35 * input_parameters!O14+O35 * input_parameters!O15+P35 * input_parameters!O16</f>
        <v>0.88206217952887489</v>
      </c>
      <c r="R36">
        <f ca="1">R35 * (1 - (input_parameters!O12+input_parameters!O14))</f>
        <v>0.1037576963958983</v>
      </c>
      <c r="S36">
        <f ca="1">S35 * (1 - (input_parameters!O13+input_parameters!O15)) + R35 * input_parameters!O12</f>
        <v>8.0125794233300157E-3</v>
      </c>
      <c r="T36">
        <f ca="1">T35 * (1 - (input_parameters!O16)) + S35 * input_parameters!O13</f>
        <v>6.2586793403456957E-3</v>
      </c>
      <c r="U36">
        <f ca="1">U35 * (1 - (0)) + R35 * input_parameters!O14+S35 * input_parameters!O15+T35 * input_parameters!O16</f>
        <v>0.88197104484042599</v>
      </c>
      <c r="V36">
        <f ca="1">F36 * state_costs!E9 + G36 * state_costs!F9 + H36 * state_costs!G9 + I36 * state_costs!H9</f>
        <v>11.271154984994736</v>
      </c>
      <c r="W36">
        <f ca="1">F36 * state_qalys!E9 + G36 * state_qalys!F9 + H36 * state_qalys!G9 + I36 * state_qalys!H9</f>
        <v>8.6480599260922622E-2</v>
      </c>
      <c r="X36">
        <f ca="1">(F36 * state_costs!E9 + G36 * state_costs!F9 + H36 * state_costs!G9 + I36 * state_costs!H9) * (1 / (1 + model_settings!F10)^(28 * model_settings!F9))</f>
        <v>4.3016852213156103</v>
      </c>
      <c r="Y36">
        <f ca="1">(F36 * state_qalys!E9 + G36 * state_qalys!F9 + H36 * state_qalys!G9 + I36 * state_qalys!H9) * (1 / (1 + model_settings!F11)^(28 * model_settings!F9))</f>
        <v>3.3005696068103739E-2</v>
      </c>
      <c r="Z36">
        <f ca="1">J36 * state_costs!I9 + K36 * state_costs!J9 + L36 * state_costs!K9 + M36 * state_costs!L9</f>
        <v>7.7130957359736438</v>
      </c>
      <c r="AA36">
        <f ca="1">J36 * state_qalys!I9 + K36 * state_qalys!J9 + L36 * state_qalys!K9 + M36 * state_qalys!L9</f>
        <v>8.7008533208115135E-2</v>
      </c>
      <c r="AB36">
        <f ca="1">(J36 * state_costs!I9 + K36 * state_costs!J9 + L36 * state_costs!K9 + M36 * state_costs!L9) * (1 / (1 + model_settings!F10)^(28 * model_settings!F9))</f>
        <v>2.943736465535415</v>
      </c>
      <c r="AC36">
        <f ca="1">(J36 * state_qalys!I9 + K36 * state_qalys!J9 + L36 * state_qalys!K9 + M36 * state_qalys!L9) * (1 / (1 + model_settings!F11)^(28 * model_settings!F9))</f>
        <v>3.320718435049292E-2</v>
      </c>
      <c r="AD36">
        <f ca="1">N36 * state_costs!M9 + O36 * state_costs!N9 + P36 * state_costs!O9 + Q36 * state_costs!P9</f>
        <v>9.1148302363995803</v>
      </c>
      <c r="AE36">
        <f ca="1">N36 * state_qalys!M9 + O36 * state_qalys!N9 + P36 * state_qalys!O9 + Q36 * state_qalys!P9</f>
        <v>8.6791432204560551E-2</v>
      </c>
      <c r="AF36">
        <f ca="1">(N36 * state_costs!M9 + O36 * state_costs!N9 + P36 * state_costs!O9 + Q36 * state_costs!P9) * (1 / (1 + model_settings!F10)^(28 * model_settings!F9))</f>
        <v>3.4787145217078268</v>
      </c>
      <c r="AG36">
        <f ca="1">(N36 * state_qalys!M9 + O36 * state_qalys!N9 + P36 * state_qalys!O9 + Q36 * state_qalys!P9) * (1 / (1 + model_settings!F11)^(28 * model_settings!F9))</f>
        <v>3.3124326810181667E-2</v>
      </c>
      <c r="AH36">
        <f ca="1">R36 * state_costs!Q9 + S36 * state_costs!R9 + T36 * state_costs!S9 + U36 * state_costs!T9</f>
        <v>9.6667421782127647</v>
      </c>
      <c r="AI36">
        <f ca="1">R36 * state_qalys!Q9 + S36 * state_qalys!R9 + T36 * state_qalys!S9 + U36 * state_qalys!T9</f>
        <v>8.6698534246111764E-2</v>
      </c>
      <c r="AJ36">
        <f ca="1">(R36 * state_costs!Q9 + S36 * state_costs!R9 + T36 * state_costs!S9 + U36 * state_costs!T9) * (1 / (1 + model_settings!F10)^(28 * model_settings!F9))</f>
        <v>3.689354109818014</v>
      </c>
      <c r="AK36">
        <f ca="1">(R36 * state_qalys!Q9 + S36 * state_qalys!R9 + T36 * state_qalys!S9 + U36 * state_qalys!T9) * (1 / (1 + model_settings!F11)^(28 * model_settings!F9))</f>
        <v>3.3088871901125624E-2</v>
      </c>
    </row>
    <row r="37" spans="5:37" x14ac:dyDescent="0.55000000000000004">
      <c r="E37">
        <v>29</v>
      </c>
      <c r="F37">
        <f ca="1">F36 * (1 - (input_parameters!O9+input_parameters!O14))</f>
        <v>9.3602426172072983E-2</v>
      </c>
      <c r="G37">
        <f ca="1">G36 * (1 - (input_parameters!O13+input_parameters!O15)) + F36 * input_parameters!O9</f>
        <v>8.6212297005820414E-3</v>
      </c>
      <c r="H37">
        <f ca="1">H36 * (1 - (input_parameters!O16)) + G36 * input_parameters!O13</f>
        <v>7.0830860476531719E-3</v>
      </c>
      <c r="I37">
        <f ca="1">I36 * (1 - (0)) + F36 * input_parameters!O14+G36 * input_parameters!O15+H36 * input_parameters!O16</f>
        <v>0.89069325807969124</v>
      </c>
      <c r="J37">
        <f ca="1">J36 * (1 - (input_parameters!O10+input_parameters!O14))</f>
        <v>9.796375373856725E-2</v>
      </c>
      <c r="K37">
        <f ca="1">K36 * (1 - (input_parameters!O13+input_parameters!O15)) + J36 * input_parameters!O10</f>
        <v>5.9747230467776524E-3</v>
      </c>
      <c r="L37">
        <f ca="1">L36 * (1 - (input_parameters!O16)) + K36 * input_parameters!O13</f>
        <v>4.8561433487169636E-3</v>
      </c>
      <c r="M37">
        <f ca="1">M36 * (1 - (0)) + J36 * input_parameters!O14+K36 * input_parameters!O15+L36 * input_parameters!O16</f>
        <v>0.8912053798659384</v>
      </c>
      <c r="N37">
        <f ca="1">N36 * (1 - (input_parameters!O11+input_parameters!O14))</f>
        <v>9.6173625456128398E-2</v>
      </c>
      <c r="O37">
        <f ca="1">O36 * (1 - (input_parameters!O13+input_parameters!O15)) + N36 * input_parameters!O11</f>
        <v>7.0637917667399084E-3</v>
      </c>
      <c r="P37">
        <f ca="1">P36 * (1 - (input_parameters!O16)) + O36 * input_parameters!O13</f>
        <v>5.7664593359704856E-3</v>
      </c>
      <c r="Q37">
        <f ca="1">Q36 * (1 - (0)) + N36 * input_parameters!O14+O36 * input_parameters!O15+P36 * input_parameters!O16</f>
        <v>0.89099612344116097</v>
      </c>
      <c r="R37">
        <f ca="1">R36 * (1 - (input_parameters!O12+input_parameters!O14))</f>
        <v>9.5406206786099707E-2</v>
      </c>
      <c r="S37">
        <f ca="1">S36 * (1 - (input_parameters!O13+input_parameters!O15)) + R36 * input_parameters!O12</f>
        <v>7.5294880145890071E-3</v>
      </c>
      <c r="T37">
        <f ca="1">T36 * (1 - (input_parameters!O16)) + S36 * input_parameters!O13</f>
        <v>6.1582887013961604E-3</v>
      </c>
      <c r="U37">
        <f ca="1">U36 * (1 - (0)) + R36 * input_parameters!O14+S36 * input_parameters!O15+T36 * input_parameters!O16</f>
        <v>0.89090601649791523</v>
      </c>
      <c r="V37">
        <f ca="1">F37 * state_costs!E9 + G37 * state_costs!F9 + H37 * state_costs!G9 + I37 * state_costs!H9</f>
        <v>10.658358259070408</v>
      </c>
      <c r="W37">
        <f ca="1">F37 * state_qalys!E9 + G37 * state_qalys!F9 + H37 * state_qalys!G9 + I37 * state_qalys!H9</f>
        <v>7.9841067550127515E-2</v>
      </c>
      <c r="X37">
        <f ca="1">(F37 * state_costs!E9 + G37 * state_costs!F9 + H37 * state_costs!G9 + I37 * state_costs!H9) * (1 / (1 + model_settings!F10)^(29 * model_settings!F9))</f>
        <v>3.9302499430775311</v>
      </c>
      <c r="Y37">
        <f ca="1">(F37 * state_qalys!E9 + G37 * state_qalys!F9 + H37 * state_qalys!G9 + I37 * state_qalys!H9) * (1 / (1 + model_settings!F11)^(29 * model_settings!F9))</f>
        <v>2.9441246350214761E-2</v>
      </c>
      <c r="Z37">
        <f ca="1">J37 * state_costs!I9 + K37 * state_costs!J9 + L37 * state_costs!K9 + M37 * state_costs!L9</f>
        <v>7.302625701437119</v>
      </c>
      <c r="AA37">
        <f ca="1">J37 * state_qalys!I9 + K37 * state_qalys!J9 + L37 * state_qalys!K9 + M37 * state_qalys!L9</f>
        <v>8.0334471528289167E-2</v>
      </c>
      <c r="AB37">
        <f ca="1">(J37 * state_costs!I9 + K37 * state_costs!J9 + L37 * state_costs!K9 + M37 * state_costs!L9) * (1 / (1 + model_settings!F10)^(29 * model_settings!F9))</f>
        <v>2.6928297538661443</v>
      </c>
      <c r="AC37">
        <f ca="1">(J37 * state_qalys!I9 + K37 * state_qalys!J9 + L37 * state_qalys!K9 + M37 * state_qalys!L9) * (1 / (1 + model_settings!F11)^(29 * model_settings!F9))</f>
        <v>2.9623188156818397E-2</v>
      </c>
      <c r="AD37">
        <f ca="1">N37 * state_costs!M9 + O37 * state_costs!N9 + P37 * state_costs!O9 + Q37 * state_costs!P9</f>
        <v>8.626864783110749</v>
      </c>
      <c r="AE37">
        <f ca="1">N37 * state_qalys!M9 + O37 * state_qalys!N9 + P37 * state_qalys!O9 + Q37 * state_qalys!P9</f>
        <v>8.0131427395551985E-2</v>
      </c>
      <c r="AF37">
        <f ca="1">(N37 * state_costs!M9 + O37 * state_costs!N9 + P37 * state_costs!O9 + Q37 * state_costs!P9) * (1 / (1 + model_settings!F10)^(29 * model_settings!F9))</f>
        <v>3.1811404719769425</v>
      </c>
      <c r="AG37">
        <f ca="1">(N37 * state_qalys!M9 + O37 * state_qalys!N9 + P37 * state_qalys!O9 + Q37 * state_qalys!P9) * (1 / (1 + model_settings!F11)^(29 * model_settings!F9))</f>
        <v>2.9548316007493389E-2</v>
      </c>
      <c r="AH37">
        <f ca="1">R37 * state_costs!Q9 + S37 * state_costs!R9 + T37 * state_costs!S9 + U37 * state_costs!T9</f>
        <v>9.149164816824559</v>
      </c>
      <c r="AI37">
        <f ca="1">R37 * state_qalys!Q9 + S37 * state_qalys!R9 + T37 * state_qalys!S9 + U37 * state_qalys!T9</f>
        <v>8.0044604798182803E-2</v>
      </c>
      <c r="AJ37">
        <f ca="1">(R37 * state_costs!Q9 + S37 * state_costs!R9 + T37 * state_costs!S9 + U37 * state_costs!T9) * (1 / (1 + model_settings!F10)^(29 * model_settings!F9))</f>
        <v>3.3737376457514454</v>
      </c>
      <c r="AK37">
        <f ca="1">(R37 * state_qalys!Q9 + S37 * state_qalys!R9 + T37 * state_qalys!S9 + U37 * state_qalys!T9) * (1 / (1 + model_settings!F11)^(29 * model_settings!F9))</f>
        <v>2.9516300334903506E-2</v>
      </c>
    </row>
    <row r="38" spans="5:37" x14ac:dyDescent="0.55000000000000004">
      <c r="E38">
        <v>30</v>
      </c>
      <c r="F38">
        <f ca="1">F37 * (1 - (input_parameters!O9+input_parameters!O14))</f>
        <v>8.6009685483925652E-2</v>
      </c>
      <c r="G38">
        <f ca="1">G37 * (1 - (input_parameters!O13+input_parameters!O15)) + F37 * input_parameters!O9</f>
        <v>8.088253952209086E-3</v>
      </c>
      <c r="H38">
        <f ca="1">H37 * (1 - (input_parameters!O16)) + G37 * input_parameters!O13</f>
        <v>6.9498546967517571E-3</v>
      </c>
      <c r="I38">
        <f ca="1">I37 * (1 - (0)) + F37 * input_parameters!O14+G37 * input_parameters!O15+H37 * input_parameters!O16</f>
        <v>0.89895220586711289</v>
      </c>
      <c r="J38">
        <f ca="1">J37 * (1 - (input_parameters!O10+input_parameters!O14))</f>
        <v>9.0163765325862857E-2</v>
      </c>
      <c r="K38">
        <f ca="1">K37 * (1 - (input_parameters!O13+input_parameters!O15)) + J37 * input_parameters!O10</f>
        <v>5.6113808305863645E-3</v>
      </c>
      <c r="L38">
        <f ca="1">L37 * (1 - (input_parameters!O16)) + K37 * input_parameters!O13</f>
        <v>4.7676118236765408E-3</v>
      </c>
      <c r="M38">
        <f ca="1">M37 * (1 - (0)) + J37 * input_parameters!O14+K37 * input_parameters!O15+L37 * input_parameters!O16</f>
        <v>0.89945724201987443</v>
      </c>
      <c r="N38">
        <f ca="1">N37 * (1 - (input_parameters!O11+input_parameters!O14))</f>
        <v>8.8457886554708848E-2</v>
      </c>
      <c r="O38">
        <f ca="1">O37 * (1 - (input_parameters!O13+input_parameters!O15)) + N37 * input_parameters!O11</f>
        <v>6.6313260640855657E-3</v>
      </c>
      <c r="P38">
        <f ca="1">P37 * (1 - (input_parameters!O16)) + O37 * input_parameters!O13</f>
        <v>5.6599738396584196E-3</v>
      </c>
      <c r="Q38">
        <f ca="1">Q37 * (1 - (0)) + N37 * input_parameters!O14+O37 * input_parameters!O15+P37 * input_parameters!O16</f>
        <v>0.8992508135415469</v>
      </c>
      <c r="R38">
        <f ca="1">R37 * (1 - (input_parameters!O12+input_parameters!O14))</f>
        <v>8.7726931201142666E-2</v>
      </c>
      <c r="S38">
        <f ca="1">S37 * (1 - (input_parameters!O13+input_parameters!O15)) + R37 * input_parameters!O12</f>
        <v>7.0671756536085841E-3</v>
      </c>
      <c r="T38">
        <f ca="1">T37 * (1 - (input_parameters!O16)) + S37 * input_parameters!O13</f>
        <v>6.0439402632693562E-3</v>
      </c>
      <c r="U38">
        <f ca="1">U37 * (1 - (0)) + R37 * input_parameters!O14+S37 * input_parameters!O15+T37 * input_parameters!O16</f>
        <v>0.89916195288197953</v>
      </c>
      <c r="V38">
        <f ca="1">F38 * state_costs!E9 + G38 * state_costs!F9 + H38 * state_costs!G9 + I38 * state_costs!H9</f>
        <v>10.074952603523506</v>
      </c>
      <c r="W38">
        <f ca="1">F38 * state_qalys!E9 + G38 * state_qalys!F9 + H38 * state_qalys!G9 + I38 * state_qalys!H9</f>
        <v>7.3713396386693858E-2</v>
      </c>
      <c r="X38">
        <f ca="1">(F38 * state_costs!E9 + G38 * state_costs!F9 + H38 * state_costs!G9 + I38 * state_costs!H9) * (1 / (1 + model_settings!F10)^(30 * model_settings!F9))</f>
        <v>3.589488100476883</v>
      </c>
      <c r="Y38">
        <f ca="1">(F38 * state_qalys!E9 + G38 * state_qalys!F9 + H38 * state_qalys!G9 + I38 * state_qalys!H9) * (1 / (1 + model_settings!F11)^(30 * model_settings!F9))</f>
        <v>2.6262491704748786E-2</v>
      </c>
      <c r="Z38">
        <f ca="1">J38 * state_costs!I9 + K38 * state_costs!J9 + L38 * state_costs!K9 + M38 * state_costs!L9</f>
        <v>6.9111133741800419</v>
      </c>
      <c r="AA38">
        <f ca="1">J38 * state_qalys!I9 + K38 * state_qalys!J9 + L38 * state_qalys!K9 + M38 * state_qalys!L9</f>
        <v>7.4173758292577122E-2</v>
      </c>
      <c r="AB38">
        <f ca="1">(J38 * state_costs!I9 + K38 * state_costs!J9 + L38 * state_costs!K9 + M38 * state_costs!L9) * (1 / (1 + model_settings!F10)^(30 * model_settings!F9))</f>
        <v>2.4622804884451801</v>
      </c>
      <c r="AC38">
        <f ca="1">(J38 * state_qalys!I9 + K38 * state_qalys!J9 + L38 * state_qalys!K9 + M38 * state_qalys!L9) * (1 / (1 + model_settings!F11)^(30 * model_settings!F9))</f>
        <v>2.6426508712878723E-2</v>
      </c>
      <c r="AD38">
        <f ca="1">N38 * state_costs!M9 + O38 * state_costs!N9 + P38 * state_costs!O9 + Q38 * state_costs!P9</f>
        <v>8.161651946279239</v>
      </c>
      <c r="AE38">
        <f ca="1">N38 * state_qalys!M9 + O38 * state_qalys!N9 + P38 * state_qalys!O9 + Q38 * state_qalys!P9</f>
        <v>7.3984175285205026E-2</v>
      </c>
      <c r="AF38">
        <f ca="1">(N38 * state_costs!M9 + O38 * state_costs!N9 + P38 * state_costs!O9 + Q38 * state_costs!P9) * (1 / (1 + model_settings!F10)^(30 * model_settings!F9))</f>
        <v>2.9078203833095548</v>
      </c>
      <c r="AG38">
        <f ca="1">(N38 * state_qalys!M9 + O38 * state_qalys!N9 + P38 * state_qalys!O9 + Q38 * state_qalys!P9) * (1 / (1 + model_settings!F11)^(30 * model_settings!F9))</f>
        <v>2.6358964380334988E-2</v>
      </c>
      <c r="AH38">
        <f ca="1">R38 * state_costs!Q9 + S38 * state_costs!R9 + T38 * state_costs!S9 + U38 * state_costs!T9</f>
        <v>8.6556921533456581</v>
      </c>
      <c r="AI38">
        <f ca="1">R38 * state_qalys!Q9 + S38 * state_qalys!R9 + T38 * state_qalys!S9 + U38 * state_qalys!T9</f>
        <v>7.3903166337144277E-2</v>
      </c>
      <c r="AJ38">
        <f ca="1">(R38 * state_costs!Q9 + S38 * state_costs!R9 + T38 * state_costs!S9 + U38 * state_costs!T9) * (1 / (1 + model_settings!F10)^(30 * model_settings!F9))</f>
        <v>3.0838362430568109</v>
      </c>
      <c r="AK38">
        <f ca="1">(R38 * state_qalys!Q9 + S38 * state_qalys!R9 + T38 * state_qalys!S9 + U38 * state_qalys!T9) * (1 / (1 + model_settings!F11)^(30 * model_settings!F9))</f>
        <v>2.633010264107534E-2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rgb="FFFFFF00"/>
  </sheetPr>
  <dimension ref="E8:T9"/>
  <sheetViews>
    <sheetView workbookViewId="0">
      <selection activeCell="E9" sqref="E9"/>
    </sheetView>
  </sheetViews>
  <sheetFormatPr defaultColWidth="10.9453125" defaultRowHeight="14.4" x14ac:dyDescent="0.55000000000000004"/>
  <sheetData>
    <row r="8" spans="5:20" x14ac:dyDescent="0.55000000000000004">
      <c r="E8" t="s">
        <v>127</v>
      </c>
      <c r="F8" t="s">
        <v>128</v>
      </c>
      <c r="G8" t="s">
        <v>129</v>
      </c>
      <c r="H8" t="s">
        <v>130</v>
      </c>
      <c r="I8" t="s">
        <v>131</v>
      </c>
      <c r="J8" t="s">
        <v>132</v>
      </c>
      <c r="K8" t="s">
        <v>133</v>
      </c>
      <c r="L8" t="s">
        <v>134</v>
      </c>
      <c r="M8" t="s">
        <v>135</v>
      </c>
      <c r="N8" t="s">
        <v>136</v>
      </c>
      <c r="O8" t="s">
        <v>137</v>
      </c>
      <c r="P8" t="s">
        <v>138</v>
      </c>
      <c r="Q8" t="s">
        <v>139</v>
      </c>
      <c r="R8" t="s">
        <v>140</v>
      </c>
      <c r="S8" t="s">
        <v>141</v>
      </c>
      <c r="T8" t="s">
        <v>142</v>
      </c>
    </row>
    <row r="9" spans="5:20" x14ac:dyDescent="0.55000000000000004">
      <c r="E9">
        <f ca="1">input_parameters!O17</f>
        <v>42.850241728911627</v>
      </c>
      <c r="F9">
        <f ca="1">input_parameters!O21</f>
        <v>358.71886234831379</v>
      </c>
      <c r="G9">
        <f ca="1">input_parameters!O22</f>
        <v>501.88208035761801</v>
      </c>
      <c r="H9">
        <v>0</v>
      </c>
      <c r="I9">
        <f ca="1">input_parameters!O18</f>
        <v>27.787507287097974</v>
      </c>
      <c r="J9">
        <f ca="1">input_parameters!O21</f>
        <v>358.71886234831379</v>
      </c>
      <c r="K9">
        <f ca="1">input_parameters!O22</f>
        <v>501.88208035761801</v>
      </c>
      <c r="L9">
        <v>0</v>
      </c>
      <c r="M9">
        <f ca="1">input_parameters!O19</f>
        <v>33.26137299778906</v>
      </c>
      <c r="N9">
        <f ca="1">input_parameters!O21</f>
        <v>358.71886234831379</v>
      </c>
      <c r="O9">
        <f ca="1">input_parameters!O22</f>
        <v>501.88208035761801</v>
      </c>
      <c r="P9">
        <v>0</v>
      </c>
      <c r="Q9">
        <f ca="1">input_parameters!O20</f>
        <v>35.191218793488126</v>
      </c>
      <c r="R9">
        <f ca="1">input_parameters!O21</f>
        <v>358.71886234831379</v>
      </c>
      <c r="S9">
        <f ca="1">input_parameters!O22</f>
        <v>501.88208035761801</v>
      </c>
      <c r="T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E8:T9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20" x14ac:dyDescent="0.55000000000000004">
      <c r="E8" t="s">
        <v>127</v>
      </c>
      <c r="F8" t="s">
        <v>128</v>
      </c>
      <c r="G8" t="s">
        <v>129</v>
      </c>
      <c r="H8" t="s">
        <v>130</v>
      </c>
      <c r="I8" t="s">
        <v>131</v>
      </c>
      <c r="J8" t="s">
        <v>132</v>
      </c>
      <c r="K8" t="s">
        <v>133</v>
      </c>
      <c r="L8" t="s">
        <v>134</v>
      </c>
      <c r="M8" t="s">
        <v>135</v>
      </c>
      <c r="N8" t="s">
        <v>136</v>
      </c>
      <c r="O8" t="s">
        <v>137</v>
      </c>
      <c r="P8" t="s">
        <v>138</v>
      </c>
      <c r="Q8" t="s">
        <v>139</v>
      </c>
      <c r="R8" t="s">
        <v>140</v>
      </c>
      <c r="S8" t="s">
        <v>141</v>
      </c>
      <c r="T8" t="s">
        <v>142</v>
      </c>
    </row>
    <row r="9" spans="5:20" x14ac:dyDescent="0.55000000000000004">
      <c r="E9">
        <f ca="1">model_settings!F9 * input_parameters!O23</f>
        <v>0.75639151256538006</v>
      </c>
      <c r="F9">
        <f ca="1">model_settings!F9 * input_parameters!O24</f>
        <v>0.578534027576043</v>
      </c>
      <c r="G9">
        <f ca="1">model_settings!F9 * input_parameters!O25</f>
        <v>0.57225227385892852</v>
      </c>
      <c r="H9">
        <f>model_settings!F9 * input_parameters!O26</f>
        <v>0</v>
      </c>
      <c r="I9">
        <f ca="1">model_settings!F9 * input_parameters!O23</f>
        <v>0.75639151256538006</v>
      </c>
      <c r="J9">
        <f ca="1">model_settings!F9 * input_parameters!O24</f>
        <v>0.578534027576043</v>
      </c>
      <c r="K9">
        <f ca="1">model_settings!F9 * input_parameters!O25</f>
        <v>0.57225227385892852</v>
      </c>
      <c r="L9">
        <f>model_settings!F9 * input_parameters!O26</f>
        <v>0</v>
      </c>
      <c r="M9">
        <f ca="1">model_settings!F9 * input_parameters!O23</f>
        <v>0.75639151256538006</v>
      </c>
      <c r="N9">
        <f ca="1">model_settings!F9 * input_parameters!O24</f>
        <v>0.578534027576043</v>
      </c>
      <c r="O9">
        <f ca="1">model_settings!F9 * input_parameters!O25</f>
        <v>0.57225227385892852</v>
      </c>
      <c r="P9">
        <f>model_settings!F9 * input_parameters!O26</f>
        <v>0</v>
      </c>
      <c r="Q9">
        <f ca="1">model_settings!F9 * input_parameters!O23</f>
        <v>0.75639151256538006</v>
      </c>
      <c r="R9">
        <f ca="1">model_settings!F9 * input_parameters!O24</f>
        <v>0.578534027576043</v>
      </c>
      <c r="S9">
        <f ca="1">model_settings!F9 * input_parameters!O25</f>
        <v>0.57225227385892852</v>
      </c>
      <c r="T9">
        <f>model_settings!F9 * input_parameters!O26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00FF00"/>
  </sheetPr>
  <dimension ref="E8:H18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s">
        <v>4</v>
      </c>
      <c r="F8" t="s">
        <v>5</v>
      </c>
      <c r="G8" t="s">
        <v>6</v>
      </c>
      <c r="H8" t="s">
        <v>7</v>
      </c>
    </row>
    <row r="9" spans="5:8" x14ac:dyDescent="0.55000000000000004">
      <c r="E9" t="s">
        <v>8</v>
      </c>
      <c r="F9" t="s">
        <v>159</v>
      </c>
      <c r="G9" t="s">
        <v>9</v>
      </c>
      <c r="H9" t="s">
        <v>10</v>
      </c>
    </row>
    <row r="10" spans="5:8" x14ac:dyDescent="0.55000000000000004">
      <c r="E10" t="s">
        <v>11</v>
      </c>
      <c r="F10" t="s">
        <v>12</v>
      </c>
      <c r="G10" t="s">
        <v>9</v>
      </c>
      <c r="H10" t="s">
        <v>13</v>
      </c>
    </row>
    <row r="11" spans="5:8" x14ac:dyDescent="0.55000000000000004">
      <c r="E11" t="s">
        <v>14</v>
      </c>
      <c r="F11" t="s">
        <v>12</v>
      </c>
      <c r="G11" t="s">
        <v>9</v>
      </c>
      <c r="H11" t="s">
        <v>15</v>
      </c>
    </row>
    <row r="12" spans="5:8" x14ac:dyDescent="0.55000000000000004">
      <c r="E12" t="s">
        <v>16</v>
      </c>
      <c r="F12" t="s">
        <v>17</v>
      </c>
      <c r="G12" t="s">
        <v>9</v>
      </c>
      <c r="H12" t="s">
        <v>18</v>
      </c>
    </row>
    <row r="13" spans="5:8" x14ac:dyDescent="0.55000000000000004">
      <c r="E13" t="s">
        <v>19</v>
      </c>
      <c r="F13" t="s">
        <v>20</v>
      </c>
      <c r="G13" t="s">
        <v>9</v>
      </c>
      <c r="H13" t="s">
        <v>21</v>
      </c>
    </row>
    <row r="14" spans="5:8" x14ac:dyDescent="0.55000000000000004">
      <c r="E14" t="s">
        <v>22</v>
      </c>
      <c r="F14" t="s">
        <v>160</v>
      </c>
      <c r="G14" t="s">
        <v>23</v>
      </c>
      <c r="H14" t="s">
        <v>24</v>
      </c>
    </row>
    <row r="15" spans="5:8" x14ac:dyDescent="0.55000000000000004">
      <c r="E15" t="s">
        <v>25</v>
      </c>
      <c r="F15" t="s">
        <v>161</v>
      </c>
      <c r="G15" t="s">
        <v>23</v>
      </c>
      <c r="H15" t="s">
        <v>26</v>
      </c>
    </row>
    <row r="16" spans="5:8" x14ac:dyDescent="0.55000000000000004">
      <c r="E16" t="s">
        <v>27</v>
      </c>
      <c r="F16" t="s">
        <v>162</v>
      </c>
      <c r="G16" t="s">
        <v>23</v>
      </c>
      <c r="H16" t="s">
        <v>28</v>
      </c>
    </row>
    <row r="17" spans="5:8" x14ac:dyDescent="0.55000000000000004">
      <c r="E17" t="s">
        <v>29</v>
      </c>
      <c r="F17" t="s">
        <v>163</v>
      </c>
      <c r="G17" t="s">
        <v>23</v>
      </c>
      <c r="H17" t="s">
        <v>30</v>
      </c>
    </row>
    <row r="18" spans="5:8" x14ac:dyDescent="0.55000000000000004">
      <c r="E18" t="s">
        <v>31</v>
      </c>
      <c r="F18" t="s">
        <v>162</v>
      </c>
      <c r="G18" t="s">
        <v>23</v>
      </c>
      <c r="H18" t="s">
        <v>32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FFA500"/>
  </sheetPr>
  <dimension ref="E8:I15"/>
  <sheetViews>
    <sheetView workbookViewId="0">
      <selection activeCell="E8" sqref="E8"/>
    </sheetView>
  </sheetViews>
  <sheetFormatPr defaultColWidth="10.9453125" defaultRowHeight="14.4" x14ac:dyDescent="0.55000000000000004"/>
  <cols>
    <col min="5" max="5" width="25.3125" customWidth="1"/>
  </cols>
  <sheetData>
    <row r="8" spans="5:9" x14ac:dyDescent="0.55000000000000004">
      <c r="E8" t="s">
        <v>64</v>
      </c>
      <c r="F8" t="s">
        <v>160</v>
      </c>
      <c r="G8" t="s">
        <v>164</v>
      </c>
      <c r="H8" t="s">
        <v>165</v>
      </c>
      <c r="I8" t="s">
        <v>166</v>
      </c>
    </row>
    <row r="9" spans="5:9" x14ac:dyDescent="0.55000000000000004">
      <c r="E9" t="s">
        <v>65</v>
      </c>
      <c r="F9">
        <f ca="1">SUM(markov_trace!X9:'markov_trace'!X39)</f>
        <v>1241.1206295607124</v>
      </c>
      <c r="G9">
        <f ca="1">SUM(markov_trace!AB9:'markov_trace'!AB39)</f>
        <v>2707.5418661274307</v>
      </c>
      <c r="H9">
        <f ca="1">SUM(markov_trace!AF9:'markov_trace'!AF39)</f>
        <v>1979.95621817659</v>
      </c>
      <c r="I9">
        <f ca="1">SUM(markov_trace!AJ9:'markov_trace'!AJ39)</f>
        <v>1851.6923364784091</v>
      </c>
    </row>
    <row r="10" spans="5:9" x14ac:dyDescent="0.55000000000000004">
      <c r="E10" t="s">
        <v>66</v>
      </c>
      <c r="F10">
        <f ca="1">SUM(markov_trace!Y9:'markov_trace'!Y39)</f>
        <v>6.5162620915239149</v>
      </c>
      <c r="G10">
        <f ca="1">SUM(markov_trace!AC9:'markov_trace'!AC39)</f>
        <v>6.5305919090081801</v>
      </c>
      <c r="H10">
        <f ca="1">SUM(markov_trace!AG9:'markov_trace'!AG39)</f>
        <v>6.5247504925080619</v>
      </c>
      <c r="I10">
        <f ca="1">SUM(markov_trace!AK9:'markov_trace'!AK39)</f>
        <v>6.5222292897314258</v>
      </c>
    </row>
    <row r="11" spans="5:9" x14ac:dyDescent="0.55000000000000004">
      <c r="E11" t="s">
        <v>67</v>
      </c>
      <c r="F11">
        <f ca="1">SUM(markov_trace!V9:'markov_trace'!V39)</f>
        <v>1460.7789813002116</v>
      </c>
      <c r="G11">
        <f ca="1">SUM(markov_trace!Z9:'markov_trace'!Z39)</f>
        <v>2855.1355358462147</v>
      </c>
      <c r="H11">
        <f ca="1">SUM(markov_trace!AD9:'markov_trace'!AD39)</f>
        <v>2155.1725790251107</v>
      </c>
      <c r="I11">
        <f ca="1">SUM(markov_trace!AH9:'markov_trace'!AH39)</f>
        <v>2037.4277815778792</v>
      </c>
    </row>
    <row r="12" spans="5:9" x14ac:dyDescent="0.55000000000000004">
      <c r="E12" t="s">
        <v>68</v>
      </c>
      <c r="F12">
        <f ca="1">SUM(markov_trace!W9:'markov_trace'!W39)</f>
        <v>8.9044481043691004</v>
      </c>
      <c r="G12">
        <f ca="1">SUM(markov_trace!AA9:'markov_trace'!AA39)</f>
        <v>8.9279062747468423</v>
      </c>
      <c r="H12">
        <f ca="1">SUM(markov_trace!AE9:'markov_trace'!AE39)</f>
        <v>8.9183338490908213</v>
      </c>
      <c r="I12">
        <f ca="1">SUM(markov_trace!AI9:'markov_trace'!AI39)</f>
        <v>8.9142065211849264</v>
      </c>
    </row>
    <row r="13" spans="5:9" x14ac:dyDescent="0.55000000000000004">
      <c r="E13" t="s">
        <v>69</v>
      </c>
      <c r="F13">
        <f ca="1">F9 - F9</f>
        <v>0</v>
      </c>
      <c r="G13">
        <f ca="1">G9 - F9</f>
        <v>1466.4212365667183</v>
      </c>
      <c r="H13">
        <f ca="1">H9 - F9</f>
        <v>738.83558861587767</v>
      </c>
      <c r="I13">
        <f ca="1">I9 - F9</f>
        <v>610.5717069176967</v>
      </c>
    </row>
    <row r="14" spans="5:9" x14ac:dyDescent="0.55000000000000004">
      <c r="E14" t="s">
        <v>70</v>
      </c>
      <c r="F14">
        <f ca="1">F10 - F10</f>
        <v>0</v>
      </c>
      <c r="G14">
        <f ca="1">G10 - F10</f>
        <v>1.4329817484265206E-2</v>
      </c>
      <c r="H14">
        <f ca="1">H10 - F10</f>
        <v>8.4884009841470487E-3</v>
      </c>
      <c r="I14">
        <f ca="1">I10 - F10</f>
        <v>5.9671982075109042E-3</v>
      </c>
    </row>
    <row r="15" spans="5:9" x14ac:dyDescent="0.55000000000000004">
      <c r="E15" t="s">
        <v>71</v>
      </c>
      <c r="G15">
        <f ca="1">G13 / G14</f>
        <v>102333.55994777434</v>
      </c>
      <c r="H15">
        <f ca="1">H13 / H14</f>
        <v>87040.608707779975</v>
      </c>
      <c r="I15">
        <f ca="1">I13 / I14</f>
        <v>102321.33837102493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BZ1007"/>
  <sheetViews>
    <sheetView workbookViewId="0">
      <selection activeCell="A12" sqref="A12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05078125" customWidth="1"/>
    <col min="8" max="8" width="19.83984375" customWidth="1"/>
    <col min="9" max="9" width="22.734375" customWidth="1"/>
    <col min="10" max="10" width="25.20703125" customWidth="1"/>
    <col min="11" max="11" width="17.05078125" customWidth="1"/>
    <col min="12" max="12" width="25.7890625" customWidth="1"/>
    <col min="13" max="13" width="23.47265625" customWidth="1"/>
    <col min="14" max="14" width="28.20703125" customWidth="1"/>
    <col min="16" max="16" width="44.3125" customWidth="1"/>
    <col min="18" max="18" width="28.5234375" customWidth="1"/>
    <col min="21" max="21" width="29.578125" customWidth="1"/>
  </cols>
  <sheetData>
    <row r="1" spans="1:78" x14ac:dyDescent="0.55000000000000004">
      <c r="A1" t="s">
        <v>3</v>
      </c>
      <c r="F1" t="s">
        <v>59</v>
      </c>
      <c r="G1" t="s">
        <v>60</v>
      </c>
    </row>
    <row r="2" spans="1:78" x14ac:dyDescent="0.55000000000000004">
      <c r="F2" s="3" t="s">
        <v>61</v>
      </c>
      <c r="G2" s="4" t="str">
        <f>model_settings!F15</f>
        <v>30</v>
      </c>
      <c r="J2" s="5" t="str">
        <f>IF(markov_trace!F8="","",markov_trace!F8)</f>
        <v>cemented_post_thr</v>
      </c>
      <c r="K2" s="5" t="str">
        <f>IF(markov_trace!G8="","",markov_trace!G8)</f>
        <v>cemented_post_1st_rev</v>
      </c>
      <c r="L2" s="5" t="str">
        <f>IF(markov_trace!H8="","",markov_trace!H8)</f>
        <v>cemented_post_2nd_rev</v>
      </c>
      <c r="M2" s="5" t="str">
        <f>IF(markov_trace!I8="","",markov_trace!I8)</f>
        <v>cemented_dead</v>
      </c>
      <c r="N2" s="5" t="str">
        <f>IF(markov_trace!J8="","",markov_trace!J8)</f>
        <v>uncemented_post_thr</v>
      </c>
      <c r="O2" s="5" t="str">
        <f>IF(markov_trace!K8="","",markov_trace!K8)</f>
        <v>uncemented_post_1st_rev</v>
      </c>
      <c r="P2" s="5" t="str">
        <f>IF(markov_trace!L8="","",markov_trace!L8)</f>
        <v>uncemented_post_2nd_rev</v>
      </c>
      <c r="Q2" s="5" t="str">
        <f>IF(markov_trace!M8="","",markov_trace!M8)</f>
        <v>uncemented_dead</v>
      </c>
      <c r="R2" s="5" t="str">
        <f>IF(markov_trace!N8="","",markov_trace!N8)</f>
        <v>hybrid_post_thr</v>
      </c>
      <c r="S2" s="5" t="str">
        <f>IF(markov_trace!O8="","",markov_trace!O8)</f>
        <v>hybrid_post_1st_rev</v>
      </c>
      <c r="T2" s="5" t="str">
        <f>IF(markov_trace!P8="","",markov_trace!P8)</f>
        <v>hybrid_post_2nd_rev</v>
      </c>
      <c r="U2" s="5" t="str">
        <f>IF(markov_trace!Q8="","",markov_trace!Q8)</f>
        <v>hybrid_dead</v>
      </c>
      <c r="V2" s="5" t="str">
        <f>IF(markov_trace!R8="","",markov_trace!R8)</f>
        <v>reverse_hybrid_post_thr</v>
      </c>
      <c r="W2" s="5" t="str">
        <f>IF(markov_trace!S8="","",markov_trace!S8)</f>
        <v>reverse_hybrid_post_1st_rev</v>
      </c>
      <c r="X2" s="5" t="str">
        <f>IF(markov_trace!T8="","",markov_trace!T8)</f>
        <v>reverse_hybrid_post_2nd_rev</v>
      </c>
      <c r="Y2" s="5" t="str">
        <f>IF(markov_trace!U8="","",markov_trace!U8)</f>
        <v>reverse_hybrid_dead</v>
      </c>
      <c r="Z2" s="5" t="str">
        <f>IF(markov_trace!V8="","",markov_trace!V8)</f>
        <v>cemented Undiscounted Costs</v>
      </c>
      <c r="AA2" s="5" t="str">
        <f>IF(markov_trace!W8="","",markov_trace!W8)</f>
        <v>cemented Undiscounted QALYs</v>
      </c>
      <c r="AB2" s="5" t="str">
        <f>IF(markov_trace!X8="","",markov_trace!X8)</f>
        <v>cemented Discounted Costs</v>
      </c>
      <c r="AC2" s="5" t="str">
        <f>IF(markov_trace!Y8="","",markov_trace!Y8)</f>
        <v>cemented Discounted QALYs</v>
      </c>
      <c r="AD2" s="5" t="str">
        <f>IF(markov_trace!Z8="","",markov_trace!Z8)</f>
        <v>uncemented Undiscounted Costs</v>
      </c>
      <c r="AE2" s="5" t="str">
        <f>IF(markov_trace!AA8="","",markov_trace!AA8)</f>
        <v>uncemented Undiscounted QALYs</v>
      </c>
      <c r="AF2" s="5" t="str">
        <f>IF(markov_trace!AB8="","",markov_trace!AB8)</f>
        <v>uncemented Discounted Costs</v>
      </c>
      <c r="AG2" s="5" t="str">
        <f>IF(markov_trace!AC8="","",markov_trace!AC8)</f>
        <v>uncemented Discounted QALYs</v>
      </c>
      <c r="AH2" s="5" t="str">
        <f>IF(markov_trace!AD8="","",markov_trace!AD8)</f>
        <v>hybrid Undiscounted Costs</v>
      </c>
      <c r="AI2" s="5" t="str">
        <f>IF(markov_trace!AE8="","",markov_trace!AE8)</f>
        <v>hybrid Undiscounted QALYs</v>
      </c>
      <c r="AJ2" s="5" t="str">
        <f>IF(markov_trace!AF8="","",markov_trace!AF8)</f>
        <v>hybrid Discounted Costs</v>
      </c>
      <c r="AK2" s="5" t="str">
        <f>IF(markov_trace!AG8="","",markov_trace!AG8)</f>
        <v>hybrid Discounted QALYs</v>
      </c>
      <c r="AL2" s="5" t="str">
        <f>IF(markov_trace!AH8="","",markov_trace!AH8)</f>
        <v>reverse_hybrid Undiscounted Costs</v>
      </c>
      <c r="AM2" s="5" t="str">
        <f>IF(markov_trace!AI8="","",markov_trace!AI8)</f>
        <v>reverse_hybrid Undiscounted QALYs</v>
      </c>
      <c r="AN2" s="5" t="str">
        <f>IF(markov_trace!AJ8="","",markov_trace!AJ8)</f>
        <v>reverse_hybrid Discounted Costs</v>
      </c>
      <c r="AO2" s="5" t="str">
        <f>IF(markov_trace!AK8="","",markov_trace!AK8)</f>
        <v>reverse_hybrid Discounted QALYs</v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55000000000000004">
      <c r="F3" s="3" t="s">
        <v>62</v>
      </c>
      <c r="G3" s="4" t="str">
        <f>model_settings!F16</f>
        <v>4</v>
      </c>
      <c r="I3" s="5" t="s">
        <v>72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55000000000000004">
      <c r="F4" s="3" t="s">
        <v>63</v>
      </c>
      <c r="G4" s="4" t="str">
        <f>model_settings!F18</f>
        <v>4</v>
      </c>
      <c r="H4" s="2"/>
    </row>
    <row r="5" spans="1:78" x14ac:dyDescent="0.55000000000000004">
      <c r="F5" s="3" t="s">
        <v>0</v>
      </c>
      <c r="G5" s="4">
        <v>1000</v>
      </c>
    </row>
    <row r="6" spans="1:78" x14ac:dyDescent="0.55000000000000004">
      <c r="F6" s="3" t="s">
        <v>1</v>
      </c>
      <c r="G6" s="4">
        <v>1000</v>
      </c>
    </row>
    <row r="7" spans="1:78" x14ac:dyDescent="0.55000000000000004">
      <c r="D7" s="1" t="s">
        <v>2</v>
      </c>
      <c r="E7" s="1" t="str">
        <f>IF(markov_trace!F8="","",markov_trace!F8)</f>
        <v>cemented_post_thr</v>
      </c>
      <c r="F7" s="1" t="str">
        <f>IF(markov_trace!G8="","",markov_trace!G8)</f>
        <v>cemented_post_1st_rev</v>
      </c>
      <c r="G7" s="1" t="str">
        <f>IF(markov_trace!H8="","",markov_trace!H8)</f>
        <v>cemented_post_2nd_rev</v>
      </c>
      <c r="H7" s="1" t="str">
        <f>IF(markov_trace!I8="","",markov_trace!I8)</f>
        <v>cemented_dead</v>
      </c>
      <c r="I7" s="1" t="str">
        <f>IF(markov_trace!J8="","",markov_trace!J8)</f>
        <v>uncemented_post_thr</v>
      </c>
      <c r="J7" s="1" t="str">
        <f>IF(markov_trace!K8="","",markov_trace!K8)</f>
        <v>uncemented_post_1st_rev</v>
      </c>
      <c r="K7" s="1" t="str">
        <f>IF(markov_trace!L8="","",markov_trace!L8)</f>
        <v>uncemented_post_2nd_rev</v>
      </c>
      <c r="L7" s="1" t="str">
        <f>IF(markov_trace!M8="","",markov_trace!M8)</f>
        <v>uncemented_dead</v>
      </c>
      <c r="M7" s="1" t="str">
        <f>IF(markov_trace!N8="","",markov_trace!N8)</f>
        <v>hybrid_post_thr</v>
      </c>
      <c r="N7" s="1" t="str">
        <f>IF(markov_trace!O8="","",markov_trace!O8)</f>
        <v>hybrid_post_1st_rev</v>
      </c>
      <c r="O7" s="1" t="str">
        <f>IF(markov_trace!P8="","",markov_trace!P8)</f>
        <v>hybrid_post_2nd_rev</v>
      </c>
      <c r="P7" s="1" t="str">
        <f>IF(markov_trace!Q8="","",markov_trace!Q8)</f>
        <v>hybrid_dead</v>
      </c>
      <c r="Q7" s="1" t="str">
        <f>IF(markov_trace!R8="","",markov_trace!R8)</f>
        <v>reverse_hybrid_post_thr</v>
      </c>
      <c r="R7" s="1" t="str">
        <f>IF(markov_trace!S8="","",markov_trace!S8)</f>
        <v>reverse_hybrid_post_1st_rev</v>
      </c>
      <c r="S7" s="1" t="str">
        <f>IF(markov_trace!T8="","",markov_trace!T8)</f>
        <v>reverse_hybrid_post_2nd_rev</v>
      </c>
      <c r="T7" s="1" t="str">
        <f>IF(markov_trace!U8="","",markov_trace!U8)</f>
        <v>reverse_hybrid_dead</v>
      </c>
      <c r="U7" s="1" t="str">
        <f>IF(markov_trace!V8="","",markov_trace!V8)</f>
        <v>cemented Undiscounted Costs</v>
      </c>
      <c r="V7" s="1" t="str">
        <f>IF(markov_trace!W8="","",markov_trace!W8)</f>
        <v>cemented Undiscounted QALYs</v>
      </c>
      <c r="W7" s="1" t="str">
        <f>IF(markov_trace!X8="","",markov_trace!X8)</f>
        <v>cemented Discounted Costs</v>
      </c>
      <c r="X7" s="1" t="str">
        <f>IF(markov_trace!Y8="","",markov_trace!Y8)</f>
        <v>cemented Discounted QALYs</v>
      </c>
      <c r="Y7" s="1" t="str">
        <f>IF(markov_trace!Z8="","",markov_trace!Z8)</f>
        <v>uncemented Undiscounted Costs</v>
      </c>
      <c r="Z7" s="1" t="str">
        <f>IF(markov_trace!AA8="","",markov_trace!AA8)</f>
        <v>uncemented Undiscounted QALYs</v>
      </c>
      <c r="AA7" s="1" t="str">
        <f>IF(markov_trace!AB8="","",markov_trace!AB8)</f>
        <v>uncemented Discounted Costs</v>
      </c>
      <c r="AB7" s="1" t="str">
        <f>IF(markov_trace!AC8="","",markov_trace!AC8)</f>
        <v>uncemented Discounted QALYs</v>
      </c>
      <c r="AC7" s="1" t="str">
        <f>IF(markov_trace!AD8="","",markov_trace!AD8)</f>
        <v>hybrid Undiscounted Costs</v>
      </c>
      <c r="AD7" s="1" t="str">
        <f>IF(markov_trace!AE8="","",markov_trace!AE8)</f>
        <v>hybrid Undiscounted QALYs</v>
      </c>
      <c r="AE7" s="1" t="str">
        <f>IF(markov_trace!AF8="","",markov_trace!AF8)</f>
        <v>hybrid Discounted Costs</v>
      </c>
      <c r="AF7" s="1" t="str">
        <f>IF(markov_trace!AG8="","",markov_trace!AG8)</f>
        <v>hybrid Discounted QALYs</v>
      </c>
      <c r="AG7" s="1" t="str">
        <f>IF(markov_trace!AH8="","",markov_trace!AH8)</f>
        <v>reverse_hybrid Undiscounted Costs</v>
      </c>
      <c r="AH7" s="1" t="str">
        <f>IF(markov_trace!AI8="","",markov_trace!AI8)</f>
        <v>reverse_hybrid Undiscounted QALYs</v>
      </c>
      <c r="AI7" s="1" t="str">
        <f>IF(markov_trace!AJ8="","",markov_trace!AJ8)</f>
        <v>reverse_hybrid Discounted Costs</v>
      </c>
      <c r="AJ7" s="1" t="str">
        <f>IF(markov_trace!AK8="","",markov_trace!AK8)</f>
        <v>reverse_hybrid Discounted QALYs</v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55000000000000004">
      <c r="D8">
        <v>1</v>
      </c>
      <c r="E8">
        <v>13.804231058880502</v>
      </c>
      <c r="F8">
        <v>0.53617581357937316</v>
      </c>
      <c r="G8">
        <v>0.17896674589826256</v>
      </c>
      <c r="H8">
        <v>15.480626381641844</v>
      </c>
      <c r="I8">
        <v>14.072671545995108</v>
      </c>
      <c r="J8">
        <v>0.33893993292856811</v>
      </c>
      <c r="K8">
        <v>0.11272224169038278</v>
      </c>
      <c r="L8">
        <v>15.475666279385935</v>
      </c>
      <c r="M8">
        <v>13.946730533017673</v>
      </c>
      <c r="N8">
        <v>0.43152316803694257</v>
      </c>
      <c r="O8">
        <v>0.14375672969951125</v>
      </c>
      <c r="P8">
        <v>15.477989569245882</v>
      </c>
      <c r="Q8">
        <v>13.904029646805869</v>
      </c>
      <c r="R8">
        <v>0.46289457590688815</v>
      </c>
      <c r="S8">
        <v>0.15429697369707035</v>
      </c>
      <c r="T8">
        <v>15.47877880359019</v>
      </c>
      <c r="U8">
        <v>1675.3266156985671</v>
      </c>
      <c r="V8">
        <v>10.878234724331882</v>
      </c>
      <c r="W8">
        <v>1366.7459587184333</v>
      </c>
      <c r="X8">
        <v>7.6592039319537548</v>
      </c>
      <c r="Y8">
        <v>2937.7910670258771</v>
      </c>
      <c r="Z8">
        <v>10.929209187134955</v>
      </c>
      <c r="AA8">
        <v>2750.1081125744367</v>
      </c>
      <c r="AB8">
        <v>7.6880252444567141</v>
      </c>
      <c r="AC8">
        <v>2306.8497594851638</v>
      </c>
      <c r="AD8">
        <v>10.905296196104471</v>
      </c>
      <c r="AE8">
        <v>2066.4385531906701</v>
      </c>
      <c r="AF8">
        <v>7.6745174332370878</v>
      </c>
      <c r="AG8">
        <v>2194.288283252657</v>
      </c>
      <c r="AH8">
        <v>10.897187550435019</v>
      </c>
      <c r="AI8">
        <v>1940.4906347701672</v>
      </c>
      <c r="AJ8">
        <v>7.6699319774406138</v>
      </c>
    </row>
    <row r="9" spans="1:78" x14ac:dyDescent="0.55000000000000004">
      <c r="D9">
        <v>2</v>
      </c>
      <c r="E9">
        <v>13.716680213999119</v>
      </c>
      <c r="F9">
        <v>0.48973292206810282</v>
      </c>
      <c r="G9">
        <v>0.19618430964193997</v>
      </c>
      <c r="H9">
        <v>15.597402554290847</v>
      </c>
      <c r="I9">
        <v>13.964358105289289</v>
      </c>
      <c r="J9">
        <v>0.32204280229602994</v>
      </c>
      <c r="K9">
        <v>0.12856347673219956</v>
      </c>
      <c r="L9">
        <v>15.585035615682491</v>
      </c>
      <c r="M9">
        <v>13.904609573111442</v>
      </c>
      <c r="N9">
        <v>0.36253061111655072</v>
      </c>
      <c r="O9">
        <v>0.14484672262450807</v>
      </c>
      <c r="P9">
        <v>15.588013093147497</v>
      </c>
      <c r="Q9">
        <v>13.804008142822722</v>
      </c>
      <c r="R9">
        <v>0.43065155459539362</v>
      </c>
      <c r="S9">
        <v>0.17230549838592416</v>
      </c>
      <c r="T9">
        <v>15.593034804195963</v>
      </c>
      <c r="U9">
        <v>1638.8659337639831</v>
      </c>
      <c r="V9">
        <v>10.882085203116414</v>
      </c>
      <c r="W9">
        <v>1341.339106417535</v>
      </c>
      <c r="X9">
        <v>7.6753962727702305</v>
      </c>
      <c r="Y9">
        <v>2934.9549551866348</v>
      </c>
      <c r="Z9">
        <v>10.936852536952637</v>
      </c>
      <c r="AA9">
        <v>2747.4219234952066</v>
      </c>
      <c r="AB9">
        <v>7.7061403700055786</v>
      </c>
      <c r="AC9">
        <v>2258.9225048097942</v>
      </c>
      <c r="AD9">
        <v>10.923644198472029</v>
      </c>
      <c r="AE9">
        <v>2035.2775588212799</v>
      </c>
      <c r="AF9">
        <v>7.6987346928090563</v>
      </c>
      <c r="AG9">
        <v>2184.5249845930093</v>
      </c>
      <c r="AH9">
        <v>10.901399753327496</v>
      </c>
      <c r="AI9">
        <v>1933.3535427463194</v>
      </c>
      <c r="AJ9">
        <v>7.6862498454615551</v>
      </c>
    </row>
    <row r="10" spans="1:78" x14ac:dyDescent="0.55000000000000004">
      <c r="D10">
        <v>3</v>
      </c>
      <c r="E10">
        <v>13.553361905663177</v>
      </c>
      <c r="F10">
        <v>0.52504883579777972</v>
      </c>
      <c r="G10">
        <v>0.16681322115175667</v>
      </c>
      <c r="H10">
        <v>15.754776037387284</v>
      </c>
      <c r="I10">
        <v>13.834502411655254</v>
      </c>
      <c r="J10">
        <v>0.32723728136397345</v>
      </c>
      <c r="K10">
        <v>0.10359178768777295</v>
      </c>
      <c r="L10">
        <v>15.734668519293015</v>
      </c>
      <c r="M10">
        <v>13.739448868813675</v>
      </c>
      <c r="N10">
        <v>0.39416981273132834</v>
      </c>
      <c r="O10">
        <v>0.12493183424001543</v>
      </c>
      <c r="P10">
        <v>15.741449484214979</v>
      </c>
      <c r="Q10">
        <v>13.700180741775597</v>
      </c>
      <c r="R10">
        <v>0.42180513050881713</v>
      </c>
      <c r="S10">
        <v>0.13375816497151027</v>
      </c>
      <c r="T10">
        <v>15.744255962744056</v>
      </c>
      <c r="U10">
        <v>1602.9420049890448</v>
      </c>
      <c r="V10">
        <v>10.663317863868535</v>
      </c>
      <c r="W10">
        <v>1321.2416031476434</v>
      </c>
      <c r="X10">
        <v>7.5384182064955194</v>
      </c>
      <c r="Y10">
        <v>2939.4747605529928</v>
      </c>
      <c r="Z10">
        <v>10.727759077527221</v>
      </c>
      <c r="AA10">
        <v>2755.2540947982739</v>
      </c>
      <c r="AB10">
        <v>7.574331528036641</v>
      </c>
      <c r="AC10">
        <v>2246.4312042883289</v>
      </c>
      <c r="AD10">
        <v>10.705981109975264</v>
      </c>
      <c r="AE10">
        <v>2030.0454347090797</v>
      </c>
      <c r="AF10">
        <v>7.5622085189716879</v>
      </c>
      <c r="AG10">
        <v>2179.3050913461261</v>
      </c>
      <c r="AH10">
        <v>10.696981441633465</v>
      </c>
      <c r="AI10">
        <v>1936.8698196526955</v>
      </c>
      <c r="AJ10">
        <v>7.5571945993343537</v>
      </c>
    </row>
    <row r="11" spans="1:78" x14ac:dyDescent="0.55000000000000004">
      <c r="D11">
        <v>4</v>
      </c>
      <c r="E11">
        <v>12.617750155268878</v>
      </c>
      <c r="F11">
        <v>0.41100384698727144</v>
      </c>
      <c r="G11">
        <v>0.16771613482896119</v>
      </c>
      <c r="H11">
        <v>16.803529862914903</v>
      </c>
      <c r="I11">
        <v>12.8157716938347</v>
      </c>
      <c r="J11">
        <v>0.27417583900266612</v>
      </c>
      <c r="K11">
        <v>0.11155408018027399</v>
      </c>
      <c r="L11">
        <v>16.79849838698237</v>
      </c>
      <c r="M11">
        <v>12.7338501682</v>
      </c>
      <c r="N11">
        <v>0.33081201020299406</v>
      </c>
      <c r="O11">
        <v>0.13476032949499875</v>
      </c>
      <c r="P11">
        <v>16.800577492102004</v>
      </c>
      <c r="Q11">
        <v>12.697119725081437</v>
      </c>
      <c r="R11">
        <v>0.35619158166295267</v>
      </c>
      <c r="S11">
        <v>0.14517790646851117</v>
      </c>
      <c r="T11">
        <v>16.801510786787091</v>
      </c>
      <c r="U11">
        <v>1537.3238889770216</v>
      </c>
      <c r="V11">
        <v>9.967765050272881</v>
      </c>
      <c r="W11">
        <v>1282.5949735206393</v>
      </c>
      <c r="X11">
        <v>7.1504878821603306</v>
      </c>
      <c r="Y11">
        <v>2909.6897385261827</v>
      </c>
      <c r="Z11">
        <v>10.008883787405447</v>
      </c>
      <c r="AA11">
        <v>2738.1731998748796</v>
      </c>
      <c r="AB11">
        <v>7.1740907272100651</v>
      </c>
      <c r="AC11">
        <v>2197.765040822364</v>
      </c>
      <c r="AD11">
        <v>9.9918746984610891</v>
      </c>
      <c r="AE11">
        <v>1999.9504049202083</v>
      </c>
      <c r="AF11">
        <v>7.1643358234981553</v>
      </c>
      <c r="AG11">
        <v>2099.3449206931896</v>
      </c>
      <c r="AH11">
        <v>9.9842476878054107</v>
      </c>
      <c r="AI11">
        <v>1884.7482511068026</v>
      </c>
      <c r="AJ11">
        <v>7.1599577214389152</v>
      </c>
    </row>
    <row r="12" spans="1:78" x14ac:dyDescent="0.55000000000000004">
      <c r="D12">
        <v>5</v>
      </c>
      <c r="E12">
        <v>12.887930560119342</v>
      </c>
      <c r="F12">
        <v>0.45618377720528042</v>
      </c>
      <c r="G12">
        <v>0.16095938980944424</v>
      </c>
      <c r="H12">
        <v>16.494926272865925</v>
      </c>
      <c r="I12">
        <v>13.090004541702884</v>
      </c>
      <c r="J12">
        <v>0.30834029363286153</v>
      </c>
      <c r="K12">
        <v>0.10847602178566493</v>
      </c>
      <c r="L12">
        <v>16.493179142878574</v>
      </c>
      <c r="M12">
        <v>12.975951280280325</v>
      </c>
      <c r="N12">
        <v>0.39181377639847986</v>
      </c>
      <c r="O12">
        <v>0.13807009600007952</v>
      </c>
      <c r="P12">
        <v>16.494164847321123</v>
      </c>
      <c r="Q12">
        <v>12.927235972120597</v>
      </c>
      <c r="R12">
        <v>0.42744502380990912</v>
      </c>
      <c r="S12">
        <v>0.15073281999676152</v>
      </c>
      <c r="T12">
        <v>16.494586184072737</v>
      </c>
      <c r="U12">
        <v>1541.1146348444545</v>
      </c>
      <c r="V12">
        <v>10.086836018079978</v>
      </c>
      <c r="W12">
        <v>1283.9397516525325</v>
      </c>
      <c r="X12">
        <v>7.2025551585669509</v>
      </c>
      <c r="Y12">
        <v>2909.3385570217433</v>
      </c>
      <c r="Z12">
        <v>10.12479931215571</v>
      </c>
      <c r="AA12">
        <v>2736.671442313027</v>
      </c>
      <c r="AB12">
        <v>7.2244197848388012</v>
      </c>
      <c r="AC12">
        <v>2237.6686449372401</v>
      </c>
      <c r="AD12">
        <v>10.10337256823686</v>
      </c>
      <c r="AE12">
        <v>2025.7622384771591</v>
      </c>
      <c r="AF12">
        <v>7.2120875175160126</v>
      </c>
      <c r="AG12">
        <v>2146.3025266765908</v>
      </c>
      <c r="AH12">
        <v>10.09422041671198</v>
      </c>
      <c r="AI12">
        <v>1915.0267213911484</v>
      </c>
      <c r="AJ12">
        <v>7.206813425355489</v>
      </c>
    </row>
    <row r="13" spans="1:78" x14ac:dyDescent="0.55000000000000004">
      <c r="D13">
        <v>6</v>
      </c>
      <c r="E13">
        <v>12.318678049788243</v>
      </c>
      <c r="F13">
        <v>0.43709989540794952</v>
      </c>
      <c r="G13">
        <v>0.16593366165300052</v>
      </c>
      <c r="H13">
        <v>17.078288393150789</v>
      </c>
      <c r="I13">
        <v>12.559127446596079</v>
      </c>
      <c r="J13">
        <v>0.26241571923995599</v>
      </c>
      <c r="K13">
        <v>9.9259782697364962E-2</v>
      </c>
      <c r="L13">
        <v>17.079197051466622</v>
      </c>
      <c r="M13">
        <v>12.437280662932089</v>
      </c>
      <c r="N13">
        <v>0.35097913096788846</v>
      </c>
      <c r="O13">
        <v>0.13300176135629965</v>
      </c>
      <c r="P13">
        <v>17.078738444743706</v>
      </c>
      <c r="Q13">
        <v>12.406338356736319</v>
      </c>
      <c r="R13">
        <v>0.37345532411777965</v>
      </c>
      <c r="S13">
        <v>0.14158493838596239</v>
      </c>
      <c r="T13">
        <v>17.078621380759952</v>
      </c>
      <c r="U13">
        <v>1535.6322485306671</v>
      </c>
      <c r="V13">
        <v>9.7043334933790479</v>
      </c>
      <c r="W13">
        <v>1282.8936475803607</v>
      </c>
      <c r="X13">
        <v>6.9898952912962642</v>
      </c>
      <c r="Y13">
        <v>2876.4630459371874</v>
      </c>
      <c r="Z13">
        <v>9.7475629574300271</v>
      </c>
      <c r="AA13">
        <v>2717.5168546929422</v>
      </c>
      <c r="AB13">
        <v>7.0150288717904008</v>
      </c>
      <c r="AC13">
        <v>2234.2784569188098</v>
      </c>
      <c r="AD13">
        <v>9.7256566916773952</v>
      </c>
      <c r="AE13">
        <v>2027.5673885493629</v>
      </c>
      <c r="AF13">
        <v>7.0023049661013879</v>
      </c>
      <c r="AG13">
        <v>2113.6317126162585</v>
      </c>
      <c r="AH13">
        <v>9.7200936873171031</v>
      </c>
      <c r="AI13">
        <v>1896.7521109413728</v>
      </c>
      <c r="AJ13">
        <v>6.9990697498587258</v>
      </c>
    </row>
    <row r="14" spans="1:78" x14ac:dyDescent="0.55000000000000004">
      <c r="D14">
        <v>7</v>
      </c>
      <c r="E14">
        <v>12.254727603677429</v>
      </c>
      <c r="F14">
        <v>0.50227293406557028</v>
      </c>
      <c r="G14">
        <v>0.15893792877147378</v>
      </c>
      <c r="H14">
        <v>17.084061533485542</v>
      </c>
      <c r="I14">
        <v>12.483335182608148</v>
      </c>
      <c r="J14">
        <v>0.31734040931621865</v>
      </c>
      <c r="K14">
        <v>0.10008711773327084</v>
      </c>
      <c r="L14">
        <v>17.099237290342369</v>
      </c>
      <c r="M14">
        <v>12.388346362510386</v>
      </c>
      <c r="N14">
        <v>0.39421013856269049</v>
      </c>
      <c r="O14">
        <v>0.12450138783150301</v>
      </c>
      <c r="P14">
        <v>17.092942111095429</v>
      </c>
      <c r="Q14">
        <v>12.36724508302602</v>
      </c>
      <c r="R14">
        <v>0.41128090696306163</v>
      </c>
      <c r="S14">
        <v>0.1299323594076385</v>
      </c>
      <c r="T14">
        <v>17.091541650603283</v>
      </c>
      <c r="U14">
        <v>1543.6919928681</v>
      </c>
      <c r="V14">
        <v>9.6768833938591712</v>
      </c>
      <c r="W14">
        <v>1287.2129983193404</v>
      </c>
      <c r="X14">
        <v>6.9701250043024441</v>
      </c>
      <c r="Y14">
        <v>2895.0042517672464</v>
      </c>
      <c r="Z14">
        <v>9.7088877691343942</v>
      </c>
      <c r="AA14">
        <v>2728.8174801708246</v>
      </c>
      <c r="AB14">
        <v>6.989439001880517</v>
      </c>
      <c r="AC14">
        <v>2214.8386938422782</v>
      </c>
      <c r="AD14">
        <v>9.695583303857358</v>
      </c>
      <c r="AE14">
        <v>2012.9106005920651</v>
      </c>
      <c r="AF14">
        <v>6.9814204519871144</v>
      </c>
      <c r="AG14">
        <v>2108.7684470171293</v>
      </c>
      <c r="AH14">
        <v>9.6926289986818404</v>
      </c>
      <c r="AI14">
        <v>1893.2171432740731</v>
      </c>
      <c r="AJ14">
        <v>6.9796379024133373</v>
      </c>
    </row>
    <row r="15" spans="1:78" x14ac:dyDescent="0.55000000000000004">
      <c r="D15">
        <v>8</v>
      </c>
      <c r="E15">
        <v>13.058432747171333</v>
      </c>
      <c r="F15">
        <v>0.44110772621202871</v>
      </c>
      <c r="G15">
        <v>0.15647906848365423</v>
      </c>
      <c r="H15">
        <v>16.343980458133</v>
      </c>
      <c r="I15">
        <v>13.291955748397378</v>
      </c>
      <c r="J15">
        <v>0.28404713034982937</v>
      </c>
      <c r="K15">
        <v>0.10043562517403593</v>
      </c>
      <c r="L15">
        <v>16.323561496078746</v>
      </c>
      <c r="M15">
        <v>13.155501927231109</v>
      </c>
      <c r="N15">
        <v>0.37586511882373924</v>
      </c>
      <c r="O15">
        <v>0.13315369741152225</v>
      </c>
      <c r="P15">
        <v>16.335479256533635</v>
      </c>
      <c r="Q15">
        <v>13.142182259164816</v>
      </c>
      <c r="R15">
        <v>0.384821257785743</v>
      </c>
      <c r="S15">
        <v>0.13635185718396289</v>
      </c>
      <c r="T15">
        <v>16.336644625865461</v>
      </c>
      <c r="U15">
        <v>1540.5772819104468</v>
      </c>
      <c r="V15">
        <v>10.203607299494317</v>
      </c>
      <c r="W15">
        <v>1281.5232551515599</v>
      </c>
      <c r="X15">
        <v>7.2717505658071921</v>
      </c>
      <c r="Y15">
        <v>2920.1722331917449</v>
      </c>
      <c r="Z15">
        <v>10.25873793388414</v>
      </c>
      <c r="AA15">
        <v>2744.1140843056155</v>
      </c>
      <c r="AB15">
        <v>7.3026434781596157</v>
      </c>
      <c r="AC15">
        <v>2254.0859033342044</v>
      </c>
      <c r="AD15">
        <v>10.226531493418326</v>
      </c>
      <c r="AE15">
        <v>2036.0519796311469</v>
      </c>
      <c r="AF15">
        <v>7.2846078606807243</v>
      </c>
      <c r="AG15">
        <v>2168.3823210837536</v>
      </c>
      <c r="AH15">
        <v>10.223386542112513</v>
      </c>
      <c r="AI15">
        <v>1931.1464149315657</v>
      </c>
      <c r="AJ15">
        <v>7.2828449565606546</v>
      </c>
    </row>
    <row r="16" spans="1:78" x14ac:dyDescent="0.55000000000000004">
      <c r="D16">
        <v>9</v>
      </c>
      <c r="E16">
        <v>13.534639233499082</v>
      </c>
      <c r="F16">
        <v>0.42685675490671343</v>
      </c>
      <c r="G16">
        <v>0.1625927738143092</v>
      </c>
      <c r="H16">
        <v>15.875911237779903</v>
      </c>
      <c r="I16">
        <v>13.733568687076051</v>
      </c>
      <c r="J16">
        <v>0.29786198057980035</v>
      </c>
      <c r="K16">
        <v>0.11314591921867335</v>
      </c>
      <c r="L16">
        <v>15.855423413125468</v>
      </c>
      <c r="M16">
        <v>13.647075020590746</v>
      </c>
      <c r="N16">
        <v>0.35398084487067344</v>
      </c>
      <c r="O16">
        <v>0.13462368278661141</v>
      </c>
      <c r="P16">
        <v>15.864320451751976</v>
      </c>
      <c r="Q16">
        <v>13.567992780772132</v>
      </c>
      <c r="R16">
        <v>0.4052473214815604</v>
      </c>
      <c r="S16">
        <v>0.15429000753100633</v>
      </c>
      <c r="T16">
        <v>15.872469890215298</v>
      </c>
      <c r="U16">
        <v>1589.8301486612536</v>
      </c>
      <c r="V16">
        <v>10.661606327272715</v>
      </c>
      <c r="W16">
        <v>1315.2745924241462</v>
      </c>
      <c r="X16">
        <v>7.5464172951029518</v>
      </c>
      <c r="Y16">
        <v>2952.0983907932477</v>
      </c>
      <c r="Z16">
        <v>10.70857223472408</v>
      </c>
      <c r="AA16">
        <v>2764.1244651251768</v>
      </c>
      <c r="AB16">
        <v>7.5724928799874327</v>
      </c>
      <c r="AC16">
        <v>2255.0200725229556</v>
      </c>
      <c r="AD16">
        <v>10.688157871223146</v>
      </c>
      <c r="AE16">
        <v>2036.3621205156203</v>
      </c>
      <c r="AF16">
        <v>7.5611665932007686</v>
      </c>
      <c r="AG16">
        <v>2177.3569683209712</v>
      </c>
      <c r="AH16">
        <v>10.669484412198146</v>
      </c>
      <c r="AI16">
        <v>1933.8453845461922</v>
      </c>
      <c r="AJ16">
        <v>7.5507956818280828</v>
      </c>
    </row>
    <row r="17" spans="4:36" x14ac:dyDescent="0.55000000000000004">
      <c r="D17">
        <v>10</v>
      </c>
      <c r="E17">
        <v>12.75342069582587</v>
      </c>
      <c r="F17">
        <v>0.44640395466327448</v>
      </c>
      <c r="G17">
        <v>0.16092725019651896</v>
      </c>
      <c r="H17">
        <v>16.639248099314337</v>
      </c>
      <c r="I17">
        <v>12.989598879254519</v>
      </c>
      <c r="J17">
        <v>0.2813884474873164</v>
      </c>
      <c r="K17">
        <v>0.10110398394731558</v>
      </c>
      <c r="L17">
        <v>16.627908689310868</v>
      </c>
      <c r="M17">
        <v>12.880915430551591</v>
      </c>
      <c r="N17">
        <v>0.3573678259744747</v>
      </c>
      <c r="O17">
        <v>0.12859888434478212</v>
      </c>
      <c r="P17">
        <v>16.633117859129158</v>
      </c>
      <c r="Q17">
        <v>12.81941832081549</v>
      </c>
      <c r="R17">
        <v>0.40032716743542462</v>
      </c>
      <c r="S17">
        <v>0.14418236927539468</v>
      </c>
      <c r="T17">
        <v>16.636072142473687</v>
      </c>
      <c r="U17">
        <v>1551.1007560328126</v>
      </c>
      <c r="V17">
        <v>10.113936101936762</v>
      </c>
      <c r="W17">
        <v>1293.3142896689799</v>
      </c>
      <c r="X17">
        <v>7.2376567103435345</v>
      </c>
      <c r="Y17">
        <v>2902.8253060896059</v>
      </c>
      <c r="Z17">
        <v>10.162217526958997</v>
      </c>
      <c r="AA17">
        <v>2734.8862112646566</v>
      </c>
      <c r="AB17">
        <v>7.2649964327385428</v>
      </c>
      <c r="AC17">
        <v>2223.3729550688395</v>
      </c>
      <c r="AD17">
        <v>10.14000532098966</v>
      </c>
      <c r="AE17">
        <v>2019.1384501793582</v>
      </c>
      <c r="AF17">
        <v>7.2524298440663255</v>
      </c>
      <c r="AG17">
        <v>2137.2133842253388</v>
      </c>
      <c r="AH17">
        <v>10.127432517674666</v>
      </c>
      <c r="AI17">
        <v>1911.73345811384</v>
      </c>
      <c r="AJ17">
        <v>7.2453082959727659</v>
      </c>
    </row>
    <row r="18" spans="4:36" x14ac:dyDescent="0.55000000000000004">
      <c r="D18">
        <v>11</v>
      </c>
      <c r="E18">
        <v>12.185192667960436</v>
      </c>
      <c r="F18">
        <v>0.47263723546838809</v>
      </c>
      <c r="G18">
        <v>0.14735893595870253</v>
      </c>
      <c r="H18">
        <v>17.19481116061246</v>
      </c>
      <c r="I18">
        <v>12.382954432008018</v>
      </c>
      <c r="J18">
        <v>0.31245717889933378</v>
      </c>
      <c r="K18">
        <v>9.7145088609912181E-2</v>
      </c>
      <c r="L18">
        <v>17.207443300482733</v>
      </c>
      <c r="M18">
        <v>12.293147864243849</v>
      </c>
      <c r="N18">
        <v>0.38521897212173017</v>
      </c>
      <c r="O18">
        <v>0.11991934177360856</v>
      </c>
      <c r="P18">
        <v>17.201713821860821</v>
      </c>
      <c r="Q18">
        <v>12.281200534380062</v>
      </c>
      <c r="R18">
        <v>0.39489606329692767</v>
      </c>
      <c r="S18">
        <v>0.12295266631001887</v>
      </c>
      <c r="T18">
        <v>17.200950736013002</v>
      </c>
      <c r="U18">
        <v>1519.4509643366505</v>
      </c>
      <c r="V18">
        <v>9.6037704017001371</v>
      </c>
      <c r="W18">
        <v>1272.6907447118379</v>
      </c>
      <c r="X18">
        <v>6.9299200109300925</v>
      </c>
      <c r="Y18">
        <v>2898.0400156914593</v>
      </c>
      <c r="Z18">
        <v>9.6349131575941538</v>
      </c>
      <c r="AA18">
        <v>2731.9884898796658</v>
      </c>
      <c r="AB18">
        <v>6.9485831961536064</v>
      </c>
      <c r="AC18">
        <v>2196.7547380665865</v>
      </c>
      <c r="AD18">
        <v>9.6207667454230705</v>
      </c>
      <c r="AE18">
        <v>2001.1915967514292</v>
      </c>
      <c r="AF18">
        <v>6.9401141710578651</v>
      </c>
      <c r="AG18">
        <v>2088.4467852036064</v>
      </c>
      <c r="AH18">
        <v>9.6188852937078284</v>
      </c>
      <c r="AI18">
        <v>1880.4650907417886</v>
      </c>
      <c r="AJ18">
        <v>6.9389867280764337</v>
      </c>
    </row>
    <row r="19" spans="4:36" x14ac:dyDescent="0.55000000000000004">
      <c r="D19">
        <v>12</v>
      </c>
      <c r="E19">
        <v>12.840303593110127</v>
      </c>
      <c r="F19">
        <v>0.40725103720906158</v>
      </c>
      <c r="G19">
        <v>0.14846386792623689</v>
      </c>
      <c r="H19">
        <v>16.603981501754582</v>
      </c>
      <c r="I19">
        <v>13.033206163470421</v>
      </c>
      <c r="J19">
        <v>0.27844207817037803</v>
      </c>
      <c r="K19">
        <v>0.10122001200804701</v>
      </c>
      <c r="L19">
        <v>16.587131746351162</v>
      </c>
      <c r="M19">
        <v>12.955042919009813</v>
      </c>
      <c r="N19">
        <v>0.33066470663881403</v>
      </c>
      <c r="O19">
        <v>0.12034130679181418</v>
      </c>
      <c r="P19">
        <v>16.593951067559566</v>
      </c>
      <c r="Q19">
        <v>12.901914743153878</v>
      </c>
      <c r="R19">
        <v>0.36613769449790323</v>
      </c>
      <c r="S19">
        <v>0.13335504419543642</v>
      </c>
      <c r="T19">
        <v>16.598592518152788</v>
      </c>
      <c r="U19">
        <v>1514.6727097066139</v>
      </c>
      <c r="V19">
        <v>10.091820816980093</v>
      </c>
      <c r="W19">
        <v>1269.9770753743901</v>
      </c>
      <c r="X19">
        <v>7.2180785403343153</v>
      </c>
      <c r="Y19">
        <v>2886.5876880403066</v>
      </c>
      <c r="Z19">
        <v>10.137742014211263</v>
      </c>
      <c r="AA19">
        <v>2723.5274807393234</v>
      </c>
      <c r="AB19">
        <v>7.2440140135516833</v>
      </c>
      <c r="AC19">
        <v>2199.5604695056918</v>
      </c>
      <c r="AD19">
        <v>10.119139386889458</v>
      </c>
      <c r="AE19">
        <v>2004.0431383569603</v>
      </c>
      <c r="AF19">
        <v>7.2335159587176197</v>
      </c>
      <c r="AG19">
        <v>2110.7480472407815</v>
      </c>
      <c r="AH19">
        <v>10.106491593595814</v>
      </c>
      <c r="AI19">
        <v>1895.2558209785584</v>
      </c>
      <c r="AJ19">
        <v>7.2263719082499369</v>
      </c>
    </row>
    <row r="20" spans="4:36" x14ac:dyDescent="0.55000000000000004">
      <c r="D20">
        <v>13</v>
      </c>
      <c r="E20">
        <v>11.999753576968637</v>
      </c>
      <c r="F20">
        <v>0.43090913549277882</v>
      </c>
      <c r="G20">
        <v>0.1601283516286737</v>
      </c>
      <c r="H20">
        <v>17.409208935909916</v>
      </c>
      <c r="I20">
        <v>12.217939505367355</v>
      </c>
      <c r="J20">
        <v>0.27356630975173285</v>
      </c>
      <c r="K20">
        <v>0.10132067285699325</v>
      </c>
      <c r="L20">
        <v>17.407173512023942</v>
      </c>
      <c r="M20">
        <v>12.1609235287921</v>
      </c>
      <c r="N20">
        <v>0.31471094026660468</v>
      </c>
      <c r="O20">
        <v>0.11666038423603022</v>
      </c>
      <c r="P20">
        <v>17.407705146705261</v>
      </c>
      <c r="Q20">
        <v>12.106279841543214</v>
      </c>
      <c r="R20">
        <v>0.35412508248957197</v>
      </c>
      <c r="S20">
        <v>0.13138024245986427</v>
      </c>
      <c r="T20">
        <v>17.408214833507358</v>
      </c>
      <c r="U20">
        <v>1508.4163296430299</v>
      </c>
      <c r="V20">
        <v>9.4961225121669521</v>
      </c>
      <c r="W20">
        <v>1270.2248096313228</v>
      </c>
      <c r="X20">
        <v>6.8749575370750291</v>
      </c>
      <c r="Y20">
        <v>2838.9925993545025</v>
      </c>
      <c r="Z20">
        <v>9.5369852109798448</v>
      </c>
      <c r="AA20">
        <v>2693.5452911484031</v>
      </c>
      <c r="AB20">
        <v>6.8988075032610743</v>
      </c>
      <c r="AC20">
        <v>2164.6169480404096</v>
      </c>
      <c r="AD20">
        <v>9.5263073932440108</v>
      </c>
      <c r="AE20">
        <v>1984.8890874747465</v>
      </c>
      <c r="AF20">
        <v>6.8925837743400118</v>
      </c>
      <c r="AG20">
        <v>2087.4218458661285</v>
      </c>
      <c r="AH20">
        <v>9.5160736180292407</v>
      </c>
      <c r="AI20">
        <v>1884.7749579031481</v>
      </c>
      <c r="AJ20">
        <v>6.8866132494753085</v>
      </c>
    </row>
    <row r="21" spans="4:36" x14ac:dyDescent="0.55000000000000004">
      <c r="D21">
        <v>14</v>
      </c>
      <c r="E21">
        <v>11.897366815771052</v>
      </c>
      <c r="F21">
        <v>0.4274848370404063</v>
      </c>
      <c r="G21">
        <v>0.1521235553469282</v>
      </c>
      <c r="H21">
        <v>17.523024791841614</v>
      </c>
      <c r="I21">
        <v>12.096565637822879</v>
      </c>
      <c r="J21">
        <v>0.27634778078499317</v>
      </c>
      <c r="K21">
        <v>9.8054414780870527E-2</v>
      </c>
      <c r="L21">
        <v>17.529032166611248</v>
      </c>
      <c r="M21">
        <v>12.006158801251518</v>
      </c>
      <c r="N21">
        <v>0.34496874204071565</v>
      </c>
      <c r="O21">
        <v>0.12256395511945946</v>
      </c>
      <c r="P21">
        <v>17.526308501588314</v>
      </c>
      <c r="Q21">
        <v>11.96563470267918</v>
      </c>
      <c r="R21">
        <v>0.3757129430000386</v>
      </c>
      <c r="S21">
        <v>0.13356621716204914</v>
      </c>
      <c r="T21">
        <v>17.525086137158734</v>
      </c>
      <c r="U21">
        <v>1496.3544245171015</v>
      </c>
      <c r="V21">
        <v>9.3149617381497372</v>
      </c>
      <c r="W21">
        <v>1260.0618123654087</v>
      </c>
      <c r="X21">
        <v>6.7545309003011136</v>
      </c>
      <c r="Y21">
        <v>2859.2347732503854</v>
      </c>
      <c r="Z21">
        <v>9.346589361018232</v>
      </c>
      <c r="AA21">
        <v>2707.0539921804711</v>
      </c>
      <c r="AB21">
        <v>6.7733310881326751</v>
      </c>
      <c r="AC21">
        <v>2169.3654165183361</v>
      </c>
      <c r="AD21">
        <v>9.3322330663779312</v>
      </c>
      <c r="AE21">
        <v>1984.8680724076098</v>
      </c>
      <c r="AF21">
        <v>6.7648058954612607</v>
      </c>
      <c r="AG21">
        <v>2090.4614573135577</v>
      </c>
      <c r="AH21">
        <v>9.3257990695056066</v>
      </c>
      <c r="AI21">
        <v>1884.0534598487257</v>
      </c>
      <c r="AJ21">
        <v>6.7609806174313434</v>
      </c>
    </row>
    <row r="22" spans="4:36" x14ac:dyDescent="0.55000000000000004">
      <c r="D22">
        <v>15</v>
      </c>
      <c r="E22">
        <v>12.712828897544554</v>
      </c>
      <c r="F22">
        <v>0.43487178223709938</v>
      </c>
      <c r="G22">
        <v>0.18074305326817264</v>
      </c>
      <c r="H22">
        <v>16.671556266950184</v>
      </c>
      <c r="I22">
        <v>12.949165731639011</v>
      </c>
      <c r="J22">
        <v>0.27175859276484854</v>
      </c>
      <c r="K22">
        <v>0.11254777115645541</v>
      </c>
      <c r="L22">
        <v>16.6665279044397</v>
      </c>
      <c r="M22">
        <v>12.833810672969506</v>
      </c>
      <c r="N22">
        <v>0.35141799845781652</v>
      </c>
      <c r="O22">
        <v>0.14579062752393948</v>
      </c>
      <c r="P22">
        <v>16.668980701048728</v>
      </c>
      <c r="Q22">
        <v>12.799703110825615</v>
      </c>
      <c r="R22">
        <v>0.37495505228575404</v>
      </c>
      <c r="S22">
        <v>0.15563534927572215</v>
      </c>
      <c r="T22">
        <v>16.669706487612913</v>
      </c>
      <c r="U22">
        <v>1544.748145811503</v>
      </c>
      <c r="V22">
        <v>10.185662656072759</v>
      </c>
      <c r="W22">
        <v>1284.9603544016452</v>
      </c>
      <c r="X22">
        <v>7.2939130197992661</v>
      </c>
      <c r="Y22">
        <v>2897.9473832087424</v>
      </c>
      <c r="Z22">
        <v>10.237354832295891</v>
      </c>
      <c r="AA22">
        <v>2729.2536397403792</v>
      </c>
      <c r="AB22">
        <v>7.3237070617896096</v>
      </c>
      <c r="AC22">
        <v>2252.2838302003661</v>
      </c>
      <c r="AD22">
        <v>10.212124883186716</v>
      </c>
      <c r="AE22">
        <v>2036.6772733093735</v>
      </c>
      <c r="AF22">
        <v>7.3091787544594267</v>
      </c>
      <c r="AG22">
        <v>2121.5887706378198</v>
      </c>
      <c r="AH22">
        <v>10.204664738057533</v>
      </c>
      <c r="AI22">
        <v>1898.3473370321383</v>
      </c>
      <c r="AJ22">
        <v>7.3048779928836343</v>
      </c>
    </row>
    <row r="23" spans="4:36" x14ac:dyDescent="0.55000000000000004">
      <c r="D23">
        <v>16</v>
      </c>
      <c r="E23">
        <v>12.511727209959641</v>
      </c>
      <c r="F23">
        <v>0.480181348663267</v>
      </c>
      <c r="G23">
        <v>0.17075480734572449</v>
      </c>
      <c r="H23">
        <v>16.837336634031374</v>
      </c>
      <c r="I23">
        <v>12.718943275274842</v>
      </c>
      <c r="J23">
        <v>0.32053125619257844</v>
      </c>
      <c r="K23">
        <v>0.11365293382927068</v>
      </c>
      <c r="L23">
        <v>16.846872534703312</v>
      </c>
      <c r="M23">
        <v>12.633846778794187</v>
      </c>
      <c r="N23">
        <v>0.38612074535899149</v>
      </c>
      <c r="O23">
        <v>0.13707167428265102</v>
      </c>
      <c r="P23">
        <v>16.842960801564175</v>
      </c>
      <c r="Q23">
        <v>12.600928931008779</v>
      </c>
      <c r="R23">
        <v>0.41148275655279098</v>
      </c>
      <c r="S23">
        <v>0.14614230013062274</v>
      </c>
      <c r="T23">
        <v>16.841446012307824</v>
      </c>
      <c r="U23">
        <v>1556.623193075224</v>
      </c>
      <c r="V23">
        <v>9.9221002302931964</v>
      </c>
      <c r="W23">
        <v>1292.1748300618601</v>
      </c>
      <c r="X23">
        <v>7.1217196216345968</v>
      </c>
      <c r="Y23">
        <v>2924.9309444250384</v>
      </c>
      <c r="Z23">
        <v>9.9572592782215743</v>
      </c>
      <c r="AA23">
        <v>2746.2055224830347</v>
      </c>
      <c r="AB23">
        <v>7.1425344920711336</v>
      </c>
      <c r="AC23">
        <v>2260.3453652785656</v>
      </c>
      <c r="AD23">
        <v>9.9428173709883101</v>
      </c>
      <c r="AE23">
        <v>2041.5873011276144</v>
      </c>
      <c r="AF23">
        <v>7.1339937068347226</v>
      </c>
      <c r="AG23">
        <v>2146.4797674285705</v>
      </c>
      <c r="AH23">
        <v>9.9372320422572429</v>
      </c>
      <c r="AI23">
        <v>1915.3409327146146</v>
      </c>
      <c r="AJ23">
        <v>7.1306872111648385</v>
      </c>
    </row>
    <row r="24" spans="4:36" x14ac:dyDescent="0.55000000000000004">
      <c r="D24">
        <v>17</v>
      </c>
      <c r="E24">
        <v>13.440055471433558</v>
      </c>
      <c r="F24">
        <v>0.49935030929092172</v>
      </c>
      <c r="G24">
        <v>0.19772158680817389</v>
      </c>
      <c r="H24">
        <v>15.862872632467337</v>
      </c>
      <c r="I24">
        <v>13.695187251890646</v>
      </c>
      <c r="J24">
        <v>0.31608341951982377</v>
      </c>
      <c r="K24">
        <v>0.12470832798321331</v>
      </c>
      <c r="L24">
        <v>15.864021000606332</v>
      </c>
      <c r="M24">
        <v>13.624166259054167</v>
      </c>
      <c r="N24">
        <v>0.36713693883477427</v>
      </c>
      <c r="O24">
        <v>0.14499472141702274</v>
      </c>
      <c r="P24">
        <v>15.863702080694038</v>
      </c>
      <c r="Q24">
        <v>13.52159619039791</v>
      </c>
      <c r="R24">
        <v>0.44081856635488281</v>
      </c>
      <c r="S24">
        <v>0.1743447733313418</v>
      </c>
      <c r="T24">
        <v>15.863240469915873</v>
      </c>
      <c r="U24">
        <v>1638.0862464021095</v>
      </c>
      <c r="V24">
        <v>10.644235497627637</v>
      </c>
      <c r="W24">
        <v>1342.8174290026009</v>
      </c>
      <c r="X24">
        <v>7.534773434176822</v>
      </c>
      <c r="Y24">
        <v>2930.0345028328265</v>
      </c>
      <c r="Z24">
        <v>10.694051052963857</v>
      </c>
      <c r="AA24">
        <v>2746.1404105063943</v>
      </c>
      <c r="AB24">
        <v>7.5633620836184541</v>
      </c>
      <c r="AC24">
        <v>2250.5954810144713</v>
      </c>
      <c r="AD24">
        <v>10.680183115157098</v>
      </c>
      <c r="AE24">
        <v>2031.0892293964869</v>
      </c>
      <c r="AF24">
        <v>7.5554140305418178</v>
      </c>
      <c r="AG24">
        <v>2177.3108590675333</v>
      </c>
      <c r="AH24">
        <v>10.660155808637111</v>
      </c>
      <c r="AI24">
        <v>1929.7718561195468</v>
      </c>
      <c r="AJ24">
        <v>7.5439214870177116</v>
      </c>
    </row>
    <row r="25" spans="4:36" x14ac:dyDescent="0.55000000000000004">
      <c r="D25">
        <v>18</v>
      </c>
      <c r="E25">
        <v>13.744648634454526</v>
      </c>
      <c r="F25">
        <v>0.52056056601559253</v>
      </c>
      <c r="G25">
        <v>0.17552807664158529</v>
      </c>
      <c r="H25">
        <v>15.559262722888292</v>
      </c>
      <c r="I25">
        <v>14.018887379402264</v>
      </c>
      <c r="J25">
        <v>0.33223837825497166</v>
      </c>
      <c r="K25">
        <v>0.11161965338299555</v>
      </c>
      <c r="L25">
        <v>15.537254588959776</v>
      </c>
      <c r="M25">
        <v>13.909336219406704</v>
      </c>
      <c r="N25">
        <v>0.40752337563626295</v>
      </c>
      <c r="O25">
        <v>0.13711127085696265</v>
      </c>
      <c r="P25">
        <v>15.546029134100078</v>
      </c>
      <c r="Q25">
        <v>13.891832069203382</v>
      </c>
      <c r="R25">
        <v>0.41954568216339599</v>
      </c>
      <c r="S25">
        <v>0.14118901272230927</v>
      </c>
      <c r="T25">
        <v>15.547433235910919</v>
      </c>
      <c r="U25">
        <v>1590.4483826791736</v>
      </c>
      <c r="V25">
        <v>10.847509279626848</v>
      </c>
      <c r="W25">
        <v>1307.6400949652564</v>
      </c>
      <c r="X25">
        <v>7.6473047069474331</v>
      </c>
      <c r="Y25">
        <v>2945.1940415004524</v>
      </c>
      <c r="Z25">
        <v>10.910134296337018</v>
      </c>
      <c r="AA25">
        <v>2755.7829909723077</v>
      </c>
      <c r="AB25">
        <v>7.6821188010879062</v>
      </c>
      <c r="AC25">
        <v>2289.9856090019457</v>
      </c>
      <c r="AD25">
        <v>10.885126677285822</v>
      </c>
      <c r="AE25">
        <v>2056.1712172424309</v>
      </c>
      <c r="AF25">
        <v>7.668230621364148</v>
      </c>
      <c r="AG25">
        <v>2174.828451989968</v>
      </c>
      <c r="AH25">
        <v>10.881129789096731</v>
      </c>
      <c r="AI25">
        <v>1929.7259102523228</v>
      </c>
      <c r="AJ25">
        <v>7.666009215531103</v>
      </c>
    </row>
    <row r="26" spans="4:36" x14ac:dyDescent="0.55000000000000004">
      <c r="D26">
        <v>19</v>
      </c>
      <c r="E26">
        <v>12.914727206891087</v>
      </c>
      <c r="F26">
        <v>0.50160981575954333</v>
      </c>
      <c r="G26">
        <v>0.16266668106832033</v>
      </c>
      <c r="H26">
        <v>16.420996296281054</v>
      </c>
      <c r="I26">
        <v>13.16316152624286</v>
      </c>
      <c r="J26">
        <v>0.32127340697176132</v>
      </c>
      <c r="K26">
        <v>0.10382573195896566</v>
      </c>
      <c r="L26">
        <v>16.411739334826422</v>
      </c>
      <c r="M26">
        <v>13.113282508432523</v>
      </c>
      <c r="N26">
        <v>0.35750877158236444</v>
      </c>
      <c r="O26">
        <v>0.1156156568119997</v>
      </c>
      <c r="P26">
        <v>16.413593063173114</v>
      </c>
      <c r="Q26">
        <v>13.037555583845963</v>
      </c>
      <c r="R26">
        <v>0.41249438982658043</v>
      </c>
      <c r="S26">
        <v>0.1335379995918653</v>
      </c>
      <c r="T26">
        <v>16.416412026735586</v>
      </c>
      <c r="U26">
        <v>1597.1179809656267</v>
      </c>
      <c r="V26">
        <v>10.180754113617471</v>
      </c>
      <c r="W26">
        <v>1320.3966471440358</v>
      </c>
      <c r="X26">
        <v>7.2634721548792553</v>
      </c>
      <c r="Y26">
        <v>2926.8044659022921</v>
      </c>
      <c r="Z26">
        <v>10.230899058770047</v>
      </c>
      <c r="AA26">
        <v>2747.844975443847</v>
      </c>
      <c r="AB26">
        <v>7.2920072153937134</v>
      </c>
      <c r="AC26">
        <v>2251.3113892067481</v>
      </c>
      <c r="AD26">
        <v>10.220833858673231</v>
      </c>
      <c r="AE26">
        <v>2037.5401006916563</v>
      </c>
      <c r="AF26">
        <v>7.2862876727014401</v>
      </c>
      <c r="AG26">
        <v>2165.0035717435462</v>
      </c>
      <c r="AH26">
        <v>10.205550290546901</v>
      </c>
      <c r="AI26">
        <v>1929.0026187201659</v>
      </c>
      <c r="AJ26">
        <v>7.2775950823386486</v>
      </c>
    </row>
    <row r="27" spans="4:36" x14ac:dyDescent="0.55000000000000004">
      <c r="D27">
        <v>20</v>
      </c>
      <c r="E27">
        <v>13.258050326314006</v>
      </c>
      <c r="F27">
        <v>0.48432134154198836</v>
      </c>
      <c r="G27">
        <v>0.17980882303822388</v>
      </c>
      <c r="H27">
        <v>16.077819509105787</v>
      </c>
      <c r="I27">
        <v>13.49058610767778</v>
      </c>
      <c r="J27">
        <v>0.31728548964592579</v>
      </c>
      <c r="K27">
        <v>0.11740869245619594</v>
      </c>
      <c r="L27">
        <v>16.074719710220108</v>
      </c>
      <c r="M27">
        <v>13.402194245348825</v>
      </c>
      <c r="N27">
        <v>0.38081638433695986</v>
      </c>
      <c r="O27">
        <v>0.14109309302780026</v>
      </c>
      <c r="P27">
        <v>16.075896277286432</v>
      </c>
      <c r="Q27">
        <v>13.337409575477293</v>
      </c>
      <c r="R27">
        <v>0.42735109930126702</v>
      </c>
      <c r="S27">
        <v>0.15847936540910851</v>
      </c>
      <c r="T27">
        <v>16.076759959812335</v>
      </c>
      <c r="U27">
        <v>1560.3125588344158</v>
      </c>
      <c r="V27">
        <v>10.393659737758872</v>
      </c>
      <c r="W27">
        <v>1291.5940278673095</v>
      </c>
      <c r="X27">
        <v>7.3781988639427638</v>
      </c>
      <c r="Y27">
        <v>2924.8143560303688</v>
      </c>
      <c r="Z27">
        <v>10.437736069487304</v>
      </c>
      <c r="AA27">
        <v>2744.3652172505708</v>
      </c>
      <c r="AB27">
        <v>7.4033817991924558</v>
      </c>
      <c r="AC27">
        <v>2244.0197677957049</v>
      </c>
      <c r="AD27">
        <v>10.420982609014008</v>
      </c>
      <c r="AE27">
        <v>2027.8095481379678</v>
      </c>
      <c r="AF27">
        <v>7.3938196257573301</v>
      </c>
      <c r="AG27">
        <v>2146.4726876930968</v>
      </c>
      <c r="AH27">
        <v>10.408702865323116</v>
      </c>
      <c r="AI27">
        <v>1911.5427780425603</v>
      </c>
      <c r="AJ27">
        <v>7.386803188810533</v>
      </c>
    </row>
    <row r="28" spans="4:36" x14ac:dyDescent="0.55000000000000004">
      <c r="D28">
        <v>21</v>
      </c>
      <c r="E28">
        <v>12.367331745636658</v>
      </c>
      <c r="F28">
        <v>0.48900456377724949</v>
      </c>
      <c r="G28">
        <v>0.1751124360121819</v>
      </c>
      <c r="H28">
        <v>16.96855125457391</v>
      </c>
      <c r="I28">
        <v>12.588025271773709</v>
      </c>
      <c r="J28">
        <v>0.31560868135489045</v>
      </c>
      <c r="K28">
        <v>0.11264843298079119</v>
      </c>
      <c r="L28">
        <v>16.983717613890597</v>
      </c>
      <c r="M28">
        <v>12.507579922213413</v>
      </c>
      <c r="N28">
        <v>0.37884107278049278</v>
      </c>
      <c r="O28">
        <v>0.13537900380900489</v>
      </c>
      <c r="P28">
        <v>16.978200001197088</v>
      </c>
      <c r="Q28">
        <v>12.460803262831595</v>
      </c>
      <c r="R28">
        <v>0.41559439387306063</v>
      </c>
      <c r="S28">
        <v>0.14861629859716441</v>
      </c>
      <c r="T28">
        <v>16.974986044698174</v>
      </c>
      <c r="U28">
        <v>1535.7667401650776</v>
      </c>
      <c r="V28">
        <v>9.7881972897399692</v>
      </c>
      <c r="W28">
        <v>1280.6001265513171</v>
      </c>
      <c r="X28">
        <v>7.039831717049684</v>
      </c>
      <c r="Y28">
        <v>2886.9400924880929</v>
      </c>
      <c r="Z28">
        <v>9.8238392214379289</v>
      </c>
      <c r="AA28">
        <v>2721.9319199248412</v>
      </c>
      <c r="AB28">
        <v>7.0612162950791273</v>
      </c>
      <c r="AC28">
        <v>2243.5326688702544</v>
      </c>
      <c r="AD28">
        <v>9.8108414816102236</v>
      </c>
      <c r="AE28">
        <v>2033.3694568386693</v>
      </c>
      <c r="AF28">
        <v>7.0534282134531638</v>
      </c>
      <c r="AG28">
        <v>2126.048990373436</v>
      </c>
      <c r="AH28">
        <v>9.8032867394068752</v>
      </c>
      <c r="AI28">
        <v>1903.8567464833081</v>
      </c>
      <c r="AJ28">
        <v>7.0488960736808348</v>
      </c>
    </row>
    <row r="29" spans="4:36" x14ac:dyDescent="0.55000000000000004">
      <c r="D29">
        <v>22</v>
      </c>
      <c r="E29">
        <v>11.470261699137952</v>
      </c>
      <c r="F29">
        <v>0.42732644299097877</v>
      </c>
      <c r="G29">
        <v>0.15355389845354803</v>
      </c>
      <c r="H29">
        <v>17.948857959417523</v>
      </c>
      <c r="I29">
        <v>11.646154557451384</v>
      </c>
      <c r="J29">
        <v>0.28280504968946435</v>
      </c>
      <c r="K29">
        <v>0.10136055842170424</v>
      </c>
      <c r="L29">
        <v>17.969679834437454</v>
      </c>
      <c r="M29">
        <v>11.561546395641562</v>
      </c>
      <c r="N29">
        <v>0.35233978686879325</v>
      </c>
      <c r="O29">
        <v>0.12643876094122228</v>
      </c>
      <c r="P29">
        <v>17.959675056548438</v>
      </c>
      <c r="Q29">
        <v>11.557453117710635</v>
      </c>
      <c r="R29">
        <v>0.35570303186741536</v>
      </c>
      <c r="S29">
        <v>0.12765333186509134</v>
      </c>
      <c r="T29">
        <v>17.959190518556859</v>
      </c>
      <c r="U29">
        <v>1478.7792402430414</v>
      </c>
      <c r="V29">
        <v>9.0415668850456914</v>
      </c>
      <c r="W29">
        <v>1247.1606027718774</v>
      </c>
      <c r="X29">
        <v>6.600929539379683</v>
      </c>
      <c r="Y29">
        <v>2878.0518081095342</v>
      </c>
      <c r="Z29">
        <v>9.0628714380267219</v>
      </c>
      <c r="AA29">
        <v>2720.3140436952617</v>
      </c>
      <c r="AB29">
        <v>6.6143319977797352</v>
      </c>
      <c r="AC29">
        <v>2196.4902674434375</v>
      </c>
      <c r="AD29">
        <v>9.0526174649931086</v>
      </c>
      <c r="AE29">
        <v>2004.0576294958362</v>
      </c>
      <c r="AF29">
        <v>6.6078883961763308</v>
      </c>
      <c r="AG29">
        <v>2067.9364088529646</v>
      </c>
      <c r="AH29">
        <v>9.0521216684147259</v>
      </c>
      <c r="AI29">
        <v>1869.2521294408541</v>
      </c>
      <c r="AJ29">
        <v>6.6075765070636248</v>
      </c>
    </row>
    <row r="30" spans="4:36" x14ac:dyDescent="0.55000000000000004">
      <c r="D30">
        <v>23</v>
      </c>
      <c r="E30">
        <v>13.529880404202144</v>
      </c>
      <c r="F30">
        <v>0.49311769336019601</v>
      </c>
      <c r="G30">
        <v>0.1653726856550114</v>
      </c>
      <c r="H30">
        <v>15.811629216782638</v>
      </c>
      <c r="I30">
        <v>13.759184022917319</v>
      </c>
      <c r="J30">
        <v>0.33050353205634969</v>
      </c>
      <c r="K30">
        <v>0.11049512069675917</v>
      </c>
      <c r="L30">
        <v>15.799817324329576</v>
      </c>
      <c r="M30">
        <v>13.661897496777607</v>
      </c>
      <c r="N30">
        <v>0.39953344069628943</v>
      </c>
      <c r="O30">
        <v>0.13374850656350823</v>
      </c>
      <c r="P30">
        <v>15.804820555962598</v>
      </c>
      <c r="Q30">
        <v>13.604942892973753</v>
      </c>
      <c r="R30">
        <v>0.43992002020649912</v>
      </c>
      <c r="S30">
        <v>0.1473818923625016</v>
      </c>
      <c r="T30">
        <v>15.80775519445724</v>
      </c>
      <c r="U30">
        <v>1588.1260269735915</v>
      </c>
      <c r="V30">
        <v>10.756393377389939</v>
      </c>
      <c r="W30">
        <v>1312.1212832935012</v>
      </c>
      <c r="X30">
        <v>7.6082408141791742</v>
      </c>
      <c r="Y30">
        <v>2929.1996946834147</v>
      </c>
      <c r="Z30">
        <v>10.805856095647302</v>
      </c>
      <c r="AA30">
        <v>2747.3861194886545</v>
      </c>
      <c r="AB30">
        <v>7.6359726275002373</v>
      </c>
      <c r="AC30">
        <v>2245.293486100119</v>
      </c>
      <c r="AD30">
        <v>10.784875610692128</v>
      </c>
      <c r="AE30">
        <v>2028.4347860710936</v>
      </c>
      <c r="AF30">
        <v>7.6242196562308084</v>
      </c>
      <c r="AG30">
        <v>2159.5471316620174</v>
      </c>
      <c r="AH30">
        <v>10.772589537068809</v>
      </c>
      <c r="AI30">
        <v>1921.1746336682918</v>
      </c>
      <c r="AJ30">
        <v>7.6173303754065724</v>
      </c>
    </row>
    <row r="31" spans="4:36" x14ac:dyDescent="0.55000000000000004">
      <c r="D31">
        <v>24</v>
      </c>
      <c r="E31">
        <v>12.310249909403273</v>
      </c>
      <c r="F31">
        <v>0.47440618163607512</v>
      </c>
      <c r="G31">
        <v>0.15453054509011488</v>
      </c>
      <c r="H31">
        <v>17.060813363870533</v>
      </c>
      <c r="I31">
        <v>12.571245166908623</v>
      </c>
      <c r="J31">
        <v>0.27701963909507621</v>
      </c>
      <c r="K31">
        <v>8.9899908325673239E-2</v>
      </c>
      <c r="L31">
        <v>17.061835285670643</v>
      </c>
      <c r="M31">
        <v>12.460745513087225</v>
      </c>
      <c r="N31">
        <v>0.36063392940156136</v>
      </c>
      <c r="O31">
        <v>0.11721839983086277</v>
      </c>
      <c r="P31">
        <v>17.061402157680345</v>
      </c>
      <c r="Q31">
        <v>12.407822126490345</v>
      </c>
      <c r="R31">
        <v>0.40065726719045941</v>
      </c>
      <c r="S31">
        <v>0.13032565175816424</v>
      </c>
      <c r="T31">
        <v>17.061194954561039</v>
      </c>
      <c r="U31">
        <v>1546.7959006647166</v>
      </c>
      <c r="V31">
        <v>9.7649957963894831</v>
      </c>
      <c r="W31">
        <v>1289.6066343271789</v>
      </c>
      <c r="X31">
        <v>7.0333242657421371</v>
      </c>
      <c r="Y31">
        <v>2863.4079674869313</v>
      </c>
      <c r="Z31">
        <v>9.8158134393450389</v>
      </c>
      <c r="AA31">
        <v>2707.8227938177088</v>
      </c>
      <c r="AB31">
        <v>7.0629764678884186</v>
      </c>
      <c r="AC31">
        <v>2215.0544592036381</v>
      </c>
      <c r="AD31">
        <v>9.7942977121361636</v>
      </c>
      <c r="AE31">
        <v>2014.0708049019313</v>
      </c>
      <c r="AF31">
        <v>7.0504375927152996</v>
      </c>
      <c r="AG31">
        <v>2087.7829493419508</v>
      </c>
      <c r="AH31">
        <v>9.7839931766340964</v>
      </c>
      <c r="AI31">
        <v>1877.1799181468575</v>
      </c>
      <c r="AJ31">
        <v>7.0444242701758251</v>
      </c>
    </row>
    <row r="32" spans="4:36" x14ac:dyDescent="0.55000000000000004">
      <c r="D32">
        <v>25</v>
      </c>
      <c r="E32">
        <v>14.080178468784652</v>
      </c>
      <c r="F32">
        <v>0.51451201126868584</v>
      </c>
      <c r="G32">
        <v>0.18859483089243065</v>
      </c>
      <c r="H32">
        <v>15.216714689054239</v>
      </c>
      <c r="I32">
        <v>14.368531096129576</v>
      </c>
      <c r="J32">
        <v>0.32095896568432308</v>
      </c>
      <c r="K32">
        <v>0.11720722974105194</v>
      </c>
      <c r="L32">
        <v>15.193302708445056</v>
      </c>
      <c r="M32">
        <v>14.25777077030661</v>
      </c>
      <c r="N32">
        <v>0.39536663023095359</v>
      </c>
      <c r="O32">
        <v>0.14458639504032525</v>
      </c>
      <c r="P32">
        <v>15.20227620442212</v>
      </c>
      <c r="Q32">
        <v>14.19611843848187</v>
      </c>
      <c r="R32">
        <v>0.43675109693436615</v>
      </c>
      <c r="S32">
        <v>0.15984893103309528</v>
      </c>
      <c r="T32">
        <v>15.207281533550667</v>
      </c>
      <c r="U32">
        <v>1661.8338584455398</v>
      </c>
      <c r="V32">
        <v>11.190108790783617</v>
      </c>
      <c r="W32">
        <v>1356.6869027750017</v>
      </c>
      <c r="X32">
        <v>7.8526490530071005</v>
      </c>
      <c r="Y32">
        <v>2944.9178540278849</v>
      </c>
      <c r="Z32">
        <v>11.256014786819488</v>
      </c>
      <c r="AA32">
        <v>2755.1331157618597</v>
      </c>
      <c r="AB32">
        <v>7.888928437025946</v>
      </c>
      <c r="AC32">
        <v>2292.5517629432702</v>
      </c>
      <c r="AD32">
        <v>11.230711690041764</v>
      </c>
      <c r="AE32">
        <v>2057.266197312872</v>
      </c>
      <c r="AF32">
        <v>7.8750138092909152</v>
      </c>
      <c r="AG32">
        <v>2171.0670652302397</v>
      </c>
      <c r="AH32">
        <v>11.216620635412784</v>
      </c>
      <c r="AI32">
        <v>1924.2636767630599</v>
      </c>
      <c r="AJ32">
        <v>7.8672573483955457</v>
      </c>
    </row>
    <row r="33" spans="4:36" x14ac:dyDescent="0.55000000000000004">
      <c r="D33">
        <v>26</v>
      </c>
      <c r="E33">
        <v>14.166651191333489</v>
      </c>
      <c r="F33">
        <v>0.51047484920993946</v>
      </c>
      <c r="G33">
        <v>0.18580591428364307</v>
      </c>
      <c r="H33">
        <v>15.13706804517293</v>
      </c>
      <c r="I33">
        <v>14.47027299931462</v>
      </c>
      <c r="J33">
        <v>0.31136179210731468</v>
      </c>
      <c r="K33">
        <v>0.11289302316689011</v>
      </c>
      <c r="L33">
        <v>15.105472185411188</v>
      </c>
      <c r="M33">
        <v>14.307255498310601</v>
      </c>
      <c r="N33">
        <v>0.41834083687748269</v>
      </c>
      <c r="O33">
        <v>0.15199597706251378</v>
      </c>
      <c r="P33">
        <v>15.122407687749414</v>
      </c>
      <c r="Q33">
        <v>14.313836785685817</v>
      </c>
      <c r="R33">
        <v>0.41402519203361671</v>
      </c>
      <c r="S33">
        <v>0.15041532773511146</v>
      </c>
      <c r="T33">
        <v>15.121722694545447</v>
      </c>
      <c r="U33">
        <v>1628.3243207580801</v>
      </c>
      <c r="V33">
        <v>11.200324901841279</v>
      </c>
      <c r="W33">
        <v>1331.911949182534</v>
      </c>
      <c r="X33">
        <v>7.8513414513918676</v>
      </c>
      <c r="Y33">
        <v>2939.3987537262778</v>
      </c>
      <c r="Z33">
        <v>11.271896019028599</v>
      </c>
      <c r="AA33">
        <v>2751.0506894924747</v>
      </c>
      <c r="AB33">
        <v>7.8905017444223295</v>
      </c>
      <c r="AC33">
        <v>2311.9775787845488</v>
      </c>
      <c r="AD33">
        <v>11.23348599239754</v>
      </c>
      <c r="AE33">
        <v>2068.2732925657192</v>
      </c>
      <c r="AF33">
        <v>7.869501761762729</v>
      </c>
      <c r="AG33">
        <v>2183.9813442123077</v>
      </c>
      <c r="AH33">
        <v>11.235037437597338</v>
      </c>
      <c r="AI33">
        <v>1933.7763763780672</v>
      </c>
      <c r="AJ33">
        <v>7.8703507071636274</v>
      </c>
    </row>
    <row r="34" spans="4:36" x14ac:dyDescent="0.55000000000000004">
      <c r="D34">
        <v>27</v>
      </c>
      <c r="E34">
        <v>11.61573124704163</v>
      </c>
      <c r="F34">
        <v>0.41942950192516054</v>
      </c>
      <c r="G34">
        <v>0.15854603678454859</v>
      </c>
      <c r="H34">
        <v>17.806293214248679</v>
      </c>
      <c r="I34">
        <v>11.808401245366046</v>
      </c>
      <c r="J34">
        <v>0.27064791039653741</v>
      </c>
      <c r="K34">
        <v>0.10199959591115773</v>
      </c>
      <c r="L34">
        <v>17.818951248326258</v>
      </c>
      <c r="M34">
        <v>11.723842660148277</v>
      </c>
      <c r="N34">
        <v>0.33596919703666034</v>
      </c>
      <c r="O34">
        <v>0.12678352311339108</v>
      </c>
      <c r="P34">
        <v>17.813404619701686</v>
      </c>
      <c r="Q34">
        <v>11.685082631483434</v>
      </c>
      <c r="R34">
        <v>0.36589852071030399</v>
      </c>
      <c r="S34">
        <v>0.13816123242992551</v>
      </c>
      <c r="T34">
        <v>17.810857615376342</v>
      </c>
      <c r="U34">
        <v>1521.7282334567951</v>
      </c>
      <c r="V34">
        <v>9.2196584536564341</v>
      </c>
      <c r="W34">
        <v>1279.7352423307229</v>
      </c>
      <c r="X34">
        <v>6.7159211925116402</v>
      </c>
      <c r="Y34">
        <v>2876.4002941604895</v>
      </c>
      <c r="Z34">
        <v>9.2491148504917895</v>
      </c>
      <c r="AA34">
        <v>2720.3298322428323</v>
      </c>
      <c r="AB34">
        <v>6.733885730966839</v>
      </c>
      <c r="AC34">
        <v>2173.4090053891114</v>
      </c>
      <c r="AD34">
        <v>9.236182014639736</v>
      </c>
      <c r="AE34">
        <v>1988.812587812185</v>
      </c>
      <c r="AF34">
        <v>6.7260073827590796</v>
      </c>
      <c r="AG34">
        <v>2087.1299364928295</v>
      </c>
      <c r="AH34">
        <v>9.2302564984489983</v>
      </c>
      <c r="AI34">
        <v>1882.7484476001066</v>
      </c>
      <c r="AJ34">
        <v>6.7223930315418583</v>
      </c>
    </row>
    <row r="35" spans="4:36" x14ac:dyDescent="0.55000000000000004">
      <c r="D35">
        <v>28</v>
      </c>
      <c r="E35">
        <v>12.756755454905985</v>
      </c>
      <c r="F35">
        <v>0.4432385743275209</v>
      </c>
      <c r="G35">
        <v>0.17750198120316651</v>
      </c>
      <c r="H35">
        <v>16.622503989563327</v>
      </c>
      <c r="I35">
        <v>13.008249634527077</v>
      </c>
      <c r="J35">
        <v>0.26865338744793743</v>
      </c>
      <c r="K35">
        <v>0.10720556329082218</v>
      </c>
      <c r="L35">
        <v>16.615891414734161</v>
      </c>
      <c r="M35">
        <v>12.903853957365117</v>
      </c>
      <c r="N35">
        <v>0.3411723905104212</v>
      </c>
      <c r="O35">
        <v>0.1363438017770911</v>
      </c>
      <c r="P35">
        <v>16.618629850347357</v>
      </c>
      <c r="Q35">
        <v>12.865431497465838</v>
      </c>
      <c r="R35">
        <v>0.36784553009927679</v>
      </c>
      <c r="S35">
        <v>0.14708295396215582</v>
      </c>
      <c r="T35">
        <v>16.619640018472737</v>
      </c>
      <c r="U35">
        <v>1523.9642055405802</v>
      </c>
      <c r="V35">
        <v>10.143732502086612</v>
      </c>
      <c r="W35">
        <v>1273.2191351003712</v>
      </c>
      <c r="X35">
        <v>7.2574472900801572</v>
      </c>
      <c r="Y35">
        <v>2901.4038636366317</v>
      </c>
      <c r="Z35">
        <v>10.194001899685544</v>
      </c>
      <c r="AA35">
        <v>2734.3261611666217</v>
      </c>
      <c r="AB35">
        <v>7.2861992614450273</v>
      </c>
      <c r="AC35">
        <v>2213.453276736524</v>
      </c>
      <c r="AD35">
        <v>10.173138281869585</v>
      </c>
      <c r="AE35">
        <v>2012.5771838406085</v>
      </c>
      <c r="AF35">
        <v>7.2742790240344704</v>
      </c>
      <c r="AG35">
        <v>2094.6247886106062</v>
      </c>
      <c r="AH35">
        <v>10.165458328093573</v>
      </c>
      <c r="AI35">
        <v>1882.7631793115779</v>
      </c>
      <c r="AJ35">
        <v>7.2698865760209328</v>
      </c>
    </row>
    <row r="36" spans="4:36" x14ac:dyDescent="0.55000000000000004">
      <c r="D36">
        <v>29</v>
      </c>
      <c r="E36">
        <v>11.919791869439175</v>
      </c>
      <c r="F36">
        <v>0.44666356509441124</v>
      </c>
      <c r="G36">
        <v>0.15177473508654638</v>
      </c>
      <c r="H36">
        <v>17.481769830379857</v>
      </c>
      <c r="I36">
        <v>12.153496774144838</v>
      </c>
      <c r="J36">
        <v>0.2757742678779368</v>
      </c>
      <c r="K36">
        <v>9.3388604932950786E-2</v>
      </c>
      <c r="L36">
        <v>17.477340353044269</v>
      </c>
      <c r="M36">
        <v>12.060681341368081</v>
      </c>
      <c r="N36">
        <v>0.34368166276691819</v>
      </c>
      <c r="O36">
        <v>0.11654162659180069</v>
      </c>
      <c r="P36">
        <v>17.47909536927321</v>
      </c>
      <c r="Q36">
        <v>12.053190986877562</v>
      </c>
      <c r="R36">
        <v>0.34915966579051155</v>
      </c>
      <c r="S36">
        <v>0.11841210883023869</v>
      </c>
      <c r="T36">
        <v>17.479237238501703</v>
      </c>
      <c r="U36">
        <v>1479.393112018691</v>
      </c>
      <c r="V36">
        <v>9.4255388192282332</v>
      </c>
      <c r="W36">
        <v>1248.1017904890762</v>
      </c>
      <c r="X36">
        <v>6.8328020196487023</v>
      </c>
      <c r="Y36">
        <v>2870.9394527896252</v>
      </c>
      <c r="Z36">
        <v>9.4714906071683966</v>
      </c>
      <c r="AA36">
        <v>2716.725797068289</v>
      </c>
      <c r="AB36">
        <v>6.859425908816231</v>
      </c>
      <c r="AC36">
        <v>2191.613120467408</v>
      </c>
      <c r="AD36">
        <v>9.4532439476428465</v>
      </c>
      <c r="AE36">
        <v>2002.5984824956499</v>
      </c>
      <c r="AF36">
        <v>6.848866177877083</v>
      </c>
      <c r="AG36">
        <v>2090.7109656918215</v>
      </c>
      <c r="AH36">
        <v>9.4517712414722883</v>
      </c>
      <c r="AI36">
        <v>1887.7017654224665</v>
      </c>
      <c r="AJ36">
        <v>6.848013197574832</v>
      </c>
    </row>
    <row r="37" spans="4:36" x14ac:dyDescent="0.55000000000000004">
      <c r="D37">
        <v>30</v>
      </c>
      <c r="E37">
        <v>12.764691480529617</v>
      </c>
      <c r="F37">
        <v>0.45596544826874791</v>
      </c>
      <c r="G37">
        <v>0.15897632742205067</v>
      </c>
      <c r="H37">
        <v>16.620366743779584</v>
      </c>
      <c r="I37">
        <v>13.004186869430956</v>
      </c>
      <c r="J37">
        <v>0.28775371828771651</v>
      </c>
      <c r="K37">
        <v>9.9991596196963572E-2</v>
      </c>
      <c r="L37">
        <v>16.608067816084365</v>
      </c>
      <c r="M37">
        <v>12.907849792275981</v>
      </c>
      <c r="N37">
        <v>0.35545957692681418</v>
      </c>
      <c r="O37">
        <v>0.12368486542011312</v>
      </c>
      <c r="P37">
        <v>16.613005765377078</v>
      </c>
      <c r="Q37">
        <v>12.851138023608534</v>
      </c>
      <c r="R37">
        <v>0.39528994295859449</v>
      </c>
      <c r="S37">
        <v>0.13765356150843439</v>
      </c>
      <c r="T37">
        <v>16.615918471924441</v>
      </c>
      <c r="U37">
        <v>1570.0045956720314</v>
      </c>
      <c r="V37">
        <v>10.007970061066976</v>
      </c>
      <c r="W37">
        <v>1304.2498320531174</v>
      </c>
      <c r="X37">
        <v>7.1611127069108456</v>
      </c>
      <c r="Y37">
        <v>2915.6164087640791</v>
      </c>
      <c r="Z37">
        <v>10.0608946304272</v>
      </c>
      <c r="AA37">
        <v>2742.3504271922798</v>
      </c>
      <c r="AB37">
        <v>7.1912882729068164</v>
      </c>
      <c r="AC37">
        <v>2239.6762498343728</v>
      </c>
      <c r="AD37">
        <v>10.039609831731626</v>
      </c>
      <c r="AE37">
        <v>2029.4357494721353</v>
      </c>
      <c r="AF37">
        <v>7.1791650596544656</v>
      </c>
      <c r="AG37">
        <v>2157.7105638119442</v>
      </c>
      <c r="AH37">
        <v>10.027077298446487</v>
      </c>
      <c r="AI37">
        <v>1925.0991121684981</v>
      </c>
      <c r="AJ37">
        <v>7.1720190092341998</v>
      </c>
    </row>
    <row r="38" spans="4:36" x14ac:dyDescent="0.55000000000000004">
      <c r="D38">
        <v>31</v>
      </c>
      <c r="E38">
        <v>13.217966638523626</v>
      </c>
      <c r="F38">
        <v>0.49633246458406993</v>
      </c>
      <c r="G38">
        <v>0.16122872543517536</v>
      </c>
      <c r="H38">
        <v>16.124472171457114</v>
      </c>
      <c r="I38">
        <v>13.453032932417965</v>
      </c>
      <c r="J38">
        <v>0.32201892714959063</v>
      </c>
      <c r="K38">
        <v>0.10427987853217986</v>
      </c>
      <c r="L38">
        <v>16.120668261900263</v>
      </c>
      <c r="M38">
        <v>13.357034030598559</v>
      </c>
      <c r="N38">
        <v>0.39324331603771329</v>
      </c>
      <c r="O38">
        <v>0.12750571499393334</v>
      </c>
      <c r="P38">
        <v>16.122216938369789</v>
      </c>
      <c r="Q38">
        <v>13.307313628977237</v>
      </c>
      <c r="R38">
        <v>0.4301126684723181</v>
      </c>
      <c r="S38">
        <v>0.139552065580032</v>
      </c>
      <c r="T38">
        <v>16.123021636970435</v>
      </c>
      <c r="U38">
        <v>1611.1241639663594</v>
      </c>
      <c r="V38">
        <v>10.448606656115082</v>
      </c>
      <c r="W38">
        <v>1327.3867077858461</v>
      </c>
      <c r="X38">
        <v>7.4221324401567506</v>
      </c>
      <c r="Y38">
        <v>2917.288520383463</v>
      </c>
      <c r="Z38">
        <v>10.492791360323217</v>
      </c>
      <c r="AA38">
        <v>2738.87456515855</v>
      </c>
      <c r="AB38">
        <v>7.447176465267602</v>
      </c>
      <c r="AC38">
        <v>2273.2220781053775</v>
      </c>
      <c r="AD38">
        <v>10.47475000099061</v>
      </c>
      <c r="AE38">
        <v>2048.0080203957791</v>
      </c>
      <c r="AF38">
        <v>7.4369602911237997</v>
      </c>
      <c r="AG38">
        <v>2159.6901465300175</v>
      </c>
      <c r="AH38">
        <v>10.465404132418961</v>
      </c>
      <c r="AI38">
        <v>1921.0650160110215</v>
      </c>
      <c r="AJ38">
        <v>7.4316628046213564</v>
      </c>
    </row>
    <row r="39" spans="4:36" x14ac:dyDescent="0.55000000000000004">
      <c r="D39">
        <v>32</v>
      </c>
      <c r="E39">
        <v>11.664870419253143</v>
      </c>
      <c r="F39">
        <v>0.44315277331344827</v>
      </c>
      <c r="G39">
        <v>0.15794432262682179</v>
      </c>
      <c r="H39">
        <v>17.734032484806598</v>
      </c>
      <c r="I39">
        <v>11.855793566032256</v>
      </c>
      <c r="J39">
        <v>0.28782151461442407</v>
      </c>
      <c r="K39">
        <v>0.10228227891919414</v>
      </c>
      <c r="L39">
        <v>17.75410264043412</v>
      </c>
      <c r="M39">
        <v>11.751590130894787</v>
      </c>
      <c r="N39">
        <v>0.37261971183098486</v>
      </c>
      <c r="O39">
        <v>0.13262820876535666</v>
      </c>
      <c r="P39">
        <v>17.743161948508849</v>
      </c>
      <c r="Q39">
        <v>11.736738180789361</v>
      </c>
      <c r="R39">
        <v>0.38470189058868082</v>
      </c>
      <c r="S39">
        <v>0.13695994303967335</v>
      </c>
      <c r="T39">
        <v>17.741599985582297</v>
      </c>
      <c r="U39">
        <v>1516.2075626505518</v>
      </c>
      <c r="V39">
        <v>9.2208506867764761</v>
      </c>
      <c r="W39">
        <v>1272.4715895751935</v>
      </c>
      <c r="X39">
        <v>6.7075456690919344</v>
      </c>
      <c r="Y39">
        <v>2859.5585969295739</v>
      </c>
      <c r="Z39">
        <v>9.2426786046466667</v>
      </c>
      <c r="AA39">
        <v>2705.8066129871731</v>
      </c>
      <c r="AB39">
        <v>6.7213050298562855</v>
      </c>
      <c r="AC39">
        <v>2213.1714988807703</v>
      </c>
      <c r="AD39">
        <v>9.2307576498877921</v>
      </c>
      <c r="AE39">
        <v>2013.8788091853123</v>
      </c>
      <c r="AF39">
        <v>6.7137985183144124</v>
      </c>
      <c r="AG39">
        <v>2080.0516303914405</v>
      </c>
      <c r="AH39">
        <v>9.229060048806879</v>
      </c>
      <c r="AI39">
        <v>1874.9459169865931</v>
      </c>
      <c r="AJ39">
        <v>6.712728008675418</v>
      </c>
    </row>
    <row r="40" spans="4:36" x14ac:dyDescent="0.55000000000000004">
      <c r="D40">
        <v>33</v>
      </c>
      <c r="E40">
        <v>12.289900193175102</v>
      </c>
      <c r="F40">
        <v>0.46230656118353236</v>
      </c>
      <c r="G40">
        <v>0.15962165167324852</v>
      </c>
      <c r="H40">
        <v>17.088171593968124</v>
      </c>
      <c r="I40">
        <v>12.516100440797775</v>
      </c>
      <c r="J40">
        <v>0.2938709516433009</v>
      </c>
      <c r="K40">
        <v>0.10112709191831437</v>
      </c>
      <c r="L40">
        <v>17.088901515640604</v>
      </c>
      <c r="M40">
        <v>12.427153472334901</v>
      </c>
      <c r="N40">
        <v>0.36013804403378302</v>
      </c>
      <c r="O40">
        <v>0.12409314474706186</v>
      </c>
      <c r="P40">
        <v>17.088615338884249</v>
      </c>
      <c r="Q40">
        <v>12.42487629100067</v>
      </c>
      <c r="R40">
        <v>0.36183400157462153</v>
      </c>
      <c r="S40">
        <v>0.12468170939768182</v>
      </c>
      <c r="T40">
        <v>17.088607998027044</v>
      </c>
      <c r="U40">
        <v>1524.7375534593102</v>
      </c>
      <c r="V40">
        <v>9.6978563381989211</v>
      </c>
      <c r="W40">
        <v>1274.4801350002092</v>
      </c>
      <c r="X40">
        <v>6.9861994430768464</v>
      </c>
      <c r="Y40">
        <v>2903.7141642062925</v>
      </c>
      <c r="Z40">
        <v>9.7375544719375888</v>
      </c>
      <c r="AA40">
        <v>2735.6159507392513</v>
      </c>
      <c r="AB40">
        <v>7.0093539006294199</v>
      </c>
      <c r="AC40">
        <v>2214.6348746741946</v>
      </c>
      <c r="AD40">
        <v>9.7219439015879345</v>
      </c>
      <c r="AE40">
        <v>2013.7737866154855</v>
      </c>
      <c r="AF40">
        <v>7.0002592013063856</v>
      </c>
      <c r="AG40">
        <v>2104.1308305173529</v>
      </c>
      <c r="AH40">
        <v>9.7215442530469769</v>
      </c>
      <c r="AI40">
        <v>1891.9723846642803</v>
      </c>
      <c r="AJ40">
        <v>7.0000261912215276</v>
      </c>
    </row>
    <row r="41" spans="4:36" x14ac:dyDescent="0.55000000000000004">
      <c r="D41">
        <v>34</v>
      </c>
      <c r="E41">
        <v>13.605169442813894</v>
      </c>
      <c r="F41">
        <v>0.50783539686276469</v>
      </c>
      <c r="G41">
        <v>0.16555992331988711</v>
      </c>
      <c r="H41">
        <v>15.721435237003446</v>
      </c>
      <c r="I41">
        <v>13.848184925241339</v>
      </c>
      <c r="J41">
        <v>0.33038159083109764</v>
      </c>
      <c r="K41">
        <v>0.10736722990036933</v>
      </c>
      <c r="L41">
        <v>15.714066254027188</v>
      </c>
      <c r="M41">
        <v>13.75181443506882</v>
      </c>
      <c r="N41">
        <v>0.40079188057979687</v>
      </c>
      <c r="O41">
        <v>0.13041218345251998</v>
      </c>
      <c r="P41">
        <v>15.716981500898859</v>
      </c>
      <c r="Q41">
        <v>13.721622097021623</v>
      </c>
      <c r="R41">
        <v>0.42284052660832111</v>
      </c>
      <c r="S41">
        <v>0.13764065953974566</v>
      </c>
      <c r="T41">
        <v>15.717896716830307</v>
      </c>
      <c r="U41">
        <v>1601.3833987205833</v>
      </c>
      <c r="V41">
        <v>10.760724051911518</v>
      </c>
      <c r="W41">
        <v>1319.3281160130232</v>
      </c>
      <c r="X41">
        <v>7.6006002821494203</v>
      </c>
      <c r="Y41">
        <v>2924.6661922197031</v>
      </c>
      <c r="Z41">
        <v>10.807527763786359</v>
      </c>
      <c r="AA41">
        <v>2743.3912216279391</v>
      </c>
      <c r="AB41">
        <v>7.6269739982209535</v>
      </c>
      <c r="AC41">
        <v>2281.4435815245638</v>
      </c>
      <c r="AD41">
        <v>10.788970782403624</v>
      </c>
      <c r="AE41">
        <v>2053.0499387125897</v>
      </c>
      <c r="AF41">
        <v>7.6165271967280237</v>
      </c>
      <c r="AG41">
        <v>2165.7358919691555</v>
      </c>
      <c r="AH41">
        <v>10.783156027963139</v>
      </c>
      <c r="AI41">
        <v>1925.6373642549652</v>
      </c>
      <c r="AJ41">
        <v>7.6132510466575534</v>
      </c>
    </row>
    <row r="42" spans="4:36" x14ac:dyDescent="0.55000000000000004">
      <c r="D42">
        <v>35</v>
      </c>
      <c r="E42">
        <v>12.383134502547493</v>
      </c>
      <c r="F42">
        <v>0.43737761673791831</v>
      </c>
      <c r="G42">
        <v>0.1682078266702548</v>
      </c>
      <c r="H42">
        <v>17.011280054044335</v>
      </c>
      <c r="I42">
        <v>12.60355485497818</v>
      </c>
      <c r="J42">
        <v>0.28087476572729364</v>
      </c>
      <c r="K42">
        <v>0.10766853441964652</v>
      </c>
      <c r="L42">
        <v>17.007901844874887</v>
      </c>
      <c r="M42">
        <v>12.513125805210585</v>
      </c>
      <c r="N42">
        <v>0.34511753278359403</v>
      </c>
      <c r="O42">
        <v>0.13247092036403102</v>
      </c>
      <c r="P42">
        <v>17.009285741641804</v>
      </c>
      <c r="Q42">
        <v>12.488576527622641</v>
      </c>
      <c r="R42">
        <v>0.36254918246879864</v>
      </c>
      <c r="S42">
        <v>0.13921236663542433</v>
      </c>
      <c r="T42">
        <v>17.009661923273125</v>
      </c>
      <c r="U42">
        <v>1542.4917202803383</v>
      </c>
      <c r="V42">
        <v>9.7543222178893068</v>
      </c>
      <c r="W42">
        <v>1287.5431481321241</v>
      </c>
      <c r="X42">
        <v>7.0197560759143531</v>
      </c>
      <c r="Y42">
        <v>2877.5334461412699</v>
      </c>
      <c r="Z42">
        <v>9.7982197766906118</v>
      </c>
      <c r="AA42">
        <v>2716.5851797384712</v>
      </c>
      <c r="AB42">
        <v>7.0451455330644217</v>
      </c>
      <c r="AC42">
        <v>2240.2091750290301</v>
      </c>
      <c r="AD42">
        <v>9.7802117024154587</v>
      </c>
      <c r="AE42">
        <v>2032.0628408530226</v>
      </c>
      <c r="AF42">
        <v>7.0347407724589077</v>
      </c>
      <c r="AG42">
        <v>2123.2546564742065</v>
      </c>
      <c r="AH42">
        <v>9.7753226589314988</v>
      </c>
      <c r="AI42">
        <v>1904.312576181984</v>
      </c>
      <c r="AJ42">
        <v>7.0319133987580393</v>
      </c>
    </row>
    <row r="43" spans="4:36" x14ac:dyDescent="0.55000000000000004">
      <c r="D43">
        <v>36</v>
      </c>
      <c r="E43">
        <v>12.994663611751655</v>
      </c>
      <c r="F43">
        <v>0.47373949943686022</v>
      </c>
      <c r="G43">
        <v>0.17560213031959157</v>
      </c>
      <c r="H43">
        <v>16.355994758491896</v>
      </c>
      <c r="I43">
        <v>13.202016670599333</v>
      </c>
      <c r="J43">
        <v>0.31581796788084626</v>
      </c>
      <c r="K43">
        <v>0.11671476529123177</v>
      </c>
      <c r="L43">
        <v>16.365450596228587</v>
      </c>
      <c r="M43">
        <v>13.116556989816685</v>
      </c>
      <c r="N43">
        <v>0.38093156500183556</v>
      </c>
      <c r="O43">
        <v>0.1409516307003186</v>
      </c>
      <c r="P43">
        <v>16.361559814481179</v>
      </c>
      <c r="Q43">
        <v>13.070013992230283</v>
      </c>
      <c r="R43">
        <v>0.41637786311135278</v>
      </c>
      <c r="S43">
        <v>0.15417108969649107</v>
      </c>
      <c r="T43">
        <v>16.359437054961891</v>
      </c>
      <c r="U43">
        <v>1582.4865920136504</v>
      </c>
      <c r="V43">
        <v>10.308675546868276</v>
      </c>
      <c r="W43">
        <v>1305.1287444874567</v>
      </c>
      <c r="X43">
        <v>7.3468570289613631</v>
      </c>
      <c r="Y43">
        <v>2931.4725229352771</v>
      </c>
      <c r="Z43">
        <v>10.345478717212393</v>
      </c>
      <c r="AA43">
        <v>2747.2121610603676</v>
      </c>
      <c r="AB43">
        <v>7.3685675913030382</v>
      </c>
      <c r="AC43">
        <v>2269.0247295715985</v>
      </c>
      <c r="AD43">
        <v>10.330306024523832</v>
      </c>
      <c r="AE43">
        <v>2043.2328534370477</v>
      </c>
      <c r="AF43">
        <v>7.3596263428430859</v>
      </c>
      <c r="AG43">
        <v>2188.0772242296484</v>
      </c>
      <c r="AH43">
        <v>10.322045283010269</v>
      </c>
      <c r="AI43">
        <v>1939.4257052459013</v>
      </c>
      <c r="AJ43">
        <v>7.3547528470769326</v>
      </c>
    </row>
    <row r="44" spans="4:36" x14ac:dyDescent="0.55000000000000004">
      <c r="D44">
        <v>37</v>
      </c>
      <c r="E44">
        <v>11.804601100624369</v>
      </c>
      <c r="F44">
        <v>0.46166976209881044</v>
      </c>
      <c r="G44">
        <v>0.16259703078180199</v>
      </c>
      <c r="H44">
        <v>17.571132106495025</v>
      </c>
      <c r="I44">
        <v>11.993281297159189</v>
      </c>
      <c r="J44">
        <v>0.30739875584689291</v>
      </c>
      <c r="K44">
        <v>0.10795504776078395</v>
      </c>
      <c r="L44">
        <v>17.591364899233124</v>
      </c>
      <c r="M44">
        <v>11.941789037436362</v>
      </c>
      <c r="N44">
        <v>0.34951598409191675</v>
      </c>
      <c r="O44">
        <v>0.12284141307725992</v>
      </c>
      <c r="P44">
        <v>17.585853565394448</v>
      </c>
      <c r="Q44">
        <v>11.910631340560583</v>
      </c>
      <c r="R44">
        <v>0.37499527174371577</v>
      </c>
      <c r="S44">
        <v>0.13185845801040302</v>
      </c>
      <c r="T44">
        <v>17.582514929685306</v>
      </c>
      <c r="U44">
        <v>1479.9023005811196</v>
      </c>
      <c r="V44">
        <v>9.4050006185667101</v>
      </c>
      <c r="W44">
        <v>1246.9797160874321</v>
      </c>
      <c r="X44">
        <v>6.824282312653061</v>
      </c>
      <c r="Y44">
        <v>2867.8041694238932</v>
      </c>
      <c r="Z44">
        <v>9.4271384761168662</v>
      </c>
      <c r="AA44">
        <v>2711.9301595109996</v>
      </c>
      <c r="AB44">
        <v>6.8382311371814133</v>
      </c>
      <c r="AC44">
        <v>2188.5188992605913</v>
      </c>
      <c r="AD44">
        <v>9.4210907115898088</v>
      </c>
      <c r="AE44">
        <v>1999.743828012563</v>
      </c>
      <c r="AF44">
        <v>6.8344267990558585</v>
      </c>
      <c r="AG44">
        <v>2069.4390356580611</v>
      </c>
      <c r="AH44">
        <v>9.4174334822739834</v>
      </c>
      <c r="AI44">
        <v>1870.109350177818</v>
      </c>
      <c r="AJ44">
        <v>6.832123943389715</v>
      </c>
    </row>
    <row r="45" spans="4:36" x14ac:dyDescent="0.55000000000000004">
      <c r="D45">
        <v>38</v>
      </c>
      <c r="E45">
        <v>12.20301109253163</v>
      </c>
      <c r="F45">
        <v>0.40522971532790536</v>
      </c>
      <c r="G45">
        <v>0.15643558807688526</v>
      </c>
      <c r="H45">
        <v>17.235323604063595</v>
      </c>
      <c r="I45">
        <v>12.370904031936112</v>
      </c>
      <c r="J45">
        <v>0.2827807232163807</v>
      </c>
      <c r="K45">
        <v>0.10888362705464028</v>
      </c>
      <c r="L45">
        <v>17.237431617792851</v>
      </c>
      <c r="M45">
        <v>12.300560094085963</v>
      </c>
      <c r="N45">
        <v>0.3341048543707591</v>
      </c>
      <c r="O45">
        <v>0.1287845943274577</v>
      </c>
      <c r="P45">
        <v>17.23655045721582</v>
      </c>
      <c r="Q45">
        <v>12.25448559079735</v>
      </c>
      <c r="R45">
        <v>0.36770572454858846</v>
      </c>
      <c r="S45">
        <v>0.14183698192801311</v>
      </c>
      <c r="T45">
        <v>17.235971702726061</v>
      </c>
      <c r="U45">
        <v>1496.6261499527025</v>
      </c>
      <c r="V45">
        <v>9.5889832115198317</v>
      </c>
      <c r="W45">
        <v>1259.7283205530468</v>
      </c>
      <c r="X45">
        <v>6.9221666951318781</v>
      </c>
      <c r="Y45">
        <v>2875.1907767137673</v>
      </c>
      <c r="Z45">
        <v>9.619274002969167</v>
      </c>
      <c r="AA45">
        <v>2716.6850065654835</v>
      </c>
      <c r="AB45">
        <v>6.9400823244344538</v>
      </c>
      <c r="AC45">
        <v>2202.3454192850581</v>
      </c>
      <c r="AD45">
        <v>9.6065809381168972</v>
      </c>
      <c r="AE45">
        <v>2007.9298166750546</v>
      </c>
      <c r="AF45">
        <v>6.9325815055643174</v>
      </c>
      <c r="AG45">
        <v>2100.7849673424034</v>
      </c>
      <c r="AH45">
        <v>9.59826852552996</v>
      </c>
      <c r="AI45">
        <v>1890.2299502570311</v>
      </c>
      <c r="AJ45">
        <v>6.9276642727775437</v>
      </c>
    </row>
    <row r="46" spans="4:36" x14ac:dyDescent="0.55000000000000004">
      <c r="D46">
        <v>39</v>
      </c>
      <c r="E46">
        <v>11.977421007032174</v>
      </c>
      <c r="F46">
        <v>0.41315687892729364</v>
      </c>
      <c r="G46">
        <v>0.15886188218869945</v>
      </c>
      <c r="H46">
        <v>17.450560231851824</v>
      </c>
      <c r="I46">
        <v>12.18905305865904</v>
      </c>
      <c r="J46">
        <v>0.26121354562301069</v>
      </c>
      <c r="K46">
        <v>0.10011615952821294</v>
      </c>
      <c r="L46">
        <v>17.449617236189741</v>
      </c>
      <c r="M46">
        <v>12.085213881617694</v>
      </c>
      <c r="N46">
        <v>0.33580046649399287</v>
      </c>
      <c r="O46">
        <v>0.12890577783770077</v>
      </c>
      <c r="P46">
        <v>17.450079874050616</v>
      </c>
      <c r="Q46">
        <v>12.060459145926243</v>
      </c>
      <c r="R46">
        <v>0.35357181528718074</v>
      </c>
      <c r="S46">
        <v>0.13577885939251022</v>
      </c>
      <c r="T46">
        <v>17.450190179394063</v>
      </c>
      <c r="U46">
        <v>1506.3558831324617</v>
      </c>
      <c r="V46">
        <v>9.4076943140016915</v>
      </c>
      <c r="W46">
        <v>1268.8454158961849</v>
      </c>
      <c r="X46">
        <v>6.8144407415639758</v>
      </c>
      <c r="Y46">
        <v>2868.4595601061806</v>
      </c>
      <c r="Z46">
        <v>9.4453009485625437</v>
      </c>
      <c r="AA46">
        <v>2715.1524788047846</v>
      </c>
      <c r="AB46">
        <v>6.8364054684121136</v>
      </c>
      <c r="AC46">
        <v>2180.5246238763148</v>
      </c>
      <c r="AD46">
        <v>9.4268493148376358</v>
      </c>
      <c r="AE46">
        <v>1994.0211824725716</v>
      </c>
      <c r="AF46">
        <v>6.8256383925336728</v>
      </c>
      <c r="AG46">
        <v>2089.7568302463869</v>
      </c>
      <c r="AH46">
        <v>9.4224504246441239</v>
      </c>
      <c r="AI46">
        <v>1885.5563196599858</v>
      </c>
      <c r="AJ46">
        <v>6.8230687107029064</v>
      </c>
    </row>
    <row r="47" spans="4:36" x14ac:dyDescent="0.55000000000000004">
      <c r="D47">
        <v>40</v>
      </c>
      <c r="E47">
        <v>12.449078215545928</v>
      </c>
      <c r="F47">
        <v>0.48845930840478902</v>
      </c>
      <c r="G47">
        <v>0.17002171303748057</v>
      </c>
      <c r="H47">
        <v>16.892440763011816</v>
      </c>
      <c r="I47">
        <v>12.680348612534166</v>
      </c>
      <c r="J47">
        <v>0.30571454917298263</v>
      </c>
      <c r="K47">
        <v>0.10607054649861958</v>
      </c>
      <c r="L47">
        <v>16.907866291794235</v>
      </c>
      <c r="M47">
        <v>12.568003354013996</v>
      </c>
      <c r="N47">
        <v>0.39451926171277596</v>
      </c>
      <c r="O47">
        <v>0.13709545287776775</v>
      </c>
      <c r="P47">
        <v>16.900381931395465</v>
      </c>
      <c r="Q47">
        <v>12.555468289560899</v>
      </c>
      <c r="R47">
        <v>0.40442402891262402</v>
      </c>
      <c r="S47">
        <v>0.14056187393676076</v>
      </c>
      <c r="T47">
        <v>16.89954580758971</v>
      </c>
      <c r="U47">
        <v>1566.9141232566167</v>
      </c>
      <c r="V47">
        <v>9.8832072709045313</v>
      </c>
      <c r="W47">
        <v>1298.0131472116448</v>
      </c>
      <c r="X47">
        <v>7.0980938738913775</v>
      </c>
      <c r="Y47">
        <v>2905.7540760544971</v>
      </c>
      <c r="Z47">
        <v>9.9148596935334297</v>
      </c>
      <c r="AA47">
        <v>2733.0532082715613</v>
      </c>
      <c r="AB47">
        <v>7.116955882395553</v>
      </c>
      <c r="AC47">
        <v>2267.9609742494963</v>
      </c>
      <c r="AD47">
        <v>9.8994792848053201</v>
      </c>
      <c r="AE47">
        <v>2045.6718686994273</v>
      </c>
      <c r="AF47">
        <v>7.1078003736339106</v>
      </c>
      <c r="AG47">
        <v>2144.2131048004476</v>
      </c>
      <c r="AH47">
        <v>9.897763717951074</v>
      </c>
      <c r="AI47">
        <v>1913.5320377250569</v>
      </c>
      <c r="AJ47">
        <v>7.1067780000581759</v>
      </c>
    </row>
    <row r="48" spans="4:36" x14ac:dyDescent="0.55000000000000004">
      <c r="D48">
        <v>41</v>
      </c>
      <c r="E48">
        <v>11.961470343576771</v>
      </c>
      <c r="F48">
        <v>0.40967848872844498</v>
      </c>
      <c r="G48">
        <v>0.16724511399788949</v>
      </c>
      <c r="H48">
        <v>17.461606053696887</v>
      </c>
      <c r="I48">
        <v>12.138708275119635</v>
      </c>
      <c r="J48">
        <v>0.27826835425475022</v>
      </c>
      <c r="K48">
        <v>0.11327909749008944</v>
      </c>
      <c r="L48">
        <v>17.469744273135511</v>
      </c>
      <c r="M48">
        <v>12.052858184331836</v>
      </c>
      <c r="N48">
        <v>0.34194321133228567</v>
      </c>
      <c r="O48">
        <v>0.13938984331862472</v>
      </c>
      <c r="P48">
        <v>17.465808761017261</v>
      </c>
      <c r="Q48">
        <v>12.036120543283493</v>
      </c>
      <c r="R48">
        <v>0.35435252937747719</v>
      </c>
      <c r="S48">
        <v>0.14448685686142201</v>
      </c>
      <c r="T48">
        <v>17.465040070477606</v>
      </c>
      <c r="U48">
        <v>1531.7036212788528</v>
      </c>
      <c r="V48">
        <v>9.4514729569381828</v>
      </c>
      <c r="W48">
        <v>1285.9340416307839</v>
      </c>
      <c r="X48">
        <v>6.8471393641728175</v>
      </c>
      <c r="Y48">
        <v>2861.5251409561856</v>
      </c>
      <c r="Z48">
        <v>9.4808705474976271</v>
      </c>
      <c r="AA48">
        <v>2707.7061609570023</v>
      </c>
      <c r="AB48">
        <v>6.8648558883331754</v>
      </c>
      <c r="AC48">
        <v>2194.4562423604748</v>
      </c>
      <c r="AD48">
        <v>9.4666270067972125</v>
      </c>
      <c r="AE48">
        <v>2002.333648125641</v>
      </c>
      <c r="AF48">
        <v>6.8562797626567331</v>
      </c>
      <c r="AG48">
        <v>2077.0692496462411</v>
      </c>
      <c r="AH48">
        <v>9.4638509088067231</v>
      </c>
      <c r="AI48">
        <v>1874.8336779016304</v>
      </c>
      <c r="AJ48">
        <v>6.8546065612212308</v>
      </c>
    </row>
    <row r="49" spans="4:36" x14ac:dyDescent="0.55000000000000004">
      <c r="D49">
        <v>42</v>
      </c>
      <c r="E49">
        <v>11.19755891176702</v>
      </c>
      <c r="F49">
        <v>0.40757968729860317</v>
      </c>
      <c r="G49">
        <v>0.16746385889544779</v>
      </c>
      <c r="H49">
        <v>18.227397542038933</v>
      </c>
      <c r="I49">
        <v>11.394554171032583</v>
      </c>
      <c r="J49">
        <v>0.25921565589980228</v>
      </c>
      <c r="K49">
        <v>0.10615604680861301</v>
      </c>
      <c r="L49">
        <v>18.240074126259007</v>
      </c>
      <c r="M49">
        <v>11.340855708957815</v>
      </c>
      <c r="N49">
        <v>0.29968008101078319</v>
      </c>
      <c r="O49">
        <v>0.12283662710830594</v>
      </c>
      <c r="P49">
        <v>18.236627582923088</v>
      </c>
      <c r="Q49">
        <v>11.278097018391129</v>
      </c>
      <c r="R49">
        <v>0.3469507811806658</v>
      </c>
      <c r="S49">
        <v>0.14236113253424479</v>
      </c>
      <c r="T49">
        <v>18.232591067893956</v>
      </c>
      <c r="U49">
        <v>1488.8457965401831</v>
      </c>
      <c r="V49">
        <v>8.9228536450735572</v>
      </c>
      <c r="W49">
        <v>1257.959975744825</v>
      </c>
      <c r="X49">
        <v>6.5439926537899762</v>
      </c>
      <c r="Y49">
        <v>2856.2252745563151</v>
      </c>
      <c r="Z49">
        <v>8.9506562935287395</v>
      </c>
      <c r="AA49">
        <v>2707.3956052725193</v>
      </c>
      <c r="AB49">
        <v>6.5611383597712001</v>
      </c>
      <c r="AC49">
        <v>2163.7860016765503</v>
      </c>
      <c r="AD49">
        <v>8.943073002020796</v>
      </c>
      <c r="AE49">
        <v>1985.9251216173511</v>
      </c>
      <c r="AF49">
        <v>6.556469418531802</v>
      </c>
      <c r="AG49">
        <v>2058.2390179348986</v>
      </c>
      <c r="AH49">
        <v>8.9342146116065368</v>
      </c>
      <c r="AI49">
        <v>1864.2402343596143</v>
      </c>
      <c r="AJ49">
        <v>6.5510082070305584</v>
      </c>
    </row>
    <row r="50" spans="4:36" x14ac:dyDescent="0.55000000000000004">
      <c r="D50">
        <v>43</v>
      </c>
      <c r="E50">
        <v>12.599689088193875</v>
      </c>
      <c r="F50">
        <v>0.41351085156643008</v>
      </c>
      <c r="G50">
        <v>0.15187907242111226</v>
      </c>
      <c r="H50">
        <v>16.834920987818577</v>
      </c>
      <c r="I50">
        <v>12.844222507826295</v>
      </c>
      <c r="J50">
        <v>0.2505962730561585</v>
      </c>
      <c r="K50">
        <v>9.1716540051132237E-2</v>
      </c>
      <c r="L50">
        <v>16.81346467906641</v>
      </c>
      <c r="M50">
        <v>12.737048657801154</v>
      </c>
      <c r="N50">
        <v>0.3220478843050345</v>
      </c>
      <c r="O50">
        <v>0.11804961739161374</v>
      </c>
      <c r="P50">
        <v>16.82285384050218</v>
      </c>
      <c r="Q50">
        <v>12.656847114291638</v>
      </c>
      <c r="R50">
        <v>0.37546684808486336</v>
      </c>
      <c r="S50">
        <v>0.13779103309179494</v>
      </c>
      <c r="T50">
        <v>16.829895004531707</v>
      </c>
      <c r="U50">
        <v>1489.6473728014241</v>
      </c>
      <c r="V50">
        <v>10.019196986717644</v>
      </c>
      <c r="W50">
        <v>1252.8193095162205</v>
      </c>
      <c r="X50">
        <v>7.1917000495326411</v>
      </c>
      <c r="Y50">
        <v>2857.178245453269</v>
      </c>
      <c r="Z50">
        <v>10.079651838349886</v>
      </c>
      <c r="AA50">
        <v>2705.2426310875494</v>
      </c>
      <c r="AB50">
        <v>7.2260059036319957</v>
      </c>
      <c r="AC50">
        <v>2206.7778379413753</v>
      </c>
      <c r="AD50">
        <v>10.053163044969043</v>
      </c>
      <c r="AE50">
        <v>2010.9117102851797</v>
      </c>
      <c r="AF50">
        <v>7.2109893043397655</v>
      </c>
      <c r="AG50">
        <v>2108.0608257146314</v>
      </c>
      <c r="AH50">
        <v>10.033333221205895</v>
      </c>
      <c r="AI50">
        <v>1893.820381132236</v>
      </c>
      <c r="AJ50">
        <v>7.1997326355273703</v>
      </c>
    </row>
    <row r="51" spans="4:36" x14ac:dyDescent="0.55000000000000004">
      <c r="D51">
        <v>44</v>
      </c>
      <c r="E51">
        <v>12.570056408723806</v>
      </c>
      <c r="F51">
        <v>0.4997455745134109</v>
      </c>
      <c r="G51">
        <v>0.16173950889000921</v>
      </c>
      <c r="H51">
        <v>16.768458507872786</v>
      </c>
      <c r="I51">
        <v>12.790037388147939</v>
      </c>
      <c r="J51">
        <v>0.32513873435232615</v>
      </c>
      <c r="K51">
        <v>0.10488734302523528</v>
      </c>
      <c r="L51">
        <v>16.779936534474508</v>
      </c>
      <c r="M51">
        <v>12.702665470269075</v>
      </c>
      <c r="N51">
        <v>0.39451614701273013</v>
      </c>
      <c r="O51">
        <v>0.12743180236124438</v>
      </c>
      <c r="P51">
        <v>16.775386580356965</v>
      </c>
      <c r="Q51">
        <v>12.689559508326351</v>
      </c>
      <c r="R51">
        <v>0.40491982296408424</v>
      </c>
      <c r="S51">
        <v>0.13081759509970936</v>
      </c>
      <c r="T51">
        <v>16.774703073609864</v>
      </c>
      <c r="U51">
        <v>1529.7351998218401</v>
      </c>
      <c r="V51">
        <v>9.8846850628284422</v>
      </c>
      <c r="W51">
        <v>1275.9325836136702</v>
      </c>
      <c r="X51">
        <v>7.0869483063078231</v>
      </c>
      <c r="Y51">
        <v>2880.1293960800022</v>
      </c>
      <c r="Z51">
        <v>9.9194367491661097</v>
      </c>
      <c r="AA51">
        <v>2716.6434638809365</v>
      </c>
      <c r="AB51">
        <v>7.1076168002519715</v>
      </c>
      <c r="AC51">
        <v>2221.3002310062757</v>
      </c>
      <c r="AD51">
        <v>9.9056292352075346</v>
      </c>
      <c r="AE51">
        <v>2016.4782834566408</v>
      </c>
      <c r="AF51">
        <v>7.0994146422194744</v>
      </c>
      <c r="AG51">
        <v>2120.7071490056178</v>
      </c>
      <c r="AH51">
        <v>9.9035586301671454</v>
      </c>
      <c r="AI51">
        <v>1901.0957164460492</v>
      </c>
      <c r="AJ51">
        <v>7.0981835175724335</v>
      </c>
    </row>
    <row r="52" spans="4:36" x14ac:dyDescent="0.55000000000000004">
      <c r="D52">
        <v>45</v>
      </c>
      <c r="E52">
        <v>13.208447013010794</v>
      </c>
      <c r="F52">
        <v>0.41557902058442581</v>
      </c>
      <c r="G52">
        <v>0.14611860673694507</v>
      </c>
      <c r="H52">
        <v>16.229855359667823</v>
      </c>
      <c r="I52">
        <v>13.420040426291896</v>
      </c>
      <c r="J52">
        <v>0.28384245939114028</v>
      </c>
      <c r="K52">
        <v>9.950367029269569E-2</v>
      </c>
      <c r="L52">
        <v>16.196613444024262</v>
      </c>
      <c r="M52">
        <v>13.342516279572052</v>
      </c>
      <c r="N52">
        <v>0.33214523965004206</v>
      </c>
      <c r="O52">
        <v>0.11656293885462732</v>
      </c>
      <c r="P52">
        <v>16.208775541923288</v>
      </c>
      <c r="Q52">
        <v>13.309233802166341</v>
      </c>
      <c r="R52">
        <v>0.35286945975084366</v>
      </c>
      <c r="S52">
        <v>0.12389372623847561</v>
      </c>
      <c r="T52">
        <v>16.214003011844316</v>
      </c>
      <c r="U52">
        <v>1557.8136214432971</v>
      </c>
      <c r="V52">
        <v>10.353961868878562</v>
      </c>
      <c r="W52">
        <v>1297.8642117096083</v>
      </c>
      <c r="X52">
        <v>7.36654238426528</v>
      </c>
      <c r="Y52">
        <v>2905.869581046089</v>
      </c>
      <c r="Z52">
        <v>10.410794726456482</v>
      </c>
      <c r="AA52">
        <v>2735.2883243287956</v>
      </c>
      <c r="AB52">
        <v>7.3979166049719947</v>
      </c>
      <c r="AC52">
        <v>2207.7402865634726</v>
      </c>
      <c r="AD52">
        <v>10.389982304535669</v>
      </c>
      <c r="AE52">
        <v>2007.8413829675535</v>
      </c>
      <c r="AF52">
        <v>7.3864366248235145</v>
      </c>
      <c r="AG52">
        <v>2095.9884958463153</v>
      </c>
      <c r="AH52">
        <v>10.381043578184729</v>
      </c>
      <c r="AI52">
        <v>1883.4742512352086</v>
      </c>
      <c r="AJ52">
        <v>7.3815027723800117</v>
      </c>
    </row>
    <row r="53" spans="4:36" x14ac:dyDescent="0.55000000000000004">
      <c r="D53">
        <v>46</v>
      </c>
      <c r="E53">
        <v>12.241094077301998</v>
      </c>
      <c r="F53">
        <v>0.41477806609137841</v>
      </c>
      <c r="G53">
        <v>0.1656268649601953</v>
      </c>
      <c r="H53">
        <v>17.178500991646413</v>
      </c>
      <c r="I53">
        <v>12.465815184352763</v>
      </c>
      <c r="J53">
        <v>0.25716087091860235</v>
      </c>
      <c r="K53">
        <v>0.10232213417977876</v>
      </c>
      <c r="L53">
        <v>17.174701810548854</v>
      </c>
      <c r="M53">
        <v>12.348473938298953</v>
      </c>
      <c r="N53">
        <v>0.33950290928713189</v>
      </c>
      <c r="O53">
        <v>0.13533645223045437</v>
      </c>
      <c r="P53">
        <v>17.176686700183456</v>
      </c>
      <c r="Q53">
        <v>12.328852387098255</v>
      </c>
      <c r="R53">
        <v>0.35326345705010365</v>
      </c>
      <c r="S53">
        <v>0.14086577820880852</v>
      </c>
      <c r="T53">
        <v>17.177018377642842</v>
      </c>
      <c r="U53">
        <v>1541.0820200707458</v>
      </c>
      <c r="V53">
        <v>9.6459300657431424</v>
      </c>
      <c r="W53">
        <v>1289.9106478129615</v>
      </c>
      <c r="X53">
        <v>6.9578344066992805</v>
      </c>
      <c r="Y53">
        <v>2881.3312012659621</v>
      </c>
      <c r="Z53">
        <v>9.68901612445271</v>
      </c>
      <c r="AA53">
        <v>2722.240998850798</v>
      </c>
      <c r="AB53">
        <v>6.9829739646718902</v>
      </c>
      <c r="AC53">
        <v>2191.787180583829</v>
      </c>
      <c r="AD53">
        <v>9.6665174041247006</v>
      </c>
      <c r="AE53">
        <v>1998.7109909864644</v>
      </c>
      <c r="AF53">
        <v>6.9698584704536746</v>
      </c>
      <c r="AG53">
        <v>2105.968569566131</v>
      </c>
      <c r="AH53">
        <v>9.6627553723433941</v>
      </c>
      <c r="AI53">
        <v>1893.8948382528401</v>
      </c>
      <c r="AJ53">
        <v>6.9676628882948277</v>
      </c>
    </row>
    <row r="54" spans="4:36" x14ac:dyDescent="0.55000000000000004">
      <c r="D54">
        <v>47</v>
      </c>
      <c r="E54">
        <v>12.038748298066967</v>
      </c>
      <c r="F54">
        <v>0.40206084566307337</v>
      </c>
      <c r="G54">
        <v>0.15482826563054669</v>
      </c>
      <c r="H54">
        <v>17.404362590639408</v>
      </c>
      <c r="I54">
        <v>12.238488561436741</v>
      </c>
      <c r="J54">
        <v>0.26309576004639029</v>
      </c>
      <c r="K54">
        <v>0.1010085384017758</v>
      </c>
      <c r="L54">
        <v>17.397407140115092</v>
      </c>
      <c r="M54">
        <v>12.131741866834744</v>
      </c>
      <c r="N54">
        <v>0.33739481108705788</v>
      </c>
      <c r="O54">
        <v>0.12974266807399681</v>
      </c>
      <c r="P54">
        <v>17.40112065400421</v>
      </c>
      <c r="Q54">
        <v>12.144943863958074</v>
      </c>
      <c r="R54">
        <v>0.3282098075476006</v>
      </c>
      <c r="S54">
        <v>0.12618540165421949</v>
      </c>
      <c r="T54">
        <v>17.400660926840121</v>
      </c>
      <c r="U54">
        <v>1476.5522258977096</v>
      </c>
      <c r="V54">
        <v>9.4921021678456317</v>
      </c>
      <c r="W54">
        <v>1247.455020030417</v>
      </c>
      <c r="X54">
        <v>6.8713365845024494</v>
      </c>
      <c r="Y54">
        <v>2876.7727735875219</v>
      </c>
      <c r="Z54">
        <v>9.532766077937822</v>
      </c>
      <c r="AA54">
        <v>2720.7109032267549</v>
      </c>
      <c r="AB54">
        <v>6.8948688628044241</v>
      </c>
      <c r="AC54">
        <v>2182.2642653501125</v>
      </c>
      <c r="AD54">
        <v>9.511036243642625</v>
      </c>
      <c r="AE54">
        <v>1994.7703839161466</v>
      </c>
      <c r="AF54">
        <v>6.8823032759188036</v>
      </c>
      <c r="AG54">
        <v>2075.0672340111073</v>
      </c>
      <c r="AH54">
        <v>9.5137239587829328</v>
      </c>
      <c r="AI54">
        <v>1876.3309345122329</v>
      </c>
      <c r="AJ54">
        <v>6.8838586622937612</v>
      </c>
    </row>
    <row r="55" spans="4:36" x14ac:dyDescent="0.55000000000000004">
      <c r="D55">
        <v>48</v>
      </c>
      <c r="E55">
        <v>13.355340021589274</v>
      </c>
      <c r="F55">
        <v>0.50757745924788922</v>
      </c>
      <c r="G55">
        <v>0.16044457463462211</v>
      </c>
      <c r="H55">
        <v>15.976637944528212</v>
      </c>
      <c r="I55">
        <v>13.57475145590262</v>
      </c>
      <c r="J55">
        <v>0.34374872327314498</v>
      </c>
      <c r="K55">
        <v>0.10833382329105017</v>
      </c>
      <c r="L55">
        <v>15.973165997533179</v>
      </c>
      <c r="M55">
        <v>13.519654179874816</v>
      </c>
      <c r="N55">
        <v>0.38491250349570577</v>
      </c>
      <c r="O55">
        <v>0.12139748610384932</v>
      </c>
      <c r="P55">
        <v>15.974035830525622</v>
      </c>
      <c r="Q55">
        <v>13.424212524069215</v>
      </c>
      <c r="R55">
        <v>0.45617986476142919</v>
      </c>
      <c r="S55">
        <v>0.14406182257972946</v>
      </c>
      <c r="T55">
        <v>15.97554578858964</v>
      </c>
      <c r="U55">
        <v>1604.3885972742114</v>
      </c>
      <c r="V55">
        <v>10.613623873351029</v>
      </c>
      <c r="W55">
        <v>1321.3120379363975</v>
      </c>
      <c r="X55">
        <v>7.5245377419360056</v>
      </c>
      <c r="Y55">
        <v>2936.2730631261693</v>
      </c>
      <c r="Z55">
        <v>10.657804719955022</v>
      </c>
      <c r="AA55">
        <v>2750.5420099312996</v>
      </c>
      <c r="AB55">
        <v>7.5496833481153871</v>
      </c>
      <c r="AC55">
        <v>2286.222402065991</v>
      </c>
      <c r="AD55">
        <v>10.646711472021238</v>
      </c>
      <c r="AE55">
        <v>2057.506077938207</v>
      </c>
      <c r="AF55">
        <v>7.5433768396560525</v>
      </c>
      <c r="AG55">
        <v>2153.469358936884</v>
      </c>
      <c r="AH55">
        <v>10.627493446895912</v>
      </c>
      <c r="AI55">
        <v>1914.3981288598518</v>
      </c>
      <c r="AJ55">
        <v>7.5324399525069028</v>
      </c>
    </row>
    <row r="56" spans="4:36" x14ac:dyDescent="0.55000000000000004">
      <c r="D56">
        <v>49</v>
      </c>
      <c r="E56">
        <v>11.564726775904386</v>
      </c>
      <c r="F56">
        <v>0.47273892933435152</v>
      </c>
      <c r="G56">
        <v>0.18131692126824717</v>
      </c>
      <c r="H56">
        <v>17.781217373493007</v>
      </c>
      <c r="I56">
        <v>11.791832258661419</v>
      </c>
      <c r="J56">
        <v>0.2882330623712569</v>
      </c>
      <c r="K56">
        <v>0.11016776918767827</v>
      </c>
      <c r="L56">
        <v>17.80976690977965</v>
      </c>
      <c r="M56">
        <v>11.730842784553028</v>
      </c>
      <c r="N56">
        <v>0.3378053651469754</v>
      </c>
      <c r="O56">
        <v>0.12923480528005377</v>
      </c>
      <c r="P56">
        <v>17.802117045019948</v>
      </c>
      <c r="Q56">
        <v>11.662648012315175</v>
      </c>
      <c r="R56">
        <v>0.39321420754355618</v>
      </c>
      <c r="S56">
        <v>0.15058920902366119</v>
      </c>
      <c r="T56">
        <v>17.793548571117626</v>
      </c>
      <c r="U56">
        <v>1514.1225238495194</v>
      </c>
      <c r="V56">
        <v>9.1891013248633353</v>
      </c>
      <c r="W56">
        <v>1268.9686047631192</v>
      </c>
      <c r="X56">
        <v>6.6920113608315823</v>
      </c>
      <c r="Y56">
        <v>2869.1944298672338</v>
      </c>
      <c r="Z56">
        <v>9.2170130689563177</v>
      </c>
      <c r="AA56">
        <v>2713.1334513389302</v>
      </c>
      <c r="AB56">
        <v>6.7096887858208651</v>
      </c>
      <c r="AC56">
        <v>2193.3345733602268</v>
      </c>
      <c r="AD56">
        <v>9.2095078812296371</v>
      </c>
      <c r="AE56">
        <v>2002.7172026781327</v>
      </c>
      <c r="AF56">
        <v>6.7049452726678025</v>
      </c>
      <c r="AG56">
        <v>2082.8930090807867</v>
      </c>
      <c r="AH56">
        <v>9.2011242170191263</v>
      </c>
      <c r="AI56">
        <v>1876.7269437771897</v>
      </c>
      <c r="AJ56">
        <v>6.699638089893325</v>
      </c>
    </row>
    <row r="57" spans="4:36" x14ac:dyDescent="0.55000000000000004">
      <c r="D57">
        <v>50</v>
      </c>
      <c r="E57">
        <v>13.9446033891833</v>
      </c>
      <c r="F57">
        <v>0.53465772716153614</v>
      </c>
      <c r="G57">
        <v>0.17594485454526357</v>
      </c>
      <c r="H57">
        <v>15.344794029109892</v>
      </c>
      <c r="I57">
        <v>14.191202009196019</v>
      </c>
      <c r="J57">
        <v>0.35189125307164665</v>
      </c>
      <c r="K57">
        <v>0.1154516515750429</v>
      </c>
      <c r="L57">
        <v>15.3414550861573</v>
      </c>
      <c r="M57">
        <v>14.07731186970852</v>
      </c>
      <c r="N57">
        <v>0.43634064689876395</v>
      </c>
      <c r="O57">
        <v>0.14335720377675229</v>
      </c>
      <c r="P57">
        <v>15.34299027961597</v>
      </c>
      <c r="Q57">
        <v>14.039521704703848</v>
      </c>
      <c r="R57">
        <v>0.4643469763004191</v>
      </c>
      <c r="S57">
        <v>0.15262904548416148</v>
      </c>
      <c r="T57">
        <v>15.343502273511575</v>
      </c>
      <c r="U57">
        <v>1632.0594078324348</v>
      </c>
      <c r="V57">
        <v>10.953600081849793</v>
      </c>
      <c r="W57">
        <v>1334.8271334625135</v>
      </c>
      <c r="X57">
        <v>7.6998081342771476</v>
      </c>
      <c r="Y57">
        <v>2957.4646844027284</v>
      </c>
      <c r="Z57">
        <v>11.003249884609847</v>
      </c>
      <c r="AA57">
        <v>2762.2569938629845</v>
      </c>
      <c r="AB57">
        <v>7.7276839592702311</v>
      </c>
      <c r="AC57">
        <v>2282.7708715270055</v>
      </c>
      <c r="AD57">
        <v>10.980323234498346</v>
      </c>
      <c r="AE57">
        <v>2048.0268705532053</v>
      </c>
      <c r="AF57">
        <v>7.7148225050751194</v>
      </c>
      <c r="AG57">
        <v>2229.7808352344496</v>
      </c>
      <c r="AH57">
        <v>10.97271444307307</v>
      </c>
      <c r="AI57">
        <v>1964.3637414928651</v>
      </c>
      <c r="AJ57">
        <v>7.7105500671724529</v>
      </c>
    </row>
    <row r="58" spans="4:36" x14ac:dyDescent="0.55000000000000004">
      <c r="D58">
        <v>51</v>
      </c>
      <c r="E58">
        <v>13.331044713048435</v>
      </c>
      <c r="F58">
        <v>0.52479154792504457</v>
      </c>
      <c r="G58">
        <v>0.17766041175174305</v>
      </c>
      <c r="H58">
        <v>15.966503327274777</v>
      </c>
      <c r="I58">
        <v>13.581760041596635</v>
      </c>
      <c r="J58">
        <v>0.33478572618280505</v>
      </c>
      <c r="K58">
        <v>0.11296887096756174</v>
      </c>
      <c r="L58">
        <v>15.970485361252988</v>
      </c>
      <c r="M58">
        <v>13.509613675816306</v>
      </c>
      <c r="N58">
        <v>0.38949529729379917</v>
      </c>
      <c r="O58">
        <v>0.13155220682174948</v>
      </c>
      <c r="P58">
        <v>15.969338820068154</v>
      </c>
      <c r="Q58">
        <v>13.416569920296613</v>
      </c>
      <c r="R58">
        <v>0.46001227404867195</v>
      </c>
      <c r="S58">
        <v>0.15555684151704979</v>
      </c>
      <c r="T58">
        <v>15.967860964137676</v>
      </c>
      <c r="U58">
        <v>1607.3889233406253</v>
      </c>
      <c r="V58">
        <v>10.594141703678204</v>
      </c>
      <c r="W58">
        <v>1319.734779043622</v>
      </c>
      <c r="X58">
        <v>7.5099923643739146</v>
      </c>
      <c r="Y58">
        <v>2951.8441405286549</v>
      </c>
      <c r="Z58">
        <v>10.639221284956815</v>
      </c>
      <c r="AA58">
        <v>2760.7171138320737</v>
      </c>
      <c r="AB58">
        <v>7.535745208514756</v>
      </c>
      <c r="AC58">
        <v>2242.4313995932725</v>
      </c>
      <c r="AD58">
        <v>10.626250065636434</v>
      </c>
      <c r="AE58">
        <v>2024.1513981349824</v>
      </c>
      <c r="AF58">
        <v>7.5283443843756972</v>
      </c>
      <c r="AG58">
        <v>2203.6351724280953</v>
      </c>
      <c r="AH58">
        <v>10.609520540346859</v>
      </c>
      <c r="AI58">
        <v>1947.7316140500332</v>
      </c>
      <c r="AJ58">
        <v>7.5187881637944711</v>
      </c>
    </row>
    <row r="59" spans="4:36" x14ac:dyDescent="0.55000000000000004">
      <c r="D59">
        <v>52</v>
      </c>
      <c r="E59">
        <v>12.840159355146719</v>
      </c>
      <c r="F59">
        <v>0.45077204602664506</v>
      </c>
      <c r="G59">
        <v>0.17600039488959107</v>
      </c>
      <c r="H59">
        <v>16.533068203937045</v>
      </c>
      <c r="I59">
        <v>13.049666550740362</v>
      </c>
      <c r="J59">
        <v>0.29823717051049725</v>
      </c>
      <c r="K59">
        <v>0.11609517290362088</v>
      </c>
      <c r="L59">
        <v>16.536001105845521</v>
      </c>
      <c r="M59">
        <v>12.968820310672863</v>
      </c>
      <c r="N59">
        <v>0.35712848630256344</v>
      </c>
      <c r="O59">
        <v>0.13918040628650211</v>
      </c>
      <c r="P59">
        <v>16.53487079673808</v>
      </c>
      <c r="Q59">
        <v>12.900084517185544</v>
      </c>
      <c r="R59">
        <v>0.40716853542947135</v>
      </c>
      <c r="S59">
        <v>0.15883858556271158</v>
      </c>
      <c r="T59">
        <v>16.533908361822252</v>
      </c>
      <c r="U59">
        <v>1611.0157586878449</v>
      </c>
      <c r="V59">
        <v>10.081870269908885</v>
      </c>
      <c r="W59">
        <v>1330.0082755811</v>
      </c>
      <c r="X59">
        <v>7.2025342157037766</v>
      </c>
      <c r="Y59">
        <v>2929.9298797211104</v>
      </c>
      <c r="Z59">
        <v>10.117837937309247</v>
      </c>
      <c r="AA59">
        <v>2749.1560932395037</v>
      </c>
      <c r="AB59">
        <v>7.2234214295934542</v>
      </c>
      <c r="AC59">
        <v>2242.9662556335943</v>
      </c>
      <c r="AD59">
        <v>10.103957475935776</v>
      </c>
      <c r="AE59">
        <v>2028.4490225075317</v>
      </c>
      <c r="AF59">
        <v>7.215368931909377</v>
      </c>
      <c r="AG59">
        <v>2183.9204560895914</v>
      </c>
      <c r="AH59">
        <v>10.092157221927389</v>
      </c>
      <c r="AI59">
        <v>1939.3643822388958</v>
      </c>
      <c r="AJ59">
        <v>7.2085151550734325</v>
      </c>
    </row>
    <row r="60" spans="4:36" x14ac:dyDescent="0.55000000000000004">
      <c r="D60">
        <v>53</v>
      </c>
      <c r="E60">
        <v>11.933120707235338</v>
      </c>
      <c r="F60">
        <v>0.45986365912356197</v>
      </c>
      <c r="G60">
        <v>0.16623766788441319</v>
      </c>
      <c r="H60">
        <v>17.440777965756684</v>
      </c>
      <c r="I60">
        <v>12.18185203063949</v>
      </c>
      <c r="J60">
        <v>0.27203170337125104</v>
      </c>
      <c r="K60">
        <v>9.7964466976658768E-2</v>
      </c>
      <c r="L60">
        <v>17.448151799012603</v>
      </c>
      <c r="M60">
        <v>12.087858135171356</v>
      </c>
      <c r="N60">
        <v>0.34305251012400179</v>
      </c>
      <c r="O60">
        <v>0.12371729426179852</v>
      </c>
      <c r="P60">
        <v>17.445372060442846</v>
      </c>
      <c r="Q60">
        <v>12.049659244830815</v>
      </c>
      <c r="R60">
        <v>0.37190123711149703</v>
      </c>
      <c r="S60">
        <v>0.13419948005658078</v>
      </c>
      <c r="T60">
        <v>17.444240038001112</v>
      </c>
      <c r="U60">
        <v>1547.6415736998674</v>
      </c>
      <c r="V60">
        <v>9.5135681143656416</v>
      </c>
      <c r="W60">
        <v>1292.0630855239656</v>
      </c>
      <c r="X60">
        <v>6.8922164930715946</v>
      </c>
      <c r="Y60">
        <v>2889.4976974861893</v>
      </c>
      <c r="Z60">
        <v>9.5584336653151141</v>
      </c>
      <c r="AA60">
        <v>2727.6450655875174</v>
      </c>
      <c r="AB60">
        <v>6.9188336846818954</v>
      </c>
      <c r="AC60">
        <v>2186.2265855134874</v>
      </c>
      <c r="AD60">
        <v>9.541475716318141</v>
      </c>
      <c r="AE60">
        <v>1995.0956819897597</v>
      </c>
      <c r="AF60">
        <v>6.9087873605722274</v>
      </c>
      <c r="AG60">
        <v>2107.3154335490549</v>
      </c>
      <c r="AH60">
        <v>9.5345852765133383</v>
      </c>
      <c r="AI60">
        <v>1894.2166858976834</v>
      </c>
      <c r="AJ60">
        <v>6.9047003704111045</v>
      </c>
    </row>
    <row r="61" spans="4:36" x14ac:dyDescent="0.55000000000000004">
      <c r="D61">
        <v>54</v>
      </c>
      <c r="E61">
        <v>13.059288794046141</v>
      </c>
      <c r="F61">
        <v>0.44079399705086014</v>
      </c>
      <c r="G61">
        <v>0.19010627910152067</v>
      </c>
      <c r="H61">
        <v>16.309810929801472</v>
      </c>
      <c r="I61">
        <v>13.328577061354217</v>
      </c>
      <c r="J61">
        <v>0.27036307332904502</v>
      </c>
      <c r="K61">
        <v>0.11613826886989025</v>
      </c>
      <c r="L61">
        <v>16.284921596446832</v>
      </c>
      <c r="M61">
        <v>13.261678479983237</v>
      </c>
      <c r="N61">
        <v>0.31275015150955621</v>
      </c>
      <c r="O61">
        <v>0.13447860948104084</v>
      </c>
      <c r="P61">
        <v>16.291092759026164</v>
      </c>
      <c r="Q61">
        <v>13.158595072838105</v>
      </c>
      <c r="R61">
        <v>0.37800291427936877</v>
      </c>
      <c r="S61">
        <v>0.16278465110247059</v>
      </c>
      <c r="T61">
        <v>16.300617361780045</v>
      </c>
      <c r="U61">
        <v>1574.7683519505897</v>
      </c>
      <c r="V61">
        <v>10.254648885691797</v>
      </c>
      <c r="W61">
        <v>1304.6665204990352</v>
      </c>
      <c r="X61">
        <v>7.3052526614367048</v>
      </c>
      <c r="Y61">
        <v>2884.6238862281507</v>
      </c>
      <c r="Z61">
        <v>10.319528992588896</v>
      </c>
      <c r="AA61">
        <v>2718.8557949055139</v>
      </c>
      <c r="AB61">
        <v>7.341749909018227</v>
      </c>
      <c r="AC61">
        <v>2218.1162701198696</v>
      </c>
      <c r="AD61">
        <v>10.303417649329182</v>
      </c>
      <c r="AE61">
        <v>2014.0470705510463</v>
      </c>
      <c r="AF61">
        <v>7.332699070741552</v>
      </c>
      <c r="AG61">
        <v>2127.9114299022303</v>
      </c>
      <c r="AH61">
        <v>10.278583249123944</v>
      </c>
      <c r="AI61">
        <v>1901.444106560414</v>
      </c>
      <c r="AJ61">
        <v>7.3187320008179988</v>
      </c>
    </row>
    <row r="62" spans="4:36" x14ac:dyDescent="0.55000000000000004">
      <c r="D62">
        <v>55</v>
      </c>
      <c r="E62">
        <v>11.315727952155786</v>
      </c>
      <c r="F62">
        <v>0.42433251331219346</v>
      </c>
      <c r="G62">
        <v>0.15047492020999481</v>
      </c>
      <c r="H62">
        <v>18.109464614322011</v>
      </c>
      <c r="I62">
        <v>11.5144510506075</v>
      </c>
      <c r="J62">
        <v>0.26713742054267081</v>
      </c>
      <c r="K62">
        <v>9.4439960651999721E-2</v>
      </c>
      <c r="L62">
        <v>18.123971568197817</v>
      </c>
      <c r="M62">
        <v>11.442403489042361</v>
      </c>
      <c r="N62">
        <v>0.32415186751634306</v>
      </c>
      <c r="O62">
        <v>0.11472342897466171</v>
      </c>
      <c r="P62">
        <v>18.118721214466625</v>
      </c>
      <c r="Q62">
        <v>11.411730735534359</v>
      </c>
      <c r="R62">
        <v>0.34841668469035819</v>
      </c>
      <c r="S62">
        <v>0.12336975068601592</v>
      </c>
      <c r="T62">
        <v>18.116482829089286</v>
      </c>
      <c r="U62">
        <v>1440.8129979735875</v>
      </c>
      <c r="V62">
        <v>8.9084290054179487</v>
      </c>
      <c r="W62">
        <v>1227.2478286970018</v>
      </c>
      <c r="X62">
        <v>6.5221274752148473</v>
      </c>
      <c r="Y62">
        <v>2824.9803521341582</v>
      </c>
      <c r="Z62">
        <v>8.9394313960623215</v>
      </c>
      <c r="AA62">
        <v>2687.6007881319697</v>
      </c>
      <c r="AB62">
        <v>6.5411537904703776</v>
      </c>
      <c r="AC62">
        <v>2115.6249712227595</v>
      </c>
      <c r="AD62">
        <v>8.9281861373600577</v>
      </c>
      <c r="AE62">
        <v>1953.0120567708325</v>
      </c>
      <c r="AF62">
        <v>6.5342620765770318</v>
      </c>
      <c r="AG62">
        <v>2018.3170786772528</v>
      </c>
      <c r="AH62">
        <v>8.9234005118780821</v>
      </c>
      <c r="AI62">
        <v>1839.7812351548164</v>
      </c>
      <c r="AJ62">
        <v>6.5313259002419546</v>
      </c>
    </row>
    <row r="63" spans="4:36" x14ac:dyDescent="0.55000000000000004">
      <c r="D63">
        <v>56</v>
      </c>
      <c r="E63">
        <v>12.066604515454767</v>
      </c>
      <c r="F63">
        <v>0.42364930187937877</v>
      </c>
      <c r="G63">
        <v>0.1797326995535598</v>
      </c>
      <c r="H63">
        <v>17.330013483112285</v>
      </c>
      <c r="I63">
        <v>12.292298021831083</v>
      </c>
      <c r="J63">
        <v>0.26375271704672631</v>
      </c>
      <c r="K63">
        <v>0.11148644632344251</v>
      </c>
      <c r="L63">
        <v>17.332462814798742</v>
      </c>
      <c r="M63">
        <v>12.226010618363452</v>
      </c>
      <c r="N63">
        <v>0.31074843419501402</v>
      </c>
      <c r="O63">
        <v>0.13149224438239981</v>
      </c>
      <c r="P63">
        <v>17.331748703059137</v>
      </c>
      <c r="Q63">
        <v>12.170486469542579</v>
      </c>
      <c r="R63">
        <v>0.3500921506117215</v>
      </c>
      <c r="S63">
        <v>0.14827419182521573</v>
      </c>
      <c r="T63">
        <v>17.33114718802047</v>
      </c>
      <c r="U63">
        <v>1525.8456776227622</v>
      </c>
      <c r="V63">
        <v>9.5334339170042401</v>
      </c>
      <c r="W63">
        <v>1276.0484132939357</v>
      </c>
      <c r="X63">
        <v>6.8934859736008578</v>
      </c>
      <c r="Y63">
        <v>2881.428018503058</v>
      </c>
      <c r="Z63">
        <v>9.5753688933115768</v>
      </c>
      <c r="AA63">
        <v>2720.5211746303326</v>
      </c>
      <c r="AB63">
        <v>6.918361059980465</v>
      </c>
      <c r="AC63">
        <v>2193.097779501049</v>
      </c>
      <c r="AD63">
        <v>9.5630489735933644</v>
      </c>
      <c r="AE63">
        <v>2000.4770209239882</v>
      </c>
      <c r="AF63">
        <v>6.911063809243414</v>
      </c>
      <c r="AG63">
        <v>2109.1020513060635</v>
      </c>
      <c r="AH63">
        <v>9.5527316295621549</v>
      </c>
      <c r="AI63">
        <v>1894.7404462174718</v>
      </c>
      <c r="AJ63">
        <v>6.9049458928347311</v>
      </c>
    </row>
    <row r="64" spans="4:36" x14ac:dyDescent="0.55000000000000004">
      <c r="D64">
        <v>57</v>
      </c>
      <c r="E64">
        <v>11.598353552002644</v>
      </c>
      <c r="F64">
        <v>0.45113142881763757</v>
      </c>
      <c r="G64">
        <v>0.15892624513385181</v>
      </c>
      <c r="H64">
        <v>17.791588774045877</v>
      </c>
      <c r="I64">
        <v>11.804435194031832</v>
      </c>
      <c r="J64">
        <v>0.28833886233630418</v>
      </c>
      <c r="K64">
        <v>0.10124661109780467</v>
      </c>
      <c r="L64">
        <v>17.805979332534069</v>
      </c>
      <c r="M64">
        <v>11.747628699306853</v>
      </c>
      <c r="N64">
        <v>0.33323385601318994</v>
      </c>
      <c r="O64">
        <v>0.11711554110458164</v>
      </c>
      <c r="P64">
        <v>17.802021903575366</v>
      </c>
      <c r="Q64">
        <v>11.703464224335299</v>
      </c>
      <c r="R64">
        <v>0.36812660043323947</v>
      </c>
      <c r="S64">
        <v>0.1294688799959092</v>
      </c>
      <c r="T64">
        <v>17.798940295235568</v>
      </c>
      <c r="U64">
        <v>1479.3994278269345</v>
      </c>
      <c r="V64">
        <v>9.1140920446011329</v>
      </c>
      <c r="W64">
        <v>1247.8524093597011</v>
      </c>
      <c r="X64">
        <v>6.6369245155234617</v>
      </c>
      <c r="Y64">
        <v>2868.1254502154375</v>
      </c>
      <c r="Z64">
        <v>9.1422915311998896</v>
      </c>
      <c r="AA64">
        <v>2713.9329478968584</v>
      </c>
      <c r="AB64">
        <v>6.6543071976252195</v>
      </c>
      <c r="AC64">
        <v>2184.81108847001</v>
      </c>
      <c r="AD64">
        <v>9.1345127075397912</v>
      </c>
      <c r="AE64">
        <v>1998.7117933125244</v>
      </c>
      <c r="AF64">
        <v>6.6495201253821108</v>
      </c>
      <c r="AG64">
        <v>2056.4762014571529</v>
      </c>
      <c r="AH64">
        <v>9.1284679682755225</v>
      </c>
      <c r="AI64">
        <v>1861.5560304851674</v>
      </c>
      <c r="AJ64">
        <v>6.6457960550180797</v>
      </c>
    </row>
    <row r="65" spans="4:36" x14ac:dyDescent="0.55000000000000004">
      <c r="D65">
        <v>58</v>
      </c>
      <c r="E65">
        <v>12.18418338551025</v>
      </c>
      <c r="F65">
        <v>0.43173599198508078</v>
      </c>
      <c r="G65">
        <v>0.20228866574096108</v>
      </c>
      <c r="H65">
        <v>17.181791956763703</v>
      </c>
      <c r="I65">
        <v>12.422564539510558</v>
      </c>
      <c r="J65">
        <v>0.2658070579801633</v>
      </c>
      <c r="K65">
        <v>0.12406968435268875</v>
      </c>
      <c r="L65">
        <v>17.187558718156573</v>
      </c>
      <c r="M65">
        <v>12.332142937613177</v>
      </c>
      <c r="N65">
        <v>0.32878955988221736</v>
      </c>
      <c r="O65">
        <v>0.1536885444058872</v>
      </c>
      <c r="P65">
        <v>17.185378958098699</v>
      </c>
      <c r="Q65">
        <v>12.276188967437484</v>
      </c>
      <c r="R65">
        <v>0.36773757031361876</v>
      </c>
      <c r="S65">
        <v>0.1720480352759205</v>
      </c>
      <c r="T65">
        <v>17.18402542697298</v>
      </c>
      <c r="U65">
        <v>1550.8746780399897</v>
      </c>
      <c r="V65">
        <v>9.6648850858782271</v>
      </c>
      <c r="W65">
        <v>1292.2022573788238</v>
      </c>
      <c r="X65">
        <v>6.9723653007573452</v>
      </c>
      <c r="Y65">
        <v>2894.9316130635857</v>
      </c>
      <c r="Z65">
        <v>9.705489477624365</v>
      </c>
      <c r="AA65">
        <v>2729.2592850592937</v>
      </c>
      <c r="AB65">
        <v>6.9964854927713338</v>
      </c>
      <c r="AC65">
        <v>2210.7165471297212</v>
      </c>
      <c r="AD65">
        <v>9.6900829812794509</v>
      </c>
      <c r="AE65">
        <v>2010.6325634660818</v>
      </c>
      <c r="AF65">
        <v>6.9873460174900099</v>
      </c>
      <c r="AG65">
        <v>2115.8038795752063</v>
      </c>
      <c r="AH65">
        <v>9.6805520805717276</v>
      </c>
      <c r="AI65">
        <v>1896.9093337581523</v>
      </c>
      <c r="AJ65">
        <v>6.9816845003442696</v>
      </c>
    </row>
    <row r="66" spans="4:36" x14ac:dyDescent="0.55000000000000004">
      <c r="D66">
        <v>59</v>
      </c>
      <c r="E66">
        <v>11.826701348632129</v>
      </c>
      <c r="F66">
        <v>0.45203089032156507</v>
      </c>
      <c r="G66">
        <v>0.17046907110932566</v>
      </c>
      <c r="H66">
        <v>17.550798689936972</v>
      </c>
      <c r="I66">
        <v>12.020571835102366</v>
      </c>
      <c r="J66">
        <v>0.29523178239395748</v>
      </c>
      <c r="K66">
        <v>0.11099266993944075</v>
      </c>
      <c r="L66">
        <v>17.573203712564236</v>
      </c>
      <c r="M66">
        <v>11.936085739687401</v>
      </c>
      <c r="N66">
        <v>0.36358377929446023</v>
      </c>
      <c r="O66">
        <v>0.13687374878120284</v>
      </c>
      <c r="P66">
        <v>17.563456732236926</v>
      </c>
      <c r="Q66">
        <v>11.866699735694603</v>
      </c>
      <c r="R66">
        <v>0.41969497326526967</v>
      </c>
      <c r="S66">
        <v>0.15817287332711061</v>
      </c>
      <c r="T66">
        <v>17.555432417713032</v>
      </c>
      <c r="U66">
        <v>1493.6131146590333</v>
      </c>
      <c r="V66">
        <v>9.3184514535162712</v>
      </c>
      <c r="W66">
        <v>1255.3666089323494</v>
      </c>
      <c r="X66">
        <v>6.7597769951974298</v>
      </c>
      <c r="Y66">
        <v>2858.1627252498301</v>
      </c>
      <c r="Z66">
        <v>9.3427904922130303</v>
      </c>
      <c r="AA66">
        <v>2704.3056339668383</v>
      </c>
      <c r="AB66">
        <v>6.775248242586823</v>
      </c>
      <c r="AC66">
        <v>2199.3790949638556</v>
      </c>
      <c r="AD66">
        <v>9.3321737512910907</v>
      </c>
      <c r="AE66">
        <v>2004.700335621925</v>
      </c>
      <c r="AF66">
        <v>6.7685090031313537</v>
      </c>
      <c r="AG66">
        <v>2084.3126759492939</v>
      </c>
      <c r="AH66">
        <v>9.3234662007946874</v>
      </c>
      <c r="AI66">
        <v>1875.3836798339094</v>
      </c>
      <c r="AJ66">
        <v>6.7629708958414048</v>
      </c>
    </row>
    <row r="67" spans="4:36" x14ac:dyDescent="0.55000000000000004">
      <c r="D67">
        <v>60</v>
      </c>
      <c r="E67">
        <v>13.592800208482856</v>
      </c>
      <c r="F67">
        <v>0.47705423064177582</v>
      </c>
      <c r="G67">
        <v>0.16900733532487489</v>
      </c>
      <c r="H67">
        <v>15.761138225550482</v>
      </c>
      <c r="I67">
        <v>13.819709144033556</v>
      </c>
      <c r="J67">
        <v>0.32061857699904245</v>
      </c>
      <c r="K67">
        <v>0.11324566019511356</v>
      </c>
      <c r="L67">
        <v>15.74642661877229</v>
      </c>
      <c r="M67">
        <v>13.731549809129492</v>
      </c>
      <c r="N67">
        <v>0.3814349186209105</v>
      </c>
      <c r="O67">
        <v>0.13488329398004489</v>
      </c>
      <c r="P67">
        <v>15.752131978269549</v>
      </c>
      <c r="Q67">
        <v>13.681173054079078</v>
      </c>
      <c r="R67">
        <v>0.41616577969688689</v>
      </c>
      <c r="S67">
        <v>0.14726304768523152</v>
      </c>
      <c r="T67">
        <v>15.755398118538785</v>
      </c>
      <c r="U67">
        <v>1598.512227232683</v>
      </c>
      <c r="V67">
        <v>10.666805475309939</v>
      </c>
      <c r="W67">
        <v>1316.987601081594</v>
      </c>
      <c r="X67">
        <v>7.5395713961318398</v>
      </c>
      <c r="Y67">
        <v>2956.4441055715756</v>
      </c>
      <c r="Z67">
        <v>10.716990014624162</v>
      </c>
      <c r="AA67">
        <v>2764.9898585845081</v>
      </c>
      <c r="AB67">
        <v>7.5676001391541305</v>
      </c>
      <c r="AC67">
        <v>2274.078166158451</v>
      </c>
      <c r="AD67">
        <v>10.697497923836149</v>
      </c>
      <c r="AE67">
        <v>2047.2379645402345</v>
      </c>
      <c r="AF67">
        <v>7.5567229849437609</v>
      </c>
      <c r="AG67">
        <v>2173.8409464838342</v>
      </c>
      <c r="AH67">
        <v>10.686356315036807</v>
      </c>
      <c r="AI67">
        <v>1929.7928991483836</v>
      </c>
      <c r="AJ67">
        <v>7.5505002754071979</v>
      </c>
    </row>
    <row r="68" spans="4:36" x14ac:dyDescent="0.55000000000000004">
      <c r="D68">
        <v>61</v>
      </c>
      <c r="E68">
        <v>13.034344070664522</v>
      </c>
      <c r="F68">
        <v>0.44477829224298854</v>
      </c>
      <c r="G68">
        <v>0.16838842352839703</v>
      </c>
      <c r="H68">
        <v>16.352489213564102</v>
      </c>
      <c r="I68">
        <v>13.250906940486667</v>
      </c>
      <c r="J68">
        <v>0.29883731556862114</v>
      </c>
      <c r="K68">
        <v>0.11278246411926096</v>
      </c>
      <c r="L68">
        <v>16.337473279825442</v>
      </c>
      <c r="M68">
        <v>13.16378369944267</v>
      </c>
      <c r="N68">
        <v>0.35758609591402263</v>
      </c>
      <c r="O68">
        <v>0.13512415869490982</v>
      </c>
      <c r="P68">
        <v>16.343506045948413</v>
      </c>
      <c r="Q68">
        <v>13.126760901639566</v>
      </c>
      <c r="R68">
        <v>0.38253631888269529</v>
      </c>
      <c r="S68">
        <v>0.14462981668535421</v>
      </c>
      <c r="T68">
        <v>16.346072962792373</v>
      </c>
      <c r="U68">
        <v>1566.3483773249352</v>
      </c>
      <c r="V68">
        <v>10.325173566685356</v>
      </c>
      <c r="W68">
        <v>1299.2271570710798</v>
      </c>
      <c r="X68">
        <v>7.3594318126321907</v>
      </c>
      <c r="Y68">
        <v>2922.7710906578568</v>
      </c>
      <c r="Z68">
        <v>10.375726485941392</v>
      </c>
      <c r="AA68">
        <v>2744.502523280938</v>
      </c>
      <c r="AB68">
        <v>7.3879979087650165</v>
      </c>
      <c r="AC68">
        <v>2252.5197107593085</v>
      </c>
      <c r="AD68">
        <v>10.355393606383593</v>
      </c>
      <c r="AE68">
        <v>2035.9133654986829</v>
      </c>
      <c r="AF68">
        <v>7.3765185815553913</v>
      </c>
      <c r="AG68">
        <v>2160.8735681955109</v>
      </c>
      <c r="AH68">
        <v>10.346751349134683</v>
      </c>
      <c r="AI68">
        <v>1925.5106910548704</v>
      </c>
      <c r="AJ68">
        <v>7.3716352700134511</v>
      </c>
    </row>
    <row r="69" spans="4:36" x14ac:dyDescent="0.55000000000000004">
      <c r="D69">
        <v>62</v>
      </c>
      <c r="E69">
        <v>13.849447518050741</v>
      </c>
      <c r="F69">
        <v>0.51179549671392943</v>
      </c>
      <c r="G69">
        <v>0.18422031555185447</v>
      </c>
      <c r="H69">
        <v>15.45453666968349</v>
      </c>
      <c r="I69">
        <v>14.140793988077132</v>
      </c>
      <c r="J69">
        <v>0.31772246797412212</v>
      </c>
      <c r="K69">
        <v>0.11391678383266592</v>
      </c>
      <c r="L69">
        <v>15.427566760116079</v>
      </c>
      <c r="M69">
        <v>14.044402740674842</v>
      </c>
      <c r="N69">
        <v>0.38199076737730603</v>
      </c>
      <c r="O69">
        <v>0.137136219501301</v>
      </c>
      <c r="P69">
        <v>15.436470272446531</v>
      </c>
      <c r="Q69">
        <v>14.011190161674676</v>
      </c>
      <c r="R69">
        <v>0.40412145288396539</v>
      </c>
      <c r="S69">
        <v>0.14514589624871652</v>
      </c>
      <c r="T69">
        <v>15.43954248919264</v>
      </c>
      <c r="U69">
        <v>1647.806384054375</v>
      </c>
      <c r="V69">
        <v>10.967811979461013</v>
      </c>
      <c r="W69">
        <v>1345.2084128381307</v>
      </c>
      <c r="X69">
        <v>7.721051913753529</v>
      </c>
      <c r="Y69">
        <v>2955.9088420689009</v>
      </c>
      <c r="Z69">
        <v>11.036181671451738</v>
      </c>
      <c r="AA69">
        <v>2762.0396229000903</v>
      </c>
      <c r="AB69">
        <v>7.7589503399579236</v>
      </c>
      <c r="AC69">
        <v>2301.5432968699879</v>
      </c>
      <c r="AD69">
        <v>11.013572231381154</v>
      </c>
      <c r="AE69">
        <v>2063.2936836385907</v>
      </c>
      <c r="AF69">
        <v>7.746432102451192</v>
      </c>
      <c r="AG69">
        <v>2176.8561870377739</v>
      </c>
      <c r="AH69">
        <v>11.005779528784164</v>
      </c>
      <c r="AI69">
        <v>1929.2398364229171</v>
      </c>
      <c r="AJ69">
        <v>7.7421141844360042</v>
      </c>
    </row>
    <row r="70" spans="4:36" x14ac:dyDescent="0.55000000000000004">
      <c r="D70">
        <v>63</v>
      </c>
      <c r="E70">
        <v>11.620321580433417</v>
      </c>
      <c r="F70">
        <v>0.41985991041492682</v>
      </c>
      <c r="G70">
        <v>0.16283930939643396</v>
      </c>
      <c r="H70">
        <v>17.796979199755231</v>
      </c>
      <c r="I70">
        <v>11.812887466487993</v>
      </c>
      <c r="J70">
        <v>0.27213845889699084</v>
      </c>
      <c r="K70">
        <v>0.10522117832091089</v>
      </c>
      <c r="L70">
        <v>17.809752896294096</v>
      </c>
      <c r="M70">
        <v>11.727879542987903</v>
      </c>
      <c r="N70">
        <v>0.33737465930977606</v>
      </c>
      <c r="O70">
        <v>0.13062182404795275</v>
      </c>
      <c r="P70">
        <v>17.804123973654363</v>
      </c>
      <c r="Q70">
        <v>11.691527935352008</v>
      </c>
      <c r="R70">
        <v>0.36525943517093978</v>
      </c>
      <c r="S70">
        <v>0.14150054324809119</v>
      </c>
      <c r="T70">
        <v>17.801712086228953</v>
      </c>
      <c r="U70">
        <v>1496.4486694969128</v>
      </c>
      <c r="V70">
        <v>9.1752712858710517</v>
      </c>
      <c r="W70">
        <v>1261.6089490092741</v>
      </c>
      <c r="X70">
        <v>6.6824332917284996</v>
      </c>
      <c r="Y70">
        <v>2863.6369026940442</v>
      </c>
      <c r="Z70">
        <v>9.2043638842007631</v>
      </c>
      <c r="AA70">
        <v>2711.1598756154021</v>
      </c>
      <c r="AB70">
        <v>6.7002543457537529</v>
      </c>
      <c r="AC70">
        <v>2181.0321416234419</v>
      </c>
      <c r="AD70">
        <v>9.1915151592221118</v>
      </c>
      <c r="AE70">
        <v>1994.6465870794484</v>
      </c>
      <c r="AF70">
        <v>6.6923928446982899</v>
      </c>
      <c r="AG70">
        <v>2083.0251525562517</v>
      </c>
      <c r="AH70">
        <v>9.1860235183388195</v>
      </c>
      <c r="AI70">
        <v>1880.1910725950886</v>
      </c>
      <c r="AJ70">
        <v>6.6890283807262367</v>
      </c>
    </row>
    <row r="71" spans="4:36" x14ac:dyDescent="0.55000000000000004">
      <c r="D71">
        <v>64</v>
      </c>
      <c r="E71">
        <v>12.640235137534422</v>
      </c>
      <c r="F71">
        <v>0.48891224034945308</v>
      </c>
      <c r="G71">
        <v>0.16616178532798243</v>
      </c>
      <c r="H71">
        <v>16.704690836788146</v>
      </c>
      <c r="I71">
        <v>12.860108580846587</v>
      </c>
      <c r="J71">
        <v>0.31853443342567844</v>
      </c>
      <c r="K71">
        <v>0.10792141846038487</v>
      </c>
      <c r="L71">
        <v>16.713435567267361</v>
      </c>
      <c r="M71">
        <v>12.785396938180705</v>
      </c>
      <c r="N71">
        <v>0.37645498479332246</v>
      </c>
      <c r="O71">
        <v>0.12767930922642673</v>
      </c>
      <c r="P71">
        <v>16.710468767799551</v>
      </c>
      <c r="Q71">
        <v>12.75266708992848</v>
      </c>
      <c r="R71">
        <v>0.4018201630533888</v>
      </c>
      <c r="S71">
        <v>0.13634516905151187</v>
      </c>
      <c r="T71">
        <v>16.709167577966639</v>
      </c>
      <c r="U71">
        <v>1562.8721318938408</v>
      </c>
      <c r="V71">
        <v>10.017053398127334</v>
      </c>
      <c r="W71">
        <v>1297.0535491622534</v>
      </c>
      <c r="X71">
        <v>7.1748870097745643</v>
      </c>
      <c r="Y71">
        <v>2907.3941551158346</v>
      </c>
      <c r="Z71">
        <v>10.051848480819158</v>
      </c>
      <c r="AA71">
        <v>2734.4289446010243</v>
      </c>
      <c r="AB71">
        <v>7.1952836974426484</v>
      </c>
      <c r="AC71">
        <v>2218.2734971729205</v>
      </c>
      <c r="AD71">
        <v>10.0400233241738</v>
      </c>
      <c r="AE71">
        <v>2012.8272285386331</v>
      </c>
      <c r="AF71">
        <v>7.1883602278800343</v>
      </c>
      <c r="AG71">
        <v>2089.0171047259073</v>
      </c>
      <c r="AH71">
        <v>10.034843578803059</v>
      </c>
      <c r="AI71">
        <v>1875.5340647479534</v>
      </c>
      <c r="AJ71">
        <v>7.1853248564280339</v>
      </c>
    </row>
    <row r="72" spans="4:36" x14ac:dyDescent="0.55000000000000004">
      <c r="D72">
        <v>65</v>
      </c>
      <c r="E72">
        <v>12.740238749539882</v>
      </c>
      <c r="F72">
        <v>0.47513679073422993</v>
      </c>
      <c r="G72">
        <v>0.16539338313088633</v>
      </c>
      <c r="H72">
        <v>16.619231076595003</v>
      </c>
      <c r="I72">
        <v>12.980021666623493</v>
      </c>
      <c r="J72">
        <v>0.29747362616218281</v>
      </c>
      <c r="K72">
        <v>0.10320005180275513</v>
      </c>
      <c r="L72">
        <v>16.619304655411575</v>
      </c>
      <c r="M72">
        <v>12.906485928431014</v>
      </c>
      <c r="N72">
        <v>0.35199280472008587</v>
      </c>
      <c r="O72">
        <v>0.12223991273834738</v>
      </c>
      <c r="P72">
        <v>16.619281354110562</v>
      </c>
      <c r="Q72">
        <v>12.862804482830358</v>
      </c>
      <c r="R72">
        <v>0.38436388164062635</v>
      </c>
      <c r="S72">
        <v>0.13356381636075124</v>
      </c>
      <c r="T72">
        <v>16.619267819168282</v>
      </c>
      <c r="U72">
        <v>1552.762130473996</v>
      </c>
      <c r="V72">
        <v>10.006545577231476</v>
      </c>
      <c r="W72">
        <v>1290.3759407722291</v>
      </c>
      <c r="X72">
        <v>7.1586074807798523</v>
      </c>
      <c r="Y72">
        <v>2907.1984957407653</v>
      </c>
      <c r="Z72">
        <v>10.049606078710015</v>
      </c>
      <c r="AA72">
        <v>2735.6037015284951</v>
      </c>
      <c r="AB72">
        <v>7.1834689625026966</v>
      </c>
      <c r="AC72">
        <v>2229.8501637940526</v>
      </c>
      <c r="AD72">
        <v>10.036400814522167</v>
      </c>
      <c r="AE72">
        <v>2022.6592736357456</v>
      </c>
      <c r="AF72">
        <v>7.175854495192584</v>
      </c>
      <c r="AG72">
        <v>2119.2769279122899</v>
      </c>
      <c r="AH72">
        <v>10.028556514647567</v>
      </c>
      <c r="AI72">
        <v>1898.2804746363552</v>
      </c>
      <c r="AJ72">
        <v>7.1713272276762972</v>
      </c>
    </row>
    <row r="73" spans="4:36" x14ac:dyDescent="0.55000000000000004">
      <c r="D73">
        <v>66</v>
      </c>
      <c r="E73">
        <v>12.364644135682413</v>
      </c>
      <c r="F73">
        <v>0.44773591039888266</v>
      </c>
      <c r="G73">
        <v>0.1511648107323455</v>
      </c>
      <c r="H73">
        <v>17.036455143186366</v>
      </c>
      <c r="I73">
        <v>12.590096560831284</v>
      </c>
      <c r="J73">
        <v>0.28093292670869974</v>
      </c>
      <c r="K73">
        <v>9.4534928895671319E-2</v>
      </c>
      <c r="L73">
        <v>17.034435583564338</v>
      </c>
      <c r="M73">
        <v>12.482836816706595</v>
      </c>
      <c r="N73">
        <v>0.36032617151775459</v>
      </c>
      <c r="O73">
        <v>0.12144159523210601</v>
      </c>
      <c r="P73">
        <v>17.035395416543551</v>
      </c>
      <c r="Q73">
        <v>12.460409537934868</v>
      </c>
      <c r="R73">
        <v>0.37691848694213764</v>
      </c>
      <c r="S73">
        <v>0.12707564008499175</v>
      </c>
      <c r="T73">
        <v>17.03559633503799</v>
      </c>
      <c r="U73">
        <v>1552.5254272653269</v>
      </c>
      <c r="V73">
        <v>9.704527222707755</v>
      </c>
      <c r="W73">
        <v>1296.0048769447999</v>
      </c>
      <c r="X73">
        <v>6.9845836250394724</v>
      </c>
      <c r="Y73">
        <v>2895.4897964241768</v>
      </c>
      <c r="Z73">
        <v>9.7439722633803605</v>
      </c>
      <c r="AA73">
        <v>2730.8258668442327</v>
      </c>
      <c r="AB73">
        <v>7.0074595388158407</v>
      </c>
      <c r="AC73">
        <v>2217.0762252441568</v>
      </c>
      <c r="AD73">
        <v>9.7252067425413244</v>
      </c>
      <c r="AE73">
        <v>2015.7391892147671</v>
      </c>
      <c r="AF73">
        <v>6.9965869524163642</v>
      </c>
      <c r="AG73">
        <v>2084.851685169303</v>
      </c>
      <c r="AH73">
        <v>9.7212828657862538</v>
      </c>
      <c r="AI73">
        <v>1877.0733700066876</v>
      </c>
      <c r="AJ73">
        <v>6.9943111238207383</v>
      </c>
    </row>
    <row r="74" spans="4:36" x14ac:dyDescent="0.55000000000000004">
      <c r="D74">
        <v>67</v>
      </c>
      <c r="E74">
        <v>14.348696555025114</v>
      </c>
      <c r="F74">
        <v>0.55037911716940024</v>
      </c>
      <c r="G74">
        <v>0.1743715258310479</v>
      </c>
      <c r="H74">
        <v>14.926552801974434</v>
      </c>
      <c r="I74">
        <v>14.642828257367938</v>
      </c>
      <c r="J74">
        <v>0.34657731454618013</v>
      </c>
      <c r="K74">
        <v>0.10939095051555554</v>
      </c>
      <c r="L74">
        <v>14.901203477570334</v>
      </c>
      <c r="M74">
        <v>14.540331031720028</v>
      </c>
      <c r="N74">
        <v>0.41765443711802397</v>
      </c>
      <c r="O74">
        <v>0.13199696921417553</v>
      </c>
      <c r="P74">
        <v>14.910017561947763</v>
      </c>
      <c r="Q74">
        <v>14.503609343320313</v>
      </c>
      <c r="R74">
        <v>0.44310435059891745</v>
      </c>
      <c r="S74">
        <v>0.14010587540159508</v>
      </c>
      <c r="T74">
        <v>14.913180430679175</v>
      </c>
      <c r="U74">
        <v>1666.7929409008434</v>
      </c>
      <c r="V74">
        <v>11.37327682409828</v>
      </c>
      <c r="W74">
        <v>1356.2160229225374</v>
      </c>
      <c r="X74">
        <v>7.9518923826672472</v>
      </c>
      <c r="Y74">
        <v>2969.6404602187217</v>
      </c>
      <c r="Z74">
        <v>11.443979302636764</v>
      </c>
      <c r="AA74">
        <v>2769.7956579342344</v>
      </c>
      <c r="AB74">
        <v>7.9908121709181898</v>
      </c>
      <c r="AC74">
        <v>2311.6265148067459</v>
      </c>
      <c r="AD74">
        <v>11.419352617871343</v>
      </c>
      <c r="AE74">
        <v>2067.9687554068014</v>
      </c>
      <c r="AF74">
        <v>7.9772703766860342</v>
      </c>
      <c r="AG74">
        <v>2200.9267971456206</v>
      </c>
      <c r="AH74">
        <v>11.4105266926447</v>
      </c>
      <c r="AI74">
        <v>1943.5951878697247</v>
      </c>
      <c r="AJ74">
        <v>7.9724133934026762</v>
      </c>
    </row>
    <row r="75" spans="4:36" x14ac:dyDescent="0.55000000000000004">
      <c r="D75">
        <v>68</v>
      </c>
      <c r="E75">
        <v>12.660696935010364</v>
      </c>
      <c r="F75">
        <v>0.45040744361910168</v>
      </c>
      <c r="G75">
        <v>0.16520486803007936</v>
      </c>
      <c r="H75">
        <v>16.723690753340449</v>
      </c>
      <c r="I75">
        <v>12.882190567162402</v>
      </c>
      <c r="J75">
        <v>0.28775031130198325</v>
      </c>
      <c r="K75">
        <v>0.10520231672890538</v>
      </c>
      <c r="L75">
        <v>16.724856804806723</v>
      </c>
      <c r="M75">
        <v>12.792901534337412</v>
      </c>
      <c r="N75">
        <v>0.35335475137353095</v>
      </c>
      <c r="O75">
        <v>0.12935567791276611</v>
      </c>
      <c r="P75">
        <v>16.7243880363763</v>
      </c>
      <c r="Q75">
        <v>12.740387856473692</v>
      </c>
      <c r="R75">
        <v>0.39191757075257017</v>
      </c>
      <c r="S75">
        <v>0.14358304656527354</v>
      </c>
      <c r="T75">
        <v>16.724111526208478</v>
      </c>
      <c r="U75">
        <v>1517.93794055749</v>
      </c>
      <c r="V75">
        <v>10.034519099066831</v>
      </c>
      <c r="W75">
        <v>1267.655658989147</v>
      </c>
      <c r="X75">
        <v>7.1902181934371976</v>
      </c>
      <c r="Y75">
        <v>2912.0436320538533</v>
      </c>
      <c r="Z75">
        <v>10.077476839498594</v>
      </c>
      <c r="AA75">
        <v>2740.1978212928802</v>
      </c>
      <c r="AB75">
        <v>7.2151557493589848</v>
      </c>
      <c r="AC75">
        <v>2199.475579149404</v>
      </c>
      <c r="AD75">
        <v>10.060158924515667</v>
      </c>
      <c r="AE75">
        <v>2001.1255939341363</v>
      </c>
      <c r="AF75">
        <v>7.205113066896403</v>
      </c>
      <c r="AG75">
        <v>2086.7544585794808</v>
      </c>
      <c r="AH75">
        <v>10.049974149716263</v>
      </c>
      <c r="AI75">
        <v>1874.7307205129503</v>
      </c>
      <c r="AJ75">
        <v>7.1992002377191904</v>
      </c>
    </row>
    <row r="76" spans="4:36" x14ac:dyDescent="0.55000000000000004">
      <c r="D76">
        <v>69</v>
      </c>
      <c r="E76">
        <v>11.487924287344143</v>
      </c>
      <c r="F76">
        <v>0.42541413210876527</v>
      </c>
      <c r="G76">
        <v>0.15448915336969307</v>
      </c>
      <c r="H76">
        <v>17.932172427177399</v>
      </c>
      <c r="I76">
        <v>11.6515216889798</v>
      </c>
      <c r="J76">
        <v>0.29098590758481557</v>
      </c>
      <c r="K76">
        <v>0.1053976910258991</v>
      </c>
      <c r="L76">
        <v>17.952094712409476</v>
      </c>
      <c r="M76">
        <v>11.580159696710783</v>
      </c>
      <c r="N76">
        <v>0.34963855809019956</v>
      </c>
      <c r="O76">
        <v>0.12678516946822183</v>
      </c>
      <c r="P76">
        <v>17.943416575730797</v>
      </c>
      <c r="Q76">
        <v>11.542161634347886</v>
      </c>
      <c r="R76">
        <v>0.38086021750499738</v>
      </c>
      <c r="S76">
        <v>0.13819001047791893</v>
      </c>
      <c r="T76">
        <v>17.938788137669199</v>
      </c>
      <c r="U76">
        <v>1474.3843296354389</v>
      </c>
      <c r="V76">
        <v>9.1299324514701521</v>
      </c>
      <c r="W76">
        <v>1247.1372985377589</v>
      </c>
      <c r="X76">
        <v>6.6627620543358974</v>
      </c>
      <c r="Y76">
        <v>2870.8343100896645</v>
      </c>
      <c r="Z76">
        <v>9.1494618877000917</v>
      </c>
      <c r="AA76">
        <v>2716.3650846678961</v>
      </c>
      <c r="AB76">
        <v>6.6753170319010824</v>
      </c>
      <c r="AC76">
        <v>2166.6255695969553</v>
      </c>
      <c r="AD76">
        <v>9.1409357635778559</v>
      </c>
      <c r="AE76">
        <v>1984.854743842197</v>
      </c>
      <c r="AF76">
        <v>6.66984257123673</v>
      </c>
      <c r="AG76">
        <v>2076.0249091830542</v>
      </c>
      <c r="AH76">
        <v>9.1364004555787108</v>
      </c>
      <c r="AI76">
        <v>1875.7194562242937</v>
      </c>
      <c r="AJ76">
        <v>6.6669262790180621</v>
      </c>
    </row>
    <row r="77" spans="4:36" x14ac:dyDescent="0.55000000000000004">
      <c r="D77">
        <v>70</v>
      </c>
      <c r="E77">
        <v>11.415400331274837</v>
      </c>
      <c r="F77">
        <v>0.44278915683950959</v>
      </c>
      <c r="G77">
        <v>0.16375301073257098</v>
      </c>
      <c r="H77">
        <v>17.978057501153081</v>
      </c>
      <c r="I77">
        <v>11.613922455950492</v>
      </c>
      <c r="J77">
        <v>0.28107497705188589</v>
      </c>
      <c r="K77">
        <v>0.10361629291336683</v>
      </c>
      <c r="L77">
        <v>18.001386274084258</v>
      </c>
      <c r="M77">
        <v>11.533509037134905</v>
      </c>
      <c r="N77">
        <v>0.34660049949127136</v>
      </c>
      <c r="O77">
        <v>0.12793645795596223</v>
      </c>
      <c r="P77">
        <v>17.991954005417874</v>
      </c>
      <c r="Q77">
        <v>11.486518368335062</v>
      </c>
      <c r="R77">
        <v>0.38487768539407147</v>
      </c>
      <c r="S77">
        <v>0.14217267972223055</v>
      </c>
      <c r="T77">
        <v>17.986431266548646</v>
      </c>
      <c r="U77">
        <v>1489.0919633260169</v>
      </c>
      <c r="V77">
        <v>9.0243414639943325</v>
      </c>
      <c r="W77">
        <v>1254.8172146616869</v>
      </c>
      <c r="X77">
        <v>6.5910710997364079</v>
      </c>
      <c r="Y77">
        <v>2861.5430916710593</v>
      </c>
      <c r="Z77">
        <v>9.0474052301218677</v>
      </c>
      <c r="AA77">
        <v>2709.2435693261527</v>
      </c>
      <c r="AB77">
        <v>6.6058520463579473</v>
      </c>
      <c r="AC77">
        <v>2166.6647496808414</v>
      </c>
      <c r="AD77">
        <v>9.0380532129229341</v>
      </c>
      <c r="AE77">
        <v>1983.7448791831541</v>
      </c>
      <c r="AF77">
        <v>6.5998679822306991</v>
      </c>
      <c r="AG77">
        <v>2085.7356298787317</v>
      </c>
      <c r="AH77">
        <v>9.0325943953287169</v>
      </c>
      <c r="AI77">
        <v>1881.0020603778235</v>
      </c>
      <c r="AJ77">
        <v>6.5963691611375088</v>
      </c>
    </row>
    <row r="78" spans="4:36" x14ac:dyDescent="0.55000000000000004">
      <c r="D78">
        <v>71</v>
      </c>
      <c r="E78">
        <v>11.754584695675032</v>
      </c>
      <c r="F78">
        <v>0.49777230200195272</v>
      </c>
      <c r="G78">
        <v>0.16032066457537783</v>
      </c>
      <c r="H78">
        <v>17.587322337747644</v>
      </c>
      <c r="I78">
        <v>11.95380639332938</v>
      </c>
      <c r="J78">
        <v>0.32276072498977149</v>
      </c>
      <c r="K78">
        <v>0.10364601389936909</v>
      </c>
      <c r="L78">
        <v>17.619786867781485</v>
      </c>
      <c r="M78">
        <v>11.891563094622573</v>
      </c>
      <c r="N78">
        <v>0.37745307977241221</v>
      </c>
      <c r="O78">
        <v>0.12132074400708971</v>
      </c>
      <c r="P78">
        <v>17.609663081597926</v>
      </c>
      <c r="Q78">
        <v>11.863971747555425</v>
      </c>
      <c r="R78">
        <v>0.40169344132932233</v>
      </c>
      <c r="S78">
        <v>0.12916497563262491</v>
      </c>
      <c r="T78">
        <v>17.605169835482624</v>
      </c>
      <c r="U78">
        <v>1542.8245119631511</v>
      </c>
      <c r="V78">
        <v>9.2309669878659957</v>
      </c>
      <c r="W78">
        <v>1283.9773364640585</v>
      </c>
      <c r="X78">
        <v>6.6978828654459646</v>
      </c>
      <c r="Y78">
        <v>2896.8245912752645</v>
      </c>
      <c r="Z78">
        <v>9.2443116148692841</v>
      </c>
      <c r="AA78">
        <v>2727.9094851904929</v>
      </c>
      <c r="AB78">
        <v>6.7072243877729489</v>
      </c>
      <c r="AC78">
        <v>2199.7273358240641</v>
      </c>
      <c r="AD78">
        <v>9.2401311163608213</v>
      </c>
      <c r="AE78">
        <v>2001.077990755919</v>
      </c>
      <c r="AF78">
        <v>6.7043053746650099</v>
      </c>
      <c r="AG78">
        <v>2107.9320420332724</v>
      </c>
      <c r="AH78">
        <v>9.2382812188673888</v>
      </c>
      <c r="AI78">
        <v>1891.1661181562599</v>
      </c>
      <c r="AJ78">
        <v>6.7030115501324286</v>
      </c>
    </row>
    <row r="79" spans="4:36" x14ac:dyDescent="0.55000000000000004">
      <c r="D79">
        <v>72</v>
      </c>
      <c r="E79">
        <v>12.342709035182629</v>
      </c>
      <c r="F79">
        <v>0.45059051393704691</v>
      </c>
      <c r="G79">
        <v>0.16276673173725295</v>
      </c>
      <c r="H79">
        <v>17.043933719143048</v>
      </c>
      <c r="I79">
        <v>12.562860446132044</v>
      </c>
      <c r="J79">
        <v>0.28576338552204311</v>
      </c>
      <c r="K79">
        <v>0.10288702670037496</v>
      </c>
      <c r="L79">
        <v>17.048489141645536</v>
      </c>
      <c r="M79">
        <v>12.456275601858838</v>
      </c>
      <c r="N79">
        <v>0.36559701320396615</v>
      </c>
      <c r="O79">
        <v>0.13183969137511992</v>
      </c>
      <c r="P79">
        <v>17.046287693562082</v>
      </c>
      <c r="Q79">
        <v>12.418453120516615</v>
      </c>
      <c r="R79">
        <v>0.39391146278408684</v>
      </c>
      <c r="S79">
        <v>0.1421307369133977</v>
      </c>
      <c r="T79">
        <v>17.0455046797859</v>
      </c>
      <c r="U79">
        <v>1509.2465088846623</v>
      </c>
      <c r="V79">
        <v>9.7052108997316555</v>
      </c>
      <c r="W79">
        <v>1262.0623973795653</v>
      </c>
      <c r="X79">
        <v>6.9859548801246909</v>
      </c>
      <c r="Y79">
        <v>2884.5465218849145</v>
      </c>
      <c r="Z79">
        <v>9.7408937728946992</v>
      </c>
      <c r="AA79">
        <v>2721.091867229045</v>
      </c>
      <c r="AB79">
        <v>7.0068939383195028</v>
      </c>
      <c r="AC79">
        <v>2224.2009731340036</v>
      </c>
      <c r="AD79">
        <v>9.7236163640614155</v>
      </c>
      <c r="AE79">
        <v>2018.6097342002956</v>
      </c>
      <c r="AF79">
        <v>6.9967652328069301</v>
      </c>
      <c r="AG79">
        <v>2105.6385138365281</v>
      </c>
      <c r="AH79">
        <v>9.717486139558412</v>
      </c>
      <c r="AI79">
        <v>1888.797047072861</v>
      </c>
      <c r="AJ79">
        <v>6.9931670242430117</v>
      </c>
    </row>
    <row r="80" spans="4:36" x14ac:dyDescent="0.55000000000000004">
      <c r="D80">
        <v>73</v>
      </c>
      <c r="E80">
        <v>11.326520560321539</v>
      </c>
      <c r="F80">
        <v>0.40316155972718104</v>
      </c>
      <c r="G80">
        <v>0.1504006395114047</v>
      </c>
      <c r="H80">
        <v>18.119917240439865</v>
      </c>
      <c r="I80">
        <v>11.504210616481414</v>
      </c>
      <c r="J80">
        <v>0.26803062671033795</v>
      </c>
      <c r="K80">
        <v>9.9711520412410964E-2</v>
      </c>
      <c r="L80">
        <v>18.128047236395847</v>
      </c>
      <c r="M80">
        <v>11.458092900545083</v>
      </c>
      <c r="N80">
        <v>0.3031195691419234</v>
      </c>
      <c r="O80">
        <v>0.11284632576156164</v>
      </c>
      <c r="P80">
        <v>18.125941204551417</v>
      </c>
      <c r="Q80">
        <v>11.410886474509327</v>
      </c>
      <c r="R80">
        <v>0.33902453806056332</v>
      </c>
      <c r="S80">
        <v>0.12630644714527683</v>
      </c>
      <c r="T80">
        <v>18.123782540284832</v>
      </c>
      <c r="U80">
        <v>1448.6684674618721</v>
      </c>
      <c r="V80">
        <v>8.9775019910416187</v>
      </c>
      <c r="W80">
        <v>1233.1632106379486</v>
      </c>
      <c r="X80">
        <v>6.5726298720227927</v>
      </c>
      <c r="Y80">
        <v>2840.260748074887</v>
      </c>
      <c r="Z80">
        <v>9.0054081165644497</v>
      </c>
      <c r="AA80">
        <v>2697.8261855581977</v>
      </c>
      <c r="AB80">
        <v>6.5895719283089615</v>
      </c>
      <c r="AC80">
        <v>2130.1737343664336</v>
      </c>
      <c r="AD80">
        <v>8.9981629057571997</v>
      </c>
      <c r="AE80">
        <v>1964.1897483037656</v>
      </c>
      <c r="AF80">
        <v>6.5851793336120261</v>
      </c>
      <c r="AG80">
        <v>2037.4950294415009</v>
      </c>
      <c r="AH80">
        <v>8.9907484275402236</v>
      </c>
      <c r="AI80">
        <v>1853.4052312965675</v>
      </c>
      <c r="AJ80">
        <v>6.5806797530170256</v>
      </c>
    </row>
    <row r="81" spans="4:36" x14ac:dyDescent="0.55000000000000004">
      <c r="D81">
        <v>74</v>
      </c>
      <c r="E81">
        <v>12.903348805415165</v>
      </c>
      <c r="F81">
        <v>0.40165225840655083</v>
      </c>
      <c r="G81">
        <v>0.15016192659636937</v>
      </c>
      <c r="H81">
        <v>16.544837009581908</v>
      </c>
      <c r="I81">
        <v>13.100591895555121</v>
      </c>
      <c r="J81">
        <v>0.27204168894281183</v>
      </c>
      <c r="K81">
        <v>0.10141862397560551</v>
      </c>
      <c r="L81">
        <v>16.525947791526473</v>
      </c>
      <c r="M81">
        <v>12.993874977583051</v>
      </c>
      <c r="N81">
        <v>0.34219924622421072</v>
      </c>
      <c r="O81">
        <v>0.12776839575595</v>
      </c>
      <c r="P81">
        <v>16.536157380436794</v>
      </c>
      <c r="Q81">
        <v>12.933332567986776</v>
      </c>
      <c r="R81">
        <v>0.38196662242456436</v>
      </c>
      <c r="S81">
        <v>0.14274058051588567</v>
      </c>
      <c r="T81">
        <v>16.541960229072775</v>
      </c>
      <c r="U81">
        <v>1544.3347406381733</v>
      </c>
      <c r="V81">
        <v>10.189692963626349</v>
      </c>
      <c r="W81">
        <v>1291.2472898698827</v>
      </c>
      <c r="X81">
        <v>7.2822174427128799</v>
      </c>
      <c r="Y81">
        <v>2882.2614449449011</v>
      </c>
      <c r="Z81">
        <v>10.238072526090626</v>
      </c>
      <c r="AA81">
        <v>2720.5846073257699</v>
      </c>
      <c r="AB81">
        <v>7.3093575302238678</v>
      </c>
      <c r="AC81">
        <v>2240.6554718292523</v>
      </c>
      <c r="AD81">
        <v>10.2119033774963</v>
      </c>
      <c r="AE81">
        <v>2032.3847475420703</v>
      </c>
      <c r="AF81">
        <v>7.2946859969513795</v>
      </c>
      <c r="AG81">
        <v>2135.0689844438593</v>
      </c>
      <c r="AH81">
        <v>10.197050602137717</v>
      </c>
      <c r="AI81">
        <v>1911.2469408264947</v>
      </c>
      <c r="AJ81">
        <v>7.2863495830900709</v>
      </c>
    </row>
    <row r="82" spans="4:36" x14ac:dyDescent="0.55000000000000004">
      <c r="D82">
        <v>75</v>
      </c>
      <c r="E82">
        <v>13.996361225737708</v>
      </c>
      <c r="F82">
        <v>0.5257124037721479</v>
      </c>
      <c r="G82">
        <v>0.20359092332737858</v>
      </c>
      <c r="H82">
        <v>15.274335447162763</v>
      </c>
      <c r="I82">
        <v>14.219930449684457</v>
      </c>
      <c r="J82">
        <v>0.3631557449741325</v>
      </c>
      <c r="K82">
        <v>0.14021008384106523</v>
      </c>
      <c r="L82">
        <v>15.27670372150035</v>
      </c>
      <c r="M82">
        <v>14.13827449761996</v>
      </c>
      <c r="N82">
        <v>0.42255927722559294</v>
      </c>
      <c r="O82">
        <v>0.16332602325213424</v>
      </c>
      <c r="P82">
        <v>15.275840201902302</v>
      </c>
      <c r="Q82">
        <v>14.12035133929346</v>
      </c>
      <c r="R82">
        <v>0.43559325854711567</v>
      </c>
      <c r="S82">
        <v>0.16840496385023962</v>
      </c>
      <c r="T82">
        <v>15.275650438309185</v>
      </c>
      <c r="U82">
        <v>1647.5925613320953</v>
      </c>
      <c r="V82">
        <v>11.023277019267123</v>
      </c>
      <c r="W82">
        <v>1340.2074439976884</v>
      </c>
      <c r="X82">
        <v>7.7403191026535287</v>
      </c>
      <c r="Y82">
        <v>2956.3114421246551</v>
      </c>
      <c r="Z82">
        <v>11.064973616696154</v>
      </c>
      <c r="AA82">
        <v>2756.3975763918415</v>
      </c>
      <c r="AB82">
        <v>7.7641544462629684</v>
      </c>
      <c r="AC82">
        <v>2313.2843762906423</v>
      </c>
      <c r="AD82">
        <v>11.04974305471449</v>
      </c>
      <c r="AE82">
        <v>2065.5713909594779</v>
      </c>
      <c r="AF82">
        <v>7.7554566681689723</v>
      </c>
      <c r="AG82">
        <v>2223.6138623070947</v>
      </c>
      <c r="AH82">
        <v>11.046400218958922</v>
      </c>
      <c r="AI82">
        <v>1956.8335550209324</v>
      </c>
      <c r="AJ82">
        <v>7.7535463463937955</v>
      </c>
    </row>
    <row r="83" spans="4:36" x14ac:dyDescent="0.55000000000000004">
      <c r="D83">
        <v>76</v>
      </c>
      <c r="E83">
        <v>12.325903448790498</v>
      </c>
      <c r="F83">
        <v>0.44976135219515007</v>
      </c>
      <c r="G83">
        <v>0.15571364111454358</v>
      </c>
      <c r="H83">
        <v>17.068621557899803</v>
      </c>
      <c r="I83">
        <v>12.529867458057399</v>
      </c>
      <c r="J83">
        <v>0.29242008737650432</v>
      </c>
      <c r="K83">
        <v>0.10095237549903326</v>
      </c>
      <c r="L83">
        <v>17.076760079067064</v>
      </c>
      <c r="M83">
        <v>12.44349533399363</v>
      </c>
      <c r="N83">
        <v>0.35907521164437661</v>
      </c>
      <c r="O83">
        <v>0.12411258465648725</v>
      </c>
      <c r="P83">
        <v>17.073316869705515</v>
      </c>
      <c r="Q83">
        <v>12.373098638309273</v>
      </c>
      <c r="R83">
        <v>0.41337333706894186</v>
      </c>
      <c r="S83">
        <v>0.14302096761978475</v>
      </c>
      <c r="T83">
        <v>17.070507057002008</v>
      </c>
      <c r="U83">
        <v>1519.0342742970354</v>
      </c>
      <c r="V83">
        <v>9.7037165151204317</v>
      </c>
      <c r="W83">
        <v>1270.6499848803089</v>
      </c>
      <c r="X83">
        <v>6.9882679286346798</v>
      </c>
      <c r="Y83">
        <v>2910.1695611730943</v>
      </c>
      <c r="Z83">
        <v>9.7376470818318275</v>
      </c>
      <c r="AA83">
        <v>2740.0099871130546</v>
      </c>
      <c r="AB83">
        <v>7.0082992482166651</v>
      </c>
      <c r="AC83">
        <v>2206.802336545541</v>
      </c>
      <c r="AD83">
        <v>9.7232764440466291</v>
      </c>
      <c r="AE83">
        <v>2007.6929959424081</v>
      </c>
      <c r="AF83">
        <v>6.9998240278696207</v>
      </c>
      <c r="AG83">
        <v>2103.7917193044441</v>
      </c>
      <c r="AH83">
        <v>9.7115661349452971</v>
      </c>
      <c r="AI83">
        <v>1887.1791582341505</v>
      </c>
      <c r="AJ83">
        <v>6.9929083749008312</v>
      </c>
    </row>
    <row r="84" spans="4:36" x14ac:dyDescent="0.55000000000000004">
      <c r="D84">
        <v>77</v>
      </c>
      <c r="E84">
        <v>13.317736058867558</v>
      </c>
      <c r="F84">
        <v>0.49233468254643192</v>
      </c>
      <c r="G84">
        <v>0.1609139845832121</v>
      </c>
      <c r="H84">
        <v>16.029015274002802</v>
      </c>
      <c r="I84">
        <v>13.552298524840275</v>
      </c>
      <c r="J84">
        <v>0.32033645973441266</v>
      </c>
      <c r="K84">
        <v>0.10437410875083547</v>
      </c>
      <c r="L84">
        <v>16.022990906674472</v>
      </c>
      <c r="M84">
        <v>13.460572562498601</v>
      </c>
      <c r="N84">
        <v>0.38763295683630516</v>
      </c>
      <c r="O84">
        <v>0.12645368436373014</v>
      </c>
      <c r="P84">
        <v>16.025340796301371</v>
      </c>
      <c r="Q84">
        <v>13.405918254844124</v>
      </c>
      <c r="R84">
        <v>0.42770899269310536</v>
      </c>
      <c r="S84">
        <v>0.13962817169924482</v>
      </c>
      <c r="T84">
        <v>16.026744580763509</v>
      </c>
      <c r="U84">
        <v>1581.8152560669355</v>
      </c>
      <c r="V84">
        <v>10.568492711256122</v>
      </c>
      <c r="W84">
        <v>1306.0083729403154</v>
      </c>
      <c r="X84">
        <v>7.4974547935722979</v>
      </c>
      <c r="Y84">
        <v>2941.9369938547102</v>
      </c>
      <c r="Z84">
        <v>10.615518835368187</v>
      </c>
      <c r="AA84">
        <v>2756.100891760284</v>
      </c>
      <c r="AB84">
        <v>7.5241164330514696</v>
      </c>
      <c r="AC84">
        <v>2241.6171736270826</v>
      </c>
      <c r="AD84">
        <v>10.597132175871973</v>
      </c>
      <c r="AE84">
        <v>2025.3104875499071</v>
      </c>
      <c r="AF84">
        <v>7.5137021930777719</v>
      </c>
      <c r="AG84">
        <v>2166.0673372222705</v>
      </c>
      <c r="AH84">
        <v>10.586174800631614</v>
      </c>
      <c r="AI84">
        <v>1925.1889464894548</v>
      </c>
      <c r="AJ84">
        <v>7.5074897419466193</v>
      </c>
    </row>
    <row r="85" spans="4:36" x14ac:dyDescent="0.55000000000000004">
      <c r="D85">
        <v>78</v>
      </c>
      <c r="E85">
        <v>13.701089285213108</v>
      </c>
      <c r="F85">
        <v>0.50150678210579902</v>
      </c>
      <c r="G85">
        <v>0.16574194845574486</v>
      </c>
      <c r="H85">
        <v>15.631661984225349</v>
      </c>
      <c r="I85">
        <v>13.946588066955679</v>
      </c>
      <c r="J85">
        <v>0.33034755672666655</v>
      </c>
      <c r="K85">
        <v>0.10880860842282043</v>
      </c>
      <c r="L85">
        <v>15.61425576789483</v>
      </c>
      <c r="M85">
        <v>13.862077423784928</v>
      </c>
      <c r="N85">
        <v>0.38930823732249853</v>
      </c>
      <c r="O85">
        <v>0.12837694260396787</v>
      </c>
      <c r="P85">
        <v>15.620237396288591</v>
      </c>
      <c r="Q85">
        <v>13.798718920740201</v>
      </c>
      <c r="R85">
        <v>0.43348371544847097</v>
      </c>
      <c r="S85">
        <v>0.1430684120847249</v>
      </c>
      <c r="T85">
        <v>15.624728951726613</v>
      </c>
      <c r="U85">
        <v>1601.336109210431</v>
      </c>
      <c r="V85">
        <v>10.81874507812978</v>
      </c>
      <c r="W85">
        <v>1319.8023793839741</v>
      </c>
      <c r="X85">
        <v>7.634485040375349</v>
      </c>
      <c r="Y85">
        <v>2931.000957429585</v>
      </c>
      <c r="Z85">
        <v>10.876084608577544</v>
      </c>
      <c r="AA85">
        <v>2747.9144306471385</v>
      </c>
      <c r="AB85">
        <v>7.6665220525802811</v>
      </c>
      <c r="AC85">
        <v>2245.0327396664884</v>
      </c>
      <c r="AD85">
        <v>10.856351899262117</v>
      </c>
      <c r="AE85">
        <v>2028.0200086949369</v>
      </c>
      <c r="AF85">
        <v>7.6555080296306413</v>
      </c>
      <c r="AG85">
        <v>2145.876943068427</v>
      </c>
      <c r="AH85">
        <v>10.841554045171137</v>
      </c>
      <c r="AI85">
        <v>1910.9037159506825</v>
      </c>
      <c r="AJ85">
        <v>7.6472408159628129</v>
      </c>
    </row>
    <row r="86" spans="4:36" x14ac:dyDescent="0.55000000000000004">
      <c r="D86">
        <v>79</v>
      </c>
      <c r="E86">
        <v>12.83432559889849</v>
      </c>
      <c r="F86">
        <v>0.46736136870599698</v>
      </c>
      <c r="G86">
        <v>0.18982988795059033</v>
      </c>
      <c r="H86">
        <v>16.508483144444902</v>
      </c>
      <c r="I86">
        <v>13.110091611749665</v>
      </c>
      <c r="J86">
        <v>0.27806259351739698</v>
      </c>
      <c r="K86">
        <v>0.11248190971638071</v>
      </c>
      <c r="L86">
        <v>16.499363885016571</v>
      </c>
      <c r="M86">
        <v>13.006986102450377</v>
      </c>
      <c r="N86">
        <v>0.34889594134601631</v>
      </c>
      <c r="O86">
        <v>0.14134965049921952</v>
      </c>
      <c r="P86">
        <v>16.502768305704393</v>
      </c>
      <c r="Q86">
        <v>12.989135452226877</v>
      </c>
      <c r="R86">
        <v>0.36115245407998031</v>
      </c>
      <c r="S86">
        <v>0.14635375840977607</v>
      </c>
      <c r="T86">
        <v>16.503358335283362</v>
      </c>
      <c r="U86">
        <v>1568.3959397473488</v>
      </c>
      <c r="V86">
        <v>10.216049156526729</v>
      </c>
      <c r="W86">
        <v>1298.9708688897631</v>
      </c>
      <c r="X86">
        <v>7.2979643969901105</v>
      </c>
      <c r="Y86">
        <v>2883.6069911306022</v>
      </c>
      <c r="Z86">
        <v>10.272484259558865</v>
      </c>
      <c r="AA86">
        <v>2718.1631457511398</v>
      </c>
      <c r="AB86">
        <v>7.3301873506026256</v>
      </c>
      <c r="AC86">
        <v>2241.889470870386</v>
      </c>
      <c r="AD86">
        <v>10.251387411320932</v>
      </c>
      <c r="AE86">
        <v>2029.0433258753653</v>
      </c>
      <c r="AF86">
        <v>7.3181568136839328</v>
      </c>
      <c r="AG86">
        <v>2141.0894776165774</v>
      </c>
      <c r="AH86">
        <v>10.247734488119248</v>
      </c>
      <c r="AI86">
        <v>1913.0982171709945</v>
      </c>
      <c r="AJ86">
        <v>7.3160718926203945</v>
      </c>
    </row>
    <row r="87" spans="4:36" x14ac:dyDescent="0.55000000000000004">
      <c r="D87">
        <v>80</v>
      </c>
      <c r="E87">
        <v>14.007290827092138</v>
      </c>
      <c r="F87">
        <v>0.50686042183987778</v>
      </c>
      <c r="G87">
        <v>0.15688498981142748</v>
      </c>
      <c r="H87">
        <v>15.328963761256546</v>
      </c>
      <c r="I87">
        <v>14.24201762901121</v>
      </c>
      <c r="J87">
        <v>0.34053667987280645</v>
      </c>
      <c r="K87">
        <v>0.10509944295031189</v>
      </c>
      <c r="L87">
        <v>15.312346248165664</v>
      </c>
      <c r="M87">
        <v>14.146535127866219</v>
      </c>
      <c r="N87">
        <v>0.40823223203665165</v>
      </c>
      <c r="O87">
        <v>0.12613999344118887</v>
      </c>
      <c r="P87">
        <v>15.31909264665596</v>
      </c>
      <c r="Q87">
        <v>14.080387009545223</v>
      </c>
      <c r="R87">
        <v>0.45509958163628528</v>
      </c>
      <c r="S87">
        <v>0.14073634654654982</v>
      </c>
      <c r="T87">
        <v>15.323777062271956</v>
      </c>
      <c r="U87">
        <v>1595.8625922885774</v>
      </c>
      <c r="V87">
        <v>11.064645748621171</v>
      </c>
      <c r="W87">
        <v>1316.2328220018617</v>
      </c>
      <c r="X87">
        <v>7.7760371027866793</v>
      </c>
      <c r="Y87">
        <v>2934.9602315168577</v>
      </c>
      <c r="Z87">
        <v>11.118876024869403</v>
      </c>
      <c r="AA87">
        <v>2750.5519278346319</v>
      </c>
      <c r="AB87">
        <v>7.8059829170629556</v>
      </c>
      <c r="AC87">
        <v>2280.745297302632</v>
      </c>
      <c r="AD87">
        <v>11.096824275699355</v>
      </c>
      <c r="AE87">
        <v>2052.6287832408316</v>
      </c>
      <c r="AF87">
        <v>7.7938157587031665</v>
      </c>
      <c r="AG87">
        <v>2160.6722119230985</v>
      </c>
      <c r="AH87">
        <v>11.081540810992118</v>
      </c>
      <c r="AI87">
        <v>1920.7209870731708</v>
      </c>
      <c r="AJ87">
        <v>7.7853752081514385</v>
      </c>
    </row>
    <row r="88" spans="4:36" x14ac:dyDescent="0.55000000000000004">
      <c r="D88">
        <v>81</v>
      </c>
      <c r="E88">
        <v>12.998611800768401</v>
      </c>
      <c r="F88">
        <v>0.48450517005233523</v>
      </c>
      <c r="G88">
        <v>0.18935679139225461</v>
      </c>
      <c r="H88">
        <v>16.327526237786998</v>
      </c>
      <c r="I88">
        <v>13.21895225191966</v>
      </c>
      <c r="J88">
        <v>0.31670075293695438</v>
      </c>
      <c r="K88">
        <v>0.12338642764870636</v>
      </c>
      <c r="L88">
        <v>16.340960567494683</v>
      </c>
      <c r="M88">
        <v>13.117425858886733</v>
      </c>
      <c r="N88">
        <v>0.39405125681049258</v>
      </c>
      <c r="O88">
        <v>0.15374364651938074</v>
      </c>
      <c r="P88">
        <v>16.33477923778339</v>
      </c>
      <c r="Q88">
        <v>13.05511394989964</v>
      </c>
      <c r="R88">
        <v>0.44149886814380213</v>
      </c>
      <c r="S88">
        <v>0.17240918413878265</v>
      </c>
      <c r="T88">
        <v>16.330977997817783</v>
      </c>
      <c r="U88">
        <v>1550.0320805858714</v>
      </c>
      <c r="V88">
        <v>10.285935006310728</v>
      </c>
      <c r="W88">
        <v>1284.9667961187458</v>
      </c>
      <c r="X88">
        <v>7.3281245211367185</v>
      </c>
      <c r="Y88">
        <v>2922.8026900467253</v>
      </c>
      <c r="Z88">
        <v>10.322051359189171</v>
      </c>
      <c r="AA88">
        <v>2743.5496987340812</v>
      </c>
      <c r="AB88">
        <v>7.3493842665658446</v>
      </c>
      <c r="AC88">
        <v>2265.5992835713887</v>
      </c>
      <c r="AD88">
        <v>10.305405732297546</v>
      </c>
      <c r="AE88">
        <v>2042.9269979567937</v>
      </c>
      <c r="AF88">
        <v>7.339595660086256</v>
      </c>
      <c r="AG88">
        <v>2178.109620807199</v>
      </c>
      <c r="AH88">
        <v>10.295193074956408</v>
      </c>
      <c r="AI88">
        <v>1933.816520433393</v>
      </c>
      <c r="AJ88">
        <v>7.3335817677966508</v>
      </c>
    </row>
    <row r="89" spans="4:36" x14ac:dyDescent="0.55000000000000004">
      <c r="D89">
        <v>82</v>
      </c>
      <c r="E89">
        <v>12.473949346240797</v>
      </c>
      <c r="F89">
        <v>0.43354284726542164</v>
      </c>
      <c r="G89">
        <v>0.15275863472930917</v>
      </c>
      <c r="H89">
        <v>16.939749171764479</v>
      </c>
      <c r="I89">
        <v>12.714785727344481</v>
      </c>
      <c r="J89">
        <v>0.27387200952559138</v>
      </c>
      <c r="K89">
        <v>9.6163346446655487E-2</v>
      </c>
      <c r="L89">
        <v>16.915178916683278</v>
      </c>
      <c r="M89">
        <v>12.626567048692737</v>
      </c>
      <c r="N89">
        <v>0.33240559609302195</v>
      </c>
      <c r="O89">
        <v>0.11686414997531896</v>
      </c>
      <c r="P89">
        <v>16.924163205238912</v>
      </c>
      <c r="Q89">
        <v>12.575678037730359</v>
      </c>
      <c r="R89">
        <v>0.36614666531215212</v>
      </c>
      <c r="S89">
        <v>0.12882120774185907</v>
      </c>
      <c r="T89">
        <v>16.929354089215646</v>
      </c>
      <c r="U89">
        <v>1508.8215529377103</v>
      </c>
      <c r="V89">
        <v>9.8005761524439734</v>
      </c>
      <c r="W89">
        <v>1267.2878852917941</v>
      </c>
      <c r="X89">
        <v>7.0462834120929365</v>
      </c>
      <c r="Y89">
        <v>2888.6031670165848</v>
      </c>
      <c r="Z89">
        <v>9.8581136664938285</v>
      </c>
      <c r="AA89">
        <v>2727.4487451268187</v>
      </c>
      <c r="AB89">
        <v>7.0786591838424417</v>
      </c>
      <c r="AC89">
        <v>2184.2323462736567</v>
      </c>
      <c r="AD89">
        <v>9.8370472294537645</v>
      </c>
      <c r="AE89">
        <v>1995.4588742356846</v>
      </c>
      <c r="AF89">
        <v>7.0668178660304095</v>
      </c>
      <c r="AG89">
        <v>2112.0969548816479</v>
      </c>
      <c r="AH89">
        <v>9.8248899958378448</v>
      </c>
      <c r="AI89">
        <v>1899.116629846319</v>
      </c>
      <c r="AJ89">
        <v>7.0599777887606683</v>
      </c>
    </row>
    <row r="90" spans="4:36" x14ac:dyDescent="0.55000000000000004">
      <c r="D90">
        <v>83</v>
      </c>
      <c r="E90">
        <v>12.28534970023529</v>
      </c>
      <c r="F90">
        <v>0.4187367849619047</v>
      </c>
      <c r="G90">
        <v>0.16229082331701389</v>
      </c>
      <c r="H90">
        <v>17.13362269148579</v>
      </c>
      <c r="I90">
        <v>12.511237855600266</v>
      </c>
      <c r="J90">
        <v>0.26176309369890971</v>
      </c>
      <c r="K90">
        <v>0.10111044280134025</v>
      </c>
      <c r="L90">
        <v>17.125888607899483</v>
      </c>
      <c r="M90">
        <v>12.401825612417001</v>
      </c>
      <c r="N90">
        <v>0.33783662651197721</v>
      </c>
      <c r="O90">
        <v>0.13070774538507965</v>
      </c>
      <c r="P90">
        <v>17.12963001568593</v>
      </c>
      <c r="Q90">
        <v>12.365164124569889</v>
      </c>
      <c r="R90">
        <v>0.36330990227076448</v>
      </c>
      <c r="S90">
        <v>0.14064032596510903</v>
      </c>
      <c r="T90">
        <v>17.130885647194251</v>
      </c>
      <c r="U90">
        <v>1479.1872757778758</v>
      </c>
      <c r="V90">
        <v>9.7538092605031288</v>
      </c>
      <c r="W90">
        <v>1248.3741134852057</v>
      </c>
      <c r="X90">
        <v>7.032245816020982</v>
      </c>
      <c r="Y90">
        <v>2850.9223356979674</v>
      </c>
      <c r="Z90">
        <v>9.8007899889403731</v>
      </c>
      <c r="AA90">
        <v>2702.149357486473</v>
      </c>
      <c r="AB90">
        <v>7.0592197159161021</v>
      </c>
      <c r="AC90">
        <v>2178.7278285056586</v>
      </c>
      <c r="AD90">
        <v>9.7780378009909583</v>
      </c>
      <c r="AE90">
        <v>1992.3630655527261</v>
      </c>
      <c r="AF90">
        <v>7.0461683465782965</v>
      </c>
      <c r="AG90">
        <v>2069.0975870837033</v>
      </c>
      <c r="AH90">
        <v>9.7704125583940371</v>
      </c>
      <c r="AI90">
        <v>1869.5760843266853</v>
      </c>
      <c r="AJ90">
        <v>7.041789345474065</v>
      </c>
    </row>
    <row r="91" spans="4:36" x14ac:dyDescent="0.55000000000000004">
      <c r="D91">
        <v>84</v>
      </c>
      <c r="E91">
        <v>10.869490028963892</v>
      </c>
      <c r="F91">
        <v>0.3912520550061806</v>
      </c>
      <c r="G91">
        <v>0.14505194074096364</v>
      </c>
      <c r="H91">
        <v>18.594205975288965</v>
      </c>
      <c r="I91">
        <v>11.026210955815349</v>
      </c>
      <c r="J91">
        <v>0.26452623260499486</v>
      </c>
      <c r="K91">
        <v>9.7823455388760347E-2</v>
      </c>
      <c r="L91">
        <v>18.611439356190882</v>
      </c>
      <c r="M91">
        <v>10.958954343595916</v>
      </c>
      <c r="N91">
        <v>0.31892485532567166</v>
      </c>
      <c r="O91">
        <v>0.11806741496356248</v>
      </c>
      <c r="P91">
        <v>18.604053386114835</v>
      </c>
      <c r="Q91">
        <v>10.92882355437734</v>
      </c>
      <c r="R91">
        <v>0.34328830375760799</v>
      </c>
      <c r="S91">
        <v>0.12714837770773879</v>
      </c>
      <c r="T91">
        <v>18.600739764157336</v>
      </c>
      <c r="U91">
        <v>1441.832258654719</v>
      </c>
      <c r="V91">
        <v>8.5898627946355077</v>
      </c>
      <c r="W91">
        <v>1231.4015521841832</v>
      </c>
      <c r="X91">
        <v>6.3372955578174546</v>
      </c>
      <c r="Y91">
        <v>2811.9996319873876</v>
      </c>
      <c r="Z91">
        <v>8.6069858405906494</v>
      </c>
      <c r="AA91">
        <v>2678.7173555856366</v>
      </c>
      <c r="AB91">
        <v>6.3483399357043515</v>
      </c>
      <c r="AC91">
        <v>2135.4985144134539</v>
      </c>
      <c r="AD91">
        <v>8.5996320114127514</v>
      </c>
      <c r="AE91">
        <v>1968.7415045680912</v>
      </c>
      <c r="AF91">
        <v>6.3436025674625585</v>
      </c>
      <c r="AG91">
        <v>2015.9591036269348</v>
      </c>
      <c r="AH91">
        <v>8.5963401868441629</v>
      </c>
      <c r="AI91">
        <v>1839.1334779664103</v>
      </c>
      <c r="AJ91">
        <v>6.3414791140463773</v>
      </c>
    </row>
    <row r="92" spans="4:36" x14ac:dyDescent="0.55000000000000004">
      <c r="D92">
        <v>85</v>
      </c>
      <c r="E92">
        <v>14.122354998182843</v>
      </c>
      <c r="F92">
        <v>0.5170458228733138</v>
      </c>
      <c r="G92">
        <v>0.2037762968886612</v>
      </c>
      <c r="H92">
        <v>15.156822882055192</v>
      </c>
      <c r="I92">
        <v>14.378256059438487</v>
      </c>
      <c r="J92">
        <v>0.33484091484899109</v>
      </c>
      <c r="K92">
        <v>0.13151326482926334</v>
      </c>
      <c r="L92">
        <v>15.155389760883258</v>
      </c>
      <c r="M92">
        <v>14.28581452814328</v>
      </c>
      <c r="N92">
        <v>0.40070317745380402</v>
      </c>
      <c r="O92">
        <v>0.15757622431146201</v>
      </c>
      <c r="P92">
        <v>15.155906070091454</v>
      </c>
      <c r="Q92">
        <v>14.229060959191429</v>
      </c>
      <c r="R92">
        <v>0.44111483433943549</v>
      </c>
      <c r="S92">
        <v>0.17360037747663551</v>
      </c>
      <c r="T92">
        <v>15.156223828992481</v>
      </c>
      <c r="U92">
        <v>1672.8982192126207</v>
      </c>
      <c r="V92">
        <v>11.145605269728719</v>
      </c>
      <c r="W92">
        <v>1357.2677983066731</v>
      </c>
      <c r="X92">
        <v>7.8136443207456798</v>
      </c>
      <c r="Y92">
        <v>2974.8131694647859</v>
      </c>
      <c r="Z92">
        <v>11.194421756528294</v>
      </c>
      <c r="AA92">
        <v>2770.770119660579</v>
      </c>
      <c r="AB92">
        <v>7.8413025272762624</v>
      </c>
      <c r="AC92">
        <v>2335.7479541084094</v>
      </c>
      <c r="AD92">
        <v>11.176787444015769</v>
      </c>
      <c r="AE92">
        <v>2081.9675610834315</v>
      </c>
      <c r="AF92">
        <v>7.8313221127080945</v>
      </c>
      <c r="AG92">
        <v>2229.4934367570563</v>
      </c>
      <c r="AH92">
        <v>11.165960962824172</v>
      </c>
      <c r="AI92">
        <v>1959.2325009417393</v>
      </c>
      <c r="AJ92">
        <v>7.8251887004582432</v>
      </c>
    </row>
    <row r="93" spans="4:36" x14ac:dyDescent="0.55000000000000004">
      <c r="D93">
        <v>86</v>
      </c>
      <c r="E93">
        <v>12.91383198669914</v>
      </c>
      <c r="F93">
        <v>0.4967000810830734</v>
      </c>
      <c r="G93">
        <v>0.16928397777215001</v>
      </c>
      <c r="H93">
        <v>16.420183954445655</v>
      </c>
      <c r="I93">
        <v>13.178356315653565</v>
      </c>
      <c r="J93">
        <v>0.30459214049278494</v>
      </c>
      <c r="K93">
        <v>0.10342708961751103</v>
      </c>
      <c r="L93">
        <v>16.413624454236132</v>
      </c>
      <c r="M93">
        <v>13.077952638867922</v>
      </c>
      <c r="N93">
        <v>0.37755679404361009</v>
      </c>
      <c r="O93">
        <v>0.12838204535864847</v>
      </c>
      <c r="P93">
        <v>16.416108521729821</v>
      </c>
      <c r="Q93">
        <v>13.037065881100999</v>
      </c>
      <c r="R93">
        <v>0.40725312839709782</v>
      </c>
      <c r="S93">
        <v>0.13855891711251142</v>
      </c>
      <c r="T93">
        <v>16.417122073389386</v>
      </c>
      <c r="U93">
        <v>1561.2304631682182</v>
      </c>
      <c r="V93">
        <v>10.202372192374558</v>
      </c>
      <c r="W93">
        <v>1296.2833882136918</v>
      </c>
      <c r="X93">
        <v>7.2774664097109358</v>
      </c>
      <c r="Y93">
        <v>2907.6562934256053</v>
      </c>
      <c r="Z93">
        <v>10.250530916450215</v>
      </c>
      <c r="AA93">
        <v>2736.1668583705818</v>
      </c>
      <c r="AB93">
        <v>7.3048969037748996</v>
      </c>
      <c r="AC93">
        <v>2210.6638417787608</v>
      </c>
      <c r="AD93">
        <v>10.23225521228084</v>
      </c>
      <c r="AE93">
        <v>2007.9710935930357</v>
      </c>
      <c r="AF93">
        <v>7.2944995389182958</v>
      </c>
      <c r="AG93">
        <v>2130.9218552582834</v>
      </c>
      <c r="AH93">
        <v>10.224811666404372</v>
      </c>
      <c r="AI93">
        <v>1906.0186651298134</v>
      </c>
      <c r="AJ93">
        <v>7.2902605213755285</v>
      </c>
    </row>
    <row r="94" spans="4:36" x14ac:dyDescent="0.55000000000000004">
      <c r="D94">
        <v>87</v>
      </c>
      <c r="E94">
        <v>11.928246465713981</v>
      </c>
      <c r="F94">
        <v>0.41690819387678846</v>
      </c>
      <c r="G94">
        <v>0.18650251242810026</v>
      </c>
      <c r="H94">
        <v>17.468342827981136</v>
      </c>
      <c r="I94">
        <v>12.131614861964444</v>
      </c>
      <c r="J94">
        <v>0.26588583380993264</v>
      </c>
      <c r="K94">
        <v>0.11853296059870996</v>
      </c>
      <c r="L94">
        <v>17.483966343626928</v>
      </c>
      <c r="M94">
        <v>12.044945885352774</v>
      </c>
      <c r="N94">
        <v>0.33027584337165455</v>
      </c>
      <c r="O94">
        <v>0.14745433172461275</v>
      </c>
      <c r="P94">
        <v>17.47732393955096</v>
      </c>
      <c r="Q94">
        <v>12.010607009237351</v>
      </c>
      <c r="R94">
        <v>0.35577566929914306</v>
      </c>
      <c r="S94">
        <v>0.15893162876208974</v>
      </c>
      <c r="T94">
        <v>17.474685692701421</v>
      </c>
      <c r="U94">
        <v>1513.3790775636348</v>
      </c>
      <c r="V94">
        <v>9.4566291777812772</v>
      </c>
      <c r="W94">
        <v>1266.2057935547284</v>
      </c>
      <c r="X94">
        <v>6.8510239599057599</v>
      </c>
      <c r="Y94">
        <v>2888.6833352442081</v>
      </c>
      <c r="Z94">
        <v>9.486708569183282</v>
      </c>
      <c r="AA94">
        <v>2724.8217367191282</v>
      </c>
      <c r="AB94">
        <v>6.869680084213571</v>
      </c>
      <c r="AC94">
        <v>2216.6576919766799</v>
      </c>
      <c r="AD94">
        <v>9.4738801129330437</v>
      </c>
      <c r="AE94">
        <v>2014.8889582366037</v>
      </c>
      <c r="AF94">
        <v>6.8617341486778365</v>
      </c>
      <c r="AG94">
        <v>2098.1972531642509</v>
      </c>
      <c r="AH94">
        <v>9.468801315161814</v>
      </c>
      <c r="AI94">
        <v>1885.2014491911866</v>
      </c>
      <c r="AJ94">
        <v>6.8585839900079204</v>
      </c>
    </row>
    <row r="95" spans="4:36" x14ac:dyDescent="0.55000000000000004">
      <c r="D95">
        <v>88</v>
      </c>
      <c r="E95">
        <v>12.63582380669083</v>
      </c>
      <c r="F95">
        <v>0.44374963829350705</v>
      </c>
      <c r="G95">
        <v>0.15346377201570785</v>
      </c>
      <c r="H95">
        <v>16.766962782999958</v>
      </c>
      <c r="I95">
        <v>12.830298547565798</v>
      </c>
      <c r="J95">
        <v>0.30001967313008215</v>
      </c>
      <c r="K95">
        <v>0.10346979533391089</v>
      </c>
      <c r="L95">
        <v>16.766211983970223</v>
      </c>
      <c r="M95">
        <v>12.737109161180298</v>
      </c>
      <c r="N95">
        <v>0.36891958368566913</v>
      </c>
      <c r="O95">
        <v>0.12740034630617389</v>
      </c>
      <c r="P95">
        <v>16.766570908827873</v>
      </c>
      <c r="Q95">
        <v>12.701626245838661</v>
      </c>
      <c r="R95">
        <v>0.39514113982582727</v>
      </c>
      <c r="S95">
        <v>0.13652463240326002</v>
      </c>
      <c r="T95">
        <v>16.766707981932267</v>
      </c>
      <c r="U95">
        <v>1504.5971459466673</v>
      </c>
      <c r="V95">
        <v>9.9869867150008371</v>
      </c>
      <c r="W95">
        <v>1261.771071070551</v>
      </c>
      <c r="X95">
        <v>7.1608537756432433</v>
      </c>
      <c r="Y95">
        <v>2885.2195583500225</v>
      </c>
      <c r="Z95">
        <v>10.025825802149196</v>
      </c>
      <c r="AA95">
        <v>2722.1165111667215</v>
      </c>
      <c r="AB95">
        <v>7.1832554925571808</v>
      </c>
      <c r="AC95">
        <v>2223.8898768061326</v>
      </c>
      <c r="AD95">
        <v>10.007215523120117</v>
      </c>
      <c r="AE95">
        <v>2020.1911799866828</v>
      </c>
      <c r="AF95">
        <v>7.1725298054135695</v>
      </c>
      <c r="AG95">
        <v>2131.7738419970033</v>
      </c>
      <c r="AH95">
        <v>10.000129047772177</v>
      </c>
      <c r="AI95">
        <v>1909.8116547233619</v>
      </c>
      <c r="AJ95">
        <v>7.1684415959378587</v>
      </c>
    </row>
    <row r="96" spans="4:36" x14ac:dyDescent="0.55000000000000004">
      <c r="D96">
        <v>89</v>
      </c>
      <c r="E96">
        <v>11.551222444791616</v>
      </c>
      <c r="F96">
        <v>0.44613701199825112</v>
      </c>
      <c r="G96">
        <v>0.14434203174756002</v>
      </c>
      <c r="H96">
        <v>17.858298511462575</v>
      </c>
      <c r="I96">
        <v>11.755956621416596</v>
      </c>
      <c r="J96">
        <v>0.28185741882427851</v>
      </c>
      <c r="K96">
        <v>9.0902614328840475E-2</v>
      </c>
      <c r="L96">
        <v>17.8712833454303</v>
      </c>
      <c r="M96">
        <v>11.67640161517236</v>
      </c>
      <c r="N96">
        <v>0.34571637420735762</v>
      </c>
      <c r="O96">
        <v>0.11163486981060096</v>
      </c>
      <c r="P96">
        <v>17.866247140809687</v>
      </c>
      <c r="Q96">
        <v>11.614509940486677</v>
      </c>
      <c r="R96">
        <v>0.39537618047665601</v>
      </c>
      <c r="S96">
        <v>0.12779301595064804</v>
      </c>
      <c r="T96">
        <v>17.862320863086026</v>
      </c>
      <c r="U96">
        <v>1518.2600882035752</v>
      </c>
      <c r="V96">
        <v>9.1687730530880689</v>
      </c>
      <c r="W96">
        <v>1279.4412307966149</v>
      </c>
      <c r="X96">
        <v>6.684199482800989</v>
      </c>
      <c r="Y96">
        <v>2846.5319341407012</v>
      </c>
      <c r="Z96">
        <v>9.1986776315465111</v>
      </c>
      <c r="AA96">
        <v>2700.3265167396285</v>
      </c>
      <c r="AB96">
        <v>6.7024769567553522</v>
      </c>
      <c r="AC96">
        <v>2150.7366971262409</v>
      </c>
      <c r="AD96">
        <v>9.1870519004148505</v>
      </c>
      <c r="AE96">
        <v>1974.8086485691015</v>
      </c>
      <c r="AF96">
        <v>6.6953808829314534</v>
      </c>
      <c r="AG96">
        <v>2066.9891759904594</v>
      </c>
      <c r="AH96">
        <v>9.1780122113534048</v>
      </c>
      <c r="AI96">
        <v>1869.4361750585877</v>
      </c>
      <c r="AJ96">
        <v>6.6898549526881315</v>
      </c>
    </row>
    <row r="97" spans="4:36" x14ac:dyDescent="0.55000000000000004">
      <c r="D97">
        <v>90</v>
      </c>
      <c r="E97">
        <v>12.812492233935666</v>
      </c>
      <c r="F97">
        <v>0.46928626372213961</v>
      </c>
      <c r="G97">
        <v>0.13729366935591678</v>
      </c>
      <c r="H97">
        <v>16.58092783298628</v>
      </c>
      <c r="I97">
        <v>13.008822243644575</v>
      </c>
      <c r="J97">
        <v>0.31785487224325953</v>
      </c>
      <c r="K97">
        <v>9.275229181098979E-2</v>
      </c>
      <c r="L97">
        <v>16.580570592301182</v>
      </c>
      <c r="M97">
        <v>12.912476712463766</v>
      </c>
      <c r="N97">
        <v>0.39219149626109923</v>
      </c>
      <c r="O97">
        <v>0.11458830892049163</v>
      </c>
      <c r="P97">
        <v>16.580743482354666</v>
      </c>
      <c r="Q97">
        <v>12.873773764162372</v>
      </c>
      <c r="R97">
        <v>0.42204009041457036</v>
      </c>
      <c r="S97">
        <v>0.12337190268532053</v>
      </c>
      <c r="T97">
        <v>16.580814242737731</v>
      </c>
      <c r="U97">
        <v>1549.4012463908593</v>
      </c>
      <c r="V97">
        <v>10.119706030296395</v>
      </c>
      <c r="W97">
        <v>1290.8143697870844</v>
      </c>
      <c r="X97">
        <v>7.2357724447752663</v>
      </c>
      <c r="Y97">
        <v>2894.9599342424763</v>
      </c>
      <c r="Z97">
        <v>10.157922964926021</v>
      </c>
      <c r="AA97">
        <v>2726.9203563411797</v>
      </c>
      <c r="AB97">
        <v>7.2577811335587592</v>
      </c>
      <c r="AC97">
        <v>2250.1098856974495</v>
      </c>
      <c r="AD97">
        <v>10.139169504936691</v>
      </c>
      <c r="AE97">
        <v>2036.2234036372722</v>
      </c>
      <c r="AF97">
        <v>7.2469893650896537</v>
      </c>
      <c r="AG97">
        <v>2116.0196465915897</v>
      </c>
      <c r="AH97">
        <v>10.131635604223153</v>
      </c>
      <c r="AI97">
        <v>1895.2986278082406</v>
      </c>
      <c r="AJ97">
        <v>7.242649546005814</v>
      </c>
    </row>
    <row r="98" spans="4:36" x14ac:dyDescent="0.55000000000000004">
      <c r="D98">
        <v>91</v>
      </c>
      <c r="E98">
        <v>13.763845250318797</v>
      </c>
      <c r="F98">
        <v>0.48409751306943083</v>
      </c>
      <c r="G98">
        <v>0.19045069862385358</v>
      </c>
      <c r="H98">
        <v>15.561606537987913</v>
      </c>
      <c r="I98">
        <v>13.977309625460355</v>
      </c>
      <c r="J98">
        <v>0.33443677819337159</v>
      </c>
      <c r="K98">
        <v>0.13117564605343288</v>
      </c>
      <c r="L98">
        <v>15.557077950292829</v>
      </c>
      <c r="M98">
        <v>13.884617738834722</v>
      </c>
      <c r="N98">
        <v>0.39945656733771334</v>
      </c>
      <c r="O98">
        <v>0.15688292408996446</v>
      </c>
      <c r="P98">
        <v>15.55904276973758</v>
      </c>
      <c r="Q98">
        <v>13.849598046715609</v>
      </c>
      <c r="R98">
        <v>0.42400833417038269</v>
      </c>
      <c r="S98">
        <v>0.1666078827650718</v>
      </c>
      <c r="T98">
        <v>15.559785736348928</v>
      </c>
      <c r="U98">
        <v>1606.7946520805219</v>
      </c>
      <c r="V98">
        <v>10.95121792734817</v>
      </c>
      <c r="W98">
        <v>1316.1269619547957</v>
      </c>
      <c r="X98">
        <v>7.7194296506443072</v>
      </c>
      <c r="Y98">
        <v>2983.2019789463566</v>
      </c>
      <c r="Z98">
        <v>10.995173493422021</v>
      </c>
      <c r="AA98">
        <v>2778.6918311172003</v>
      </c>
      <c r="AB98">
        <v>7.7442670275396184</v>
      </c>
      <c r="AC98">
        <v>2301.9118104034319</v>
      </c>
      <c r="AD98">
        <v>10.976088433795523</v>
      </c>
      <c r="AE98">
        <v>2060.5864631219306</v>
      </c>
      <c r="AF98">
        <v>7.7334915604403438</v>
      </c>
      <c r="AG98">
        <v>2211.6685058832727</v>
      </c>
      <c r="AH98">
        <v>10.968877312489283</v>
      </c>
      <c r="AI98">
        <v>1950.6360007650717</v>
      </c>
      <c r="AJ98">
        <v>7.7294166944157556</v>
      </c>
    </row>
    <row r="99" spans="4:36" x14ac:dyDescent="0.55000000000000004">
      <c r="D99">
        <v>92</v>
      </c>
      <c r="E99">
        <v>12.156121502523366</v>
      </c>
      <c r="F99">
        <v>0.40413588901916786</v>
      </c>
      <c r="G99">
        <v>0.13274451308145885</v>
      </c>
      <c r="H99">
        <v>17.306998095376006</v>
      </c>
      <c r="I99">
        <v>12.346077571403157</v>
      </c>
      <c r="J99">
        <v>0.26564030407719647</v>
      </c>
      <c r="K99">
        <v>8.7018551514892753E-2</v>
      </c>
      <c r="L99">
        <v>17.301263573004753</v>
      </c>
      <c r="M99">
        <v>12.236869029976745</v>
      </c>
      <c r="N99">
        <v>0.34528966943499401</v>
      </c>
      <c r="O99">
        <v>0.11328517304954443</v>
      </c>
      <c r="P99">
        <v>17.304556127538696</v>
      </c>
      <c r="Q99">
        <v>12.199409336169563</v>
      </c>
      <c r="R99">
        <v>0.37259394443308741</v>
      </c>
      <c r="S99">
        <v>0.12230853216721493</v>
      </c>
      <c r="T99">
        <v>17.305688187230142</v>
      </c>
      <c r="U99">
        <v>1520.1303455468644</v>
      </c>
      <c r="V99">
        <v>9.5705511492638795</v>
      </c>
      <c r="W99">
        <v>1277.3690636638926</v>
      </c>
      <c r="X99">
        <v>6.9173586650585008</v>
      </c>
      <c r="Y99">
        <v>2871.3466782793998</v>
      </c>
      <c r="Z99">
        <v>9.609020276324383</v>
      </c>
      <c r="AA99">
        <v>2715.5373213393145</v>
      </c>
      <c r="AB99">
        <v>6.939501410485585</v>
      </c>
      <c r="AC99">
        <v>2220.9586329717658</v>
      </c>
      <c r="AD99">
        <v>9.5869064368300183</v>
      </c>
      <c r="AE99">
        <v>2020.9586302734826</v>
      </c>
      <c r="AF99">
        <v>6.9267807754618804</v>
      </c>
      <c r="AG99">
        <v>2101.7697418733064</v>
      </c>
      <c r="AH99">
        <v>9.579319519691321</v>
      </c>
      <c r="AI99">
        <v>1890.9757951192669</v>
      </c>
      <c r="AJ99">
        <v>6.9224115210379287</v>
      </c>
    </row>
    <row r="100" spans="4:36" x14ac:dyDescent="0.55000000000000004">
      <c r="D100">
        <v>93</v>
      </c>
      <c r="E100">
        <v>13.324516578987891</v>
      </c>
      <c r="F100">
        <v>0.45411225994784055</v>
      </c>
      <c r="G100">
        <v>0.17593511017473412</v>
      </c>
      <c r="H100">
        <v>16.045436050889535</v>
      </c>
      <c r="I100">
        <v>13.55397788762728</v>
      </c>
      <c r="J100">
        <v>0.29593677741231456</v>
      </c>
      <c r="K100">
        <v>0.11428157318156915</v>
      </c>
      <c r="L100">
        <v>16.035803761778851</v>
      </c>
      <c r="M100">
        <v>13.433064901807233</v>
      </c>
      <c r="N100">
        <v>0.37932697985736408</v>
      </c>
      <c r="O100">
        <v>0.14673459155352792</v>
      </c>
      <c r="P100">
        <v>16.040873526781876</v>
      </c>
      <c r="Q100">
        <v>13.41728998930296</v>
      </c>
      <c r="R100">
        <v>0.39019980599670639</v>
      </c>
      <c r="S100">
        <v>0.1509742848693803</v>
      </c>
      <c r="T100">
        <v>16.04153591983097</v>
      </c>
      <c r="U100">
        <v>1605.2151900772417</v>
      </c>
      <c r="V100">
        <v>10.49737715985856</v>
      </c>
      <c r="W100">
        <v>1323.7281445314454</v>
      </c>
      <c r="X100">
        <v>7.4484906127137194</v>
      </c>
      <c r="Y100">
        <v>2923.6646279705415</v>
      </c>
      <c r="Z100">
        <v>10.546088837797329</v>
      </c>
      <c r="AA100">
        <v>2743.7242620264728</v>
      </c>
      <c r="AB100">
        <v>7.4761140172242104</v>
      </c>
      <c r="AC100">
        <v>2298.3893300338004</v>
      </c>
      <c r="AD100">
        <v>10.520423349145339</v>
      </c>
      <c r="AE100">
        <v>2064.9128165051729</v>
      </c>
      <c r="AF100">
        <v>7.4615705294792445</v>
      </c>
      <c r="AG100">
        <v>2177.2429765654174</v>
      </c>
      <c r="AH100">
        <v>10.517074446075108</v>
      </c>
      <c r="AI100">
        <v>1934.3730315002233</v>
      </c>
      <c r="AJ100">
        <v>7.4596710735909291</v>
      </c>
    </row>
    <row r="101" spans="4:36" x14ac:dyDescent="0.55000000000000004">
      <c r="D101">
        <v>94</v>
      </c>
      <c r="E101">
        <v>13.37376353326399</v>
      </c>
      <c r="F101">
        <v>0.52184325767196083</v>
      </c>
      <c r="G101">
        <v>0.19634905150421497</v>
      </c>
      <c r="H101">
        <v>15.908044157559837</v>
      </c>
      <c r="I101">
        <v>13.616860744261713</v>
      </c>
      <c r="J101">
        <v>0.34423781296175704</v>
      </c>
      <c r="K101">
        <v>0.12911021354411611</v>
      </c>
      <c r="L101">
        <v>15.909791229232415</v>
      </c>
      <c r="M101">
        <v>13.556674204476403</v>
      </c>
      <c r="N101">
        <v>0.388240458873163</v>
      </c>
      <c r="O101">
        <v>0.1457283998534176</v>
      </c>
      <c r="P101">
        <v>15.909356936797018</v>
      </c>
      <c r="Q101">
        <v>13.496391344706961</v>
      </c>
      <c r="R101">
        <v>0.4322933586527789</v>
      </c>
      <c r="S101">
        <v>0.16239220183379435</v>
      </c>
      <c r="T101">
        <v>15.908923094806477</v>
      </c>
      <c r="U101">
        <v>1620.2193124381351</v>
      </c>
      <c r="V101">
        <v>10.620265772398069</v>
      </c>
      <c r="W101">
        <v>1327.6283605835745</v>
      </c>
      <c r="X101">
        <v>7.5222918222878592</v>
      </c>
      <c r="Y101">
        <v>2955.7548682152033</v>
      </c>
      <c r="Z101">
        <v>10.663516612761347</v>
      </c>
      <c r="AA101">
        <v>2761.7543542072335</v>
      </c>
      <c r="AB101">
        <v>7.5469010158790031</v>
      </c>
      <c r="AC101">
        <v>2284.2955320072574</v>
      </c>
      <c r="AD101">
        <v>10.652809951860615</v>
      </c>
      <c r="AE101">
        <v>2052.9196004872442</v>
      </c>
      <c r="AF101">
        <v>7.5408167218189375</v>
      </c>
      <c r="AG101">
        <v>2194.1473555517882</v>
      </c>
      <c r="AH101">
        <v>10.642085188164769</v>
      </c>
      <c r="AI101">
        <v>1941.8104656160099</v>
      </c>
      <c r="AJ101">
        <v>7.5347171113763993</v>
      </c>
    </row>
    <row r="102" spans="4:36" x14ac:dyDescent="0.55000000000000004">
      <c r="D102">
        <v>95</v>
      </c>
      <c r="E102">
        <v>13.973593531995171</v>
      </c>
      <c r="F102">
        <v>0.49845246921141068</v>
      </c>
      <c r="G102">
        <v>0.18082363786992664</v>
      </c>
      <c r="H102">
        <v>15.347130360923479</v>
      </c>
      <c r="I102">
        <v>14.214268145886976</v>
      </c>
      <c r="J102">
        <v>0.33075400032920216</v>
      </c>
      <c r="K102">
        <v>0.11958620968075058</v>
      </c>
      <c r="L102">
        <v>15.335391644103087</v>
      </c>
      <c r="M102">
        <v>14.100613490510298</v>
      </c>
      <c r="N102">
        <v>0.40998958009433067</v>
      </c>
      <c r="O102">
        <v>0.14846819903969688</v>
      </c>
      <c r="P102">
        <v>15.340928730355662</v>
      </c>
      <c r="Q102">
        <v>14.031132875539409</v>
      </c>
      <c r="R102">
        <v>0.45839116884518971</v>
      </c>
      <c r="S102">
        <v>0.16615666292903991</v>
      </c>
      <c r="T102">
        <v>15.34431929268637</v>
      </c>
      <c r="U102">
        <v>1609.0919646806306</v>
      </c>
      <c r="V102">
        <v>11.010394582814078</v>
      </c>
      <c r="W102">
        <v>1318.4957803203802</v>
      </c>
      <c r="X102">
        <v>7.7385003966824089</v>
      </c>
      <c r="Y102">
        <v>2970.8431296165613</v>
      </c>
      <c r="Z102">
        <v>11.060934848365109</v>
      </c>
      <c r="AA102">
        <v>2771.4550922643152</v>
      </c>
      <c r="AB102">
        <v>7.7666855438780136</v>
      </c>
      <c r="AC102">
        <v>2315.7206238609278</v>
      </c>
      <c r="AD102">
        <v>11.037072963412323</v>
      </c>
      <c r="AE102">
        <v>2071.0213258656236</v>
      </c>
      <c r="AF102">
        <v>7.753388737022779</v>
      </c>
      <c r="AG102">
        <v>2207.9279154529636</v>
      </c>
      <c r="AH102">
        <v>11.022481116136548</v>
      </c>
      <c r="AI102">
        <v>1946.9606645991698</v>
      </c>
      <c r="AJ102">
        <v>7.7452484073720695</v>
      </c>
    </row>
    <row r="103" spans="4:36" x14ac:dyDescent="0.55000000000000004">
      <c r="D103">
        <v>96</v>
      </c>
      <c r="E103">
        <v>12.948006829936379</v>
      </c>
      <c r="F103">
        <v>0.4735387352909321</v>
      </c>
      <c r="G103">
        <v>0.16547820208169969</v>
      </c>
      <c r="H103">
        <v>16.41297623269099</v>
      </c>
      <c r="I103">
        <v>13.164648610259803</v>
      </c>
      <c r="J103">
        <v>0.31329925646475765</v>
      </c>
      <c r="K103">
        <v>0.10915121325324816</v>
      </c>
      <c r="L103">
        <v>16.412900920022182</v>
      </c>
      <c r="M103">
        <v>13.050884827673029</v>
      </c>
      <c r="N103">
        <v>0.39747735673949214</v>
      </c>
      <c r="O103">
        <v>0.13869807224367481</v>
      </c>
      <c r="P103">
        <v>16.412939743343816</v>
      </c>
      <c r="Q103">
        <v>13.012870563690479</v>
      </c>
      <c r="R103">
        <v>0.42558954755546008</v>
      </c>
      <c r="S103">
        <v>0.14858681625617881</v>
      </c>
      <c r="T103">
        <v>16.412953072497896</v>
      </c>
      <c r="U103">
        <v>1577.7457534290284</v>
      </c>
      <c r="V103">
        <v>10.219596980096535</v>
      </c>
      <c r="W103">
        <v>1306.7951157360046</v>
      </c>
      <c r="X103">
        <v>7.2895570386285193</v>
      </c>
      <c r="Y103">
        <v>2917.8525777241048</v>
      </c>
      <c r="Z103">
        <v>10.260761060822652</v>
      </c>
      <c r="AA103">
        <v>2740.95445440709</v>
      </c>
      <c r="AB103">
        <v>7.3132685142778193</v>
      </c>
      <c r="AC103">
        <v>2259.5894283865482</v>
      </c>
      <c r="AD103">
        <v>10.239145029766583</v>
      </c>
      <c r="AE103">
        <v>2039.2389314551592</v>
      </c>
      <c r="AF103">
        <v>7.3008268485421519</v>
      </c>
      <c r="AG103">
        <v>2179.3143647162306</v>
      </c>
      <c r="AH103">
        <v>10.231921910334798</v>
      </c>
      <c r="AI103">
        <v>1936.868207045078</v>
      </c>
      <c r="AJ103">
        <v>7.2966646397678625</v>
      </c>
    </row>
    <row r="104" spans="4:36" x14ac:dyDescent="0.55000000000000004">
      <c r="D104">
        <v>97</v>
      </c>
      <c r="E104">
        <v>13.191849553583943</v>
      </c>
      <c r="F104">
        <v>0.54141664825091951</v>
      </c>
      <c r="G104">
        <v>0.18384842221682154</v>
      </c>
      <c r="H104">
        <v>16.082885375948322</v>
      </c>
      <c r="I104">
        <v>13.46114504569103</v>
      </c>
      <c r="J104">
        <v>0.33039367694395733</v>
      </c>
      <c r="K104">
        <v>0.11179134933864697</v>
      </c>
      <c r="L104">
        <v>16.096669928026358</v>
      </c>
      <c r="M104">
        <v>13.3400415754802</v>
      </c>
      <c r="N104">
        <v>0.42533412435933082</v>
      </c>
      <c r="O104">
        <v>0.14414557346911724</v>
      </c>
      <c r="P104">
        <v>16.090478726691348</v>
      </c>
      <c r="Q104">
        <v>13.307571614352742</v>
      </c>
      <c r="R104">
        <v>0.45077758642488286</v>
      </c>
      <c r="S104">
        <v>0.15283419522348735</v>
      </c>
      <c r="T104">
        <v>16.088816603998911</v>
      </c>
      <c r="U104">
        <v>1622.6564310543117</v>
      </c>
      <c r="V104">
        <v>10.532923313360692</v>
      </c>
      <c r="W104">
        <v>1327.5967139951924</v>
      </c>
      <c r="X104">
        <v>7.478228398083151</v>
      </c>
      <c r="Y104">
        <v>2941.8159998156912</v>
      </c>
      <c r="Z104">
        <v>10.575349560833242</v>
      </c>
      <c r="AA104">
        <v>2752.911138002788</v>
      </c>
      <c r="AB104">
        <v>7.5029522052081825</v>
      </c>
      <c r="AC104">
        <v>2320.6055629310631</v>
      </c>
      <c r="AD104">
        <v>10.556266471729652</v>
      </c>
      <c r="AE104">
        <v>2075.7948476057181</v>
      </c>
      <c r="AF104">
        <v>7.4918444990773061</v>
      </c>
      <c r="AG104">
        <v>2195.622900309223</v>
      </c>
      <c r="AH104">
        <v>10.551151014227061</v>
      </c>
      <c r="AI104">
        <v>1941.2951790313268</v>
      </c>
      <c r="AJ104">
        <v>7.4888633690720381</v>
      </c>
    </row>
    <row r="105" spans="4:36" x14ac:dyDescent="0.55000000000000004">
      <c r="D105">
        <v>98</v>
      </c>
      <c r="E105">
        <v>13.704720940024878</v>
      </c>
      <c r="F105">
        <v>0.52020286066040522</v>
      </c>
      <c r="G105">
        <v>0.17204669833183317</v>
      </c>
      <c r="H105">
        <v>15.603029500982892</v>
      </c>
      <c r="I105">
        <v>14.001606387664694</v>
      </c>
      <c r="J105">
        <v>0.3105031364853042</v>
      </c>
      <c r="K105">
        <v>0.10228177026983433</v>
      </c>
      <c r="L105">
        <v>15.585608705580157</v>
      </c>
      <c r="M105">
        <v>13.903323552121101</v>
      </c>
      <c r="N105">
        <v>0.37998048397580558</v>
      </c>
      <c r="O105">
        <v>0.12533330243046609</v>
      </c>
      <c r="P105">
        <v>15.591362661472621</v>
      </c>
      <c r="Q105">
        <v>13.833455448919942</v>
      </c>
      <c r="R105">
        <v>0.42933693496686742</v>
      </c>
      <c r="S105">
        <v>0.14174666685615175</v>
      </c>
      <c r="T105">
        <v>15.595460949257033</v>
      </c>
      <c r="U105">
        <v>1625.657343832916</v>
      </c>
      <c r="V105">
        <v>10.879008275224344</v>
      </c>
      <c r="W105">
        <v>1333.8220185641444</v>
      </c>
      <c r="X105">
        <v>7.6733417037350407</v>
      </c>
      <c r="Y105">
        <v>2913.43843999812</v>
      </c>
      <c r="Z105">
        <v>10.942824955934009</v>
      </c>
      <c r="AA105">
        <v>2735.592243733287</v>
      </c>
      <c r="AB105">
        <v>7.7089557414875305</v>
      </c>
      <c r="AC105">
        <v>2275.2463856404602</v>
      </c>
      <c r="AD105">
        <v>10.921706833038513</v>
      </c>
      <c r="AE105">
        <v>2048.5422420834411</v>
      </c>
      <c r="AF105">
        <v>7.697184925234474</v>
      </c>
      <c r="AG105">
        <v>2176.4111396334129</v>
      </c>
      <c r="AH105">
        <v>10.90668932427352</v>
      </c>
      <c r="AI105">
        <v>1931.1386723368064</v>
      </c>
      <c r="AJ105">
        <v>7.6888057696884964</v>
      </c>
    </row>
    <row r="106" spans="4:36" x14ac:dyDescent="0.55000000000000004">
      <c r="D106">
        <v>99</v>
      </c>
      <c r="E106">
        <v>12.616866875739342</v>
      </c>
      <c r="F106">
        <v>0.49063437650385366</v>
      </c>
      <c r="G106">
        <v>0.17966164027925816</v>
      </c>
      <c r="H106">
        <v>16.712837107477551</v>
      </c>
      <c r="I106">
        <v>12.83432484234056</v>
      </c>
      <c r="J106">
        <v>0.32168131227678803</v>
      </c>
      <c r="K106">
        <v>0.11742647689864202</v>
      </c>
      <c r="L106">
        <v>16.726567368484002</v>
      </c>
      <c r="M106">
        <v>12.754325542439361</v>
      </c>
      <c r="N106">
        <v>0.38386387502937941</v>
      </c>
      <c r="O106">
        <v>0.14028604971846254</v>
      </c>
      <c r="P106">
        <v>16.72152453281279</v>
      </c>
      <c r="Q106">
        <v>12.735480894473527</v>
      </c>
      <c r="R106">
        <v>0.39850698194255341</v>
      </c>
      <c r="S106">
        <v>0.14567688279327864</v>
      </c>
      <c r="T106">
        <v>16.720335240790632</v>
      </c>
      <c r="U106">
        <v>1564.6021511143615</v>
      </c>
      <c r="V106">
        <v>9.9567375638868061</v>
      </c>
      <c r="W106">
        <v>1298.8258172646345</v>
      </c>
      <c r="X106">
        <v>7.1323382467782031</v>
      </c>
      <c r="Y106">
        <v>2898.0600167221651</v>
      </c>
      <c r="Z106">
        <v>9.988684376287809</v>
      </c>
      <c r="AA106">
        <v>2727.8917424398496</v>
      </c>
      <c r="AB106">
        <v>7.1513960804111916</v>
      </c>
      <c r="AC106">
        <v>2222.7945776685324</v>
      </c>
      <c r="AD106">
        <v>9.9769269462255536</v>
      </c>
      <c r="AE106">
        <v>2016.0210866190671</v>
      </c>
      <c r="AF106">
        <v>7.1443909422576946</v>
      </c>
      <c r="AG106">
        <v>2114.0425495562154</v>
      </c>
      <c r="AH106">
        <v>9.9741581583314218</v>
      </c>
      <c r="AI106">
        <v>1894.3543406065523</v>
      </c>
      <c r="AJ106">
        <v>7.1427398115016079</v>
      </c>
    </row>
    <row r="107" spans="4:36" x14ac:dyDescent="0.55000000000000004">
      <c r="D107">
        <v>100</v>
      </c>
      <c r="E107">
        <v>13.289822865985428</v>
      </c>
      <c r="F107">
        <v>0.44685782727119877</v>
      </c>
      <c r="G107">
        <v>0.17060958305185098</v>
      </c>
      <c r="H107">
        <v>16.092709723691517</v>
      </c>
      <c r="I107">
        <v>13.478149836199549</v>
      </c>
      <c r="J107">
        <v>0.31313788464667397</v>
      </c>
      <c r="K107">
        <v>0.11924025045341625</v>
      </c>
      <c r="L107">
        <v>16.089472028700357</v>
      </c>
      <c r="M107">
        <v>13.378582078825318</v>
      </c>
      <c r="N107">
        <v>0.3838613030941021</v>
      </c>
      <c r="O107">
        <v>0.14637476113444442</v>
      </c>
      <c r="P107">
        <v>16.09118185694615</v>
      </c>
      <c r="Q107">
        <v>13.362248613286518</v>
      </c>
      <c r="R107">
        <v>0.39545743993868704</v>
      </c>
      <c r="S107">
        <v>0.1508311911975764</v>
      </c>
      <c r="T107">
        <v>16.091462755577215</v>
      </c>
      <c r="U107">
        <v>1573.0812920149574</v>
      </c>
      <c r="V107">
        <v>10.447280178945581</v>
      </c>
      <c r="W107">
        <v>1303.500396804229</v>
      </c>
      <c r="X107">
        <v>7.4168984176333783</v>
      </c>
      <c r="Y107">
        <v>2931.3117281292898</v>
      </c>
      <c r="Z107">
        <v>10.483529040131248</v>
      </c>
      <c r="AA107">
        <v>2749.337206483091</v>
      </c>
      <c r="AB107">
        <v>7.4375259044954332</v>
      </c>
      <c r="AC107">
        <v>2259.7851174660855</v>
      </c>
      <c r="AD107">
        <v>10.464365704700333</v>
      </c>
      <c r="AE107">
        <v>2038.881211968328</v>
      </c>
      <c r="AF107">
        <v>7.4266277649078996</v>
      </c>
      <c r="AG107">
        <v>2165.7159395279396</v>
      </c>
      <c r="AH107">
        <v>10.46122180200893</v>
      </c>
      <c r="AI107">
        <v>1927.6738938328263</v>
      </c>
      <c r="AJ107">
        <v>7.4248383846732429</v>
      </c>
    </row>
    <row r="108" spans="4:36" x14ac:dyDescent="0.55000000000000004">
      <c r="D108">
        <v>101</v>
      </c>
      <c r="E108">
        <v>13.671664941712235</v>
      </c>
      <c r="F108">
        <v>0.49675526174066831</v>
      </c>
      <c r="G108">
        <v>0.14222811092552051</v>
      </c>
      <c r="H108">
        <v>15.689351685621579</v>
      </c>
      <c r="I108">
        <v>13.905546161727791</v>
      </c>
      <c r="J108">
        <v>0.32815952233182588</v>
      </c>
      <c r="K108">
        <v>9.3679056170108951E-2</v>
      </c>
      <c r="L108">
        <v>15.672615259770271</v>
      </c>
      <c r="M108">
        <v>13.84692540584121</v>
      </c>
      <c r="N108">
        <v>0.37044588712034687</v>
      </c>
      <c r="O108">
        <v>0.10582852754446681</v>
      </c>
      <c r="P108">
        <v>15.67680017949399</v>
      </c>
      <c r="Q108">
        <v>13.716595747204247</v>
      </c>
      <c r="R108">
        <v>0.46439046883225843</v>
      </c>
      <c r="S108">
        <v>0.13288559011301782</v>
      </c>
      <c r="T108">
        <v>15.68612819385049</v>
      </c>
      <c r="U108">
        <v>1605.9346902302286</v>
      </c>
      <c r="V108">
        <v>10.764963455523588</v>
      </c>
      <c r="W108">
        <v>1323.0237658674771</v>
      </c>
      <c r="X108">
        <v>7.6011470859258683</v>
      </c>
      <c r="Y108">
        <v>2950.4780644576417</v>
      </c>
      <c r="Z108">
        <v>10.817132871009303</v>
      </c>
      <c r="AA108">
        <v>2761.6525511096461</v>
      </c>
      <c r="AB108">
        <v>7.6301686862638185</v>
      </c>
      <c r="AC108">
        <v>2241.0269589903314</v>
      </c>
      <c r="AD108">
        <v>10.80406246411197</v>
      </c>
      <c r="AE108">
        <v>2026.1863756740677</v>
      </c>
      <c r="AF108">
        <v>7.6229054257259259</v>
      </c>
      <c r="AG108">
        <v>2219.9044581013718</v>
      </c>
      <c r="AH108">
        <v>10.774990269034248</v>
      </c>
      <c r="AI108">
        <v>1961.119330709621</v>
      </c>
      <c r="AJ108">
        <v>7.6067313923630531</v>
      </c>
    </row>
    <row r="109" spans="4:36" x14ac:dyDescent="0.55000000000000004">
      <c r="D109">
        <v>102</v>
      </c>
      <c r="E109">
        <v>12.584451079814114</v>
      </c>
      <c r="F109">
        <v>0.47563331480210019</v>
      </c>
      <c r="G109">
        <v>0.17172886263167164</v>
      </c>
      <c r="H109">
        <v>16.768186742752114</v>
      </c>
      <c r="I109">
        <v>12.829367912708358</v>
      </c>
      <c r="J109">
        <v>0.29286691877092413</v>
      </c>
      <c r="K109">
        <v>0.10534597218510261</v>
      </c>
      <c r="L109">
        <v>16.772419196335612</v>
      </c>
      <c r="M109">
        <v>12.691893710709767</v>
      </c>
      <c r="N109">
        <v>0.39549641247340001</v>
      </c>
      <c r="O109">
        <v>0.14256015273639439</v>
      </c>
      <c r="P109">
        <v>16.77004972408043</v>
      </c>
      <c r="Q109">
        <v>12.71075633139043</v>
      </c>
      <c r="R109">
        <v>0.38142095217422012</v>
      </c>
      <c r="S109">
        <v>0.13744694029805032</v>
      </c>
      <c r="T109">
        <v>16.770375776137318</v>
      </c>
      <c r="U109">
        <v>1535.642512368642</v>
      </c>
      <c r="V109">
        <v>9.9097868162830149</v>
      </c>
      <c r="W109">
        <v>1280.8684753812779</v>
      </c>
      <c r="X109">
        <v>7.1055830781405591</v>
      </c>
      <c r="Y109">
        <v>2876.6940306873098</v>
      </c>
      <c r="Z109">
        <v>9.9551564531631804</v>
      </c>
      <c r="AA109">
        <v>2715.8222685933556</v>
      </c>
      <c r="AB109">
        <v>7.1322742363850367</v>
      </c>
      <c r="AC109">
        <v>2237.8456963232029</v>
      </c>
      <c r="AD109">
        <v>9.9296855586852573</v>
      </c>
      <c r="AE109">
        <v>2027.4652101192048</v>
      </c>
      <c r="AF109">
        <v>7.1173034501001702</v>
      </c>
      <c r="AG109">
        <v>2105.8452786240068</v>
      </c>
      <c r="AH109">
        <v>9.9331797061921154</v>
      </c>
      <c r="AI109">
        <v>1891.1892654583519</v>
      </c>
      <c r="AJ109">
        <v>7.1193592579393199</v>
      </c>
    </row>
    <row r="110" spans="4:36" x14ac:dyDescent="0.55000000000000004">
      <c r="D110">
        <v>103</v>
      </c>
      <c r="E110">
        <v>12.647848448072457</v>
      </c>
      <c r="F110">
        <v>0.50079896260270185</v>
      </c>
      <c r="G110">
        <v>0.18995214436887872</v>
      </c>
      <c r="H110">
        <v>16.661400444955952</v>
      </c>
      <c r="I110">
        <v>12.835326938724963</v>
      </c>
      <c r="J110">
        <v>0.34381848461058168</v>
      </c>
      <c r="K110">
        <v>0.1300534921712983</v>
      </c>
      <c r="L110">
        <v>16.690801084493156</v>
      </c>
      <c r="M110">
        <v>12.770786314440791</v>
      </c>
      <c r="N110">
        <v>0.39787509318775044</v>
      </c>
      <c r="O110">
        <v>0.15064227250223342</v>
      </c>
      <c r="P110">
        <v>16.680696319869224</v>
      </c>
      <c r="Q110">
        <v>12.703032355416569</v>
      </c>
      <c r="R110">
        <v>0.45460602303790115</v>
      </c>
      <c r="S110">
        <v>0.1722918568617138</v>
      </c>
      <c r="T110">
        <v>16.670069764683817</v>
      </c>
      <c r="U110">
        <v>1610.877441273406</v>
      </c>
      <c r="V110">
        <v>10.101295429751195</v>
      </c>
      <c r="W110">
        <v>1325.7836538875638</v>
      </c>
      <c r="X110">
        <v>7.2277986064445932</v>
      </c>
      <c r="Y110">
        <v>2935.6084379154445</v>
      </c>
      <c r="Z110">
        <v>10.117330359201631</v>
      </c>
      <c r="AA110">
        <v>2749.4210962474954</v>
      </c>
      <c r="AB110">
        <v>7.2383758254336632</v>
      </c>
      <c r="AC110">
        <v>2266.0196407407902</v>
      </c>
      <c r="AD110">
        <v>10.111800774350987</v>
      </c>
      <c r="AE110">
        <v>2041.6635678154969</v>
      </c>
      <c r="AF110">
        <v>7.2347347356290062</v>
      </c>
      <c r="AG110">
        <v>2170.285229798068</v>
      </c>
      <c r="AH110">
        <v>10.106006549159931</v>
      </c>
      <c r="AI110">
        <v>1925.5584322773523</v>
      </c>
      <c r="AJ110">
        <v>7.2309121588268415</v>
      </c>
    </row>
    <row r="111" spans="4:36" x14ac:dyDescent="0.55000000000000004">
      <c r="D111">
        <v>104</v>
      </c>
      <c r="E111">
        <v>11.847143135650121</v>
      </c>
      <c r="F111">
        <v>0.45606607363761492</v>
      </c>
      <c r="G111">
        <v>0.18054795769770066</v>
      </c>
      <c r="H111">
        <v>17.516242833014566</v>
      </c>
      <c r="I111">
        <v>12.070886882766642</v>
      </c>
      <c r="J111">
        <v>0.28250975689163671</v>
      </c>
      <c r="K111">
        <v>0.11146142222079934</v>
      </c>
      <c r="L111">
        <v>17.535141938120926</v>
      </c>
      <c r="M111">
        <v>11.964930702231246</v>
      </c>
      <c r="N111">
        <v>0.36473164471944197</v>
      </c>
      <c r="O111">
        <v>0.14413175279504953</v>
      </c>
      <c r="P111">
        <v>17.526205900254265</v>
      </c>
      <c r="Q111">
        <v>11.949484600676028</v>
      </c>
      <c r="R111">
        <v>0.37671294131658761</v>
      </c>
      <c r="S111">
        <v>0.1489013067986876</v>
      </c>
      <c r="T111">
        <v>17.524901151208692</v>
      </c>
      <c r="U111">
        <v>1550.5342338040236</v>
      </c>
      <c r="V111">
        <v>9.42831174901956</v>
      </c>
      <c r="W111">
        <v>1293.760840774994</v>
      </c>
      <c r="X111">
        <v>6.8365301058575998</v>
      </c>
      <c r="Y111">
        <v>2889.2146017967821</v>
      </c>
      <c r="Z111">
        <v>9.4577973774616328</v>
      </c>
      <c r="AA111">
        <v>2726.157286059884</v>
      </c>
      <c r="AB111">
        <v>6.8545528453912423</v>
      </c>
      <c r="AC111">
        <v>2207.0083114861472</v>
      </c>
      <c r="AD111">
        <v>9.443827156216555</v>
      </c>
      <c r="AE111">
        <v>2007.8437384421536</v>
      </c>
      <c r="AF111">
        <v>6.8460242800259268</v>
      </c>
      <c r="AG111">
        <v>2118.6122876034374</v>
      </c>
      <c r="AH111">
        <v>9.4417916491579188</v>
      </c>
      <c r="AI111">
        <v>1901.4925879400596</v>
      </c>
      <c r="AJ111">
        <v>6.8447800609364551</v>
      </c>
    </row>
    <row r="112" spans="4:36" x14ac:dyDescent="0.55000000000000004">
      <c r="D112">
        <v>105</v>
      </c>
      <c r="E112">
        <v>12.702437619659865</v>
      </c>
      <c r="F112">
        <v>0.42805187897400826</v>
      </c>
      <c r="G112">
        <v>0.15748963363568602</v>
      </c>
      <c r="H112">
        <v>16.712020867730434</v>
      </c>
      <c r="I112">
        <v>12.923310046454983</v>
      </c>
      <c r="J112">
        <v>0.27451031198476306</v>
      </c>
      <c r="K112">
        <v>0.10066412040047509</v>
      </c>
      <c r="L112">
        <v>16.701515521159781</v>
      </c>
      <c r="M112">
        <v>12.823072414191717</v>
      </c>
      <c r="N112">
        <v>0.34422960197018088</v>
      </c>
      <c r="O112">
        <v>0.12641976399195365</v>
      </c>
      <c r="P112">
        <v>16.706278219846148</v>
      </c>
      <c r="Q112">
        <v>12.802865219027113</v>
      </c>
      <c r="R112">
        <v>0.35827686520210539</v>
      </c>
      <c r="S112">
        <v>0.13161858659209799</v>
      </c>
      <c r="T112">
        <v>16.707239329178698</v>
      </c>
      <c r="U112">
        <v>1546.0488527672776</v>
      </c>
      <c r="V112">
        <v>9.9323502653340636</v>
      </c>
      <c r="W112">
        <v>1290.5002156536625</v>
      </c>
      <c r="X112">
        <v>7.1151936843375481</v>
      </c>
      <c r="Y112">
        <v>2876.7957752807092</v>
      </c>
      <c r="Z112">
        <v>9.9789238221039991</v>
      </c>
      <c r="AA112">
        <v>2716.3931349032287</v>
      </c>
      <c r="AB112">
        <v>7.1417812988015852</v>
      </c>
      <c r="AC112">
        <v>2184.6682446338209</v>
      </c>
      <c r="AD112">
        <v>9.9577905998730856</v>
      </c>
      <c r="AE112">
        <v>1991.8442322000453</v>
      </c>
      <c r="AF112">
        <v>7.1297276552461799</v>
      </c>
      <c r="AG112">
        <v>2110.4136086663389</v>
      </c>
      <c r="AH112">
        <v>9.9535296773537318</v>
      </c>
      <c r="AI112">
        <v>1895.0541312485923</v>
      </c>
      <c r="AJ112">
        <v>7.1272952207279898</v>
      </c>
    </row>
    <row r="113" spans="4:36" x14ac:dyDescent="0.55000000000000004">
      <c r="D113">
        <v>106</v>
      </c>
      <c r="E113">
        <v>12.097505650041084</v>
      </c>
      <c r="F113">
        <v>0.45783769735001861</v>
      </c>
      <c r="G113">
        <v>0.15676781074362062</v>
      </c>
      <c r="H113">
        <v>17.287888841865279</v>
      </c>
      <c r="I113">
        <v>12.301478530094633</v>
      </c>
      <c r="J113">
        <v>0.29609888510519489</v>
      </c>
      <c r="K113">
        <v>0.10106285333487075</v>
      </c>
      <c r="L113">
        <v>17.301359731465308</v>
      </c>
      <c r="M113">
        <v>12.222806057106627</v>
      </c>
      <c r="N113">
        <v>0.35850537794252163</v>
      </c>
      <c r="O113">
        <v>0.12251365795325983</v>
      </c>
      <c r="P113">
        <v>17.296174906997592</v>
      </c>
      <c r="Q113">
        <v>12.17178866693582</v>
      </c>
      <c r="R113">
        <v>0.39895875211771936</v>
      </c>
      <c r="S113">
        <v>0.13644721677090549</v>
      </c>
      <c r="T113">
        <v>17.292805364175553</v>
      </c>
      <c r="U113">
        <v>1511.9002653149666</v>
      </c>
      <c r="V113">
        <v>9.6044601723994649</v>
      </c>
      <c r="W113">
        <v>1267.8280958561425</v>
      </c>
      <c r="X113">
        <v>6.9397435464613428</v>
      </c>
      <c r="Y113">
        <v>2875.2011486006577</v>
      </c>
      <c r="Z113">
        <v>9.6367666624702615</v>
      </c>
      <c r="AA113">
        <v>2716.3591179405189</v>
      </c>
      <c r="AB113">
        <v>6.9593741048837066</v>
      </c>
      <c r="AC113">
        <v>2176.3553398785684</v>
      </c>
      <c r="AD113">
        <v>9.6242994350437829</v>
      </c>
      <c r="AE113">
        <v>1987.9946180501533</v>
      </c>
      <c r="AF113">
        <v>6.9518082954245894</v>
      </c>
      <c r="AG113">
        <v>2120.2783305102375</v>
      </c>
      <c r="AH113">
        <v>9.6162191198989078</v>
      </c>
      <c r="AI113">
        <v>1902.8973098291103</v>
      </c>
      <c r="AJ113">
        <v>6.9468982140287556</v>
      </c>
    </row>
    <row r="114" spans="4:36" x14ac:dyDescent="0.55000000000000004">
      <c r="D114">
        <v>107</v>
      </c>
      <c r="E114">
        <v>13.083103239754752</v>
      </c>
      <c r="F114">
        <v>0.46246245478080078</v>
      </c>
      <c r="G114">
        <v>0.18757037579980232</v>
      </c>
      <c r="H114">
        <v>16.266863929664634</v>
      </c>
      <c r="I114">
        <v>13.296440502140484</v>
      </c>
      <c r="J114">
        <v>0.3093736009229312</v>
      </c>
      <c r="K114">
        <v>0.12510231904431673</v>
      </c>
      <c r="L114">
        <v>16.269083577892275</v>
      </c>
      <c r="M114">
        <v>13.207782577637762</v>
      </c>
      <c r="N114">
        <v>0.37302613065459023</v>
      </c>
      <c r="O114">
        <v>0.15102950910813176</v>
      </c>
      <c r="P114">
        <v>16.268161782599503</v>
      </c>
      <c r="Q114">
        <v>13.179064586625328</v>
      </c>
      <c r="R114">
        <v>0.39363454496165301</v>
      </c>
      <c r="S114">
        <v>0.15943786704757879</v>
      </c>
      <c r="T114">
        <v>16.267863001365434</v>
      </c>
      <c r="U114">
        <v>1577.690785763901</v>
      </c>
      <c r="V114">
        <v>10.368112742421284</v>
      </c>
      <c r="W114">
        <v>1302.3745633923199</v>
      </c>
      <c r="X114">
        <v>7.3796400184706918</v>
      </c>
      <c r="Y114">
        <v>2952.2478410283566</v>
      </c>
      <c r="Z114">
        <v>10.406877094998517</v>
      </c>
      <c r="AA114">
        <v>2762.396570473215</v>
      </c>
      <c r="AB114">
        <v>7.4019899126434794</v>
      </c>
      <c r="AC114">
        <v>2276.1083870064049</v>
      </c>
      <c r="AD114">
        <v>10.390767172029141</v>
      </c>
      <c r="AE114">
        <v>2048.722946321277</v>
      </c>
      <c r="AF114">
        <v>7.3927103295212628</v>
      </c>
      <c r="AG114">
        <v>2187.5816090451381</v>
      </c>
      <c r="AH114">
        <v>10.385548974883882</v>
      </c>
      <c r="AI114">
        <v>1940.7126846155106</v>
      </c>
      <c r="AJ114">
        <v>7.3897019135357302</v>
      </c>
    </row>
    <row r="115" spans="4:36" x14ac:dyDescent="0.55000000000000004">
      <c r="D115">
        <v>108</v>
      </c>
      <c r="E115">
        <v>12.635305744632721</v>
      </c>
      <c r="F115">
        <v>0.48061693401958933</v>
      </c>
      <c r="G115">
        <v>0.16754468496133013</v>
      </c>
      <c r="H115">
        <v>16.716532636386368</v>
      </c>
      <c r="I115">
        <v>12.866766981022982</v>
      </c>
      <c r="J115">
        <v>0.31138755591483885</v>
      </c>
      <c r="K115">
        <v>0.10821908095535242</v>
      </c>
      <c r="L115">
        <v>16.713626382106838</v>
      </c>
      <c r="M115">
        <v>12.796802062483179</v>
      </c>
      <c r="N115">
        <v>0.36257397342569009</v>
      </c>
      <c r="O115">
        <v>0.12612433388870481</v>
      </c>
      <c r="P115">
        <v>16.714499630202418</v>
      </c>
      <c r="Q115">
        <v>12.753510853464936</v>
      </c>
      <c r="R115">
        <v>0.3942317759688781</v>
      </c>
      <c r="S115">
        <v>0.13721515205093968</v>
      </c>
      <c r="T115">
        <v>16.715042218515244</v>
      </c>
      <c r="U115">
        <v>1570.6585792045557</v>
      </c>
      <c r="V115">
        <v>9.9441955531836985</v>
      </c>
      <c r="W115">
        <v>1302.6638173335944</v>
      </c>
      <c r="X115">
        <v>7.1261600322840426</v>
      </c>
      <c r="Y115">
        <v>2904.0194252477299</v>
      </c>
      <c r="Z115">
        <v>9.9897151587233708</v>
      </c>
      <c r="AA115">
        <v>2732.0885727602895</v>
      </c>
      <c r="AB115">
        <v>7.1521967899864993</v>
      </c>
      <c r="AC115">
        <v>2261.6560319584714</v>
      </c>
      <c r="AD115">
        <v>9.975958795796215</v>
      </c>
      <c r="AE115">
        <v>2044.609982196675</v>
      </c>
      <c r="AF115">
        <v>7.1443375777542615</v>
      </c>
      <c r="AG115">
        <v>2126.7742020497894</v>
      </c>
      <c r="AH115">
        <v>9.9674456394943043</v>
      </c>
      <c r="AI115">
        <v>1902.7632366793985</v>
      </c>
      <c r="AJ115">
        <v>7.1394698769074196</v>
      </c>
    </row>
    <row r="116" spans="4:36" x14ac:dyDescent="0.55000000000000004">
      <c r="D116">
        <v>109</v>
      </c>
      <c r="E116">
        <v>11.335752924558758</v>
      </c>
      <c r="F116">
        <v>0.4448482906325894</v>
      </c>
      <c r="G116">
        <v>0.1575579316763894</v>
      </c>
      <c r="H116">
        <v>18.061840853132264</v>
      </c>
      <c r="I116">
        <v>11.532496058554011</v>
      </c>
      <c r="J116">
        <v>0.28147414797885084</v>
      </c>
      <c r="K116">
        <v>9.9400441779912849E-2</v>
      </c>
      <c r="L116">
        <v>18.086629351687215</v>
      </c>
      <c r="M116">
        <v>11.445534658809693</v>
      </c>
      <c r="N116">
        <v>0.35370643272787011</v>
      </c>
      <c r="O116">
        <v>0.12507074901502485</v>
      </c>
      <c r="P116">
        <v>18.075688159447413</v>
      </c>
      <c r="Q116">
        <v>11.445713731862465</v>
      </c>
      <c r="R116">
        <v>0.35355772287010462</v>
      </c>
      <c r="S116">
        <v>0.12501783042138462</v>
      </c>
      <c r="T116">
        <v>18.075710714846053</v>
      </c>
      <c r="U116">
        <v>1472.3279264002408</v>
      </c>
      <c r="V116">
        <v>8.9913834208213306</v>
      </c>
      <c r="W116">
        <v>1243.9066323365917</v>
      </c>
      <c r="X116">
        <v>6.577459308853788</v>
      </c>
      <c r="Y116">
        <v>2860.9747827904162</v>
      </c>
      <c r="Z116">
        <v>9.0165335686950172</v>
      </c>
      <c r="AA116">
        <v>2709.8317711192535</v>
      </c>
      <c r="AB116">
        <v>6.5934103466053084</v>
      </c>
      <c r="AC116">
        <v>2194.9041886964546</v>
      </c>
      <c r="AD116">
        <v>9.0054082929257628</v>
      </c>
      <c r="AE116">
        <v>2005.2007287087245</v>
      </c>
      <c r="AF116">
        <v>6.586364033367536</v>
      </c>
      <c r="AG116">
        <v>2059.716174263137</v>
      </c>
      <c r="AH116">
        <v>9.0054311881197684</v>
      </c>
      <c r="AI116">
        <v>1865.8508196613554</v>
      </c>
      <c r="AJ116">
        <v>6.5863785499750565</v>
      </c>
    </row>
    <row r="117" spans="4:36" x14ac:dyDescent="0.55000000000000004">
      <c r="D117">
        <v>110</v>
      </c>
      <c r="E117">
        <v>12.194110369066978</v>
      </c>
      <c r="F117">
        <v>0.39598056475091015</v>
      </c>
      <c r="G117">
        <v>0.14570355317059008</v>
      </c>
      <c r="H117">
        <v>17.2642055130115</v>
      </c>
      <c r="I117">
        <v>12.378474488901604</v>
      </c>
      <c r="J117">
        <v>0.26448065398686382</v>
      </c>
      <c r="K117">
        <v>9.7045108009436915E-2</v>
      </c>
      <c r="L117">
        <v>17.259999749102096</v>
      </c>
      <c r="M117">
        <v>12.298173208523373</v>
      </c>
      <c r="N117">
        <v>0.32178233887041835</v>
      </c>
      <c r="O117">
        <v>0.1182142899676303</v>
      </c>
      <c r="P117">
        <v>17.26183016263856</v>
      </c>
      <c r="Q117">
        <v>12.270980956085591</v>
      </c>
      <c r="R117">
        <v>0.34117727458816782</v>
      </c>
      <c r="S117">
        <v>0.12539127473117939</v>
      </c>
      <c r="T117">
        <v>17.262450494595065</v>
      </c>
      <c r="U117">
        <v>1510.0289623033304</v>
      </c>
      <c r="V117">
        <v>9.6261135769880539</v>
      </c>
      <c r="W117">
        <v>1272.1271119777041</v>
      </c>
      <c r="X117">
        <v>6.9522610251168544</v>
      </c>
      <c r="Y117">
        <v>2864.3841095321432</v>
      </c>
      <c r="Z117">
        <v>9.6619686528806703</v>
      </c>
      <c r="AA117">
        <v>2711.5607937275008</v>
      </c>
      <c r="AB117">
        <v>6.9730142406225522</v>
      </c>
      <c r="AC117">
        <v>2174.9317807784187</v>
      </c>
      <c r="AD117">
        <v>9.6463528568210926</v>
      </c>
      <c r="AE117">
        <v>1990.5535406632127</v>
      </c>
      <c r="AF117">
        <v>6.963983297185969</v>
      </c>
      <c r="AG117">
        <v>2072.9346237966038</v>
      </c>
      <c r="AH117">
        <v>9.6410645040353184</v>
      </c>
      <c r="AI117">
        <v>1873.7158916965986</v>
      </c>
      <c r="AJ117">
        <v>6.9609222797479493</v>
      </c>
    </row>
    <row r="118" spans="4:36" x14ac:dyDescent="0.55000000000000004">
      <c r="D118">
        <v>111</v>
      </c>
      <c r="E118">
        <v>10.773775895355593</v>
      </c>
      <c r="F118">
        <v>0.38480124658965753</v>
      </c>
      <c r="G118">
        <v>0.13042267105700181</v>
      </c>
      <c r="H118">
        <v>18.711000186997744</v>
      </c>
      <c r="I118">
        <v>10.917124029101121</v>
      </c>
      <c r="J118">
        <v>0.26618041656658009</v>
      </c>
      <c r="K118">
        <v>9.0009933396033942E-2</v>
      </c>
      <c r="L118">
        <v>18.726685620936273</v>
      </c>
      <c r="M118">
        <v>10.84816111681701</v>
      </c>
      <c r="N118">
        <v>0.32325861871706091</v>
      </c>
      <c r="O118">
        <v>0.10943225908451533</v>
      </c>
      <c r="P118">
        <v>18.71914800538141</v>
      </c>
      <c r="Q118">
        <v>10.804169454079231</v>
      </c>
      <c r="R118">
        <v>0.35965808096860341</v>
      </c>
      <c r="S118">
        <v>0.1218408949741335</v>
      </c>
      <c r="T118">
        <v>18.714331569978032</v>
      </c>
      <c r="U118">
        <v>1449.5684488844395</v>
      </c>
      <c r="V118">
        <v>8.4773778228061065</v>
      </c>
      <c r="W118">
        <v>1237.9952756249638</v>
      </c>
      <c r="X118">
        <v>6.2660996609968009</v>
      </c>
      <c r="Y118">
        <v>2823.1361941442583</v>
      </c>
      <c r="Z118">
        <v>8.4922621396528406</v>
      </c>
      <c r="AA118">
        <v>2687.0186477354337</v>
      </c>
      <c r="AB118">
        <v>6.2757894883972112</v>
      </c>
      <c r="AC118">
        <v>2129.6674424376251</v>
      </c>
      <c r="AD118">
        <v>8.4850965643020402</v>
      </c>
      <c r="AE118">
        <v>1964.2782929763302</v>
      </c>
      <c r="AF118">
        <v>6.2711296348468952</v>
      </c>
      <c r="AG118">
        <v>2017.4028400040249</v>
      </c>
      <c r="AH118">
        <v>8.4805303854008631</v>
      </c>
      <c r="AI118">
        <v>1839.0919035728798</v>
      </c>
      <c r="AJ118">
        <v>6.2681553631538858</v>
      </c>
    </row>
    <row r="119" spans="4:36" x14ac:dyDescent="0.55000000000000004">
      <c r="D119">
        <v>112</v>
      </c>
      <c r="E119">
        <v>13.297214314347274</v>
      </c>
      <c r="F119">
        <v>0.52773957197128019</v>
      </c>
      <c r="G119">
        <v>0.15222754332735827</v>
      </c>
      <c r="H119">
        <v>16.022818570354094</v>
      </c>
      <c r="I119">
        <v>13.529247834659081</v>
      </c>
      <c r="J119">
        <v>0.34754921900942798</v>
      </c>
      <c r="K119">
        <v>9.9956214134440599E-2</v>
      </c>
      <c r="L119">
        <v>16.023246732197048</v>
      </c>
      <c r="M119">
        <v>13.441249706844774</v>
      </c>
      <c r="N119">
        <v>0.41591656033468166</v>
      </c>
      <c r="O119">
        <v>0.11975206282609656</v>
      </c>
      <c r="P119">
        <v>16.02308166999445</v>
      </c>
      <c r="Q119">
        <v>13.367537218574691</v>
      </c>
      <c r="R119">
        <v>0.473156419688676</v>
      </c>
      <c r="S119">
        <v>0.1363604437619875</v>
      </c>
      <c r="T119">
        <v>16.022945917974639</v>
      </c>
      <c r="U119">
        <v>1589.2765361701797</v>
      </c>
      <c r="V119">
        <v>10.378260144368099</v>
      </c>
      <c r="W119">
        <v>1309.9143309673234</v>
      </c>
      <c r="X119">
        <v>7.3611527640019352</v>
      </c>
      <c r="Y119">
        <v>2923.5498185276774</v>
      </c>
      <c r="Z119">
        <v>10.418164134655921</v>
      </c>
      <c r="AA119">
        <v>2741.773952596157</v>
      </c>
      <c r="AB119">
        <v>7.3839360097110207</v>
      </c>
      <c r="AC119">
        <v>2245.1204379708029</v>
      </c>
      <c r="AD119">
        <v>10.403031857877354</v>
      </c>
      <c r="AE119">
        <v>2026.6524026650627</v>
      </c>
      <c r="AF119">
        <v>7.3753049572678284</v>
      </c>
      <c r="AG119">
        <v>2182.4691443906486</v>
      </c>
      <c r="AH119">
        <v>10.390355024629015</v>
      </c>
      <c r="AI119">
        <v>1934.6136063577585</v>
      </c>
      <c r="AJ119">
        <v>7.3680662260582723</v>
      </c>
    </row>
    <row r="120" spans="4:36" x14ac:dyDescent="0.55000000000000004">
      <c r="D120">
        <v>113</v>
      </c>
      <c r="E120">
        <v>13.240584622879856</v>
      </c>
      <c r="F120">
        <v>0.48565088702385517</v>
      </c>
      <c r="G120">
        <v>0.18779786317812563</v>
      </c>
      <c r="H120">
        <v>16.085966626918175</v>
      </c>
      <c r="I120">
        <v>13.457327742913842</v>
      </c>
      <c r="J120">
        <v>0.33147587958024649</v>
      </c>
      <c r="K120">
        <v>0.1277705102159496</v>
      </c>
      <c r="L120">
        <v>16.083425867289947</v>
      </c>
      <c r="M120">
        <v>13.379640632320758</v>
      </c>
      <c r="N120">
        <v>0.38676871335665886</v>
      </c>
      <c r="O120">
        <v>0.1492537430308338</v>
      </c>
      <c r="P120">
        <v>16.08433691129175</v>
      </c>
      <c r="Q120">
        <v>13.343068560757068</v>
      </c>
      <c r="R120">
        <v>0.41278610567965957</v>
      </c>
      <c r="S120">
        <v>0.15937967624550678</v>
      </c>
      <c r="T120">
        <v>16.084765657317753</v>
      </c>
      <c r="U120">
        <v>1573.2387622406804</v>
      </c>
      <c r="V120">
        <v>10.477120217188228</v>
      </c>
      <c r="W120">
        <v>1299.6557692571948</v>
      </c>
      <c r="X120">
        <v>7.4388957526585839</v>
      </c>
      <c r="Y120">
        <v>2942.4540987539353</v>
      </c>
      <c r="Z120">
        <v>10.520229615520229</v>
      </c>
      <c r="AA120">
        <v>2755.1400273380364</v>
      </c>
      <c r="AB120">
        <v>7.4636863562445264</v>
      </c>
      <c r="AC120">
        <v>2286.6428731580991</v>
      </c>
      <c r="AD120">
        <v>10.504777296563637</v>
      </c>
      <c r="AE120">
        <v>2056.9319632945294</v>
      </c>
      <c r="AF120">
        <v>7.4548095206534963</v>
      </c>
      <c r="AG120">
        <v>2138.2055236469005</v>
      </c>
      <c r="AH120">
        <v>10.497503192475383</v>
      </c>
      <c r="AI120">
        <v>1905.7877722195171</v>
      </c>
      <c r="AJ120">
        <v>7.4506272451788043</v>
      </c>
    </row>
    <row r="121" spans="4:36" x14ac:dyDescent="0.55000000000000004">
      <c r="D121">
        <v>114</v>
      </c>
      <c r="E121">
        <v>13.803090741596579</v>
      </c>
      <c r="F121">
        <v>0.51551422084779719</v>
      </c>
      <c r="G121">
        <v>0.17072389963528478</v>
      </c>
      <c r="H121">
        <v>15.510671137920337</v>
      </c>
      <c r="I121">
        <v>14.082813162780823</v>
      </c>
      <c r="J121">
        <v>0.3176810545127452</v>
      </c>
      <c r="K121">
        <v>0.10483075091725716</v>
      </c>
      <c r="L121">
        <v>15.494675031789173</v>
      </c>
      <c r="M121">
        <v>13.967661286129538</v>
      </c>
      <c r="N121">
        <v>0.39917704271632243</v>
      </c>
      <c r="O121">
        <v>0.13191689257865799</v>
      </c>
      <c r="P121">
        <v>15.501244778575479</v>
      </c>
      <c r="Q121">
        <v>13.930007645715119</v>
      </c>
      <c r="R121">
        <v>0.42580886897839199</v>
      </c>
      <c r="S121">
        <v>0.14078583899757646</v>
      </c>
      <c r="T121">
        <v>15.503397646308926</v>
      </c>
      <c r="U121">
        <v>1601.295244955975</v>
      </c>
      <c r="V121">
        <v>10.900820682186108</v>
      </c>
      <c r="W121">
        <v>1315.0979024194166</v>
      </c>
      <c r="X121">
        <v>7.6802554462674717</v>
      </c>
      <c r="Y121">
        <v>2934.4469671909656</v>
      </c>
      <c r="Z121">
        <v>10.963800866455857</v>
      </c>
      <c r="AA121">
        <v>2748.8797186701977</v>
      </c>
      <c r="AB121">
        <v>7.7152915204889876</v>
      </c>
      <c r="AC121">
        <v>2270.0897912245118</v>
      </c>
      <c r="AD121">
        <v>10.93788346898422</v>
      </c>
      <c r="AE121">
        <v>2042.224366969665</v>
      </c>
      <c r="AF121">
        <v>7.7008879377220021</v>
      </c>
      <c r="AG121">
        <v>2237.3692211904281</v>
      </c>
      <c r="AH121">
        <v>10.929405891805505</v>
      </c>
      <c r="AI121">
        <v>1973.099762368578</v>
      </c>
      <c r="AJ121">
        <v>7.6961721944437667</v>
      </c>
    </row>
    <row r="122" spans="4:36" x14ac:dyDescent="0.55000000000000004">
      <c r="D122">
        <v>115</v>
      </c>
      <c r="E122">
        <v>13.058567493530157</v>
      </c>
      <c r="F122">
        <v>0.4720606412708428</v>
      </c>
      <c r="G122">
        <v>0.16106070453946195</v>
      </c>
      <c r="H122">
        <v>16.308311160659557</v>
      </c>
      <c r="I122">
        <v>13.328320625520712</v>
      </c>
      <c r="J122">
        <v>0.2843151535540136</v>
      </c>
      <c r="K122">
        <v>9.663730490340626E-2</v>
      </c>
      <c r="L122">
        <v>16.290726916021875</v>
      </c>
      <c r="M122">
        <v>13.229927016382414</v>
      </c>
      <c r="N122">
        <v>0.35284826010436099</v>
      </c>
      <c r="O122">
        <v>0.12009647753156712</v>
      </c>
      <c r="P122">
        <v>16.297128245981675</v>
      </c>
      <c r="Q122">
        <v>13.169237985514295</v>
      </c>
      <c r="R122">
        <v>0.39508963925039198</v>
      </c>
      <c r="S122">
        <v>0.13458861383558121</v>
      </c>
      <c r="T122">
        <v>16.301083761399727</v>
      </c>
      <c r="U122">
        <v>1572.8871104044401</v>
      </c>
      <c r="V122">
        <v>10.28594776894767</v>
      </c>
      <c r="W122">
        <v>1302.0357068826381</v>
      </c>
      <c r="X122">
        <v>7.3268297185784004</v>
      </c>
      <c r="Y122">
        <v>2929.9066431082274</v>
      </c>
      <c r="Z122">
        <v>10.346524210188514</v>
      </c>
      <c r="AA122">
        <v>2750.854118637636</v>
      </c>
      <c r="AB122">
        <v>7.3610312707667758</v>
      </c>
      <c r="AC122">
        <v>2212.952017173146</v>
      </c>
      <c r="AD122">
        <v>10.324435414418419</v>
      </c>
      <c r="AE122">
        <v>2008.1079439797768</v>
      </c>
      <c r="AF122">
        <v>7.3485744556348234</v>
      </c>
      <c r="AG122">
        <v>2128.4105483042113</v>
      </c>
      <c r="AH122">
        <v>10.310807245819614</v>
      </c>
      <c r="AI122">
        <v>1901.4569988976341</v>
      </c>
      <c r="AJ122">
        <v>7.3408806562377169</v>
      </c>
    </row>
    <row r="123" spans="4:36" x14ac:dyDescent="0.55000000000000004">
      <c r="D123">
        <v>116</v>
      </c>
      <c r="E123">
        <v>14.158324824758187</v>
      </c>
      <c r="F123">
        <v>0.49506043385785292</v>
      </c>
      <c r="G123">
        <v>0.1550295362638911</v>
      </c>
      <c r="H123">
        <v>15.191585205120059</v>
      </c>
      <c r="I123">
        <v>14.388888168738751</v>
      </c>
      <c r="J123">
        <v>0.33507410696494083</v>
      </c>
      <c r="K123">
        <v>0.10460408528827972</v>
      </c>
      <c r="L123">
        <v>15.171433639008034</v>
      </c>
      <c r="M123">
        <v>14.319215770692448</v>
      </c>
      <c r="N123">
        <v>0.38345236262839638</v>
      </c>
      <c r="O123">
        <v>0.11981872337501218</v>
      </c>
      <c r="P123">
        <v>15.17751314330415</v>
      </c>
      <c r="Q123">
        <v>14.263601638605669</v>
      </c>
      <c r="R123">
        <v>0.42204853936286152</v>
      </c>
      <c r="S123">
        <v>0.13197770609889967</v>
      </c>
      <c r="T123">
        <v>15.182372115932573</v>
      </c>
      <c r="U123">
        <v>1620.5638670871879</v>
      </c>
      <c r="V123">
        <v>11.106469939645164</v>
      </c>
      <c r="W123">
        <v>1328.0623008499874</v>
      </c>
      <c r="X123">
        <v>7.7905872545854651</v>
      </c>
      <c r="Y123">
        <v>2954.6822104492162</v>
      </c>
      <c r="Z123">
        <v>11.162721457088248</v>
      </c>
      <c r="AA123">
        <v>2760.5625828374941</v>
      </c>
      <c r="AB123">
        <v>7.8218095964410548</v>
      </c>
      <c r="AC123">
        <v>2278.3043359494304</v>
      </c>
      <c r="AD123">
        <v>11.145728292405343</v>
      </c>
      <c r="AE123">
        <v>2047.4769274564537</v>
      </c>
      <c r="AF123">
        <v>7.8123865606235592</v>
      </c>
      <c r="AG123">
        <v>2196.9031161554212</v>
      </c>
      <c r="AH123">
        <v>11.13216078992904</v>
      </c>
      <c r="AI123">
        <v>1942.8591987370037</v>
      </c>
      <c r="AJ123">
        <v>7.804857548764164</v>
      </c>
    </row>
    <row r="124" spans="4:36" x14ac:dyDescent="0.55000000000000004">
      <c r="D124">
        <v>117</v>
      </c>
      <c r="E124">
        <v>13.09327060051683</v>
      </c>
      <c r="F124">
        <v>0.48855114360780949</v>
      </c>
      <c r="G124">
        <v>0.15757936637982126</v>
      </c>
      <c r="H124">
        <v>16.260598889495547</v>
      </c>
      <c r="I124">
        <v>13.325199019241394</v>
      </c>
      <c r="J124">
        <v>0.31525416928463068</v>
      </c>
      <c r="K124">
        <v>0.10136250929073139</v>
      </c>
      <c r="L124">
        <v>16.258184302183235</v>
      </c>
      <c r="M124">
        <v>13.217388173342012</v>
      </c>
      <c r="N124">
        <v>0.39584650520357378</v>
      </c>
      <c r="O124">
        <v>0.12746148135570709</v>
      </c>
      <c r="P124">
        <v>16.25930384009871</v>
      </c>
      <c r="Q124">
        <v>13.190000922446739</v>
      </c>
      <c r="R124">
        <v>0.41630948303759491</v>
      </c>
      <c r="S124">
        <v>0.13410056623577118</v>
      </c>
      <c r="T124">
        <v>16.259589028279905</v>
      </c>
      <c r="U124">
        <v>1529.5955736153524</v>
      </c>
      <c r="V124">
        <v>10.375448148166493</v>
      </c>
      <c r="W124">
        <v>1274.6557526337388</v>
      </c>
      <c r="X124">
        <v>7.3845261507290187</v>
      </c>
      <c r="Y124">
        <v>2916.9980831817829</v>
      </c>
      <c r="Z124">
        <v>10.419949401616046</v>
      </c>
      <c r="AA124">
        <v>2742.4353065288392</v>
      </c>
      <c r="AB124">
        <v>7.4099477797449849</v>
      </c>
      <c r="AC124">
        <v>2222.3741906588134</v>
      </c>
      <c r="AD124">
        <v>10.399264977716566</v>
      </c>
      <c r="AE124">
        <v>2015.5623453076889</v>
      </c>
      <c r="AF124">
        <v>7.3981422041913554</v>
      </c>
      <c r="AG124">
        <v>2141.9781957959367</v>
      </c>
      <c r="AH124">
        <v>10.394010012091476</v>
      </c>
      <c r="AI124">
        <v>1913.7488590553487</v>
      </c>
      <c r="AJ124">
        <v>7.3951400448657969</v>
      </c>
    </row>
    <row r="125" spans="4:36" x14ac:dyDescent="0.55000000000000004">
      <c r="D125">
        <v>118</v>
      </c>
      <c r="E125">
        <v>13.194898534852531</v>
      </c>
      <c r="F125">
        <v>0.48233127346398486</v>
      </c>
      <c r="G125">
        <v>0.16068581302232715</v>
      </c>
      <c r="H125">
        <v>16.162084378661163</v>
      </c>
      <c r="I125">
        <v>13.412043798723268</v>
      </c>
      <c r="J125">
        <v>0.32506032848082766</v>
      </c>
      <c r="K125">
        <v>0.10796189535377364</v>
      </c>
      <c r="L125">
        <v>16.154933977442141</v>
      </c>
      <c r="M125">
        <v>13.332012615447582</v>
      </c>
      <c r="N125">
        <v>0.38305564383130564</v>
      </c>
      <c r="O125">
        <v>0.12736638643192971</v>
      </c>
      <c r="P125">
        <v>16.157565354289169</v>
      </c>
      <c r="Q125">
        <v>13.317319475360559</v>
      </c>
      <c r="R125">
        <v>0.39369918847768282</v>
      </c>
      <c r="S125">
        <v>0.13093237785798784</v>
      </c>
      <c r="T125">
        <v>16.158048958303777</v>
      </c>
      <c r="U125">
        <v>1562.4936447983494</v>
      </c>
      <c r="V125">
        <v>10.434243676029402</v>
      </c>
      <c r="W125">
        <v>1296.3575713225957</v>
      </c>
      <c r="X125">
        <v>7.4153075489065028</v>
      </c>
      <c r="Y125">
        <v>2918.3012096767388</v>
      </c>
      <c r="Z125">
        <v>10.476694858385633</v>
      </c>
      <c r="AA125">
        <v>2741.178605625304</v>
      </c>
      <c r="AB125">
        <v>7.4394003935931128</v>
      </c>
      <c r="AC125">
        <v>2260.4889938345564</v>
      </c>
      <c r="AD125">
        <v>10.461051409543799</v>
      </c>
      <c r="AE125">
        <v>2041.8302443583971</v>
      </c>
      <c r="AF125">
        <v>7.4305305425238597</v>
      </c>
      <c r="AG125">
        <v>2127.3684861901947</v>
      </c>
      <c r="AH125">
        <v>10.45817908576068</v>
      </c>
      <c r="AI125">
        <v>1902.8767111079067</v>
      </c>
      <c r="AJ125">
        <v>7.4289008637121059</v>
      </c>
    </row>
    <row r="126" spans="4:36" x14ac:dyDescent="0.55000000000000004">
      <c r="D126">
        <v>119</v>
      </c>
      <c r="E126">
        <v>13.526604452839397</v>
      </c>
      <c r="F126">
        <v>0.48223252976432407</v>
      </c>
      <c r="G126">
        <v>0.15019202377856347</v>
      </c>
      <c r="H126">
        <v>15.840970993617704</v>
      </c>
      <c r="I126">
        <v>13.780254873979926</v>
      </c>
      <c r="J126">
        <v>0.31281780212491739</v>
      </c>
      <c r="K126">
        <v>9.7079512654475703E-2</v>
      </c>
      <c r="L126">
        <v>15.809847811240669</v>
      </c>
      <c r="M126">
        <v>13.705407576416253</v>
      </c>
      <c r="N126">
        <v>0.36285184328200121</v>
      </c>
      <c r="O126">
        <v>0.11272533369984634</v>
      </c>
      <c r="P126">
        <v>15.819015246601916</v>
      </c>
      <c r="Q126">
        <v>13.636985839701001</v>
      </c>
      <c r="R126">
        <v>0.40855909589290756</v>
      </c>
      <c r="S126">
        <v>0.1270474230663303</v>
      </c>
      <c r="T126">
        <v>15.827407641339752</v>
      </c>
      <c r="U126">
        <v>1576.2658920063377</v>
      </c>
      <c r="V126">
        <v>10.621354261283837</v>
      </c>
      <c r="W126">
        <v>1303.375250933263</v>
      </c>
      <c r="X126">
        <v>7.516953874506239</v>
      </c>
      <c r="Y126">
        <v>2931.0869214759014</v>
      </c>
      <c r="Z126">
        <v>10.686903480849729</v>
      </c>
      <c r="AA126">
        <v>2749.2076747115725</v>
      </c>
      <c r="AB126">
        <v>7.5533244728088667</v>
      </c>
      <c r="AC126">
        <v>2245.601887825057</v>
      </c>
      <c r="AD126">
        <v>10.667570445351984</v>
      </c>
      <c r="AE126">
        <v>2030.283969711061</v>
      </c>
      <c r="AF126">
        <v>7.5426091152915333</v>
      </c>
      <c r="AG126">
        <v>2154.2886931445923</v>
      </c>
      <c r="AH126">
        <v>10.649890371796863</v>
      </c>
      <c r="AI126">
        <v>1918.6142214427728</v>
      </c>
      <c r="AJ126">
        <v>7.532801340303191</v>
      </c>
    </row>
    <row r="127" spans="4:36" x14ac:dyDescent="0.55000000000000004">
      <c r="D127">
        <v>120</v>
      </c>
      <c r="E127">
        <v>12.224123431312606</v>
      </c>
      <c r="F127">
        <v>0.46733701088924379</v>
      </c>
      <c r="G127">
        <v>0.16032732724750523</v>
      </c>
      <c r="H127">
        <v>17.148212230550641</v>
      </c>
      <c r="I127">
        <v>12.462166228945124</v>
      </c>
      <c r="J127">
        <v>0.28646595505108047</v>
      </c>
      <c r="K127">
        <v>9.7941761020829576E-2</v>
      </c>
      <c r="L127">
        <v>17.153426054982983</v>
      </c>
      <c r="M127">
        <v>12.343557617088388</v>
      </c>
      <c r="N127">
        <v>0.37662608408166059</v>
      </c>
      <c r="O127">
        <v>0.12898554802294732</v>
      </c>
      <c r="P127">
        <v>17.150830750807017</v>
      </c>
      <c r="Q127">
        <v>12.314554519446338</v>
      </c>
      <c r="R127">
        <v>0.39866121777253399</v>
      </c>
      <c r="S127">
        <v>0.1365889094588959</v>
      </c>
      <c r="T127">
        <v>17.150195353322214</v>
      </c>
      <c r="U127">
        <v>1494.6922047373305</v>
      </c>
      <c r="V127">
        <v>9.6204366513977266</v>
      </c>
      <c r="W127">
        <v>1256.7084358006684</v>
      </c>
      <c r="X127">
        <v>6.9361022532223355</v>
      </c>
      <c r="Y127">
        <v>2873.6368644876152</v>
      </c>
      <c r="Z127">
        <v>9.6573290358177513</v>
      </c>
      <c r="AA127">
        <v>2717.1641428354997</v>
      </c>
      <c r="AB127">
        <v>6.9576936056155461</v>
      </c>
      <c r="AC127">
        <v>2189.4247938593062</v>
      </c>
      <c r="AD127">
        <v>9.6389460890843193</v>
      </c>
      <c r="AE127">
        <v>1997.7810623622536</v>
      </c>
      <c r="AF127">
        <v>6.9469457558376497</v>
      </c>
      <c r="AG127">
        <v>2089.7715345056981</v>
      </c>
      <c r="AH127">
        <v>9.6344511682522427</v>
      </c>
      <c r="AI127">
        <v>1882.5000461078268</v>
      </c>
      <c r="AJ127">
        <v>6.9443144834318309</v>
      </c>
    </row>
    <row r="128" spans="4:36" x14ac:dyDescent="0.55000000000000004">
      <c r="D128">
        <v>121</v>
      </c>
      <c r="E128">
        <v>14.12258911675683</v>
      </c>
      <c r="F128">
        <v>0.49373228690187965</v>
      </c>
      <c r="G128">
        <v>0.18049485646155605</v>
      </c>
      <c r="H128">
        <v>15.203183739879734</v>
      </c>
      <c r="I128">
        <v>14.419165059686188</v>
      </c>
      <c r="J128">
        <v>0.30636134452243224</v>
      </c>
      <c r="K128">
        <v>0.1115494978549007</v>
      </c>
      <c r="L128">
        <v>15.162924097936489</v>
      </c>
      <c r="M128">
        <v>14.325539502548702</v>
      </c>
      <c r="N128">
        <v>0.36557560428656721</v>
      </c>
      <c r="O128">
        <v>0.13327745486192361</v>
      </c>
      <c r="P128">
        <v>15.175607438302812</v>
      </c>
      <c r="Q128">
        <v>14.261301342538639</v>
      </c>
      <c r="R128">
        <v>0.40616985412538031</v>
      </c>
      <c r="S128">
        <v>0.14820520531929504</v>
      </c>
      <c r="T128">
        <v>15.184323598016681</v>
      </c>
      <c r="U128">
        <v>1654.3569179656558</v>
      </c>
      <c r="V128">
        <v>11.169422678736048</v>
      </c>
      <c r="W128">
        <v>1354.0597958872977</v>
      </c>
      <c r="X128">
        <v>7.8377823108633189</v>
      </c>
      <c r="Y128">
        <v>2927.8137322091734</v>
      </c>
      <c r="Z128">
        <v>11.248260612812924</v>
      </c>
      <c r="AA128">
        <v>2744.8238671944519</v>
      </c>
      <c r="AB128">
        <v>7.8809031708114521</v>
      </c>
      <c r="AC128">
        <v>2260.7727973233691</v>
      </c>
      <c r="AD128">
        <v>11.223388442831569</v>
      </c>
      <c r="AE128">
        <v>2037.7816452651575</v>
      </c>
      <c r="AF128">
        <v>7.8673144030838946</v>
      </c>
      <c r="AG128">
        <v>2188.5966066966021</v>
      </c>
      <c r="AH128">
        <v>11.206314682389621</v>
      </c>
      <c r="AI128">
        <v>1939.7021217631298</v>
      </c>
      <c r="AJ128">
        <v>7.857978179450849</v>
      </c>
    </row>
    <row r="129" spans="4:36" x14ac:dyDescent="0.55000000000000004">
      <c r="D129">
        <v>122</v>
      </c>
      <c r="E129">
        <v>12.428751205928057</v>
      </c>
      <c r="F129">
        <v>0.39960736476331399</v>
      </c>
      <c r="G129">
        <v>0.18111560381195105</v>
      </c>
      <c r="H129">
        <v>16.99052582549669</v>
      </c>
      <c r="I129">
        <v>12.646398046757485</v>
      </c>
      <c r="J129">
        <v>0.25728269384955665</v>
      </c>
      <c r="K129">
        <v>0.11623384426388272</v>
      </c>
      <c r="L129">
        <v>16.980085415129093</v>
      </c>
      <c r="M129">
        <v>12.546240126669403</v>
      </c>
      <c r="N129">
        <v>0.32281937327997989</v>
      </c>
      <c r="O129">
        <v>0.1460574055525318</v>
      </c>
      <c r="P129">
        <v>16.98488309449808</v>
      </c>
      <c r="Q129">
        <v>12.508504052154189</v>
      </c>
      <c r="R129">
        <v>0.34749330150835051</v>
      </c>
      <c r="S129">
        <v>0.15730893242346283</v>
      </c>
      <c r="T129">
        <v>16.986693713913997</v>
      </c>
      <c r="U129">
        <v>1526.3738309776079</v>
      </c>
      <c r="V129">
        <v>9.8454926510870173</v>
      </c>
      <c r="W129">
        <v>1276.2913316586478</v>
      </c>
      <c r="X129">
        <v>7.0820013703983244</v>
      </c>
      <c r="Y129">
        <v>2896.9698259517149</v>
      </c>
      <c r="Z129">
        <v>9.8895671088349211</v>
      </c>
      <c r="AA129">
        <v>2730.8432275187565</v>
      </c>
      <c r="AB129">
        <v>7.1071179621906504</v>
      </c>
      <c r="AC129">
        <v>2218.298631077198</v>
      </c>
      <c r="AD129">
        <v>9.8692891993801481</v>
      </c>
      <c r="AE129">
        <v>2015.9154134324608</v>
      </c>
      <c r="AF129">
        <v>7.0955722707379261</v>
      </c>
      <c r="AG129">
        <v>2122.6495424823252</v>
      </c>
      <c r="AH129">
        <v>9.8616471861471062</v>
      </c>
      <c r="AI129">
        <v>1902.843586546855</v>
      </c>
      <c r="AJ129">
        <v>7.091216698484784</v>
      </c>
    </row>
    <row r="130" spans="4:36" x14ac:dyDescent="0.55000000000000004">
      <c r="D130">
        <v>123</v>
      </c>
      <c r="E130">
        <v>12.329838921044418</v>
      </c>
      <c r="F130">
        <v>0.43634842958530995</v>
      </c>
      <c r="G130">
        <v>0.15974777301586637</v>
      </c>
      <c r="H130">
        <v>17.074064876354402</v>
      </c>
      <c r="I130">
        <v>12.545645695162232</v>
      </c>
      <c r="J130">
        <v>0.28327826016763319</v>
      </c>
      <c r="K130">
        <v>0.10337827353377028</v>
      </c>
      <c r="L130">
        <v>17.067697771136366</v>
      </c>
      <c r="M130">
        <v>12.46204165156373</v>
      </c>
      <c r="N130">
        <v>0.34261231446696272</v>
      </c>
      <c r="O130">
        <v>0.12518530738602288</v>
      </c>
      <c r="P130">
        <v>17.070160726583268</v>
      </c>
      <c r="Q130">
        <v>12.428393191106313</v>
      </c>
      <c r="R130">
        <v>0.36648052735867126</v>
      </c>
      <c r="S130">
        <v>0.13397297189221297</v>
      </c>
      <c r="T130">
        <v>17.071153309642799</v>
      </c>
      <c r="U130">
        <v>1520.1101850251473</v>
      </c>
      <c r="V130">
        <v>9.7499082523264313</v>
      </c>
      <c r="W130">
        <v>1274.9022779555028</v>
      </c>
      <c r="X130">
        <v>7.0243401818412163</v>
      </c>
      <c r="Y130">
        <v>2889.9900939379272</v>
      </c>
      <c r="Z130">
        <v>9.7975655347402757</v>
      </c>
      <c r="AA130">
        <v>2727.6359821272772</v>
      </c>
      <c r="AB130">
        <v>7.0518774014606977</v>
      </c>
      <c r="AC130">
        <v>2205.2020990260494</v>
      </c>
      <c r="AD130">
        <v>9.779104712455343</v>
      </c>
      <c r="AE130">
        <v>2009.6750269248946</v>
      </c>
      <c r="AF130">
        <v>7.0412215822159512</v>
      </c>
      <c r="AG130">
        <v>2114.9312029974953</v>
      </c>
      <c r="AH130">
        <v>9.7716740985811104</v>
      </c>
      <c r="AI130">
        <v>1900.9183546361162</v>
      </c>
      <c r="AJ130">
        <v>7.0369285695196284</v>
      </c>
    </row>
    <row r="131" spans="4:36" x14ac:dyDescent="0.55000000000000004">
      <c r="D131">
        <v>124</v>
      </c>
      <c r="E131">
        <v>11.981450187880558</v>
      </c>
      <c r="F131">
        <v>0.43262275146801388</v>
      </c>
      <c r="G131">
        <v>0.16747365097847142</v>
      </c>
      <c r="H131">
        <v>17.418453409672956</v>
      </c>
      <c r="I131">
        <v>12.173231036620558</v>
      </c>
      <c r="J131">
        <v>0.28686871402120823</v>
      </c>
      <c r="K131">
        <v>0.11072567808353756</v>
      </c>
      <c r="L131">
        <v>17.429174571274689</v>
      </c>
      <c r="M131">
        <v>12.089380803236985</v>
      </c>
      <c r="N131">
        <v>0.35061986077554014</v>
      </c>
      <c r="O131">
        <v>0.1355051428474541</v>
      </c>
      <c r="P131">
        <v>17.424494193140013</v>
      </c>
      <c r="Q131">
        <v>12.073834826511678</v>
      </c>
      <c r="R131">
        <v>0.36243522793139199</v>
      </c>
      <c r="S131">
        <v>0.1401047131984326</v>
      </c>
      <c r="T131">
        <v>17.423625232358503</v>
      </c>
      <c r="U131">
        <v>1528.2711881361672</v>
      </c>
      <c r="V131">
        <v>9.4225951685908971</v>
      </c>
      <c r="W131">
        <v>1280.9162408907189</v>
      </c>
      <c r="X131">
        <v>6.8214034415583029</v>
      </c>
      <c r="Y131">
        <v>2882.1121988215082</v>
      </c>
      <c r="Z131">
        <v>9.4505003958932488</v>
      </c>
      <c r="AA131">
        <v>2721.5464864649662</v>
      </c>
      <c r="AB131">
        <v>6.838156762077217</v>
      </c>
      <c r="AC131">
        <v>2193.6432548320167</v>
      </c>
      <c r="AD131">
        <v>9.4382962456973107</v>
      </c>
      <c r="AE131">
        <v>2000.4990327347614</v>
      </c>
      <c r="AF131">
        <v>6.830837461565717</v>
      </c>
      <c r="AG131">
        <v>2093.4143020591791</v>
      </c>
      <c r="AH131">
        <v>9.4360341628957833</v>
      </c>
      <c r="AI131">
        <v>1885.5183466204189</v>
      </c>
      <c r="AJ131">
        <v>6.8294795041192655</v>
      </c>
    </row>
    <row r="132" spans="4:36" x14ac:dyDescent="0.55000000000000004">
      <c r="D132">
        <v>125</v>
      </c>
      <c r="E132">
        <v>12.558448645260436</v>
      </c>
      <c r="F132">
        <v>0.45960777146023829</v>
      </c>
      <c r="G132">
        <v>0.17939311977507197</v>
      </c>
      <c r="H132">
        <v>16.802550463504261</v>
      </c>
      <c r="I132">
        <v>12.796507088333296</v>
      </c>
      <c r="J132">
        <v>0.28426382212917939</v>
      </c>
      <c r="K132">
        <v>0.11055638341338465</v>
      </c>
      <c r="L132">
        <v>16.808672706124128</v>
      </c>
      <c r="M132">
        <v>12.685350546452124</v>
      </c>
      <c r="N132">
        <v>0.36617735615464381</v>
      </c>
      <c r="O132">
        <v>0.14265181541410948</v>
      </c>
      <c r="P132">
        <v>16.805820281979123</v>
      </c>
      <c r="Q132">
        <v>12.640844795696205</v>
      </c>
      <c r="R132">
        <v>0.39895484823922756</v>
      </c>
      <c r="S132">
        <v>0.15552520074745785</v>
      </c>
      <c r="T132">
        <v>16.804675155317121</v>
      </c>
      <c r="U132">
        <v>1564.5460660067322</v>
      </c>
      <c r="V132">
        <v>9.9852195700083595</v>
      </c>
      <c r="W132">
        <v>1297.7669205391164</v>
      </c>
      <c r="X132">
        <v>7.1611806721161368</v>
      </c>
      <c r="Y132">
        <v>2913.9269092473664</v>
      </c>
      <c r="Z132">
        <v>10.021955165113742</v>
      </c>
      <c r="AA132">
        <v>2740.1195654599992</v>
      </c>
      <c r="AB132">
        <v>7.1827095407424402</v>
      </c>
      <c r="AC132">
        <v>2249.1620928362017</v>
      </c>
      <c r="AD132">
        <v>10.004799649334579</v>
      </c>
      <c r="AE132">
        <v>2033.6926475197749</v>
      </c>
      <c r="AF132">
        <v>7.1726663321790047</v>
      </c>
      <c r="AG132">
        <v>2172.1326506902997</v>
      </c>
      <c r="AH132">
        <v>9.9979320471695114</v>
      </c>
      <c r="AI132">
        <v>1933.3082470583777</v>
      </c>
      <c r="AJ132">
        <v>7.1686406219993026</v>
      </c>
    </row>
    <row r="133" spans="4:36" x14ac:dyDescent="0.55000000000000004">
      <c r="D133">
        <v>126</v>
      </c>
      <c r="E133">
        <v>12.584750860517177</v>
      </c>
      <c r="F133">
        <v>0.49405563326717722</v>
      </c>
      <c r="G133">
        <v>0.16348852931483993</v>
      </c>
      <c r="H133">
        <v>16.757704976900804</v>
      </c>
      <c r="I133">
        <v>12.809989059495763</v>
      </c>
      <c r="J133">
        <v>0.31880310730393058</v>
      </c>
      <c r="K133">
        <v>0.10515608373033339</v>
      </c>
      <c r="L133">
        <v>16.766051749469959</v>
      </c>
      <c r="M133">
        <v>12.735172102516717</v>
      </c>
      <c r="N133">
        <v>0.37704441162084734</v>
      </c>
      <c r="O133">
        <v>0.12449931887350101</v>
      </c>
      <c r="P133">
        <v>16.763284166988932</v>
      </c>
      <c r="Q133">
        <v>12.675246130269231</v>
      </c>
      <c r="R133">
        <v>0.42367380014168116</v>
      </c>
      <c r="S133">
        <v>0.14001618612461211</v>
      </c>
      <c r="T133">
        <v>16.761063883464487</v>
      </c>
      <c r="U133">
        <v>1568.1955327960707</v>
      </c>
      <c r="V133">
        <v>9.9430701516525843</v>
      </c>
      <c r="W133">
        <v>1302.0161554283827</v>
      </c>
      <c r="X133">
        <v>7.1277466232587319</v>
      </c>
      <c r="Y133">
        <v>2909.9271207862253</v>
      </c>
      <c r="Z133">
        <v>9.9791831074786064</v>
      </c>
      <c r="AA133">
        <v>2737.1944289178255</v>
      </c>
      <c r="AB133">
        <v>7.1489098365666814</v>
      </c>
      <c r="AC133">
        <v>2223.7173282266717</v>
      </c>
      <c r="AD133">
        <v>9.9671855599369845</v>
      </c>
      <c r="AE133">
        <v>2017.8504000380951</v>
      </c>
      <c r="AF133">
        <v>7.1418877659719771</v>
      </c>
      <c r="AG133">
        <v>2122.3885064658211</v>
      </c>
      <c r="AH133">
        <v>9.9575773220405015</v>
      </c>
      <c r="AI133">
        <v>1899.1810145705556</v>
      </c>
      <c r="AJ133">
        <v>7.1362578305242206</v>
      </c>
    </row>
    <row r="134" spans="4:36" x14ac:dyDescent="0.55000000000000004">
      <c r="D134">
        <v>127</v>
      </c>
      <c r="E134">
        <v>12.125268632691418</v>
      </c>
      <c r="F134">
        <v>0.39695550766164167</v>
      </c>
      <c r="G134">
        <v>0.14614943601862984</v>
      </c>
      <c r="H134">
        <v>17.331626423628315</v>
      </c>
      <c r="I134">
        <v>12.313025709199454</v>
      </c>
      <c r="J134">
        <v>0.26590333324213139</v>
      </c>
      <c r="K134">
        <v>9.7603010134338808E-2</v>
      </c>
      <c r="L134">
        <v>17.32346794742406</v>
      </c>
      <c r="M134">
        <v>12.235477316095603</v>
      </c>
      <c r="N134">
        <v>0.32005869531569392</v>
      </c>
      <c r="O134">
        <v>0.11762794916105763</v>
      </c>
      <c r="P134">
        <v>17.326836039427661</v>
      </c>
      <c r="Q134">
        <v>12.194625040759806</v>
      </c>
      <c r="R134">
        <v>0.34857205227498678</v>
      </c>
      <c r="S134">
        <v>0.12819168154591498</v>
      </c>
      <c r="T134">
        <v>17.328611225419294</v>
      </c>
      <c r="U134">
        <v>1504.7954746436951</v>
      </c>
      <c r="V134">
        <v>9.5376934495658787</v>
      </c>
      <c r="W134">
        <v>1267.9721108029769</v>
      </c>
      <c r="X134">
        <v>6.8966410278534429</v>
      </c>
      <c r="Y134">
        <v>2857.0539581466105</v>
      </c>
      <c r="Z134">
        <v>9.578576356072654</v>
      </c>
      <c r="AA134">
        <v>2705.9158199089811</v>
      </c>
      <c r="AB134">
        <v>6.9203509539494901</v>
      </c>
      <c r="AC134">
        <v>2179.4770902968708</v>
      </c>
      <c r="AD134">
        <v>9.5616916375138992</v>
      </c>
      <c r="AE134">
        <v>1993.72333046515</v>
      </c>
      <c r="AF134">
        <v>6.9105676290951932</v>
      </c>
      <c r="AG134">
        <v>2062.2639791117126</v>
      </c>
      <c r="AH134">
        <v>9.5527962781310194</v>
      </c>
      <c r="AI134">
        <v>1865.1456310946908</v>
      </c>
      <c r="AJ134">
        <v>6.9054084585665745</v>
      </c>
    </row>
    <row r="135" spans="4:36" x14ac:dyDescent="0.55000000000000004">
      <c r="D135">
        <v>128</v>
      </c>
      <c r="E135">
        <v>13.055975696389169</v>
      </c>
      <c r="F135">
        <v>0.44868663380137647</v>
      </c>
      <c r="G135">
        <v>0.17100833260263237</v>
      </c>
      <c r="H135">
        <v>16.324329337206837</v>
      </c>
      <c r="I135">
        <v>13.293027162689668</v>
      </c>
      <c r="J135">
        <v>0.28907175188147782</v>
      </c>
      <c r="K135">
        <v>0.10980418906532027</v>
      </c>
      <c r="L135">
        <v>16.308096896363523</v>
      </c>
      <c r="M135">
        <v>13.167559617096025</v>
      </c>
      <c r="N135">
        <v>0.37359896640847517</v>
      </c>
      <c r="O135">
        <v>0.14216392502436193</v>
      </c>
      <c r="P135">
        <v>16.316677491471136</v>
      </c>
      <c r="Q135">
        <v>13.127734409286701</v>
      </c>
      <c r="R135">
        <v>0.40040772916829254</v>
      </c>
      <c r="S135">
        <v>0.15245161826841064</v>
      </c>
      <c r="T135">
        <v>16.319406243276589</v>
      </c>
      <c r="U135">
        <v>1551.1389258291651</v>
      </c>
      <c r="V135">
        <v>10.462327001683281</v>
      </c>
      <c r="W135">
        <v>1291.1927631108224</v>
      </c>
      <c r="X135">
        <v>7.4552898279397786</v>
      </c>
      <c r="Y135">
        <v>2904.8675427841986</v>
      </c>
      <c r="Z135">
        <v>10.519948990594843</v>
      </c>
      <c r="AA135">
        <v>2734.4845195057383</v>
      </c>
      <c r="AB135">
        <v>7.4877491323993208</v>
      </c>
      <c r="AC135">
        <v>2232.9696562294844</v>
      </c>
      <c r="AD135">
        <v>10.48945743458594</v>
      </c>
      <c r="AE135">
        <v>2023.3072410928567</v>
      </c>
      <c r="AF135">
        <v>7.4705857516310683</v>
      </c>
      <c r="AG135">
        <v>2130.9162003867937</v>
      </c>
      <c r="AH135">
        <v>10.479775767364258</v>
      </c>
      <c r="AI135">
        <v>1905.4984705253419</v>
      </c>
      <c r="AJ135">
        <v>7.4651299685015182</v>
      </c>
    </row>
    <row r="136" spans="4:36" x14ac:dyDescent="0.55000000000000004">
      <c r="D136">
        <v>129</v>
      </c>
      <c r="E136">
        <v>12.761786169603905</v>
      </c>
      <c r="F136">
        <v>0.44544336768346415</v>
      </c>
      <c r="G136">
        <v>0.18592326716934585</v>
      </c>
      <c r="H136">
        <v>16.606847195543288</v>
      </c>
      <c r="I136">
        <v>13.002013269067749</v>
      </c>
      <c r="J136">
        <v>0.28177541307476422</v>
      </c>
      <c r="K136">
        <v>0.11718757360325409</v>
      </c>
      <c r="L136">
        <v>16.599023744254229</v>
      </c>
      <c r="M136">
        <v>12.893382847558385</v>
      </c>
      <c r="N136">
        <v>0.35583228075364548</v>
      </c>
      <c r="O136">
        <v>0.14822705337045977</v>
      </c>
      <c r="P136">
        <v>16.602557818317511</v>
      </c>
      <c r="Q136">
        <v>12.852456935557086</v>
      </c>
      <c r="R136">
        <v>0.38371299188129537</v>
      </c>
      <c r="S136">
        <v>0.15993923929057924</v>
      </c>
      <c r="T136">
        <v>16.603890833271027</v>
      </c>
      <c r="U136">
        <v>1546.1623139703099</v>
      </c>
      <c r="V136">
        <v>10.193638630541979</v>
      </c>
      <c r="W136">
        <v>1285.3530930760762</v>
      </c>
      <c r="X136">
        <v>7.2915293718103893</v>
      </c>
      <c r="Y136">
        <v>2906.0070199438219</v>
      </c>
      <c r="Z136">
        <v>10.242189015918255</v>
      </c>
      <c r="AA136">
        <v>2734.3263573223721</v>
      </c>
      <c r="AB136">
        <v>7.3193031931039876</v>
      </c>
      <c r="AC136">
        <v>2259.6879107176924</v>
      </c>
      <c r="AD136">
        <v>10.220237207111946</v>
      </c>
      <c r="AE136">
        <v>2041.7991569296064</v>
      </c>
      <c r="AF136">
        <v>7.3067576816020372</v>
      </c>
      <c r="AG136">
        <v>2122.1442418411334</v>
      </c>
      <c r="AH136">
        <v>10.211965865504085</v>
      </c>
      <c r="AI136">
        <v>1898.2236488615574</v>
      </c>
      <c r="AJ136">
        <v>7.3020253539171689</v>
      </c>
    </row>
    <row r="137" spans="4:36" x14ac:dyDescent="0.55000000000000004">
      <c r="D137">
        <v>130</v>
      </c>
      <c r="E137">
        <v>13.325348631953215</v>
      </c>
      <c r="F137">
        <v>0.4621211781082013</v>
      </c>
      <c r="G137">
        <v>0.18023895618177321</v>
      </c>
      <c r="H137">
        <v>16.032291233756816</v>
      </c>
      <c r="I137">
        <v>13.566612007992129</v>
      </c>
      <c r="J137">
        <v>0.30022413591623781</v>
      </c>
      <c r="K137">
        <v>0.11670180366090827</v>
      </c>
      <c r="L137">
        <v>16.016462052430715</v>
      </c>
      <c r="M137">
        <v>13.496090996810766</v>
      </c>
      <c r="N137">
        <v>0.34758530692437284</v>
      </c>
      <c r="O137">
        <v>0.1352440265403799</v>
      </c>
      <c r="P137">
        <v>16.021079669724475</v>
      </c>
      <c r="Q137">
        <v>13.435760354691059</v>
      </c>
      <c r="R137">
        <v>0.38807735863595288</v>
      </c>
      <c r="S137">
        <v>0.15112622097735681</v>
      </c>
      <c r="T137">
        <v>16.02503606569563</v>
      </c>
      <c r="U137">
        <v>1576.8585505947024</v>
      </c>
      <c r="V137">
        <v>10.453407633529546</v>
      </c>
      <c r="W137">
        <v>1302.0910903459401</v>
      </c>
      <c r="X137">
        <v>7.4164999926961839</v>
      </c>
      <c r="Y137">
        <v>2944.0596359335455</v>
      </c>
      <c r="Z137">
        <v>10.506010914750746</v>
      </c>
      <c r="AA137">
        <v>2757.381612681088</v>
      </c>
      <c r="AB137">
        <v>7.4460156010491048</v>
      </c>
      <c r="AC137">
        <v>2236.0961344986031</v>
      </c>
      <c r="AD137">
        <v>10.490640299656937</v>
      </c>
      <c r="AE137">
        <v>2022.3483176749314</v>
      </c>
      <c r="AF137">
        <v>7.4374007598138281</v>
      </c>
      <c r="AG137">
        <v>2184.8906775289706</v>
      </c>
      <c r="AH137">
        <v>10.477487319084224</v>
      </c>
      <c r="AI137">
        <v>1939.3229142864686</v>
      </c>
      <c r="AJ137">
        <v>7.4300225925945007</v>
      </c>
    </row>
    <row r="138" spans="4:36" x14ac:dyDescent="0.55000000000000004">
      <c r="D138">
        <v>131</v>
      </c>
      <c r="E138">
        <v>13.875449321524542</v>
      </c>
      <c r="F138">
        <v>0.46364077811398274</v>
      </c>
      <c r="G138">
        <v>0.17707314868214027</v>
      </c>
      <c r="H138">
        <v>15.483836751679338</v>
      </c>
      <c r="I138">
        <v>14.129101261612368</v>
      </c>
      <c r="J138">
        <v>0.29829834297473473</v>
      </c>
      <c r="K138">
        <v>0.11353410697330732</v>
      </c>
      <c r="L138">
        <v>15.459066288439589</v>
      </c>
      <c r="M138">
        <v>14.029557844547567</v>
      </c>
      <c r="N138">
        <v>0.36323555110198774</v>
      </c>
      <c r="O138">
        <v>0.13843567477344615</v>
      </c>
      <c r="P138">
        <v>15.468770929577005</v>
      </c>
      <c r="Q138">
        <v>13.976505786723312</v>
      </c>
      <c r="R138">
        <v>0.3978177637934881</v>
      </c>
      <c r="S138">
        <v>0.15172481977487348</v>
      </c>
      <c r="T138">
        <v>15.473951629708321</v>
      </c>
      <c r="U138">
        <v>1617.0113933384041</v>
      </c>
      <c r="V138">
        <v>10.962303399658115</v>
      </c>
      <c r="W138">
        <v>1327.3016521613442</v>
      </c>
      <c r="X138">
        <v>7.7197055507815087</v>
      </c>
      <c r="Y138">
        <v>2937.2845039073732</v>
      </c>
      <c r="Z138">
        <v>11.024738715672154</v>
      </c>
      <c r="AA138">
        <v>2750.5851700397943</v>
      </c>
      <c r="AB138">
        <v>7.7542937524428632</v>
      </c>
      <c r="AC138">
        <v>2294.3687001800199</v>
      </c>
      <c r="AD138">
        <v>11.000245647242084</v>
      </c>
      <c r="AE138">
        <v>2059.906638178782</v>
      </c>
      <c r="AF138">
        <v>7.7407374028059444</v>
      </c>
      <c r="AG138">
        <v>2183.0791511194443</v>
      </c>
      <c r="AH138">
        <v>10.987187179974656</v>
      </c>
      <c r="AI138">
        <v>1934.4112721859524</v>
      </c>
      <c r="AJ138">
        <v>7.7335033076534634</v>
      </c>
    </row>
    <row r="139" spans="4:36" x14ac:dyDescent="0.55000000000000004">
      <c r="D139">
        <v>132</v>
      </c>
      <c r="E139">
        <v>13.268924728017838</v>
      </c>
      <c r="F139">
        <v>0.47205040824323663</v>
      </c>
      <c r="G139">
        <v>0.17008407271003564</v>
      </c>
      <c r="H139">
        <v>16.088940791028879</v>
      </c>
      <c r="I139">
        <v>13.511579265259858</v>
      </c>
      <c r="J139">
        <v>0.30295672935182338</v>
      </c>
      <c r="K139">
        <v>0.10879675182152221</v>
      </c>
      <c r="L139">
        <v>16.076667253566793</v>
      </c>
      <c r="M139">
        <v>13.406700663604383</v>
      </c>
      <c r="N139">
        <v>0.37608553405595446</v>
      </c>
      <c r="O139">
        <v>0.13525135774445099</v>
      </c>
      <c r="P139">
        <v>16.081962444595213</v>
      </c>
      <c r="Q139">
        <v>13.3776761210842</v>
      </c>
      <c r="R139">
        <v>0.39631165903764631</v>
      </c>
      <c r="S139">
        <v>0.14258179084592099</v>
      </c>
      <c r="T139">
        <v>16.083430429032237</v>
      </c>
      <c r="U139">
        <v>1553.8663200488356</v>
      </c>
      <c r="V139">
        <v>10.46702211719999</v>
      </c>
      <c r="W139">
        <v>1290.1919009955293</v>
      </c>
      <c r="X139">
        <v>7.4309928048029796</v>
      </c>
      <c r="Y139">
        <v>2920.6370480515629</v>
      </c>
      <c r="Z139">
        <v>10.515650346443472</v>
      </c>
      <c r="AA139">
        <v>2743.897731035478</v>
      </c>
      <c r="AB139">
        <v>7.4583245880085656</v>
      </c>
      <c r="AC139">
        <v>2233.8751965688148</v>
      </c>
      <c r="AD139">
        <v>10.494638251827592</v>
      </c>
      <c r="AE139">
        <v>2022.7322415176752</v>
      </c>
      <c r="AF139">
        <v>7.4465253065383701</v>
      </c>
      <c r="AG139">
        <v>2115.7238301614257</v>
      </c>
      <c r="AH139">
        <v>10.488821753030052</v>
      </c>
      <c r="AI139">
        <v>1893.7875581067144</v>
      </c>
      <c r="AJ139">
        <v>7.4432562064191199</v>
      </c>
    </row>
    <row r="140" spans="4:36" x14ac:dyDescent="0.55000000000000004">
      <c r="D140">
        <v>133</v>
      </c>
      <c r="E140">
        <v>14.035792357355506</v>
      </c>
      <c r="F140">
        <v>0.48737028607947314</v>
      </c>
      <c r="G140">
        <v>0.18992507584970963</v>
      </c>
      <c r="H140">
        <v>15.286912280715306</v>
      </c>
      <c r="I140">
        <v>14.304837013979807</v>
      </c>
      <c r="J140">
        <v>0.31336954173372505</v>
      </c>
      <c r="K140">
        <v>0.12167800275776351</v>
      </c>
      <c r="L140">
        <v>15.260115441528692</v>
      </c>
      <c r="M140">
        <v>14.205563514317532</v>
      </c>
      <c r="N140">
        <v>0.37762835892811442</v>
      </c>
      <c r="O140">
        <v>0.14682346874435986</v>
      </c>
      <c r="P140">
        <v>15.269984658009976</v>
      </c>
      <c r="Q140">
        <v>14.139815367509382</v>
      </c>
      <c r="R140">
        <v>0.4201511654966878</v>
      </c>
      <c r="S140">
        <v>0.16350068033874393</v>
      </c>
      <c r="T140">
        <v>15.276532786655187</v>
      </c>
      <c r="U140">
        <v>1593.1791507674022</v>
      </c>
      <c r="V140">
        <v>11.179380652813142</v>
      </c>
      <c r="W140">
        <v>1309.4429154608526</v>
      </c>
      <c r="X140">
        <v>7.8522616704087147</v>
      </c>
      <c r="Y140">
        <v>2915.9307231053713</v>
      </c>
      <c r="Z140">
        <v>11.244303792446294</v>
      </c>
      <c r="AA140">
        <v>2734.8665946519554</v>
      </c>
      <c r="AB140">
        <v>7.8879699244715997</v>
      </c>
      <c r="AC140">
        <v>2274.1766891376215</v>
      </c>
      <c r="AD140">
        <v>11.220359685940718</v>
      </c>
      <c r="AE140">
        <v>2045.0957895598012</v>
      </c>
      <c r="AF140">
        <v>7.8748131696149599</v>
      </c>
      <c r="AG140">
        <v>2216.9347956706015</v>
      </c>
      <c r="AH140">
        <v>11.204494248591345</v>
      </c>
      <c r="AI140">
        <v>1957.2936546161084</v>
      </c>
      <c r="AJ140">
        <v>7.8660873227554315</v>
      </c>
    </row>
    <row r="141" spans="4:36" x14ac:dyDescent="0.55000000000000004">
      <c r="D141">
        <v>134</v>
      </c>
      <c r="E141">
        <v>13.593063374187311</v>
      </c>
      <c r="F141">
        <v>0.48831967881543054</v>
      </c>
      <c r="G141">
        <v>0.18305670090378059</v>
      </c>
      <c r="H141">
        <v>15.735560246093485</v>
      </c>
      <c r="I141">
        <v>13.847090282014346</v>
      </c>
      <c r="J141">
        <v>0.31327229712846838</v>
      </c>
      <c r="K141">
        <v>0.11702850856274825</v>
      </c>
      <c r="L141">
        <v>15.72260891229444</v>
      </c>
      <c r="M141">
        <v>13.748963798497407</v>
      </c>
      <c r="N141">
        <v>0.38093716457244764</v>
      </c>
      <c r="O141">
        <v>0.14249648704048745</v>
      </c>
      <c r="P141">
        <v>15.727602549889651</v>
      </c>
      <c r="Q141">
        <v>13.716986810279154</v>
      </c>
      <c r="R141">
        <v>0.40297476745971572</v>
      </c>
      <c r="S141">
        <v>0.15080606470562566</v>
      </c>
      <c r="T141">
        <v>15.729232357555498</v>
      </c>
      <c r="U141">
        <v>1629.4443765083547</v>
      </c>
      <c r="V141">
        <v>10.766898425131954</v>
      </c>
      <c r="W141">
        <v>1338.4864170576739</v>
      </c>
      <c r="X141">
        <v>7.6087106276429006</v>
      </c>
      <c r="Y141">
        <v>2925.6813530212303</v>
      </c>
      <c r="Z141">
        <v>10.823856006645347</v>
      </c>
      <c r="AA141">
        <v>2743.8950375656359</v>
      </c>
      <c r="AB141">
        <v>7.6406948413755345</v>
      </c>
      <c r="AC141">
        <v>2246.5933259852764</v>
      </c>
      <c r="AD141">
        <v>10.801859550121742</v>
      </c>
      <c r="AE141">
        <v>2027.9792478756485</v>
      </c>
      <c r="AF141">
        <v>7.6283552723756838</v>
      </c>
      <c r="AG141">
        <v>2150.8512123846713</v>
      </c>
      <c r="AH141">
        <v>10.794690005862941</v>
      </c>
      <c r="AI141">
        <v>1914.6426524059957</v>
      </c>
      <c r="AJ141">
        <v>7.6243299427370248</v>
      </c>
    </row>
    <row r="142" spans="4:36" x14ac:dyDescent="0.55000000000000004">
      <c r="D142">
        <v>135</v>
      </c>
      <c r="E142">
        <v>11.752018123011384</v>
      </c>
      <c r="F142">
        <v>0.40929211282385669</v>
      </c>
      <c r="G142">
        <v>0.14731497786526707</v>
      </c>
      <c r="H142">
        <v>17.691374786299487</v>
      </c>
      <c r="I142">
        <v>11.935609257766922</v>
      </c>
      <c r="J142">
        <v>0.27066032988151378</v>
      </c>
      <c r="K142">
        <v>9.7144818244385769E-2</v>
      </c>
      <c r="L142">
        <v>17.69658559410718</v>
      </c>
      <c r="M142">
        <v>11.834258199358555</v>
      </c>
      <c r="N142">
        <v>0.347215063673248</v>
      </c>
      <c r="O142">
        <v>0.1248143107979684</v>
      </c>
      <c r="P142">
        <v>17.693712426170226</v>
      </c>
      <c r="Q142">
        <v>11.828251191524339</v>
      </c>
      <c r="R142">
        <v>0.35175060649914708</v>
      </c>
      <c r="S142">
        <v>0.12645633230684955</v>
      </c>
      <c r="T142">
        <v>17.693541869669666</v>
      </c>
      <c r="U142">
        <v>1492.3137916528838</v>
      </c>
      <c r="V142">
        <v>9.2451431761574892</v>
      </c>
      <c r="W142">
        <v>1260.8584667605603</v>
      </c>
      <c r="X142">
        <v>6.7219878145801895</v>
      </c>
      <c r="Y142">
        <v>2855.1522253063431</v>
      </c>
      <c r="Z142">
        <v>9.2761080038309682</v>
      </c>
      <c r="AA142">
        <v>2706.02896691039</v>
      </c>
      <c r="AB142">
        <v>6.7404453993322324</v>
      </c>
      <c r="AC142">
        <v>2179.1816898819566</v>
      </c>
      <c r="AD142">
        <v>9.2590119170820806</v>
      </c>
      <c r="AE142">
        <v>1993.7454779594357</v>
      </c>
      <c r="AF142">
        <v>6.7302626406702011</v>
      </c>
      <c r="AG142">
        <v>2049.0191200971258</v>
      </c>
      <c r="AH142">
        <v>9.2579987999641773</v>
      </c>
      <c r="AI142">
        <v>1857.6383966631822</v>
      </c>
      <c r="AJ142">
        <v>6.7296585985183457</v>
      </c>
    </row>
    <row r="143" spans="4:36" x14ac:dyDescent="0.55000000000000004">
      <c r="D143">
        <v>136</v>
      </c>
      <c r="E143">
        <v>11.925759013171817</v>
      </c>
      <c r="F143">
        <v>0.43700872187380657</v>
      </c>
      <c r="G143">
        <v>0.16010200030817959</v>
      </c>
      <c r="H143">
        <v>17.477130264646203</v>
      </c>
      <c r="I143">
        <v>12.10647853656927</v>
      </c>
      <c r="J143">
        <v>0.29690923535935076</v>
      </c>
      <c r="K143">
        <v>0.10846966689878959</v>
      </c>
      <c r="L143">
        <v>17.488142561172577</v>
      </c>
      <c r="M143">
        <v>12.062093831021018</v>
      </c>
      <c r="N143">
        <v>0.33133336944158515</v>
      </c>
      <c r="O143">
        <v>0.12112910819012794</v>
      </c>
      <c r="P143">
        <v>17.485443691347264</v>
      </c>
      <c r="Q143">
        <v>11.977209018477383</v>
      </c>
      <c r="R143">
        <v>0.39714037111585099</v>
      </c>
      <c r="S143">
        <v>0.1453788539600698</v>
      </c>
      <c r="T143">
        <v>17.480271756446697</v>
      </c>
      <c r="U143">
        <v>1482.933387175781</v>
      </c>
      <c r="V143">
        <v>9.4480990121538575</v>
      </c>
      <c r="W143">
        <v>1250.3428887187233</v>
      </c>
      <c r="X143">
        <v>6.8462896243721918</v>
      </c>
      <c r="Y143">
        <v>2863.0026549676609</v>
      </c>
      <c r="Z143">
        <v>9.4752420629824066</v>
      </c>
      <c r="AA143">
        <v>2708.7448378204253</v>
      </c>
      <c r="AB143">
        <v>6.8627155684742789</v>
      </c>
      <c r="AC143">
        <v>2166.0709388029445</v>
      </c>
      <c r="AD143">
        <v>9.4685726244119071</v>
      </c>
      <c r="AE143">
        <v>1984.1615988400886</v>
      </c>
      <c r="AF143">
        <v>6.8586850210489434</v>
      </c>
      <c r="AG143">
        <v>2108.1009312736755</v>
      </c>
      <c r="AH143">
        <v>9.455823085068813</v>
      </c>
      <c r="AI143">
        <v>1896.0112639587987</v>
      </c>
      <c r="AJ143">
        <v>6.8509700578746102</v>
      </c>
    </row>
    <row r="144" spans="4:36" x14ac:dyDescent="0.55000000000000004">
      <c r="D144">
        <v>137</v>
      </c>
      <c r="E144">
        <v>11.957653608707011</v>
      </c>
      <c r="F144">
        <v>0.44853048789608463</v>
      </c>
      <c r="G144">
        <v>0.172174256108312</v>
      </c>
      <c r="H144">
        <v>17.421641647288595</v>
      </c>
      <c r="I144">
        <v>12.148527694620569</v>
      </c>
      <c r="J144">
        <v>0.30432388004706767</v>
      </c>
      <c r="K144">
        <v>0.1164836206226252</v>
      </c>
      <c r="L144">
        <v>17.43066480470975</v>
      </c>
      <c r="M144">
        <v>12.079765347538906</v>
      </c>
      <c r="N144">
        <v>0.35629758295870828</v>
      </c>
      <c r="O144">
        <v>0.13651778838388287</v>
      </c>
      <c r="P144">
        <v>17.42741928111851</v>
      </c>
      <c r="Q144">
        <v>12.059294524166209</v>
      </c>
      <c r="R144">
        <v>0.37176530981319345</v>
      </c>
      <c r="S144">
        <v>0.14248818801517632</v>
      </c>
      <c r="T144">
        <v>17.426451978005424</v>
      </c>
      <c r="U144">
        <v>1515.9684802158242</v>
      </c>
      <c r="V144">
        <v>9.4792579575837674</v>
      </c>
      <c r="W144">
        <v>1272.3566783617844</v>
      </c>
      <c r="X144">
        <v>6.8644208516074476</v>
      </c>
      <c r="Y144">
        <v>2890.4085055996452</v>
      </c>
      <c r="Z144">
        <v>9.5109491334132805</v>
      </c>
      <c r="AA144">
        <v>2727.2708320643887</v>
      </c>
      <c r="AB144">
        <v>6.88339910435033</v>
      </c>
      <c r="AC144">
        <v>2199.2478265250888</v>
      </c>
      <c r="AD144">
        <v>9.4995292706013394</v>
      </c>
      <c r="AE144">
        <v>2005.4413638010799</v>
      </c>
      <c r="AF144">
        <v>6.8765682657042166</v>
      </c>
      <c r="AG144">
        <v>2085.1787336431116</v>
      </c>
      <c r="AH144">
        <v>9.4961302090152842</v>
      </c>
      <c r="AI144">
        <v>1880.1489506419987</v>
      </c>
      <c r="AJ144">
        <v>6.8745333835905438</v>
      </c>
    </row>
    <row r="145" spans="4:36" x14ac:dyDescent="0.55000000000000004">
      <c r="D145">
        <v>138</v>
      </c>
      <c r="E145">
        <v>12.593793920419513</v>
      </c>
      <c r="F145">
        <v>0.4458260268903565</v>
      </c>
      <c r="G145">
        <v>0.18133294443627887</v>
      </c>
      <c r="H145">
        <v>16.779047108253845</v>
      </c>
      <c r="I145">
        <v>12.809940954698067</v>
      </c>
      <c r="J145">
        <v>0.29204862209262145</v>
      </c>
      <c r="K145">
        <v>0.11839700886511031</v>
      </c>
      <c r="L145">
        <v>16.77961341434419</v>
      </c>
      <c r="M145">
        <v>12.735399322496869</v>
      </c>
      <c r="N145">
        <v>0.34511331052248079</v>
      </c>
      <c r="O145">
        <v>0.14006727210113842</v>
      </c>
      <c r="P145">
        <v>16.779420094879509</v>
      </c>
      <c r="Q145">
        <v>12.710177132778544</v>
      </c>
      <c r="R145">
        <v>0.36306084002843642</v>
      </c>
      <c r="S145">
        <v>0.14740781381438375</v>
      </c>
      <c r="T145">
        <v>16.779354213378635</v>
      </c>
      <c r="U145">
        <v>1535.5698186959921</v>
      </c>
      <c r="V145">
        <v>9.9373954114508312</v>
      </c>
      <c r="W145">
        <v>1281.328018473735</v>
      </c>
      <c r="X145">
        <v>7.1255296463065587</v>
      </c>
      <c r="Y145">
        <v>2874.3374452310254</v>
      </c>
      <c r="Z145">
        <v>9.9758123456830514</v>
      </c>
      <c r="AA145">
        <v>2713.0904480087543</v>
      </c>
      <c r="AB145">
        <v>7.1478160982729877</v>
      </c>
      <c r="AC145">
        <v>2230.0430642714318</v>
      </c>
      <c r="AD145">
        <v>9.9625632715428285</v>
      </c>
      <c r="AE145">
        <v>2024.2328431286464</v>
      </c>
      <c r="AF145">
        <v>7.1401387743113816</v>
      </c>
      <c r="AG145">
        <v>2121.0406932923329</v>
      </c>
      <c r="AH145">
        <v>9.9580803597060061</v>
      </c>
      <c r="AI145">
        <v>1902.1426222163263</v>
      </c>
      <c r="AJ145">
        <v>7.1375390299047048</v>
      </c>
    </row>
    <row r="146" spans="4:36" x14ac:dyDescent="0.55000000000000004">
      <c r="D146">
        <v>139</v>
      </c>
      <c r="E146">
        <v>12.2199657695143</v>
      </c>
      <c r="F146">
        <v>0.437623179959168</v>
      </c>
      <c r="G146">
        <v>0.15814513756606557</v>
      </c>
      <c r="H146">
        <v>17.184265912960452</v>
      </c>
      <c r="I146">
        <v>12.421065996246869</v>
      </c>
      <c r="J146">
        <v>0.28802187901713189</v>
      </c>
      <c r="K146">
        <v>0.10377598762088115</v>
      </c>
      <c r="L146">
        <v>17.187136137115132</v>
      </c>
      <c r="M146">
        <v>12.351248876464437</v>
      </c>
      <c r="N146">
        <v>0.33998583004397726</v>
      </c>
      <c r="O146">
        <v>0.1226241741689197</v>
      </c>
      <c r="P146">
        <v>17.186141119322663</v>
      </c>
      <c r="Q146">
        <v>12.296911053529534</v>
      </c>
      <c r="R146">
        <v>0.38040965785163777</v>
      </c>
      <c r="S146">
        <v>0.13731364709512994</v>
      </c>
      <c r="T146">
        <v>17.185365641523703</v>
      </c>
      <c r="U146">
        <v>1500.4421766909525</v>
      </c>
      <c r="V146">
        <v>9.6668563268860197</v>
      </c>
      <c r="W146">
        <v>1260.5252669945332</v>
      </c>
      <c r="X146">
        <v>6.9752978476271954</v>
      </c>
      <c r="Y146">
        <v>2893.6546594719462</v>
      </c>
      <c r="Z146">
        <v>9.7058829623657736</v>
      </c>
      <c r="AA146">
        <v>2729.9844479070766</v>
      </c>
      <c r="AB146">
        <v>6.9981798178430648</v>
      </c>
      <c r="AC146">
        <v>2208.158706639857</v>
      </c>
      <c r="AD146">
        <v>9.6923329220436418</v>
      </c>
      <c r="AE146">
        <v>2012.0634210353992</v>
      </c>
      <c r="AF146">
        <v>6.990244081760399</v>
      </c>
      <c r="AG146">
        <v>2107.3273319722152</v>
      </c>
      <c r="AH146">
        <v>9.681787778361322</v>
      </c>
      <c r="AI146">
        <v>1894.4269333142306</v>
      </c>
      <c r="AJ146">
        <v>6.9840616865255782</v>
      </c>
    </row>
    <row r="147" spans="4:36" x14ac:dyDescent="0.55000000000000004">
      <c r="D147">
        <v>140</v>
      </c>
      <c r="E147">
        <v>12.466695542531463</v>
      </c>
      <c r="F147">
        <v>0.4388240836013505</v>
      </c>
      <c r="G147">
        <v>0.14873090937435107</v>
      </c>
      <c r="H147">
        <v>16.945749464492842</v>
      </c>
      <c r="I147">
        <v>12.680561452179891</v>
      </c>
      <c r="J147">
        <v>0.28724237922539803</v>
      </c>
      <c r="K147">
        <v>9.7050849531572059E-2</v>
      </c>
      <c r="L147">
        <v>16.935145319063132</v>
      </c>
      <c r="M147">
        <v>12.601855122990095</v>
      </c>
      <c r="N147">
        <v>0.34305990646952522</v>
      </c>
      <c r="O147">
        <v>0.11604303203916194</v>
      </c>
      <c r="P147">
        <v>16.939041938501234</v>
      </c>
      <c r="Q147">
        <v>12.569304283114622</v>
      </c>
      <c r="R147">
        <v>0.36613340400254868</v>
      </c>
      <c r="S147">
        <v>0.12390683944842762</v>
      </c>
      <c r="T147">
        <v>16.940655473434404</v>
      </c>
      <c r="U147">
        <v>1542.9547596915718</v>
      </c>
      <c r="V147">
        <v>9.919792245524981</v>
      </c>
      <c r="W147">
        <v>1290.8111265008502</v>
      </c>
      <c r="X147">
        <v>7.132537495537898</v>
      </c>
      <c r="Y147">
        <v>2872.574464237397</v>
      </c>
      <c r="Z147">
        <v>9.9686309716279258</v>
      </c>
      <c r="AA147">
        <v>2714.4836098155715</v>
      </c>
      <c r="AB147">
        <v>7.1605104598549776</v>
      </c>
      <c r="AC147">
        <v>2199.0916049221232</v>
      </c>
      <c r="AD147">
        <v>9.9506607138930541</v>
      </c>
      <c r="AE147">
        <v>2004.8631173121382</v>
      </c>
      <c r="AF147">
        <v>7.1502282848731493</v>
      </c>
      <c r="AG147">
        <v>2112.4736110385434</v>
      </c>
      <c r="AH147">
        <v>9.9432275979655653</v>
      </c>
      <c r="AI147">
        <v>1898.7444291584839</v>
      </c>
      <c r="AJ147">
        <v>7.1459716647806548</v>
      </c>
    </row>
    <row r="148" spans="4:36" x14ac:dyDescent="0.55000000000000004">
      <c r="D148">
        <v>141</v>
      </c>
      <c r="E148">
        <v>13.900286490446911</v>
      </c>
      <c r="F148">
        <v>0.51723487706762727</v>
      </c>
      <c r="G148">
        <v>0.16945964187727641</v>
      </c>
      <c r="H148">
        <v>15.413018990608194</v>
      </c>
      <c r="I148">
        <v>14.167412650882698</v>
      </c>
      <c r="J148">
        <v>0.32405029325559848</v>
      </c>
      <c r="K148">
        <v>0.10579701801213705</v>
      </c>
      <c r="L148">
        <v>15.40274003784956</v>
      </c>
      <c r="M148">
        <v>14.052315256995602</v>
      </c>
      <c r="N148">
        <v>0.40733678483121988</v>
      </c>
      <c r="O148">
        <v>0.13318810845710516</v>
      </c>
      <c r="P148">
        <v>15.407159849716075</v>
      </c>
      <c r="Q148">
        <v>13.99593563875932</v>
      </c>
      <c r="R148">
        <v>0.44810734937435032</v>
      </c>
      <c r="S148">
        <v>0.14662713487258858</v>
      </c>
      <c r="T148">
        <v>15.409329876993731</v>
      </c>
      <c r="U148">
        <v>1594.6921079943454</v>
      </c>
      <c r="V148">
        <v>10.993222453424945</v>
      </c>
      <c r="W148">
        <v>1310.7428116123717</v>
      </c>
      <c r="X148">
        <v>7.7339414525101153</v>
      </c>
      <c r="Y148">
        <v>2945.7853732013809</v>
      </c>
      <c r="Z148">
        <v>11.050103832388746</v>
      </c>
      <c r="AA148">
        <v>2756.7114434858836</v>
      </c>
      <c r="AB148">
        <v>7.7658447313294836</v>
      </c>
      <c r="AC148">
        <v>2330.8896764833626</v>
      </c>
      <c r="AD148">
        <v>11.025599990884858</v>
      </c>
      <c r="AE148">
        <v>2084.9904678273001</v>
      </c>
      <c r="AF148">
        <v>7.7521143202738862</v>
      </c>
      <c r="AG148">
        <v>2165.6464053706204</v>
      </c>
      <c r="AH148">
        <v>11.013594322332489</v>
      </c>
      <c r="AI148">
        <v>1921.1438796529815</v>
      </c>
      <c r="AJ148">
        <v>7.7453798601749657</v>
      </c>
    </row>
    <row r="149" spans="4:36" x14ac:dyDescent="0.55000000000000004">
      <c r="D149">
        <v>142</v>
      </c>
      <c r="E149">
        <v>13.093085616889413</v>
      </c>
      <c r="F149">
        <v>0.45591427924450101</v>
      </c>
      <c r="G149">
        <v>0.17449696660854208</v>
      </c>
      <c r="H149">
        <v>16.276503137257546</v>
      </c>
      <c r="I149">
        <v>13.32781109188991</v>
      </c>
      <c r="J149">
        <v>0.29164964994453263</v>
      </c>
      <c r="K149">
        <v>0.11124279355295424</v>
      </c>
      <c r="L149">
        <v>16.269296464612601</v>
      </c>
      <c r="M149">
        <v>13.233202852766047</v>
      </c>
      <c r="N149">
        <v>0.35789859662607165</v>
      </c>
      <c r="O149">
        <v>0.1367004643374371</v>
      </c>
      <c r="P149">
        <v>16.272198086270429</v>
      </c>
      <c r="Q149">
        <v>13.167413845991344</v>
      </c>
      <c r="R149">
        <v>0.40393479084192008</v>
      </c>
      <c r="S149">
        <v>0.15443308009914206</v>
      </c>
      <c r="T149">
        <v>16.274218283067597</v>
      </c>
      <c r="U149">
        <v>1548.0709908177735</v>
      </c>
      <c r="V149">
        <v>10.363022110642802</v>
      </c>
      <c r="W149">
        <v>1287.5663223443335</v>
      </c>
      <c r="X149">
        <v>7.3777152758666658</v>
      </c>
      <c r="Y149">
        <v>2916.6328657849481</v>
      </c>
      <c r="Z149">
        <v>10.412101228704252</v>
      </c>
      <c r="AA149">
        <v>2742.1528953103243</v>
      </c>
      <c r="AB149">
        <v>7.4056717777192622</v>
      </c>
      <c r="AC149">
        <v>2245.4115435646909</v>
      </c>
      <c r="AD149">
        <v>10.392321758310588</v>
      </c>
      <c r="AE149">
        <v>2032.6011231001553</v>
      </c>
      <c r="AF149">
        <v>7.3944162678176841</v>
      </c>
      <c r="AG149">
        <v>2164.7293685414397</v>
      </c>
      <c r="AH149">
        <v>10.378565602832317</v>
      </c>
      <c r="AI149">
        <v>1928.6689656503734</v>
      </c>
      <c r="AJ149">
        <v>7.3865793650648577</v>
      </c>
    </row>
    <row r="150" spans="4:36" x14ac:dyDescent="0.55000000000000004">
      <c r="D150">
        <v>143</v>
      </c>
      <c r="E150">
        <v>11.539484639635099</v>
      </c>
      <c r="F150">
        <v>0.47230418250457651</v>
      </c>
      <c r="G150">
        <v>0.16360567015388311</v>
      </c>
      <c r="H150">
        <v>17.824605507706448</v>
      </c>
      <c r="I150">
        <v>11.746118209254083</v>
      </c>
      <c r="J150">
        <v>0.29864284614812758</v>
      </c>
      <c r="K150">
        <v>0.10314124461797652</v>
      </c>
      <c r="L150">
        <v>17.852097699979804</v>
      </c>
      <c r="M150">
        <v>11.677290121430032</v>
      </c>
      <c r="N150">
        <v>0.3565069062418651</v>
      </c>
      <c r="O150">
        <v>0.12324745908380468</v>
      </c>
      <c r="P150">
        <v>17.842955513244295</v>
      </c>
      <c r="Q150">
        <v>11.633636028432516</v>
      </c>
      <c r="R150">
        <v>0.39319739993986302</v>
      </c>
      <c r="S150">
        <v>0.13601734331540577</v>
      </c>
      <c r="T150">
        <v>17.837149228312196</v>
      </c>
      <c r="U150">
        <v>1489.6252900508566</v>
      </c>
      <c r="V150">
        <v>9.156227070366084</v>
      </c>
      <c r="W150">
        <v>1252.600199978295</v>
      </c>
      <c r="X150">
        <v>6.6708813547484311</v>
      </c>
      <c r="Y150">
        <v>2865.1412348176209</v>
      </c>
      <c r="Z150">
        <v>9.1772150406110917</v>
      </c>
      <c r="AA150">
        <v>2710.2920459620691</v>
      </c>
      <c r="AB150">
        <v>6.684436874763521</v>
      </c>
      <c r="AC150">
        <v>2197.0340587792493</v>
      </c>
      <c r="AD150">
        <v>9.1702149952426062</v>
      </c>
      <c r="AE150">
        <v>2005.0613640873594</v>
      </c>
      <c r="AF150">
        <v>6.6799240405253935</v>
      </c>
      <c r="AG150">
        <v>2086.0418329037889</v>
      </c>
      <c r="AH150">
        <v>9.1657799281108456</v>
      </c>
      <c r="AI150">
        <v>1880.3781773128419</v>
      </c>
      <c r="AJ150">
        <v>6.6770605443574489</v>
      </c>
    </row>
    <row r="151" spans="4:36" x14ac:dyDescent="0.55000000000000004">
      <c r="D151">
        <v>144</v>
      </c>
      <c r="E151">
        <v>13.49234529407793</v>
      </c>
      <c r="F151">
        <v>0.49394179866614846</v>
      </c>
      <c r="G151">
        <v>0.17748275058662233</v>
      </c>
      <c r="H151">
        <v>15.836230156669298</v>
      </c>
      <c r="I151">
        <v>13.735969382234197</v>
      </c>
      <c r="J151">
        <v>0.32093318634798285</v>
      </c>
      <c r="K151">
        <v>0.11494154076523987</v>
      </c>
      <c r="L151">
        <v>15.82815589065258</v>
      </c>
      <c r="M151">
        <v>13.632802563636934</v>
      </c>
      <c r="N151">
        <v>0.3942391280188679</v>
      </c>
      <c r="O151">
        <v>0.14139041469895264</v>
      </c>
      <c r="P151">
        <v>15.831567893645243</v>
      </c>
      <c r="Q151">
        <v>13.567678631845178</v>
      </c>
      <c r="R151">
        <v>0.44048138362667233</v>
      </c>
      <c r="S151">
        <v>0.15811285056724272</v>
      </c>
      <c r="T151">
        <v>15.83372713396089</v>
      </c>
      <c r="U151">
        <v>1599.8225525021946</v>
      </c>
      <c r="V151">
        <v>10.660721747154431</v>
      </c>
      <c r="W151">
        <v>1318.5857955048784</v>
      </c>
      <c r="X151">
        <v>7.5432344852889699</v>
      </c>
      <c r="Y151">
        <v>2924.948856410138</v>
      </c>
      <c r="Z151">
        <v>10.710981641641801</v>
      </c>
      <c r="AA151">
        <v>2743.8436802982828</v>
      </c>
      <c r="AB151">
        <v>7.5715946670744874</v>
      </c>
      <c r="AC151">
        <v>2249.1032913554009</v>
      </c>
      <c r="AD151">
        <v>10.689702108662626</v>
      </c>
      <c r="AE151">
        <v>2030.0482281133454</v>
      </c>
      <c r="AF151">
        <v>7.5595984074752858</v>
      </c>
      <c r="AG151">
        <v>2171.1681049295044</v>
      </c>
      <c r="AH151">
        <v>10.676266498783374</v>
      </c>
      <c r="AI151">
        <v>1927.7843104910917</v>
      </c>
      <c r="AJ151">
        <v>7.5520157202013634</v>
      </c>
    </row>
    <row r="152" spans="4:36" x14ac:dyDescent="0.55000000000000004">
      <c r="D152">
        <v>145</v>
      </c>
      <c r="E152">
        <v>11.28221379789677</v>
      </c>
      <c r="F152">
        <v>0.44728583917813075</v>
      </c>
      <c r="G152">
        <v>0.17628786356243464</v>
      </c>
      <c r="H152">
        <v>18.094212499362648</v>
      </c>
      <c r="I152">
        <v>11.511573094453475</v>
      </c>
      <c r="J152">
        <v>0.2694644153411776</v>
      </c>
      <c r="K152">
        <v>0.1058137790091693</v>
      </c>
      <c r="L152">
        <v>18.113148711196192</v>
      </c>
      <c r="M152">
        <v>11.425001175511319</v>
      </c>
      <c r="N152">
        <v>0.33661637248436971</v>
      </c>
      <c r="O152">
        <v>0.13236575168094283</v>
      </c>
      <c r="P152">
        <v>18.106016700323355</v>
      </c>
      <c r="Q152">
        <v>11.415514221831224</v>
      </c>
      <c r="R152">
        <v>0.34397277124944464</v>
      </c>
      <c r="S152">
        <v>0.13527900046629185</v>
      </c>
      <c r="T152">
        <v>18.105234006453035</v>
      </c>
      <c r="U152">
        <v>1490.6677370999353</v>
      </c>
      <c r="V152">
        <v>8.9855714166575229</v>
      </c>
      <c r="W152">
        <v>1256.6258840219355</v>
      </c>
      <c r="X152">
        <v>6.5764398361490377</v>
      </c>
      <c r="Y152">
        <v>2863.0154630101497</v>
      </c>
      <c r="Z152">
        <v>9.0165848508736683</v>
      </c>
      <c r="AA152">
        <v>2711.9348309115067</v>
      </c>
      <c r="AB152">
        <v>6.5957405433564267</v>
      </c>
      <c r="AC152">
        <v>2178.128514054928</v>
      </c>
      <c r="AD152">
        <v>9.0048699536191918</v>
      </c>
      <c r="AE152">
        <v>1993.7912393191971</v>
      </c>
      <c r="AF152">
        <v>6.5884621378185848</v>
      </c>
      <c r="AG152">
        <v>2031.0317650170452</v>
      </c>
      <c r="AH152">
        <v>9.0035868288242504</v>
      </c>
      <c r="AI152">
        <v>1845.0393966692025</v>
      </c>
      <c r="AJ152">
        <v>6.5876640482583602</v>
      </c>
    </row>
    <row r="153" spans="4:36" x14ac:dyDescent="0.55000000000000004">
      <c r="D153">
        <v>146</v>
      </c>
      <c r="E153">
        <v>12.458235073018415</v>
      </c>
      <c r="F153">
        <v>0.46191144951848218</v>
      </c>
      <c r="G153">
        <v>0.16908335825712431</v>
      </c>
      <c r="H153">
        <v>16.910770119205971</v>
      </c>
      <c r="I153">
        <v>12.673215590926418</v>
      </c>
      <c r="J153">
        <v>0.30192622357620108</v>
      </c>
      <c r="K153">
        <v>0.11017007965473374</v>
      </c>
      <c r="L153">
        <v>16.91468810584265</v>
      </c>
      <c r="M153">
        <v>12.597538938770853</v>
      </c>
      <c r="N153">
        <v>0.35827319278992792</v>
      </c>
      <c r="O153">
        <v>0.1308761329192277</v>
      </c>
      <c r="P153">
        <v>16.913311735519986</v>
      </c>
      <c r="Q153">
        <v>12.570964150846812</v>
      </c>
      <c r="R153">
        <v>0.37805253715839299</v>
      </c>
      <c r="S153">
        <v>0.1381556306535765</v>
      </c>
      <c r="T153">
        <v>16.912827681341223</v>
      </c>
      <c r="U153">
        <v>1535.1008578273158</v>
      </c>
      <c r="V153">
        <v>9.8352844890810633</v>
      </c>
      <c r="W153">
        <v>1280.301600739052</v>
      </c>
      <c r="X153">
        <v>7.0666068399186148</v>
      </c>
      <c r="Y153">
        <v>2912.0567940387718</v>
      </c>
      <c r="Z153">
        <v>9.872708515814745</v>
      </c>
      <c r="AA153">
        <v>2739.8785133900828</v>
      </c>
      <c r="AB153">
        <v>7.0884765671934193</v>
      </c>
      <c r="AC153">
        <v>2210.5351735591357</v>
      </c>
      <c r="AD153">
        <v>9.859533464849255</v>
      </c>
      <c r="AE153">
        <v>2009.6058832429819</v>
      </c>
      <c r="AF153">
        <v>7.0807862924746958</v>
      </c>
      <c r="AG153">
        <v>2088.7573722498232</v>
      </c>
      <c r="AH153">
        <v>9.8549071868847431</v>
      </c>
      <c r="AI153">
        <v>1878.1747605376099</v>
      </c>
      <c r="AJ153">
        <v>7.0780836486952285</v>
      </c>
    </row>
    <row r="154" spans="4:36" x14ac:dyDescent="0.55000000000000004">
      <c r="D154">
        <v>147</v>
      </c>
      <c r="E154">
        <v>12.615224972709091</v>
      </c>
      <c r="F154">
        <v>0.4645073430909113</v>
      </c>
      <c r="G154">
        <v>0.17907463969902171</v>
      </c>
      <c r="H154">
        <v>16.741193044500982</v>
      </c>
      <c r="I154">
        <v>12.852732272272091</v>
      </c>
      <c r="J154">
        <v>0.2917624957359225</v>
      </c>
      <c r="K154">
        <v>0.11207502639639295</v>
      </c>
      <c r="L154">
        <v>16.743430205595587</v>
      </c>
      <c r="M154">
        <v>12.76430142093108</v>
      </c>
      <c r="N154">
        <v>0.35611890127015727</v>
      </c>
      <c r="O154">
        <v>0.1369787423693539</v>
      </c>
      <c r="P154">
        <v>16.742600935429397</v>
      </c>
      <c r="Q154">
        <v>12.711599094964017</v>
      </c>
      <c r="R154">
        <v>0.39445188510987855</v>
      </c>
      <c r="S154">
        <v>0.15184437878574647</v>
      </c>
      <c r="T154">
        <v>16.742104641140379</v>
      </c>
      <c r="U154">
        <v>1553.6338507813059</v>
      </c>
      <c r="V154">
        <v>9.943149610031794</v>
      </c>
      <c r="W154">
        <v>1291.5213104306536</v>
      </c>
      <c r="X154">
        <v>7.1252453791501216</v>
      </c>
      <c r="Y154">
        <v>2888.4686240870151</v>
      </c>
      <c r="Z154">
        <v>9.9838869352685506</v>
      </c>
      <c r="AA154">
        <v>2722.4071811709196</v>
      </c>
      <c r="AB154">
        <v>7.1490966206313722</v>
      </c>
      <c r="AC154">
        <v>2216.373323602159</v>
      </c>
      <c r="AD154">
        <v>9.9687165906452311</v>
      </c>
      <c r="AE154">
        <v>2012.4448176608371</v>
      </c>
      <c r="AF154">
        <v>7.140225642063978</v>
      </c>
      <c r="AG154">
        <v>2119.1698625460917</v>
      </c>
      <c r="AH154">
        <v>9.9596769805234544</v>
      </c>
      <c r="AI154">
        <v>1897.1908578892396</v>
      </c>
      <c r="AJ154">
        <v>7.1349334328422964</v>
      </c>
    </row>
    <row r="155" spans="4:36" x14ac:dyDescent="0.55000000000000004">
      <c r="D155">
        <v>148</v>
      </c>
      <c r="E155">
        <v>13.579517772282367</v>
      </c>
      <c r="F155">
        <v>0.49268603644730613</v>
      </c>
      <c r="G155">
        <v>0.16663930392358403</v>
      </c>
      <c r="H155">
        <v>15.761156887346756</v>
      </c>
      <c r="I155">
        <v>13.848594625258372</v>
      </c>
      <c r="J155">
        <v>0.30483304024455549</v>
      </c>
      <c r="K155">
        <v>0.10273798321220631</v>
      </c>
      <c r="L155">
        <v>15.74383435128486</v>
      </c>
      <c r="M155">
        <v>13.727404542440143</v>
      </c>
      <c r="N155">
        <v>0.38949436583160091</v>
      </c>
      <c r="O155">
        <v>0.13148003798389676</v>
      </c>
      <c r="P155">
        <v>15.751621053744362</v>
      </c>
      <c r="Q155">
        <v>13.675514922255575</v>
      </c>
      <c r="R155">
        <v>0.42571668664244178</v>
      </c>
      <c r="S155">
        <v>0.14380572227230526</v>
      </c>
      <c r="T155">
        <v>15.754962668829688</v>
      </c>
      <c r="U155">
        <v>1645.9741449435112</v>
      </c>
      <c r="V155">
        <v>10.770529899532111</v>
      </c>
      <c r="W155">
        <v>1345.0190105428173</v>
      </c>
      <c r="X155">
        <v>7.6131760854478641</v>
      </c>
      <c r="Y155">
        <v>2951.2511525648256</v>
      </c>
      <c r="Z155">
        <v>10.830431290868063</v>
      </c>
      <c r="AA155">
        <v>2759.6403079078077</v>
      </c>
      <c r="AB155">
        <v>7.6466398451109967</v>
      </c>
      <c r="AC155">
        <v>2283.0424635681652</v>
      </c>
      <c r="AD155">
        <v>10.803460549020093</v>
      </c>
      <c r="AE155">
        <v>2049.3866875690246</v>
      </c>
      <c r="AF155">
        <v>7.6315866532523939</v>
      </c>
      <c r="AG155">
        <v>2217.6401958465635</v>
      </c>
      <c r="AH155">
        <v>10.79190838257631</v>
      </c>
      <c r="AI155">
        <v>1956.2510314235376</v>
      </c>
      <c r="AJ155">
        <v>7.6251320776044755</v>
      </c>
    </row>
    <row r="156" spans="4:36" x14ac:dyDescent="0.55000000000000004">
      <c r="D156">
        <v>149</v>
      </c>
      <c r="E156">
        <v>12.068746951824172</v>
      </c>
      <c r="F156">
        <v>0.43555318727548453</v>
      </c>
      <c r="G156">
        <v>0.16903816204005309</v>
      </c>
      <c r="H156">
        <v>17.326661698860288</v>
      </c>
      <c r="I156">
        <v>12.279772210738557</v>
      </c>
      <c r="J156">
        <v>0.28030296309770686</v>
      </c>
      <c r="K156">
        <v>0.10841906634801347</v>
      </c>
      <c r="L156">
        <v>17.331505759815723</v>
      </c>
      <c r="M156">
        <v>12.176163393079721</v>
      </c>
      <c r="N156">
        <v>0.35656006797287348</v>
      </c>
      <c r="O156">
        <v>0.13814259832667605</v>
      </c>
      <c r="P156">
        <v>17.329133940620725</v>
      </c>
      <c r="Q156">
        <v>12.205998672111136</v>
      </c>
      <c r="R156">
        <v>0.3346074285120938</v>
      </c>
      <c r="S156">
        <v>0.12957568878114861</v>
      </c>
      <c r="T156">
        <v>17.32981821059564</v>
      </c>
      <c r="U156">
        <v>1488.0082038050216</v>
      </c>
      <c r="V156">
        <v>9.5458514221351045</v>
      </c>
      <c r="W156">
        <v>1252.6746896052396</v>
      </c>
      <c r="X156">
        <v>6.9017498859200979</v>
      </c>
      <c r="Y156">
        <v>2860.8870524541753</v>
      </c>
      <c r="Z156">
        <v>9.5825422737466894</v>
      </c>
      <c r="AA156">
        <v>2707.4938567999097</v>
      </c>
      <c r="AB156">
        <v>6.9235288353691233</v>
      </c>
      <c r="AC156">
        <v>2197.7495776355672</v>
      </c>
      <c r="AD156">
        <v>9.5645244431105674</v>
      </c>
      <c r="AE156">
        <v>2004.1007071834358</v>
      </c>
      <c r="AF156">
        <v>6.9128444169105476</v>
      </c>
      <c r="AG156">
        <v>2048.6777346554722</v>
      </c>
      <c r="AH156">
        <v>9.5697122004042061</v>
      </c>
      <c r="AI156">
        <v>1856.1672937257476</v>
      </c>
      <c r="AJ156">
        <v>6.9159227949485116</v>
      </c>
    </row>
    <row r="157" spans="4:36" x14ac:dyDescent="0.55000000000000004">
      <c r="D157">
        <v>150</v>
      </c>
      <c r="E157">
        <v>13.258999776501447</v>
      </c>
      <c r="F157">
        <v>0.49675637581584048</v>
      </c>
      <c r="G157">
        <v>0.17779992217864041</v>
      </c>
      <c r="H157">
        <v>16.066443925504057</v>
      </c>
      <c r="I157">
        <v>13.527238169148623</v>
      </c>
      <c r="J157">
        <v>0.30260336243994057</v>
      </c>
      <c r="K157">
        <v>0.10792111416768597</v>
      </c>
      <c r="L157">
        <v>16.062237354243763</v>
      </c>
      <c r="M157">
        <v>13.407690032939147</v>
      </c>
      <c r="N157">
        <v>0.38918400873998593</v>
      </c>
      <c r="O157">
        <v>0.13902012324884577</v>
      </c>
      <c r="P157">
        <v>16.064105835072027</v>
      </c>
      <c r="Q157">
        <v>13.369365379827965</v>
      </c>
      <c r="R157">
        <v>0.41692274902627191</v>
      </c>
      <c r="S157">
        <v>0.14900490630212501</v>
      </c>
      <c r="T157">
        <v>16.064706964843644</v>
      </c>
      <c r="U157">
        <v>1609.6480203674305</v>
      </c>
      <c r="V157">
        <v>10.570430987767697</v>
      </c>
      <c r="W157">
        <v>1324.8811186424095</v>
      </c>
      <c r="X157">
        <v>7.5036501465455938</v>
      </c>
      <c r="Y157">
        <v>2925.2869885810651</v>
      </c>
      <c r="Z157">
        <v>10.623204089543529</v>
      </c>
      <c r="AA157">
        <v>2745.13895200455</v>
      </c>
      <c r="AB157">
        <v>7.5335293941845052</v>
      </c>
      <c r="AC157">
        <v>2256.766330534203</v>
      </c>
      <c r="AD157">
        <v>10.599688838707118</v>
      </c>
      <c r="AE157">
        <v>2035.4392758406032</v>
      </c>
      <c r="AF157">
        <v>7.5202288907410439</v>
      </c>
      <c r="AG157">
        <v>2158.2332710704154</v>
      </c>
      <c r="AH157">
        <v>10.592148779700146</v>
      </c>
      <c r="AI157">
        <v>1919.7934441178143</v>
      </c>
      <c r="AJ157">
        <v>7.5159595919967446</v>
      </c>
    </row>
    <row r="158" spans="4:36" x14ac:dyDescent="0.55000000000000004">
      <c r="D158">
        <v>151</v>
      </c>
      <c r="E158">
        <v>13.489034991101359</v>
      </c>
      <c r="F158">
        <v>0.43540315506434107</v>
      </c>
      <c r="G158">
        <v>0.19284550180921728</v>
      </c>
      <c r="H158">
        <v>15.882716352025096</v>
      </c>
      <c r="I158">
        <v>13.714768468286984</v>
      </c>
      <c r="J158">
        <v>0.28608970787627064</v>
      </c>
      <c r="K158">
        <v>0.1262855817503428</v>
      </c>
      <c r="L158">
        <v>15.872856242086407</v>
      </c>
      <c r="M158">
        <v>13.573510127963287</v>
      </c>
      <c r="N158">
        <v>0.37956532258778208</v>
      </c>
      <c r="O158">
        <v>0.1679009835866373</v>
      </c>
      <c r="P158">
        <v>15.879023565862305</v>
      </c>
      <c r="Q158">
        <v>13.574973394552226</v>
      </c>
      <c r="R158">
        <v>0.37859769436732904</v>
      </c>
      <c r="S158">
        <v>0.16746928064751562</v>
      </c>
      <c r="T158">
        <v>15.878959630432949</v>
      </c>
      <c r="U158">
        <v>1599.0297724443978</v>
      </c>
      <c r="V158">
        <v>10.66241627586478</v>
      </c>
      <c r="W158">
        <v>1316.7587126667893</v>
      </c>
      <c r="X158">
        <v>7.5484609889382561</v>
      </c>
      <c r="Y158">
        <v>2951.5133666170727</v>
      </c>
      <c r="Z158">
        <v>10.712576225582927</v>
      </c>
      <c r="AA158">
        <v>2761.6932490565641</v>
      </c>
      <c r="AB158">
        <v>7.5769977305611125</v>
      </c>
      <c r="AC158">
        <v>2262.4989583622259</v>
      </c>
      <c r="AD158">
        <v>10.681188327064651</v>
      </c>
      <c r="AE158">
        <v>2035.9374467967084</v>
      </c>
      <c r="AF158">
        <v>7.5591512848745834</v>
      </c>
      <c r="AG158">
        <v>2183.6381954702501</v>
      </c>
      <c r="AH158">
        <v>10.681513484024707</v>
      </c>
      <c r="AI158">
        <v>1936.3661712245307</v>
      </c>
      <c r="AJ158">
        <v>7.5593363426994307</v>
      </c>
    </row>
    <row r="159" spans="4:36" x14ac:dyDescent="0.55000000000000004">
      <c r="D159">
        <v>152</v>
      </c>
      <c r="E159">
        <v>12.591032518878309</v>
      </c>
      <c r="F159">
        <v>0.44825821271498612</v>
      </c>
      <c r="G159">
        <v>0.19586666978399944</v>
      </c>
      <c r="H159">
        <v>16.764842598622689</v>
      </c>
      <c r="I159">
        <v>12.817144357052703</v>
      </c>
      <c r="J159">
        <v>0.28815142868615767</v>
      </c>
      <c r="K159">
        <v>0.12546002271589046</v>
      </c>
      <c r="L159">
        <v>16.769244191545269</v>
      </c>
      <c r="M159">
        <v>12.717477682473392</v>
      </c>
      <c r="N159">
        <v>0.3587628486850028</v>
      </c>
      <c r="O159">
        <v>0.15644849180828163</v>
      </c>
      <c r="P159">
        <v>16.767310977033329</v>
      </c>
      <c r="Q159">
        <v>12.688296783104562</v>
      </c>
      <c r="R159">
        <v>0.37942527983514407</v>
      </c>
      <c r="S159">
        <v>0.16553503744287554</v>
      </c>
      <c r="T159">
        <v>16.766742899617434</v>
      </c>
      <c r="U159">
        <v>1575.2199004966303</v>
      </c>
      <c r="V159">
        <v>9.9910539558158948</v>
      </c>
      <c r="W159">
        <v>1304.9904783857753</v>
      </c>
      <c r="X159">
        <v>7.1623061306506415</v>
      </c>
      <c r="Y159">
        <v>2907.705586277259</v>
      </c>
      <c r="Z159">
        <v>10.029828542685735</v>
      </c>
      <c r="AA159">
        <v>2734.3649166805494</v>
      </c>
      <c r="AB159">
        <v>7.185109412599167</v>
      </c>
      <c r="AC159">
        <v>2242.7870700900658</v>
      </c>
      <c r="AD159">
        <v>10.012733638056913</v>
      </c>
      <c r="AE159">
        <v>2028.5612342443842</v>
      </c>
      <c r="AF159">
        <v>7.1750669026525147</v>
      </c>
      <c r="AG159">
        <v>2144.9095737919238</v>
      </c>
      <c r="AH159">
        <v>10.007729592788161</v>
      </c>
      <c r="AI159">
        <v>1914.0736057990678</v>
      </c>
      <c r="AJ159">
        <v>7.1721239841158937</v>
      </c>
    </row>
    <row r="160" spans="4:36" x14ac:dyDescent="0.55000000000000004">
      <c r="D160">
        <v>153</v>
      </c>
      <c r="E160">
        <v>11.791814063379757</v>
      </c>
      <c r="F160">
        <v>0.463376414956023</v>
      </c>
      <c r="G160">
        <v>0.16737702439877167</v>
      </c>
      <c r="H160">
        <v>17.577432497265459</v>
      </c>
      <c r="I160">
        <v>12.003428714920123</v>
      </c>
      <c r="J160">
        <v>0.29299788500363899</v>
      </c>
      <c r="K160">
        <v>0.10548640081585718</v>
      </c>
      <c r="L160">
        <v>17.598086999260389</v>
      </c>
      <c r="M160">
        <v>11.914802140389758</v>
      </c>
      <c r="N160">
        <v>0.36437963514154931</v>
      </c>
      <c r="O160">
        <v>0.131365833693454</v>
      </c>
      <c r="P160">
        <v>17.589452390775236</v>
      </c>
      <c r="Q160">
        <v>11.895442128547913</v>
      </c>
      <c r="R160">
        <v>0.37996776757113393</v>
      </c>
      <c r="S160">
        <v>0.13702690154218133</v>
      </c>
      <c r="T160">
        <v>17.58756320233876</v>
      </c>
      <c r="U160">
        <v>1538.3701672149359</v>
      </c>
      <c r="V160">
        <v>9.3712425673609037</v>
      </c>
      <c r="W160">
        <v>1286.2829792084513</v>
      </c>
      <c r="X160">
        <v>6.8022855197935872</v>
      </c>
      <c r="Y160">
        <v>2870.9450166524457</v>
      </c>
      <c r="Z160">
        <v>9.4010340696060215</v>
      </c>
      <c r="AA160">
        <v>2713.2289052011461</v>
      </c>
      <c r="AB160">
        <v>6.8207443849402623</v>
      </c>
      <c r="AC160">
        <v>2201.8117036343838</v>
      </c>
      <c r="AD160">
        <v>9.3885482670348583</v>
      </c>
      <c r="AE160">
        <v>2005.6921526031083</v>
      </c>
      <c r="AF160">
        <v>6.8130188733362402</v>
      </c>
      <c r="AG160">
        <v>2082.1856487118871</v>
      </c>
      <c r="AH160">
        <v>9.385822487215755</v>
      </c>
      <c r="AI160">
        <v>1876.3050875101394</v>
      </c>
      <c r="AJ160">
        <v>6.8113302710065122</v>
      </c>
    </row>
    <row r="161" spans="4:36" x14ac:dyDescent="0.55000000000000004">
      <c r="D161">
        <v>154</v>
      </c>
      <c r="E161">
        <v>12.397902508486483</v>
      </c>
      <c r="F161">
        <v>0.50585470056570792</v>
      </c>
      <c r="G161">
        <v>0.17373612467940824</v>
      </c>
      <c r="H161">
        <v>16.922506666268394</v>
      </c>
      <c r="I161">
        <v>12.640535399188568</v>
      </c>
      <c r="J161">
        <v>0.31113453987420031</v>
      </c>
      <c r="K161">
        <v>0.10649845599695602</v>
      </c>
      <c r="L161">
        <v>16.941831604940258</v>
      </c>
      <c r="M161">
        <v>12.540243294872406</v>
      </c>
      <c r="N161">
        <v>0.39165449078575615</v>
      </c>
      <c r="O161">
        <v>0.13424641114671468</v>
      </c>
      <c r="P161">
        <v>16.933855803195122</v>
      </c>
      <c r="Q161">
        <v>12.535118395250587</v>
      </c>
      <c r="R161">
        <v>0.39576781375181963</v>
      </c>
      <c r="S161">
        <v>0.13566600650887406</v>
      </c>
      <c r="T161">
        <v>16.933447784488731</v>
      </c>
      <c r="U161">
        <v>1565.0915710781958</v>
      </c>
      <c r="V161">
        <v>9.8259490635879452</v>
      </c>
      <c r="W161">
        <v>1298.9695719280762</v>
      </c>
      <c r="X161">
        <v>7.0611471939903376</v>
      </c>
      <c r="Y161">
        <v>2881.8917382177983</v>
      </c>
      <c r="Z161">
        <v>9.8601896953337782</v>
      </c>
      <c r="AA161">
        <v>2717.654437403673</v>
      </c>
      <c r="AB161">
        <v>7.0817875393959104</v>
      </c>
      <c r="AC161">
        <v>2239.3372300363885</v>
      </c>
      <c r="AD161">
        <v>9.8460291942822717</v>
      </c>
      <c r="AE161">
        <v>2028.1148667263476</v>
      </c>
      <c r="AF161">
        <v>7.0732631395516679</v>
      </c>
      <c r="AG161">
        <v>2088.1387435708507</v>
      </c>
      <c r="AH161">
        <v>9.8453058662677311</v>
      </c>
      <c r="AI161">
        <v>1876.6504770394824</v>
      </c>
      <c r="AJ161">
        <v>7.0728272717799632</v>
      </c>
    </row>
    <row r="162" spans="4:36" x14ac:dyDescent="0.55000000000000004">
      <c r="D162">
        <v>155</v>
      </c>
      <c r="E162">
        <v>12.195295562259441</v>
      </c>
      <c r="F162">
        <v>0.44339698720401577</v>
      </c>
      <c r="G162">
        <v>0.16535778417054431</v>
      </c>
      <c r="H162">
        <v>17.195949666366008</v>
      </c>
      <c r="I162">
        <v>12.397759556823271</v>
      </c>
      <c r="J162">
        <v>0.28712461203850476</v>
      </c>
      <c r="K162">
        <v>0.10676326685827849</v>
      </c>
      <c r="L162">
        <v>17.208352564279942</v>
      </c>
      <c r="M162">
        <v>12.307705441434674</v>
      </c>
      <c r="N162">
        <v>0.35665938001212838</v>
      </c>
      <c r="O162">
        <v>0.13279218054068262</v>
      </c>
      <c r="P162">
        <v>17.202842998012507</v>
      </c>
      <c r="Q162">
        <v>12.242994648720574</v>
      </c>
      <c r="R162">
        <v>0.40659951493959556</v>
      </c>
      <c r="S162">
        <v>0.15152892403460341</v>
      </c>
      <c r="T162">
        <v>17.19887691230522</v>
      </c>
      <c r="U162">
        <v>1558.9837162618032</v>
      </c>
      <c r="V162">
        <v>9.6416685812007614</v>
      </c>
      <c r="W162">
        <v>1298.5887022019244</v>
      </c>
      <c r="X162">
        <v>6.9560646357164515</v>
      </c>
      <c r="Y162">
        <v>2888.0245329348627</v>
      </c>
      <c r="Z162">
        <v>9.670721077706407</v>
      </c>
      <c r="AA162">
        <v>2723.4049720807834</v>
      </c>
      <c r="AB162">
        <v>6.973432566198805</v>
      </c>
      <c r="AC162">
        <v>2203.84622337778</v>
      </c>
      <c r="AD162">
        <v>9.6577952743971363</v>
      </c>
      <c r="AE162">
        <v>2004.4530347338377</v>
      </c>
      <c r="AF162">
        <v>6.9657134572174879</v>
      </c>
      <c r="AG162">
        <v>2125.8022547441287</v>
      </c>
      <c r="AH162">
        <v>9.6485105700922009</v>
      </c>
      <c r="AI162">
        <v>1902.1720678789688</v>
      </c>
      <c r="AJ162">
        <v>6.960160776852601</v>
      </c>
    </row>
    <row r="163" spans="4:36" x14ac:dyDescent="0.55000000000000004">
      <c r="D163">
        <v>156</v>
      </c>
      <c r="E163">
        <v>12.156333406134275</v>
      </c>
      <c r="F163">
        <v>0.40691074024617474</v>
      </c>
      <c r="G163">
        <v>0.15903298052868917</v>
      </c>
      <c r="H163">
        <v>17.277722873090852</v>
      </c>
      <c r="I163">
        <v>12.348622204231052</v>
      </c>
      <c r="J163">
        <v>0.27386253876104322</v>
      </c>
      <c r="K163">
        <v>0.10672794170355911</v>
      </c>
      <c r="L163">
        <v>17.270787315304339</v>
      </c>
      <c r="M163">
        <v>12.289656999956369</v>
      </c>
      <c r="N163">
        <v>0.31468728857943273</v>
      </c>
      <c r="O163">
        <v>0.12274506956149006</v>
      </c>
      <c r="P163">
        <v>17.272910641902701</v>
      </c>
      <c r="Q163">
        <v>12.242013495113117</v>
      </c>
      <c r="R163">
        <v>0.3476569173622846</v>
      </c>
      <c r="S163">
        <v>0.13570108552502982</v>
      </c>
      <c r="T163">
        <v>17.274628501999562</v>
      </c>
      <c r="U163">
        <v>1496.1757835757401</v>
      </c>
      <c r="V163">
        <v>9.5656706920603884</v>
      </c>
      <c r="W163">
        <v>1259.5752083194423</v>
      </c>
      <c r="X163">
        <v>6.9113848949477141</v>
      </c>
      <c r="Y163">
        <v>2887.1432638333104</v>
      </c>
      <c r="Z163">
        <v>9.6053639902075627</v>
      </c>
      <c r="AA163">
        <v>2726.2042160301376</v>
      </c>
      <c r="AB163">
        <v>6.9342902652405112</v>
      </c>
      <c r="AC163">
        <v>2183.4315077265046</v>
      </c>
      <c r="AD163">
        <v>9.5931939403143502</v>
      </c>
      <c r="AE163">
        <v>1995.9102211211923</v>
      </c>
      <c r="AF163">
        <v>6.9272748613998862</v>
      </c>
      <c r="AG163">
        <v>2098.4238831413586</v>
      </c>
      <c r="AH163">
        <v>9.583359415671854</v>
      </c>
      <c r="AI163">
        <v>1890.2954929462544</v>
      </c>
      <c r="AJ163">
        <v>6.9216009849287499</v>
      </c>
    </row>
    <row r="164" spans="4:36" x14ac:dyDescent="0.55000000000000004">
      <c r="D164">
        <v>157</v>
      </c>
      <c r="E164">
        <v>11.221006542087089</v>
      </c>
      <c r="F164">
        <v>0.39652444193791925</v>
      </c>
      <c r="G164">
        <v>0.15267249876086855</v>
      </c>
      <c r="H164">
        <v>18.229796517214137</v>
      </c>
      <c r="I164">
        <v>11.388016719266048</v>
      </c>
      <c r="J164">
        <v>0.26400563368611313</v>
      </c>
      <c r="K164">
        <v>0.10137589500404708</v>
      </c>
      <c r="L164">
        <v>18.246601752043794</v>
      </c>
      <c r="M164">
        <v>11.309080881399417</v>
      </c>
      <c r="N164">
        <v>0.32665685692514945</v>
      </c>
      <c r="O164">
        <v>0.12559266004064751</v>
      </c>
      <c r="P164">
        <v>18.23866960163479</v>
      </c>
      <c r="Q164">
        <v>11.287165269773267</v>
      </c>
      <c r="R164">
        <v>0.34404571310792503</v>
      </c>
      <c r="S164">
        <v>0.13232507325353171</v>
      </c>
      <c r="T164">
        <v>18.236463943865285</v>
      </c>
      <c r="U164">
        <v>1414.6953164423421</v>
      </c>
      <c r="V164">
        <v>8.8450086703041162</v>
      </c>
      <c r="W164">
        <v>1209.6789700946288</v>
      </c>
      <c r="X164">
        <v>6.4866860247298268</v>
      </c>
      <c r="Y164">
        <v>2820.1358376701546</v>
      </c>
      <c r="Z164">
        <v>8.8674439482335234</v>
      </c>
      <c r="AA164">
        <v>2684.0678255768698</v>
      </c>
      <c r="AB164">
        <v>6.5009121016760982</v>
      </c>
      <c r="AC164">
        <v>2162.8306852309888</v>
      </c>
      <c r="AD164">
        <v>8.8568333994887478</v>
      </c>
      <c r="AE164">
        <v>1987.3744124740758</v>
      </c>
      <c r="AF164">
        <v>6.4941915586402548</v>
      </c>
      <c r="AG164">
        <v>2031.6507345346693</v>
      </c>
      <c r="AH164">
        <v>8.8538896348717877</v>
      </c>
      <c r="AI164">
        <v>1849.6852667047547</v>
      </c>
      <c r="AJ164">
        <v>6.4923246388178804</v>
      </c>
    </row>
    <row r="165" spans="4:36" x14ac:dyDescent="0.55000000000000004">
      <c r="D165">
        <v>158</v>
      </c>
      <c r="E165">
        <v>11.892195001638353</v>
      </c>
      <c r="F165">
        <v>0.4305110328472696</v>
      </c>
      <c r="G165">
        <v>0.19443626682176926</v>
      </c>
      <c r="H165">
        <v>17.48285769869263</v>
      </c>
      <c r="I165">
        <v>12.083844557513302</v>
      </c>
      <c r="J165">
        <v>0.28583943732985073</v>
      </c>
      <c r="K165">
        <v>0.12870788165288682</v>
      </c>
      <c r="L165">
        <v>17.501608123503946</v>
      </c>
      <c r="M165">
        <v>12.003356377253603</v>
      </c>
      <c r="N165">
        <v>0.34662295574245944</v>
      </c>
      <c r="O165">
        <v>0.15627459963726162</v>
      </c>
      <c r="P165">
        <v>17.493746067366658</v>
      </c>
      <c r="Q165">
        <v>12.002401481915024</v>
      </c>
      <c r="R165">
        <v>0.34734386305796605</v>
      </c>
      <c r="S165">
        <v>0.15660197110597884</v>
      </c>
      <c r="T165">
        <v>17.493652683921034</v>
      </c>
      <c r="U165">
        <v>1518.8286263697776</v>
      </c>
      <c r="V165">
        <v>9.3902017678506216</v>
      </c>
      <c r="W165">
        <v>1271.91378343713</v>
      </c>
      <c r="X165">
        <v>6.8049910488794332</v>
      </c>
      <c r="Y165">
        <v>2891.4773838750584</v>
      </c>
      <c r="Z165">
        <v>9.4155871056484575</v>
      </c>
      <c r="AA165">
        <v>2726.9344557398226</v>
      </c>
      <c r="AB165">
        <v>6.8207744343082446</v>
      </c>
      <c r="AC165">
        <v>2197.204305214786</v>
      </c>
      <c r="AD165">
        <v>9.4049184872970422</v>
      </c>
      <c r="AE165">
        <v>2001.5704435656576</v>
      </c>
      <c r="AF165">
        <v>6.8141495921756041</v>
      </c>
      <c r="AG165">
        <v>2098.3826551486991</v>
      </c>
      <c r="AH165">
        <v>9.4047919809299305</v>
      </c>
      <c r="AI165">
        <v>1888.5551200000855</v>
      </c>
      <c r="AJ165">
        <v>6.8140709635778896</v>
      </c>
    </row>
    <row r="166" spans="4:36" x14ac:dyDescent="0.55000000000000004">
      <c r="D166">
        <v>159</v>
      </c>
      <c r="E166">
        <v>11.772392661382272</v>
      </c>
      <c r="F166">
        <v>0.45824021526599568</v>
      </c>
      <c r="G166">
        <v>0.15751967073433354</v>
      </c>
      <c r="H166">
        <v>17.611847452617411</v>
      </c>
      <c r="I166">
        <v>11.959490017416305</v>
      </c>
      <c r="J166">
        <v>0.29990624784023839</v>
      </c>
      <c r="K166">
        <v>0.10279765199220843</v>
      </c>
      <c r="L166">
        <v>17.637806082751258</v>
      </c>
      <c r="M166">
        <v>11.879554993745179</v>
      </c>
      <c r="N166">
        <v>0.36756869881711646</v>
      </c>
      <c r="O166">
        <v>0.12614373609503632</v>
      </c>
      <c r="P166">
        <v>17.626732571342668</v>
      </c>
      <c r="Q166">
        <v>11.811845872195098</v>
      </c>
      <c r="R166">
        <v>0.42486340336776812</v>
      </c>
      <c r="S166">
        <v>0.14595778989880592</v>
      </c>
      <c r="T166">
        <v>17.617332934538339</v>
      </c>
      <c r="U166">
        <v>1496.4661795262473</v>
      </c>
      <c r="V166">
        <v>9.2056245496006159</v>
      </c>
      <c r="W166">
        <v>1258.1348414261554</v>
      </c>
      <c r="X166">
        <v>6.6830731599166473</v>
      </c>
      <c r="Y166">
        <v>2866.1073031333922</v>
      </c>
      <c r="Z166">
        <v>9.2235667686436464</v>
      </c>
      <c r="AA166">
        <v>2710.5077977730543</v>
      </c>
      <c r="AB166">
        <v>6.6947923921469927</v>
      </c>
      <c r="AC166">
        <v>2201.4266271442589</v>
      </c>
      <c r="AD166">
        <v>9.215891686154329</v>
      </c>
      <c r="AE166">
        <v>2006.8428508203574</v>
      </c>
      <c r="AF166">
        <v>6.6897868924295363</v>
      </c>
      <c r="AG166">
        <v>2084.7666224615396</v>
      </c>
      <c r="AH166">
        <v>9.2094015515789494</v>
      </c>
      <c r="AI166">
        <v>1876.3688140000834</v>
      </c>
      <c r="AJ166">
        <v>6.6855453477594633</v>
      </c>
    </row>
    <row r="167" spans="4:36" x14ac:dyDescent="0.55000000000000004">
      <c r="D167">
        <v>160</v>
      </c>
      <c r="E167">
        <v>13.154947260032579</v>
      </c>
      <c r="F167">
        <v>0.45882559120505689</v>
      </c>
      <c r="G167">
        <v>0.15653174272452205</v>
      </c>
      <c r="H167">
        <v>16.229695406037848</v>
      </c>
      <c r="I167">
        <v>13.387746194386359</v>
      </c>
      <c r="J167">
        <v>0.29665661451439013</v>
      </c>
      <c r="K167">
        <v>0.10087134347739421</v>
      </c>
      <c r="L167">
        <v>16.214725847621867</v>
      </c>
      <c r="M167">
        <v>13.293127160857498</v>
      </c>
      <c r="N167">
        <v>0.36260897008070786</v>
      </c>
      <c r="O167">
        <v>0.12346260324317108</v>
      </c>
      <c r="P167">
        <v>16.220801265818629</v>
      </c>
      <c r="Q167">
        <v>13.239257666977798</v>
      </c>
      <c r="R167">
        <v>0.40013310968151711</v>
      </c>
      <c r="S167">
        <v>0.1363436545578422</v>
      </c>
      <c r="T167">
        <v>16.224265568782826</v>
      </c>
      <c r="U167">
        <v>1591.3594352952705</v>
      </c>
      <c r="V167">
        <v>10.374889385179795</v>
      </c>
      <c r="W167">
        <v>1318.7153232913633</v>
      </c>
      <c r="X167">
        <v>7.3814739971900538</v>
      </c>
      <c r="Y167">
        <v>2899.5035480061129</v>
      </c>
      <c r="Z167">
        <v>10.427335691484306</v>
      </c>
      <c r="AA167">
        <v>2729.7728355108165</v>
      </c>
      <c r="AB167">
        <v>7.4110032485243824</v>
      </c>
      <c r="AC167">
        <v>2231.6120141671936</v>
      </c>
      <c r="AD167">
        <v>10.406024913837095</v>
      </c>
      <c r="AE167">
        <v>2022.6595238694881</v>
      </c>
      <c r="AF167">
        <v>7.3990156132590945</v>
      </c>
      <c r="AG167">
        <v>2137.0814895419676</v>
      </c>
      <c r="AH167">
        <v>10.39388865330892</v>
      </c>
      <c r="AI167">
        <v>1909.4428075295759</v>
      </c>
      <c r="AJ167">
        <v>7.3921819936281876</v>
      </c>
    </row>
    <row r="168" spans="4:36" x14ac:dyDescent="0.55000000000000004">
      <c r="D168">
        <v>161</v>
      </c>
      <c r="E168">
        <v>11.559244665851368</v>
      </c>
      <c r="F168">
        <v>0.4269681838282407</v>
      </c>
      <c r="G168">
        <v>0.15155703905183207</v>
      </c>
      <c r="H168">
        <v>17.862230111268548</v>
      </c>
      <c r="I168">
        <v>11.752789202030886</v>
      </c>
      <c r="J168">
        <v>0.27656487874135355</v>
      </c>
      <c r="K168">
        <v>9.7877639048359596E-2</v>
      </c>
      <c r="L168">
        <v>17.872768280179404</v>
      </c>
      <c r="M168">
        <v>11.648161305429504</v>
      </c>
      <c r="N168">
        <v>0.35789557557862423</v>
      </c>
      <c r="O168">
        <v>0.12686454112568241</v>
      </c>
      <c r="P168">
        <v>17.867078577866195</v>
      </c>
      <c r="Q168">
        <v>11.622767922191642</v>
      </c>
      <c r="R168">
        <v>0.37762603226217589</v>
      </c>
      <c r="S168">
        <v>0.13391088479575536</v>
      </c>
      <c r="T168">
        <v>17.865695160750427</v>
      </c>
      <c r="U168">
        <v>1466.0456587793067</v>
      </c>
      <c r="V168">
        <v>9.0405521336634482</v>
      </c>
      <c r="W168">
        <v>1238.6944339135034</v>
      </c>
      <c r="X168">
        <v>6.590661014401241</v>
      </c>
      <c r="Y168">
        <v>2865.1070638839897</v>
      </c>
      <c r="Z168">
        <v>9.0679657176377173</v>
      </c>
      <c r="AA168">
        <v>2711.8694199619786</v>
      </c>
      <c r="AB168">
        <v>6.6072880924396591</v>
      </c>
      <c r="AC168">
        <v>2206.0887636411862</v>
      </c>
      <c r="AD168">
        <v>9.053142401360585</v>
      </c>
      <c r="AE168">
        <v>2011.3102490268161</v>
      </c>
      <c r="AF168">
        <v>6.5983055885311774</v>
      </c>
      <c r="AG168">
        <v>2069.9297625525269</v>
      </c>
      <c r="AH168">
        <v>9.049546119959393</v>
      </c>
      <c r="AI168">
        <v>1869.55588012613</v>
      </c>
      <c r="AJ168">
        <v>6.5961234317744557</v>
      </c>
    </row>
    <row r="169" spans="4:36" x14ac:dyDescent="0.55000000000000004">
      <c r="D169">
        <v>162</v>
      </c>
      <c r="E169">
        <v>12.061814334559575</v>
      </c>
      <c r="F169">
        <v>0.45917095786401929</v>
      </c>
      <c r="G169">
        <v>0.18245117221967488</v>
      </c>
      <c r="H169">
        <v>17.296563535356743</v>
      </c>
      <c r="I169">
        <v>12.237210671412278</v>
      </c>
      <c r="J169">
        <v>0.31336495346906745</v>
      </c>
      <c r="K169">
        <v>0.12418825052849349</v>
      </c>
      <c r="L169">
        <v>17.32523612459017</v>
      </c>
      <c r="M169">
        <v>12.143630391594245</v>
      </c>
      <c r="N169">
        <v>0.39117325177366985</v>
      </c>
      <c r="O169">
        <v>0.15524117796131659</v>
      </c>
      <c r="P169">
        <v>17.309955178670773</v>
      </c>
      <c r="Q169">
        <v>12.111345011552734</v>
      </c>
      <c r="R169">
        <v>0.41800904062963923</v>
      </c>
      <c r="S169">
        <v>0.16597168565182352</v>
      </c>
      <c r="T169">
        <v>17.304674262165815</v>
      </c>
      <c r="U169">
        <v>1539.2836436040245</v>
      </c>
      <c r="V169">
        <v>9.5610844792203089</v>
      </c>
      <c r="W169">
        <v>1287.5975476532435</v>
      </c>
      <c r="X169">
        <v>6.9060526091669958</v>
      </c>
      <c r="Y169">
        <v>2895.1452017899087</v>
      </c>
      <c r="Z169">
        <v>9.5737214573259983</v>
      </c>
      <c r="AA169">
        <v>2729.474492442454</v>
      </c>
      <c r="AB169">
        <v>6.9146846093438725</v>
      </c>
      <c r="AC169">
        <v>2193.1841763153679</v>
      </c>
      <c r="AD169">
        <v>9.5669697209378466</v>
      </c>
      <c r="AE169">
        <v>1997.6421858394801</v>
      </c>
      <c r="AF169">
        <v>6.9100789954470114</v>
      </c>
      <c r="AG169">
        <v>2105.6241321205653</v>
      </c>
      <c r="AH169">
        <v>9.5646453653778796</v>
      </c>
      <c r="AI169">
        <v>1890.7165844409894</v>
      </c>
      <c r="AJ169">
        <v>6.9084901189771424</v>
      </c>
    </row>
    <row r="170" spans="4:36" x14ac:dyDescent="0.55000000000000004">
      <c r="D170">
        <v>163</v>
      </c>
      <c r="E170">
        <v>12.236199460258366</v>
      </c>
      <c r="F170">
        <v>0.44450565548843968</v>
      </c>
      <c r="G170">
        <v>0.15952896600458416</v>
      </c>
      <c r="H170">
        <v>17.15976591824862</v>
      </c>
      <c r="I170">
        <v>12.455652991124101</v>
      </c>
      <c r="J170">
        <v>0.28213576490593939</v>
      </c>
      <c r="K170">
        <v>0.10094258472532174</v>
      </c>
      <c r="L170">
        <v>17.161268659244648</v>
      </c>
      <c r="M170">
        <v>12.364701966723892</v>
      </c>
      <c r="N170">
        <v>0.34946240408631252</v>
      </c>
      <c r="O170">
        <v>0.12519074728580429</v>
      </c>
      <c r="P170">
        <v>17.160644881903984</v>
      </c>
      <c r="Q170">
        <v>12.335928936575879</v>
      </c>
      <c r="R170">
        <v>0.37075183498311132</v>
      </c>
      <c r="S170">
        <v>0.13287139728712039</v>
      </c>
      <c r="T170">
        <v>17.160447831153885</v>
      </c>
      <c r="U170">
        <v>1531.2490922868176</v>
      </c>
      <c r="V170">
        <v>9.6219063909714535</v>
      </c>
      <c r="W170">
        <v>1280.9414243385977</v>
      </c>
      <c r="X170">
        <v>6.9396870870689495</v>
      </c>
      <c r="Y170">
        <v>2885.2146832969679</v>
      </c>
      <c r="Z170">
        <v>9.6622780624073901</v>
      </c>
      <c r="AA170">
        <v>2723.3935016904543</v>
      </c>
      <c r="AB170">
        <v>6.9632329598840315</v>
      </c>
      <c r="AC170">
        <v>2209.8770803123921</v>
      </c>
      <c r="AD170">
        <v>9.6455464305492029</v>
      </c>
      <c r="AE170">
        <v>2011.4490434477311</v>
      </c>
      <c r="AF170">
        <v>6.9534849422515199</v>
      </c>
      <c r="AG170">
        <v>2107.8132421820756</v>
      </c>
      <c r="AH170">
        <v>9.6402532163918142</v>
      </c>
      <c r="AI170">
        <v>1894.2790540703377</v>
      </c>
      <c r="AJ170">
        <v>6.9503980314019902</v>
      </c>
    </row>
    <row r="171" spans="4:36" x14ac:dyDescent="0.55000000000000004">
      <c r="D171">
        <v>164</v>
      </c>
      <c r="E171">
        <v>12.138491902102439</v>
      </c>
      <c r="F171">
        <v>0.44935304211988181</v>
      </c>
      <c r="G171">
        <v>0.16119042167912001</v>
      </c>
      <c r="H171">
        <v>17.250964634098562</v>
      </c>
      <c r="I171">
        <v>12.329346597552266</v>
      </c>
      <c r="J171">
        <v>0.29969270144796328</v>
      </c>
      <c r="K171">
        <v>0.10718977215460629</v>
      </c>
      <c r="L171">
        <v>17.263770928845165</v>
      </c>
      <c r="M171">
        <v>12.244578360911996</v>
      </c>
      <c r="N171">
        <v>0.36618681260499103</v>
      </c>
      <c r="O171">
        <v>0.13114262099866542</v>
      </c>
      <c r="P171">
        <v>17.258092205484353</v>
      </c>
      <c r="Q171">
        <v>12.209312565387815</v>
      </c>
      <c r="R171">
        <v>0.39383959179099348</v>
      </c>
      <c r="S171">
        <v>0.14112245235993062</v>
      </c>
      <c r="T171">
        <v>17.255725390461276</v>
      </c>
      <c r="U171">
        <v>1550.9695111555645</v>
      </c>
      <c r="V171">
        <v>9.5224128347215835</v>
      </c>
      <c r="W171">
        <v>1293.3020492612004</v>
      </c>
      <c r="X171">
        <v>6.87551451506158</v>
      </c>
      <c r="Y171">
        <v>2898.6559871104764</v>
      </c>
      <c r="Z171">
        <v>9.5497089285616354</v>
      </c>
      <c r="AA171">
        <v>2730.7158595887054</v>
      </c>
      <c r="AB171">
        <v>6.8921056762401713</v>
      </c>
      <c r="AC171">
        <v>2223.3819448866916</v>
      </c>
      <c r="AD171">
        <v>9.5375798878982767</v>
      </c>
      <c r="AE171">
        <v>2018.6551230923394</v>
      </c>
      <c r="AF171">
        <v>6.8847413604367231</v>
      </c>
      <c r="AG171">
        <v>2123.2366665616419</v>
      </c>
      <c r="AH171">
        <v>9.5325364547773663</v>
      </c>
      <c r="AI171">
        <v>1902.2902187106442</v>
      </c>
      <c r="AJ171">
        <v>6.8816754277023477</v>
      </c>
    </row>
    <row r="172" spans="4:36" x14ac:dyDescent="0.55000000000000004">
      <c r="D172">
        <v>165</v>
      </c>
      <c r="E172">
        <v>13.404392748542152</v>
      </c>
      <c r="F172">
        <v>0.47796988922930556</v>
      </c>
      <c r="G172">
        <v>0.18630737070427586</v>
      </c>
      <c r="H172">
        <v>15.931329991524258</v>
      </c>
      <c r="I172">
        <v>13.668068587410412</v>
      </c>
      <c r="J172">
        <v>0.30430893474526227</v>
      </c>
      <c r="K172">
        <v>0.11815243658830876</v>
      </c>
      <c r="L172">
        <v>15.909470041256025</v>
      </c>
      <c r="M172">
        <v>13.575634664564305</v>
      </c>
      <c r="N172">
        <v>0.36523951248536735</v>
      </c>
      <c r="O172">
        <v>0.14200347702175295</v>
      </c>
      <c r="P172">
        <v>15.917122345928592</v>
      </c>
      <c r="Q172">
        <v>13.555018165834086</v>
      </c>
      <c r="R172">
        <v>0.37882184892261528</v>
      </c>
      <c r="S172">
        <v>0.14732926935922164</v>
      </c>
      <c r="T172">
        <v>15.918830715884082</v>
      </c>
      <c r="U172">
        <v>1620.0085773752296</v>
      </c>
      <c r="V172">
        <v>10.593101502864533</v>
      </c>
      <c r="W172">
        <v>1330.6371241288671</v>
      </c>
      <c r="X172">
        <v>7.5055205560836153</v>
      </c>
      <c r="Y172">
        <v>2919.4266074668808</v>
      </c>
      <c r="Z172">
        <v>10.653565862820148</v>
      </c>
      <c r="AA172">
        <v>2738.8600242060888</v>
      </c>
      <c r="AB172">
        <v>7.5394110829015251</v>
      </c>
      <c r="AC172">
        <v>2266.2588702045146</v>
      </c>
      <c r="AD172">
        <v>10.63237622062791</v>
      </c>
      <c r="AE172">
        <v>2041.6336911033111</v>
      </c>
      <c r="AF172">
        <v>7.5275474774862481</v>
      </c>
      <c r="AG172">
        <v>2162.8647986623218</v>
      </c>
      <c r="AH172">
        <v>10.62764909552649</v>
      </c>
      <c r="AI172">
        <v>1923.4571067937638</v>
      </c>
      <c r="AJ172">
        <v>7.5248989238162869</v>
      </c>
    </row>
    <row r="173" spans="4:36" x14ac:dyDescent="0.55000000000000004">
      <c r="D173">
        <v>166</v>
      </c>
      <c r="E173">
        <v>12.664864916855892</v>
      </c>
      <c r="F173">
        <v>0.46979937148567935</v>
      </c>
      <c r="G173">
        <v>0.17283914498132749</v>
      </c>
      <c r="H173">
        <v>16.692496566677107</v>
      </c>
      <c r="I173">
        <v>12.893720067384447</v>
      </c>
      <c r="J173">
        <v>0.3015211243672945</v>
      </c>
      <c r="K173">
        <v>0.11055801059068882</v>
      </c>
      <c r="L173">
        <v>16.69420079765759</v>
      </c>
      <c r="M173">
        <v>12.797359335915585</v>
      </c>
      <c r="N173">
        <v>0.37241200422545662</v>
      </c>
      <c r="O173">
        <v>0.13674361382191869</v>
      </c>
      <c r="P173">
        <v>16.69348504603704</v>
      </c>
      <c r="Q173">
        <v>12.76797263144622</v>
      </c>
      <c r="R173">
        <v>0.39402078776312371</v>
      </c>
      <c r="S173">
        <v>0.1447403399940187</v>
      </c>
      <c r="T173">
        <v>16.693266240796646</v>
      </c>
      <c r="U173">
        <v>1553.7515618462444</v>
      </c>
      <c r="V173">
        <v>9.9102863847955174</v>
      </c>
      <c r="W173">
        <v>1291.724889655183</v>
      </c>
      <c r="X173">
        <v>7.0967302400520751</v>
      </c>
      <c r="Y173">
        <v>2925.4327001155557</v>
      </c>
      <c r="Z173">
        <v>9.9490505803658831</v>
      </c>
      <c r="AA173">
        <v>2748.5532535300085</v>
      </c>
      <c r="AB173">
        <v>7.1192615057377342</v>
      </c>
      <c r="AC173">
        <v>2239.2318344386586</v>
      </c>
      <c r="AD173">
        <v>9.9327277342269547</v>
      </c>
      <c r="AE173">
        <v>2028.0454939932656</v>
      </c>
      <c r="AF173">
        <v>7.1097841243820508</v>
      </c>
      <c r="AG173">
        <v>2118.0491432815584</v>
      </c>
      <c r="AH173">
        <v>9.9277501067493024</v>
      </c>
      <c r="AI173">
        <v>1896.8626143510699</v>
      </c>
      <c r="AJ173">
        <v>7.1068911034085431</v>
      </c>
    </row>
    <row r="174" spans="4:36" x14ac:dyDescent="0.55000000000000004">
      <c r="D174">
        <v>167</v>
      </c>
      <c r="E174">
        <v>12.634896383968629</v>
      </c>
      <c r="F174">
        <v>0.45517263211850106</v>
      </c>
      <c r="G174">
        <v>0.15408071579200724</v>
      </c>
      <c r="H174">
        <v>16.755850268120867</v>
      </c>
      <c r="I174">
        <v>12.870597650840338</v>
      </c>
      <c r="J174">
        <v>0.2875449686322803</v>
      </c>
      <c r="K174">
        <v>9.7017986642026502E-2</v>
      </c>
      <c r="L174">
        <v>16.744839393885361</v>
      </c>
      <c r="M174">
        <v>12.786454448915679</v>
      </c>
      <c r="N174">
        <v>0.3474253308885572</v>
      </c>
      <c r="O174">
        <v>0.11735847061490244</v>
      </c>
      <c r="P174">
        <v>16.748761749580865</v>
      </c>
      <c r="Q174">
        <v>12.734852173015522</v>
      </c>
      <c r="R174">
        <v>0.38412675556855935</v>
      </c>
      <c r="S174">
        <v>0.1298492595430856</v>
      </c>
      <c r="T174">
        <v>16.751171811872837</v>
      </c>
      <c r="U174">
        <v>1537.5499281419127</v>
      </c>
      <c r="V174">
        <v>10.00492158101388</v>
      </c>
      <c r="W174">
        <v>1282.8167104562142</v>
      </c>
      <c r="X174">
        <v>7.172781065646066</v>
      </c>
      <c r="Y174">
        <v>2897.6102499421709</v>
      </c>
      <c r="Z174">
        <v>10.054062314360147</v>
      </c>
      <c r="AA174">
        <v>2730.6541042491776</v>
      </c>
      <c r="AB174">
        <v>7.2006144535328085</v>
      </c>
      <c r="AC174">
        <v>2211.6737233221475</v>
      </c>
      <c r="AD174">
        <v>10.036525341814766</v>
      </c>
      <c r="AE174">
        <v>2011.376857853005</v>
      </c>
      <c r="AF174">
        <v>7.190692100086971</v>
      </c>
      <c r="AG174">
        <v>2133.2100307312662</v>
      </c>
      <c r="AH174">
        <v>10.025767304856791</v>
      </c>
      <c r="AI174">
        <v>1909.9388603309017</v>
      </c>
      <c r="AJ174">
        <v>7.1845994382376119</v>
      </c>
    </row>
    <row r="175" spans="4:36" x14ac:dyDescent="0.55000000000000004">
      <c r="D175">
        <v>168</v>
      </c>
      <c r="E175">
        <v>13.753763300681539</v>
      </c>
      <c r="F175">
        <v>0.48373457115060747</v>
      </c>
      <c r="G175">
        <v>0.16082652537941822</v>
      </c>
      <c r="H175">
        <v>15.601675602788431</v>
      </c>
      <c r="I175">
        <v>14.004514970866133</v>
      </c>
      <c r="J175">
        <v>0.31040547668544771</v>
      </c>
      <c r="K175">
        <v>0.10285796018837379</v>
      </c>
      <c r="L175">
        <v>15.582221592260035</v>
      </c>
      <c r="M175">
        <v>13.894770040442344</v>
      </c>
      <c r="N175">
        <v>0.38631218860221117</v>
      </c>
      <c r="O175">
        <v>0.12819625606251606</v>
      </c>
      <c r="P175">
        <v>15.590721514892945</v>
      </c>
      <c r="Q175">
        <v>13.8678249652231</v>
      </c>
      <c r="R175">
        <v>0.40493804485497814</v>
      </c>
      <c r="S175">
        <v>0.13442512376541688</v>
      </c>
      <c r="T175">
        <v>15.59281186615652</v>
      </c>
      <c r="U175">
        <v>1589.2771461221159</v>
      </c>
      <c r="V175">
        <v>10.872753555658601</v>
      </c>
      <c r="W175">
        <v>1310.5597324143141</v>
      </c>
      <c r="X175">
        <v>7.6681319384979227</v>
      </c>
      <c r="Y175">
        <v>2922.4434915044317</v>
      </c>
      <c r="Z175">
        <v>10.929626028984668</v>
      </c>
      <c r="AA175">
        <v>2742.0249124254851</v>
      </c>
      <c r="AB175">
        <v>7.6997132018050989</v>
      </c>
      <c r="AC175">
        <v>2256.1883561144418</v>
      </c>
      <c r="AD175">
        <v>10.904743411141402</v>
      </c>
      <c r="AE175">
        <v>2034.6856159020801</v>
      </c>
      <c r="AF175">
        <v>7.6859076567064371</v>
      </c>
      <c r="AG175">
        <v>2145.425811606854</v>
      </c>
      <c r="AH175">
        <v>10.898632125262113</v>
      </c>
      <c r="AI175">
        <v>1910.9281945677189</v>
      </c>
      <c r="AJ175">
        <v>7.6825141644576549</v>
      </c>
    </row>
    <row r="176" spans="4:36" x14ac:dyDescent="0.55000000000000004">
      <c r="D176">
        <v>169</v>
      </c>
      <c r="E176">
        <v>12.185784473683494</v>
      </c>
      <c r="F176">
        <v>0.42087225272080359</v>
      </c>
      <c r="G176">
        <v>0.14891885379154041</v>
      </c>
      <c r="H176">
        <v>17.244424419804172</v>
      </c>
      <c r="I176">
        <v>12.383488629448232</v>
      </c>
      <c r="J176">
        <v>0.27471444194430089</v>
      </c>
      <c r="K176">
        <v>9.6922993943633587E-2</v>
      </c>
      <c r="L176">
        <v>17.244873934663822</v>
      </c>
      <c r="M176">
        <v>12.302704342154655</v>
      </c>
      <c r="N176">
        <v>0.33446348828662381</v>
      </c>
      <c r="O176">
        <v>0.11814204679982604</v>
      </c>
      <c r="P176">
        <v>17.24469012275889</v>
      </c>
      <c r="Q176">
        <v>12.236988800503699</v>
      </c>
      <c r="R176">
        <v>0.3830398207045167</v>
      </c>
      <c r="S176">
        <v>0.13543064464644425</v>
      </c>
      <c r="T176">
        <v>17.244540734145332</v>
      </c>
      <c r="U176">
        <v>1503.1341033515087</v>
      </c>
      <c r="V176">
        <v>9.6177702759514876</v>
      </c>
      <c r="W176">
        <v>1263.0652620185294</v>
      </c>
      <c r="X176">
        <v>6.9452799186353014</v>
      </c>
      <c r="Y176">
        <v>2882.8076380144648</v>
      </c>
      <c r="Z176">
        <v>9.6560963213145143</v>
      </c>
      <c r="AA176">
        <v>2722.7168060640684</v>
      </c>
      <c r="AB176">
        <v>6.9677053969380029</v>
      </c>
      <c r="AC176">
        <v>2240.6882222282256</v>
      </c>
      <c r="AD176">
        <v>9.6404353948442054</v>
      </c>
      <c r="AE176">
        <v>2035.5715958296514</v>
      </c>
      <c r="AF176">
        <v>6.9585508600484616</v>
      </c>
      <c r="AG176">
        <v>2101.5720688388178</v>
      </c>
      <c r="AH176">
        <v>9.6276961641385981</v>
      </c>
      <c r="AI176">
        <v>1889.4395351940475</v>
      </c>
      <c r="AJ176">
        <v>6.9510949955683525</v>
      </c>
    </row>
    <row r="177" spans="4:36" x14ac:dyDescent="0.55000000000000004">
      <c r="D177">
        <v>170</v>
      </c>
      <c r="E177">
        <v>13.149602504664777</v>
      </c>
      <c r="F177">
        <v>0.42914350374534099</v>
      </c>
      <c r="G177">
        <v>0.15653750787694423</v>
      </c>
      <c r="H177">
        <v>16.264716483712917</v>
      </c>
      <c r="I177">
        <v>13.377131746976866</v>
      </c>
      <c r="J177">
        <v>0.27714425266459441</v>
      </c>
      <c r="K177">
        <v>0.10077580060559953</v>
      </c>
      <c r="L177">
        <v>16.244948199752926</v>
      </c>
      <c r="M177">
        <v>13.247307018664639</v>
      </c>
      <c r="N177">
        <v>0.36391428661194791</v>
      </c>
      <c r="O177">
        <v>0.13256419058981667</v>
      </c>
      <c r="P177">
        <v>16.256214504133599</v>
      </c>
      <c r="Q177">
        <v>13.265677888946753</v>
      </c>
      <c r="R177">
        <v>0.35164256169298214</v>
      </c>
      <c r="S177">
        <v>0.12806140354960976</v>
      </c>
      <c r="T177">
        <v>16.254618145810646</v>
      </c>
      <c r="U177">
        <v>1576.9491326383422</v>
      </c>
      <c r="V177">
        <v>10.435628716986782</v>
      </c>
      <c r="W177">
        <v>1309.8530842744483</v>
      </c>
      <c r="X177">
        <v>7.4283472076971524</v>
      </c>
      <c r="Y177">
        <v>2915.8097776228587</v>
      </c>
      <c r="Z177">
        <v>10.491354456118255</v>
      </c>
      <c r="AA177">
        <v>2742.3909212116605</v>
      </c>
      <c r="AB177">
        <v>7.4596644195159332</v>
      </c>
      <c r="AC177">
        <v>2269.2313136793882</v>
      </c>
      <c r="AD177">
        <v>10.459564852176319</v>
      </c>
      <c r="AE177">
        <v>2048.9653276571903</v>
      </c>
      <c r="AF177">
        <v>7.4418106082787299</v>
      </c>
      <c r="AG177">
        <v>2136.8884769150804</v>
      </c>
      <c r="AH177">
        <v>10.464064315205979</v>
      </c>
      <c r="AI177">
        <v>1912.1717894980104</v>
      </c>
      <c r="AJ177">
        <v>7.4443394742194293</v>
      </c>
    </row>
    <row r="178" spans="4:36" x14ac:dyDescent="0.55000000000000004">
      <c r="D178">
        <v>171</v>
      </c>
      <c r="E178">
        <v>12.424016670222748</v>
      </c>
      <c r="F178">
        <v>0.45043386294154919</v>
      </c>
      <c r="G178">
        <v>0.18168984884371583</v>
      </c>
      <c r="H178">
        <v>16.94385961799199</v>
      </c>
      <c r="I178">
        <v>12.618246401133593</v>
      </c>
      <c r="J178">
        <v>0.30455087293627975</v>
      </c>
      <c r="K178">
        <v>0.12247956933728114</v>
      </c>
      <c r="L178">
        <v>16.954723156592852</v>
      </c>
      <c r="M178">
        <v>12.543867557136993</v>
      </c>
      <c r="N178">
        <v>0.36044020935076809</v>
      </c>
      <c r="O178">
        <v>0.14512133909779928</v>
      </c>
      <c r="P178">
        <v>16.95057089441443</v>
      </c>
      <c r="Q178">
        <v>12.501719355510271</v>
      </c>
      <c r="R178">
        <v>0.39209750490158496</v>
      </c>
      <c r="S178">
        <v>0.1579695151519149</v>
      </c>
      <c r="T178">
        <v>16.948213624436235</v>
      </c>
      <c r="U178">
        <v>1545.8175660255438</v>
      </c>
      <c r="V178">
        <v>9.8377366315623433</v>
      </c>
      <c r="W178">
        <v>1287.3043080980276</v>
      </c>
      <c r="X178">
        <v>7.0713779837704021</v>
      </c>
      <c r="Y178">
        <v>2896.1273104722572</v>
      </c>
      <c r="Z178">
        <v>9.8691754741005742</v>
      </c>
      <c r="AA178">
        <v>2727.0799517176574</v>
      </c>
      <c r="AB178">
        <v>7.0902268550993366</v>
      </c>
      <c r="AC178">
        <v>2216.908314956328</v>
      </c>
      <c r="AD178">
        <v>9.8571314830708818</v>
      </c>
      <c r="AE178">
        <v>2012.7407214411139</v>
      </c>
      <c r="AF178">
        <v>7.0830141770349737</v>
      </c>
      <c r="AG178">
        <v>2121.0368210712181</v>
      </c>
      <c r="AH178">
        <v>9.8503091150047535</v>
      </c>
      <c r="AI178">
        <v>1898.9934085200412</v>
      </c>
      <c r="AJ178">
        <v>7.0789240332369143</v>
      </c>
    </row>
    <row r="179" spans="4:36" x14ac:dyDescent="0.55000000000000004">
      <c r="D179">
        <v>172</v>
      </c>
      <c r="E179">
        <v>12.449619212509564</v>
      </c>
      <c r="F179">
        <v>0.44092605089998471</v>
      </c>
      <c r="G179">
        <v>0.17524048975311168</v>
      </c>
      <c r="H179">
        <v>16.934214246837335</v>
      </c>
      <c r="I179">
        <v>12.681028991457289</v>
      </c>
      <c r="J179">
        <v>0.27600698393490608</v>
      </c>
      <c r="K179">
        <v>0.10932294410678316</v>
      </c>
      <c r="L179">
        <v>16.933641080501026</v>
      </c>
      <c r="M179">
        <v>12.585733597396963</v>
      </c>
      <c r="N179">
        <v>0.34396094310809777</v>
      </c>
      <c r="O179">
        <v>0.13642880906462254</v>
      </c>
      <c r="P179">
        <v>16.933876650430324</v>
      </c>
      <c r="Q179">
        <v>12.548833875158035</v>
      </c>
      <c r="R179">
        <v>0.37025880539758949</v>
      </c>
      <c r="S179">
        <v>0.14693927994361269</v>
      </c>
      <c r="T179">
        <v>16.933968039500765</v>
      </c>
      <c r="U179">
        <v>1537.6211738876787</v>
      </c>
      <c r="V179">
        <v>9.9481042532804995</v>
      </c>
      <c r="W179">
        <v>1283.1470112182376</v>
      </c>
      <c r="X179">
        <v>7.1507362764500799</v>
      </c>
      <c r="Y179">
        <v>2882.9828793672596</v>
      </c>
      <c r="Z179">
        <v>9.9928282990486093</v>
      </c>
      <c r="AA179">
        <v>2720.549510506873</v>
      </c>
      <c r="AB179">
        <v>7.1766640141789928</v>
      </c>
      <c r="AC179">
        <v>2217.6006356090716</v>
      </c>
      <c r="AD179">
        <v>9.9744112384140262</v>
      </c>
      <c r="AE179">
        <v>2015.3421585145404</v>
      </c>
      <c r="AF179">
        <v>7.1659987561022049</v>
      </c>
      <c r="AG179">
        <v>2101.4336660463396</v>
      </c>
      <c r="AH179">
        <v>9.9672797182226436</v>
      </c>
      <c r="AI179">
        <v>1887.4245473990625</v>
      </c>
      <c r="AJ179">
        <v>7.1618645710444682</v>
      </c>
    </row>
    <row r="180" spans="4:36" x14ac:dyDescent="0.55000000000000004">
      <c r="D180">
        <v>173</v>
      </c>
      <c r="E180">
        <v>13.439670779766294</v>
      </c>
      <c r="F180">
        <v>0.4728796894284501</v>
      </c>
      <c r="G180">
        <v>0.16489163651581296</v>
      </c>
      <c r="H180">
        <v>15.922557894289433</v>
      </c>
      <c r="I180">
        <v>13.689404299287288</v>
      </c>
      <c r="J180">
        <v>0.30130261601423047</v>
      </c>
      <c r="K180">
        <v>0.10469527672751855</v>
      </c>
      <c r="L180">
        <v>15.904597807970964</v>
      </c>
      <c r="M180">
        <v>13.606877345110863</v>
      </c>
      <c r="N180">
        <v>0.35804476488169434</v>
      </c>
      <c r="O180">
        <v>0.12455536158981595</v>
      </c>
      <c r="P180">
        <v>15.910522528417616</v>
      </c>
      <c r="Q180">
        <v>13.534546126077835</v>
      </c>
      <c r="R180">
        <v>0.40774213273089294</v>
      </c>
      <c r="S180">
        <v>0.14198806756648005</v>
      </c>
      <c r="T180">
        <v>15.91572367362479</v>
      </c>
      <c r="U180">
        <v>1565.3479298343068</v>
      </c>
      <c r="V180">
        <v>10.562054126788075</v>
      </c>
      <c r="W180">
        <v>1296.9446261924375</v>
      </c>
      <c r="X180">
        <v>7.4823560126643782</v>
      </c>
      <c r="Y180">
        <v>2909.5340782998946</v>
      </c>
      <c r="Z180">
        <v>10.619143002750738</v>
      </c>
      <c r="AA180">
        <v>2735.2002628160053</v>
      </c>
      <c r="AB180">
        <v>7.5143890613832047</v>
      </c>
      <c r="AC180">
        <v>2244.3853323272992</v>
      </c>
      <c r="AD180">
        <v>10.600283082402107</v>
      </c>
      <c r="AE180">
        <v>2030.3482019121329</v>
      </c>
      <c r="AF180">
        <v>7.5038180942926864</v>
      </c>
      <c r="AG180">
        <v>2158.7735038317328</v>
      </c>
      <c r="AH180">
        <v>10.583748608126252</v>
      </c>
      <c r="AI180">
        <v>1922.5092017193224</v>
      </c>
      <c r="AJ180">
        <v>7.494541245386606</v>
      </c>
    </row>
    <row r="181" spans="4:36" x14ac:dyDescent="0.55000000000000004">
      <c r="D181">
        <v>174</v>
      </c>
      <c r="E181">
        <v>13.007248938606356</v>
      </c>
      <c r="F181">
        <v>0.45961506425499826</v>
      </c>
      <c r="G181">
        <v>0.17146770472782949</v>
      </c>
      <c r="H181">
        <v>16.361668292410823</v>
      </c>
      <c r="I181">
        <v>13.246259886263772</v>
      </c>
      <c r="J181">
        <v>0.29341891464194902</v>
      </c>
      <c r="K181">
        <v>0.10910632655117172</v>
      </c>
      <c r="L181">
        <v>16.351214872543107</v>
      </c>
      <c r="M181">
        <v>13.162850432849256</v>
      </c>
      <c r="N181">
        <v>0.35145796137360402</v>
      </c>
      <c r="O181">
        <v>0.130836976772573</v>
      </c>
      <c r="P181">
        <v>16.354854629004574</v>
      </c>
      <c r="Q181">
        <v>13.126406104064074</v>
      </c>
      <c r="R181">
        <v>0.37680361238056348</v>
      </c>
      <c r="S181">
        <v>0.14034256126024541</v>
      </c>
      <c r="T181">
        <v>16.356447722295108</v>
      </c>
      <c r="U181">
        <v>1551.6331111660843</v>
      </c>
      <c r="V181">
        <v>10.270844927708383</v>
      </c>
      <c r="W181">
        <v>1288.2576887461055</v>
      </c>
      <c r="X181">
        <v>7.3199117578736566</v>
      </c>
      <c r="Y181">
        <v>2918.0485580500022</v>
      </c>
      <c r="Z181">
        <v>10.317054357224375</v>
      </c>
      <c r="AA181">
        <v>2742.0329249866709</v>
      </c>
      <c r="AB181">
        <v>7.3459510462524076</v>
      </c>
      <c r="AC181">
        <v>2221.4575080680625</v>
      </c>
      <c r="AD181">
        <v>10.300933641483564</v>
      </c>
      <c r="AE181">
        <v>2014.7127734371425</v>
      </c>
      <c r="AF181">
        <v>7.3368764362672065</v>
      </c>
      <c r="AG181">
        <v>2110.1277409682602</v>
      </c>
      <c r="AH181">
        <v>10.293888183555506</v>
      </c>
      <c r="AI181">
        <v>1890.1978126509246</v>
      </c>
      <c r="AJ181">
        <v>7.3329072510062483</v>
      </c>
    </row>
    <row r="182" spans="4:36" x14ac:dyDescent="0.55000000000000004">
      <c r="D182">
        <v>175</v>
      </c>
      <c r="E182">
        <v>13.140436861332237</v>
      </c>
      <c r="F182">
        <v>0.47751061798704741</v>
      </c>
      <c r="G182">
        <v>0.15491076767079659</v>
      </c>
      <c r="H182">
        <v>16.227141753009931</v>
      </c>
      <c r="I182">
        <v>13.37904991520036</v>
      </c>
      <c r="J182">
        <v>0.30807716312327249</v>
      </c>
      <c r="K182">
        <v>9.960489354848602E-2</v>
      </c>
      <c r="L182">
        <v>16.213268028127871</v>
      </c>
      <c r="M182">
        <v>13.269341960365956</v>
      </c>
      <c r="N182">
        <v>0.38602034946545577</v>
      </c>
      <c r="O182">
        <v>0.12499937741884949</v>
      </c>
      <c r="P182">
        <v>16.21963831274973</v>
      </c>
      <c r="Q182">
        <v>13.211836910998009</v>
      </c>
      <c r="R182">
        <v>0.42684681935136171</v>
      </c>
      <c r="S182">
        <v>0.13833312227761685</v>
      </c>
      <c r="T182">
        <v>16.222983147373018</v>
      </c>
      <c r="U182">
        <v>1538.364619354179</v>
      </c>
      <c r="V182">
        <v>10.468292421332171</v>
      </c>
      <c r="W182">
        <v>1280.7032879563956</v>
      </c>
      <c r="X182">
        <v>7.4480800347047804</v>
      </c>
      <c r="Y182">
        <v>2916.7464744995186</v>
      </c>
      <c r="Z182">
        <v>10.522597440874135</v>
      </c>
      <c r="AA182">
        <v>2742.0676315748583</v>
      </c>
      <c r="AB182">
        <v>7.4788079956930655</v>
      </c>
      <c r="AC182">
        <v>2213.3856835379197</v>
      </c>
      <c r="AD182">
        <v>10.497634056956862</v>
      </c>
      <c r="AE182">
        <v>2008.9904983092556</v>
      </c>
      <c r="AF182">
        <v>7.4646952545690048</v>
      </c>
      <c r="AG182">
        <v>2122.3476493455678</v>
      </c>
      <c r="AH182">
        <v>10.484545993379717</v>
      </c>
      <c r="AI182">
        <v>1898.1478178257526</v>
      </c>
      <c r="AJ182">
        <v>7.4572875764903657</v>
      </c>
    </row>
    <row r="183" spans="4:36" x14ac:dyDescent="0.55000000000000004">
      <c r="D183">
        <v>176</v>
      </c>
      <c r="E183">
        <v>13.032466040594073</v>
      </c>
      <c r="F183">
        <v>0.462672581876716</v>
      </c>
      <c r="G183">
        <v>0.1636262503762346</v>
      </c>
      <c r="H183">
        <v>16.341235127152974</v>
      </c>
      <c r="I183">
        <v>13.238529606176931</v>
      </c>
      <c r="J183">
        <v>0.31146823692488301</v>
      </c>
      <c r="K183">
        <v>0.1098180829497543</v>
      </c>
      <c r="L183">
        <v>16.340184073948432</v>
      </c>
      <c r="M183">
        <v>13.115284646419472</v>
      </c>
      <c r="N183">
        <v>0.40193107972069392</v>
      </c>
      <c r="O183">
        <v>0.14197063384027508</v>
      </c>
      <c r="P183">
        <v>16.340813640019537</v>
      </c>
      <c r="Q183">
        <v>13.118552421648308</v>
      </c>
      <c r="R183">
        <v>0.39953360566710883</v>
      </c>
      <c r="S183">
        <v>0.14111698937866554</v>
      </c>
      <c r="T183">
        <v>16.340796983305911</v>
      </c>
      <c r="U183">
        <v>1551.0381548617809</v>
      </c>
      <c r="V183">
        <v>10.307269923576381</v>
      </c>
      <c r="W183">
        <v>1290.2563316324527</v>
      </c>
      <c r="X183">
        <v>7.3441885123575164</v>
      </c>
      <c r="Y183">
        <v>2896.0220463208034</v>
      </c>
      <c r="Z183">
        <v>10.348394970077461</v>
      </c>
      <c r="AA183">
        <v>2726.706186327644</v>
      </c>
      <c r="AB183">
        <v>7.3679923572001593</v>
      </c>
      <c r="AC183">
        <v>2234.4005967900844</v>
      </c>
      <c r="AD183">
        <v>10.323797156561632</v>
      </c>
      <c r="AE183">
        <v>2022.4629535551455</v>
      </c>
      <c r="AF183">
        <v>7.3537639215092296</v>
      </c>
      <c r="AG183">
        <v>2137.9821922778542</v>
      </c>
      <c r="AH183">
        <v>10.324449306655907</v>
      </c>
      <c r="AI183">
        <v>1910.7447002884364</v>
      </c>
      <c r="AJ183">
        <v>7.3541415043960274</v>
      </c>
    </row>
    <row r="184" spans="4:36" x14ac:dyDescent="0.55000000000000004">
      <c r="D184">
        <v>177</v>
      </c>
      <c r="E184">
        <v>11.455178632535258</v>
      </c>
      <c r="F184">
        <v>0.430577028556825</v>
      </c>
      <c r="G184">
        <v>0.15522813222705809</v>
      </c>
      <c r="H184">
        <v>17.95901620668085</v>
      </c>
      <c r="I184">
        <v>11.672579848142302</v>
      </c>
      <c r="J184">
        <v>0.25745797050830349</v>
      </c>
      <c r="K184">
        <v>9.2496725559993428E-2</v>
      </c>
      <c r="L184">
        <v>17.9774654557894</v>
      </c>
      <c r="M184">
        <v>11.559994682096008</v>
      </c>
      <c r="N184">
        <v>0.34713971484163647</v>
      </c>
      <c r="O184">
        <v>0.12493901058728733</v>
      </c>
      <c r="P184">
        <v>17.967926592475067</v>
      </c>
      <c r="Q184">
        <v>11.515484872578256</v>
      </c>
      <c r="R184">
        <v>0.38257772359759995</v>
      </c>
      <c r="S184">
        <v>0.13779104889229241</v>
      </c>
      <c r="T184">
        <v>17.964146354931849</v>
      </c>
      <c r="U184">
        <v>1459.5212403092958</v>
      </c>
      <c r="V184">
        <v>9.0308834073481528</v>
      </c>
      <c r="W184">
        <v>1236.9022788969016</v>
      </c>
      <c r="X184">
        <v>6.5930995308429221</v>
      </c>
      <c r="Y184">
        <v>2829.1453502829513</v>
      </c>
      <c r="Z184">
        <v>9.0578791212604131</v>
      </c>
      <c r="AA184">
        <v>2689.1554928207324</v>
      </c>
      <c r="AB184">
        <v>6.6100254166518067</v>
      </c>
      <c r="AC184">
        <v>2181.644782608274</v>
      </c>
      <c r="AD184">
        <v>9.0438894356134316</v>
      </c>
      <c r="AE184">
        <v>1996.9585206316317</v>
      </c>
      <c r="AF184">
        <v>6.6012651701621126</v>
      </c>
      <c r="AG184">
        <v>2065.2635625405283</v>
      </c>
      <c r="AH184">
        <v>9.0383642986973189</v>
      </c>
      <c r="AI184">
        <v>1868.6410427279675</v>
      </c>
      <c r="AJ184">
        <v>6.5977988338084561</v>
      </c>
    </row>
    <row r="185" spans="4:36" x14ac:dyDescent="0.55000000000000004">
      <c r="D185">
        <v>178</v>
      </c>
      <c r="E185">
        <v>12.047077555176108</v>
      </c>
      <c r="F185">
        <v>0.45484058570224983</v>
      </c>
      <c r="G185">
        <v>0.16475394017818015</v>
      </c>
      <c r="H185">
        <v>17.333327918943468</v>
      </c>
      <c r="I185">
        <v>12.24764318632718</v>
      </c>
      <c r="J185">
        <v>0.29886313906951117</v>
      </c>
      <c r="K185">
        <v>0.10793931134275511</v>
      </c>
      <c r="L185">
        <v>17.34555436326055</v>
      </c>
      <c r="M185">
        <v>12.175513759127481</v>
      </c>
      <c r="N185">
        <v>0.35498102143152876</v>
      </c>
      <c r="O185">
        <v>0.12834145361151336</v>
      </c>
      <c r="P185">
        <v>17.341163765829485</v>
      </c>
      <c r="Q185">
        <v>12.149260042553738</v>
      </c>
      <c r="R185">
        <v>0.37540026114493419</v>
      </c>
      <c r="S185">
        <v>0.13577580044188797</v>
      </c>
      <c r="T185">
        <v>17.339563895859456</v>
      </c>
      <c r="U185">
        <v>1531.0031552837438</v>
      </c>
      <c r="V185">
        <v>9.5709992568994284</v>
      </c>
      <c r="W185">
        <v>1280.9400479853434</v>
      </c>
      <c r="X185">
        <v>6.9203652757966969</v>
      </c>
      <c r="Y185">
        <v>2895.1477877795328</v>
      </c>
      <c r="Z185">
        <v>9.6013364974531648</v>
      </c>
      <c r="AA185">
        <v>2729.9336812917782</v>
      </c>
      <c r="AB185">
        <v>6.9386394706616459</v>
      </c>
      <c r="AC185">
        <v>2223.9100878844179</v>
      </c>
      <c r="AD185">
        <v>9.590422208250386</v>
      </c>
      <c r="AE185">
        <v>2022.0214630933758</v>
      </c>
      <c r="AF185">
        <v>6.9320732242987715</v>
      </c>
      <c r="AG185">
        <v>2074.8723742304483</v>
      </c>
      <c r="AH185">
        <v>9.586450758493708</v>
      </c>
      <c r="AI185">
        <v>1870.8234636490206</v>
      </c>
      <c r="AJ185">
        <v>6.9296816557373999</v>
      </c>
    </row>
    <row r="186" spans="4:36" x14ac:dyDescent="0.55000000000000004">
      <c r="D186">
        <v>179</v>
      </c>
      <c r="E186">
        <v>11.821724225815027</v>
      </c>
      <c r="F186">
        <v>0.43311342109585677</v>
      </c>
      <c r="G186">
        <v>0.16778933522933631</v>
      </c>
      <c r="H186">
        <v>17.577373017859795</v>
      </c>
      <c r="I186">
        <v>12.023562707225013</v>
      </c>
      <c r="J186">
        <v>0.28148282057744317</v>
      </c>
      <c r="K186">
        <v>0.10868901052051366</v>
      </c>
      <c r="L186">
        <v>17.586265461677044</v>
      </c>
      <c r="M186">
        <v>11.942464478681147</v>
      </c>
      <c r="N186">
        <v>0.34243534002296744</v>
      </c>
      <c r="O186">
        <v>0.13239881068864126</v>
      </c>
      <c r="P186">
        <v>17.582701370607246</v>
      </c>
      <c r="Q186">
        <v>11.910837832551383</v>
      </c>
      <c r="R186">
        <v>0.36619552116520993</v>
      </c>
      <c r="S186">
        <v>0.14165841501303744</v>
      </c>
      <c r="T186">
        <v>17.58130823127037</v>
      </c>
      <c r="U186">
        <v>1494.5705510093114</v>
      </c>
      <c r="V186">
        <v>9.390921142604828</v>
      </c>
      <c r="W186">
        <v>1258.2965309164313</v>
      </c>
      <c r="X186">
        <v>6.8157796432918127</v>
      </c>
      <c r="Y186">
        <v>2857.3488532776059</v>
      </c>
      <c r="Z186">
        <v>9.4234843035330051</v>
      </c>
      <c r="AA186">
        <v>2705.2408743752158</v>
      </c>
      <c r="AB186">
        <v>6.8354970011242173</v>
      </c>
      <c r="AC186">
        <v>2193.1298353974616</v>
      </c>
      <c r="AD186">
        <v>9.4103950527980906</v>
      </c>
      <c r="AE186">
        <v>2002.3753474531356</v>
      </c>
      <c r="AF186">
        <v>6.827581103217593</v>
      </c>
      <c r="AG186">
        <v>2064.431435783441</v>
      </c>
      <c r="AH186">
        <v>9.405292489261015</v>
      </c>
      <c r="AI186">
        <v>1865.7700689385122</v>
      </c>
      <c r="AJ186">
        <v>6.8244917127775233</v>
      </c>
    </row>
    <row r="187" spans="4:36" x14ac:dyDescent="0.55000000000000004">
      <c r="D187">
        <v>180</v>
      </c>
      <c r="E187">
        <v>11.231462400033186</v>
      </c>
      <c r="F187">
        <v>0.43362155288922999</v>
      </c>
      <c r="G187">
        <v>0.16320161224555052</v>
      </c>
      <c r="H187">
        <v>18.171714434832033</v>
      </c>
      <c r="I187">
        <v>11.420512831682856</v>
      </c>
      <c r="J187">
        <v>0.27747397010469721</v>
      </c>
      <c r="K187">
        <v>0.10412331259593181</v>
      </c>
      <c r="L187">
        <v>18.197889885616501</v>
      </c>
      <c r="M187">
        <v>11.34488169124679</v>
      </c>
      <c r="N187">
        <v>0.33996065094828254</v>
      </c>
      <c r="O187">
        <v>0.12772254289842183</v>
      </c>
      <c r="P187">
        <v>18.187435114906513</v>
      </c>
      <c r="Q187">
        <v>11.304671893675042</v>
      </c>
      <c r="R187">
        <v>0.37317204452747194</v>
      </c>
      <c r="S187">
        <v>0.14028845906198983</v>
      </c>
      <c r="T187">
        <v>18.181867602735505</v>
      </c>
      <c r="U187">
        <v>1477.3651767505939</v>
      </c>
      <c r="V187">
        <v>8.9124797511678988</v>
      </c>
      <c r="W187">
        <v>1249.4005067647431</v>
      </c>
      <c r="X187">
        <v>6.530310526862662</v>
      </c>
      <c r="Y187">
        <v>2846.3672472166195</v>
      </c>
      <c r="Z187">
        <v>8.9336388844836705</v>
      </c>
      <c r="AA187">
        <v>2699.9655831802461</v>
      </c>
      <c r="AB187">
        <v>6.5441116199776497</v>
      </c>
      <c r="AC187">
        <v>2166.9946447516363</v>
      </c>
      <c r="AD187">
        <v>8.925164075113857</v>
      </c>
      <c r="AE187">
        <v>1986.4736329531991</v>
      </c>
      <c r="AF187">
        <v>6.5385928313780974</v>
      </c>
      <c r="AG187">
        <v>2061.2240112529057</v>
      </c>
      <c r="AH187">
        <v>8.9206637612326034</v>
      </c>
      <c r="AI187">
        <v>1866.0552124378394</v>
      </c>
      <c r="AJ187">
        <v>6.5356574068084674</v>
      </c>
    </row>
    <row r="188" spans="4:36" x14ac:dyDescent="0.55000000000000004">
      <c r="D188">
        <v>181</v>
      </c>
      <c r="E188">
        <v>11.929607525400526</v>
      </c>
      <c r="F188">
        <v>0.43450982964681167</v>
      </c>
      <c r="G188">
        <v>0.14614904789784847</v>
      </c>
      <c r="H188">
        <v>17.489733597054798</v>
      </c>
      <c r="I188">
        <v>12.101748824648231</v>
      </c>
      <c r="J188">
        <v>0.3026596145937584</v>
      </c>
      <c r="K188">
        <v>0.10154267848328163</v>
      </c>
      <c r="L188">
        <v>17.494048882274722</v>
      </c>
      <c r="M188">
        <v>12.041262574431299</v>
      </c>
      <c r="N188">
        <v>0.34900669140312424</v>
      </c>
      <c r="O188">
        <v>0.11719625910295965</v>
      </c>
      <c r="P188">
        <v>17.492534475062602</v>
      </c>
      <c r="Q188">
        <v>12.006004448473719</v>
      </c>
      <c r="R188">
        <v>0.37601389548850395</v>
      </c>
      <c r="S188">
        <v>0.12633088263101871</v>
      </c>
      <c r="T188">
        <v>17.491650773406761</v>
      </c>
      <c r="U188">
        <v>1481.9907002350365</v>
      </c>
      <c r="V188">
        <v>9.4343171704069313</v>
      </c>
      <c r="W188">
        <v>1250.217963889065</v>
      </c>
      <c r="X188">
        <v>6.8383904796044543</v>
      </c>
      <c r="Y188">
        <v>2873.8075556259623</v>
      </c>
      <c r="Z188">
        <v>9.4643134386282437</v>
      </c>
      <c r="AA188">
        <v>2716.4174270226317</v>
      </c>
      <c r="AB188">
        <v>6.8561817736352753</v>
      </c>
      <c r="AC188">
        <v>2179.4510793513823</v>
      </c>
      <c r="AD188">
        <v>9.4537721203489902</v>
      </c>
      <c r="AE188">
        <v>1992.8617755357741</v>
      </c>
      <c r="AF188">
        <v>6.8499358923365081</v>
      </c>
      <c r="AG188">
        <v>2070.7523474833483</v>
      </c>
      <c r="AH188">
        <v>9.4476281443656625</v>
      </c>
      <c r="AI188">
        <v>1870.6807508050604</v>
      </c>
      <c r="AJ188">
        <v>6.846292335663315</v>
      </c>
    </row>
    <row r="189" spans="4:36" x14ac:dyDescent="0.55000000000000004">
      <c r="D189">
        <v>182</v>
      </c>
      <c r="E189">
        <v>13.937142853907382</v>
      </c>
      <c r="F189">
        <v>0.51477137609055656</v>
      </c>
      <c r="G189">
        <v>0.14738191090288433</v>
      </c>
      <c r="H189">
        <v>15.400703859099163</v>
      </c>
      <c r="I189">
        <v>14.194841338310891</v>
      </c>
      <c r="J189">
        <v>0.33097298078106069</v>
      </c>
      <c r="K189">
        <v>9.4461132206602474E-2</v>
      </c>
      <c r="L189">
        <v>15.379724548701445</v>
      </c>
      <c r="M189">
        <v>14.077170684522375</v>
      </c>
      <c r="N189">
        <v>0.41494613166655986</v>
      </c>
      <c r="O189">
        <v>0.11859733015926784</v>
      </c>
      <c r="P189">
        <v>15.389285853651792</v>
      </c>
      <c r="Q189">
        <v>14.01683601521998</v>
      </c>
      <c r="R189">
        <v>0.45797221817328443</v>
      </c>
      <c r="S189">
        <v>0.13099154075929384</v>
      </c>
      <c r="T189">
        <v>15.394200225847444</v>
      </c>
      <c r="U189">
        <v>1640.8709532018395</v>
      </c>
      <c r="V189">
        <v>11.017861807565462</v>
      </c>
      <c r="W189">
        <v>1345.7208790309653</v>
      </c>
      <c r="X189">
        <v>7.7508116719776705</v>
      </c>
      <c r="Y189">
        <v>2925.0253487005393</v>
      </c>
      <c r="Z189">
        <v>11.079679015517986</v>
      </c>
      <c r="AA189">
        <v>2742.9009039932243</v>
      </c>
      <c r="AB189">
        <v>7.7850509648343866</v>
      </c>
      <c r="AC189">
        <v>2270.5304716895198</v>
      </c>
      <c r="AD189">
        <v>11.051461638241936</v>
      </c>
      <c r="AE189">
        <v>2043.4771111120081</v>
      </c>
      <c r="AF189">
        <v>7.769434766190229</v>
      </c>
      <c r="AG189">
        <v>2169.1140596942591</v>
      </c>
      <c r="AH189">
        <v>11.03698711402471</v>
      </c>
      <c r="AI189">
        <v>1924.7964731986892</v>
      </c>
      <c r="AJ189">
        <v>7.7614158664434658</v>
      </c>
    </row>
    <row r="190" spans="4:36" x14ac:dyDescent="0.55000000000000004">
      <c r="D190">
        <v>183</v>
      </c>
      <c r="E190">
        <v>12.355242799802399</v>
      </c>
      <c r="F190">
        <v>0.45253150789033786</v>
      </c>
      <c r="G190">
        <v>0.17182412007481257</v>
      </c>
      <c r="H190">
        <v>17.020401572232441</v>
      </c>
      <c r="I190">
        <v>12.566481822902729</v>
      </c>
      <c r="J190">
        <v>0.29654034710817834</v>
      </c>
      <c r="K190">
        <v>0.11220988540836774</v>
      </c>
      <c r="L190">
        <v>17.024767944580713</v>
      </c>
      <c r="M190">
        <v>12.5003368162313</v>
      </c>
      <c r="N190">
        <v>0.34541316026730817</v>
      </c>
      <c r="O190">
        <v>0.13084280478786797</v>
      </c>
      <c r="P190">
        <v>17.023407218713523</v>
      </c>
      <c r="Q190">
        <v>12.451482160545924</v>
      </c>
      <c r="R190">
        <v>0.38149454427724749</v>
      </c>
      <c r="S190">
        <v>0.14462490111652698</v>
      </c>
      <c r="T190">
        <v>17.022398394060303</v>
      </c>
      <c r="U190">
        <v>1518.4101401350279</v>
      </c>
      <c r="V190">
        <v>9.6694467270341349</v>
      </c>
      <c r="W190">
        <v>1267.2494774686293</v>
      </c>
      <c r="X190">
        <v>6.9575708044057842</v>
      </c>
      <c r="Y190">
        <v>2882.3761847233104</v>
      </c>
      <c r="Z190">
        <v>9.7036889149271115</v>
      </c>
      <c r="AA190">
        <v>2717.7832100760611</v>
      </c>
      <c r="AB190">
        <v>6.9778241244008603</v>
      </c>
      <c r="AC190">
        <v>2216.2774466501892</v>
      </c>
      <c r="AD190">
        <v>9.6929636029763699</v>
      </c>
      <c r="AE190">
        <v>2013.5164610164486</v>
      </c>
      <c r="AF190">
        <v>6.9714886964997698</v>
      </c>
      <c r="AG190">
        <v>2120.2182930051595</v>
      </c>
      <c r="AH190">
        <v>9.6850437004117698</v>
      </c>
      <c r="AI190">
        <v>1899.2594646266621</v>
      </c>
      <c r="AJ190">
        <v>6.9668055841085472</v>
      </c>
    </row>
    <row r="191" spans="4:36" x14ac:dyDescent="0.55000000000000004">
      <c r="D191">
        <v>184</v>
      </c>
      <c r="E191">
        <v>13.510610391954252</v>
      </c>
      <c r="F191">
        <v>0.45998434745589206</v>
      </c>
      <c r="G191">
        <v>0.17458928241472541</v>
      </c>
      <c r="H191">
        <v>15.854815978175125</v>
      </c>
      <c r="I191">
        <v>13.763067176233461</v>
      </c>
      <c r="J191">
        <v>0.29319115734015622</v>
      </c>
      <c r="K191">
        <v>0.11088581975087311</v>
      </c>
      <c r="L191">
        <v>15.832855846675498</v>
      </c>
      <c r="M191">
        <v>13.676210097297123</v>
      </c>
      <c r="N191">
        <v>0.35062285666316312</v>
      </c>
      <c r="O191">
        <v>0.13276869159027604</v>
      </c>
      <c r="P191">
        <v>15.840398354449425</v>
      </c>
      <c r="Q191">
        <v>13.599942057976897</v>
      </c>
      <c r="R191">
        <v>0.40101237633902648</v>
      </c>
      <c r="S191">
        <v>0.1520131846441603</v>
      </c>
      <c r="T191">
        <v>15.847032381039908</v>
      </c>
      <c r="U191">
        <v>1628.2824263871435</v>
      </c>
      <c r="V191">
        <v>10.582708461613338</v>
      </c>
      <c r="W191">
        <v>1338.6724630335184</v>
      </c>
      <c r="X191">
        <v>7.4894204259763537</v>
      </c>
      <c r="Y191">
        <v>2933.1818665147971</v>
      </c>
      <c r="Z191">
        <v>10.640244719153069</v>
      </c>
      <c r="AA191">
        <v>2750.0080553955113</v>
      </c>
      <c r="AB191">
        <v>7.5214978139735624</v>
      </c>
      <c r="AC191">
        <v>2260.0091220250183</v>
      </c>
      <c r="AD191">
        <v>10.620457000825981</v>
      </c>
      <c r="AE191">
        <v>2038.9079804204093</v>
      </c>
      <c r="AF191">
        <v>7.510477308564667</v>
      </c>
      <c r="AG191">
        <v>2207.7387293772285</v>
      </c>
      <c r="AH191">
        <v>10.603075223085783</v>
      </c>
      <c r="AI191">
        <v>1954.3346180238977</v>
      </c>
      <c r="AJ191">
        <v>7.500786878701116</v>
      </c>
    </row>
    <row r="192" spans="4:36" x14ac:dyDescent="0.55000000000000004">
      <c r="D192">
        <v>185</v>
      </c>
      <c r="E192">
        <v>11.318553389556847</v>
      </c>
      <c r="F192">
        <v>0.44003893189208509</v>
      </c>
      <c r="G192">
        <v>0.16445237681371247</v>
      </c>
      <c r="H192">
        <v>18.07695530173735</v>
      </c>
      <c r="I192">
        <v>11.505447682418895</v>
      </c>
      <c r="J192">
        <v>0.28349237130801741</v>
      </c>
      <c r="K192">
        <v>0.10563269776497253</v>
      </c>
      <c r="L192">
        <v>18.105427248508107</v>
      </c>
      <c r="M192">
        <v>11.426982958698357</v>
      </c>
      <c r="N192">
        <v>0.34923335373733816</v>
      </c>
      <c r="O192">
        <v>0.130290603045605</v>
      </c>
      <c r="P192">
        <v>18.093493084518695</v>
      </c>
      <c r="Q192">
        <v>11.415038194242069</v>
      </c>
      <c r="R192">
        <v>0.35923898356626799</v>
      </c>
      <c r="S192">
        <v>0.13404893351676636</v>
      </c>
      <c r="T192">
        <v>18.09167388867489</v>
      </c>
      <c r="U192">
        <v>1476.9063449365801</v>
      </c>
      <c r="V192">
        <v>9.0119219616594908</v>
      </c>
      <c r="W192">
        <v>1247.2081858315451</v>
      </c>
      <c r="X192">
        <v>6.5923113431845914</v>
      </c>
      <c r="Y192">
        <v>2868.6821425623511</v>
      </c>
      <c r="Z192">
        <v>9.0302584078079331</v>
      </c>
      <c r="AA192">
        <v>2715.0384178687495</v>
      </c>
      <c r="AB192">
        <v>6.6044852723716492</v>
      </c>
      <c r="AC192">
        <v>2180.5332565455328</v>
      </c>
      <c r="AD192">
        <v>9.0225495042212494</v>
      </c>
      <c r="AE192">
        <v>1994.6332645104151</v>
      </c>
      <c r="AF192">
        <v>6.5993757083593971</v>
      </c>
      <c r="AG192">
        <v>2098.4129350530961</v>
      </c>
      <c r="AH192">
        <v>9.0213773132058428</v>
      </c>
      <c r="AI192">
        <v>1893.5059058075778</v>
      </c>
      <c r="AJ192">
        <v>6.598597688232565</v>
      </c>
    </row>
    <row r="193" spans="4:36" x14ac:dyDescent="0.55000000000000004">
      <c r="D193">
        <v>186</v>
      </c>
      <c r="E193">
        <v>11.152382319160974</v>
      </c>
      <c r="F193">
        <v>0.43613000425468246</v>
      </c>
      <c r="G193">
        <v>0.14444127980155316</v>
      </c>
      <c r="H193">
        <v>18.267046396782789</v>
      </c>
      <c r="I193">
        <v>11.348867596906318</v>
      </c>
      <c r="J193">
        <v>0.2659412973641811</v>
      </c>
      <c r="K193">
        <v>8.7813766403464236E-2</v>
      </c>
      <c r="L193">
        <v>18.297377339326037</v>
      </c>
      <c r="M193">
        <v>11.257905084335242</v>
      </c>
      <c r="N193">
        <v>0.34474641267877176</v>
      </c>
      <c r="O193">
        <v>0.1139923017191425</v>
      </c>
      <c r="P193">
        <v>18.283356201266841</v>
      </c>
      <c r="Q193">
        <v>11.207967115705417</v>
      </c>
      <c r="R193">
        <v>0.38799792262364274</v>
      </c>
      <c r="S193">
        <v>0.12839130207079347</v>
      </c>
      <c r="T193">
        <v>18.275643659600131</v>
      </c>
      <c r="U193">
        <v>1500.3601020667431</v>
      </c>
      <c r="V193">
        <v>8.814867665930727</v>
      </c>
      <c r="W193">
        <v>1266.5769492832451</v>
      </c>
      <c r="X193">
        <v>6.4680885651001727</v>
      </c>
      <c r="Y193">
        <v>2826.332337620102</v>
      </c>
      <c r="Z193">
        <v>8.833892404218588</v>
      </c>
      <c r="AA193">
        <v>2686.4561966537435</v>
      </c>
      <c r="AB193">
        <v>6.4808212826862786</v>
      </c>
      <c r="AC193">
        <v>2140.4545971143966</v>
      </c>
      <c r="AD193">
        <v>8.8250727607538977</v>
      </c>
      <c r="AE193">
        <v>1966.7946440199678</v>
      </c>
      <c r="AF193">
        <v>6.4749283714850376</v>
      </c>
      <c r="AG193">
        <v>2079.8617694544218</v>
      </c>
      <c r="AH193">
        <v>8.820239724185166</v>
      </c>
      <c r="AI193">
        <v>1878.9102991430759</v>
      </c>
      <c r="AJ193">
        <v>6.4716919673381623</v>
      </c>
    </row>
    <row r="194" spans="4:36" x14ac:dyDescent="0.55000000000000004">
      <c r="D194">
        <v>187</v>
      </c>
      <c r="E194">
        <v>14.391570721706838</v>
      </c>
      <c r="F194">
        <v>0.49435185942451654</v>
      </c>
      <c r="G194">
        <v>0.17936480365499954</v>
      </c>
      <c r="H194">
        <v>14.934712615213662</v>
      </c>
      <c r="I194">
        <v>14.664778418097026</v>
      </c>
      <c r="J194">
        <v>0.31510155802081452</v>
      </c>
      <c r="K194">
        <v>0.11391827771775939</v>
      </c>
      <c r="L194">
        <v>14.906201746164401</v>
      </c>
      <c r="M194">
        <v>14.533709485970729</v>
      </c>
      <c r="N194">
        <v>0.4011541590138043</v>
      </c>
      <c r="O194">
        <v>0.14527755535670209</v>
      </c>
      <c r="P194">
        <v>14.91985879965876</v>
      </c>
      <c r="Q194">
        <v>14.490368310292119</v>
      </c>
      <c r="R194">
        <v>0.42958575914726621</v>
      </c>
      <c r="S194">
        <v>0.15566268676799722</v>
      </c>
      <c r="T194">
        <v>14.924383243792629</v>
      </c>
      <c r="U194">
        <v>1630.350891438623</v>
      </c>
      <c r="V194">
        <v>11.417724537723966</v>
      </c>
      <c r="W194">
        <v>1331.8457969666058</v>
      </c>
      <c r="X194">
        <v>7.9840587981100715</v>
      </c>
      <c r="Y194">
        <v>2959.588296465342</v>
      </c>
      <c r="Z194">
        <v>11.490602110656011</v>
      </c>
      <c r="AA194">
        <v>2763.3301178784204</v>
      </c>
      <c r="AB194">
        <v>8.0241983305648912</v>
      </c>
      <c r="AC194">
        <v>2315.8932497137339</v>
      </c>
      <c r="AD194">
        <v>11.455651061619058</v>
      </c>
      <c r="AE194">
        <v>2070.1223163354257</v>
      </c>
      <c r="AF194">
        <v>8.0049633680298768</v>
      </c>
      <c r="AG194">
        <v>2203.6085910445513</v>
      </c>
      <c r="AH194">
        <v>11.444089061535506</v>
      </c>
      <c r="AI194">
        <v>1944.3040105864247</v>
      </c>
      <c r="AJ194">
        <v>7.9985941168883192</v>
      </c>
    </row>
    <row r="195" spans="4:36" x14ac:dyDescent="0.55000000000000004">
      <c r="D195">
        <v>188</v>
      </c>
      <c r="E195">
        <v>11.875372922752847</v>
      </c>
      <c r="F195">
        <v>0.46708736307822279</v>
      </c>
      <c r="G195">
        <v>0.15809147394400322</v>
      </c>
      <c r="H195">
        <v>17.499448240224925</v>
      </c>
      <c r="I195">
        <v>12.09063368924105</v>
      </c>
      <c r="J195">
        <v>0.29896535821926673</v>
      </c>
      <c r="K195">
        <v>0.10085803819196716</v>
      </c>
      <c r="L195">
        <v>17.509542914347712</v>
      </c>
      <c r="M195">
        <v>12.014522267324287</v>
      </c>
      <c r="N195">
        <v>0.35843655785497897</v>
      </c>
      <c r="O195">
        <v>0.12106034291424415</v>
      </c>
      <c r="P195">
        <v>17.505980831906481</v>
      </c>
      <c r="Q195">
        <v>11.987709921074673</v>
      </c>
      <c r="R195">
        <v>0.37937992274843296</v>
      </c>
      <c r="S195">
        <v>0.12818602555039771</v>
      </c>
      <c r="T195">
        <v>17.504724130626496</v>
      </c>
      <c r="U195">
        <v>1527.8928812271056</v>
      </c>
      <c r="V195">
        <v>9.3690742352860674</v>
      </c>
      <c r="W195">
        <v>1278.8744600683256</v>
      </c>
      <c r="X195">
        <v>6.7924133510439395</v>
      </c>
      <c r="Y195">
        <v>2884.1505833300271</v>
      </c>
      <c r="Z195">
        <v>9.4033931478587451</v>
      </c>
      <c r="AA195">
        <v>2722.6791228744714</v>
      </c>
      <c r="AB195">
        <v>6.8130769677680023</v>
      </c>
      <c r="AC195">
        <v>2201.1119452449957</v>
      </c>
      <c r="AD195">
        <v>9.3912541144211108</v>
      </c>
      <c r="AE195">
        <v>2006.0730828046526</v>
      </c>
      <c r="AF195">
        <v>6.8057779650462171</v>
      </c>
      <c r="AG195">
        <v>2100.622067550742</v>
      </c>
      <c r="AH195">
        <v>9.3869790058605389</v>
      </c>
      <c r="AI195">
        <v>1890.2277062462624</v>
      </c>
      <c r="AJ195">
        <v>6.8032048265453859</v>
      </c>
    </row>
    <row r="196" spans="4:36" x14ac:dyDescent="0.55000000000000004">
      <c r="D196">
        <v>189</v>
      </c>
      <c r="E196">
        <v>11.747686968561901</v>
      </c>
      <c r="F196">
        <v>0.41850584324265416</v>
      </c>
      <c r="G196">
        <v>0.16896625007307295</v>
      </c>
      <c r="H196">
        <v>17.66484093812236</v>
      </c>
      <c r="I196">
        <v>11.946452825418545</v>
      </c>
      <c r="J196">
        <v>0.2688877197765005</v>
      </c>
      <c r="K196">
        <v>0.10820726773527242</v>
      </c>
      <c r="L196">
        <v>17.676452187069689</v>
      </c>
      <c r="M196">
        <v>11.858232974273418</v>
      </c>
      <c r="N196">
        <v>0.33532148167752213</v>
      </c>
      <c r="O196">
        <v>0.13513615922861391</v>
      </c>
      <c r="P196">
        <v>17.67130938482045</v>
      </c>
      <c r="Q196">
        <v>11.83216862745812</v>
      </c>
      <c r="R196">
        <v>0.35494079320338634</v>
      </c>
      <c r="S196">
        <v>0.14310388259218926</v>
      </c>
      <c r="T196">
        <v>17.669786696746314</v>
      </c>
      <c r="U196">
        <v>1494.1191075617867</v>
      </c>
      <c r="V196">
        <v>9.3204498161403961</v>
      </c>
      <c r="W196">
        <v>1258.0322113656443</v>
      </c>
      <c r="X196">
        <v>6.7743415600974695</v>
      </c>
      <c r="Y196">
        <v>2862.2148150424227</v>
      </c>
      <c r="Z196">
        <v>9.3521689183347689</v>
      </c>
      <c r="AA196">
        <v>2709.119723592255</v>
      </c>
      <c r="AB196">
        <v>6.7935813803676171</v>
      </c>
      <c r="AC196">
        <v>2206.4434788720382</v>
      </c>
      <c r="AD196">
        <v>9.3380853089754421</v>
      </c>
      <c r="AE196">
        <v>2011.8188648978626</v>
      </c>
      <c r="AF196">
        <v>6.7850484780594629</v>
      </c>
      <c r="AG196">
        <v>2068.5358862889611</v>
      </c>
      <c r="AH196">
        <v>9.333926002477293</v>
      </c>
      <c r="AI196">
        <v>1868.7463917755504</v>
      </c>
      <c r="AJ196">
        <v>6.7825254867701092</v>
      </c>
    </row>
    <row r="197" spans="4:36" x14ac:dyDescent="0.55000000000000004">
      <c r="D197">
        <v>190</v>
      </c>
      <c r="E197">
        <v>12.291442073654721</v>
      </c>
      <c r="F197">
        <v>0.43452009115397233</v>
      </c>
      <c r="G197">
        <v>0.14213576914195092</v>
      </c>
      <c r="H197">
        <v>17.131902066049356</v>
      </c>
      <c r="I197">
        <v>12.480789972334318</v>
      </c>
      <c r="J197">
        <v>0.29538764791739269</v>
      </c>
      <c r="K197">
        <v>9.6353353484832802E-2</v>
      </c>
      <c r="L197">
        <v>17.127469026263451</v>
      </c>
      <c r="M197">
        <v>12.3827953552333</v>
      </c>
      <c r="N197">
        <v>0.3674199378849356</v>
      </c>
      <c r="O197">
        <v>0.12002347668565459</v>
      </c>
      <c r="P197">
        <v>17.129761230196099</v>
      </c>
      <c r="Q197">
        <v>12.366259694380943</v>
      </c>
      <c r="R197">
        <v>0.37956920712276576</v>
      </c>
      <c r="S197">
        <v>0.12402264600981544</v>
      </c>
      <c r="T197">
        <v>17.130148452486466</v>
      </c>
      <c r="U197">
        <v>1529.3610597741774</v>
      </c>
      <c r="V197">
        <v>9.7863739839927568</v>
      </c>
      <c r="W197">
        <v>1282.2037604192055</v>
      </c>
      <c r="X197">
        <v>7.05577739197446</v>
      </c>
      <c r="Y197">
        <v>2882.933444709045</v>
      </c>
      <c r="Z197">
        <v>9.8264041239064124</v>
      </c>
      <c r="AA197">
        <v>2721.9632966113031</v>
      </c>
      <c r="AB197">
        <v>7.0788932747188138</v>
      </c>
      <c r="AC197">
        <v>2208.5394808345986</v>
      </c>
      <c r="AD197">
        <v>9.805688586937352</v>
      </c>
      <c r="AE197">
        <v>2010.6693423418587</v>
      </c>
      <c r="AF197">
        <v>7.0669395229126541</v>
      </c>
      <c r="AG197">
        <v>2105.8926329911865</v>
      </c>
      <c r="AH197">
        <v>9.8021927082895584</v>
      </c>
      <c r="AI197">
        <v>1893.8357836269734</v>
      </c>
      <c r="AJ197">
        <v>7.0649204209484768</v>
      </c>
    </row>
    <row r="198" spans="4:36" x14ac:dyDescent="0.55000000000000004">
      <c r="D198">
        <v>191</v>
      </c>
      <c r="E198">
        <v>13.479604047837761</v>
      </c>
      <c r="F198">
        <v>0.43039878935069931</v>
      </c>
      <c r="G198">
        <v>0.16098788576786341</v>
      </c>
      <c r="H198">
        <v>15.929009277043683</v>
      </c>
      <c r="I198">
        <v>13.714448940310492</v>
      </c>
      <c r="J198">
        <v>0.27606484390056213</v>
      </c>
      <c r="K198">
        <v>0.10291375749717864</v>
      </c>
      <c r="L198">
        <v>15.90657245829177</v>
      </c>
      <c r="M198">
        <v>13.578018176580631</v>
      </c>
      <c r="N198">
        <v>0.36576782468165914</v>
      </c>
      <c r="O198">
        <v>0.13661968574556188</v>
      </c>
      <c r="P198">
        <v>15.919594312992157</v>
      </c>
      <c r="Q198">
        <v>13.556826577341315</v>
      </c>
      <c r="R198">
        <v>0.37969028649297126</v>
      </c>
      <c r="S198">
        <v>0.14186303336334566</v>
      </c>
      <c r="T198">
        <v>15.92162010280237</v>
      </c>
      <c r="U198">
        <v>1567.1618894112221</v>
      </c>
      <c r="V198">
        <v>10.625486339040879</v>
      </c>
      <c r="W198">
        <v>1300.5192766381713</v>
      </c>
      <c r="X198">
        <v>7.5262711749674285</v>
      </c>
      <c r="Y198">
        <v>2915.9341334741598</v>
      </c>
      <c r="Z198">
        <v>10.679167135094152</v>
      </c>
      <c r="AA198">
        <v>2741.1034406046783</v>
      </c>
      <c r="AB198">
        <v>7.5560458485010269</v>
      </c>
      <c r="AC198">
        <v>2239.8399562548216</v>
      </c>
      <c r="AD198">
        <v>10.64799034596034</v>
      </c>
      <c r="AE198">
        <v>2026.0815640255387</v>
      </c>
      <c r="AF198">
        <v>7.5387637771797396</v>
      </c>
      <c r="AG198">
        <v>2139.472659285575</v>
      </c>
      <c r="AH198">
        <v>10.643145583500162</v>
      </c>
      <c r="AI198">
        <v>1910.1569297683202</v>
      </c>
      <c r="AJ198">
        <v>7.5360756022387996</v>
      </c>
    </row>
    <row r="199" spans="4:36" x14ac:dyDescent="0.55000000000000004">
      <c r="D199">
        <v>192</v>
      </c>
      <c r="E199">
        <v>13.038050598334928</v>
      </c>
      <c r="F199">
        <v>0.47712761670517972</v>
      </c>
      <c r="G199">
        <v>0.19552308470649032</v>
      </c>
      <c r="H199">
        <v>16.289298700253411</v>
      </c>
      <c r="I199">
        <v>13.277092825672206</v>
      </c>
      <c r="J199">
        <v>0.30507192452058107</v>
      </c>
      <c r="K199">
        <v>0.12457263324086028</v>
      </c>
      <c r="L199">
        <v>16.293262616566352</v>
      </c>
      <c r="M199">
        <v>13.16207885728004</v>
      </c>
      <c r="N199">
        <v>0.38789735223567379</v>
      </c>
      <c r="O199">
        <v>0.1586633733196767</v>
      </c>
      <c r="P199">
        <v>16.291360417164608</v>
      </c>
      <c r="Q199">
        <v>13.147924370694614</v>
      </c>
      <c r="R199">
        <v>0.39808515099154301</v>
      </c>
      <c r="S199">
        <v>0.1628648003468337</v>
      </c>
      <c r="T199">
        <v>16.291125677966988</v>
      </c>
      <c r="U199">
        <v>1568.953786722599</v>
      </c>
      <c r="V199">
        <v>10.291224935486502</v>
      </c>
      <c r="W199">
        <v>1297.6179654579742</v>
      </c>
      <c r="X199">
        <v>7.3271879570580376</v>
      </c>
      <c r="Y199">
        <v>2927.2668474608399</v>
      </c>
      <c r="Z199">
        <v>10.333504857757777</v>
      </c>
      <c r="AA199">
        <v>2746.6447316921749</v>
      </c>
      <c r="AB199">
        <v>7.3518188193383347</v>
      </c>
      <c r="AC199">
        <v>2251.3792679185276</v>
      </c>
      <c r="AD199">
        <v>10.313158811588115</v>
      </c>
      <c r="AE199">
        <v>2031.9737697260098</v>
      </c>
      <c r="AF199">
        <v>7.3399776937592494</v>
      </c>
      <c r="AG199">
        <v>2150.4591898815506</v>
      </c>
      <c r="AH199">
        <v>10.310655291270544</v>
      </c>
      <c r="AI199">
        <v>1916.0354383487638</v>
      </c>
      <c r="AJ199">
        <v>7.3385191741763913</v>
      </c>
    </row>
    <row r="200" spans="4:36" x14ac:dyDescent="0.55000000000000004">
      <c r="D200">
        <v>193</v>
      </c>
      <c r="E200">
        <v>13.180090415001446</v>
      </c>
      <c r="F200">
        <v>0.5005028920408412</v>
      </c>
      <c r="G200">
        <v>0.16780485670623252</v>
      </c>
      <c r="H200">
        <v>16.151601836251483</v>
      </c>
      <c r="I200">
        <v>13.434553449716804</v>
      </c>
      <c r="J200">
        <v>0.31869946325832443</v>
      </c>
      <c r="K200">
        <v>0.10647965825822746</v>
      </c>
      <c r="L200">
        <v>16.140267428766649</v>
      </c>
      <c r="M200">
        <v>13.359417347594379</v>
      </c>
      <c r="N200">
        <v>0.37242074912120343</v>
      </c>
      <c r="O200">
        <v>0.1245556131778458</v>
      </c>
      <c r="P200">
        <v>16.143606290106554</v>
      </c>
      <c r="Q200">
        <v>13.28961441177657</v>
      </c>
      <c r="R200">
        <v>0.42229926267602608</v>
      </c>
      <c r="S200">
        <v>0.1413722711154502</v>
      </c>
      <c r="T200">
        <v>16.146714054431968</v>
      </c>
      <c r="U200">
        <v>1587.472867157845</v>
      </c>
      <c r="V200">
        <v>10.344677832531211</v>
      </c>
      <c r="W200">
        <v>1312.3010829143632</v>
      </c>
      <c r="X200">
        <v>7.3512926377704355</v>
      </c>
      <c r="Y200">
        <v>2913.2845092636599</v>
      </c>
      <c r="Z200">
        <v>10.394512872038977</v>
      </c>
      <c r="AA200">
        <v>2737.5732840365777</v>
      </c>
      <c r="AB200">
        <v>7.3793699312026027</v>
      </c>
      <c r="AC200">
        <v>2241.8756343868145</v>
      </c>
      <c r="AD200">
        <v>10.379802798951758</v>
      </c>
      <c r="AE200">
        <v>2028.7147272873945</v>
      </c>
      <c r="AF200">
        <v>7.3710921231815671</v>
      </c>
      <c r="AG200">
        <v>2160.5293680526565</v>
      </c>
      <c r="AH200">
        <v>10.366133202000844</v>
      </c>
      <c r="AI200">
        <v>1924.0133511806455</v>
      </c>
      <c r="AJ200">
        <v>7.3633924122465428</v>
      </c>
    </row>
    <row r="201" spans="4:36" x14ac:dyDescent="0.55000000000000004">
      <c r="D201">
        <v>194</v>
      </c>
      <c r="E201">
        <v>11.463579313629108</v>
      </c>
      <c r="F201">
        <v>0.46182471766654332</v>
      </c>
      <c r="G201">
        <v>0.15198346059700404</v>
      </c>
      <c r="H201">
        <v>17.922612508107346</v>
      </c>
      <c r="I201">
        <v>11.646796425662322</v>
      </c>
      <c r="J201">
        <v>0.30307506236909965</v>
      </c>
      <c r="K201">
        <v>9.9476479158265019E-2</v>
      </c>
      <c r="L201">
        <v>17.9506520328103</v>
      </c>
      <c r="M201">
        <v>11.560461852371773</v>
      </c>
      <c r="N201">
        <v>0.37789441430111509</v>
      </c>
      <c r="O201">
        <v>0.12418818791435031</v>
      </c>
      <c r="P201">
        <v>17.937455545412757</v>
      </c>
      <c r="Q201">
        <v>11.530681180413168</v>
      </c>
      <c r="R201">
        <v>0.40369711387479179</v>
      </c>
      <c r="S201">
        <v>0.13272487866220567</v>
      </c>
      <c r="T201">
        <v>17.932896827049824</v>
      </c>
      <c r="U201">
        <v>1482.2144991457285</v>
      </c>
      <c r="V201">
        <v>9.0734842768248534</v>
      </c>
      <c r="W201">
        <v>1251.6556421345483</v>
      </c>
      <c r="X201">
        <v>6.621470100712699</v>
      </c>
      <c r="Y201">
        <v>2853.8014140107985</v>
      </c>
      <c r="Z201">
        <v>9.0927631067126544</v>
      </c>
      <c r="AA201">
        <v>2703.9952409965986</v>
      </c>
      <c r="AB201">
        <v>6.6340715719575547</v>
      </c>
      <c r="AC201">
        <v>2168.1476148019574</v>
      </c>
      <c r="AD201">
        <v>9.0836692001742918</v>
      </c>
      <c r="AE201">
        <v>1985.0610771116451</v>
      </c>
      <c r="AF201">
        <v>6.6281355190190094</v>
      </c>
      <c r="AG201">
        <v>2062.6401975816011</v>
      </c>
      <c r="AH201">
        <v>9.0805361961297351</v>
      </c>
      <c r="AI201">
        <v>1865.5041101039415</v>
      </c>
      <c r="AJ201">
        <v>6.6260871076052368</v>
      </c>
    </row>
    <row r="202" spans="4:36" x14ac:dyDescent="0.55000000000000004">
      <c r="D202">
        <v>195</v>
      </c>
      <c r="E202">
        <v>12.987057132450149</v>
      </c>
      <c r="F202">
        <v>0.4443507491485098</v>
      </c>
      <c r="G202">
        <v>0.17333880142369512</v>
      </c>
      <c r="H202">
        <v>16.395253316977648</v>
      </c>
      <c r="I202">
        <v>13.176948312527491</v>
      </c>
      <c r="J202">
        <v>0.31240455375480403</v>
      </c>
      <c r="K202">
        <v>0.12152690043022588</v>
      </c>
      <c r="L202">
        <v>16.389120233287471</v>
      </c>
      <c r="M202">
        <v>13.083152285288083</v>
      </c>
      <c r="N202">
        <v>0.37760701120817336</v>
      </c>
      <c r="O202">
        <v>0.14709343987377047</v>
      </c>
      <c r="P202">
        <v>16.392147263629969</v>
      </c>
      <c r="Q202">
        <v>13.043756170153793</v>
      </c>
      <c r="R202">
        <v>0.40497693647598665</v>
      </c>
      <c r="S202">
        <v>0.15784683453549703</v>
      </c>
      <c r="T202">
        <v>16.393420058834732</v>
      </c>
      <c r="U202">
        <v>1526.1133178900336</v>
      </c>
      <c r="V202">
        <v>10.257698675115691</v>
      </c>
      <c r="W202">
        <v>1273.3240436490501</v>
      </c>
      <c r="X202">
        <v>7.3149533593340816</v>
      </c>
      <c r="Y202">
        <v>2912.9866846580921</v>
      </c>
      <c r="Z202">
        <v>10.298218611047369</v>
      </c>
      <c r="AA202">
        <v>2738.4968899364094</v>
      </c>
      <c r="AB202">
        <v>7.3382012280431148</v>
      </c>
      <c r="AC202">
        <v>2245.9214534668986</v>
      </c>
      <c r="AD202">
        <v>10.278204618298144</v>
      </c>
      <c r="AE202">
        <v>2032.1307718578105</v>
      </c>
      <c r="AF202">
        <v>7.3267266404460152</v>
      </c>
      <c r="AG202">
        <v>2134.4261472874819</v>
      </c>
      <c r="AH202">
        <v>10.269797967953519</v>
      </c>
      <c r="AI202">
        <v>1907.4989681896384</v>
      </c>
      <c r="AJ202">
        <v>7.3219020964245409</v>
      </c>
    </row>
    <row r="203" spans="4:36" x14ac:dyDescent="0.55000000000000004">
      <c r="D203">
        <v>196</v>
      </c>
      <c r="E203">
        <v>12.891530357292755</v>
      </c>
      <c r="F203">
        <v>0.4421872109657326</v>
      </c>
      <c r="G203">
        <v>0.16925843670501375</v>
      </c>
      <c r="H203">
        <v>16.497023995036507</v>
      </c>
      <c r="I203">
        <v>13.103564989039231</v>
      </c>
      <c r="J203">
        <v>0.29379124351658059</v>
      </c>
      <c r="K203">
        <v>0.11210029550111519</v>
      </c>
      <c r="L203">
        <v>16.490543471943063</v>
      </c>
      <c r="M203">
        <v>12.999856174732654</v>
      </c>
      <c r="N203">
        <v>0.36640835948264522</v>
      </c>
      <c r="O203">
        <v>0.14002450625088661</v>
      </c>
      <c r="P203">
        <v>16.493710959533811</v>
      </c>
      <c r="Q203">
        <v>12.967838267955326</v>
      </c>
      <c r="R203">
        <v>0.38881394514984963</v>
      </c>
      <c r="S203">
        <v>0.14865807610612036</v>
      </c>
      <c r="T203">
        <v>16.494689710788702</v>
      </c>
      <c r="U203">
        <v>1530.6100066822721</v>
      </c>
      <c r="V203">
        <v>10.175089139851313</v>
      </c>
      <c r="W203">
        <v>1275.5118274100398</v>
      </c>
      <c r="X203">
        <v>7.2666048264959366</v>
      </c>
      <c r="Y203">
        <v>2901.9545146396431</v>
      </c>
      <c r="Z203">
        <v>10.21928537695165</v>
      </c>
      <c r="AA203">
        <v>2731.1810202309557</v>
      </c>
      <c r="AB203">
        <v>7.2919135364792487</v>
      </c>
      <c r="AC203">
        <v>2248.2460083630863</v>
      </c>
      <c r="AD203">
        <v>10.197669892818421</v>
      </c>
      <c r="AE203">
        <v>2033.6305440752283</v>
      </c>
      <c r="AF203">
        <v>7.2795455294611928</v>
      </c>
      <c r="AG203">
        <v>2122.6118166610572</v>
      </c>
      <c r="AH203">
        <v>10.190996007477192</v>
      </c>
      <c r="AI203">
        <v>1899.1336149534939</v>
      </c>
      <c r="AJ203">
        <v>7.2757230040995235</v>
      </c>
    </row>
    <row r="204" spans="4:36" x14ac:dyDescent="0.55000000000000004">
      <c r="D204">
        <v>197</v>
      </c>
      <c r="E204">
        <v>12.490213848207544</v>
      </c>
      <c r="F204">
        <v>0.47868135839784987</v>
      </c>
      <c r="G204">
        <v>0.16348066314867971</v>
      </c>
      <c r="H204">
        <v>16.867624130245932</v>
      </c>
      <c r="I204">
        <v>12.691066626234807</v>
      </c>
      <c r="J204">
        <v>0.32244622323027405</v>
      </c>
      <c r="K204">
        <v>0.10979667459205118</v>
      </c>
      <c r="L204">
        <v>16.876690475942873</v>
      </c>
      <c r="M204">
        <v>12.590704159203238</v>
      </c>
      <c r="N204">
        <v>0.40053934353598486</v>
      </c>
      <c r="O204">
        <v>0.13658987717407584</v>
      </c>
      <c r="P204">
        <v>16.872166620086698</v>
      </c>
      <c r="Q204">
        <v>12.592619376588829</v>
      </c>
      <c r="R204">
        <v>0.39904956292122595</v>
      </c>
      <c r="S204">
        <v>0.13607799190080705</v>
      </c>
      <c r="T204">
        <v>16.872253068589139</v>
      </c>
      <c r="U204">
        <v>1547.6169128804625</v>
      </c>
      <c r="V204">
        <v>9.7613964168322322</v>
      </c>
      <c r="W204">
        <v>1289.0106494755303</v>
      </c>
      <c r="X204">
        <v>7.0079354836462775</v>
      </c>
      <c r="Y204">
        <v>2907.3017165364126</v>
      </c>
      <c r="Z204">
        <v>9.7922013703096766</v>
      </c>
      <c r="AA204">
        <v>2735.4971821378467</v>
      </c>
      <c r="AB204">
        <v>7.0262807880292675</v>
      </c>
      <c r="AC204">
        <v>2226.96164380751</v>
      </c>
      <c r="AD204">
        <v>9.7768046527733006</v>
      </c>
      <c r="AE204">
        <v>2018.9916975764722</v>
      </c>
      <c r="AF204">
        <v>7.0171199561388375</v>
      </c>
      <c r="AG204">
        <v>2104.8813494905603</v>
      </c>
      <c r="AH204">
        <v>9.777098393096928</v>
      </c>
      <c r="AI204">
        <v>1888.994956365201</v>
      </c>
      <c r="AJ204">
        <v>7.0172948836144764</v>
      </c>
    </row>
    <row r="205" spans="4:36" x14ac:dyDescent="0.55000000000000004">
      <c r="D205">
        <v>198</v>
      </c>
      <c r="E205">
        <v>14.872049009116566</v>
      </c>
      <c r="F205">
        <v>0.53735101336070212</v>
      </c>
      <c r="G205">
        <v>0.18076042125203703</v>
      </c>
      <c r="H205">
        <v>14.4098395562707</v>
      </c>
      <c r="I205">
        <v>15.173562667024084</v>
      </c>
      <c r="J205">
        <v>0.33833964720530485</v>
      </c>
      <c r="K205">
        <v>0.1133786277185017</v>
      </c>
      <c r="L205">
        <v>14.374719058052099</v>
      </c>
      <c r="M205">
        <v>15.023892873093672</v>
      </c>
      <c r="N205">
        <v>0.43719752486284097</v>
      </c>
      <c r="O205">
        <v>0.14678437076267623</v>
      </c>
      <c r="P205">
        <v>14.392125231280801</v>
      </c>
      <c r="Q205">
        <v>14.992155540135229</v>
      </c>
      <c r="R205">
        <v>0.45814265541464982</v>
      </c>
      <c r="S205">
        <v>0.15387868334705829</v>
      </c>
      <c r="T205">
        <v>14.395823121103049</v>
      </c>
      <c r="U205">
        <v>1737.1606620978266</v>
      </c>
      <c r="V205">
        <v>11.698293806554917</v>
      </c>
      <c r="W205">
        <v>1400.6580990241621</v>
      </c>
      <c r="X205">
        <v>8.1243366137487492</v>
      </c>
      <c r="Y205">
        <v>2971.9063682696133</v>
      </c>
      <c r="Z205">
        <v>11.772803455430056</v>
      </c>
      <c r="AA205">
        <v>2768.3676307093065</v>
      </c>
      <c r="AB205">
        <v>8.1648230204600374</v>
      </c>
      <c r="AC205">
        <v>2326.7760967131685</v>
      </c>
      <c r="AD205">
        <v>11.735833478964238</v>
      </c>
      <c r="AE205">
        <v>2072.8223437162396</v>
      </c>
      <c r="AF205">
        <v>8.1447501871204881</v>
      </c>
      <c r="AG205">
        <v>2267.8314847628058</v>
      </c>
      <c r="AH205">
        <v>11.7279899388377</v>
      </c>
      <c r="AI205">
        <v>1984.6425223628667</v>
      </c>
      <c r="AJ205">
        <v>8.1404876082520126</v>
      </c>
    </row>
    <row r="206" spans="4:36" x14ac:dyDescent="0.55000000000000004">
      <c r="D206">
        <v>199</v>
      </c>
      <c r="E206">
        <v>13.120183303524257</v>
      </c>
      <c r="F206">
        <v>0.47195950609652948</v>
      </c>
      <c r="G206">
        <v>0.15795693928992577</v>
      </c>
      <c r="H206">
        <v>16.249900251089279</v>
      </c>
      <c r="I206">
        <v>13.353255248303746</v>
      </c>
      <c r="J206">
        <v>0.31081073264760062</v>
      </c>
      <c r="K206">
        <v>0.10368056206640093</v>
      </c>
      <c r="L206">
        <v>16.232253456982267</v>
      </c>
      <c r="M206">
        <v>13.269231352530367</v>
      </c>
      <c r="N206">
        <v>0.36894496763496476</v>
      </c>
      <c r="O206">
        <v>0.12321879580845886</v>
      </c>
      <c r="P206">
        <v>16.238604884026213</v>
      </c>
      <c r="Q206">
        <v>13.223318529079041</v>
      </c>
      <c r="R206">
        <v>0.40069245728198544</v>
      </c>
      <c r="S206">
        <v>0.13390863273848239</v>
      </c>
      <c r="T206">
        <v>16.242080380900497</v>
      </c>
      <c r="U206">
        <v>1512.4278128780797</v>
      </c>
      <c r="V206">
        <v>10.299080631245223</v>
      </c>
      <c r="W206">
        <v>1263.7469751121234</v>
      </c>
      <c r="X206">
        <v>7.3295335983923486</v>
      </c>
      <c r="Y206">
        <v>2920.3871166804838</v>
      </c>
      <c r="Z206">
        <v>10.351052124924246</v>
      </c>
      <c r="AA206">
        <v>2745.2837142610147</v>
      </c>
      <c r="AB206">
        <v>7.3587576247058291</v>
      </c>
      <c r="AC206">
        <v>2242.2090377009836</v>
      </c>
      <c r="AD206">
        <v>10.332321865659395</v>
      </c>
      <c r="AE206">
        <v>2031.7076832336486</v>
      </c>
      <c r="AF206">
        <v>7.3482359124210275</v>
      </c>
      <c r="AG206">
        <v>2116.8254123921365</v>
      </c>
      <c r="AH206">
        <v>10.322084421246423</v>
      </c>
      <c r="AI206">
        <v>1896.9944692873012</v>
      </c>
      <c r="AJ206">
        <v>7.3424800655529756</v>
      </c>
    </row>
    <row r="207" spans="4:36" x14ac:dyDescent="0.55000000000000004">
      <c r="D207">
        <v>200</v>
      </c>
      <c r="E207">
        <v>11.971397185713688</v>
      </c>
      <c r="F207">
        <v>0.45658915510722586</v>
      </c>
      <c r="G207">
        <v>0.16237805036968606</v>
      </c>
      <c r="H207">
        <v>17.409635608809403</v>
      </c>
      <c r="I207">
        <v>12.184465136966992</v>
      </c>
      <c r="J207">
        <v>0.29257378467321199</v>
      </c>
      <c r="K207">
        <v>0.10373391749811056</v>
      </c>
      <c r="L207">
        <v>17.419227160861684</v>
      </c>
      <c r="M207">
        <v>12.127665785911901</v>
      </c>
      <c r="N207">
        <v>0.33632019550013392</v>
      </c>
      <c r="O207">
        <v>0.11934038086549291</v>
      </c>
      <c r="P207">
        <v>17.416673637722454</v>
      </c>
      <c r="Q207">
        <v>12.071398457301758</v>
      </c>
      <c r="R207">
        <v>0.37964011827374172</v>
      </c>
      <c r="S207">
        <v>0.13481980625993778</v>
      </c>
      <c r="T207">
        <v>17.414141618164567</v>
      </c>
      <c r="U207">
        <v>1474.6616041231534</v>
      </c>
      <c r="V207">
        <v>9.5200591037477889</v>
      </c>
      <c r="W207">
        <v>1242.4563733221416</v>
      </c>
      <c r="X207">
        <v>6.8930835905052916</v>
      </c>
      <c r="Y207">
        <v>2875.7660894554701</v>
      </c>
      <c r="Z207">
        <v>9.5556863064713156</v>
      </c>
      <c r="AA207">
        <v>2718.0947329598939</v>
      </c>
      <c r="AB207">
        <v>6.9142147115545827</v>
      </c>
      <c r="AC207">
        <v>2200.6578803757093</v>
      </c>
      <c r="AD207">
        <v>9.5461871339156215</v>
      </c>
      <c r="AE207">
        <v>2008.6335284786144</v>
      </c>
      <c r="AF207">
        <v>6.908588511329075</v>
      </c>
      <c r="AG207">
        <v>2085.1102166227129</v>
      </c>
      <c r="AH207">
        <v>9.5367781688918321</v>
      </c>
      <c r="AI207">
        <v>1880.2027953757349</v>
      </c>
      <c r="AJ207">
        <v>6.903010086393162</v>
      </c>
    </row>
    <row r="208" spans="4:36" x14ac:dyDescent="0.55000000000000004">
      <c r="D208">
        <v>201</v>
      </c>
      <c r="E208">
        <v>13.641406674753998</v>
      </c>
      <c r="F208">
        <v>0.42983104524191862</v>
      </c>
      <c r="G208">
        <v>0.13508756232867108</v>
      </c>
      <c r="H208">
        <v>15.79367471767544</v>
      </c>
      <c r="I208">
        <v>13.829226503657431</v>
      </c>
      <c r="J208">
        <v>0.30843100665371764</v>
      </c>
      <c r="K208">
        <v>9.6681529229805468E-2</v>
      </c>
      <c r="L208">
        <v>15.76566096045903</v>
      </c>
      <c r="M208">
        <v>13.732779522462595</v>
      </c>
      <c r="N208">
        <v>0.37080033539119739</v>
      </c>
      <c r="O208">
        <v>0.11638722141355104</v>
      </c>
      <c r="P208">
        <v>15.780032920732637</v>
      </c>
      <c r="Q208">
        <v>13.704053261762725</v>
      </c>
      <c r="R208">
        <v>0.38936474732048226</v>
      </c>
      <c r="S208">
        <v>0.12226302602900704</v>
      </c>
      <c r="T208">
        <v>15.784318964887804</v>
      </c>
      <c r="U208">
        <v>1605.8085858840875</v>
      </c>
      <c r="V208">
        <v>10.653406832296051</v>
      </c>
      <c r="W208">
        <v>1326.104418031437</v>
      </c>
      <c r="X208">
        <v>7.5330621591305702</v>
      </c>
      <c r="Y208">
        <v>2935.2899007306614</v>
      </c>
      <c r="Z208">
        <v>10.704210935749652</v>
      </c>
      <c r="AA208">
        <v>2751.2367852872489</v>
      </c>
      <c r="AB208">
        <v>7.5610798952417824</v>
      </c>
      <c r="AC208">
        <v>2262.6878062318333</v>
      </c>
      <c r="AD208">
        <v>10.678130094658568</v>
      </c>
      <c r="AE208">
        <v>2040.3817268739181</v>
      </c>
      <c r="AF208">
        <v>7.5467044783678183</v>
      </c>
      <c r="AG208">
        <v>2166.5036763711146</v>
      </c>
      <c r="AH208">
        <v>10.670359002003371</v>
      </c>
      <c r="AI208">
        <v>1927.0076142531866</v>
      </c>
      <c r="AJ208">
        <v>7.5424179823430713</v>
      </c>
    </row>
    <row r="209" spans="4:36" x14ac:dyDescent="0.55000000000000004">
      <c r="D209">
        <v>202</v>
      </c>
      <c r="E209">
        <v>12.802258416326374</v>
      </c>
      <c r="F209">
        <v>0.45027745729596563</v>
      </c>
      <c r="G209">
        <v>0.16962962293774536</v>
      </c>
      <c r="H209">
        <v>16.577834503439924</v>
      </c>
      <c r="I209">
        <v>13.010177440150297</v>
      </c>
      <c r="J209">
        <v>0.29914915180549934</v>
      </c>
      <c r="K209">
        <v>0.11234710502430781</v>
      </c>
      <c r="L209">
        <v>16.578326303019889</v>
      </c>
      <c r="M209">
        <v>12.902409362422631</v>
      </c>
      <c r="N209">
        <v>0.37751291963493994</v>
      </c>
      <c r="O209">
        <v>0.14200446974916628</v>
      </c>
      <c r="P209">
        <v>16.57807324819326</v>
      </c>
      <c r="Q209">
        <v>12.835949826254362</v>
      </c>
      <c r="R209">
        <v>0.42580554517757613</v>
      </c>
      <c r="S209">
        <v>0.16032942197882102</v>
      </c>
      <c r="T209">
        <v>16.577915206589243</v>
      </c>
      <c r="U209">
        <v>1545.8902688538055</v>
      </c>
      <c r="V209">
        <v>10.075478547531715</v>
      </c>
      <c r="W209">
        <v>1287.9746150050878</v>
      </c>
      <c r="X209">
        <v>7.2030120142699756</v>
      </c>
      <c r="Y209">
        <v>2916.7648420138835</v>
      </c>
      <c r="Z209">
        <v>10.113549787096575</v>
      </c>
      <c r="AA209">
        <v>2742.7852622803207</v>
      </c>
      <c r="AB209">
        <v>7.2250911939892664</v>
      </c>
      <c r="AC209">
        <v>2239.5129289633287</v>
      </c>
      <c r="AD209">
        <v>10.093815851253318</v>
      </c>
      <c r="AE209">
        <v>2028.2488493016538</v>
      </c>
      <c r="AF209">
        <v>7.2136557212260097</v>
      </c>
      <c r="AG209">
        <v>2130.267411280568</v>
      </c>
      <c r="AH209">
        <v>10.081647134438523</v>
      </c>
      <c r="AI209">
        <v>1903.7266632152996</v>
      </c>
      <c r="AJ209">
        <v>7.2065944130271111</v>
      </c>
    </row>
    <row r="210" spans="4:36" x14ac:dyDescent="0.55000000000000004">
      <c r="D210">
        <v>203</v>
      </c>
      <c r="E210">
        <v>12.932967540874756</v>
      </c>
      <c r="F210">
        <v>0.45841952105968842</v>
      </c>
      <c r="G210">
        <v>0.16404375901174786</v>
      </c>
      <c r="H210">
        <v>16.444569179053804</v>
      </c>
      <c r="I210">
        <v>13.13668155610347</v>
      </c>
      <c r="J210">
        <v>0.31020310177248339</v>
      </c>
      <c r="K210">
        <v>0.1106761251693507</v>
      </c>
      <c r="L210">
        <v>16.442439216954686</v>
      </c>
      <c r="M210">
        <v>13.035701118807633</v>
      </c>
      <c r="N210">
        <v>0.38370340174380124</v>
      </c>
      <c r="O210">
        <v>0.1371008635763834</v>
      </c>
      <c r="P210">
        <v>16.443494615872183</v>
      </c>
      <c r="Q210">
        <v>12.986893626165473</v>
      </c>
      <c r="R210">
        <v>0.41920775085014339</v>
      </c>
      <c r="S210">
        <v>0.1498936009182977</v>
      </c>
      <c r="T210">
        <v>16.444005022066104</v>
      </c>
      <c r="U210">
        <v>1539.7018175090516</v>
      </c>
      <c r="V210">
        <v>10.154110373144416</v>
      </c>
      <c r="W210">
        <v>1280.5661323211491</v>
      </c>
      <c r="X210">
        <v>7.2452685390711062</v>
      </c>
      <c r="Y210">
        <v>2900.5909614696852</v>
      </c>
      <c r="Z210">
        <v>10.192563242483139</v>
      </c>
      <c r="AA210">
        <v>2728.7964965786709</v>
      </c>
      <c r="AB210">
        <v>7.2674127215923034</v>
      </c>
      <c r="AC210">
        <v>2225.1593733360064</v>
      </c>
      <c r="AD210">
        <v>10.173502389832958</v>
      </c>
      <c r="AE210">
        <v>2015.5509226013489</v>
      </c>
      <c r="AF210">
        <v>7.2564445584892301</v>
      </c>
      <c r="AG210">
        <v>2147.4818093203976</v>
      </c>
      <c r="AH210">
        <v>10.164289505625876</v>
      </c>
      <c r="AI210">
        <v>1914.468891602625</v>
      </c>
      <c r="AJ210">
        <v>7.2511371731370984</v>
      </c>
    </row>
    <row r="211" spans="4:36" x14ac:dyDescent="0.55000000000000004">
      <c r="D211">
        <v>204</v>
      </c>
      <c r="E211">
        <v>12.017349339960317</v>
      </c>
      <c r="F211">
        <v>0.42244040755630224</v>
      </c>
      <c r="G211">
        <v>0.14843502844430154</v>
      </c>
      <c r="H211">
        <v>17.411775224039094</v>
      </c>
      <c r="I211">
        <v>12.205663474786359</v>
      </c>
      <c r="J211">
        <v>0.28353534485797599</v>
      </c>
      <c r="K211">
        <v>9.9357105691069758E-2</v>
      </c>
      <c r="L211">
        <v>17.411444074664594</v>
      </c>
      <c r="M211">
        <v>12.128409239228436</v>
      </c>
      <c r="N211">
        <v>0.34054499847582553</v>
      </c>
      <c r="O211">
        <v>0.11946707367640086</v>
      </c>
      <c r="P211">
        <v>17.411578688619347</v>
      </c>
      <c r="Q211">
        <v>12.096268652914933</v>
      </c>
      <c r="R211">
        <v>0.36425285898727155</v>
      </c>
      <c r="S211">
        <v>0.12784329025312419</v>
      </c>
      <c r="T211">
        <v>17.411635197844667</v>
      </c>
      <c r="U211">
        <v>1496.2757937220056</v>
      </c>
      <c r="V211">
        <v>9.5115320553005276</v>
      </c>
      <c r="W211">
        <v>1260.4736120962789</v>
      </c>
      <c r="X211">
        <v>6.8872658665014601</v>
      </c>
      <c r="Y211">
        <v>2872.0382700058317</v>
      </c>
      <c r="Z211">
        <v>9.5486976717395109</v>
      </c>
      <c r="AA211">
        <v>2715.8574335728031</v>
      </c>
      <c r="AB211">
        <v>6.908875416040134</v>
      </c>
      <c r="AC211">
        <v>2190.0725428525411</v>
      </c>
      <c r="AD211">
        <v>9.5334520036448875</v>
      </c>
      <c r="AE211">
        <v>2000.3695581606976</v>
      </c>
      <c r="AF211">
        <v>6.9000191082270605</v>
      </c>
      <c r="AG211">
        <v>2073.3276502561007</v>
      </c>
      <c r="AH211">
        <v>9.5271087572623987</v>
      </c>
      <c r="AI211">
        <v>1872.5198899467648</v>
      </c>
      <c r="AJ211">
        <v>6.8963309591034037</v>
      </c>
    </row>
    <row r="212" spans="4:36" x14ac:dyDescent="0.55000000000000004">
      <c r="D212">
        <v>205</v>
      </c>
      <c r="E212">
        <v>12.720516528558701</v>
      </c>
      <c r="F212">
        <v>0.44239447546881261</v>
      </c>
      <c r="G212">
        <v>0.17764559114286604</v>
      </c>
      <c r="H212">
        <v>16.659443404829609</v>
      </c>
      <c r="I212">
        <v>12.933851898289836</v>
      </c>
      <c r="J212">
        <v>0.29137126319824941</v>
      </c>
      <c r="K212">
        <v>0.11664728886167561</v>
      </c>
      <c r="L212">
        <v>16.658129549650244</v>
      </c>
      <c r="M212">
        <v>12.808543511788736</v>
      </c>
      <c r="N212">
        <v>0.38011267589979081</v>
      </c>
      <c r="O212">
        <v>0.15244442736432129</v>
      </c>
      <c r="P212">
        <v>16.658899384947144</v>
      </c>
      <c r="Q212">
        <v>12.795019552105298</v>
      </c>
      <c r="R212">
        <v>0.38968439468609822</v>
      </c>
      <c r="S212">
        <v>0.15631326225126804</v>
      </c>
      <c r="T212">
        <v>16.658982790957342</v>
      </c>
      <c r="U212">
        <v>1511.0343416395497</v>
      </c>
      <c r="V212">
        <v>10.045288518702183</v>
      </c>
      <c r="W212">
        <v>1264.1920359073076</v>
      </c>
      <c r="X212">
        <v>7.1910122107848675</v>
      </c>
      <c r="Y212">
        <v>2896.3693730913765</v>
      </c>
      <c r="Z212">
        <v>10.086419159414731</v>
      </c>
      <c r="AA212">
        <v>2729.1994621540148</v>
      </c>
      <c r="AB212">
        <v>7.2147060591302994</v>
      </c>
      <c r="AC212">
        <v>2224.0675639851611</v>
      </c>
      <c r="AD212">
        <v>10.06226092215593</v>
      </c>
      <c r="AE212">
        <v>2017.5520114842016</v>
      </c>
      <c r="AF212">
        <v>7.2007987349284077</v>
      </c>
      <c r="AG212">
        <v>2094.6005398698735</v>
      </c>
      <c r="AH212">
        <v>10.059653469189715</v>
      </c>
      <c r="AI212">
        <v>1881.3514448695234</v>
      </c>
      <c r="AJ212">
        <v>7.1992961004924343</v>
      </c>
    </row>
    <row r="213" spans="4:36" x14ac:dyDescent="0.55000000000000004">
      <c r="D213">
        <v>206</v>
      </c>
      <c r="E213">
        <v>13.011515532062948</v>
      </c>
      <c r="F213">
        <v>0.51664227239993721</v>
      </c>
      <c r="G213">
        <v>0.17181845870189347</v>
      </c>
      <c r="H213">
        <v>16.300023736835222</v>
      </c>
      <c r="I213">
        <v>13.258854154586945</v>
      </c>
      <c r="J213">
        <v>0.32205225885235805</v>
      </c>
      <c r="K213">
        <v>0.10674777401980309</v>
      </c>
      <c r="L213">
        <v>16.312345812540894</v>
      </c>
      <c r="M213">
        <v>13.138884980480201</v>
      </c>
      <c r="N213">
        <v>0.41647225489132839</v>
      </c>
      <c r="O213">
        <v>0.13826675097557256</v>
      </c>
      <c r="P213">
        <v>16.306376013652912</v>
      </c>
      <c r="Q213">
        <v>13.119228282803533</v>
      </c>
      <c r="R213">
        <v>0.43193632921421954</v>
      </c>
      <c r="S213">
        <v>0.14343874889435568</v>
      </c>
      <c r="T213">
        <v>16.305396639087892</v>
      </c>
      <c r="U213">
        <v>1555.7797627432908</v>
      </c>
      <c r="V213">
        <v>10.412532453036521</v>
      </c>
      <c r="W213">
        <v>1293.2531406883097</v>
      </c>
      <c r="X213">
        <v>7.4162621227485932</v>
      </c>
      <c r="Y213">
        <v>2904.1020372656735</v>
      </c>
      <c r="Z213">
        <v>10.456202498989734</v>
      </c>
      <c r="AA213">
        <v>2733.8406158518414</v>
      </c>
      <c r="AB213">
        <v>7.4418664109775579</v>
      </c>
      <c r="AC213">
        <v>2228.6342262999933</v>
      </c>
      <c r="AD213">
        <v>10.435016192063857</v>
      </c>
      <c r="AE213">
        <v>2020.0196992397709</v>
      </c>
      <c r="AF213">
        <v>7.4294575340900755</v>
      </c>
      <c r="AG213">
        <v>2093.6141746300282</v>
      </c>
      <c r="AH213">
        <v>10.431545679649419</v>
      </c>
      <c r="AI213">
        <v>1879.4800028185334</v>
      </c>
      <c r="AJ213">
        <v>7.4274225370238485</v>
      </c>
    </row>
    <row r="214" spans="4:36" x14ac:dyDescent="0.55000000000000004">
      <c r="D214">
        <v>207</v>
      </c>
      <c r="E214">
        <v>12.202550201761378</v>
      </c>
      <c r="F214">
        <v>0.43035228477754245</v>
      </c>
      <c r="G214">
        <v>0.15799160538269719</v>
      </c>
      <c r="H214">
        <v>17.209105908078385</v>
      </c>
      <c r="I214">
        <v>12.394034155482963</v>
      </c>
      <c r="J214">
        <v>0.29076734273932725</v>
      </c>
      <c r="K214">
        <v>0.10644959295936086</v>
      </c>
      <c r="L214">
        <v>17.208748908818343</v>
      </c>
      <c r="M214">
        <v>12.328090398632455</v>
      </c>
      <c r="N214">
        <v>0.33886253970042912</v>
      </c>
      <c r="O214">
        <v>0.12417593594715713</v>
      </c>
      <c r="P214">
        <v>17.208871125719963</v>
      </c>
      <c r="Q214">
        <v>12.284601517272076</v>
      </c>
      <c r="R214">
        <v>0.37056649682268744</v>
      </c>
      <c r="S214">
        <v>0.13587984357209282</v>
      </c>
      <c r="T214">
        <v>17.208952142333153</v>
      </c>
      <c r="U214">
        <v>1516.0106097241869</v>
      </c>
      <c r="V214">
        <v>9.5340534594527195</v>
      </c>
      <c r="W214">
        <v>1271.9871163500388</v>
      </c>
      <c r="X214">
        <v>6.8807848382548302</v>
      </c>
      <c r="Y214">
        <v>2888.1155254413002</v>
      </c>
      <c r="Z214">
        <v>9.5683920392368389</v>
      </c>
      <c r="AA214">
        <v>2725.4816629909919</v>
      </c>
      <c r="AB214">
        <v>6.9007246959600765</v>
      </c>
      <c r="AC214">
        <v>2197.1848460139695</v>
      </c>
      <c r="AD214">
        <v>9.5565671616368117</v>
      </c>
      <c r="AE214">
        <v>2003.8734865349493</v>
      </c>
      <c r="AF214">
        <v>6.8938651920368041</v>
      </c>
      <c r="AG214">
        <v>2083.8668763667415</v>
      </c>
      <c r="AH214">
        <v>9.5487684181957846</v>
      </c>
      <c r="AI214">
        <v>1877.792336328818</v>
      </c>
      <c r="AJ214">
        <v>6.889337197105629</v>
      </c>
    </row>
    <row r="215" spans="4:36" x14ac:dyDescent="0.55000000000000004">
      <c r="D215">
        <v>208</v>
      </c>
      <c r="E215">
        <v>13.875300555189442</v>
      </c>
      <c r="F215">
        <v>0.4467997637913716</v>
      </c>
      <c r="G215">
        <v>0.15852343794469828</v>
      </c>
      <c r="H215">
        <v>15.519376243074481</v>
      </c>
      <c r="I215">
        <v>14.12185221153759</v>
      </c>
      <c r="J215">
        <v>0.2886182234394426</v>
      </c>
      <c r="K215">
        <v>0.10205704776079447</v>
      </c>
      <c r="L215">
        <v>15.487472517262166</v>
      </c>
      <c r="M215">
        <v>14.001456888694001</v>
      </c>
      <c r="N215">
        <v>0.36591144489124827</v>
      </c>
      <c r="O215">
        <v>0.12960031959798241</v>
      </c>
      <c r="P215">
        <v>15.50303134681676</v>
      </c>
      <c r="Q215">
        <v>13.925746637374976</v>
      </c>
      <c r="R215">
        <v>0.41446776874793906</v>
      </c>
      <c r="S215">
        <v>0.14695031625473531</v>
      </c>
      <c r="T215">
        <v>15.51283527762236</v>
      </c>
      <c r="U215">
        <v>1646.9135096608247</v>
      </c>
      <c r="V215">
        <v>10.911236325025399</v>
      </c>
      <c r="W215">
        <v>1352.0598074590255</v>
      </c>
      <c r="X215">
        <v>7.6876461974796451</v>
      </c>
      <c r="Y215">
        <v>2926.6960403517655</v>
      </c>
      <c r="Z215">
        <v>10.977006181006253</v>
      </c>
      <c r="AA215">
        <v>2745.3137118459995</v>
      </c>
      <c r="AB215">
        <v>7.7238549702054957</v>
      </c>
      <c r="AC215">
        <v>2287.34872040663</v>
      </c>
      <c r="AD215">
        <v>10.944901617492977</v>
      </c>
      <c r="AE215">
        <v>2056.6211280903253</v>
      </c>
      <c r="AF215">
        <v>7.706193105501514</v>
      </c>
      <c r="AG215">
        <v>2175.8898055004597</v>
      </c>
      <c r="AH215">
        <v>10.924701080741233</v>
      </c>
      <c r="AI215">
        <v>1930.2070355063865</v>
      </c>
      <c r="AJ215">
        <v>7.695067482219101</v>
      </c>
    </row>
    <row r="216" spans="4:36" x14ac:dyDescent="0.55000000000000004">
      <c r="D216">
        <v>209</v>
      </c>
      <c r="E216">
        <v>12.330900445568764</v>
      </c>
      <c r="F216">
        <v>0.4508816089482322</v>
      </c>
      <c r="G216">
        <v>0.16012479607804558</v>
      </c>
      <c r="H216">
        <v>17.058093149404947</v>
      </c>
      <c r="I216">
        <v>12.530057852959137</v>
      </c>
      <c r="J216">
        <v>0.30485776070527482</v>
      </c>
      <c r="K216">
        <v>0.10795106484772979</v>
      </c>
      <c r="L216">
        <v>17.057133321487868</v>
      </c>
      <c r="M216">
        <v>12.442297467649032</v>
      </c>
      <c r="N216">
        <v>0.36923291693604754</v>
      </c>
      <c r="O216">
        <v>0.13091399820713906</v>
      </c>
      <c r="P216">
        <v>17.05755561720779</v>
      </c>
      <c r="Q216">
        <v>12.425974226220188</v>
      </c>
      <c r="R216">
        <v>0.38120161720588336</v>
      </c>
      <c r="S216">
        <v>0.13518987892903672</v>
      </c>
      <c r="T216">
        <v>17.057634277644905</v>
      </c>
      <c r="U216">
        <v>1582.8651943649329</v>
      </c>
      <c r="V216">
        <v>9.7081383353690711</v>
      </c>
      <c r="W216">
        <v>1316.1075661989203</v>
      </c>
      <c r="X216">
        <v>6.9910149026404271</v>
      </c>
      <c r="Y216">
        <v>2903.5842265048973</v>
      </c>
      <c r="Z216">
        <v>9.7452386392540262</v>
      </c>
      <c r="AA216">
        <v>2733.7071902182688</v>
      </c>
      <c r="AB216">
        <v>7.01251988902834</v>
      </c>
      <c r="AC216">
        <v>2242.7689999846607</v>
      </c>
      <c r="AD216">
        <v>9.7288908365551361</v>
      </c>
      <c r="AE216">
        <v>2032.2897350001883</v>
      </c>
      <c r="AF216">
        <v>7.0030524629640549</v>
      </c>
      <c r="AG216">
        <v>2124.9373928350051</v>
      </c>
      <c r="AH216">
        <v>9.7258500494406057</v>
      </c>
      <c r="AI216">
        <v>1904.3581153684036</v>
      </c>
      <c r="AJ216">
        <v>7.0012899978412317</v>
      </c>
    </row>
    <row r="217" spans="4:36" x14ac:dyDescent="0.55000000000000004">
      <c r="D217">
        <v>210</v>
      </c>
      <c r="E217">
        <v>12.626621273447785</v>
      </c>
      <c r="F217">
        <v>0.47618295473446265</v>
      </c>
      <c r="G217">
        <v>0.17194881187130009</v>
      </c>
      <c r="H217">
        <v>16.725246959946453</v>
      </c>
      <c r="I217">
        <v>12.85931847427605</v>
      </c>
      <c r="J217">
        <v>0.30827936845367276</v>
      </c>
      <c r="K217">
        <v>0.11094191281102152</v>
      </c>
      <c r="L217">
        <v>16.721460244459266</v>
      </c>
      <c r="M217">
        <v>12.816660989945934</v>
      </c>
      <c r="N217">
        <v>0.33908306400801241</v>
      </c>
      <c r="O217">
        <v>0.12210286525691161</v>
      </c>
      <c r="P217">
        <v>16.722153080789152</v>
      </c>
      <c r="Q217">
        <v>12.75911499943148</v>
      </c>
      <c r="R217">
        <v>0.38062099968464647</v>
      </c>
      <c r="S217">
        <v>0.13717532163931387</v>
      </c>
      <c r="T217">
        <v>16.723088679244562</v>
      </c>
      <c r="U217">
        <v>1548.3426561062652</v>
      </c>
      <c r="V217">
        <v>9.99509210075548</v>
      </c>
      <c r="W217">
        <v>1289.8906340628273</v>
      </c>
      <c r="X217">
        <v>7.1622503457376121</v>
      </c>
      <c r="Y217">
        <v>2899.7302677944422</v>
      </c>
      <c r="Z217">
        <v>10.039941904305659</v>
      </c>
      <c r="AA217">
        <v>2731.1576218573373</v>
      </c>
      <c r="AB217">
        <v>7.1881402421588207</v>
      </c>
      <c r="AC217">
        <v>2190.4248855300993</v>
      </c>
      <c r="AD217">
        <v>10.031720629946719</v>
      </c>
      <c r="AE217">
        <v>1997.2705206709975</v>
      </c>
      <c r="AF217">
        <v>7.1834014376571185</v>
      </c>
      <c r="AG217">
        <v>2102.4368615476615</v>
      </c>
      <c r="AH217">
        <v>10.020629588005056</v>
      </c>
      <c r="AI217">
        <v>1888.6630663529643</v>
      </c>
      <c r="AJ217">
        <v>7.1770035360008499</v>
      </c>
    </row>
    <row r="218" spans="4:36" x14ac:dyDescent="0.55000000000000004">
      <c r="D218">
        <v>211</v>
      </c>
      <c r="E218">
        <v>14.346070063055505</v>
      </c>
      <c r="F218">
        <v>0.48683393511416428</v>
      </c>
      <c r="G218">
        <v>0.16005615951337573</v>
      </c>
      <c r="H218">
        <v>15.007039842316965</v>
      </c>
      <c r="I218">
        <v>14.593905559413624</v>
      </c>
      <c r="J218">
        <v>0.3273431510766045</v>
      </c>
      <c r="K218">
        <v>0.10728123537347667</v>
      </c>
      <c r="L218">
        <v>14.971470054136287</v>
      </c>
      <c r="M218">
        <v>14.476286270599928</v>
      </c>
      <c r="N218">
        <v>0.40308497516609004</v>
      </c>
      <c r="O218">
        <v>0.13230165870282021</v>
      </c>
      <c r="P218">
        <v>14.988327095531163</v>
      </c>
      <c r="Q218">
        <v>14.452312315417252</v>
      </c>
      <c r="R218">
        <v>0.41851220397847477</v>
      </c>
      <c r="S218">
        <v>0.13740719477299979</v>
      </c>
      <c r="T218">
        <v>14.991768285831272</v>
      </c>
      <c r="U218">
        <v>1671.2382440646534</v>
      </c>
      <c r="V218">
        <v>11.40104847735968</v>
      </c>
      <c r="W218">
        <v>1360.5609305616626</v>
      </c>
      <c r="X218">
        <v>7.9791666903943606</v>
      </c>
      <c r="Y218">
        <v>2957.9565804881381</v>
      </c>
      <c r="Z218">
        <v>11.469459777613382</v>
      </c>
      <c r="AA218">
        <v>2760.8702276876243</v>
      </c>
      <c r="AB218">
        <v>8.016473394601336</v>
      </c>
      <c r="AC218">
        <v>2341.521279441753</v>
      </c>
      <c r="AD218">
        <v>11.43700644603887</v>
      </c>
      <c r="AE218">
        <v>2087.4870472261041</v>
      </c>
      <c r="AF218">
        <v>7.9987879596371982</v>
      </c>
      <c r="AG218">
        <v>2226.4589394469726</v>
      </c>
      <c r="AH218">
        <v>11.430388559326015</v>
      </c>
      <c r="AI218">
        <v>1960.6309447974095</v>
      </c>
      <c r="AJ218">
        <v>7.9951788234154257</v>
      </c>
    </row>
    <row r="219" spans="4:36" x14ac:dyDescent="0.55000000000000004">
      <c r="D219">
        <v>212</v>
      </c>
      <c r="E219">
        <v>11.041116420850685</v>
      </c>
      <c r="F219">
        <v>0.45130723237410658</v>
      </c>
      <c r="G219">
        <v>0.18374496335854063</v>
      </c>
      <c r="H219">
        <v>18.32383138341665</v>
      </c>
      <c r="I219">
        <v>11.264850960400052</v>
      </c>
      <c r="J219">
        <v>0.26349725516166372</v>
      </c>
      <c r="K219">
        <v>0.10689537052430609</v>
      </c>
      <c r="L219">
        <v>18.364756413913977</v>
      </c>
      <c r="M219">
        <v>11.176151146263356</v>
      </c>
      <c r="N219">
        <v>0.33797913601529933</v>
      </c>
      <c r="O219">
        <v>0.13730562820150377</v>
      </c>
      <c r="P219">
        <v>18.348564089519847</v>
      </c>
      <c r="Q219">
        <v>11.160301375765021</v>
      </c>
      <c r="R219">
        <v>0.35128494404911859</v>
      </c>
      <c r="S219">
        <v>0.14274746396275662</v>
      </c>
      <c r="T219">
        <v>18.345666216223091</v>
      </c>
      <c r="U219">
        <v>1478.4702570936727</v>
      </c>
      <c r="V219">
        <v>8.7135322863365712</v>
      </c>
      <c r="W219">
        <v>1249.0554249398094</v>
      </c>
      <c r="X219">
        <v>6.4002349093533333</v>
      </c>
      <c r="Y219">
        <v>2826.0996656831112</v>
      </c>
      <c r="Z219">
        <v>8.7314234739266929</v>
      </c>
      <c r="AA219">
        <v>2686.4550268725566</v>
      </c>
      <c r="AB219">
        <v>6.4128524920367544</v>
      </c>
      <c r="AC219">
        <v>2162.703504085614</v>
      </c>
      <c r="AD219">
        <v>8.7243118129239186</v>
      </c>
      <c r="AE219">
        <v>1983.7618577076835</v>
      </c>
      <c r="AF219">
        <v>6.4078502558783645</v>
      </c>
      <c r="AG219">
        <v>2041.2966765128335</v>
      </c>
      <c r="AH219">
        <v>8.7230436012871451</v>
      </c>
      <c r="AI219">
        <v>1853.4955228982064</v>
      </c>
      <c r="AJ219">
        <v>6.4069564043729228</v>
      </c>
    </row>
    <row r="220" spans="4:36" x14ac:dyDescent="0.55000000000000004">
      <c r="D220">
        <v>213</v>
      </c>
      <c r="E220">
        <v>12.984818137524348</v>
      </c>
      <c r="F220">
        <v>0.47117653523524378</v>
      </c>
      <c r="G220">
        <v>0.1948922372662556</v>
      </c>
      <c r="H220">
        <v>16.34911308997415</v>
      </c>
      <c r="I220">
        <v>13.246826007847826</v>
      </c>
      <c r="J220">
        <v>0.28893968086578314</v>
      </c>
      <c r="K220">
        <v>0.11906421272800381</v>
      </c>
      <c r="L220">
        <v>16.345170098558373</v>
      </c>
      <c r="M220">
        <v>13.137006655645138</v>
      </c>
      <c r="N220">
        <v>0.36537535979197677</v>
      </c>
      <c r="O220">
        <v>0.15079815974361227</v>
      </c>
      <c r="P220">
        <v>16.346819824819267</v>
      </c>
      <c r="Q220">
        <v>13.076658106045713</v>
      </c>
      <c r="R220">
        <v>0.40734689603890456</v>
      </c>
      <c r="S220">
        <v>0.16826679378407736</v>
      </c>
      <c r="T220">
        <v>16.347728204131311</v>
      </c>
      <c r="U220">
        <v>1617.8330434060201</v>
      </c>
      <c r="V220">
        <v>10.398091474126712</v>
      </c>
      <c r="W220">
        <v>1332.1109723294071</v>
      </c>
      <c r="X220">
        <v>7.4109291564122852</v>
      </c>
      <c r="Y220">
        <v>2929.0718665732147</v>
      </c>
      <c r="Z220">
        <v>10.450325826014748</v>
      </c>
      <c r="AA220">
        <v>2748.5657826217353</v>
      </c>
      <c r="AB220">
        <v>7.4408247172873745</v>
      </c>
      <c r="AC220">
        <v>2246.8294343158109</v>
      </c>
      <c r="AD220">
        <v>10.428434009684425</v>
      </c>
      <c r="AE220">
        <v>2029.6631247197997</v>
      </c>
      <c r="AF220">
        <v>7.4283092045876344</v>
      </c>
      <c r="AG220">
        <v>2176.1669505726491</v>
      </c>
      <c r="AH220">
        <v>10.41640269283446</v>
      </c>
      <c r="AI220">
        <v>1932.8023466284387</v>
      </c>
      <c r="AJ220">
        <v>7.4214223883919574</v>
      </c>
    </row>
    <row r="221" spans="4:36" x14ac:dyDescent="0.55000000000000004">
      <c r="D221">
        <v>214</v>
      </c>
      <c r="E221">
        <v>13.191373489303004</v>
      </c>
      <c r="F221">
        <v>0.41461783720573669</v>
      </c>
      <c r="G221">
        <v>0.17108563805422783</v>
      </c>
      <c r="H221">
        <v>16.222923035437031</v>
      </c>
      <c r="I221">
        <v>13.396932496749038</v>
      </c>
      <c r="J221">
        <v>0.28219771574377789</v>
      </c>
      <c r="K221">
        <v>0.11609245920943903</v>
      </c>
      <c r="L221">
        <v>16.204777328297755</v>
      </c>
      <c r="M221">
        <v>13.254566170927578</v>
      </c>
      <c r="N221">
        <v>0.37394023636684293</v>
      </c>
      <c r="O221">
        <v>0.15415643697239062</v>
      </c>
      <c r="P221">
        <v>16.217337155733176</v>
      </c>
      <c r="Q221">
        <v>13.260732602488195</v>
      </c>
      <c r="R221">
        <v>0.36996938634743815</v>
      </c>
      <c r="S221">
        <v>0.15250557290887801</v>
      </c>
      <c r="T221">
        <v>16.216792438255489</v>
      </c>
      <c r="U221">
        <v>1560.4317398269436</v>
      </c>
      <c r="V221">
        <v>10.356855271659143</v>
      </c>
      <c r="W221">
        <v>1296.1305248073372</v>
      </c>
      <c r="X221">
        <v>7.3667571909860499</v>
      </c>
      <c r="Y221">
        <v>2918.1109483390956</v>
      </c>
      <c r="Z221">
        <v>10.404440730688123</v>
      </c>
      <c r="AA221">
        <v>2741.693774292773</v>
      </c>
      <c r="AB221">
        <v>7.3934752006049038</v>
      </c>
      <c r="AC221">
        <v>2266.9894554731995</v>
      </c>
      <c r="AD221">
        <v>10.371488245343963</v>
      </c>
      <c r="AE221">
        <v>2044.0496288854961</v>
      </c>
      <c r="AF221">
        <v>7.3749810193532692</v>
      </c>
      <c r="AG221">
        <v>2157.7592213190533</v>
      </c>
      <c r="AH221">
        <v>10.372915945648089</v>
      </c>
      <c r="AI221">
        <v>1923.2245702978096</v>
      </c>
      <c r="AJ221">
        <v>7.3757830238100519</v>
      </c>
    </row>
    <row r="222" spans="4:36" x14ac:dyDescent="0.55000000000000004">
      <c r="D222">
        <v>215</v>
      </c>
      <c r="E222">
        <v>12.227610424997193</v>
      </c>
      <c r="F222">
        <v>0.49527244363832945</v>
      </c>
      <c r="G222">
        <v>0.15683272963711486</v>
      </c>
      <c r="H222">
        <v>17.12028440172735</v>
      </c>
      <c r="I222">
        <v>12.453432882478868</v>
      </c>
      <c r="J222">
        <v>0.30872213406869498</v>
      </c>
      <c r="K222">
        <v>9.7438075084812642E-2</v>
      </c>
      <c r="L222">
        <v>17.140406908367634</v>
      </c>
      <c r="M222">
        <v>12.354175881248537</v>
      </c>
      <c r="N222">
        <v>0.39074353573849668</v>
      </c>
      <c r="O222">
        <v>0.12350351304428596</v>
      </c>
      <c r="P222">
        <v>17.131577069968667</v>
      </c>
      <c r="Q222">
        <v>12.292637514953711</v>
      </c>
      <c r="R222">
        <v>0.4415756444366617</v>
      </c>
      <c r="S222">
        <v>0.1396957474617187</v>
      </c>
      <c r="T222">
        <v>17.126091093147913</v>
      </c>
      <c r="U222">
        <v>1529.61831541775</v>
      </c>
      <c r="V222">
        <v>9.7311259424833914</v>
      </c>
      <c r="W222">
        <v>1277.5455637637376</v>
      </c>
      <c r="X222">
        <v>7.0127857698533909</v>
      </c>
      <c r="Y222">
        <v>2885.6305850988106</v>
      </c>
      <c r="Z222">
        <v>9.7610425291407985</v>
      </c>
      <c r="AA222">
        <v>2722.7357765328006</v>
      </c>
      <c r="AB222">
        <v>7.0311021014471908</v>
      </c>
      <c r="AC222">
        <v>2196.590095765202</v>
      </c>
      <c r="AD222">
        <v>9.7478846900567788</v>
      </c>
      <c r="AE222">
        <v>1999.9878875421061</v>
      </c>
      <c r="AF222">
        <v>7.0230568895411336</v>
      </c>
      <c r="AG222">
        <v>2096.2234157189678</v>
      </c>
      <c r="AH222">
        <v>9.7397335860644532</v>
      </c>
      <c r="AI222">
        <v>1881.9171008353867</v>
      </c>
      <c r="AJ222">
        <v>7.018064645068649</v>
      </c>
    </row>
    <row r="223" spans="4:36" x14ac:dyDescent="0.55000000000000004">
      <c r="D223">
        <v>216</v>
      </c>
      <c r="E223">
        <v>11.527843549161179</v>
      </c>
      <c r="F223">
        <v>0.42946862510577655</v>
      </c>
      <c r="G223">
        <v>0.16803712019318154</v>
      </c>
      <c r="H223">
        <v>17.87465070553985</v>
      </c>
      <c r="I223">
        <v>11.719155871625786</v>
      </c>
      <c r="J223">
        <v>0.27735645795633479</v>
      </c>
      <c r="K223">
        <v>0.1081934196520266</v>
      </c>
      <c r="L223">
        <v>17.895294250765865</v>
      </c>
      <c r="M223">
        <v>11.640408065140068</v>
      </c>
      <c r="N223">
        <v>0.33999047694969498</v>
      </c>
      <c r="O223">
        <v>0.13279047923622275</v>
      </c>
      <c r="P223">
        <v>17.886810978674017</v>
      </c>
      <c r="Q223">
        <v>11.604858075874185</v>
      </c>
      <c r="R223">
        <v>0.36825610339489867</v>
      </c>
      <c r="S223">
        <v>0.14391093816222134</v>
      </c>
      <c r="T223">
        <v>17.882974882568714</v>
      </c>
      <c r="U223">
        <v>1499.6042810831409</v>
      </c>
      <c r="V223">
        <v>9.1584869437316048</v>
      </c>
      <c r="W223">
        <v>1261.9414064221821</v>
      </c>
      <c r="X223">
        <v>6.6779042447289223</v>
      </c>
      <c r="Y223">
        <v>2871.0071158320038</v>
      </c>
      <c r="Z223">
        <v>9.181570001448927</v>
      </c>
      <c r="AA223">
        <v>2715.3769699823556</v>
      </c>
      <c r="AB223">
        <v>6.6924386557070532</v>
      </c>
      <c r="AC223">
        <v>2207.0596974777059</v>
      </c>
      <c r="AD223">
        <v>9.1720610803716536</v>
      </c>
      <c r="AE223">
        <v>2012.5887621915094</v>
      </c>
      <c r="AF223">
        <v>6.6864595205867294</v>
      </c>
      <c r="AG223">
        <v>2093.5434738031963</v>
      </c>
      <c r="AH223">
        <v>9.1677717872456608</v>
      </c>
      <c r="AI223">
        <v>1886.6490197798771</v>
      </c>
      <c r="AJ223">
        <v>6.6837586933915647</v>
      </c>
    </row>
    <row r="224" spans="4:36" x14ac:dyDescent="0.55000000000000004">
      <c r="D224">
        <v>217</v>
      </c>
      <c r="E224">
        <v>13.547328034342609</v>
      </c>
      <c r="F224">
        <v>0.52341543166074689</v>
      </c>
      <c r="G224">
        <v>0.20796831511358474</v>
      </c>
      <c r="H224">
        <v>15.721288218883075</v>
      </c>
      <c r="I224">
        <v>13.806604606790753</v>
      </c>
      <c r="J224">
        <v>0.33447674974593067</v>
      </c>
      <c r="K224">
        <v>0.1324322203948978</v>
      </c>
      <c r="L224">
        <v>15.726486423068408</v>
      </c>
      <c r="M224">
        <v>13.699762038818122</v>
      </c>
      <c r="N224">
        <v>0.41237980439608873</v>
      </c>
      <c r="O224">
        <v>0.16351202885836155</v>
      </c>
      <c r="P224">
        <v>15.724346127927442</v>
      </c>
      <c r="Q224">
        <v>13.682138056217049</v>
      </c>
      <c r="R224">
        <v>0.42522406095055243</v>
      </c>
      <c r="S224">
        <v>0.168645041457962</v>
      </c>
      <c r="T224">
        <v>15.723992841374425</v>
      </c>
      <c r="U224">
        <v>1650.8240844126246</v>
      </c>
      <c r="V224">
        <v>10.788165777908951</v>
      </c>
      <c r="W224">
        <v>1347.0958937917089</v>
      </c>
      <c r="X224">
        <v>7.6199522255927272</v>
      </c>
      <c r="Y224">
        <v>2971.958833285822</v>
      </c>
      <c r="Z224">
        <v>10.829733190183862</v>
      </c>
      <c r="AA224">
        <v>2772.614963108354</v>
      </c>
      <c r="AB224">
        <v>7.6437530557177329</v>
      </c>
      <c r="AC224">
        <v>2277.749255964392</v>
      </c>
      <c r="AD224">
        <v>10.812603694161099</v>
      </c>
      <c r="AE224">
        <v>2044.6400978094421</v>
      </c>
      <c r="AF224">
        <v>7.63395558569679</v>
      </c>
      <c r="AG224">
        <v>2170.4529088406548</v>
      </c>
      <c r="AH224">
        <v>10.809778191594789</v>
      </c>
      <c r="AI224">
        <v>1923.6676984294122</v>
      </c>
      <c r="AJ224">
        <v>7.6323380776467324</v>
      </c>
    </row>
    <row r="225" spans="4:36" x14ac:dyDescent="0.55000000000000004">
      <c r="D225">
        <v>218</v>
      </c>
      <c r="E225">
        <v>12.366447358059663</v>
      </c>
      <c r="F225">
        <v>0.40826714608108711</v>
      </c>
      <c r="G225">
        <v>0.13849789208586166</v>
      </c>
      <c r="H225">
        <v>17.086787603773388</v>
      </c>
      <c r="I225">
        <v>12.539332950875046</v>
      </c>
      <c r="J225">
        <v>0.27945750345762527</v>
      </c>
      <c r="K225">
        <v>9.4550432105930088E-2</v>
      </c>
      <c r="L225">
        <v>17.086659113561396</v>
      </c>
      <c r="M225">
        <v>12.440893223503963</v>
      </c>
      <c r="N225">
        <v>0.35282132037449054</v>
      </c>
      <c r="O225">
        <v>0.11955184855481917</v>
      </c>
      <c r="P225">
        <v>17.086733607566742</v>
      </c>
      <c r="Q225">
        <v>12.392067365154787</v>
      </c>
      <c r="R225">
        <v>0.3891894002223879</v>
      </c>
      <c r="S225">
        <v>0.13197398391307194</v>
      </c>
      <c r="T225">
        <v>17.086769250709761</v>
      </c>
      <c r="U225">
        <v>1497.3045935011573</v>
      </c>
      <c r="V225">
        <v>9.7171773779816171</v>
      </c>
      <c r="W225">
        <v>1260.0969608682922</v>
      </c>
      <c r="X225">
        <v>6.9987048673285361</v>
      </c>
      <c r="Y225">
        <v>2881.2760528917238</v>
      </c>
      <c r="Z225">
        <v>9.7495778498696684</v>
      </c>
      <c r="AA225">
        <v>2721.4752284607125</v>
      </c>
      <c r="AB225">
        <v>7.0176379519480276</v>
      </c>
      <c r="AC225">
        <v>2207.9404566519479</v>
      </c>
      <c r="AD225">
        <v>9.7311285132761753</v>
      </c>
      <c r="AE225">
        <v>2010.7036833744964</v>
      </c>
      <c r="AF225">
        <v>7.0068639211999768</v>
      </c>
      <c r="AG225">
        <v>2100.1338466247385</v>
      </c>
      <c r="AH225">
        <v>9.7219784301892904</v>
      </c>
      <c r="AI225">
        <v>1888.3095279146717</v>
      </c>
      <c r="AJ225">
        <v>7.0015138334411677</v>
      </c>
    </row>
    <row r="226" spans="4:36" x14ac:dyDescent="0.55000000000000004">
      <c r="D226">
        <v>219</v>
      </c>
      <c r="E226">
        <v>12.254371727750208</v>
      </c>
      <c r="F226">
        <v>0.44944290546524784</v>
      </c>
      <c r="G226">
        <v>0.18921304438884715</v>
      </c>
      <c r="H226">
        <v>17.106972322395691</v>
      </c>
      <c r="I226">
        <v>12.453851387753774</v>
      </c>
      <c r="J226">
        <v>0.30209872925868164</v>
      </c>
      <c r="K226">
        <v>0.12679277835682473</v>
      </c>
      <c r="L226">
        <v>17.117257104630706</v>
      </c>
      <c r="M226">
        <v>12.385782984815831</v>
      </c>
      <c r="N226">
        <v>0.35240271343819046</v>
      </c>
      <c r="O226">
        <v>0.14805975185587128</v>
      </c>
      <c r="P226">
        <v>17.113754549890096</v>
      </c>
      <c r="Q226">
        <v>12.349791420322321</v>
      </c>
      <c r="R226">
        <v>0.37899048937675517</v>
      </c>
      <c r="S226">
        <v>0.15931842231014792</v>
      </c>
      <c r="T226">
        <v>17.11189966799077</v>
      </c>
      <c r="U226">
        <v>1538.531392279117</v>
      </c>
      <c r="V226">
        <v>9.6944021311132591</v>
      </c>
      <c r="W226">
        <v>1283.2674535807537</v>
      </c>
      <c r="X226">
        <v>6.9850692751981507</v>
      </c>
      <c r="Y226">
        <v>2915.2080119999882</v>
      </c>
      <c r="Z226">
        <v>9.7244616984413046</v>
      </c>
      <c r="AA226">
        <v>2741.8174091249953</v>
      </c>
      <c r="AB226">
        <v>7.0030839795826214</v>
      </c>
      <c r="AC226">
        <v>2233.4529757751629</v>
      </c>
      <c r="AD226">
        <v>9.7142005298963987</v>
      </c>
      <c r="AE226">
        <v>2026.2938163811157</v>
      </c>
      <c r="AF226">
        <v>6.9969421240319303</v>
      </c>
      <c r="AG226">
        <v>2112.2584861489422</v>
      </c>
      <c r="AH226">
        <v>9.708776524008611</v>
      </c>
      <c r="AI226">
        <v>1894.6947956345468</v>
      </c>
      <c r="AJ226">
        <v>6.9936923740447581</v>
      </c>
    </row>
    <row r="227" spans="4:36" x14ac:dyDescent="0.55000000000000004">
      <c r="D227">
        <v>220</v>
      </c>
      <c r="E227">
        <v>12.116037357922911</v>
      </c>
      <c r="F227">
        <v>0.46910772367967879</v>
      </c>
      <c r="G227">
        <v>0.16495416978249097</v>
      </c>
      <c r="H227">
        <v>17.249900748614898</v>
      </c>
      <c r="I227">
        <v>12.288575370685896</v>
      </c>
      <c r="J227">
        <v>0.3264907569376867</v>
      </c>
      <c r="K227">
        <v>0.11451318519137518</v>
      </c>
      <c r="L227">
        <v>17.270420687185048</v>
      </c>
      <c r="M227">
        <v>12.228859103847636</v>
      </c>
      <c r="N227">
        <v>0.37586515052550945</v>
      </c>
      <c r="O227">
        <v>0.13194655092024291</v>
      </c>
      <c r="P227">
        <v>17.263329194706596</v>
      </c>
      <c r="Q227">
        <v>12.199525888880178</v>
      </c>
      <c r="R227">
        <v>0.40011294474238662</v>
      </c>
      <c r="S227">
        <v>0.14051946305817514</v>
      </c>
      <c r="T227">
        <v>17.25984170331925</v>
      </c>
      <c r="U227">
        <v>1509.3225352739332</v>
      </c>
      <c r="V227">
        <v>9.5644122854434599</v>
      </c>
      <c r="W227">
        <v>1264.8058112745655</v>
      </c>
      <c r="X227">
        <v>6.9056915196203228</v>
      </c>
      <c r="Y227">
        <v>2878.7874793815131</v>
      </c>
      <c r="Z227">
        <v>9.5849563187145073</v>
      </c>
      <c r="AA227">
        <v>2716.4356011632362</v>
      </c>
      <c r="AB227">
        <v>6.9186295536473166</v>
      </c>
      <c r="AC227">
        <v>2182.4286593661218</v>
      </c>
      <c r="AD227">
        <v>9.5778396176852389</v>
      </c>
      <c r="AE227">
        <v>1990.8665941612301</v>
      </c>
      <c r="AF227">
        <v>6.9141536664809102</v>
      </c>
      <c r="AG227">
        <v>2083.7954581203394</v>
      </c>
      <c r="AH227">
        <v>9.5743462622612476</v>
      </c>
      <c r="AI227">
        <v>1876.0501464161155</v>
      </c>
      <c r="AJ227">
        <v>6.9119542830700329</v>
      </c>
    </row>
    <row r="228" spans="4:36" x14ac:dyDescent="0.55000000000000004">
      <c r="D228">
        <v>221</v>
      </c>
      <c r="E228">
        <v>12.950244034559313</v>
      </c>
      <c r="F228">
        <v>0.48031240969467259</v>
      </c>
      <c r="G228">
        <v>0.19088790328094574</v>
      </c>
      <c r="H228">
        <v>16.378555652465057</v>
      </c>
      <c r="I228">
        <v>13.195720568824434</v>
      </c>
      <c r="J228">
        <v>0.30303672502738449</v>
      </c>
      <c r="K228">
        <v>0.11999930087272877</v>
      </c>
      <c r="L228">
        <v>16.381243405275463</v>
      </c>
      <c r="M228">
        <v>13.081431970422281</v>
      </c>
      <c r="N228">
        <v>0.38561619538186026</v>
      </c>
      <c r="O228">
        <v>0.15295620593100684</v>
      </c>
      <c r="P228">
        <v>16.379995628264869</v>
      </c>
      <c r="Q228">
        <v>13.04273869973059</v>
      </c>
      <c r="R228">
        <v>0.41355689584791655</v>
      </c>
      <c r="S228">
        <v>0.16413262928647909</v>
      </c>
      <c r="T228">
        <v>16.37957177513502</v>
      </c>
      <c r="U228">
        <v>1557.7085538755061</v>
      </c>
      <c r="V228">
        <v>10.275313614017705</v>
      </c>
      <c r="W228">
        <v>1288.7866506481444</v>
      </c>
      <c r="X228">
        <v>7.3251645427112404</v>
      </c>
      <c r="Y228">
        <v>2923.1524568801851</v>
      </c>
      <c r="Z228">
        <v>10.318270858687917</v>
      </c>
      <c r="AA228">
        <v>2743.5756534035927</v>
      </c>
      <c r="AB228">
        <v>7.3500750707164642</v>
      </c>
      <c r="AC228">
        <v>2273.1575477021802</v>
      </c>
      <c r="AD228">
        <v>10.298269058050879</v>
      </c>
      <c r="AE228">
        <v>2047.369908554861</v>
      </c>
      <c r="AF228">
        <v>7.3384881648793137</v>
      </c>
      <c r="AG228">
        <v>2148.6157270709391</v>
      </c>
      <c r="AH228">
        <v>10.291498016707452</v>
      </c>
      <c r="AI228">
        <v>1913.0664425796426</v>
      </c>
      <c r="AJ228">
        <v>7.3345610445646674</v>
      </c>
    </row>
    <row r="229" spans="4:36" x14ac:dyDescent="0.55000000000000004">
      <c r="D229">
        <v>222</v>
      </c>
      <c r="E229">
        <v>12.359340606447127</v>
      </c>
      <c r="F229">
        <v>0.45017256230983599</v>
      </c>
      <c r="G229">
        <v>0.17416071821984613</v>
      </c>
      <c r="H229">
        <v>17.016326113023194</v>
      </c>
      <c r="I229">
        <v>12.571326986602164</v>
      </c>
      <c r="J229">
        <v>0.28889480024036002</v>
      </c>
      <c r="K229">
        <v>0.11141305264100552</v>
      </c>
      <c r="L229">
        <v>17.028365160516469</v>
      </c>
      <c r="M229">
        <v>12.460698875113682</v>
      </c>
      <c r="N229">
        <v>0.37308988257906966</v>
      </c>
      <c r="O229">
        <v>0.14412020817330526</v>
      </c>
      <c r="P229">
        <v>17.022091034133943</v>
      </c>
      <c r="Q229">
        <v>12.451743721110221</v>
      </c>
      <c r="R229">
        <v>0.37990247470490257</v>
      </c>
      <c r="S229">
        <v>0.14677147010637817</v>
      </c>
      <c r="T229">
        <v>17.021582334078495</v>
      </c>
      <c r="U229">
        <v>1578.6411379853696</v>
      </c>
      <c r="V229">
        <v>9.7227613941783222</v>
      </c>
      <c r="W229">
        <v>1310.6405821648168</v>
      </c>
      <c r="X229">
        <v>6.9952795024964738</v>
      </c>
      <c r="Y229">
        <v>2926.5478404295059</v>
      </c>
      <c r="Z229">
        <v>9.7535296131832538</v>
      </c>
      <c r="AA229">
        <v>2750.0762375035397</v>
      </c>
      <c r="AB229">
        <v>7.0137125140539194</v>
      </c>
      <c r="AC229">
        <v>2236.2716868221346</v>
      </c>
      <c r="AD229">
        <v>9.737467864503806</v>
      </c>
      <c r="AE229">
        <v>2025.2895243037258</v>
      </c>
      <c r="AF229">
        <v>7.0040992160730564</v>
      </c>
      <c r="AG229">
        <v>2125.3609436275879</v>
      </c>
      <c r="AH229">
        <v>9.7361681614730458</v>
      </c>
      <c r="AI229">
        <v>1902.732486392659</v>
      </c>
      <c r="AJ229">
        <v>7.0033204437952916</v>
      </c>
    </row>
    <row r="230" spans="4:36" x14ac:dyDescent="0.55000000000000004">
      <c r="D230">
        <v>223</v>
      </c>
      <c r="E230">
        <v>12.616216052414735</v>
      </c>
      <c r="F230">
        <v>0.47537838582982156</v>
      </c>
      <c r="G230">
        <v>0.18450969423556166</v>
      </c>
      <c r="H230">
        <v>16.723895867519875</v>
      </c>
      <c r="I230">
        <v>12.83804751545391</v>
      </c>
      <c r="J230">
        <v>0.30748562427736142</v>
      </c>
      <c r="K230">
        <v>0.11897778405031843</v>
      </c>
      <c r="L230">
        <v>16.735489076218411</v>
      </c>
      <c r="M230">
        <v>12.766468269688062</v>
      </c>
      <c r="N230">
        <v>0.36168899569294966</v>
      </c>
      <c r="O230">
        <v>0.14008970619609662</v>
      </c>
      <c r="P230">
        <v>16.731753028422901</v>
      </c>
      <c r="Q230">
        <v>12.707365595400201</v>
      </c>
      <c r="R230">
        <v>0.40642391281743595</v>
      </c>
      <c r="S230">
        <v>0.15754572422836222</v>
      </c>
      <c r="T230">
        <v>16.728664767553987</v>
      </c>
      <c r="U230">
        <v>1568.5675300978955</v>
      </c>
      <c r="V230">
        <v>9.9370656011967018</v>
      </c>
      <c r="W230">
        <v>1300.9558708622812</v>
      </c>
      <c r="X230">
        <v>7.1195860533765769</v>
      </c>
      <c r="Y230">
        <v>2897.7014642631525</v>
      </c>
      <c r="Z230">
        <v>9.9707866952866002</v>
      </c>
      <c r="AA230">
        <v>2727.5038149281363</v>
      </c>
      <c r="AB230">
        <v>7.1394980069555487</v>
      </c>
      <c r="AC230">
        <v>2237.5679745086913</v>
      </c>
      <c r="AD230">
        <v>9.9599029226630957</v>
      </c>
      <c r="AE230">
        <v>2026.9199760239935</v>
      </c>
      <c r="AF230">
        <v>7.1330795117030474</v>
      </c>
      <c r="AG230">
        <v>2115.0008613823711</v>
      </c>
      <c r="AH230">
        <v>9.9509182810130064</v>
      </c>
      <c r="AI230">
        <v>1892.8329358160227</v>
      </c>
      <c r="AJ230">
        <v>7.1277750872530161</v>
      </c>
    </row>
    <row r="231" spans="4:36" x14ac:dyDescent="0.55000000000000004">
      <c r="D231">
        <v>224</v>
      </c>
      <c r="E231">
        <v>11.504010830544013</v>
      </c>
      <c r="F231">
        <v>0.43820667175496786</v>
      </c>
      <c r="G231">
        <v>0.16511382768713997</v>
      </c>
      <c r="H231">
        <v>17.892668670013883</v>
      </c>
      <c r="I231">
        <v>11.714123016457128</v>
      </c>
      <c r="J231">
        <v>0.27091787367464171</v>
      </c>
      <c r="K231">
        <v>0.10174969330502183</v>
      </c>
      <c r="L231">
        <v>17.913209416563223</v>
      </c>
      <c r="M231">
        <v>11.627047459327322</v>
      </c>
      <c r="N231">
        <v>0.34027257063316213</v>
      </c>
      <c r="O231">
        <v>0.12796872664128078</v>
      </c>
      <c r="P231">
        <v>17.904711243398236</v>
      </c>
      <c r="Q231">
        <v>11.611961669792047</v>
      </c>
      <c r="R231">
        <v>0.3522844803477963</v>
      </c>
      <c r="S231">
        <v>0.13251697343969851</v>
      </c>
      <c r="T231">
        <v>17.903236876420461</v>
      </c>
      <c r="U231">
        <v>1490.2301172026823</v>
      </c>
      <c r="V231">
        <v>9.0390226398201072</v>
      </c>
      <c r="W231">
        <v>1255.6934886821364</v>
      </c>
      <c r="X231">
        <v>6.5931648246727459</v>
      </c>
      <c r="Y231">
        <v>2845.3819377853788</v>
      </c>
      <c r="Z231">
        <v>9.0657802427990681</v>
      </c>
      <c r="AA231">
        <v>2698.0247843762163</v>
      </c>
      <c r="AB231">
        <v>6.6098865354663312</v>
      </c>
      <c r="AC231">
        <v>2191.8705353567375</v>
      </c>
      <c r="AD231">
        <v>9.0546830135697753</v>
      </c>
      <c r="AE231">
        <v>2002.5005608117337</v>
      </c>
      <c r="AF231">
        <v>6.6029615336685676</v>
      </c>
      <c r="AG231">
        <v>2068.8663274269052</v>
      </c>
      <c r="AH231">
        <v>9.0527616042213968</v>
      </c>
      <c r="AI231">
        <v>1871.0386450212457</v>
      </c>
      <c r="AJ231">
        <v>6.6017610834913336</v>
      </c>
    </row>
    <row r="232" spans="4:36" x14ac:dyDescent="0.55000000000000004">
      <c r="D232">
        <v>225</v>
      </c>
      <c r="E232">
        <v>12.522635177343206</v>
      </c>
      <c r="F232">
        <v>0.40980748256264382</v>
      </c>
      <c r="G232">
        <v>0.15426014693630577</v>
      </c>
      <c r="H232">
        <v>16.913297193157838</v>
      </c>
      <c r="I232">
        <v>12.74804258171946</v>
      </c>
      <c r="J232">
        <v>0.26065016652589834</v>
      </c>
      <c r="K232">
        <v>9.7769881655355911E-2</v>
      </c>
      <c r="L232">
        <v>16.893537370099292</v>
      </c>
      <c r="M232">
        <v>12.649416151485374</v>
      </c>
      <c r="N232">
        <v>0.32595623804747698</v>
      </c>
      <c r="O232">
        <v>0.12245361853622128</v>
      </c>
      <c r="P232">
        <v>16.902173991930926</v>
      </c>
      <c r="Q232">
        <v>12.614833700757048</v>
      </c>
      <c r="R232">
        <v>0.34883954149064328</v>
      </c>
      <c r="S232">
        <v>0.13112102030093847</v>
      </c>
      <c r="T232">
        <v>16.905205737451357</v>
      </c>
      <c r="U232">
        <v>1535.269250831019</v>
      </c>
      <c r="V232">
        <v>9.905960244672432</v>
      </c>
      <c r="W232">
        <v>1283.6064252658491</v>
      </c>
      <c r="X232">
        <v>7.1184946516824485</v>
      </c>
      <c r="Y232">
        <v>2892.6735652648226</v>
      </c>
      <c r="Z232">
        <v>9.9607204714791582</v>
      </c>
      <c r="AA232">
        <v>2728.5377345534039</v>
      </c>
      <c r="AB232">
        <v>7.1496331905136987</v>
      </c>
      <c r="AC232">
        <v>2215.8980040765123</v>
      </c>
      <c r="AD232">
        <v>9.9367657410119712</v>
      </c>
      <c r="AE232">
        <v>2015.2874336360251</v>
      </c>
      <c r="AF232">
        <v>7.1360244116007951</v>
      </c>
      <c r="AG232">
        <v>2103.9587508068439</v>
      </c>
      <c r="AH232">
        <v>9.9283642272084052</v>
      </c>
      <c r="AI232">
        <v>1890.6864937135549</v>
      </c>
      <c r="AJ232">
        <v>7.1312468185386679</v>
      </c>
    </row>
    <row r="233" spans="4:36" x14ac:dyDescent="0.55000000000000004">
      <c r="D233">
        <v>226</v>
      </c>
      <c r="E233">
        <v>12.253057929215613</v>
      </c>
      <c r="F233">
        <v>0.48508122235084822</v>
      </c>
      <c r="G233">
        <v>0.16770447280770917</v>
      </c>
      <c r="H233">
        <v>17.094156375625829</v>
      </c>
      <c r="I233">
        <v>12.457827181837754</v>
      </c>
      <c r="J233">
        <v>0.32014861585780402</v>
      </c>
      <c r="K233">
        <v>0.11034590591909246</v>
      </c>
      <c r="L233">
        <v>17.111678296385346</v>
      </c>
      <c r="M233">
        <v>12.395097406424172</v>
      </c>
      <c r="N233">
        <v>0.37069488593284594</v>
      </c>
      <c r="O233">
        <v>0.12788668913753992</v>
      </c>
      <c r="P233">
        <v>17.106321018505451</v>
      </c>
      <c r="Q233">
        <v>12.343435112545885</v>
      </c>
      <c r="R233">
        <v>0.41230987018264875</v>
      </c>
      <c r="S233">
        <v>0.1423529939565418</v>
      </c>
      <c r="T233">
        <v>17.101902023314917</v>
      </c>
      <c r="U233">
        <v>1567.334752130718</v>
      </c>
      <c r="V233">
        <v>9.7160360126202931</v>
      </c>
      <c r="W233">
        <v>1298.5397096597926</v>
      </c>
      <c r="X233">
        <v>6.9993293151751255</v>
      </c>
      <c r="Y233">
        <v>2921.150074227492</v>
      </c>
      <c r="Z233">
        <v>9.7442473374096128</v>
      </c>
      <c r="AA233">
        <v>2742.8975294071597</v>
      </c>
      <c r="AB233">
        <v>7.0165921281380097</v>
      </c>
      <c r="AC233">
        <v>2239.026388869222</v>
      </c>
      <c r="AD233">
        <v>9.7355987495854652</v>
      </c>
      <c r="AE233">
        <v>2026.7969607303428</v>
      </c>
      <c r="AF233">
        <v>7.0113077879899199</v>
      </c>
      <c r="AG233">
        <v>2149.2996537541426</v>
      </c>
      <c r="AH233">
        <v>9.7284801555523508</v>
      </c>
      <c r="AI233">
        <v>1916.5327081838318</v>
      </c>
      <c r="AJ233">
        <v>7.0069531192779095</v>
      </c>
    </row>
    <row r="234" spans="4:36" x14ac:dyDescent="0.55000000000000004">
      <c r="D234">
        <v>227</v>
      </c>
      <c r="E234">
        <v>15.926342937612311</v>
      </c>
      <c r="F234">
        <v>0.5602145567855541</v>
      </c>
      <c r="G234">
        <v>0.19249918766041973</v>
      </c>
      <c r="H234">
        <v>13.320943317941724</v>
      </c>
      <c r="I234">
        <v>16.211486745624907</v>
      </c>
      <c r="J234">
        <v>0.38204090504377253</v>
      </c>
      <c r="K234">
        <v>0.13084736264136182</v>
      </c>
      <c r="L234">
        <v>13.275624986689948</v>
      </c>
      <c r="M234">
        <v>16.126886223795939</v>
      </c>
      <c r="N234">
        <v>0.43495671918253231</v>
      </c>
      <c r="O234">
        <v>0.14911453437708036</v>
      </c>
      <c r="P234">
        <v>13.289042522644429</v>
      </c>
      <c r="Q234">
        <v>16.049448884696535</v>
      </c>
      <c r="R234">
        <v>0.48335326875567841</v>
      </c>
      <c r="S234">
        <v>0.16585312230375096</v>
      </c>
      <c r="T234">
        <v>13.301344724244043</v>
      </c>
      <c r="U234">
        <v>1755.0836437911601</v>
      </c>
      <c r="V234">
        <v>12.573999908624018</v>
      </c>
      <c r="W234">
        <v>1409.1841703191606</v>
      </c>
      <c r="X234">
        <v>8.6197845010803</v>
      </c>
      <c r="Y234">
        <v>3013.2311858587314</v>
      </c>
      <c r="Z234">
        <v>12.652569430299264</v>
      </c>
      <c r="AA234">
        <v>2792.929954240979</v>
      </c>
      <c r="AB234">
        <v>8.6616212731956725</v>
      </c>
      <c r="AC234">
        <v>2359.587844555967</v>
      </c>
      <c r="AD234">
        <v>12.629274758004227</v>
      </c>
      <c r="AE234">
        <v>2094.0552809155101</v>
      </c>
      <c r="AF234">
        <v>8.64922804632854</v>
      </c>
      <c r="AG234">
        <v>2271.9562172482151</v>
      </c>
      <c r="AH234">
        <v>12.607940342488492</v>
      </c>
      <c r="AI234">
        <v>1984.0072163175189</v>
      </c>
      <c r="AJ234">
        <v>8.6378698029081669</v>
      </c>
    </row>
    <row r="235" spans="4:36" x14ac:dyDescent="0.55000000000000004">
      <c r="D235">
        <v>228</v>
      </c>
      <c r="E235">
        <v>12.553426947339981</v>
      </c>
      <c r="F235">
        <v>0.428003776232598</v>
      </c>
      <c r="G235">
        <v>0.14694607122036155</v>
      </c>
      <c r="H235">
        <v>16.871623205207072</v>
      </c>
      <c r="I235">
        <v>12.760624975864777</v>
      </c>
      <c r="J235">
        <v>0.27936411377099318</v>
      </c>
      <c r="K235">
        <v>9.5622778865298644E-2</v>
      </c>
      <c r="L235">
        <v>16.864388131498931</v>
      </c>
      <c r="M235">
        <v>12.685821229373607</v>
      </c>
      <c r="N235">
        <v>0.33305658262384374</v>
      </c>
      <c r="O235">
        <v>0.11412561405024343</v>
      </c>
      <c r="P235">
        <v>16.866996573952303</v>
      </c>
      <c r="Q235">
        <v>12.593366287475877</v>
      </c>
      <c r="R235">
        <v>0.39937225710675339</v>
      </c>
      <c r="S235">
        <v>0.13703531587991385</v>
      </c>
      <c r="T235">
        <v>16.870226139537447</v>
      </c>
      <c r="U235">
        <v>1516.2665593940867</v>
      </c>
      <c r="V235">
        <v>9.9456296181822665</v>
      </c>
      <c r="W235">
        <v>1269.1868891514121</v>
      </c>
      <c r="X235">
        <v>7.1416515764393464</v>
      </c>
      <c r="Y235">
        <v>2896.0368777896947</v>
      </c>
      <c r="Z235">
        <v>9.989112424068999</v>
      </c>
      <c r="AA235">
        <v>2730.0037386652621</v>
      </c>
      <c r="AB235">
        <v>7.1665914972114768</v>
      </c>
      <c r="AC235">
        <v>2209.9393299254816</v>
      </c>
      <c r="AD235">
        <v>9.9734162118729284</v>
      </c>
      <c r="AE235">
        <v>2011.0368228435614</v>
      </c>
      <c r="AF235">
        <v>7.1575978347273823</v>
      </c>
      <c r="AG235">
        <v>2138.0203597145082</v>
      </c>
      <c r="AH235">
        <v>9.9540128101481216</v>
      </c>
      <c r="AI235">
        <v>1912.0459735134298</v>
      </c>
      <c r="AJ235">
        <v>7.146465942263581</v>
      </c>
    </row>
    <row r="236" spans="4:36" x14ac:dyDescent="0.55000000000000004">
      <c r="D236">
        <v>229</v>
      </c>
      <c r="E236">
        <v>11.290080776176481</v>
      </c>
      <c r="F236">
        <v>0.42764196694919732</v>
      </c>
      <c r="G236">
        <v>0.14817792191608781</v>
      </c>
      <c r="H236">
        <v>18.134099334958233</v>
      </c>
      <c r="I236">
        <v>11.449538265481351</v>
      </c>
      <c r="J236">
        <v>0.29251202842271107</v>
      </c>
      <c r="K236">
        <v>0.10110439311139881</v>
      </c>
      <c r="L236">
        <v>18.156845312984522</v>
      </c>
      <c r="M236">
        <v>11.377212578313809</v>
      </c>
      <c r="N236">
        <v>0.35381553572273977</v>
      </c>
      <c r="O236">
        <v>0.12243064978418269</v>
      </c>
      <c r="P236">
        <v>18.146541236179271</v>
      </c>
      <c r="Q236">
        <v>11.338235008109049</v>
      </c>
      <c r="R236">
        <v>0.3868447119569649</v>
      </c>
      <c r="S236">
        <v>0.13394094941956106</v>
      </c>
      <c r="T236">
        <v>18.140979330514419</v>
      </c>
      <c r="U236">
        <v>1453.9387790917583</v>
      </c>
      <c r="V236">
        <v>8.9756464128760971</v>
      </c>
      <c r="W236">
        <v>1233.7116003073058</v>
      </c>
      <c r="X236">
        <v>6.5727878384947855</v>
      </c>
      <c r="Y236">
        <v>2850.7285085674871</v>
      </c>
      <c r="Z236">
        <v>8.9947972257467654</v>
      </c>
      <c r="AA236">
        <v>2702.6932024128746</v>
      </c>
      <c r="AB236">
        <v>6.5851872528437232</v>
      </c>
      <c r="AC236">
        <v>2144.9552556542703</v>
      </c>
      <c r="AD236">
        <v>8.9861036533931244</v>
      </c>
      <c r="AE236">
        <v>1970.0154198636069</v>
      </c>
      <c r="AF236">
        <v>6.5795652748439917</v>
      </c>
      <c r="AG236">
        <v>2045.6648116068282</v>
      </c>
      <c r="AH236">
        <v>8.9814235319488578</v>
      </c>
      <c r="AI236">
        <v>1854.4721998557279</v>
      </c>
      <c r="AJ236">
        <v>6.5765340740078368</v>
      </c>
    </row>
    <row r="237" spans="4:36" x14ac:dyDescent="0.55000000000000004">
      <c r="D237">
        <v>230</v>
      </c>
      <c r="E237">
        <v>12.625994673095523</v>
      </c>
      <c r="F237">
        <v>0.42666731085377174</v>
      </c>
      <c r="G237">
        <v>0.15401812071533427</v>
      </c>
      <c r="H237">
        <v>16.793319895335362</v>
      </c>
      <c r="I237">
        <v>12.810906334975332</v>
      </c>
      <c r="J237">
        <v>0.294796273939814</v>
      </c>
      <c r="K237">
        <v>0.10612889642676825</v>
      </c>
      <c r="L237">
        <v>16.788168494658088</v>
      </c>
      <c r="M237">
        <v>12.727563720607609</v>
      </c>
      <c r="N237">
        <v>0.35425832399312018</v>
      </c>
      <c r="O237">
        <v>0.12769023067778365</v>
      </c>
      <c r="P237">
        <v>16.790487724721494</v>
      </c>
      <c r="Q237">
        <v>12.675149660467389</v>
      </c>
      <c r="R237">
        <v>0.39163237618711144</v>
      </c>
      <c r="S237">
        <v>0.14126950653922593</v>
      </c>
      <c r="T237">
        <v>16.791948456806281</v>
      </c>
      <c r="U237">
        <v>1510.0433367230046</v>
      </c>
      <c r="V237">
        <v>9.9799918205546039</v>
      </c>
      <c r="W237">
        <v>1265.089332879448</v>
      </c>
      <c r="X237">
        <v>7.1574843323152892</v>
      </c>
      <c r="Y237">
        <v>2884.1008526483683</v>
      </c>
      <c r="Z237">
        <v>10.017477702106698</v>
      </c>
      <c r="AA237">
        <v>2720.4232482165257</v>
      </c>
      <c r="AB237">
        <v>7.179059711227251</v>
      </c>
      <c r="AC237">
        <v>2209.9111416296105</v>
      </c>
      <c r="AD237">
        <v>10.00058331830008</v>
      </c>
      <c r="AE237">
        <v>2009.6445651984225</v>
      </c>
      <c r="AF237">
        <v>7.1693435541421646</v>
      </c>
      <c r="AG237">
        <v>2136.2194047633438</v>
      </c>
      <c r="AH237">
        <v>9.9899575424645644</v>
      </c>
      <c r="AI237">
        <v>1911.6112239821064</v>
      </c>
      <c r="AJ237">
        <v>7.1632261920755731</v>
      </c>
    </row>
    <row r="238" spans="4:36" x14ac:dyDescent="0.55000000000000004">
      <c r="D238">
        <v>231</v>
      </c>
      <c r="E238">
        <v>14.689175901669351</v>
      </c>
      <c r="F238">
        <v>0.53309524888147308</v>
      </c>
      <c r="G238">
        <v>0.17521090633361641</v>
      </c>
      <c r="H238">
        <v>14.602517943115563</v>
      </c>
      <c r="I238">
        <v>14.932853018699968</v>
      </c>
      <c r="J238">
        <v>0.36226645480525743</v>
      </c>
      <c r="K238">
        <v>0.11871289650443358</v>
      </c>
      <c r="L238">
        <v>14.586167629990333</v>
      </c>
      <c r="M238">
        <v>14.82326333351021</v>
      </c>
      <c r="N238">
        <v>0.43913539035013899</v>
      </c>
      <c r="O238">
        <v>0.14409355754987901</v>
      </c>
      <c r="P238">
        <v>14.593507718589779</v>
      </c>
      <c r="Q238">
        <v>14.776139846803874</v>
      </c>
      <c r="R238">
        <v>0.47216815168941334</v>
      </c>
      <c r="S238">
        <v>0.15502144241790794</v>
      </c>
      <c r="T238">
        <v>14.596670559088798</v>
      </c>
      <c r="U238">
        <v>1696.801904385565</v>
      </c>
      <c r="V238">
        <v>11.580069002338787</v>
      </c>
      <c r="W238">
        <v>1371.8892672209058</v>
      </c>
      <c r="X238">
        <v>8.0615251177054592</v>
      </c>
      <c r="Y238">
        <v>3026.0639170801464</v>
      </c>
      <c r="Z238">
        <v>11.635581383762235</v>
      </c>
      <c r="AA238">
        <v>2803.929673393613</v>
      </c>
      <c r="AB238">
        <v>8.0920144657009985</v>
      </c>
      <c r="AC238">
        <v>2337.0067473991726</v>
      </c>
      <c r="AD238">
        <v>11.610623215684731</v>
      </c>
      <c r="AE238">
        <v>2079.1198037256704</v>
      </c>
      <c r="AF238">
        <v>8.0783165182444527</v>
      </c>
      <c r="AG238">
        <v>2275.9509732596694</v>
      </c>
      <c r="AH238">
        <v>11.599887417882396</v>
      </c>
      <c r="AI238">
        <v>1988.6479569003113</v>
      </c>
      <c r="AJ238">
        <v>8.072419336991107</v>
      </c>
    </row>
    <row r="239" spans="4:36" x14ac:dyDescent="0.55000000000000004">
      <c r="D239">
        <v>232</v>
      </c>
      <c r="E239">
        <v>11.742271471208017</v>
      </c>
      <c r="F239">
        <v>0.41267465650649465</v>
      </c>
      <c r="G239">
        <v>0.14863515049433018</v>
      </c>
      <c r="H239">
        <v>17.696418721791151</v>
      </c>
      <c r="I239">
        <v>11.923315512724601</v>
      </c>
      <c r="J239">
        <v>0.27450267093935204</v>
      </c>
      <c r="K239">
        <v>9.8604224999492521E-2</v>
      </c>
      <c r="L239">
        <v>17.70357759133654</v>
      </c>
      <c r="M239">
        <v>11.84618204875534</v>
      </c>
      <c r="N239">
        <v>0.33339246913197101</v>
      </c>
      <c r="O239">
        <v>0.11989449816619244</v>
      </c>
      <c r="P239">
        <v>17.700530983946503</v>
      </c>
      <c r="Q239">
        <v>11.795382361447562</v>
      </c>
      <c r="R239">
        <v>0.3721592610277944</v>
      </c>
      <c r="S239">
        <v>0.13393663674528591</v>
      </c>
      <c r="T239">
        <v>17.698521740779366</v>
      </c>
      <c r="U239">
        <v>1456.4299906517549</v>
      </c>
      <c r="V239">
        <v>9.3089481763716773</v>
      </c>
      <c r="W239">
        <v>1233.6859405256885</v>
      </c>
      <c r="X239">
        <v>6.7699132632978722</v>
      </c>
      <c r="Y239">
        <v>2858.316102298897</v>
      </c>
      <c r="Z239">
        <v>9.3408512117993379</v>
      </c>
      <c r="AA239">
        <v>2707.6265910888374</v>
      </c>
      <c r="AB239">
        <v>6.7889621754340048</v>
      </c>
      <c r="AC239">
        <v>2158.2846575431377</v>
      </c>
      <c r="AD239">
        <v>9.327256875963359</v>
      </c>
      <c r="AE239">
        <v>1979.0082463100932</v>
      </c>
      <c r="AF239">
        <v>6.7808531358938433</v>
      </c>
      <c r="AG239">
        <v>2070.0472283937102</v>
      </c>
      <c r="AH239">
        <v>9.318305425978691</v>
      </c>
      <c r="AI239">
        <v>1870.8964918137272</v>
      </c>
      <c r="AJ239">
        <v>6.7755071375519771</v>
      </c>
    </row>
    <row r="240" spans="4:36" x14ac:dyDescent="0.55000000000000004">
      <c r="D240">
        <v>233</v>
      </c>
      <c r="E240">
        <v>12.408845531963113</v>
      </c>
      <c r="F240">
        <v>0.44339102616407827</v>
      </c>
      <c r="G240">
        <v>0.17201751058359815</v>
      </c>
      <c r="H240">
        <v>16.975745931289207</v>
      </c>
      <c r="I240">
        <v>12.654835205143117</v>
      </c>
      <c r="J240">
        <v>0.27090624377029965</v>
      </c>
      <c r="K240">
        <v>0.10472045883233193</v>
      </c>
      <c r="L240">
        <v>16.969538092254247</v>
      </c>
      <c r="M240">
        <v>12.565414137357813</v>
      </c>
      <c r="N240">
        <v>0.33365126182608995</v>
      </c>
      <c r="O240">
        <v>0.12914400844440152</v>
      </c>
      <c r="P240">
        <v>16.971790592371693</v>
      </c>
      <c r="Q240">
        <v>12.50331930823724</v>
      </c>
      <c r="R240">
        <v>0.37719244355684206</v>
      </c>
      <c r="S240">
        <v>0.14613072254235873</v>
      </c>
      <c r="T240">
        <v>16.97335752566357</v>
      </c>
      <c r="U240">
        <v>1520.8298013483877</v>
      </c>
      <c r="V240">
        <v>9.7773460015720026</v>
      </c>
      <c r="W240">
        <v>1273.9847156372991</v>
      </c>
      <c r="X240">
        <v>7.0337367001947575</v>
      </c>
      <c r="Y240">
        <v>2867.2434443636866</v>
      </c>
      <c r="Z240">
        <v>9.8301030918560386</v>
      </c>
      <c r="AA240">
        <v>2711.5166110635391</v>
      </c>
      <c r="AB240">
        <v>7.0641930949856198</v>
      </c>
      <c r="AC240">
        <v>2227.0037088552704</v>
      </c>
      <c r="AD240">
        <v>9.8109270205237404</v>
      </c>
      <c r="AE240">
        <v>2025.3385194571927</v>
      </c>
      <c r="AF240">
        <v>7.0531364387848514</v>
      </c>
      <c r="AG240">
        <v>2112.8498266625379</v>
      </c>
      <c r="AH240">
        <v>9.79760967044502</v>
      </c>
      <c r="AI240">
        <v>1897.8218652125709</v>
      </c>
      <c r="AJ240">
        <v>7.0454487472773355</v>
      </c>
    </row>
    <row r="241" spans="4:36" x14ac:dyDescent="0.55000000000000004">
      <c r="D241">
        <v>234</v>
      </c>
      <c r="E241">
        <v>14.172824558901059</v>
      </c>
      <c r="F241">
        <v>0.51602344606959816</v>
      </c>
      <c r="G241">
        <v>0.17362090482794371</v>
      </c>
      <c r="H241">
        <v>15.137531090201392</v>
      </c>
      <c r="I241">
        <v>14.424911750125522</v>
      </c>
      <c r="J241">
        <v>0.3403012589238249</v>
      </c>
      <c r="K241">
        <v>0.11413052642605748</v>
      </c>
      <c r="L241">
        <v>15.1206564645246</v>
      </c>
      <c r="M241">
        <v>14.315122907492844</v>
      </c>
      <c r="N241">
        <v>0.41687740373810339</v>
      </c>
      <c r="O241">
        <v>0.14000749570361762</v>
      </c>
      <c r="P241">
        <v>15.127992193065445</v>
      </c>
      <c r="Q241">
        <v>14.253311334490444</v>
      </c>
      <c r="R241">
        <v>0.45995912109104331</v>
      </c>
      <c r="S241">
        <v>0.15459816934729642</v>
      </c>
      <c r="T241">
        <v>15.132131375071211</v>
      </c>
      <c r="U241">
        <v>1649.8852762330646</v>
      </c>
      <c r="V241">
        <v>11.159733070061167</v>
      </c>
      <c r="W241">
        <v>1345.4276840591983</v>
      </c>
      <c r="X241">
        <v>7.8221538626638569</v>
      </c>
      <c r="Y241">
        <v>2986.0270380331631</v>
      </c>
      <c r="Z241">
        <v>11.214985432475711</v>
      </c>
      <c r="AA241">
        <v>2781.0032983604856</v>
      </c>
      <c r="AB241">
        <v>7.852702514421523</v>
      </c>
      <c r="AC241">
        <v>2320.0172913043007</v>
      </c>
      <c r="AD241">
        <v>11.190929763193987</v>
      </c>
      <c r="AE241">
        <v>2073.020618444431</v>
      </c>
      <c r="AF241">
        <v>7.8394132029062646</v>
      </c>
      <c r="AG241">
        <v>2255.7054539398841</v>
      </c>
      <c r="AH241">
        <v>11.177381040313971</v>
      </c>
      <c r="AI241">
        <v>1980.0238221718337</v>
      </c>
      <c r="AJ241">
        <v>7.8319209685361582</v>
      </c>
    </row>
    <row r="242" spans="4:36" x14ac:dyDescent="0.55000000000000004">
      <c r="D242">
        <v>235</v>
      </c>
      <c r="E242">
        <v>12.369621018119762</v>
      </c>
      <c r="F242">
        <v>0.42329922902540107</v>
      </c>
      <c r="G242">
        <v>0.15392225484931765</v>
      </c>
      <c r="H242">
        <v>17.053157498005532</v>
      </c>
      <c r="I242">
        <v>12.579416673955002</v>
      </c>
      <c r="J242">
        <v>0.2733198939807403</v>
      </c>
      <c r="K242">
        <v>9.9069555948666552E-2</v>
      </c>
      <c r="L242">
        <v>17.048193876115597</v>
      </c>
      <c r="M242">
        <v>12.45954755347174</v>
      </c>
      <c r="N242">
        <v>0.35904524178179192</v>
      </c>
      <c r="O242">
        <v>0.13037883706371872</v>
      </c>
      <c r="P242">
        <v>17.051028367682758</v>
      </c>
      <c r="Q242">
        <v>12.433907047301782</v>
      </c>
      <c r="R242">
        <v>0.37737087119909984</v>
      </c>
      <c r="S242">
        <v>0.13708687543199052</v>
      </c>
      <c r="T242">
        <v>17.051635206067118</v>
      </c>
      <c r="U242">
        <v>1526.5187910471811</v>
      </c>
      <c r="V242">
        <v>9.8348434868197483</v>
      </c>
      <c r="W242">
        <v>1279.6007086144461</v>
      </c>
      <c r="X242">
        <v>7.0820237463993134</v>
      </c>
      <c r="Y242">
        <v>2903.3329120025542</v>
      </c>
      <c r="Z242">
        <v>9.8797899804464837</v>
      </c>
      <c r="AA242">
        <v>2737.4564961059546</v>
      </c>
      <c r="AB242">
        <v>7.1080783204497653</v>
      </c>
      <c r="AC242">
        <v>2191.386628872418</v>
      </c>
      <c r="AD242">
        <v>9.8541098874295958</v>
      </c>
      <c r="AE242">
        <v>1997.753195310197</v>
      </c>
      <c r="AF242">
        <v>7.0932029102218523</v>
      </c>
      <c r="AG242">
        <v>2083.3911050426059</v>
      </c>
      <c r="AH242">
        <v>9.8486166026068762</v>
      </c>
      <c r="AI242">
        <v>1876.5222939991331</v>
      </c>
      <c r="AJ242">
        <v>7.0900171449178968</v>
      </c>
    </row>
    <row r="243" spans="4:36" x14ac:dyDescent="0.55000000000000004">
      <c r="D243">
        <v>236</v>
      </c>
      <c r="E243">
        <v>13.386118927646271</v>
      </c>
      <c r="F243">
        <v>0.52739505731986658</v>
      </c>
      <c r="G243">
        <v>0.17496733939276157</v>
      </c>
      <c r="H243">
        <v>15.911518675641096</v>
      </c>
      <c r="I243">
        <v>13.627019530334762</v>
      </c>
      <c r="J243">
        <v>0.34250307464193919</v>
      </c>
      <c r="K243">
        <v>0.11325697015586501</v>
      </c>
      <c r="L243">
        <v>15.917220424867422</v>
      </c>
      <c r="M243">
        <v>13.528061237972562</v>
      </c>
      <c r="N243">
        <v>0.41848875513583272</v>
      </c>
      <c r="O243">
        <v>0.13856870623664475</v>
      </c>
      <c r="P243">
        <v>15.914881300654979</v>
      </c>
      <c r="Q243">
        <v>13.489467022864206</v>
      </c>
      <c r="R243">
        <v>0.44811040740409835</v>
      </c>
      <c r="S243">
        <v>0.14845469424104923</v>
      </c>
      <c r="T243">
        <v>15.91396787549064</v>
      </c>
      <c r="U243">
        <v>1648.1943040326687</v>
      </c>
      <c r="V243">
        <v>10.62916461846264</v>
      </c>
      <c r="W243">
        <v>1349.3240595795576</v>
      </c>
      <c r="X243">
        <v>7.5269359065658534</v>
      </c>
      <c r="Y243">
        <v>2925.1464317204623</v>
      </c>
      <c r="Z243">
        <v>10.668015546510967</v>
      </c>
      <c r="AA243">
        <v>2741.5615640760425</v>
      </c>
      <c r="AB243">
        <v>7.5493708299970947</v>
      </c>
      <c r="AC243">
        <v>2254.2215534806501</v>
      </c>
      <c r="AD243">
        <v>10.652054401785039</v>
      </c>
      <c r="AE243">
        <v>2030.8574239652339</v>
      </c>
      <c r="AF243">
        <v>7.5401636671751353</v>
      </c>
      <c r="AG243">
        <v>2175.0016820196306</v>
      </c>
      <c r="AH243">
        <v>10.64583014676646</v>
      </c>
      <c r="AI243">
        <v>1928.7817983470102</v>
      </c>
      <c r="AJ243">
        <v>7.5365695328228899</v>
      </c>
    </row>
    <row r="244" spans="4:36" x14ac:dyDescent="0.55000000000000004">
      <c r="D244">
        <v>237</v>
      </c>
      <c r="E244">
        <v>13.127956191626561</v>
      </c>
      <c r="F244">
        <v>0.50789080789730279</v>
      </c>
      <c r="G244">
        <v>0.17883295619320511</v>
      </c>
      <c r="H244">
        <v>16.185320044282928</v>
      </c>
      <c r="I244">
        <v>13.37515226229554</v>
      </c>
      <c r="J244">
        <v>0.32359111234736593</v>
      </c>
      <c r="K244">
        <v>0.11355899548505193</v>
      </c>
      <c r="L244">
        <v>16.187697629872048</v>
      </c>
      <c r="M244">
        <v>13.312794697439104</v>
      </c>
      <c r="N244">
        <v>0.37011356868701645</v>
      </c>
      <c r="O244">
        <v>0.12999425950571933</v>
      </c>
      <c r="P244">
        <v>16.187097474368166</v>
      </c>
      <c r="Q244">
        <v>13.239043362757753</v>
      </c>
      <c r="R244">
        <v>0.42510947571844815</v>
      </c>
      <c r="S244">
        <v>0.14945916784939201</v>
      </c>
      <c r="T244">
        <v>16.186387993674408</v>
      </c>
      <c r="U244">
        <v>1601.8072829050509</v>
      </c>
      <c r="V244">
        <v>10.409708003404351</v>
      </c>
      <c r="W244">
        <v>1320.8115934415105</v>
      </c>
      <c r="X244">
        <v>7.4007727753380301</v>
      </c>
      <c r="Y244">
        <v>2902.9034011477015</v>
      </c>
      <c r="Z244">
        <v>10.452617413270001</v>
      </c>
      <c r="AA244">
        <v>2729.0689979896374</v>
      </c>
      <c r="AB244">
        <v>7.4254608718232706</v>
      </c>
      <c r="AC244">
        <v>2252.136247949602</v>
      </c>
      <c r="AD244">
        <v>10.441793082762063</v>
      </c>
      <c r="AE244">
        <v>2035.3590921088403</v>
      </c>
      <c r="AF244">
        <v>7.4192415479575367</v>
      </c>
      <c r="AG244">
        <v>2138.2785310709646</v>
      </c>
      <c r="AH244">
        <v>10.428990987319766</v>
      </c>
      <c r="AI244">
        <v>1906.8936549356824</v>
      </c>
      <c r="AJ244">
        <v>7.4118784981969537</v>
      </c>
    </row>
    <row r="245" spans="4:36" x14ac:dyDescent="0.55000000000000004">
      <c r="D245">
        <v>238</v>
      </c>
      <c r="E245">
        <v>11.892076005063752</v>
      </c>
      <c r="F245">
        <v>0.53207669206135344</v>
      </c>
      <c r="G245">
        <v>0.18373426698558318</v>
      </c>
      <c r="H245">
        <v>17.392113035889317</v>
      </c>
      <c r="I245">
        <v>12.141225713934261</v>
      </c>
      <c r="J245">
        <v>0.32199110301290862</v>
      </c>
      <c r="K245">
        <v>0.11077362470681038</v>
      </c>
      <c r="L245">
        <v>17.426009558346035</v>
      </c>
      <c r="M245">
        <v>12.047123699942723</v>
      </c>
      <c r="N245">
        <v>0.40136684276365742</v>
      </c>
      <c r="O245">
        <v>0.13827507692778707</v>
      </c>
      <c r="P245">
        <v>17.413234380365822</v>
      </c>
      <c r="Q245">
        <v>12.046279002333737</v>
      </c>
      <c r="R245">
        <v>0.40207919863740627</v>
      </c>
      <c r="S245">
        <v>0.13852224287838627</v>
      </c>
      <c r="T245">
        <v>17.413119556150484</v>
      </c>
      <c r="U245">
        <v>1523.1013704095151</v>
      </c>
      <c r="V245">
        <v>9.5229839022595701</v>
      </c>
      <c r="W245">
        <v>1269.2513151161018</v>
      </c>
      <c r="X245">
        <v>6.8925598701120174</v>
      </c>
      <c r="Y245">
        <v>2881.0052930381594</v>
      </c>
      <c r="Z245">
        <v>9.5512109719077429</v>
      </c>
      <c r="AA245">
        <v>2717.990994709839</v>
      </c>
      <c r="AB245">
        <v>6.9107157527003702</v>
      </c>
      <c r="AC245">
        <v>2227.7552358061212</v>
      </c>
      <c r="AD245">
        <v>9.5405333508810095</v>
      </c>
      <c r="AE245">
        <v>2021.3450366274176</v>
      </c>
      <c r="AF245">
        <v>6.9038617912373059</v>
      </c>
      <c r="AG245">
        <v>2109.1607326797698</v>
      </c>
      <c r="AH245">
        <v>9.5404375941873223</v>
      </c>
      <c r="AI245">
        <v>1893.9003558025559</v>
      </c>
      <c r="AJ245">
        <v>6.9038002488943429</v>
      </c>
    </row>
    <row r="246" spans="4:36" x14ac:dyDescent="0.55000000000000004">
      <c r="D246">
        <v>239</v>
      </c>
      <c r="E246">
        <v>12.084110376021298</v>
      </c>
      <c r="F246">
        <v>0.44810416215133925</v>
      </c>
      <c r="G246">
        <v>0.15585509473249409</v>
      </c>
      <c r="H246">
        <v>17.311930367094863</v>
      </c>
      <c r="I246">
        <v>12.266262257854324</v>
      </c>
      <c r="J246">
        <v>0.30470131269034273</v>
      </c>
      <c r="K246">
        <v>0.10569205730412494</v>
      </c>
      <c r="L246">
        <v>17.323344372151212</v>
      </c>
      <c r="M246">
        <v>12.194796500394506</v>
      </c>
      <c r="N246">
        <v>0.36098371251386885</v>
      </c>
      <c r="O246">
        <v>0.12534716987571504</v>
      </c>
      <c r="P246">
        <v>17.318872617215906</v>
      </c>
      <c r="Q246">
        <v>12.141155953809875</v>
      </c>
      <c r="R246">
        <v>0.40321147492137099</v>
      </c>
      <c r="S246">
        <v>0.14012179591797763</v>
      </c>
      <c r="T246">
        <v>17.31551077535077</v>
      </c>
      <c r="U246">
        <v>1558.0040667601024</v>
      </c>
      <c r="V246">
        <v>9.5211997811889066</v>
      </c>
      <c r="W246">
        <v>1298.6126663172149</v>
      </c>
      <c r="X246">
        <v>6.8814838417259665</v>
      </c>
      <c r="Y246">
        <v>2918.789264858498</v>
      </c>
      <c r="Z246">
        <v>9.5477548312860634</v>
      </c>
      <c r="AA246">
        <v>2744.9483148135464</v>
      </c>
      <c r="AB246">
        <v>6.8974667807366163</v>
      </c>
      <c r="AC246">
        <v>2232.4367645819912</v>
      </c>
      <c r="AD246">
        <v>9.5373327315385872</v>
      </c>
      <c r="AE246">
        <v>2025.7324271462687</v>
      </c>
      <c r="AF246">
        <v>6.8912006668180741</v>
      </c>
      <c r="AG246">
        <v>2131.6132389123086</v>
      </c>
      <c r="AH246">
        <v>9.5295130639307928</v>
      </c>
      <c r="AI246">
        <v>1907.6533212519262</v>
      </c>
      <c r="AJ246">
        <v>6.8864935263905638</v>
      </c>
    </row>
    <row r="247" spans="4:36" x14ac:dyDescent="0.55000000000000004">
      <c r="D247">
        <v>240</v>
      </c>
      <c r="E247">
        <v>13.375750400101818</v>
      </c>
      <c r="F247">
        <v>0.4914782303355949</v>
      </c>
      <c r="G247">
        <v>0.17716669970936008</v>
      </c>
      <c r="H247">
        <v>15.955604669853232</v>
      </c>
      <c r="I247">
        <v>13.606219748854382</v>
      </c>
      <c r="J247">
        <v>0.32273789761322541</v>
      </c>
      <c r="K247">
        <v>0.11598326405247711</v>
      </c>
      <c r="L247">
        <v>15.955059089479928</v>
      </c>
      <c r="M247">
        <v>13.496255806555018</v>
      </c>
      <c r="N247">
        <v>0.40328586732048688</v>
      </c>
      <c r="O247">
        <v>0.14514154080021205</v>
      </c>
      <c r="P247">
        <v>15.955316785324268</v>
      </c>
      <c r="Q247">
        <v>13.443209497837536</v>
      </c>
      <c r="R247">
        <v>0.4421180201019686</v>
      </c>
      <c r="S247">
        <v>0.15922968269346291</v>
      </c>
      <c r="T247">
        <v>15.955442799367042</v>
      </c>
      <c r="U247">
        <v>1560.4207230608804</v>
      </c>
      <c r="V247">
        <v>10.596669951982689</v>
      </c>
      <c r="W247">
        <v>1291.7477395250478</v>
      </c>
      <c r="X247">
        <v>7.5095720009672977</v>
      </c>
      <c r="Y247">
        <v>2921.1945578779396</v>
      </c>
      <c r="Z247">
        <v>10.639003906221463</v>
      </c>
      <c r="AA247">
        <v>2741.7776192463552</v>
      </c>
      <c r="AB247">
        <v>7.5335994598080633</v>
      </c>
      <c r="AC247">
        <v>2252.0444228777978</v>
      </c>
      <c r="AD247">
        <v>10.618807398028412</v>
      </c>
      <c r="AE247">
        <v>2032.3844180025571</v>
      </c>
      <c r="AF247">
        <v>7.522145986175536</v>
      </c>
      <c r="AG247">
        <v>2146.2206166413412</v>
      </c>
      <c r="AH247">
        <v>10.609063153991597</v>
      </c>
      <c r="AI247">
        <v>1910.8503296949132</v>
      </c>
      <c r="AJ247">
        <v>7.51661386195138</v>
      </c>
    </row>
    <row r="248" spans="4:36" x14ac:dyDescent="0.55000000000000004">
      <c r="D248">
        <v>241</v>
      </c>
      <c r="E248">
        <v>13.002221007448643</v>
      </c>
      <c r="F248">
        <v>0.48506806337538638</v>
      </c>
      <c r="G248">
        <v>0.18622093947722146</v>
      </c>
      <c r="H248">
        <v>16.326489989698757</v>
      </c>
      <c r="I248">
        <v>13.251812532379271</v>
      </c>
      <c r="J248">
        <v>0.302215812190053</v>
      </c>
      <c r="K248">
        <v>0.11561594986200288</v>
      </c>
      <c r="L248">
        <v>16.330355705568664</v>
      </c>
      <c r="M248">
        <v>13.152770188010777</v>
      </c>
      <c r="N248">
        <v>0.37481692189059346</v>
      </c>
      <c r="O248">
        <v>0.14358930679002121</v>
      </c>
      <c r="P248">
        <v>16.328823583308608</v>
      </c>
      <c r="Q248">
        <v>13.14060483526684</v>
      </c>
      <c r="R248">
        <v>0.38373070226215134</v>
      </c>
      <c r="S248">
        <v>0.14702923771788856</v>
      </c>
      <c r="T248">
        <v>16.328635224753128</v>
      </c>
      <c r="U248">
        <v>1580.8215316494982</v>
      </c>
      <c r="V248">
        <v>10.236252952940383</v>
      </c>
      <c r="W248">
        <v>1306.3251563294077</v>
      </c>
      <c r="X248">
        <v>7.2920289589768412</v>
      </c>
      <c r="Y248">
        <v>2912.670113754557</v>
      </c>
      <c r="Z248">
        <v>10.280037143584194</v>
      </c>
      <c r="AA248">
        <v>2736.9579415715698</v>
      </c>
      <c r="AB248">
        <v>7.3174617813718603</v>
      </c>
      <c r="AC248">
        <v>2244.23939566545</v>
      </c>
      <c r="AD248">
        <v>10.26266067201027</v>
      </c>
      <c r="AE248">
        <v>2028.536050014952</v>
      </c>
      <c r="AF248">
        <v>7.3073802398964416</v>
      </c>
      <c r="AG248">
        <v>2174.8163975125899</v>
      </c>
      <c r="AH248">
        <v>10.260526515443416</v>
      </c>
      <c r="AI248">
        <v>1935.2760781845052</v>
      </c>
      <c r="AJ248">
        <v>7.3061409655337615</v>
      </c>
    </row>
    <row r="249" spans="4:36" x14ac:dyDescent="0.55000000000000004">
      <c r="D249">
        <v>242</v>
      </c>
      <c r="E249">
        <v>12.921840090470068</v>
      </c>
      <c r="F249">
        <v>0.46519988648813981</v>
      </c>
      <c r="G249">
        <v>0.175409042649387</v>
      </c>
      <c r="H249">
        <v>16.437550980392409</v>
      </c>
      <c r="I249">
        <v>13.192802975209661</v>
      </c>
      <c r="J249">
        <v>0.27608046025150074</v>
      </c>
      <c r="K249">
        <v>0.10369447694551272</v>
      </c>
      <c r="L249">
        <v>16.427422087593328</v>
      </c>
      <c r="M249">
        <v>13.082085823563771</v>
      </c>
      <c r="N249">
        <v>0.35341083067840395</v>
      </c>
      <c r="O249">
        <v>0.13294983226633786</v>
      </c>
      <c r="P249">
        <v>16.431553513491473</v>
      </c>
      <c r="Q249">
        <v>13.06804973823642</v>
      </c>
      <c r="R249">
        <v>0.36320893354016892</v>
      </c>
      <c r="S249">
        <v>0.13666333921786322</v>
      </c>
      <c r="T249">
        <v>16.432077989005553</v>
      </c>
      <c r="U249">
        <v>1588.2464287409705</v>
      </c>
      <c r="V249">
        <v>10.188764169178432</v>
      </c>
      <c r="W249">
        <v>1313.7968792398217</v>
      </c>
      <c r="X249">
        <v>7.2693658646410011</v>
      </c>
      <c r="Y249">
        <v>2909.4539241031875</v>
      </c>
      <c r="Z249">
        <v>10.241321775900412</v>
      </c>
      <c r="AA249">
        <v>2737.0602247172419</v>
      </c>
      <c r="AB249">
        <v>7.299339474384662</v>
      </c>
      <c r="AC249">
        <v>2251.0637385064365</v>
      </c>
      <c r="AD249">
        <v>10.219849883750662</v>
      </c>
      <c r="AE249">
        <v>2035.5404407216058</v>
      </c>
      <c r="AF249">
        <v>7.2871082019803159</v>
      </c>
      <c r="AG249">
        <v>2148.7680033316437</v>
      </c>
      <c r="AH249">
        <v>10.217127458917265</v>
      </c>
      <c r="AI249">
        <v>1918.7014135931579</v>
      </c>
      <c r="AJ249">
        <v>7.2855560094737726</v>
      </c>
    </row>
    <row r="250" spans="4:36" x14ac:dyDescent="0.55000000000000004">
      <c r="D250">
        <v>243</v>
      </c>
      <c r="E250">
        <v>13.274960432493431</v>
      </c>
      <c r="F250">
        <v>0.45783060914743801</v>
      </c>
      <c r="G250">
        <v>0.17113946271149577</v>
      </c>
      <c r="H250">
        <v>16.096069495647644</v>
      </c>
      <c r="I250">
        <v>13.513286843864563</v>
      </c>
      <c r="J250">
        <v>0.29996950097034403</v>
      </c>
      <c r="K250">
        <v>0.11174400916475839</v>
      </c>
      <c r="L250">
        <v>16.07499964600035</v>
      </c>
      <c r="M250">
        <v>13.450679036045893</v>
      </c>
      <c r="N250">
        <v>0.34147545792603123</v>
      </c>
      <c r="O250">
        <v>0.12732041056953716</v>
      </c>
      <c r="P250">
        <v>16.080525095458533</v>
      </c>
      <c r="Q250">
        <v>13.392783536044716</v>
      </c>
      <c r="R250">
        <v>0.37983451680818747</v>
      </c>
      <c r="S250">
        <v>0.1417412535834211</v>
      </c>
      <c r="T250">
        <v>16.085640693563679</v>
      </c>
      <c r="U250">
        <v>1577.6317142661364</v>
      </c>
      <c r="V250">
        <v>10.476780011074242</v>
      </c>
      <c r="W250">
        <v>1306.2118343624031</v>
      </c>
      <c r="X250">
        <v>7.4398708787409182</v>
      </c>
      <c r="Y250">
        <v>2915.1181913378359</v>
      </c>
      <c r="Z250">
        <v>10.532507980199103</v>
      </c>
      <c r="AA250">
        <v>2738.8767262427541</v>
      </c>
      <c r="AB250">
        <v>7.4711109800606579</v>
      </c>
      <c r="AC250">
        <v>2256.5629039171017</v>
      </c>
      <c r="AD250">
        <v>10.517873741331602</v>
      </c>
      <c r="AE250">
        <v>2039.8208377278252</v>
      </c>
      <c r="AF250">
        <v>7.462916713850051</v>
      </c>
      <c r="AG250">
        <v>2136.5333486466534</v>
      </c>
      <c r="AH250">
        <v>10.504337586019854</v>
      </c>
      <c r="AI250">
        <v>1908.1461705996614</v>
      </c>
      <c r="AJ250">
        <v>7.455331358877884</v>
      </c>
    </row>
    <row r="251" spans="4:36" x14ac:dyDescent="0.55000000000000004">
      <c r="D251">
        <v>244</v>
      </c>
      <c r="E251">
        <v>12.584836755163792</v>
      </c>
      <c r="F251">
        <v>0.41443383339308115</v>
      </c>
      <c r="G251">
        <v>0.14420616444653625</v>
      </c>
      <c r="H251">
        <v>16.856523246996574</v>
      </c>
      <c r="I251">
        <v>12.785975276028585</v>
      </c>
      <c r="J251">
        <v>0.27721032411035357</v>
      </c>
      <c r="K251">
        <v>9.6173834968568878E-2</v>
      </c>
      <c r="L251">
        <v>16.840640564892471</v>
      </c>
      <c r="M251">
        <v>12.691268603066991</v>
      </c>
      <c r="N251">
        <v>0.34185535833572389</v>
      </c>
      <c r="O251">
        <v>0.11876570350488971</v>
      </c>
      <c r="P251">
        <v>16.848110335092397</v>
      </c>
      <c r="Q251">
        <v>12.639514648708664</v>
      </c>
      <c r="R251">
        <v>0.37715693736875255</v>
      </c>
      <c r="S251">
        <v>0.13112962232338704</v>
      </c>
      <c r="T251">
        <v>16.852198791599186</v>
      </c>
      <c r="U251">
        <v>1507.3133992432436</v>
      </c>
      <c r="V251">
        <v>9.9484640154335597</v>
      </c>
      <c r="W251">
        <v>1268.538253230282</v>
      </c>
      <c r="X251">
        <v>7.1427741553662916</v>
      </c>
      <c r="Y251">
        <v>2875.4615874430524</v>
      </c>
      <c r="Z251">
        <v>9.9964169121001074</v>
      </c>
      <c r="AA251">
        <v>2718.4884360551687</v>
      </c>
      <c r="AB251">
        <v>7.1700064880045122</v>
      </c>
      <c r="AC251">
        <v>2178.672487964393</v>
      </c>
      <c r="AD251">
        <v>9.9738428561010082</v>
      </c>
      <c r="AE251">
        <v>1991.7209960278967</v>
      </c>
      <c r="AF251">
        <v>7.157196596276143</v>
      </c>
      <c r="AG251">
        <v>2094.3105789340052</v>
      </c>
      <c r="AH251">
        <v>9.961503373630304</v>
      </c>
      <c r="AI251">
        <v>1886.5238225190956</v>
      </c>
      <c r="AJ251">
        <v>7.1501870275793182</v>
      </c>
    </row>
    <row r="252" spans="4:36" x14ac:dyDescent="0.55000000000000004">
      <c r="D252">
        <v>245</v>
      </c>
      <c r="E252">
        <v>12.288525559245821</v>
      </c>
      <c r="F252">
        <v>0.46336784901734829</v>
      </c>
      <c r="G252">
        <v>0.15503167910549986</v>
      </c>
      <c r="H252">
        <v>17.093074912631312</v>
      </c>
      <c r="I252">
        <v>12.540003541245234</v>
      </c>
      <c r="J252">
        <v>0.27681547317176142</v>
      </c>
      <c r="K252">
        <v>9.228235419062035E-2</v>
      </c>
      <c r="L252">
        <v>17.090898631392374</v>
      </c>
      <c r="M252">
        <v>12.423907088327372</v>
      </c>
      <c r="N252">
        <v>0.36298332332634098</v>
      </c>
      <c r="O252">
        <v>0.12120899145825813</v>
      </c>
      <c r="P252">
        <v>17.091900596888014</v>
      </c>
      <c r="Q252">
        <v>12.413371745809911</v>
      </c>
      <c r="R252">
        <v>0.37079897183098198</v>
      </c>
      <c r="S252">
        <v>0.12383753029442174</v>
      </c>
      <c r="T252">
        <v>17.091991752064676</v>
      </c>
      <c r="U252">
        <v>1543.6105149327877</v>
      </c>
      <c r="V252">
        <v>9.7969555394335082</v>
      </c>
      <c r="W252">
        <v>1290.1041743341082</v>
      </c>
      <c r="X252">
        <v>7.0590010659129376</v>
      </c>
      <c r="Y252">
        <v>2884.4572287064066</v>
      </c>
      <c r="Z252">
        <v>9.8448961426668689</v>
      </c>
      <c r="AA252">
        <v>2724.2017088414996</v>
      </c>
      <c r="AB252">
        <v>7.0867756212471686</v>
      </c>
      <c r="AC252">
        <v>2238.0099269981133</v>
      </c>
      <c r="AD252">
        <v>9.8227656572374844</v>
      </c>
      <c r="AE252">
        <v>2032.038535615096</v>
      </c>
      <c r="AF252">
        <v>7.073968139727965</v>
      </c>
      <c r="AG252">
        <v>2086.4094180000329</v>
      </c>
      <c r="AH252">
        <v>9.8207572582873546</v>
      </c>
      <c r="AI252">
        <v>1880.0354721900235</v>
      </c>
      <c r="AJ252">
        <v>7.0728046553183495</v>
      </c>
    </row>
    <row r="253" spans="4:36" x14ac:dyDescent="0.55000000000000004">
      <c r="D253">
        <v>246</v>
      </c>
      <c r="E253">
        <v>11.789464714648689</v>
      </c>
      <c r="F253">
        <v>0.42107627795813013</v>
      </c>
      <c r="G253">
        <v>0.13068455853999419</v>
      </c>
      <c r="H253">
        <v>17.658774448853187</v>
      </c>
      <c r="I253">
        <v>11.993661857609522</v>
      </c>
      <c r="J253">
        <v>0.26534858670433753</v>
      </c>
      <c r="K253">
        <v>8.2104360117787906E-2</v>
      </c>
      <c r="L253">
        <v>17.658885195568345</v>
      </c>
      <c r="M253">
        <v>11.911867318817004</v>
      </c>
      <c r="N253">
        <v>0.32775519652642299</v>
      </c>
      <c r="O253">
        <v>0.10153674419137093</v>
      </c>
      <c r="P253">
        <v>17.65884074046518</v>
      </c>
      <c r="Q253">
        <v>11.864768510865458</v>
      </c>
      <c r="R253">
        <v>0.36367356357566616</v>
      </c>
      <c r="S253">
        <v>0.11274272665702499</v>
      </c>
      <c r="T253">
        <v>17.658815198901856</v>
      </c>
      <c r="U253">
        <v>1491.2713141466666</v>
      </c>
      <c r="V253">
        <v>9.2633013781906115</v>
      </c>
      <c r="W253">
        <v>1259.1945389557463</v>
      </c>
      <c r="X253">
        <v>6.7318849805195562</v>
      </c>
      <c r="Y253">
        <v>2862.0167523947935</v>
      </c>
      <c r="Z253">
        <v>9.2998706520998198</v>
      </c>
      <c r="AA253">
        <v>2711.4327629621002</v>
      </c>
      <c r="AB253">
        <v>6.7533452734774668</v>
      </c>
      <c r="AC253">
        <v>2202.2577874914905</v>
      </c>
      <c r="AD253">
        <v>9.2852224281837952</v>
      </c>
      <c r="AE253">
        <v>2012.0565994912615</v>
      </c>
      <c r="AF253">
        <v>6.7447583128651285</v>
      </c>
      <c r="AG253">
        <v>2071.5722624368473</v>
      </c>
      <c r="AH253">
        <v>9.2767875874133292</v>
      </c>
      <c r="AI253">
        <v>1873.2194815341104</v>
      </c>
      <c r="AJ253">
        <v>6.7398081555345852</v>
      </c>
    </row>
    <row r="254" spans="4:36" x14ac:dyDescent="0.55000000000000004">
      <c r="D254">
        <v>247</v>
      </c>
      <c r="E254">
        <v>11.646111255379706</v>
      </c>
      <c r="F254">
        <v>0.43036168061775537</v>
      </c>
      <c r="G254">
        <v>0.16627241839264814</v>
      </c>
      <c r="H254">
        <v>17.757254645609883</v>
      </c>
      <c r="I254">
        <v>11.821047879698515</v>
      </c>
      <c r="J254">
        <v>0.28954820492818462</v>
      </c>
      <c r="K254">
        <v>0.11157697080696713</v>
      </c>
      <c r="L254">
        <v>17.777826944566335</v>
      </c>
      <c r="M254">
        <v>11.762075878364236</v>
      </c>
      <c r="N254">
        <v>0.33703313326664186</v>
      </c>
      <c r="O254">
        <v>0.12998902883803345</v>
      </c>
      <c r="P254">
        <v>17.770901959531088</v>
      </c>
      <c r="Q254">
        <v>11.701449926196553</v>
      </c>
      <c r="R254">
        <v>0.38583290400063902</v>
      </c>
      <c r="S254">
        <v>0.14894503652049942</v>
      </c>
      <c r="T254">
        <v>17.763772133282316</v>
      </c>
      <c r="U254">
        <v>1520.3565377530986</v>
      </c>
      <c r="V254">
        <v>9.2593760837552068</v>
      </c>
      <c r="W254">
        <v>1275.55957283572</v>
      </c>
      <c r="X254">
        <v>6.7390077862501325</v>
      </c>
      <c r="Y254">
        <v>2881.4497121138907</v>
      </c>
      <c r="Z254">
        <v>9.2806056501990657</v>
      </c>
      <c r="AA254">
        <v>2720.9594160994043</v>
      </c>
      <c r="AB254">
        <v>6.7523693179444049</v>
      </c>
      <c r="AC254">
        <v>2184.0331193705551</v>
      </c>
      <c r="AD254">
        <v>9.2734433437009702</v>
      </c>
      <c r="AE254">
        <v>1994.7685814793197</v>
      </c>
      <c r="AF254">
        <v>6.7478677366880229</v>
      </c>
      <c r="AG254">
        <v>2104.9381189935284</v>
      </c>
      <c r="AH254">
        <v>9.266086206305717</v>
      </c>
      <c r="AI254">
        <v>1892.1472752569057</v>
      </c>
      <c r="AJ254">
        <v>6.7432370939068296</v>
      </c>
    </row>
    <row r="255" spans="4:36" x14ac:dyDescent="0.55000000000000004">
      <c r="D255">
        <v>248</v>
      </c>
      <c r="E255">
        <v>12.520964300673153</v>
      </c>
      <c r="F255">
        <v>0.48210180016171389</v>
      </c>
      <c r="G255">
        <v>0.19154129077017204</v>
      </c>
      <c r="H255">
        <v>16.805392608394961</v>
      </c>
      <c r="I255">
        <v>12.742214706588213</v>
      </c>
      <c r="J255">
        <v>0.31276051057807169</v>
      </c>
      <c r="K255">
        <v>0.12386059885025469</v>
      </c>
      <c r="L255">
        <v>16.821164183983456</v>
      </c>
      <c r="M255">
        <v>12.643703768637977</v>
      </c>
      <c r="N255">
        <v>0.38819069833676878</v>
      </c>
      <c r="O255">
        <v>0.15395304287832037</v>
      </c>
      <c r="P255">
        <v>16.814152490146942</v>
      </c>
      <c r="Q255">
        <v>12.645085467253628</v>
      </c>
      <c r="R255">
        <v>0.38713307570738875</v>
      </c>
      <c r="S255">
        <v>0.15353050553598643</v>
      </c>
      <c r="T255">
        <v>16.814250951503013</v>
      </c>
      <c r="U255">
        <v>1586.3154858390531</v>
      </c>
      <c r="V255">
        <v>9.9872423538858683</v>
      </c>
      <c r="W255">
        <v>1312.3017198031844</v>
      </c>
      <c r="X255">
        <v>7.1650151703874059</v>
      </c>
      <c r="Y255">
        <v>2921.3665007075019</v>
      </c>
      <c r="Z255">
        <v>10.022006523905292</v>
      </c>
      <c r="AA255">
        <v>2743.5063733430311</v>
      </c>
      <c r="AB255">
        <v>7.1858863289902848</v>
      </c>
      <c r="AC255">
        <v>2243.0426705981486</v>
      </c>
      <c r="AD255">
        <v>10.006521389863398</v>
      </c>
      <c r="AE255">
        <v>2027.971320261639</v>
      </c>
      <c r="AF255">
        <v>7.1766003243986303</v>
      </c>
      <c r="AG255">
        <v>2115.8818228271139</v>
      </c>
      <c r="AH255">
        <v>10.006738509912253</v>
      </c>
      <c r="AI255">
        <v>1894.2665728873669</v>
      </c>
      <c r="AJ255">
        <v>7.1767306434581073</v>
      </c>
    </row>
    <row r="256" spans="4:36" x14ac:dyDescent="0.55000000000000004">
      <c r="D256">
        <v>249</v>
      </c>
      <c r="E256">
        <v>11.525691602651392</v>
      </c>
      <c r="F256">
        <v>0.44531673779873293</v>
      </c>
      <c r="G256">
        <v>0.15026640567319907</v>
      </c>
      <c r="H256">
        <v>17.878725253876663</v>
      </c>
      <c r="I256">
        <v>11.719239374010563</v>
      </c>
      <c r="J256">
        <v>0.28707278579283263</v>
      </c>
      <c r="K256">
        <v>9.6589416883986562E-2</v>
      </c>
      <c r="L256">
        <v>17.89709842331262</v>
      </c>
      <c r="M256">
        <v>11.614649076269105</v>
      </c>
      <c r="N256">
        <v>0.37260615403046382</v>
      </c>
      <c r="O256">
        <v>0.12556362882856159</v>
      </c>
      <c r="P256">
        <v>17.887181140871864</v>
      </c>
      <c r="Q256">
        <v>11.607617583441659</v>
      </c>
      <c r="R256">
        <v>0.37835472754101573</v>
      </c>
      <c r="S256">
        <v>0.12751422659047024</v>
      </c>
      <c r="T256">
        <v>17.886513462426855</v>
      </c>
      <c r="U256">
        <v>1461.4098743209581</v>
      </c>
      <c r="V256">
        <v>9.1318749775498489</v>
      </c>
      <c r="W256">
        <v>1236.0624387524856</v>
      </c>
      <c r="X256">
        <v>6.6593488495074631</v>
      </c>
      <c r="Y256">
        <v>2865.1104130623071</v>
      </c>
      <c r="Z256">
        <v>9.1565022033696142</v>
      </c>
      <c r="AA256">
        <v>2712.4913454699081</v>
      </c>
      <c r="AB256">
        <v>6.6746092940796897</v>
      </c>
      <c r="AC256">
        <v>2180.1127560683453</v>
      </c>
      <c r="AD256">
        <v>9.143188034172022</v>
      </c>
      <c r="AE256">
        <v>1992.9544292049338</v>
      </c>
      <c r="AF256">
        <v>6.6663673489842337</v>
      </c>
      <c r="AG256">
        <v>2075.4981175112612</v>
      </c>
      <c r="AH256">
        <v>9.1422934404044494</v>
      </c>
      <c r="AI256">
        <v>1875.5457098336708</v>
      </c>
      <c r="AJ256">
        <v>6.6658128681899518</v>
      </c>
    </row>
    <row r="257" spans="4:36" x14ac:dyDescent="0.55000000000000004">
      <c r="D257">
        <v>250</v>
      </c>
      <c r="E257">
        <v>13.0653220961931</v>
      </c>
      <c r="F257">
        <v>0.45373444215731618</v>
      </c>
      <c r="G257">
        <v>0.1659438106078597</v>
      </c>
      <c r="H257">
        <v>16.314999651041727</v>
      </c>
      <c r="I257">
        <v>13.271176688784712</v>
      </c>
      <c r="J257">
        <v>0.3098614157025586</v>
      </c>
      <c r="K257">
        <v>0.11300465329098448</v>
      </c>
      <c r="L257">
        <v>16.305957242221762</v>
      </c>
      <c r="M257">
        <v>13.194955833902913</v>
      </c>
      <c r="N257">
        <v>0.36316303095968228</v>
      </c>
      <c r="O257">
        <v>0.13258188859134215</v>
      </c>
      <c r="P257">
        <v>16.309299246546058</v>
      </c>
      <c r="Q257">
        <v>13.154006531464931</v>
      </c>
      <c r="R257">
        <v>0.39178436331231975</v>
      </c>
      <c r="S257">
        <v>0.14311143642336205</v>
      </c>
      <c r="T257">
        <v>16.311097668799391</v>
      </c>
      <c r="U257">
        <v>1614.82241691274</v>
      </c>
      <c r="V257">
        <v>10.189332761043294</v>
      </c>
      <c r="W257">
        <v>1332.5717274096298</v>
      </c>
      <c r="X257">
        <v>7.2578777299342354</v>
      </c>
      <c r="Y257">
        <v>2929.2231475217682</v>
      </c>
      <c r="Z257">
        <v>10.23250910921891</v>
      </c>
      <c r="AA257">
        <v>2747.7885954936251</v>
      </c>
      <c r="AB257">
        <v>7.282362635763171</v>
      </c>
      <c r="AC257">
        <v>2285.9901906426676</v>
      </c>
      <c r="AD257">
        <v>10.216525420344126</v>
      </c>
      <c r="AE257">
        <v>2058.8718426221703</v>
      </c>
      <c r="AF257">
        <v>7.2733065799869063</v>
      </c>
      <c r="AG257">
        <v>2155.5162702398429</v>
      </c>
      <c r="AH257">
        <v>10.207936794291765</v>
      </c>
      <c r="AI257">
        <v>1920.3400574334735</v>
      </c>
      <c r="AJ257">
        <v>7.2684364867497058</v>
      </c>
    </row>
    <row r="258" spans="4:36" x14ac:dyDescent="0.55000000000000004">
      <c r="D258">
        <v>251</v>
      </c>
      <c r="E258">
        <v>13.108911943902397</v>
      </c>
      <c r="F258">
        <v>0.46951848491734888</v>
      </c>
      <c r="G258">
        <v>0.17932581185898938</v>
      </c>
      <c r="H258">
        <v>16.242243759321269</v>
      </c>
      <c r="I258">
        <v>13.355683037560063</v>
      </c>
      <c r="J258">
        <v>0.30052895751974568</v>
      </c>
      <c r="K258">
        <v>0.11437027155316314</v>
      </c>
      <c r="L258">
        <v>16.229417733367033</v>
      </c>
      <c r="M258">
        <v>13.277805850996806</v>
      </c>
      <c r="N258">
        <v>0.35390112269724572</v>
      </c>
      <c r="O258">
        <v>0.13483401142569201</v>
      </c>
      <c r="P258">
        <v>16.233459014880243</v>
      </c>
      <c r="Q258">
        <v>13.24170095681473</v>
      </c>
      <c r="R258">
        <v>0.37863219250368302</v>
      </c>
      <c r="S258">
        <v>0.14433224562267269</v>
      </c>
      <c r="T258">
        <v>16.23533460505891</v>
      </c>
      <c r="U258">
        <v>1606.5448537359521</v>
      </c>
      <c r="V258">
        <v>10.330301190305809</v>
      </c>
      <c r="W258">
        <v>1323.2093691219513</v>
      </c>
      <c r="X258">
        <v>7.3524982038918445</v>
      </c>
      <c r="Y258">
        <v>2924.9662425807805</v>
      </c>
      <c r="Z258">
        <v>10.387390496635444</v>
      </c>
      <c r="AA258">
        <v>2744.0718527728859</v>
      </c>
      <c r="AB258">
        <v>7.3849733434277853</v>
      </c>
      <c r="AC258">
        <v>2266.5433841385889</v>
      </c>
      <c r="AD258">
        <v>10.369376895268243</v>
      </c>
      <c r="AE258">
        <v>2043.9830362580394</v>
      </c>
      <c r="AF258">
        <v>7.3747385908856309</v>
      </c>
      <c r="AG258">
        <v>2164.9959423436758</v>
      </c>
      <c r="AH258">
        <v>10.361024644414107</v>
      </c>
      <c r="AI258">
        <v>1926.3373562476761</v>
      </c>
      <c r="AJ258">
        <v>7.369989298933322</v>
      </c>
    </row>
    <row r="259" spans="4:36" x14ac:dyDescent="0.55000000000000004">
      <c r="D259">
        <v>252</v>
      </c>
      <c r="E259">
        <v>13.087913212699188</v>
      </c>
      <c r="F259">
        <v>0.45036299983895361</v>
      </c>
      <c r="G259">
        <v>0.16009775892399611</v>
      </c>
      <c r="H259">
        <v>16.301626028537868</v>
      </c>
      <c r="I259">
        <v>13.313617821741948</v>
      </c>
      <c r="J259">
        <v>0.29924087832935781</v>
      </c>
      <c r="K259">
        <v>0.10603820824435785</v>
      </c>
      <c r="L259">
        <v>16.281103091684326</v>
      </c>
      <c r="M259">
        <v>13.244155541582323</v>
      </c>
      <c r="N259">
        <v>0.34578538258245356</v>
      </c>
      <c r="O259">
        <v>0.12265098318925369</v>
      </c>
      <c r="P259">
        <v>16.287408092645979</v>
      </c>
      <c r="Q259">
        <v>13.175547579845411</v>
      </c>
      <c r="R259">
        <v>0.39172650679721854</v>
      </c>
      <c r="S259">
        <v>0.1390807197166547</v>
      </c>
      <c r="T259">
        <v>16.293645193640717</v>
      </c>
      <c r="U259">
        <v>1521.8191940771376</v>
      </c>
      <c r="V259">
        <v>10.278212595170286</v>
      </c>
      <c r="W259">
        <v>1270.8740573736445</v>
      </c>
      <c r="X259">
        <v>7.320046152285741</v>
      </c>
      <c r="Y259">
        <v>2906.4820666423161</v>
      </c>
      <c r="Z259">
        <v>10.330051593382265</v>
      </c>
      <c r="AA259">
        <v>2735.4537812161016</v>
      </c>
      <c r="AB259">
        <v>7.3490158581563927</v>
      </c>
      <c r="AC259">
        <v>2224.3186477755321</v>
      </c>
      <c r="AD259">
        <v>10.314104507591946</v>
      </c>
      <c r="AE259">
        <v>2019.6701462836907</v>
      </c>
      <c r="AF259">
        <v>7.3401130129857135</v>
      </c>
      <c r="AG259">
        <v>2106.5500773972667</v>
      </c>
      <c r="AH259">
        <v>10.298347679756157</v>
      </c>
      <c r="AI259">
        <v>1889.3626262579137</v>
      </c>
      <c r="AJ259">
        <v>7.3313085363054276</v>
      </c>
    </row>
    <row r="260" spans="4:36" x14ac:dyDescent="0.55000000000000004">
      <c r="D260">
        <v>253</v>
      </c>
      <c r="E260">
        <v>12.179071225301108</v>
      </c>
      <c r="F260">
        <v>0.43248648891942248</v>
      </c>
      <c r="G260">
        <v>0.14213322051114985</v>
      </c>
      <c r="H260">
        <v>17.24630906526831</v>
      </c>
      <c r="I260">
        <v>12.360625969130139</v>
      </c>
      <c r="J260">
        <v>0.29551473339547807</v>
      </c>
      <c r="K260">
        <v>9.6862472680142975E-2</v>
      </c>
      <c r="L260">
        <v>17.246996824794252</v>
      </c>
      <c r="M260">
        <v>12.313968501663176</v>
      </c>
      <c r="N260">
        <v>0.33073220691182442</v>
      </c>
      <c r="O260">
        <v>0.10847914700662624</v>
      </c>
      <c r="P260">
        <v>17.246820144418372</v>
      </c>
      <c r="Q260">
        <v>12.267616375046993</v>
      </c>
      <c r="R260">
        <v>0.36570738298749889</v>
      </c>
      <c r="S260">
        <v>0.12003166685368476</v>
      </c>
      <c r="T260">
        <v>17.246644575111812</v>
      </c>
      <c r="U260">
        <v>1496.0999752845662</v>
      </c>
      <c r="V260">
        <v>9.6025171779447405</v>
      </c>
      <c r="W260">
        <v>1258.2790551373198</v>
      </c>
      <c r="X260">
        <v>6.9341503239166125</v>
      </c>
      <c r="Y260">
        <v>2905.7541053082532</v>
      </c>
      <c r="Z260">
        <v>9.6363430700749468</v>
      </c>
      <c r="AA260">
        <v>2738.5519579642346</v>
      </c>
      <c r="AB260">
        <v>6.9539292384907245</v>
      </c>
      <c r="AC260">
        <v>2184.8691268512548</v>
      </c>
      <c r="AD260">
        <v>9.6276500220803243</v>
      </c>
      <c r="AE260">
        <v>1996.294205099402</v>
      </c>
      <c r="AF260">
        <v>6.9488519470201906</v>
      </c>
      <c r="AG260">
        <v>2107.6354294324174</v>
      </c>
      <c r="AH260">
        <v>9.6190139906992673</v>
      </c>
      <c r="AI260">
        <v>1896.2185195676316</v>
      </c>
      <c r="AJ260">
        <v>6.9438040221414878</v>
      </c>
    </row>
    <row r="261" spans="4:36" x14ac:dyDescent="0.55000000000000004">
      <c r="D261">
        <v>254</v>
      </c>
      <c r="E261">
        <v>12.283528112173217</v>
      </c>
      <c r="F261">
        <v>0.44990343053682602</v>
      </c>
      <c r="G261">
        <v>0.17371778885482841</v>
      </c>
      <c r="H261">
        <v>17.09285066843514</v>
      </c>
      <c r="I261">
        <v>12.49967377072868</v>
      </c>
      <c r="J261">
        <v>0.28321330825875057</v>
      </c>
      <c r="K261">
        <v>0.10899022349662309</v>
      </c>
      <c r="L261">
        <v>17.108122697515945</v>
      </c>
      <c r="M261">
        <v>12.413638552268171</v>
      </c>
      <c r="N261">
        <v>0.34959206359959016</v>
      </c>
      <c r="O261">
        <v>0.13471331436198286</v>
      </c>
      <c r="P261">
        <v>17.102056069770232</v>
      </c>
      <c r="Q261">
        <v>12.347256304527772</v>
      </c>
      <c r="R261">
        <v>0.40078185168970848</v>
      </c>
      <c r="S261">
        <v>0.15459768719856709</v>
      </c>
      <c r="T261">
        <v>17.097364156583968</v>
      </c>
      <c r="U261">
        <v>1477.7198023785154</v>
      </c>
      <c r="V261">
        <v>9.6471300843780146</v>
      </c>
      <c r="W261">
        <v>1243.1230669304214</v>
      </c>
      <c r="X261">
        <v>6.9482265697986874</v>
      </c>
      <c r="Y261">
        <v>2876.2938798850546</v>
      </c>
      <c r="Z261">
        <v>9.6761864334751948</v>
      </c>
      <c r="AA261">
        <v>2717.8004480132208</v>
      </c>
      <c r="AB261">
        <v>6.9659213336924992</v>
      </c>
      <c r="AC261">
        <v>2187.7531806700226</v>
      </c>
      <c r="AD261">
        <v>9.6646136218020686</v>
      </c>
      <c r="AE261">
        <v>1996.5626161644761</v>
      </c>
      <c r="AF261">
        <v>6.9588831101991238</v>
      </c>
      <c r="AG261">
        <v>2098.8743287713191</v>
      </c>
      <c r="AH261">
        <v>9.6556908179853735</v>
      </c>
      <c r="AI261">
        <v>1886.7920319693287</v>
      </c>
      <c r="AJ261">
        <v>6.9534480739877997</v>
      </c>
    </row>
    <row r="262" spans="4:36" x14ac:dyDescent="0.55000000000000004">
      <c r="D262">
        <v>255</v>
      </c>
      <c r="E262">
        <v>13.388436264721461</v>
      </c>
      <c r="F262">
        <v>0.44388236592364871</v>
      </c>
      <c r="G262">
        <v>0.14448127415286155</v>
      </c>
      <c r="H262">
        <v>16.023200095202036</v>
      </c>
      <c r="I262">
        <v>13.607118597521881</v>
      </c>
      <c r="J262">
        <v>0.29564043453138295</v>
      </c>
      <c r="K262">
        <v>9.5944473101594888E-2</v>
      </c>
      <c r="L262">
        <v>16.001296494845128</v>
      </c>
      <c r="M262">
        <v>13.50258044884708</v>
      </c>
      <c r="N262">
        <v>0.36654337920996993</v>
      </c>
      <c r="O262">
        <v>0.11912277952161431</v>
      </c>
      <c r="P262">
        <v>16.011753392421323</v>
      </c>
      <c r="Q262">
        <v>13.437985421037519</v>
      </c>
      <c r="R262">
        <v>0.41032029709609436</v>
      </c>
      <c r="S262">
        <v>0.13346684766141001</v>
      </c>
      <c r="T262">
        <v>16.018227434204977</v>
      </c>
      <c r="U262">
        <v>1587.0031704671035</v>
      </c>
      <c r="V262">
        <v>10.554373719751515</v>
      </c>
      <c r="W262">
        <v>1313.1761817953898</v>
      </c>
      <c r="X262">
        <v>7.486353703930452</v>
      </c>
      <c r="Y262">
        <v>2933.0030064163561</v>
      </c>
      <c r="Z262">
        <v>10.60667554457001</v>
      </c>
      <c r="AA262">
        <v>2751.4903667933372</v>
      </c>
      <c r="AB262">
        <v>7.515494218372365</v>
      </c>
      <c r="AC262">
        <v>2272.8261663271201</v>
      </c>
      <c r="AD262">
        <v>10.581680778767712</v>
      </c>
      <c r="AE262">
        <v>2049.0436353423961</v>
      </c>
      <c r="AF262">
        <v>7.5015780936336389</v>
      </c>
      <c r="AG262">
        <v>2160.6100258495685</v>
      </c>
      <c r="AH262">
        <v>10.566229516745965</v>
      </c>
      <c r="AI262">
        <v>1922.5305862033151</v>
      </c>
      <c r="AJ262">
        <v>7.4929663116028093</v>
      </c>
    </row>
    <row r="263" spans="4:36" x14ac:dyDescent="0.55000000000000004">
      <c r="D263">
        <v>256</v>
      </c>
      <c r="E263">
        <v>13.85592738604095</v>
      </c>
      <c r="F263">
        <v>0.5279789374495093</v>
      </c>
      <c r="G263">
        <v>0.17623478678104337</v>
      </c>
      <c r="H263">
        <v>15.439858889728498</v>
      </c>
      <c r="I263">
        <v>14.08855719294337</v>
      </c>
      <c r="J263">
        <v>0.35097507657488708</v>
      </c>
      <c r="K263">
        <v>0.11680563487713458</v>
      </c>
      <c r="L263">
        <v>15.443662095604601</v>
      </c>
      <c r="M263">
        <v>13.999457793210667</v>
      </c>
      <c r="N263">
        <v>0.41880092244670708</v>
      </c>
      <c r="O263">
        <v>0.13953595443432473</v>
      </c>
      <c r="P263">
        <v>15.442205329908301</v>
      </c>
      <c r="Q263">
        <v>13.928553458087389</v>
      </c>
      <c r="R263">
        <v>0.47274793810404625</v>
      </c>
      <c r="S263">
        <v>0.15765246391787241</v>
      </c>
      <c r="T263">
        <v>15.441046139890688</v>
      </c>
      <c r="U263">
        <v>1636.6463122649102</v>
      </c>
      <c r="V263">
        <v>11.055366921477345</v>
      </c>
      <c r="W263">
        <v>1338.9983778430076</v>
      </c>
      <c r="X263">
        <v>7.7801238319111921</v>
      </c>
      <c r="Y263">
        <v>2949.7745203315021</v>
      </c>
      <c r="Z263">
        <v>11.098633237803407</v>
      </c>
      <c r="AA263">
        <v>2757.2056460500212</v>
      </c>
      <c r="AB263">
        <v>7.8047491623419578</v>
      </c>
      <c r="AC263">
        <v>2300.8352549816404</v>
      </c>
      <c r="AD263">
        <v>11.082061964535468</v>
      </c>
      <c r="AE263">
        <v>2062.4085927109786</v>
      </c>
      <c r="AF263">
        <v>7.7953266664479406</v>
      </c>
      <c r="AG263">
        <v>2214.6210185741847</v>
      </c>
      <c r="AH263">
        <v>11.068874609511456</v>
      </c>
      <c r="AI263">
        <v>1953.4704706764053</v>
      </c>
      <c r="AJ263">
        <v>7.7878201780093832</v>
      </c>
    </row>
    <row r="264" spans="4:36" x14ac:dyDescent="0.55000000000000004">
      <c r="D264">
        <v>257</v>
      </c>
      <c r="E264">
        <v>13.237031674540599</v>
      </c>
      <c r="F264">
        <v>0.43608233999995577</v>
      </c>
      <c r="G264">
        <v>0.15118448467610826</v>
      </c>
      <c r="H264">
        <v>16.175701500783333</v>
      </c>
      <c r="I264">
        <v>13.479929129570856</v>
      </c>
      <c r="J264">
        <v>0.2763264049541943</v>
      </c>
      <c r="K264">
        <v>9.5464177789532742E-2</v>
      </c>
      <c r="L264">
        <v>16.148280287685413</v>
      </c>
      <c r="M264">
        <v>13.376612193060145</v>
      </c>
      <c r="N264">
        <v>0.34432688974127096</v>
      </c>
      <c r="O264">
        <v>0.1191332411222368</v>
      </c>
      <c r="P264">
        <v>16.159927676076357</v>
      </c>
      <c r="Q264">
        <v>13.322396295481719</v>
      </c>
      <c r="R264">
        <v>0.37998203979671952</v>
      </c>
      <c r="S264">
        <v>0.131572369681736</v>
      </c>
      <c r="T264">
        <v>16.166049295039844</v>
      </c>
      <c r="U264">
        <v>1523.3871234231294</v>
      </c>
      <c r="V264">
        <v>10.51198190817569</v>
      </c>
      <c r="W264">
        <v>1271.1578303599715</v>
      </c>
      <c r="X264">
        <v>7.4743571013499865</v>
      </c>
      <c r="Y264">
        <v>2909.9044785707233</v>
      </c>
      <c r="Z264">
        <v>10.576594864747879</v>
      </c>
      <c r="AA264">
        <v>2738.2816055884414</v>
      </c>
      <c r="AB264">
        <v>7.5104420002046846</v>
      </c>
      <c r="AC264">
        <v>2207.0270866133128</v>
      </c>
      <c r="AD264">
        <v>10.5491211609441</v>
      </c>
      <c r="AE264">
        <v>2005.9870400079078</v>
      </c>
      <c r="AF264">
        <v>7.4951123477041239</v>
      </c>
      <c r="AG264">
        <v>2153.4518320014158</v>
      </c>
      <c r="AH264">
        <v>10.534698605732672</v>
      </c>
      <c r="AI264">
        <v>1922.1156276697102</v>
      </c>
      <c r="AJ264">
        <v>7.487056772443518</v>
      </c>
    </row>
    <row r="265" spans="4:36" x14ac:dyDescent="0.55000000000000004">
      <c r="D265">
        <v>258</v>
      </c>
      <c r="E265">
        <v>13.937649757606076</v>
      </c>
      <c r="F265">
        <v>0.50033256892427325</v>
      </c>
      <c r="G265">
        <v>0.18772164199042693</v>
      </c>
      <c r="H265">
        <v>15.374296031479219</v>
      </c>
      <c r="I265">
        <v>14.225228805074599</v>
      </c>
      <c r="J265">
        <v>0.30374206762588002</v>
      </c>
      <c r="K265">
        <v>0.11352225433090946</v>
      </c>
      <c r="L265">
        <v>15.357506872968608</v>
      </c>
      <c r="M265">
        <v>14.074690358776575</v>
      </c>
      <c r="N265">
        <v>0.40671388131413377</v>
      </c>
      <c r="O265">
        <v>0.1523142547636227</v>
      </c>
      <c r="P265">
        <v>15.366281505145661</v>
      </c>
      <c r="Q265">
        <v>14.015000048784378</v>
      </c>
      <c r="R265">
        <v>0.44750524688745519</v>
      </c>
      <c r="S265">
        <v>0.16772548617938826</v>
      </c>
      <c r="T265">
        <v>15.369769218148761</v>
      </c>
      <c r="U265">
        <v>1575.7754989483385</v>
      </c>
      <c r="V265">
        <v>11.048200511383474</v>
      </c>
      <c r="W265">
        <v>1299.9069208357787</v>
      </c>
      <c r="X265">
        <v>7.768922279485289</v>
      </c>
      <c r="Y265">
        <v>2931.3998785973599</v>
      </c>
      <c r="Z265">
        <v>11.112376946762383</v>
      </c>
      <c r="AA265">
        <v>2748.7521459485051</v>
      </c>
      <c r="AB265">
        <v>7.8047070016656512</v>
      </c>
      <c r="AC265">
        <v>2261.1595043125681</v>
      </c>
      <c r="AD265">
        <v>11.078790613576002</v>
      </c>
      <c r="AE265">
        <v>2036.8518470556246</v>
      </c>
      <c r="AF265">
        <v>7.7859950020259916</v>
      </c>
      <c r="AG265">
        <v>2173.4247025696027</v>
      </c>
      <c r="AH265">
        <v>11.065468386182529</v>
      </c>
      <c r="AI265">
        <v>1927.9373795108138</v>
      </c>
      <c r="AJ265">
        <v>7.778563245467895</v>
      </c>
    </row>
    <row r="266" spans="4:36" x14ac:dyDescent="0.55000000000000004">
      <c r="D266">
        <v>259</v>
      </c>
      <c r="E266">
        <v>12.105356235525219</v>
      </c>
      <c r="F266">
        <v>0.46403947677516305</v>
      </c>
      <c r="G266">
        <v>0.18156140372946403</v>
      </c>
      <c r="H266">
        <v>17.249042883970137</v>
      </c>
      <c r="I266">
        <v>12.325519216156675</v>
      </c>
      <c r="J266">
        <v>0.2919515666241736</v>
      </c>
      <c r="K266">
        <v>0.11384840325817491</v>
      </c>
      <c r="L266">
        <v>17.268680813960966</v>
      </c>
      <c r="M266">
        <v>12.247650150381654</v>
      </c>
      <c r="N266">
        <v>0.35284488504405442</v>
      </c>
      <c r="O266">
        <v>0.13775622043404215</v>
      </c>
      <c r="P266">
        <v>17.261748744140235</v>
      </c>
      <c r="Q266">
        <v>12.213138875378407</v>
      </c>
      <c r="R266">
        <v>0.37982286720183128</v>
      </c>
      <c r="S266">
        <v>0.14836653242873604</v>
      </c>
      <c r="T266">
        <v>17.258671724991036</v>
      </c>
      <c r="U266">
        <v>1486.391097739184</v>
      </c>
      <c r="V266">
        <v>9.6422402857794314</v>
      </c>
      <c r="W266">
        <v>1249.5499687673412</v>
      </c>
      <c r="X266">
        <v>6.962933806598059</v>
      </c>
      <c r="Y266">
        <v>2862.5297170902854</v>
      </c>
      <c r="Z266">
        <v>9.6727126353642934</v>
      </c>
      <c r="AA266">
        <v>2707.9492679092036</v>
      </c>
      <c r="AB266">
        <v>6.9815916454870788</v>
      </c>
      <c r="AC266">
        <v>2195.3260716130717</v>
      </c>
      <c r="AD266">
        <v>9.6619273771611009</v>
      </c>
      <c r="AE266">
        <v>2002.7741511272702</v>
      </c>
      <c r="AF266">
        <v>6.9749978345704875</v>
      </c>
      <c r="AG266">
        <v>2079.4173507420351</v>
      </c>
      <c r="AH266">
        <v>9.6571500210759567</v>
      </c>
      <c r="AI266">
        <v>1875.2576866524203</v>
      </c>
      <c r="AJ266">
        <v>6.9720736556721228</v>
      </c>
    </row>
    <row r="267" spans="4:36" x14ac:dyDescent="0.55000000000000004">
      <c r="D267">
        <v>260</v>
      </c>
      <c r="E267">
        <v>11.929782851878297</v>
      </c>
      <c r="F267">
        <v>0.42724201941235612</v>
      </c>
      <c r="G267">
        <v>0.15516123112761354</v>
      </c>
      <c r="H267">
        <v>17.487813897581734</v>
      </c>
      <c r="I267">
        <v>12.097884266110144</v>
      </c>
      <c r="J267">
        <v>0.29751298525841574</v>
      </c>
      <c r="K267">
        <v>0.10777127448042265</v>
      </c>
      <c r="L267">
        <v>17.49683147415103</v>
      </c>
      <c r="M267">
        <v>12.02650465436939</v>
      </c>
      <c r="N267">
        <v>0.3526169953776962</v>
      </c>
      <c r="O267">
        <v>0.12787069846442881</v>
      </c>
      <c r="P267">
        <v>17.493007651788474</v>
      </c>
      <c r="Q267">
        <v>11.991410141398724</v>
      </c>
      <c r="R267">
        <v>0.37969963315815347</v>
      </c>
      <c r="S267">
        <v>0.13776542474990228</v>
      </c>
      <c r="T267">
        <v>17.491124800693218</v>
      </c>
      <c r="U267">
        <v>1522.1339360803108</v>
      </c>
      <c r="V267">
        <v>9.429595449153334</v>
      </c>
      <c r="W267">
        <v>1276.1959693666556</v>
      </c>
      <c r="X267">
        <v>6.8342042804797085</v>
      </c>
      <c r="Y267">
        <v>2872.7834949911662</v>
      </c>
      <c r="Z267">
        <v>9.4566327287743235</v>
      </c>
      <c r="AA267">
        <v>2713.400915525589</v>
      </c>
      <c r="AB267">
        <v>6.8505296386886432</v>
      </c>
      <c r="AC267">
        <v>2203.2951351686629</v>
      </c>
      <c r="AD267">
        <v>9.4451486718348203</v>
      </c>
      <c r="AE267">
        <v>2006.8027754528889</v>
      </c>
      <c r="AF267">
        <v>6.8436021203244648</v>
      </c>
      <c r="AG267">
        <v>2112.3883964201032</v>
      </c>
      <c r="AH267">
        <v>9.4395042671859191</v>
      </c>
      <c r="AI267">
        <v>1897.3517552917665</v>
      </c>
      <c r="AJ267">
        <v>6.8401936572205404</v>
      </c>
    </row>
    <row r="268" spans="4:36" x14ac:dyDescent="0.55000000000000004">
      <c r="D268">
        <v>261</v>
      </c>
      <c r="E268">
        <v>13.045065660280152</v>
      </c>
      <c r="F268">
        <v>0.44843151897790856</v>
      </c>
      <c r="G268">
        <v>0.16729336648418633</v>
      </c>
      <c r="H268">
        <v>16.339209454257759</v>
      </c>
      <c r="I268">
        <v>13.293334587952007</v>
      </c>
      <c r="J268">
        <v>0.28301303876701006</v>
      </c>
      <c r="K268">
        <v>0.10519176110544387</v>
      </c>
      <c r="L268">
        <v>16.318460612175535</v>
      </c>
      <c r="M268">
        <v>13.189666361159414</v>
      </c>
      <c r="N268">
        <v>0.35213538705484404</v>
      </c>
      <c r="O268">
        <v>0.13108499736289295</v>
      </c>
      <c r="P268">
        <v>16.327113254422866</v>
      </c>
      <c r="Q268">
        <v>13.157382612758449</v>
      </c>
      <c r="R268">
        <v>0.37364662302107948</v>
      </c>
      <c r="S268">
        <v>0.1391596492587483</v>
      </c>
      <c r="T268">
        <v>16.329811114961728</v>
      </c>
      <c r="U268">
        <v>1563.5712695672146</v>
      </c>
      <c r="V268">
        <v>10.224592426579873</v>
      </c>
      <c r="W268">
        <v>1297.8550586403974</v>
      </c>
      <c r="X268">
        <v>7.2850540570959543</v>
      </c>
      <c r="Y268">
        <v>2893.1888475253836</v>
      </c>
      <c r="Z268">
        <v>10.280141493236705</v>
      </c>
      <c r="AA268">
        <v>2725.1404620099352</v>
      </c>
      <c r="AB268">
        <v>7.31639835582485</v>
      </c>
      <c r="AC268">
        <v>2218.2597837519697</v>
      </c>
      <c r="AD268">
        <v>10.256952104292925</v>
      </c>
      <c r="AE268">
        <v>2012.496799564706</v>
      </c>
      <c r="AF268">
        <v>7.3033264230436554</v>
      </c>
      <c r="AG268">
        <v>2144.150549770115</v>
      </c>
      <c r="AH268">
        <v>10.249728875941546</v>
      </c>
      <c r="AI268">
        <v>1914.9426448857257</v>
      </c>
      <c r="AJ268">
        <v>7.2992508822887965</v>
      </c>
    </row>
    <row r="269" spans="4:36" x14ac:dyDescent="0.55000000000000004">
      <c r="D269">
        <v>262</v>
      </c>
      <c r="E269">
        <v>11.575949119839725</v>
      </c>
      <c r="F269">
        <v>0.46933997221057239</v>
      </c>
      <c r="G269">
        <v>0.17915048224004748</v>
      </c>
      <c r="H269">
        <v>17.775560425709656</v>
      </c>
      <c r="I269">
        <v>11.768110263858986</v>
      </c>
      <c r="J269">
        <v>0.30458283458973168</v>
      </c>
      <c r="K269">
        <v>0.11592598255004508</v>
      </c>
      <c r="L269">
        <v>17.811380919001241</v>
      </c>
      <c r="M269">
        <v>11.680114617398861</v>
      </c>
      <c r="N269">
        <v>0.38004587828752479</v>
      </c>
      <c r="O269">
        <v>0.14483851378864576</v>
      </c>
      <c r="P269">
        <v>17.795000990524965</v>
      </c>
      <c r="Q269">
        <v>11.64287367704147</v>
      </c>
      <c r="R269">
        <v>0.41197452326680023</v>
      </c>
      <c r="S269">
        <v>0.15709479688263858</v>
      </c>
      <c r="T269">
        <v>17.788057002809087</v>
      </c>
      <c r="U269">
        <v>1474.2217555299758</v>
      </c>
      <c r="V269">
        <v>9.320420023697606</v>
      </c>
      <c r="W269">
        <v>1239.9575231483452</v>
      </c>
      <c r="X269">
        <v>6.7854292980950897</v>
      </c>
      <c r="Y269">
        <v>2859.0165681618514</v>
      </c>
      <c r="Z269">
        <v>9.3376205513942629</v>
      </c>
      <c r="AA269">
        <v>2704.322803114831</v>
      </c>
      <c r="AB269">
        <v>6.7972161399030711</v>
      </c>
      <c r="AC269">
        <v>2179.7572178914334</v>
      </c>
      <c r="AD269">
        <v>9.3297303134964888</v>
      </c>
      <c r="AE269">
        <v>1989.1966831346992</v>
      </c>
      <c r="AF269">
        <v>6.7918189065585652</v>
      </c>
      <c r="AG269">
        <v>2109.1940972866651</v>
      </c>
      <c r="AH269">
        <v>9.3263979920919731</v>
      </c>
      <c r="AI269">
        <v>1894.450381439791</v>
      </c>
      <c r="AJ269">
        <v>6.7895345881374078</v>
      </c>
    </row>
    <row r="270" spans="4:36" x14ac:dyDescent="0.55000000000000004">
      <c r="D270">
        <v>263</v>
      </c>
      <c r="E270">
        <v>12.586743245378791</v>
      </c>
      <c r="F270">
        <v>0.44845134730515329</v>
      </c>
      <c r="G270">
        <v>0.16069988301888408</v>
      </c>
      <c r="H270">
        <v>16.804105524297164</v>
      </c>
      <c r="I270">
        <v>12.837328405105296</v>
      </c>
      <c r="J270">
        <v>0.2759225830691342</v>
      </c>
      <c r="K270">
        <v>9.8500556058516708E-2</v>
      </c>
      <c r="L270">
        <v>16.78824845576704</v>
      </c>
      <c r="M270">
        <v>12.745904258766577</v>
      </c>
      <c r="N270">
        <v>0.33891526240088182</v>
      </c>
      <c r="O270">
        <v>0.12115489761229384</v>
      </c>
      <c r="P270">
        <v>16.79402558122025</v>
      </c>
      <c r="Q270">
        <v>12.711417777395258</v>
      </c>
      <c r="R270">
        <v>0.36266307860020636</v>
      </c>
      <c r="S270">
        <v>0.12971190967455587</v>
      </c>
      <c r="T270">
        <v>16.796207234329966</v>
      </c>
      <c r="U270">
        <v>1512.7614894490164</v>
      </c>
      <c r="V270">
        <v>9.9168603475194423</v>
      </c>
      <c r="W270">
        <v>1268.0751868285131</v>
      </c>
      <c r="X270">
        <v>7.1142873118680159</v>
      </c>
      <c r="Y270">
        <v>2890.9459532150372</v>
      </c>
      <c r="Z270">
        <v>9.9706119208887589</v>
      </c>
      <c r="AA270">
        <v>2728.3444854023996</v>
      </c>
      <c r="AB270">
        <v>7.1448956564266366</v>
      </c>
      <c r="AC270">
        <v>2202.2929923646084</v>
      </c>
      <c r="AD270">
        <v>9.9510060009669878</v>
      </c>
      <c r="AE270">
        <v>2007.2460408974566</v>
      </c>
      <c r="AF270">
        <v>7.1337442895558993</v>
      </c>
      <c r="AG270">
        <v>2098.2587095753888</v>
      </c>
      <c r="AH270">
        <v>9.9436089010152422</v>
      </c>
      <c r="AI270">
        <v>1888.4736482289741</v>
      </c>
      <c r="AJ270">
        <v>7.1295331296183502</v>
      </c>
    </row>
    <row r="271" spans="4:36" x14ac:dyDescent="0.55000000000000004">
      <c r="D271">
        <v>264</v>
      </c>
      <c r="E271">
        <v>11.37035127238355</v>
      </c>
      <c r="F271">
        <v>0.45821846465508231</v>
      </c>
      <c r="G271">
        <v>0.14643948158212355</v>
      </c>
      <c r="H271">
        <v>18.024990781379241</v>
      </c>
      <c r="I271">
        <v>11.58092651111156</v>
      </c>
      <c r="J271">
        <v>0.28168176834436137</v>
      </c>
      <c r="K271">
        <v>8.973135638128002E-2</v>
      </c>
      <c r="L271">
        <v>18.047660364162788</v>
      </c>
      <c r="M271">
        <v>11.464530932447158</v>
      </c>
      <c r="N271">
        <v>0.37928467836336555</v>
      </c>
      <c r="O271">
        <v>0.12103812108995339</v>
      </c>
      <c r="P271">
        <v>18.035146268099535</v>
      </c>
      <c r="Q271">
        <v>11.46422427662525</v>
      </c>
      <c r="R271">
        <v>0.37954175095603621</v>
      </c>
      <c r="S271">
        <v>0.12112072770922439</v>
      </c>
      <c r="T271">
        <v>18.035113244709475</v>
      </c>
      <c r="U271">
        <v>1495.0714205268607</v>
      </c>
      <c r="V271">
        <v>9.0031853705951423</v>
      </c>
      <c r="W271">
        <v>1262.3885047557569</v>
      </c>
      <c r="X271">
        <v>6.581688576157239</v>
      </c>
      <c r="Y271">
        <v>2837.6062865895306</v>
      </c>
      <c r="Z271">
        <v>9.0305741329678781</v>
      </c>
      <c r="AA271">
        <v>2694.3588381897939</v>
      </c>
      <c r="AB271">
        <v>6.5989368180971439</v>
      </c>
      <c r="AC271">
        <v>2170.8071511502544</v>
      </c>
      <c r="AD271">
        <v>9.0154254917310226</v>
      </c>
      <c r="AE271">
        <v>1987.6688470624131</v>
      </c>
      <c r="AF271">
        <v>6.5894078575177417</v>
      </c>
      <c r="AG271">
        <v>2061.5949405761485</v>
      </c>
      <c r="AH271">
        <v>9.0153856119709381</v>
      </c>
      <c r="AI271">
        <v>1867.3955671330191</v>
      </c>
      <c r="AJ271">
        <v>6.5893827362303785</v>
      </c>
    </row>
    <row r="272" spans="4:36" x14ac:dyDescent="0.55000000000000004">
      <c r="D272">
        <v>265</v>
      </c>
      <c r="E272">
        <v>10.459335299593363</v>
      </c>
      <c r="F272">
        <v>0.41553686990608857</v>
      </c>
      <c r="G272">
        <v>0.15843142013683742</v>
      </c>
      <c r="H272">
        <v>18.966696410363724</v>
      </c>
      <c r="I272">
        <v>10.641504964552151</v>
      </c>
      <c r="J272">
        <v>0.25689456072582367</v>
      </c>
      <c r="K272">
        <v>9.7639835505941935E-2</v>
      </c>
      <c r="L272">
        <v>19.003960639216096</v>
      </c>
      <c r="M272">
        <v>10.583131546382896</v>
      </c>
      <c r="N272">
        <v>0.30774146255653112</v>
      </c>
      <c r="O272">
        <v>0.11708245885584001</v>
      </c>
      <c r="P272">
        <v>18.992044532204737</v>
      </c>
      <c r="Q272">
        <v>10.552545660509956</v>
      </c>
      <c r="R272">
        <v>0.33437901164590461</v>
      </c>
      <c r="S272">
        <v>0.1272837065555513</v>
      </c>
      <c r="T272">
        <v>18.985791621288591</v>
      </c>
      <c r="U272">
        <v>1463.5549157274281</v>
      </c>
      <c r="V272">
        <v>8.3434317068517512</v>
      </c>
      <c r="W272">
        <v>1243.6626176180155</v>
      </c>
      <c r="X272">
        <v>6.1963315305157574</v>
      </c>
      <c r="Y272">
        <v>2842.1977197154501</v>
      </c>
      <c r="Z272">
        <v>8.3583813340665571</v>
      </c>
      <c r="AA272">
        <v>2700.6714451846965</v>
      </c>
      <c r="AB272">
        <v>6.2072249187497723</v>
      </c>
      <c r="AC272">
        <v>2143.067175866096</v>
      </c>
      <c r="AD272">
        <v>8.3535773323724651</v>
      </c>
      <c r="AE272">
        <v>1973.9691642271869</v>
      </c>
      <c r="AF272">
        <v>6.2037341459061848</v>
      </c>
      <c r="AG272">
        <v>2048.3415412703926</v>
      </c>
      <c r="AH272">
        <v>8.3510652917966279</v>
      </c>
      <c r="AI272">
        <v>1862.5246211058236</v>
      </c>
      <c r="AJ272">
        <v>6.2019051475539833</v>
      </c>
    </row>
    <row r="273" spans="4:36" x14ac:dyDescent="0.55000000000000004">
      <c r="D273">
        <v>266</v>
      </c>
      <c r="E273">
        <v>12.696427811616637</v>
      </c>
      <c r="F273">
        <v>0.4393299512553499</v>
      </c>
      <c r="G273">
        <v>0.18214257806764689</v>
      </c>
      <c r="H273">
        <v>16.682099659060363</v>
      </c>
      <c r="I273">
        <v>12.908746029148492</v>
      </c>
      <c r="J273">
        <v>0.28902249865595969</v>
      </c>
      <c r="K273">
        <v>0.11945983367781896</v>
      </c>
      <c r="L273">
        <v>16.68277163851775</v>
      </c>
      <c r="M273">
        <v>12.811777921012732</v>
      </c>
      <c r="N273">
        <v>0.35770385292754076</v>
      </c>
      <c r="O273">
        <v>0.14805368432497273</v>
      </c>
      <c r="P273">
        <v>16.682464541734767</v>
      </c>
      <c r="Q273">
        <v>12.779049882889066</v>
      </c>
      <c r="R273">
        <v>0.38087177001448208</v>
      </c>
      <c r="S273">
        <v>0.15771738069765662</v>
      </c>
      <c r="T273">
        <v>16.682360966398797</v>
      </c>
      <c r="U273">
        <v>1564.6277486919796</v>
      </c>
      <c r="V273">
        <v>9.9335414983376431</v>
      </c>
      <c r="W273">
        <v>1299.0381794212219</v>
      </c>
      <c r="X273">
        <v>7.1133277242942672</v>
      </c>
      <c r="Y273">
        <v>2912.5230860810352</v>
      </c>
      <c r="Z273">
        <v>9.9732277943165322</v>
      </c>
      <c r="AA273">
        <v>2738.3681711808263</v>
      </c>
      <c r="AB273">
        <v>7.1362796937862596</v>
      </c>
      <c r="AC273">
        <v>2230.6857000041</v>
      </c>
      <c r="AD273">
        <v>9.9551027915634425</v>
      </c>
      <c r="AE273">
        <v>2020.7096350283825</v>
      </c>
      <c r="AF273">
        <v>7.1258067939697112</v>
      </c>
      <c r="AG273">
        <v>2124.4582999549302</v>
      </c>
      <c r="AH273">
        <v>9.9489852944926085</v>
      </c>
      <c r="AI273">
        <v>1900.0254346575559</v>
      </c>
      <c r="AJ273">
        <v>7.1222684501585167</v>
      </c>
    </row>
    <row r="274" spans="4:36" x14ac:dyDescent="0.55000000000000004">
      <c r="D274">
        <v>267</v>
      </c>
      <c r="E274">
        <v>12.192301231518007</v>
      </c>
      <c r="F274">
        <v>0.44456849934677523</v>
      </c>
      <c r="G274">
        <v>0.16356680887830022</v>
      </c>
      <c r="H274">
        <v>17.199563460256908</v>
      </c>
      <c r="I274">
        <v>12.429841597413361</v>
      </c>
      <c r="J274">
        <v>0.27258883687713414</v>
      </c>
      <c r="K274">
        <v>9.9937198482857606E-2</v>
      </c>
      <c r="L274">
        <v>17.197632367226653</v>
      </c>
      <c r="M274">
        <v>12.324409173109705</v>
      </c>
      <c r="N274">
        <v>0.34896399196396832</v>
      </c>
      <c r="O274">
        <v>0.12813834346095795</v>
      </c>
      <c r="P274">
        <v>17.198488491465366</v>
      </c>
      <c r="Q274">
        <v>12.301880384758524</v>
      </c>
      <c r="R274">
        <v>0.36527519187720975</v>
      </c>
      <c r="S274">
        <v>0.13417279067682611</v>
      </c>
      <c r="T274">
        <v>17.198671632687454</v>
      </c>
      <c r="U274">
        <v>1554.1073082061198</v>
      </c>
      <c r="V274">
        <v>9.6880118292910904</v>
      </c>
      <c r="W274">
        <v>1294.8297930391268</v>
      </c>
      <c r="X274">
        <v>6.9912802215468774</v>
      </c>
      <c r="Y274">
        <v>2885.9779039000423</v>
      </c>
      <c r="Z274">
        <v>9.7326749717550651</v>
      </c>
      <c r="AA274">
        <v>2723.0390098485977</v>
      </c>
      <c r="AB274">
        <v>7.0173202480837125</v>
      </c>
      <c r="AC274">
        <v>2248.3242897032387</v>
      </c>
      <c r="AD274">
        <v>9.7128512668992482</v>
      </c>
      <c r="AE274">
        <v>2037.2412059102048</v>
      </c>
      <c r="AF274">
        <v>7.0057751039866183</v>
      </c>
      <c r="AG274">
        <v>2126.6082505145141</v>
      </c>
      <c r="AH274">
        <v>9.7086153283310495</v>
      </c>
      <c r="AI274">
        <v>1906.1151961923281</v>
      </c>
      <c r="AJ274">
        <v>7.0033055166971891</v>
      </c>
    </row>
    <row r="275" spans="4:36" x14ac:dyDescent="0.55000000000000004">
      <c r="D275">
        <v>268</v>
      </c>
      <c r="E275">
        <v>11.580967043830233</v>
      </c>
      <c r="F275">
        <v>0.43363568336882469</v>
      </c>
      <c r="G275">
        <v>0.15481386802653571</v>
      </c>
      <c r="H275">
        <v>17.830583404774409</v>
      </c>
      <c r="I275">
        <v>11.782262115963343</v>
      </c>
      <c r="J275">
        <v>0.2717247706626465</v>
      </c>
      <c r="K275">
        <v>9.671679648533206E-2</v>
      </c>
      <c r="L275">
        <v>17.849296316888676</v>
      </c>
      <c r="M275">
        <v>11.69397741327956</v>
      </c>
      <c r="N275">
        <v>0.3427597114574204</v>
      </c>
      <c r="O275">
        <v>0.12216188426283994</v>
      </c>
      <c r="P275">
        <v>17.841100991000189</v>
      </c>
      <c r="Q275">
        <v>11.629779561058829</v>
      </c>
      <c r="R275">
        <v>0.39439108499149617</v>
      </c>
      <c r="S275">
        <v>0.14069934879879561</v>
      </c>
      <c r="T275">
        <v>17.835130005150866</v>
      </c>
      <c r="U275">
        <v>1526.5982612304058</v>
      </c>
      <c r="V275">
        <v>9.0912555293188486</v>
      </c>
      <c r="W275">
        <v>1280.8762131320054</v>
      </c>
      <c r="X275">
        <v>6.6243874422056424</v>
      </c>
      <c r="Y275">
        <v>2871.7355416955843</v>
      </c>
      <c r="Z275">
        <v>9.1170866510395747</v>
      </c>
      <c r="AA275">
        <v>2716.0707654354901</v>
      </c>
      <c r="AB275">
        <v>6.6403859884234597</v>
      </c>
      <c r="AC275">
        <v>2212.6835474989844</v>
      </c>
      <c r="AD275">
        <v>9.1057510058984441</v>
      </c>
      <c r="AE275">
        <v>2016.0439909627753</v>
      </c>
      <c r="AF275">
        <v>6.6333741397267092</v>
      </c>
      <c r="AG275">
        <v>2102.7939246084629</v>
      </c>
      <c r="AH275">
        <v>9.097514487114422</v>
      </c>
      <c r="AI275">
        <v>1890.716569330491</v>
      </c>
      <c r="AJ275">
        <v>6.6282705983061909</v>
      </c>
    </row>
    <row r="276" spans="4:36" x14ac:dyDescent="0.55000000000000004">
      <c r="D276">
        <v>269</v>
      </c>
      <c r="E276">
        <v>12.753742192366746</v>
      </c>
      <c r="F276">
        <v>0.48232173869829614</v>
      </c>
      <c r="G276">
        <v>0.1751691450808687</v>
      </c>
      <c r="H276">
        <v>16.588766923854095</v>
      </c>
      <c r="I276">
        <v>12.961413116732407</v>
      </c>
      <c r="J276">
        <v>0.32345835760762198</v>
      </c>
      <c r="K276">
        <v>0.11713550945846132</v>
      </c>
      <c r="L276">
        <v>16.597993016201517</v>
      </c>
      <c r="M276">
        <v>12.879705667320378</v>
      </c>
      <c r="N276">
        <v>0.38598925707386611</v>
      </c>
      <c r="O276">
        <v>0.13993793232354498</v>
      </c>
      <c r="P276">
        <v>16.594367143282209</v>
      </c>
      <c r="Q276">
        <v>12.843715285144167</v>
      </c>
      <c r="R276">
        <v>0.41352185960368437</v>
      </c>
      <c r="S276">
        <v>0.1499945151347083</v>
      </c>
      <c r="T276">
        <v>16.592768340117413</v>
      </c>
      <c r="U276">
        <v>1575.5597137161806</v>
      </c>
      <c r="V276">
        <v>10.105992088807911</v>
      </c>
      <c r="W276">
        <v>1304.7424608248616</v>
      </c>
      <c r="X276">
        <v>7.2264286956735777</v>
      </c>
      <c r="Y276">
        <v>2914.2021880504958</v>
      </c>
      <c r="Z276">
        <v>10.1394777299325</v>
      </c>
      <c r="AA276">
        <v>2737.6535174380565</v>
      </c>
      <c r="AB276">
        <v>7.2461053029301246</v>
      </c>
      <c r="AC276">
        <v>2255.5174922018819</v>
      </c>
      <c r="AD276">
        <v>10.126300418539952</v>
      </c>
      <c r="AE276">
        <v>2037.345815929398</v>
      </c>
      <c r="AF276">
        <v>7.2383702764851581</v>
      </c>
      <c r="AG276">
        <v>2139.3008872075111</v>
      </c>
      <c r="AH276">
        <v>10.120497118776152</v>
      </c>
      <c r="AI276">
        <v>1909.1998889124636</v>
      </c>
      <c r="AJ276">
        <v>7.2349604291961418</v>
      </c>
    </row>
    <row r="277" spans="4:36" x14ac:dyDescent="0.55000000000000004">
      <c r="D277">
        <v>270</v>
      </c>
      <c r="E277">
        <v>12.859784931680817</v>
      </c>
      <c r="F277">
        <v>0.42033077780830069</v>
      </c>
      <c r="G277">
        <v>0.18510707964493817</v>
      </c>
      <c r="H277">
        <v>16.534777210865954</v>
      </c>
      <c r="I277">
        <v>13.073422402808438</v>
      </c>
      <c r="J277">
        <v>0.27509660838971056</v>
      </c>
      <c r="K277">
        <v>0.12075938443859076</v>
      </c>
      <c r="L277">
        <v>16.530721604363276</v>
      </c>
      <c r="M277">
        <v>12.956238395736237</v>
      </c>
      <c r="N277">
        <v>0.35479681915292322</v>
      </c>
      <c r="O277">
        <v>0.1560194720964421</v>
      </c>
      <c r="P277">
        <v>16.532945313014388</v>
      </c>
      <c r="Q277">
        <v>12.907112622822709</v>
      </c>
      <c r="R277">
        <v>0.38818222194050889</v>
      </c>
      <c r="S277">
        <v>0.1708269963492757</v>
      </c>
      <c r="T277">
        <v>16.533878158887507</v>
      </c>
      <c r="U277">
        <v>1562.3784821445633</v>
      </c>
      <c r="V277">
        <v>10.069400812998881</v>
      </c>
      <c r="W277">
        <v>1301.4316856166117</v>
      </c>
      <c r="X277">
        <v>7.1943945506880098</v>
      </c>
      <c r="Y277">
        <v>2891.1405833817162</v>
      </c>
      <c r="Z277">
        <v>10.111214504588695</v>
      </c>
      <c r="AA277">
        <v>2725.77600659784</v>
      </c>
      <c r="AB277">
        <v>7.2184078186522154</v>
      </c>
      <c r="AC277">
        <v>2224.8418287284362</v>
      </c>
      <c r="AD277">
        <v>10.088279803549179</v>
      </c>
      <c r="AE277">
        <v>2018.8816601142764</v>
      </c>
      <c r="AF277">
        <v>7.2052462009706231</v>
      </c>
      <c r="AG277">
        <v>2106.7593316991174</v>
      </c>
      <c r="AH277">
        <v>10.078664515719179</v>
      </c>
      <c r="AI277">
        <v>1889.0611868580486</v>
      </c>
      <c r="AJ277">
        <v>7.1997213195290746</v>
      </c>
    </row>
    <row r="278" spans="4:36" x14ac:dyDescent="0.55000000000000004">
      <c r="D278">
        <v>271</v>
      </c>
      <c r="E278">
        <v>12.276435098409486</v>
      </c>
      <c r="F278">
        <v>0.47746089412882375</v>
      </c>
      <c r="G278">
        <v>0.17982787254120314</v>
      </c>
      <c r="H278">
        <v>17.066276134920489</v>
      </c>
      <c r="I278">
        <v>12.515297561362527</v>
      </c>
      <c r="J278">
        <v>0.29829743377869633</v>
      </c>
      <c r="K278">
        <v>0.11195124296543639</v>
      </c>
      <c r="L278">
        <v>17.074453761893331</v>
      </c>
      <c r="M278">
        <v>12.431526309299109</v>
      </c>
      <c r="N278">
        <v>0.36116778160135399</v>
      </c>
      <c r="O278">
        <v>0.13571431180055013</v>
      </c>
      <c r="P278">
        <v>17.07159159729899</v>
      </c>
      <c r="Q278">
        <v>12.375422335052084</v>
      </c>
      <c r="R278">
        <v>0.40325211469173217</v>
      </c>
      <c r="S278">
        <v>0.15165431751442915</v>
      </c>
      <c r="T278">
        <v>17.069671232741765</v>
      </c>
      <c r="U278">
        <v>1535.8852369996332</v>
      </c>
      <c r="V278">
        <v>9.695113370530402</v>
      </c>
      <c r="W278">
        <v>1281.0238470226782</v>
      </c>
      <c r="X278">
        <v>6.9832440383384888</v>
      </c>
      <c r="Y278">
        <v>2882.173538407972</v>
      </c>
      <c r="Z278">
        <v>9.7357295671365662</v>
      </c>
      <c r="AA278">
        <v>2719.4582100029693</v>
      </c>
      <c r="AB278">
        <v>7.0071842440844296</v>
      </c>
      <c r="AC278">
        <v>2205.4887989063241</v>
      </c>
      <c r="AD278">
        <v>9.7214824044581594</v>
      </c>
      <c r="AE278">
        <v>2006.7829741484538</v>
      </c>
      <c r="AF278">
        <v>6.9987979584559401</v>
      </c>
      <c r="AG278">
        <v>2122.9065038942999</v>
      </c>
      <c r="AH278">
        <v>9.71194229594132</v>
      </c>
      <c r="AI278">
        <v>1902.0664410697179</v>
      </c>
      <c r="AJ278">
        <v>6.993175556713207</v>
      </c>
    </row>
    <row r="279" spans="4:36" x14ac:dyDescent="0.55000000000000004">
      <c r="D279">
        <v>272</v>
      </c>
      <c r="E279">
        <v>13.007917100963686</v>
      </c>
      <c r="F279">
        <v>0.46864198638172755</v>
      </c>
      <c r="G279">
        <v>0.17769859389310838</v>
      </c>
      <c r="H279">
        <v>16.34574231876147</v>
      </c>
      <c r="I279">
        <v>13.280735773217044</v>
      </c>
      <c r="J279">
        <v>0.2822789005502403</v>
      </c>
      <c r="K279">
        <v>0.10662652008690685</v>
      </c>
      <c r="L279">
        <v>16.330358806145796</v>
      </c>
      <c r="M279">
        <v>13.160469392515607</v>
      </c>
      <c r="N279">
        <v>0.36449175161125574</v>
      </c>
      <c r="O279">
        <v>0.13791166499623558</v>
      </c>
      <c r="P279">
        <v>16.33712719087691</v>
      </c>
      <c r="Q279">
        <v>13.119739255773474</v>
      </c>
      <c r="R279">
        <v>0.39231358825801133</v>
      </c>
      <c r="S279">
        <v>0.14852307616704094</v>
      </c>
      <c r="T279">
        <v>16.339424079801475</v>
      </c>
      <c r="U279">
        <v>1568.2411784189303</v>
      </c>
      <c r="V279">
        <v>10.385743934774524</v>
      </c>
      <c r="W279">
        <v>1303.176833273312</v>
      </c>
      <c r="X279">
        <v>7.4027603605108121</v>
      </c>
      <c r="Y279">
        <v>2873.2681118114706</v>
      </c>
      <c r="Z279">
        <v>10.448032568429959</v>
      </c>
      <c r="AA279">
        <v>2713.0371421330374</v>
      </c>
      <c r="AB279">
        <v>7.4380015216863278</v>
      </c>
      <c r="AC279">
        <v>2219.701303420763</v>
      </c>
      <c r="AD279">
        <v>10.42058099352578</v>
      </c>
      <c r="AE279">
        <v>2015.2826945857498</v>
      </c>
      <c r="AF279">
        <v>7.4224864998589917</v>
      </c>
      <c r="AG279">
        <v>2094.4154261821996</v>
      </c>
      <c r="AH279">
        <v>10.411281565080186</v>
      </c>
      <c r="AI279">
        <v>1880.8085977511168</v>
      </c>
      <c r="AJ279">
        <v>7.4172248684911199</v>
      </c>
    </row>
    <row r="280" spans="4:36" x14ac:dyDescent="0.55000000000000004">
      <c r="D280">
        <v>273</v>
      </c>
      <c r="E280">
        <v>11.426233508632961</v>
      </c>
      <c r="F280">
        <v>0.43135605839586366</v>
      </c>
      <c r="G280">
        <v>0.14769077352984569</v>
      </c>
      <c r="H280">
        <v>17.994719659441337</v>
      </c>
      <c r="I280">
        <v>11.61258903303427</v>
      </c>
      <c r="J280">
        <v>0.28255841043096613</v>
      </c>
      <c r="K280">
        <v>9.646610067401655E-2</v>
      </c>
      <c r="L280">
        <v>18.008386455860741</v>
      </c>
      <c r="M280">
        <v>11.53080222281678</v>
      </c>
      <c r="N280">
        <v>0.34788280831472784</v>
      </c>
      <c r="O280">
        <v>0.11891769854613626</v>
      </c>
      <c r="P280">
        <v>18.002397270322362</v>
      </c>
      <c r="Q280">
        <v>11.5071816091674</v>
      </c>
      <c r="R280">
        <v>0.36674292161269534</v>
      </c>
      <c r="S280">
        <v>0.12541048090522428</v>
      </c>
      <c r="T280">
        <v>18.000664988314696</v>
      </c>
      <c r="U280">
        <v>1465.8165255035967</v>
      </c>
      <c r="V280">
        <v>8.9755234539671331</v>
      </c>
      <c r="W280">
        <v>1239.632801824014</v>
      </c>
      <c r="X280">
        <v>6.5574395238652547</v>
      </c>
      <c r="Y280">
        <v>2884.0533995425731</v>
      </c>
      <c r="Z280">
        <v>9.0015070852045511</v>
      </c>
      <c r="AA280">
        <v>2726.2626402193805</v>
      </c>
      <c r="AB280">
        <v>6.5734977464232367</v>
      </c>
      <c r="AC280">
        <v>2157.1884002491201</v>
      </c>
      <c r="AD280">
        <v>8.9900979490250261</v>
      </c>
      <c r="AE280">
        <v>1977.4538329560792</v>
      </c>
      <c r="AF280">
        <v>6.5664550393164705</v>
      </c>
      <c r="AG280">
        <v>2066.1916923572148</v>
      </c>
      <c r="AH280">
        <v>8.9868045241421015</v>
      </c>
      <c r="AI280">
        <v>1868.9991947872575</v>
      </c>
      <c r="AJ280">
        <v>6.5644196501277765</v>
      </c>
    </row>
    <row r="281" spans="4:36" x14ac:dyDescent="0.55000000000000004">
      <c r="D281">
        <v>274</v>
      </c>
      <c r="E281">
        <v>11.491783882704809</v>
      </c>
      <c r="F281">
        <v>0.41993277239473681</v>
      </c>
      <c r="G281">
        <v>0.16900424930089247</v>
      </c>
      <c r="H281">
        <v>17.91927909559957</v>
      </c>
      <c r="I281">
        <v>11.68936923887324</v>
      </c>
      <c r="J281">
        <v>0.2709547344743507</v>
      </c>
      <c r="K281">
        <v>0.10871099013686787</v>
      </c>
      <c r="L281">
        <v>17.930965036515556</v>
      </c>
      <c r="M281">
        <v>11.615667532631226</v>
      </c>
      <c r="N281">
        <v>0.3265513195203944</v>
      </c>
      <c r="O281">
        <v>0.13116751495434681</v>
      </c>
      <c r="P281">
        <v>17.926613632894018</v>
      </c>
      <c r="Q281">
        <v>11.600399578282135</v>
      </c>
      <c r="R281">
        <v>0.33806478839642412</v>
      </c>
      <c r="S281">
        <v>0.1358245563131445</v>
      </c>
      <c r="T281">
        <v>17.925711077008284</v>
      </c>
      <c r="U281">
        <v>1468.1264791345645</v>
      </c>
      <c r="V281">
        <v>9.0516005092472263</v>
      </c>
      <c r="W281">
        <v>1240.2527790505685</v>
      </c>
      <c r="X281">
        <v>6.6055461792899512</v>
      </c>
      <c r="Y281">
        <v>2870.189113322549</v>
      </c>
      <c r="Z281">
        <v>9.0806345814745093</v>
      </c>
      <c r="AA281">
        <v>2715.7071560175686</v>
      </c>
      <c r="AB281">
        <v>6.6232060416380563</v>
      </c>
      <c r="AC281">
        <v>2151.9116213032544</v>
      </c>
      <c r="AD281">
        <v>9.0698003623825993</v>
      </c>
      <c r="AE281">
        <v>1973.7587594061681</v>
      </c>
      <c r="AF281">
        <v>6.6166246982942036</v>
      </c>
      <c r="AG281">
        <v>2063.6250615102772</v>
      </c>
      <c r="AH281">
        <v>9.0675565753804772</v>
      </c>
      <c r="AI281">
        <v>1867.7992730680928</v>
      </c>
      <c r="AJ281">
        <v>6.6152604281941816</v>
      </c>
    </row>
    <row r="282" spans="4:36" x14ac:dyDescent="0.55000000000000004">
      <c r="D282">
        <v>275</v>
      </c>
      <c r="E282">
        <v>14.221430184026921</v>
      </c>
      <c r="F282">
        <v>0.54953804718320298</v>
      </c>
      <c r="G282">
        <v>0.21961716976062767</v>
      </c>
      <c r="H282">
        <v>15.009414599029261</v>
      </c>
      <c r="I282">
        <v>14.515180937284823</v>
      </c>
      <c r="J282">
        <v>0.33926513253445945</v>
      </c>
      <c r="K282">
        <v>0.1350543987174766</v>
      </c>
      <c r="L282">
        <v>15.010499531463228</v>
      </c>
      <c r="M282">
        <v>14.385228769748377</v>
      </c>
      <c r="N282">
        <v>0.432346860639307</v>
      </c>
      <c r="O282">
        <v>0.17240494605699183</v>
      </c>
      <c r="P282">
        <v>15.010019423555319</v>
      </c>
      <c r="Q282">
        <v>14.338646702109456</v>
      </c>
      <c r="R282">
        <v>0.46568971418369387</v>
      </c>
      <c r="S282">
        <v>0.18581620206574928</v>
      </c>
      <c r="T282">
        <v>15.009847381641102</v>
      </c>
      <c r="U282">
        <v>1688.6557816529917</v>
      </c>
      <c r="V282">
        <v>11.26375407412884</v>
      </c>
      <c r="W282">
        <v>1369.6246896007044</v>
      </c>
      <c r="X282">
        <v>7.8816110508059491</v>
      </c>
      <c r="Y282">
        <v>2972.9002198385533</v>
      </c>
      <c r="Z282">
        <v>11.316785622213839</v>
      </c>
      <c r="AA282">
        <v>2771.3875929394162</v>
      </c>
      <c r="AB282">
        <v>7.9116474154853975</v>
      </c>
      <c r="AC282">
        <v>2304.7374302506723</v>
      </c>
      <c r="AD282">
        <v>11.29332479315959</v>
      </c>
      <c r="AE282">
        <v>2060.5598111153899</v>
      </c>
      <c r="AF282">
        <v>7.8983737417135327</v>
      </c>
      <c r="AG282">
        <v>2240.8710890445859</v>
      </c>
      <c r="AH282">
        <v>11.284915224348532</v>
      </c>
      <c r="AI282">
        <v>1968.4918905352783</v>
      </c>
      <c r="AJ282">
        <v>7.893610303574639</v>
      </c>
    </row>
    <row r="283" spans="4:36" x14ac:dyDescent="0.55000000000000004">
      <c r="D283">
        <v>276</v>
      </c>
      <c r="E283">
        <v>12.025466520289051</v>
      </c>
      <c r="F283">
        <v>0.42372182964994565</v>
      </c>
      <c r="G283">
        <v>0.15383488396218004</v>
      </c>
      <c r="H283">
        <v>17.396976766098813</v>
      </c>
      <c r="I283">
        <v>12.221070105830748</v>
      </c>
      <c r="J283">
        <v>0.27809587407161263</v>
      </c>
      <c r="K283">
        <v>0.10067967965190439</v>
      </c>
      <c r="L283">
        <v>17.400154340445727</v>
      </c>
      <c r="M283">
        <v>12.117939966429415</v>
      </c>
      <c r="N283">
        <v>0.35490307531303705</v>
      </c>
      <c r="O283">
        <v>0.12867726921374331</v>
      </c>
      <c r="P283">
        <v>17.398479689043807</v>
      </c>
      <c r="Q283">
        <v>12.1157526586911</v>
      </c>
      <c r="R283">
        <v>0.3565314375080379</v>
      </c>
      <c r="S283">
        <v>0.12927174953606255</v>
      </c>
      <c r="T283">
        <v>17.398444154264794</v>
      </c>
      <c r="U283">
        <v>1531.4279589316088</v>
      </c>
      <c r="V283">
        <v>9.5761223090088716</v>
      </c>
      <c r="W283">
        <v>1284.0536275875211</v>
      </c>
      <c r="X283">
        <v>6.9312164948166508</v>
      </c>
      <c r="Y283">
        <v>2869.5707224391103</v>
      </c>
      <c r="Z283">
        <v>9.611533838358632</v>
      </c>
      <c r="AA283">
        <v>2713.2198691681192</v>
      </c>
      <c r="AB283">
        <v>6.9520813904673888</v>
      </c>
      <c r="AC283">
        <v>2217.4434026238523</v>
      </c>
      <c r="AD283">
        <v>9.5928624026395202</v>
      </c>
      <c r="AE283">
        <v>2017.5893626442082</v>
      </c>
      <c r="AF283">
        <v>6.9410888652258214</v>
      </c>
      <c r="AG283">
        <v>2095.4187557476653</v>
      </c>
      <c r="AH283">
        <v>9.5924664215367734</v>
      </c>
      <c r="AI283">
        <v>1887.5495415842004</v>
      </c>
      <c r="AJ283">
        <v>6.9408555231267215</v>
      </c>
    </row>
    <row r="284" spans="4:36" x14ac:dyDescent="0.55000000000000004">
      <c r="D284">
        <v>277</v>
      </c>
      <c r="E284">
        <v>12.42632273994966</v>
      </c>
      <c r="F284">
        <v>0.47443958801223113</v>
      </c>
      <c r="G284">
        <v>0.14767094150007787</v>
      </c>
      <c r="H284">
        <v>16.951566730538033</v>
      </c>
      <c r="I284">
        <v>12.646866650571125</v>
      </c>
      <c r="J284">
        <v>0.30745547675182822</v>
      </c>
      <c r="K284">
        <v>9.5396778380483369E-2</v>
      </c>
      <c r="L284">
        <v>16.950281094296574</v>
      </c>
      <c r="M284">
        <v>12.552715129402051</v>
      </c>
      <c r="N284">
        <v>0.37877410425466168</v>
      </c>
      <c r="O284">
        <v>0.11768228036466166</v>
      </c>
      <c r="P284">
        <v>16.950828485978615</v>
      </c>
      <c r="Q284">
        <v>12.543680020379432</v>
      </c>
      <c r="R284">
        <v>0.38561558445098537</v>
      </c>
      <c r="S284">
        <v>0.11982326624437392</v>
      </c>
      <c r="T284">
        <v>16.9508811289252</v>
      </c>
      <c r="U284">
        <v>1538.5071824075246</v>
      </c>
      <c r="V284">
        <v>9.8124617742189599</v>
      </c>
      <c r="W284">
        <v>1284.64028110501</v>
      </c>
      <c r="X284">
        <v>7.05588210085266</v>
      </c>
      <c r="Y284">
        <v>2899.0653156213129</v>
      </c>
      <c r="Z284">
        <v>9.8563395289737326</v>
      </c>
      <c r="AA284">
        <v>2731.896593258331</v>
      </c>
      <c r="AB284">
        <v>7.0812962865933269</v>
      </c>
      <c r="AC284">
        <v>2215.9796523051205</v>
      </c>
      <c r="AD284">
        <v>9.837608681149673</v>
      </c>
      <c r="AE284">
        <v>2014.1909229197784</v>
      </c>
      <c r="AF284">
        <v>7.070458199344726</v>
      </c>
      <c r="AG284">
        <v>2120.0779711586788</v>
      </c>
      <c r="AH284">
        <v>9.8358111388883174</v>
      </c>
      <c r="AI284">
        <v>1902.5258123781387</v>
      </c>
      <c r="AJ284">
        <v>7.0694172518750005</v>
      </c>
    </row>
    <row r="285" spans="4:36" x14ac:dyDescent="0.55000000000000004">
      <c r="D285">
        <v>278</v>
      </c>
      <c r="E285">
        <v>11.18242637116423</v>
      </c>
      <c r="F285">
        <v>0.44396018968724765</v>
      </c>
      <c r="G285">
        <v>0.15999981207747258</v>
      </c>
      <c r="H285">
        <v>18.213613627071048</v>
      </c>
      <c r="I285">
        <v>11.384168694264451</v>
      </c>
      <c r="J285">
        <v>0.27392200099065889</v>
      </c>
      <c r="K285">
        <v>9.8405400207418753E-2</v>
      </c>
      <c r="L285">
        <v>18.243503904537487</v>
      </c>
      <c r="M285">
        <v>11.298368292360491</v>
      </c>
      <c r="N285">
        <v>0.34625849830044952</v>
      </c>
      <c r="O285">
        <v>0.12455995085519948</v>
      </c>
      <c r="P285">
        <v>18.230813258483867</v>
      </c>
      <c r="Q285">
        <v>11.280237007354634</v>
      </c>
      <c r="R285">
        <v>0.36154086957719817</v>
      </c>
      <c r="S285">
        <v>0.13009471813457488</v>
      </c>
      <c r="T285">
        <v>18.228127404933602</v>
      </c>
      <c r="U285">
        <v>1471.5504146165281</v>
      </c>
      <c r="V285">
        <v>8.879635074116548</v>
      </c>
      <c r="W285">
        <v>1244.4318589746063</v>
      </c>
      <c r="X285">
        <v>6.5114900700373513</v>
      </c>
      <c r="Y285">
        <v>2851.7180336346114</v>
      </c>
      <c r="Z285">
        <v>8.9032313771476641</v>
      </c>
      <c r="AA285">
        <v>2704.3458972296589</v>
      </c>
      <c r="AB285">
        <v>6.52694547539779</v>
      </c>
      <c r="AC285">
        <v>2174.7768614285646</v>
      </c>
      <c r="AD285">
        <v>8.8931833649903744</v>
      </c>
      <c r="AE285">
        <v>1991.8465930035268</v>
      </c>
      <c r="AF285">
        <v>6.5203751982767164</v>
      </c>
      <c r="AG285">
        <v>2061.1526363874295</v>
      </c>
      <c r="AH285">
        <v>8.8910623979368211</v>
      </c>
      <c r="AI285">
        <v>1867.1457307251246</v>
      </c>
      <c r="AJ285">
        <v>6.518986233079672</v>
      </c>
    </row>
    <row r="286" spans="4:36" x14ac:dyDescent="0.55000000000000004">
      <c r="D286">
        <v>279</v>
      </c>
      <c r="E286">
        <v>12.145601207043926</v>
      </c>
      <c r="F286">
        <v>0.45008479075235203</v>
      </c>
      <c r="G286">
        <v>0.16565259715664413</v>
      </c>
      <c r="H286">
        <v>17.238661405047072</v>
      </c>
      <c r="I286">
        <v>12.342004293466671</v>
      </c>
      <c r="J286">
        <v>0.29754620155346806</v>
      </c>
      <c r="K286">
        <v>0.10919468502064564</v>
      </c>
      <c r="L286">
        <v>17.251254819959208</v>
      </c>
      <c r="M286">
        <v>12.258040884222787</v>
      </c>
      <c r="N286">
        <v>0.36278143538373825</v>
      </c>
      <c r="O286">
        <v>0.13329916462398042</v>
      </c>
      <c r="P286">
        <v>17.24587851576949</v>
      </c>
      <c r="Q286">
        <v>12.225192586897888</v>
      </c>
      <c r="R286">
        <v>0.38829308407115576</v>
      </c>
      <c r="S286">
        <v>0.14274215830772832</v>
      </c>
      <c r="T286">
        <v>17.243772170723236</v>
      </c>
      <c r="U286">
        <v>1511.7022179192779</v>
      </c>
      <c r="V286">
        <v>9.6219638942540531</v>
      </c>
      <c r="W286">
        <v>1266.0984276199295</v>
      </c>
      <c r="X286">
        <v>6.9469410869956469</v>
      </c>
      <c r="Y286">
        <v>2871.3461603420683</v>
      </c>
      <c r="Z286">
        <v>9.6516371176587565</v>
      </c>
      <c r="AA286">
        <v>2712.0177154166386</v>
      </c>
      <c r="AB286">
        <v>6.9648145414103624</v>
      </c>
      <c r="AC286">
        <v>2215.1903579512964</v>
      </c>
      <c r="AD286">
        <v>9.6389471656408379</v>
      </c>
      <c r="AE286">
        <v>2014.1290495886094</v>
      </c>
      <c r="AF286">
        <v>6.9571791606710232</v>
      </c>
      <c r="AG286">
        <v>2098.4507075634187</v>
      </c>
      <c r="AH286">
        <v>9.6339843996043406</v>
      </c>
      <c r="AI286">
        <v>1885.9639764127915</v>
      </c>
      <c r="AJ286">
        <v>6.9541897598736711</v>
      </c>
    </row>
    <row r="287" spans="4:36" x14ac:dyDescent="0.55000000000000004">
      <c r="D287">
        <v>280</v>
      </c>
      <c r="E287">
        <v>11.953259214576439</v>
      </c>
      <c r="F287">
        <v>0.42408580495419468</v>
      </c>
      <c r="G287">
        <v>0.14621014005250407</v>
      </c>
      <c r="H287">
        <v>17.47644484041685</v>
      </c>
      <c r="I287">
        <v>12.149372937448408</v>
      </c>
      <c r="J287">
        <v>0.28248248802106346</v>
      </c>
      <c r="K287">
        <v>9.7097877120891948E-2</v>
      </c>
      <c r="L287">
        <v>17.471046697409633</v>
      </c>
      <c r="M287">
        <v>12.083042293640371</v>
      </c>
      <c r="N287">
        <v>0.33040265422983672</v>
      </c>
      <c r="O287">
        <v>0.11368453236709795</v>
      </c>
      <c r="P287">
        <v>17.472870519762697</v>
      </c>
      <c r="Q287">
        <v>12.058603566991543</v>
      </c>
      <c r="R287">
        <v>0.34805150457525025</v>
      </c>
      <c r="S287">
        <v>0.11980193813395111</v>
      </c>
      <c r="T287">
        <v>17.473542990299254</v>
      </c>
      <c r="U287">
        <v>1467.7547326281572</v>
      </c>
      <c r="V287">
        <v>9.3927776915918813</v>
      </c>
      <c r="W287">
        <v>1241.4799773712241</v>
      </c>
      <c r="X287">
        <v>6.807471141839109</v>
      </c>
      <c r="Y287">
        <v>2865.9564287567309</v>
      </c>
      <c r="Z287">
        <v>9.4323072651876796</v>
      </c>
      <c r="AA287">
        <v>2712.7686750994221</v>
      </c>
      <c r="AB287">
        <v>6.8304880770475735</v>
      </c>
      <c r="AC287">
        <v>2184.329608691558</v>
      </c>
      <c r="AD287">
        <v>9.4189382884813533</v>
      </c>
      <c r="AE287">
        <v>1998.4495315480724</v>
      </c>
      <c r="AF287">
        <v>6.8227121970366671</v>
      </c>
      <c r="AG287">
        <v>2074.9132934259692</v>
      </c>
      <c r="AH287">
        <v>9.4140124113086596</v>
      </c>
      <c r="AI287">
        <v>1876.475637726692</v>
      </c>
      <c r="AJ287">
        <v>6.8198449520939457</v>
      </c>
    </row>
    <row r="288" spans="4:36" x14ac:dyDescent="0.55000000000000004">
      <c r="D288">
        <v>281</v>
      </c>
      <c r="E288">
        <v>12.260218520121997</v>
      </c>
      <c r="F288">
        <v>0.47240729611510135</v>
      </c>
      <c r="G288">
        <v>0.18820637841506024</v>
      </c>
      <c r="H288">
        <v>17.079167805347844</v>
      </c>
      <c r="I288">
        <v>12.494179874932945</v>
      </c>
      <c r="J288">
        <v>0.29244470436160891</v>
      </c>
      <c r="K288">
        <v>0.11608599604247034</v>
      </c>
      <c r="L288">
        <v>17.097289424662979</v>
      </c>
      <c r="M288">
        <v>12.402531683454724</v>
      </c>
      <c r="N288">
        <v>0.3629743308298039</v>
      </c>
      <c r="O288">
        <v>0.14428745942382143</v>
      </c>
      <c r="P288">
        <v>17.090206526291659</v>
      </c>
      <c r="Q288">
        <v>12.357285115084908</v>
      </c>
      <c r="R288">
        <v>0.39777859572906638</v>
      </c>
      <c r="S288">
        <v>0.15823403639367059</v>
      </c>
      <c r="T288">
        <v>17.086702252792357</v>
      </c>
      <c r="U288">
        <v>1548.1064526361924</v>
      </c>
      <c r="V288">
        <v>9.7322342615670205</v>
      </c>
      <c r="W288">
        <v>1286.3887686553512</v>
      </c>
      <c r="X288">
        <v>7.0102149817537009</v>
      </c>
      <c r="Y288">
        <v>2892.2753621023339</v>
      </c>
      <c r="Z288">
        <v>9.7671338401108692</v>
      </c>
      <c r="AA288">
        <v>2724.872980406471</v>
      </c>
      <c r="AB288">
        <v>7.0314386368104111</v>
      </c>
      <c r="AC288">
        <v>2247.9142252830925</v>
      </c>
      <c r="AD288">
        <v>9.7534539465798638</v>
      </c>
      <c r="AE288">
        <v>2034.4256040035034</v>
      </c>
      <c r="AF288">
        <v>7.023131477742127</v>
      </c>
      <c r="AG288">
        <v>2114.3950274055155</v>
      </c>
      <c r="AH288">
        <v>9.746704415762677</v>
      </c>
      <c r="AI288">
        <v>1893.0730231575471</v>
      </c>
      <c r="AJ288">
        <v>7.0190271041749339</v>
      </c>
    </row>
    <row r="289" spans="4:36" x14ac:dyDescent="0.55000000000000004">
      <c r="D289">
        <v>282</v>
      </c>
      <c r="E289">
        <v>11.154824264871939</v>
      </c>
      <c r="F289">
        <v>0.39246564222689778</v>
      </c>
      <c r="G289">
        <v>0.15962552010739461</v>
      </c>
      <c r="H289">
        <v>18.293084572793777</v>
      </c>
      <c r="I289">
        <v>11.364698406965191</v>
      </c>
      <c r="J289">
        <v>0.23368961437528549</v>
      </c>
      <c r="K289">
        <v>9.4721767052150782E-2</v>
      </c>
      <c r="L289">
        <v>18.306890211607378</v>
      </c>
      <c r="M289">
        <v>11.249532786379149</v>
      </c>
      <c r="N289">
        <v>0.32084707908941679</v>
      </c>
      <c r="O289">
        <v>0.1302937372675308</v>
      </c>
      <c r="P289">
        <v>18.299326397263918</v>
      </c>
      <c r="Q289">
        <v>11.240922845722954</v>
      </c>
      <c r="R289">
        <v>0.32736004820487696</v>
      </c>
      <c r="S289">
        <v>0.13295734289756131</v>
      </c>
      <c r="T289">
        <v>18.298759763174619</v>
      </c>
      <c r="U289">
        <v>1448.7736931352904</v>
      </c>
      <c r="V289">
        <v>8.8581461170661573</v>
      </c>
      <c r="W289">
        <v>1231.5671910878668</v>
      </c>
      <c r="X289">
        <v>6.5040434350516589</v>
      </c>
      <c r="Y289">
        <v>2824.3470371282397</v>
      </c>
      <c r="Z289">
        <v>8.8901815601764778</v>
      </c>
      <c r="AA289">
        <v>2687.3640860582123</v>
      </c>
      <c r="AB289">
        <v>6.5237952991168138</v>
      </c>
      <c r="AC289">
        <v>2157.5929731177257</v>
      </c>
      <c r="AD289">
        <v>8.8725957839155214</v>
      </c>
      <c r="AE289">
        <v>1980.9976275195891</v>
      </c>
      <c r="AF289">
        <v>6.5129642099014395</v>
      </c>
      <c r="AG289">
        <v>2046.6730307777125</v>
      </c>
      <c r="AH289">
        <v>8.8712817046580703</v>
      </c>
      <c r="AI289">
        <v>1859.0392992979325</v>
      </c>
      <c r="AJ289">
        <v>6.5121537351320118</v>
      </c>
    </row>
    <row r="290" spans="4:36" x14ac:dyDescent="0.55000000000000004">
      <c r="D290">
        <v>283</v>
      </c>
      <c r="E290">
        <v>11.92303415369838</v>
      </c>
      <c r="F290">
        <v>0.45000713384915081</v>
      </c>
      <c r="G290">
        <v>0.16608456353813447</v>
      </c>
      <c r="H290">
        <v>17.460874148914318</v>
      </c>
      <c r="I290">
        <v>12.139132855706697</v>
      </c>
      <c r="J290">
        <v>0.28468218262409245</v>
      </c>
      <c r="K290">
        <v>0.10473865048655959</v>
      </c>
      <c r="L290">
        <v>17.471446311182653</v>
      </c>
      <c r="M290">
        <v>12.074568640803255</v>
      </c>
      <c r="N290">
        <v>0.33410293433078248</v>
      </c>
      <c r="O290">
        <v>0.12303600072077137</v>
      </c>
      <c r="P290">
        <v>17.468292424145204</v>
      </c>
      <c r="Q290">
        <v>12.0430434756168</v>
      </c>
      <c r="R290">
        <v>0.35822579973233515</v>
      </c>
      <c r="S290">
        <v>0.13197974137356369</v>
      </c>
      <c r="T290">
        <v>17.466750983277311</v>
      </c>
      <c r="U290">
        <v>1518.4010834377443</v>
      </c>
      <c r="V290">
        <v>9.4587833820782219</v>
      </c>
      <c r="W290">
        <v>1274.3157135028921</v>
      </c>
      <c r="X290">
        <v>6.8539127840187613</v>
      </c>
      <c r="Y290">
        <v>2889.6674240852249</v>
      </c>
      <c r="Z290">
        <v>9.4945751602416859</v>
      </c>
      <c r="AA290">
        <v>2728.4716031411454</v>
      </c>
      <c r="AB290">
        <v>6.8752993108958265</v>
      </c>
      <c r="AC290">
        <v>2176.5269245459854</v>
      </c>
      <c r="AD290">
        <v>9.4838785552815956</v>
      </c>
      <c r="AE290">
        <v>1990.8474271728844</v>
      </c>
      <c r="AF290">
        <v>6.8689168698600485</v>
      </c>
      <c r="AG290">
        <v>2060.1185721971033</v>
      </c>
      <c r="AH290">
        <v>9.4786565920235457</v>
      </c>
      <c r="AI290">
        <v>1863.1818213905872</v>
      </c>
      <c r="AJ290">
        <v>6.865798244579457</v>
      </c>
    </row>
    <row r="291" spans="4:36" x14ac:dyDescent="0.55000000000000004">
      <c r="D291">
        <v>284</v>
      </c>
      <c r="E291">
        <v>11.515498795524902</v>
      </c>
      <c r="F291">
        <v>0.42072389484454836</v>
      </c>
      <c r="G291">
        <v>0.15174513640176024</v>
      </c>
      <c r="H291">
        <v>17.912032173228798</v>
      </c>
      <c r="I291">
        <v>11.684673434869529</v>
      </c>
      <c r="J291">
        <v>0.28540024258770036</v>
      </c>
      <c r="K291">
        <v>0.10266331487429968</v>
      </c>
      <c r="L291">
        <v>17.927263007668465</v>
      </c>
      <c r="M291">
        <v>11.614189342532351</v>
      </c>
      <c r="N291">
        <v>0.34179757551438111</v>
      </c>
      <c r="O291">
        <v>0.12308643087353263</v>
      </c>
      <c r="P291">
        <v>17.920926651079732</v>
      </c>
      <c r="Q291">
        <v>11.593703442164159</v>
      </c>
      <c r="R291">
        <v>0.35818474552115881</v>
      </c>
      <c r="S291">
        <v>0.12902929114420922</v>
      </c>
      <c r="T291">
        <v>17.919082521170466</v>
      </c>
      <c r="U291">
        <v>1520.9238953864092</v>
      </c>
      <c r="V291">
        <v>9.1001117851261117</v>
      </c>
      <c r="W291">
        <v>1278.0394961735994</v>
      </c>
      <c r="X291">
        <v>6.6387153573612583</v>
      </c>
      <c r="Y291">
        <v>2889.7266042530223</v>
      </c>
      <c r="Z291">
        <v>9.1219859921536948</v>
      </c>
      <c r="AA291">
        <v>2728.1715937388326</v>
      </c>
      <c r="AB291">
        <v>6.6524350500935858</v>
      </c>
      <c r="AC291">
        <v>2180.2658345689078</v>
      </c>
      <c r="AD291">
        <v>9.1128665686169086</v>
      </c>
      <c r="AE291">
        <v>1992.5103977428746</v>
      </c>
      <c r="AF291">
        <v>6.6467220432560392</v>
      </c>
      <c r="AG291">
        <v>2096.0545225606393</v>
      </c>
      <c r="AH291">
        <v>9.1102176121942193</v>
      </c>
      <c r="AI291">
        <v>1889.093902280893</v>
      </c>
      <c r="AJ291">
        <v>6.645060755586929</v>
      </c>
    </row>
    <row r="292" spans="4:36" x14ac:dyDescent="0.55000000000000004">
      <c r="D292">
        <v>285</v>
      </c>
      <c r="E292">
        <v>13.922018099262555</v>
      </c>
      <c r="F292">
        <v>0.4212287238991676</v>
      </c>
      <c r="G292">
        <v>0.14556352014704821</v>
      </c>
      <c r="H292">
        <v>15.511189656691242</v>
      </c>
      <c r="I292">
        <v>14.098694593906107</v>
      </c>
      <c r="J292">
        <v>0.30692038862658766</v>
      </c>
      <c r="K292">
        <v>0.10580758366068212</v>
      </c>
      <c r="L292">
        <v>15.488577433806631</v>
      </c>
      <c r="M292">
        <v>13.988556182394777</v>
      </c>
      <c r="N292">
        <v>0.37820323125368793</v>
      </c>
      <c r="O292">
        <v>0.13057663928373214</v>
      </c>
      <c r="P292">
        <v>15.502663947067813</v>
      </c>
      <c r="Q292">
        <v>13.936853404425598</v>
      </c>
      <c r="R292">
        <v>0.41163831654624566</v>
      </c>
      <c r="S292">
        <v>0.14222053502310394</v>
      </c>
      <c r="T292">
        <v>15.509287744005061</v>
      </c>
      <c r="U292">
        <v>1591.9426876914549</v>
      </c>
      <c r="V292">
        <v>11.031020115286251</v>
      </c>
      <c r="W292">
        <v>1316.969402530754</v>
      </c>
      <c r="X292">
        <v>7.7695126822277381</v>
      </c>
      <c r="Y292">
        <v>2943.9306678965281</v>
      </c>
      <c r="Z292">
        <v>11.07791115288633</v>
      </c>
      <c r="AA292">
        <v>2757.7169137525548</v>
      </c>
      <c r="AB292">
        <v>7.795356240244157</v>
      </c>
      <c r="AC292">
        <v>2283.8808310017062</v>
      </c>
      <c r="AD292">
        <v>11.048685273670337</v>
      </c>
      <c r="AE292">
        <v>2055.2047602252237</v>
      </c>
      <c r="AF292">
        <v>7.7792549027389892</v>
      </c>
      <c r="AG292">
        <v>2177.7188332248224</v>
      </c>
      <c r="AH292">
        <v>11.034959315064778</v>
      </c>
      <c r="AI292">
        <v>1933.7727155634525</v>
      </c>
      <c r="AJ292">
        <v>7.771685782304794</v>
      </c>
    </row>
    <row r="293" spans="4:36" x14ac:dyDescent="0.55000000000000004">
      <c r="D293">
        <v>286</v>
      </c>
      <c r="E293">
        <v>14.265880928867976</v>
      </c>
      <c r="F293">
        <v>0.52372892760045064</v>
      </c>
      <c r="G293">
        <v>0.18872726615161509</v>
      </c>
      <c r="H293">
        <v>15.021662877379967</v>
      </c>
      <c r="I293">
        <v>14.576505845678607</v>
      </c>
      <c r="J293">
        <v>0.32218411693150795</v>
      </c>
      <c r="K293">
        <v>0.11561058408873728</v>
      </c>
      <c r="L293">
        <v>14.985699453301143</v>
      </c>
      <c r="M293">
        <v>14.446518440232387</v>
      </c>
      <c r="N293">
        <v>0.40660037469159954</v>
      </c>
      <c r="O293">
        <v>0.14615874334583057</v>
      </c>
      <c r="P293">
        <v>15.000722441730185</v>
      </c>
      <c r="Q293">
        <v>14.403217367160925</v>
      </c>
      <c r="R293">
        <v>0.43469682879475702</v>
      </c>
      <c r="S293">
        <v>0.15635046595300364</v>
      </c>
      <c r="T293">
        <v>15.005735338091322</v>
      </c>
      <c r="U293">
        <v>1633.8301408101156</v>
      </c>
      <c r="V293">
        <v>11.230603071035647</v>
      </c>
      <c r="W293">
        <v>1335.7170198470403</v>
      </c>
      <c r="X293">
        <v>7.8617223612651053</v>
      </c>
      <c r="Y293">
        <v>2945.2412846904831</v>
      </c>
      <c r="Z293">
        <v>11.308407253595337</v>
      </c>
      <c r="AA293">
        <v>2754.8674951310863</v>
      </c>
      <c r="AB293">
        <v>7.9044196158987718</v>
      </c>
      <c r="AC293">
        <v>2313.7432129017338</v>
      </c>
      <c r="AD293">
        <v>11.275864284262253</v>
      </c>
      <c r="AE293">
        <v>2070.9177768560571</v>
      </c>
      <c r="AF293">
        <v>7.8865787096511193</v>
      </c>
      <c r="AG293">
        <v>2183.2073434537233</v>
      </c>
      <c r="AH293">
        <v>11.265018628563896</v>
      </c>
      <c r="AI293">
        <v>1932.4691264495082</v>
      </c>
      <c r="AJ293">
        <v>7.8806271256521594</v>
      </c>
    </row>
    <row r="294" spans="4:36" x14ac:dyDescent="0.55000000000000004">
      <c r="D294">
        <v>287</v>
      </c>
      <c r="E294">
        <v>13.639720947968007</v>
      </c>
      <c r="F294">
        <v>0.52549036439949115</v>
      </c>
      <c r="G294">
        <v>0.16862357546607429</v>
      </c>
      <c r="H294">
        <v>15.666165112166432</v>
      </c>
      <c r="I294">
        <v>13.885553378995555</v>
      </c>
      <c r="J294">
        <v>0.34583058534787026</v>
      </c>
      <c r="K294">
        <v>0.11061250947538552</v>
      </c>
      <c r="L294">
        <v>15.658003526181176</v>
      </c>
      <c r="M294">
        <v>13.784263112402805</v>
      </c>
      <c r="N294">
        <v>0.41989606101669574</v>
      </c>
      <c r="O294">
        <v>0.13448136954408285</v>
      </c>
      <c r="P294">
        <v>15.661359457036403</v>
      </c>
      <c r="Q294">
        <v>13.77487917972838</v>
      </c>
      <c r="R294">
        <v>0.42675493492972405</v>
      </c>
      <c r="S294">
        <v>0.13669503568205588</v>
      </c>
      <c r="T294">
        <v>15.661670849659833</v>
      </c>
      <c r="U294">
        <v>1579.5875283050273</v>
      </c>
      <c r="V294">
        <v>10.858956930280764</v>
      </c>
      <c r="W294">
        <v>1300.57498890128</v>
      </c>
      <c r="X294">
        <v>7.667470579101602</v>
      </c>
      <c r="Y294">
        <v>2944.7400002339241</v>
      </c>
      <c r="Z294">
        <v>10.913758415004997</v>
      </c>
      <c r="AA294">
        <v>2755.2136285703341</v>
      </c>
      <c r="AB294">
        <v>7.6983280697566885</v>
      </c>
      <c r="AC294">
        <v>2301.6803654257269</v>
      </c>
      <c r="AD294">
        <v>10.891182732174167</v>
      </c>
      <c r="AE294">
        <v>2064.4676142702638</v>
      </c>
      <c r="AF294">
        <v>7.6856281678926797</v>
      </c>
      <c r="AG294">
        <v>2166.9125557419547</v>
      </c>
      <c r="AH294">
        <v>10.889090937853844</v>
      </c>
      <c r="AI294">
        <v>1924.5075714691443</v>
      </c>
      <c r="AJ294">
        <v>7.6844505899218163</v>
      </c>
    </row>
    <row r="295" spans="4:36" x14ac:dyDescent="0.55000000000000004">
      <c r="D295">
        <v>288</v>
      </c>
      <c r="E295">
        <v>11.866825025129907</v>
      </c>
      <c r="F295">
        <v>0.40802749376638303</v>
      </c>
      <c r="G295">
        <v>0.18036483580636009</v>
      </c>
      <c r="H295">
        <v>17.544782645297349</v>
      </c>
      <c r="I295">
        <v>12.06021667713088</v>
      </c>
      <c r="J295">
        <v>0.26871906961425368</v>
      </c>
      <c r="K295">
        <v>0.11841755774407094</v>
      </c>
      <c r="L295">
        <v>17.552646695510809</v>
      </c>
      <c r="M295">
        <v>11.982065014498392</v>
      </c>
      <c r="N295">
        <v>0.32504288406639847</v>
      </c>
      <c r="O295">
        <v>0.14341665878608087</v>
      </c>
      <c r="P295">
        <v>17.549475442649122</v>
      </c>
      <c r="Q295">
        <v>11.924216260112532</v>
      </c>
      <c r="R295">
        <v>0.36671020798137793</v>
      </c>
      <c r="S295">
        <v>0.16195132043145852</v>
      </c>
      <c r="T295">
        <v>17.54712221147464</v>
      </c>
      <c r="U295">
        <v>1514.1468708755599</v>
      </c>
      <c r="V295">
        <v>9.3740171234071852</v>
      </c>
      <c r="W295">
        <v>1273.8364041602447</v>
      </c>
      <c r="X295">
        <v>6.7994374634584123</v>
      </c>
      <c r="Y295">
        <v>2864.6652477807138</v>
      </c>
      <c r="Z295">
        <v>9.4044902611885934</v>
      </c>
      <c r="AA295">
        <v>2711.0973978544939</v>
      </c>
      <c r="AB295">
        <v>6.8178364583057887</v>
      </c>
      <c r="AC295">
        <v>2196.6877845715271</v>
      </c>
      <c r="AD295">
        <v>9.3921713132781903</v>
      </c>
      <c r="AE295">
        <v>2005.7505244724887</v>
      </c>
      <c r="AF295">
        <v>6.8104071449494104</v>
      </c>
      <c r="AG295">
        <v>2107.2340276914424</v>
      </c>
      <c r="AH295">
        <v>9.383056540885061</v>
      </c>
      <c r="AI295">
        <v>1896.3239605616438</v>
      </c>
      <c r="AJ295">
        <v>6.8049027257272794</v>
      </c>
    </row>
    <row r="296" spans="4:36" x14ac:dyDescent="0.55000000000000004">
      <c r="D296">
        <v>289</v>
      </c>
      <c r="E296">
        <v>11.45302199994574</v>
      </c>
      <c r="F296">
        <v>0.41510084815393677</v>
      </c>
      <c r="G296">
        <v>0.13905759465004991</v>
      </c>
      <c r="H296">
        <v>17.992819557250261</v>
      </c>
      <c r="I296">
        <v>11.655918155116749</v>
      </c>
      <c r="J296">
        <v>0.258573776673373</v>
      </c>
      <c r="K296">
        <v>8.6343053223890701E-2</v>
      </c>
      <c r="L296">
        <v>17.999165014985987</v>
      </c>
      <c r="M296">
        <v>11.573655783337601</v>
      </c>
      <c r="N296">
        <v>0.32206291332200626</v>
      </c>
      <c r="O296">
        <v>0.10768324890913654</v>
      </c>
      <c r="P296">
        <v>17.996598054431264</v>
      </c>
      <c r="Q296">
        <v>11.527503968798639</v>
      </c>
      <c r="R296">
        <v>0.3576664548497045</v>
      </c>
      <c r="S296">
        <v>0.1196750890319898</v>
      </c>
      <c r="T296">
        <v>17.995154487319674</v>
      </c>
      <c r="U296">
        <v>1491.5856923986826</v>
      </c>
      <c r="V296">
        <v>9.0819517196663035</v>
      </c>
      <c r="W296">
        <v>1262.0261813553445</v>
      </c>
      <c r="X296">
        <v>6.635979197905165</v>
      </c>
      <c r="Y296">
        <v>2838.3081261612183</v>
      </c>
      <c r="Z296">
        <v>9.1171870855802268</v>
      </c>
      <c r="AA296">
        <v>2695.9658395988558</v>
      </c>
      <c r="AB296">
        <v>6.6571658027916731</v>
      </c>
      <c r="AC296">
        <v>2190.0813545700721</v>
      </c>
      <c r="AD296">
        <v>9.1028979432337245</v>
      </c>
      <c r="AE296">
        <v>2005.3506963876343</v>
      </c>
      <c r="AF296">
        <v>6.648584272543741</v>
      </c>
      <c r="AG296">
        <v>2038.0217782877901</v>
      </c>
      <c r="AH296">
        <v>9.0948832360113503</v>
      </c>
      <c r="AI296">
        <v>1850.8293132685005</v>
      </c>
      <c r="AJ296">
        <v>6.6437647729951381</v>
      </c>
    </row>
    <row r="297" spans="4:36" x14ac:dyDescent="0.55000000000000004">
      <c r="D297">
        <v>290</v>
      </c>
      <c r="E297">
        <v>12.994403736565054</v>
      </c>
      <c r="F297">
        <v>0.48804962652274736</v>
      </c>
      <c r="G297">
        <v>0.15805168721362281</v>
      </c>
      <c r="H297">
        <v>16.359494949698572</v>
      </c>
      <c r="I297">
        <v>13.195537500058741</v>
      </c>
      <c r="J297">
        <v>0.34156649891172952</v>
      </c>
      <c r="K297">
        <v>0.11029495180959872</v>
      </c>
      <c r="L297">
        <v>16.352601049219942</v>
      </c>
      <c r="M297">
        <v>13.157289808461668</v>
      </c>
      <c r="N297">
        <v>0.369439630765939</v>
      </c>
      <c r="O297">
        <v>0.11936065995706542</v>
      </c>
      <c r="P297">
        <v>16.353909900815328</v>
      </c>
      <c r="Q297">
        <v>13.100432633398043</v>
      </c>
      <c r="R297">
        <v>0.41085906693445295</v>
      </c>
      <c r="S297">
        <v>0.1328509107107099</v>
      </c>
      <c r="T297">
        <v>16.355857388956785</v>
      </c>
      <c r="U297">
        <v>1505.5718745464931</v>
      </c>
      <c r="V297">
        <v>10.383803405868475</v>
      </c>
      <c r="W297">
        <v>1256.310487530654</v>
      </c>
      <c r="X297">
        <v>7.4019743312253992</v>
      </c>
      <c r="Y297">
        <v>2915.623121901474</v>
      </c>
      <c r="Z297">
        <v>10.426714169471239</v>
      </c>
      <c r="AA297">
        <v>2738.8759957016509</v>
      </c>
      <c r="AB297">
        <v>7.426436936804782</v>
      </c>
      <c r="AC297">
        <v>2225.085219336901</v>
      </c>
      <c r="AD297">
        <v>10.418555517378337</v>
      </c>
      <c r="AE297">
        <v>2018.4150388055391</v>
      </c>
      <c r="AF297">
        <v>7.421791291272374</v>
      </c>
      <c r="AG297">
        <v>2144.4991219743142</v>
      </c>
      <c r="AH297">
        <v>10.40642615228284</v>
      </c>
      <c r="AI297">
        <v>1914.9952872649658</v>
      </c>
      <c r="AJ297">
        <v>7.4148799640949825</v>
      </c>
    </row>
    <row r="298" spans="4:36" x14ac:dyDescent="0.55000000000000004">
      <c r="D298">
        <v>291</v>
      </c>
      <c r="E298">
        <v>11.773201276813209</v>
      </c>
      <c r="F298">
        <v>0.41053488990818715</v>
      </c>
      <c r="G298">
        <v>0.15747310324349426</v>
      </c>
      <c r="H298">
        <v>17.658790730035111</v>
      </c>
      <c r="I298">
        <v>11.95144033272447</v>
      </c>
      <c r="J298">
        <v>0.27648006428455585</v>
      </c>
      <c r="K298">
        <v>0.10576449827081873</v>
      </c>
      <c r="L298">
        <v>17.666315104720159</v>
      </c>
      <c r="M298">
        <v>11.877973315418872</v>
      </c>
      <c r="N298">
        <v>0.33175687964541334</v>
      </c>
      <c r="O298">
        <v>0.12705178522288585</v>
      </c>
      <c r="P298">
        <v>17.663218019712822</v>
      </c>
      <c r="Q298">
        <v>11.83221317555557</v>
      </c>
      <c r="R298">
        <v>0.36617156094430126</v>
      </c>
      <c r="S298">
        <v>0.1403293762529583</v>
      </c>
      <c r="T298">
        <v>17.661285887247185</v>
      </c>
      <c r="U298">
        <v>1495.2308014725897</v>
      </c>
      <c r="V298">
        <v>9.2741426201181447</v>
      </c>
      <c r="W298">
        <v>1259.7506184584579</v>
      </c>
      <c r="X298">
        <v>6.7393673978631607</v>
      </c>
      <c r="Y298">
        <v>2866.6401160690034</v>
      </c>
      <c r="Z298">
        <v>9.3026502564516544</v>
      </c>
      <c r="AA298">
        <v>2711.8683577985039</v>
      </c>
      <c r="AB298">
        <v>6.7565032581523825</v>
      </c>
      <c r="AC298">
        <v>2188.0523556081816</v>
      </c>
      <c r="AD298">
        <v>9.2908970649306202</v>
      </c>
      <c r="AE298">
        <v>1998.8729103197675</v>
      </c>
      <c r="AF298">
        <v>6.7494456795648219</v>
      </c>
      <c r="AG298">
        <v>2067.5177544324592</v>
      </c>
      <c r="AH298">
        <v>9.2835784067413609</v>
      </c>
      <c r="AI298">
        <v>1867.283903541796</v>
      </c>
      <c r="AJ298">
        <v>6.7450458478026345</v>
      </c>
    </row>
    <row r="299" spans="4:36" x14ac:dyDescent="0.55000000000000004">
      <c r="D299">
        <v>292</v>
      </c>
      <c r="E299">
        <v>11.546289257813481</v>
      </c>
      <c r="F299">
        <v>0.47488807250346338</v>
      </c>
      <c r="G299">
        <v>0.16388490104573494</v>
      </c>
      <c r="H299">
        <v>17.814937768637321</v>
      </c>
      <c r="I299">
        <v>11.746053063965743</v>
      </c>
      <c r="J299">
        <v>0.30777788679481333</v>
      </c>
      <c r="K299">
        <v>0.10589274776266352</v>
      </c>
      <c r="L299">
        <v>17.840276301476788</v>
      </c>
      <c r="M299">
        <v>11.670568326416475</v>
      </c>
      <c r="N299">
        <v>0.37094278024667293</v>
      </c>
      <c r="O299">
        <v>0.12777090125172719</v>
      </c>
      <c r="P299">
        <v>17.830717992085127</v>
      </c>
      <c r="Q299">
        <v>11.620770850895033</v>
      </c>
      <c r="R299">
        <v>0.41260023907534754</v>
      </c>
      <c r="S299">
        <v>0.14222740620146371</v>
      </c>
      <c r="T299">
        <v>17.82440150382816</v>
      </c>
      <c r="U299">
        <v>1502.8013542483275</v>
      </c>
      <c r="V299">
        <v>9.1576164002650362</v>
      </c>
      <c r="W299">
        <v>1262.9152878200694</v>
      </c>
      <c r="X299">
        <v>6.67238364183474</v>
      </c>
      <c r="Y299">
        <v>2862.4050132574548</v>
      </c>
      <c r="Z299">
        <v>9.1822671816221924</v>
      </c>
      <c r="AA299">
        <v>2708.0634717276253</v>
      </c>
      <c r="AB299">
        <v>6.6880408689963815</v>
      </c>
      <c r="AC299">
        <v>2152.1225940478544</v>
      </c>
      <c r="AD299">
        <v>9.1729432572396288</v>
      </c>
      <c r="AE299">
        <v>1971.5904275238474</v>
      </c>
      <c r="AF299">
        <v>6.6821279285754702</v>
      </c>
      <c r="AG299">
        <v>2107.3235780550931</v>
      </c>
      <c r="AH299">
        <v>9.1667982968757933</v>
      </c>
      <c r="AI299">
        <v>1895.1261906867021</v>
      </c>
      <c r="AJ299">
        <v>6.6782248585499975</v>
      </c>
    </row>
    <row r="300" spans="4:36" x14ac:dyDescent="0.55000000000000004">
      <c r="D300">
        <v>293</v>
      </c>
      <c r="E300">
        <v>12.43851433695748</v>
      </c>
      <c r="F300">
        <v>0.43902634454562728</v>
      </c>
      <c r="G300">
        <v>0.18582813020857888</v>
      </c>
      <c r="H300">
        <v>16.936631188288317</v>
      </c>
      <c r="I300">
        <v>12.659058518687038</v>
      </c>
      <c r="J300">
        <v>0.28328471244018316</v>
      </c>
      <c r="K300">
        <v>0.11950495473920189</v>
      </c>
      <c r="L300">
        <v>16.938151814133576</v>
      </c>
      <c r="M300">
        <v>12.554636595666798</v>
      </c>
      <c r="N300">
        <v>0.35706208284150015</v>
      </c>
      <c r="O300">
        <v>0.15086699123715364</v>
      </c>
      <c r="P300">
        <v>16.937434330254529</v>
      </c>
      <c r="Q300">
        <v>12.523157174500575</v>
      </c>
      <c r="R300">
        <v>0.37928999953582454</v>
      </c>
      <c r="S300">
        <v>0.1603356670332918</v>
      </c>
      <c r="T300">
        <v>16.937217158930324</v>
      </c>
      <c r="U300">
        <v>1549.6813169569291</v>
      </c>
      <c r="V300">
        <v>9.8353752422892349</v>
      </c>
      <c r="W300">
        <v>1291.7557916345497</v>
      </c>
      <c r="X300">
        <v>7.0694716696297162</v>
      </c>
      <c r="Y300">
        <v>2905.6273504374713</v>
      </c>
      <c r="Z300">
        <v>9.8762613953487026</v>
      </c>
      <c r="AA300">
        <v>2736.119236377951</v>
      </c>
      <c r="AB300">
        <v>7.0934325404098937</v>
      </c>
      <c r="AC300">
        <v>2231.3484444522996</v>
      </c>
      <c r="AD300">
        <v>9.8569007625443934</v>
      </c>
      <c r="AE300">
        <v>2024.0073455505501</v>
      </c>
      <c r="AF300">
        <v>7.0820976105896953</v>
      </c>
      <c r="AG300">
        <v>2110.0811097793107</v>
      </c>
      <c r="AH300">
        <v>9.8510649740155962</v>
      </c>
      <c r="AI300">
        <v>1892.7193644154927</v>
      </c>
      <c r="AJ300">
        <v>7.0786770552545306</v>
      </c>
    </row>
    <row r="301" spans="4:36" x14ac:dyDescent="0.55000000000000004">
      <c r="D301">
        <v>294</v>
      </c>
      <c r="E301">
        <v>12.039572939389156</v>
      </c>
      <c r="F301">
        <v>0.43442049910686481</v>
      </c>
      <c r="G301">
        <v>0.18555517777806615</v>
      </c>
      <c r="H301">
        <v>17.340451383725924</v>
      </c>
      <c r="I301">
        <v>12.273804540660201</v>
      </c>
      <c r="J301">
        <v>0.26463572103645799</v>
      </c>
      <c r="K301">
        <v>0.1126197892761511</v>
      </c>
      <c r="L301">
        <v>17.348939949027194</v>
      </c>
      <c r="M301">
        <v>12.181536115600913</v>
      </c>
      <c r="N301">
        <v>0.3315568328143203</v>
      </c>
      <c r="O301">
        <v>0.14130258722191827</v>
      </c>
      <c r="P301">
        <v>17.345604464362857</v>
      </c>
      <c r="Q301">
        <v>12.138156005979633</v>
      </c>
      <c r="R301">
        <v>0.36300216763403359</v>
      </c>
      <c r="S301">
        <v>0.15480926911660708</v>
      </c>
      <c r="T301">
        <v>17.344032557269713</v>
      </c>
      <c r="U301">
        <v>1501.823765400899</v>
      </c>
      <c r="V301">
        <v>9.5705002640672205</v>
      </c>
      <c r="W301">
        <v>1258.6877453738509</v>
      </c>
      <c r="X301">
        <v>6.920839248481129</v>
      </c>
      <c r="Y301">
        <v>2877.6320230380666</v>
      </c>
      <c r="Z301">
        <v>9.6086080657594604</v>
      </c>
      <c r="AA301">
        <v>2718.3594769769834</v>
      </c>
      <c r="AB301">
        <v>6.943601282047017</v>
      </c>
      <c r="AC301">
        <v>2207.6880156506581</v>
      </c>
      <c r="AD301">
        <v>9.5935917659715351</v>
      </c>
      <c r="AE301">
        <v>2010.0884002663972</v>
      </c>
      <c r="AF301">
        <v>6.9346439735751186</v>
      </c>
      <c r="AG301">
        <v>2106.9722185806763</v>
      </c>
      <c r="AH301">
        <v>9.5865340215352681</v>
      </c>
      <c r="AI301">
        <v>1892.9739230268035</v>
      </c>
      <c r="AJ301">
        <v>6.9304286145396308</v>
      </c>
    </row>
    <row r="302" spans="4:36" x14ac:dyDescent="0.55000000000000004">
      <c r="D302">
        <v>295</v>
      </c>
      <c r="E302">
        <v>12.306193299719435</v>
      </c>
      <c r="F302">
        <v>0.43358366443304724</v>
      </c>
      <c r="G302">
        <v>0.19505461079021594</v>
      </c>
      <c r="H302">
        <v>17.065168425057315</v>
      </c>
      <c r="I302">
        <v>12.562869992100447</v>
      </c>
      <c r="J302">
        <v>0.2530048303915311</v>
      </c>
      <c r="K302">
        <v>0.11335570685202195</v>
      </c>
      <c r="L302">
        <v>17.070769470656003</v>
      </c>
      <c r="M302">
        <v>12.444896151232616</v>
      </c>
      <c r="N302">
        <v>0.33605405897844032</v>
      </c>
      <c r="O302">
        <v>0.15084568250792671</v>
      </c>
      <c r="P302">
        <v>17.068204107281019</v>
      </c>
      <c r="Q302">
        <v>12.403591839453073</v>
      </c>
      <c r="R302">
        <v>0.36511013083073557</v>
      </c>
      <c r="S302">
        <v>0.16399569098147804</v>
      </c>
      <c r="T302">
        <v>17.067302338734731</v>
      </c>
      <c r="U302">
        <v>1573.6856316606261</v>
      </c>
      <c r="V302">
        <v>9.7626675269954681</v>
      </c>
      <c r="W302">
        <v>1306.9711556298353</v>
      </c>
      <c r="X302">
        <v>7.0311236378244653</v>
      </c>
      <c r="Y302">
        <v>2887.2508942677837</v>
      </c>
      <c r="Z302">
        <v>9.8088964262508185</v>
      </c>
      <c r="AA302">
        <v>2723.8609454567109</v>
      </c>
      <c r="AB302">
        <v>7.058372840208869</v>
      </c>
      <c r="AC302">
        <v>2210.9633417783498</v>
      </c>
      <c r="AD302">
        <v>9.7876443740660299</v>
      </c>
      <c r="AE302">
        <v>2008.9335386113867</v>
      </c>
      <c r="AF302">
        <v>7.0458613292327188</v>
      </c>
      <c r="AG302">
        <v>2109.4267127565113</v>
      </c>
      <c r="AH302">
        <v>9.7802054534060883</v>
      </c>
      <c r="AI302">
        <v>1891.1650231385368</v>
      </c>
      <c r="AJ302">
        <v>7.0414757583085512</v>
      </c>
    </row>
    <row r="303" spans="4:36" x14ac:dyDescent="0.55000000000000004">
      <c r="D303">
        <v>296</v>
      </c>
      <c r="E303">
        <v>13.550895181181358</v>
      </c>
      <c r="F303">
        <v>0.50960628104564576</v>
      </c>
      <c r="G303">
        <v>0.18689255033601523</v>
      </c>
      <c r="H303">
        <v>15.752605987437006</v>
      </c>
      <c r="I303">
        <v>13.830195868916086</v>
      </c>
      <c r="J303">
        <v>0.3139028023940168</v>
      </c>
      <c r="K303">
        <v>0.11467433044110963</v>
      </c>
      <c r="L303">
        <v>15.741226998248779</v>
      </c>
      <c r="M303">
        <v>13.723983259645616</v>
      </c>
      <c r="N303">
        <v>0.38837995815121157</v>
      </c>
      <c r="O303">
        <v>0.14209068202267477</v>
      </c>
      <c r="P303">
        <v>15.745546100180514</v>
      </c>
      <c r="Q303">
        <v>13.653894351652866</v>
      </c>
      <c r="R303">
        <v>0.43749008268933598</v>
      </c>
      <c r="S303">
        <v>0.16021389391270324</v>
      </c>
      <c r="T303">
        <v>15.748401671745105</v>
      </c>
      <c r="U303">
        <v>1594.8503247375727</v>
      </c>
      <c r="V303">
        <v>10.698159315989269</v>
      </c>
      <c r="W303">
        <v>1312.0925741645729</v>
      </c>
      <c r="X303">
        <v>7.5616755649401384</v>
      </c>
      <c r="Y303">
        <v>2919.452059238416</v>
      </c>
      <c r="Z303">
        <v>10.757940569907912</v>
      </c>
      <c r="AA303">
        <v>2739.2831254437519</v>
      </c>
      <c r="AB303">
        <v>7.5954851491386792</v>
      </c>
      <c r="AC303">
        <v>2289.3123301366286</v>
      </c>
      <c r="AD303">
        <v>10.735210509413204</v>
      </c>
      <c r="AE303">
        <v>2057.5892004742805</v>
      </c>
      <c r="AF303">
        <v>7.5826449678048116</v>
      </c>
      <c r="AG303">
        <v>2180.03765294096</v>
      </c>
      <c r="AH303">
        <v>10.720208711093015</v>
      </c>
      <c r="AI303">
        <v>1932.6931004294488</v>
      </c>
      <c r="AJ303">
        <v>7.5741604890991026</v>
      </c>
    </row>
    <row r="304" spans="4:36" x14ac:dyDescent="0.55000000000000004">
      <c r="D304">
        <v>297</v>
      </c>
      <c r="E304">
        <v>13.552230732810793</v>
      </c>
      <c r="F304">
        <v>0.48577406771714043</v>
      </c>
      <c r="G304">
        <v>0.18261580636804484</v>
      </c>
      <c r="H304">
        <v>15.779379393104016</v>
      </c>
      <c r="I304">
        <v>13.798227079188736</v>
      </c>
      <c r="J304">
        <v>0.31547395172842851</v>
      </c>
      <c r="K304">
        <v>0.11819739133044679</v>
      </c>
      <c r="L304">
        <v>15.768101577752395</v>
      </c>
      <c r="M304">
        <v>13.651991363159571</v>
      </c>
      <c r="N304">
        <v>0.41675563358807682</v>
      </c>
      <c r="O304">
        <v>0.15645551773361246</v>
      </c>
      <c r="P304">
        <v>15.774797485518725</v>
      </c>
      <c r="Q304">
        <v>13.635685528002018</v>
      </c>
      <c r="R304">
        <v>0.42804084969805545</v>
      </c>
      <c r="S304">
        <v>0.1607280080767379</v>
      </c>
      <c r="T304">
        <v>15.775545614223175</v>
      </c>
      <c r="U304">
        <v>1583.7497298414487</v>
      </c>
      <c r="V304">
        <v>10.676311161297509</v>
      </c>
      <c r="W304">
        <v>1306.0936745124952</v>
      </c>
      <c r="X304">
        <v>7.5485279626739068</v>
      </c>
      <c r="Y304">
        <v>2944.5771197459226</v>
      </c>
      <c r="Z304">
        <v>10.728176526183178</v>
      </c>
      <c r="AA304">
        <v>2757.1096300590093</v>
      </c>
      <c r="AB304">
        <v>7.5775761780515962</v>
      </c>
      <c r="AC304">
        <v>2269.4261272808631</v>
      </c>
      <c r="AD304">
        <v>10.697350235913628</v>
      </c>
      <c r="AE304">
        <v>2041.556024098091</v>
      </c>
      <c r="AF304">
        <v>7.5603223154939601</v>
      </c>
      <c r="AG304">
        <v>2153.8485480440268</v>
      </c>
      <c r="AH304">
        <v>10.693911946943389</v>
      </c>
      <c r="AI304">
        <v>1914.9237904146314</v>
      </c>
      <c r="AJ304">
        <v>7.5583958694059952</v>
      </c>
    </row>
    <row r="305" spans="4:36" x14ac:dyDescent="0.55000000000000004">
      <c r="D305">
        <v>298</v>
      </c>
      <c r="E305">
        <v>11.90011234596926</v>
      </c>
      <c r="F305">
        <v>0.44996543168747388</v>
      </c>
      <c r="G305">
        <v>0.16335107369414936</v>
      </c>
      <c r="H305">
        <v>17.486571148649109</v>
      </c>
      <c r="I305">
        <v>12.124605098735474</v>
      </c>
      <c r="J305">
        <v>0.274593156742371</v>
      </c>
      <c r="K305">
        <v>9.9327778810454043E-2</v>
      </c>
      <c r="L305">
        <v>17.50147396571171</v>
      </c>
      <c r="M305">
        <v>12.022634400606929</v>
      </c>
      <c r="N305">
        <v>0.35428376787640942</v>
      </c>
      <c r="O305">
        <v>0.12836265787766463</v>
      </c>
      <c r="P305">
        <v>17.494719173639002</v>
      </c>
      <c r="Q305">
        <v>11.995095469477754</v>
      </c>
      <c r="R305">
        <v>0.37579654459815998</v>
      </c>
      <c r="S305">
        <v>0.13621717330409752</v>
      </c>
      <c r="T305">
        <v>17.492890812619997</v>
      </c>
      <c r="U305">
        <v>1522.0872939909866</v>
      </c>
      <c r="V305">
        <v>9.3168919136028574</v>
      </c>
      <c r="W305">
        <v>1276.3605435877264</v>
      </c>
      <c r="X305">
        <v>6.7517029166821771</v>
      </c>
      <c r="Y305">
        <v>2866.4788176244911</v>
      </c>
      <c r="Z305">
        <v>9.3487600875757071</v>
      </c>
      <c r="AA305">
        <v>2712.0259058867609</v>
      </c>
      <c r="AB305">
        <v>6.7712733804031746</v>
      </c>
      <c r="AC305">
        <v>2201.8066072107772</v>
      </c>
      <c r="AD305">
        <v>9.3342756655986641</v>
      </c>
      <c r="AE305">
        <v>2007.2088070382199</v>
      </c>
      <c r="AF305">
        <v>6.7623902269473533</v>
      </c>
      <c r="AG305">
        <v>2095.0624477427518</v>
      </c>
      <c r="AH305">
        <v>9.3303664675821221</v>
      </c>
      <c r="AI305">
        <v>1886.772358091474</v>
      </c>
      <c r="AJ305">
        <v>6.7599893946633518</v>
      </c>
    </row>
    <row r="306" spans="4:36" x14ac:dyDescent="0.55000000000000004">
      <c r="D306">
        <v>299</v>
      </c>
      <c r="E306">
        <v>11.798390609117453</v>
      </c>
      <c r="F306">
        <v>0.46982553123589377</v>
      </c>
      <c r="G306">
        <v>0.17091238497120706</v>
      </c>
      <c r="H306">
        <v>17.560871474675441</v>
      </c>
      <c r="I306">
        <v>12.018350954428653</v>
      </c>
      <c r="J306">
        <v>0.28981862262495611</v>
      </c>
      <c r="K306">
        <v>0.10507097234977997</v>
      </c>
      <c r="L306">
        <v>17.586759450596617</v>
      </c>
      <c r="M306">
        <v>11.921766083381868</v>
      </c>
      <c r="N306">
        <v>0.36888595195750751</v>
      </c>
      <c r="O306">
        <v>0.13393555901128826</v>
      </c>
      <c r="P306">
        <v>17.575412405649342</v>
      </c>
      <c r="Q306">
        <v>11.902400284098416</v>
      </c>
      <c r="R306">
        <v>0.38473449570427498</v>
      </c>
      <c r="S306">
        <v>0.1397317868691754</v>
      </c>
      <c r="T306">
        <v>17.573133433328124</v>
      </c>
      <c r="U306">
        <v>1510.9749265789321</v>
      </c>
      <c r="V306">
        <v>9.2542726632031709</v>
      </c>
      <c r="W306">
        <v>1267.5460951878451</v>
      </c>
      <c r="X306">
        <v>6.71403749912586</v>
      </c>
      <c r="Y306">
        <v>2870.9035582810525</v>
      </c>
      <c r="Z306">
        <v>9.2790539780789647</v>
      </c>
      <c r="AA306">
        <v>2714.5996365223064</v>
      </c>
      <c r="AB306">
        <v>6.7298352084281143</v>
      </c>
      <c r="AC306">
        <v>2203.9240728548657</v>
      </c>
      <c r="AD306">
        <v>9.2681605400274432</v>
      </c>
      <c r="AE306">
        <v>2008.3004684442867</v>
      </c>
      <c r="AF306">
        <v>6.7229017306681857</v>
      </c>
      <c r="AG306">
        <v>2093.6687440018204</v>
      </c>
      <c r="AH306">
        <v>9.2659785841067155</v>
      </c>
      <c r="AI306">
        <v>1885.799097842935</v>
      </c>
      <c r="AJ306">
        <v>6.7215109087626663</v>
      </c>
    </row>
    <row r="307" spans="4:36" x14ac:dyDescent="0.55000000000000004">
      <c r="D307">
        <v>300</v>
      </c>
      <c r="E307">
        <v>12.775378850210606</v>
      </c>
      <c r="F307">
        <v>0.46732911789664677</v>
      </c>
      <c r="G307">
        <v>0.17416945395530148</v>
      </c>
      <c r="H307">
        <v>16.583122577937431</v>
      </c>
      <c r="I307">
        <v>13.005514905175383</v>
      </c>
      <c r="J307">
        <v>0.29942962732913359</v>
      </c>
      <c r="K307">
        <v>0.11123416541036445</v>
      </c>
      <c r="L307">
        <v>16.583821302085102</v>
      </c>
      <c r="M307">
        <v>12.890697932410689</v>
      </c>
      <c r="N307">
        <v>0.38323438193599091</v>
      </c>
      <c r="O307">
        <v>0.14259576262596235</v>
      </c>
      <c r="P307">
        <v>16.583471923027354</v>
      </c>
      <c r="Q307">
        <v>12.899143292041158</v>
      </c>
      <c r="R307">
        <v>0.37707270356471961</v>
      </c>
      <c r="S307">
        <v>0.14028643526641707</v>
      </c>
      <c r="T307">
        <v>16.583497569127704</v>
      </c>
      <c r="U307">
        <v>1544.3931498158668</v>
      </c>
      <c r="V307">
        <v>10.043737735543726</v>
      </c>
      <c r="W307">
        <v>1285.3684340853972</v>
      </c>
      <c r="X307">
        <v>7.1810550222746024</v>
      </c>
      <c r="Y307">
        <v>2896.6426628955942</v>
      </c>
      <c r="Z307">
        <v>10.084081745575388</v>
      </c>
      <c r="AA307">
        <v>2728.1399553968768</v>
      </c>
      <c r="AB307">
        <v>7.2043686037944656</v>
      </c>
      <c r="AC307">
        <v>2229.8428261612021</v>
      </c>
      <c r="AD307">
        <v>10.063953897373702</v>
      </c>
      <c r="AE307">
        <v>2020.6362374296148</v>
      </c>
      <c r="AF307">
        <v>7.1927476736016809</v>
      </c>
      <c r="AG307">
        <v>2093.2417601506809</v>
      </c>
      <c r="AH307">
        <v>10.065434410498277</v>
      </c>
      <c r="AI307">
        <v>1880.4482513552857</v>
      </c>
      <c r="AJ307">
        <v>7.1936031542963539</v>
      </c>
    </row>
    <row r="308" spans="4:36" x14ac:dyDescent="0.55000000000000004">
      <c r="D308">
        <v>301</v>
      </c>
      <c r="E308">
        <v>11.437002001591297</v>
      </c>
      <c r="F308">
        <v>0.40079928643097296</v>
      </c>
      <c r="G308">
        <v>0.16484856238280321</v>
      </c>
      <c r="H308">
        <v>17.997350149594915</v>
      </c>
      <c r="I308">
        <v>11.603587049607146</v>
      </c>
      <c r="J308">
        <v>0.27336732373443651</v>
      </c>
      <c r="K308">
        <v>0.1121275345793491</v>
      </c>
      <c r="L308">
        <v>18.010918092079077</v>
      </c>
      <c r="M308">
        <v>11.524116019566911</v>
      </c>
      <c r="N308">
        <v>0.33417906908268158</v>
      </c>
      <c r="O308">
        <v>0.13724992002875339</v>
      </c>
      <c r="P308">
        <v>18.004454991321655</v>
      </c>
      <c r="Q308">
        <v>11.505595236520591</v>
      </c>
      <c r="R308">
        <v>0.34834630350125834</v>
      </c>
      <c r="S308">
        <v>0.14311221310289035</v>
      </c>
      <c r="T308">
        <v>18.002946246875261</v>
      </c>
      <c r="U308">
        <v>1455.5239524958151</v>
      </c>
      <c r="V308">
        <v>9.0442790261160511</v>
      </c>
      <c r="W308">
        <v>1234.5398094167338</v>
      </c>
      <c r="X308">
        <v>6.6080537703602102</v>
      </c>
      <c r="Y308">
        <v>2860.3721266442412</v>
      </c>
      <c r="Z308">
        <v>9.068722371025606</v>
      </c>
      <c r="AA308">
        <v>2709.6142201263215</v>
      </c>
      <c r="AB308">
        <v>6.6232726347304745</v>
      </c>
      <c r="AC308">
        <v>2158.8700414637651</v>
      </c>
      <c r="AD308">
        <v>9.0570556396764275</v>
      </c>
      <c r="AE308">
        <v>1979.7926483649505</v>
      </c>
      <c r="AF308">
        <v>6.6160161544506284</v>
      </c>
      <c r="AG308">
        <v>2069.098660667586</v>
      </c>
      <c r="AH308">
        <v>9.0543382135060462</v>
      </c>
      <c r="AI308">
        <v>1872.6288651247833</v>
      </c>
      <c r="AJ308">
        <v>6.6143240263809142</v>
      </c>
    </row>
    <row r="309" spans="4:36" x14ac:dyDescent="0.55000000000000004">
      <c r="D309">
        <v>302</v>
      </c>
      <c r="E309">
        <v>11.904090634376994</v>
      </c>
      <c r="F309">
        <v>0.44236556073458538</v>
      </c>
      <c r="G309">
        <v>0.18955540921125574</v>
      </c>
      <c r="H309">
        <v>17.46398839567718</v>
      </c>
      <c r="I309">
        <v>12.124128973644311</v>
      </c>
      <c r="J309">
        <v>0.27865247334172866</v>
      </c>
      <c r="K309">
        <v>0.11896470176462155</v>
      </c>
      <c r="L309">
        <v>17.478253851249352</v>
      </c>
      <c r="M309">
        <v>12.028743284960857</v>
      </c>
      <c r="N309">
        <v>0.34965565866005072</v>
      </c>
      <c r="O309">
        <v>0.14951550265592564</v>
      </c>
      <c r="P309">
        <v>17.472085553723176</v>
      </c>
      <c r="Q309">
        <v>11.992808672009179</v>
      </c>
      <c r="R309">
        <v>0.37639111052326624</v>
      </c>
      <c r="S309">
        <v>0.16104465633450382</v>
      </c>
      <c r="T309">
        <v>17.469755561133042</v>
      </c>
      <c r="U309">
        <v>1535.2587632513464</v>
      </c>
      <c r="V309">
        <v>9.3772655889912713</v>
      </c>
      <c r="W309">
        <v>1282.126554900085</v>
      </c>
      <c r="X309">
        <v>6.7936554351705976</v>
      </c>
      <c r="Y309">
        <v>2901.1893196848637</v>
      </c>
      <c r="Z309">
        <v>9.4092593778893718</v>
      </c>
      <c r="AA309">
        <v>2734.1501468626543</v>
      </c>
      <c r="AB309">
        <v>6.8132543194225486</v>
      </c>
      <c r="AC309">
        <v>2202.5118343498098</v>
      </c>
      <c r="AD309">
        <v>9.3953815624022745</v>
      </c>
      <c r="AE309">
        <v>2004.5691041349546</v>
      </c>
      <c r="AF309">
        <v>6.8047644721068732</v>
      </c>
      <c r="AG309">
        <v>2101.5345559894577</v>
      </c>
      <c r="AH309">
        <v>9.3901567947216691</v>
      </c>
      <c r="AI309">
        <v>1887.6569681689641</v>
      </c>
      <c r="AJ309">
        <v>6.8015636508226551</v>
      </c>
    </row>
    <row r="310" spans="4:36" x14ac:dyDescent="0.55000000000000004">
      <c r="D310">
        <v>303</v>
      </c>
      <c r="E310">
        <v>12.882790142909569</v>
      </c>
      <c r="F310">
        <v>0.46174932618174724</v>
      </c>
      <c r="G310">
        <v>0.14784932913140106</v>
      </c>
      <c r="H310">
        <v>16.50761120177728</v>
      </c>
      <c r="I310">
        <v>13.09467578258173</v>
      </c>
      <c r="J310">
        <v>0.30357760824527297</v>
      </c>
      <c r="K310">
        <v>9.6920503137745334E-2</v>
      </c>
      <c r="L310">
        <v>16.504826106035246</v>
      </c>
      <c r="M310">
        <v>12.972725408210424</v>
      </c>
      <c r="N310">
        <v>0.3946429770031632</v>
      </c>
      <c r="O310">
        <v>0.126205278453285</v>
      </c>
      <c r="P310">
        <v>16.506426336333117</v>
      </c>
      <c r="Q310">
        <v>12.931048004387682</v>
      </c>
      <c r="R310">
        <v>0.42574662784806827</v>
      </c>
      <c r="S310">
        <v>0.13623044976506665</v>
      </c>
      <c r="T310">
        <v>16.506974917999198</v>
      </c>
      <c r="U310">
        <v>1563.1141185747911</v>
      </c>
      <c r="V310">
        <v>10.243697266678442</v>
      </c>
      <c r="W310">
        <v>1300.8749011792136</v>
      </c>
      <c r="X310">
        <v>7.3160290290503189</v>
      </c>
      <c r="Y310">
        <v>2900.2193973139547</v>
      </c>
      <c r="Z310">
        <v>10.284488280149967</v>
      </c>
      <c r="AA310">
        <v>2731.4826830009656</v>
      </c>
      <c r="AB310">
        <v>7.3393872519468797</v>
      </c>
      <c r="AC310">
        <v>2239.0894493027017</v>
      </c>
      <c r="AD310">
        <v>10.261012754190473</v>
      </c>
      <c r="AE310">
        <v>2027.8711987029712</v>
      </c>
      <c r="AF310">
        <v>7.3259533162146369</v>
      </c>
      <c r="AG310">
        <v>2123.5603038421054</v>
      </c>
      <c r="AH310">
        <v>10.252988794599636</v>
      </c>
      <c r="AI310">
        <v>1900.2006659410677</v>
      </c>
      <c r="AJ310">
        <v>7.3213560656874694</v>
      </c>
    </row>
    <row r="311" spans="4:36" x14ac:dyDescent="0.55000000000000004">
      <c r="D311">
        <v>304</v>
      </c>
      <c r="E311">
        <v>12.847741868940833</v>
      </c>
      <c r="F311">
        <v>0.46037125768851883</v>
      </c>
      <c r="G311">
        <v>0.16274846729636072</v>
      </c>
      <c r="H311">
        <v>16.529138406074281</v>
      </c>
      <c r="I311">
        <v>13.095626579819029</v>
      </c>
      <c r="J311">
        <v>0.28358513012507247</v>
      </c>
      <c r="K311">
        <v>9.9903919943484784E-2</v>
      </c>
      <c r="L311">
        <v>16.520884370112409</v>
      </c>
      <c r="M311">
        <v>12.979301992180698</v>
      </c>
      <c r="N311">
        <v>0.36659124958856087</v>
      </c>
      <c r="O311">
        <v>0.12935601008401509</v>
      </c>
      <c r="P311">
        <v>16.524750748146715</v>
      </c>
      <c r="Q311">
        <v>12.93305962806618</v>
      </c>
      <c r="R311">
        <v>0.39956609374144608</v>
      </c>
      <c r="S311">
        <v>0.14108311439108576</v>
      </c>
      <c r="T311">
        <v>16.5262911638013</v>
      </c>
      <c r="U311">
        <v>1560.8000031169736</v>
      </c>
      <c r="V311">
        <v>10.210462329384209</v>
      </c>
      <c r="W311">
        <v>1296.3459171335985</v>
      </c>
      <c r="X311">
        <v>7.2953638141471746</v>
      </c>
      <c r="Y311">
        <v>2893.701452049208</v>
      </c>
      <c r="Z311">
        <v>10.260643625984263</v>
      </c>
      <c r="AA311">
        <v>2726.3752173774801</v>
      </c>
      <c r="AB311">
        <v>7.323901179626028</v>
      </c>
      <c r="AC311">
        <v>2225.3459036265035</v>
      </c>
      <c r="AD311">
        <v>10.237099608992978</v>
      </c>
      <c r="AE311">
        <v>2017.5723195787182</v>
      </c>
      <c r="AF311">
        <v>7.3105245920318183</v>
      </c>
      <c r="AG311">
        <v>2139.2190949632263</v>
      </c>
      <c r="AH311">
        <v>10.227737980393101</v>
      </c>
      <c r="AI311">
        <v>1910.6725005453857</v>
      </c>
      <c r="AJ311">
        <v>7.305199620288148</v>
      </c>
    </row>
    <row r="312" spans="4:36" x14ac:dyDescent="0.55000000000000004">
      <c r="D312">
        <v>305</v>
      </c>
      <c r="E312">
        <v>14.313929929789682</v>
      </c>
      <c r="F312">
        <v>0.48494714194187527</v>
      </c>
      <c r="G312">
        <v>0.16674377116976935</v>
      </c>
      <c r="H312">
        <v>15.034379157098677</v>
      </c>
      <c r="I312">
        <v>14.590079990676172</v>
      </c>
      <c r="J312">
        <v>0.30978471503383298</v>
      </c>
      <c r="K312">
        <v>0.10612072025751833</v>
      </c>
      <c r="L312">
        <v>14.994014574032484</v>
      </c>
      <c r="M312">
        <v>14.497315197338612</v>
      </c>
      <c r="N312">
        <v>0.3686816414406287</v>
      </c>
      <c r="O312">
        <v>0.12645361671344538</v>
      </c>
      <c r="P312">
        <v>15.007549544507301</v>
      </c>
      <c r="Q312">
        <v>14.415695344818912</v>
      </c>
      <c r="R312">
        <v>0.42045582051666658</v>
      </c>
      <c r="S312">
        <v>0.14437011826279827</v>
      </c>
      <c r="T312">
        <v>15.019478716401633</v>
      </c>
      <c r="U312">
        <v>1603.6132663919193</v>
      </c>
      <c r="V312">
        <v>11.210767867563161</v>
      </c>
      <c r="W312">
        <v>1316.3210432286648</v>
      </c>
      <c r="X312">
        <v>7.849372829570429</v>
      </c>
      <c r="Y312">
        <v>2960.3649243508489</v>
      </c>
      <c r="Z312">
        <v>11.288304354777859</v>
      </c>
      <c r="AA312">
        <v>2765.9033794169422</v>
      </c>
      <c r="AB312">
        <v>7.8918535592573491</v>
      </c>
      <c r="AC312">
        <v>2294.0154762053285</v>
      </c>
      <c r="AD312">
        <v>11.26227151883627</v>
      </c>
      <c r="AE312">
        <v>2059.0636694200743</v>
      </c>
      <c r="AF312">
        <v>7.8776050848713153</v>
      </c>
      <c r="AG312">
        <v>2198.935198883486</v>
      </c>
      <c r="AH312">
        <v>11.239355185244651</v>
      </c>
      <c r="AI312">
        <v>1943.9312991352283</v>
      </c>
      <c r="AJ312">
        <v>7.8650503475874398</v>
      </c>
    </row>
    <row r="313" spans="4:36" x14ac:dyDescent="0.55000000000000004">
      <c r="D313">
        <v>306</v>
      </c>
      <c r="E313">
        <v>13.105381725915224</v>
      </c>
      <c r="F313">
        <v>0.45229640454569059</v>
      </c>
      <c r="G313">
        <v>0.15433881622828649</v>
      </c>
      <c r="H313">
        <v>16.287983053310793</v>
      </c>
      <c r="I313">
        <v>13.326016412563394</v>
      </c>
      <c r="J313">
        <v>0.29853275558134873</v>
      </c>
      <c r="K313">
        <v>0.10155032016520599</v>
      </c>
      <c r="L313">
        <v>16.273900511690059</v>
      </c>
      <c r="M313">
        <v>13.228513315491057</v>
      </c>
      <c r="N313">
        <v>0.36652116424045916</v>
      </c>
      <c r="O313">
        <v>0.12484990641467408</v>
      </c>
      <c r="P313">
        <v>16.280115613853798</v>
      </c>
      <c r="Q313">
        <v>13.220936409775449</v>
      </c>
      <c r="R313">
        <v>0.37180205610771466</v>
      </c>
      <c r="S313">
        <v>0.12666240242680157</v>
      </c>
      <c r="T313">
        <v>16.280599131690035</v>
      </c>
      <c r="U313">
        <v>1561.3284763863071</v>
      </c>
      <c r="V313">
        <v>10.446988841483806</v>
      </c>
      <c r="W313">
        <v>1296.1982952816618</v>
      </c>
      <c r="X313">
        <v>7.4393508537491604</v>
      </c>
      <c r="Y313">
        <v>2897.6597717282284</v>
      </c>
      <c r="Z313">
        <v>10.499142615622281</v>
      </c>
      <c r="AA313">
        <v>2727.3604523516724</v>
      </c>
      <c r="AB313">
        <v>7.4688403350238728</v>
      </c>
      <c r="AC313">
        <v>2248.7205243455824</v>
      </c>
      <c r="AD313">
        <v>10.476099257568666</v>
      </c>
      <c r="AE313">
        <v>2033.444861296759</v>
      </c>
      <c r="AF313">
        <v>7.4558218769289626</v>
      </c>
      <c r="AG313">
        <v>2155.6771822832643</v>
      </c>
      <c r="AH313">
        <v>10.474308275924281</v>
      </c>
      <c r="AI313">
        <v>1923.5240592445311</v>
      </c>
      <c r="AJ313">
        <v>7.4548093257168269</v>
      </c>
    </row>
    <row r="314" spans="4:36" x14ac:dyDescent="0.55000000000000004">
      <c r="D314">
        <v>307</v>
      </c>
      <c r="E314">
        <v>12.748991292461774</v>
      </c>
      <c r="F314">
        <v>0.48531017198353865</v>
      </c>
      <c r="G314">
        <v>0.16933515928293977</v>
      </c>
      <c r="H314">
        <v>16.59636337627175</v>
      </c>
      <c r="I314">
        <v>12.997234884093727</v>
      </c>
      <c r="J314">
        <v>0.30446814983912118</v>
      </c>
      <c r="K314">
        <v>0.10586146094389676</v>
      </c>
      <c r="L314">
        <v>16.592435505123277</v>
      </c>
      <c r="M314">
        <v>12.931425888257921</v>
      </c>
      <c r="N314">
        <v>0.35244378973129709</v>
      </c>
      <c r="O314">
        <v>0.12265621306130187</v>
      </c>
      <c r="P314">
        <v>16.593474108949469</v>
      </c>
      <c r="Q314">
        <v>12.869433627262211</v>
      </c>
      <c r="R314">
        <v>0.39761418098004803</v>
      </c>
      <c r="S314">
        <v>0.13849796235516018</v>
      </c>
      <c r="T314">
        <v>16.594454229402579</v>
      </c>
      <c r="U314">
        <v>1560.6060350753085</v>
      </c>
      <c r="V314">
        <v>10.117653909660216</v>
      </c>
      <c r="W314">
        <v>1296.1927964177946</v>
      </c>
      <c r="X314">
        <v>7.236530625958304</v>
      </c>
      <c r="Y314">
        <v>2900.0268390394986</v>
      </c>
      <c r="Z314">
        <v>10.165568121113004</v>
      </c>
      <c r="AA314">
        <v>2730.4682698725542</v>
      </c>
      <c r="AB314">
        <v>7.2640597800721656</v>
      </c>
      <c r="AC314">
        <v>2224.4339285267392</v>
      </c>
      <c r="AD314">
        <v>10.152867535537156</v>
      </c>
      <c r="AE314">
        <v>2019.3698555192834</v>
      </c>
      <c r="AF314">
        <v>7.2567726484717836</v>
      </c>
      <c r="AG314">
        <v>2128.0561517934379</v>
      </c>
      <c r="AH314">
        <v>10.140902629470093</v>
      </c>
      <c r="AI314">
        <v>1904.3304999483598</v>
      </c>
      <c r="AJ314">
        <v>7.2499010589143023</v>
      </c>
    </row>
    <row r="315" spans="4:36" x14ac:dyDescent="0.55000000000000004">
      <c r="D315">
        <v>308</v>
      </c>
      <c r="E315">
        <v>11.860051043756938</v>
      </c>
      <c r="F315">
        <v>0.43819886340173858</v>
      </c>
      <c r="G315">
        <v>0.15192322056663557</v>
      </c>
      <c r="H315">
        <v>17.549826872274679</v>
      </c>
      <c r="I315">
        <v>12.075430549173145</v>
      </c>
      <c r="J315">
        <v>0.2767974535886174</v>
      </c>
      <c r="K315">
        <v>9.5639335410085957E-2</v>
      </c>
      <c r="L315">
        <v>17.552132661828146</v>
      </c>
      <c r="M315">
        <v>11.982944102673191</v>
      </c>
      <c r="N315">
        <v>0.34613735894995623</v>
      </c>
      <c r="O315">
        <v>0.11977195414713784</v>
      </c>
      <c r="P315">
        <v>17.551146584229695</v>
      </c>
      <c r="Q315">
        <v>11.969179939398778</v>
      </c>
      <c r="R315">
        <v>0.35645263524535598</v>
      </c>
      <c r="S315">
        <v>0.12336811163107313</v>
      </c>
      <c r="T315">
        <v>17.55099931372478</v>
      </c>
      <c r="U315">
        <v>1485.0104251399557</v>
      </c>
      <c r="V315">
        <v>9.3106774370841361</v>
      </c>
      <c r="W315">
        <v>1253.8776201220151</v>
      </c>
      <c r="X315">
        <v>6.7538652043305012</v>
      </c>
      <c r="Y315">
        <v>2858.5399306921845</v>
      </c>
      <c r="Z315">
        <v>9.3452228789162852</v>
      </c>
      <c r="AA315">
        <v>2708.3329806955799</v>
      </c>
      <c r="AB315">
        <v>6.7743479387760317</v>
      </c>
      <c r="AC315">
        <v>2179.8479930700578</v>
      </c>
      <c r="AD315">
        <v>9.330386366408213</v>
      </c>
      <c r="AE315">
        <v>1994.7112942113531</v>
      </c>
      <c r="AF315">
        <v>6.7655610433382085</v>
      </c>
      <c r="AG315">
        <v>2076.7948873783757</v>
      </c>
      <c r="AH315">
        <v>9.3281786380562401</v>
      </c>
      <c r="AI315">
        <v>1877.9506742091571</v>
      </c>
      <c r="AJ315">
        <v>6.7642522420306266</v>
      </c>
    </row>
    <row r="316" spans="4:36" x14ac:dyDescent="0.55000000000000004">
      <c r="D316">
        <v>309</v>
      </c>
      <c r="E316">
        <v>13.547691220519235</v>
      </c>
      <c r="F316">
        <v>0.44041126658363716</v>
      </c>
      <c r="G316">
        <v>0.17149708270741582</v>
      </c>
      <c r="H316">
        <v>15.840400430189696</v>
      </c>
      <c r="I316">
        <v>13.767313486115873</v>
      </c>
      <c r="J316">
        <v>0.29245906986399745</v>
      </c>
      <c r="K316">
        <v>0.11354822846833801</v>
      </c>
      <c r="L316">
        <v>15.826679215551792</v>
      </c>
      <c r="M316">
        <v>13.679579945137835</v>
      </c>
      <c r="N316">
        <v>0.35159897792858325</v>
      </c>
      <c r="O316">
        <v>0.13667004388405915</v>
      </c>
      <c r="P316">
        <v>15.832151033049527</v>
      </c>
      <c r="Q316">
        <v>13.642356774948837</v>
      </c>
      <c r="R316">
        <v>0.37667585334041992</v>
      </c>
      <c r="S316">
        <v>0.14649099253516421</v>
      </c>
      <c r="T316">
        <v>15.834476379175594</v>
      </c>
      <c r="U316">
        <v>1541.7458224195805</v>
      </c>
      <c r="V316">
        <v>10.633183365881253</v>
      </c>
      <c r="W316">
        <v>1282.7227713325544</v>
      </c>
      <c r="X316">
        <v>7.5230383748649921</v>
      </c>
      <c r="Y316">
        <v>2915.2273211633924</v>
      </c>
      <c r="Z316">
        <v>10.681105933259746</v>
      </c>
      <c r="AA316">
        <v>2740.1218961090053</v>
      </c>
      <c r="AB316">
        <v>7.5498068636199989</v>
      </c>
      <c r="AC316">
        <v>2245.3487870941753</v>
      </c>
      <c r="AD316">
        <v>10.661967572999778</v>
      </c>
      <c r="AE316">
        <v>2031.7889408987396</v>
      </c>
      <c r="AF316">
        <v>7.5391254461032036</v>
      </c>
      <c r="AG316">
        <v>2113.6327344957576</v>
      </c>
      <c r="AH316">
        <v>10.653845440036065</v>
      </c>
      <c r="AI316">
        <v>1892.8429246013272</v>
      </c>
      <c r="AJ316">
        <v>7.534588814186014</v>
      </c>
    </row>
    <row r="317" spans="4:36" x14ac:dyDescent="0.55000000000000004">
      <c r="D317">
        <v>310</v>
      </c>
      <c r="E317">
        <v>12.671721626731456</v>
      </c>
      <c r="F317">
        <v>0.45526606478512449</v>
      </c>
      <c r="G317">
        <v>0.18075054145061498</v>
      </c>
      <c r="H317">
        <v>16.692261767032811</v>
      </c>
      <c r="I317">
        <v>12.860565675015804</v>
      </c>
      <c r="J317">
        <v>0.31434527309592236</v>
      </c>
      <c r="K317">
        <v>0.12444129363128857</v>
      </c>
      <c r="L317">
        <v>16.700647758256984</v>
      </c>
      <c r="M317">
        <v>12.790874972837042</v>
      </c>
      <c r="N317">
        <v>0.36637336774030943</v>
      </c>
      <c r="O317">
        <v>0.14519225033787592</v>
      </c>
      <c r="P317">
        <v>16.697559409084779</v>
      </c>
      <c r="Q317">
        <v>12.741360151848459</v>
      </c>
      <c r="R317">
        <v>0.40332276727144029</v>
      </c>
      <c r="S317">
        <v>0.15995646319945539</v>
      </c>
      <c r="T317">
        <v>16.695360617680656</v>
      </c>
      <c r="U317">
        <v>1556.4705848748092</v>
      </c>
      <c r="V317">
        <v>10.004922780321499</v>
      </c>
      <c r="W317">
        <v>1294.1611988661423</v>
      </c>
      <c r="X317">
        <v>7.164024191153878</v>
      </c>
      <c r="Y317">
        <v>2896.6541055872362</v>
      </c>
      <c r="Z317">
        <v>10.034569720670566</v>
      </c>
      <c r="AA317">
        <v>2726.4433233933319</v>
      </c>
      <c r="AB317">
        <v>7.1815753993578939</v>
      </c>
      <c r="AC317">
        <v>2232.9070982524381</v>
      </c>
      <c r="AD317">
        <v>10.023625723545127</v>
      </c>
      <c r="AE317">
        <v>2023.4696664323187</v>
      </c>
      <c r="AF317">
        <v>7.1751033085980094</v>
      </c>
      <c r="AG317">
        <v>2124.8597913836666</v>
      </c>
      <c r="AH317">
        <v>10.015852303854894</v>
      </c>
      <c r="AI317">
        <v>1900.511182239414</v>
      </c>
      <c r="AJ317">
        <v>7.1705013999149472</v>
      </c>
    </row>
    <row r="318" spans="4:36" x14ac:dyDescent="0.55000000000000004">
      <c r="D318">
        <v>311</v>
      </c>
      <c r="E318">
        <v>11.199384728884207</v>
      </c>
      <c r="F318">
        <v>0.42701620011497565</v>
      </c>
      <c r="G318">
        <v>0.15305181135027035</v>
      </c>
      <c r="H318">
        <v>18.22054725965053</v>
      </c>
      <c r="I318">
        <v>11.415832328444026</v>
      </c>
      <c r="J318">
        <v>0.25667194275279598</v>
      </c>
      <c r="K318">
        <v>9.1672197201644698E-2</v>
      </c>
      <c r="L318">
        <v>18.235823531601536</v>
      </c>
      <c r="M318">
        <v>11.328659522132817</v>
      </c>
      <c r="N318">
        <v>0.32530589772056628</v>
      </c>
      <c r="O318">
        <v>0.11635003885967647</v>
      </c>
      <c r="P318">
        <v>18.229684541286925</v>
      </c>
      <c r="Q318">
        <v>11.324676995648311</v>
      </c>
      <c r="R318">
        <v>0.3284405406175534</v>
      </c>
      <c r="S318">
        <v>0.11747881486548889</v>
      </c>
      <c r="T318">
        <v>18.229403648868654</v>
      </c>
      <c r="U318">
        <v>1462.1191214887178</v>
      </c>
      <c r="V318">
        <v>8.7802239594260723</v>
      </c>
      <c r="W318">
        <v>1241.2485470102167</v>
      </c>
      <c r="X318">
        <v>6.4391757151561402</v>
      </c>
      <c r="Y318">
        <v>2822.4196127895107</v>
      </c>
      <c r="Z318">
        <v>8.8120975009590818</v>
      </c>
      <c r="AA318">
        <v>2685.5902118296704</v>
      </c>
      <c r="AB318">
        <v>6.4589952239328543</v>
      </c>
      <c r="AC318">
        <v>2148.1717028448284</v>
      </c>
      <c r="AD318">
        <v>8.7992521813441797</v>
      </c>
      <c r="AE318">
        <v>1975.7428924634612</v>
      </c>
      <c r="AF318">
        <v>6.4510199079313475</v>
      </c>
      <c r="AG318">
        <v>2038.2406831269611</v>
      </c>
      <c r="AH318">
        <v>8.7986656087191122</v>
      </c>
      <c r="AI318">
        <v>1854.7872548380246</v>
      </c>
      <c r="AJ318">
        <v>6.4506553328430565</v>
      </c>
    </row>
    <row r="319" spans="4:36" x14ac:dyDescent="0.55000000000000004">
      <c r="D319">
        <v>312</v>
      </c>
      <c r="E319">
        <v>12.827377822859217</v>
      </c>
      <c r="F319">
        <v>0.46622207271492544</v>
      </c>
      <c r="G319">
        <v>0.16557867732098328</v>
      </c>
      <c r="H319">
        <v>16.540821427104881</v>
      </c>
      <c r="I319">
        <v>13.031170057614064</v>
      </c>
      <c r="J319">
        <v>0.3194697152996942</v>
      </c>
      <c r="K319">
        <v>0.11313342281056493</v>
      </c>
      <c r="L319">
        <v>16.536226804275682</v>
      </c>
      <c r="M319">
        <v>12.993039128745298</v>
      </c>
      <c r="N319">
        <v>0.34694671286936085</v>
      </c>
      <c r="O319">
        <v>0.12292966988571756</v>
      </c>
      <c r="P319">
        <v>16.537084488499623</v>
      </c>
      <c r="Q319">
        <v>12.902142735905404</v>
      </c>
      <c r="R319">
        <v>0.4124118140033784</v>
      </c>
      <c r="S319">
        <v>0.14631271185376674</v>
      </c>
      <c r="T319">
        <v>16.539132738237445</v>
      </c>
      <c r="U319">
        <v>1571.0123392231244</v>
      </c>
      <c r="V319">
        <v>10.086518604755341</v>
      </c>
      <c r="W319">
        <v>1304.4431546292235</v>
      </c>
      <c r="X319">
        <v>7.2085398681119157</v>
      </c>
      <c r="Y319">
        <v>2910.8554235221272</v>
      </c>
      <c r="Z319">
        <v>10.127096762686143</v>
      </c>
      <c r="AA319">
        <v>2736.7130811282796</v>
      </c>
      <c r="AB319">
        <v>7.2316898944415904</v>
      </c>
      <c r="AC319">
        <v>2222.436775378445</v>
      </c>
      <c r="AD319">
        <v>10.119505816676783</v>
      </c>
      <c r="AE319">
        <v>2017.8612718340828</v>
      </c>
      <c r="AF319">
        <v>7.2273644182717778</v>
      </c>
      <c r="AG319">
        <v>2141.852309367061</v>
      </c>
      <c r="AH319">
        <v>10.101407753699569</v>
      </c>
      <c r="AI319">
        <v>1912.63768599372</v>
      </c>
      <c r="AJ319">
        <v>7.2170421611511832</v>
      </c>
    </row>
    <row r="320" spans="4:36" x14ac:dyDescent="0.55000000000000004">
      <c r="D320">
        <v>313</v>
      </c>
      <c r="E320">
        <v>12.168024351373596</v>
      </c>
      <c r="F320">
        <v>0.45731137830758051</v>
      </c>
      <c r="G320">
        <v>0.15309634961948015</v>
      </c>
      <c r="H320">
        <v>17.221567920699353</v>
      </c>
      <c r="I320">
        <v>12.411567127713553</v>
      </c>
      <c r="J320">
        <v>0.27846255166613132</v>
      </c>
      <c r="K320">
        <v>9.2897980951490572E-2</v>
      </c>
      <c r="L320">
        <v>17.217072339668832</v>
      </c>
      <c r="M320">
        <v>12.339120323800811</v>
      </c>
      <c r="N320">
        <v>0.33170103194368483</v>
      </c>
      <c r="O320">
        <v>0.11077300957730957</v>
      </c>
      <c r="P320">
        <v>17.218405634678192</v>
      </c>
      <c r="Q320">
        <v>12.275899862469299</v>
      </c>
      <c r="R320">
        <v>0.37813444991843709</v>
      </c>
      <c r="S320">
        <v>0.12639379714497581</v>
      </c>
      <c r="T320">
        <v>17.219571890467282</v>
      </c>
      <c r="U320">
        <v>1538.1540559803614</v>
      </c>
      <c r="V320">
        <v>9.7489650952638147</v>
      </c>
      <c r="W320">
        <v>1284.4715619743665</v>
      </c>
      <c r="X320">
        <v>7.0389779670275008</v>
      </c>
      <c r="Y320">
        <v>2900.861371585183</v>
      </c>
      <c r="Z320">
        <v>9.7982441617101106</v>
      </c>
      <c r="AA320">
        <v>2734.7147823771566</v>
      </c>
      <c r="AB320">
        <v>7.0674475412559365</v>
      </c>
      <c r="AC320">
        <v>2199.3754434600901</v>
      </c>
      <c r="AD320">
        <v>9.7835876753348074</v>
      </c>
      <c r="AE320">
        <v>2004.8678676812292</v>
      </c>
      <c r="AF320">
        <v>7.0589916592617623</v>
      </c>
      <c r="AG320">
        <v>2115.9043882521501</v>
      </c>
      <c r="AH320">
        <v>9.7707959612226141</v>
      </c>
      <c r="AI320">
        <v>1899.1656056615461</v>
      </c>
      <c r="AJ320">
        <v>7.0516037284026893</v>
      </c>
    </row>
    <row r="321" spans="4:36" x14ac:dyDescent="0.55000000000000004">
      <c r="D321">
        <v>314</v>
      </c>
      <c r="E321">
        <v>13.656891836830463</v>
      </c>
      <c r="F321">
        <v>0.5048726292116601</v>
      </c>
      <c r="G321">
        <v>0.18505519109959256</v>
      </c>
      <c r="H321">
        <v>15.653180342858288</v>
      </c>
      <c r="I321">
        <v>13.93859697087372</v>
      </c>
      <c r="J321">
        <v>0.30940491615724797</v>
      </c>
      <c r="K321">
        <v>0.11297765310932154</v>
      </c>
      <c r="L321">
        <v>15.639020459859722</v>
      </c>
      <c r="M321">
        <v>13.797850809604174</v>
      </c>
      <c r="N321">
        <v>0.40712493219154366</v>
      </c>
      <c r="O321">
        <v>0.14894155097580705</v>
      </c>
      <c r="P321">
        <v>15.646082707228459</v>
      </c>
      <c r="Q321">
        <v>13.810634889783756</v>
      </c>
      <c r="R321">
        <v>0.39825387011309804</v>
      </c>
      <c r="S321">
        <v>0.14567101432218585</v>
      </c>
      <c r="T321">
        <v>15.645440225780961</v>
      </c>
      <c r="U321">
        <v>1599.4368809782545</v>
      </c>
      <c r="V321">
        <v>10.82726470952757</v>
      </c>
      <c r="W321">
        <v>1314.6699679362687</v>
      </c>
      <c r="X321">
        <v>7.6426943632148658</v>
      </c>
      <c r="Y321">
        <v>2923.2327886593962</v>
      </c>
      <c r="Z321">
        <v>10.88866713030853</v>
      </c>
      <c r="AA321">
        <v>2741.6486439618593</v>
      </c>
      <c r="AB321">
        <v>7.6770701487388493</v>
      </c>
      <c r="AC321">
        <v>2281.2299020697328</v>
      </c>
      <c r="AD321">
        <v>10.857996664252719</v>
      </c>
      <c r="AE321">
        <v>2049.6597343234862</v>
      </c>
      <c r="AF321">
        <v>7.6599147830007004</v>
      </c>
      <c r="AG321">
        <v>2157.6721436326488</v>
      </c>
      <c r="AH321">
        <v>10.86078310499612</v>
      </c>
      <c r="AI321">
        <v>1918.7732825538608</v>
      </c>
      <c r="AJ321">
        <v>7.6614746187311615</v>
      </c>
    </row>
    <row r="322" spans="4:36" x14ac:dyDescent="0.55000000000000004">
      <c r="D322">
        <v>315</v>
      </c>
      <c r="E322">
        <v>13.225096228683599</v>
      </c>
      <c r="F322">
        <v>0.49277707172459234</v>
      </c>
      <c r="G322">
        <v>0.17886612473912702</v>
      </c>
      <c r="H322">
        <v>16.103260574852673</v>
      </c>
      <c r="I322">
        <v>13.46122632549864</v>
      </c>
      <c r="J322">
        <v>0.32402631074603583</v>
      </c>
      <c r="K322">
        <v>0.11724300764406699</v>
      </c>
      <c r="L322">
        <v>16.097504356111262</v>
      </c>
      <c r="M322">
        <v>13.399059577576255</v>
      </c>
      <c r="N322">
        <v>0.36848559552177529</v>
      </c>
      <c r="O322">
        <v>0.13344003939153407</v>
      </c>
      <c r="P322">
        <v>16.099014787510434</v>
      </c>
      <c r="Q322">
        <v>13.325218541449031</v>
      </c>
      <c r="R322">
        <v>0.42126453562556432</v>
      </c>
      <c r="S322">
        <v>0.15270341139367444</v>
      </c>
      <c r="T322">
        <v>16.100813511531722</v>
      </c>
      <c r="U322">
        <v>1601.8056310915783</v>
      </c>
      <c r="V322">
        <v>10.501907613508481</v>
      </c>
      <c r="W322">
        <v>1320.3585608849355</v>
      </c>
      <c r="X322">
        <v>7.459831973434162</v>
      </c>
      <c r="Y322">
        <v>2927.8828156965019</v>
      </c>
      <c r="Z322">
        <v>10.552297631326272</v>
      </c>
      <c r="AA322">
        <v>2745.8416864576584</v>
      </c>
      <c r="AB322">
        <v>7.4884771446549738</v>
      </c>
      <c r="AC322">
        <v>2255.9029916413515</v>
      </c>
      <c r="AD322">
        <v>10.539033622908399</v>
      </c>
      <c r="AE322">
        <v>2036.972675200446</v>
      </c>
      <c r="AF322">
        <v>7.4809460464970456</v>
      </c>
      <c r="AG322">
        <v>2157.8994157715892</v>
      </c>
      <c r="AH322">
        <v>10.523276606368929</v>
      </c>
      <c r="AI322">
        <v>1919.8889742175052</v>
      </c>
      <c r="AJ322">
        <v>7.471991059766788</v>
      </c>
    </row>
    <row r="323" spans="4:36" x14ac:dyDescent="0.55000000000000004">
      <c r="D323">
        <v>316</v>
      </c>
      <c r="E323">
        <v>12.709930454257451</v>
      </c>
      <c r="F323">
        <v>0.43935258667911875</v>
      </c>
      <c r="G323">
        <v>0.19577966921812479</v>
      </c>
      <c r="H323">
        <v>16.654937289845318</v>
      </c>
      <c r="I323">
        <v>12.925779489296769</v>
      </c>
      <c r="J323">
        <v>0.28807985301909195</v>
      </c>
      <c r="K323">
        <v>0.12795000121428801</v>
      </c>
      <c r="L323">
        <v>16.658190656469863</v>
      </c>
      <c r="M323">
        <v>12.836835116292573</v>
      </c>
      <c r="N323">
        <v>0.35044957050617598</v>
      </c>
      <c r="O323">
        <v>0.15586137759197888</v>
      </c>
      <c r="P323">
        <v>16.656853935609281</v>
      </c>
      <c r="Q323">
        <v>12.80289151478709</v>
      </c>
      <c r="R323">
        <v>0.37423861484025112</v>
      </c>
      <c r="S323">
        <v>0.16652749393154079</v>
      </c>
      <c r="T323">
        <v>16.656342376441103</v>
      </c>
      <c r="U323">
        <v>1538.7509516492876</v>
      </c>
      <c r="V323">
        <v>10.009773843121735</v>
      </c>
      <c r="W323">
        <v>1279.9752864418265</v>
      </c>
      <c r="X323">
        <v>7.1649733874900061</v>
      </c>
      <c r="Y323">
        <v>2917.2410903624127</v>
      </c>
      <c r="Z323">
        <v>10.049974375761821</v>
      </c>
      <c r="AA323">
        <v>2741.5732296677256</v>
      </c>
      <c r="AB323">
        <v>7.1885134233403152</v>
      </c>
      <c r="AC323">
        <v>2225.1727886962954</v>
      </c>
      <c r="AD323">
        <v>10.033406312892025</v>
      </c>
      <c r="AE323">
        <v>2017.025834218153</v>
      </c>
      <c r="AF323">
        <v>7.1788220090061063</v>
      </c>
      <c r="AG323">
        <v>2155.9739259643638</v>
      </c>
      <c r="AH323">
        <v>10.027084492399528</v>
      </c>
      <c r="AI323">
        <v>1922.9246071724956</v>
      </c>
      <c r="AJ323">
        <v>7.1751203106360446</v>
      </c>
    </row>
    <row r="324" spans="4:36" x14ac:dyDescent="0.55000000000000004">
      <c r="D324">
        <v>317</v>
      </c>
      <c r="E324">
        <v>12.150350547348031</v>
      </c>
      <c r="F324">
        <v>0.48392294126786534</v>
      </c>
      <c r="G324">
        <v>0.15658903969259177</v>
      </c>
      <c r="H324">
        <v>17.209137471691516</v>
      </c>
      <c r="I324">
        <v>12.36160363729638</v>
      </c>
      <c r="J324">
        <v>0.3084949390646386</v>
      </c>
      <c r="K324">
        <v>9.9520159062596689E-2</v>
      </c>
      <c r="L324">
        <v>17.230381264576376</v>
      </c>
      <c r="M324">
        <v>12.275959673607531</v>
      </c>
      <c r="N324">
        <v>0.37963686663236385</v>
      </c>
      <c r="O324">
        <v>0.12262108527602575</v>
      </c>
      <c r="P324">
        <v>17.221782374484093</v>
      </c>
      <c r="Q324">
        <v>12.228097937043003</v>
      </c>
      <c r="R324">
        <v>0.41938130409691832</v>
      </c>
      <c r="S324">
        <v>0.13555185327358801</v>
      </c>
      <c r="T324">
        <v>17.216968905586491</v>
      </c>
      <c r="U324">
        <v>1509.7831810212861</v>
      </c>
      <c r="V324">
        <v>9.6203533354324851</v>
      </c>
      <c r="W324">
        <v>1264.9456671294122</v>
      </c>
      <c r="X324">
        <v>6.9422383356868593</v>
      </c>
      <c r="Y324">
        <v>2893.6067342827309</v>
      </c>
      <c r="Z324">
        <v>9.6479333462277506</v>
      </c>
      <c r="AA324">
        <v>2729.1694352623176</v>
      </c>
      <c r="AB324">
        <v>6.9593248386134983</v>
      </c>
      <c r="AC324">
        <v>2205.8493484739988</v>
      </c>
      <c r="AD324">
        <v>9.6367435706367406</v>
      </c>
      <c r="AE324">
        <v>2008.3092350460322</v>
      </c>
      <c r="AF324">
        <v>6.9524020568467648</v>
      </c>
      <c r="AG324">
        <v>2107.1164311915222</v>
      </c>
      <c r="AH324">
        <v>9.6304952986669168</v>
      </c>
      <c r="AI324">
        <v>1892.3242904285503</v>
      </c>
      <c r="AJ324">
        <v>6.9485307808639156</v>
      </c>
    </row>
    <row r="325" spans="4:36" x14ac:dyDescent="0.55000000000000004">
      <c r="D325">
        <v>318</v>
      </c>
      <c r="E325">
        <v>13.073844632096606</v>
      </c>
      <c r="F325">
        <v>0.46223849726617483</v>
      </c>
      <c r="G325">
        <v>0.17977803387753805</v>
      </c>
      <c r="H325">
        <v>16.284138836759695</v>
      </c>
      <c r="I325">
        <v>13.31938209731609</v>
      </c>
      <c r="J325">
        <v>0.28938872892470263</v>
      </c>
      <c r="K325">
        <v>0.11214861943244038</v>
      </c>
      <c r="L325">
        <v>16.279080554326775</v>
      </c>
      <c r="M325">
        <v>13.197708472290067</v>
      </c>
      <c r="N325">
        <v>0.37508845228538978</v>
      </c>
      <c r="O325">
        <v>0.14561800911417483</v>
      </c>
      <c r="P325">
        <v>16.281585066310381</v>
      </c>
      <c r="Q325">
        <v>13.169883391470254</v>
      </c>
      <c r="R325">
        <v>0.3946742106904168</v>
      </c>
      <c r="S325">
        <v>0.15328401450216095</v>
      </c>
      <c r="T325">
        <v>16.282158383337176</v>
      </c>
      <c r="U325">
        <v>1575.5230955127588</v>
      </c>
      <c r="V325">
        <v>10.338772849394866</v>
      </c>
      <c r="W325">
        <v>1304.6634141333177</v>
      </c>
      <c r="X325">
        <v>7.3620334825570426</v>
      </c>
      <c r="Y325">
        <v>2914.1172886950812</v>
      </c>
      <c r="Z325">
        <v>10.391477019466375</v>
      </c>
      <c r="AA325">
        <v>2739.2030941712105</v>
      </c>
      <c r="AB325">
        <v>7.392296529441146</v>
      </c>
      <c r="AC325">
        <v>2241.9227947568666</v>
      </c>
      <c r="AD325">
        <v>10.365360351277502</v>
      </c>
      <c r="AE325">
        <v>2027.1553379987668</v>
      </c>
      <c r="AF325">
        <v>7.3773139987742553</v>
      </c>
      <c r="AG325">
        <v>2158.4425414227562</v>
      </c>
      <c r="AH325">
        <v>10.359387731612902</v>
      </c>
      <c r="AI325">
        <v>1923.0052138562669</v>
      </c>
      <c r="AJ325">
        <v>7.3738838478538744</v>
      </c>
    </row>
    <row r="326" spans="4:36" x14ac:dyDescent="0.55000000000000004">
      <c r="D326">
        <v>319</v>
      </c>
      <c r="E326">
        <v>12.354714714257039</v>
      </c>
      <c r="F326">
        <v>0.41603976136903947</v>
      </c>
      <c r="G326">
        <v>0.18481933914914669</v>
      </c>
      <c r="H326">
        <v>17.044426185224779</v>
      </c>
      <c r="I326">
        <v>12.559966849936147</v>
      </c>
      <c r="J326">
        <v>0.27456169685278969</v>
      </c>
      <c r="K326">
        <v>0.12157578876304627</v>
      </c>
      <c r="L326">
        <v>17.043895664448002</v>
      </c>
      <c r="M326">
        <v>12.466432926352381</v>
      </c>
      <c r="N326">
        <v>0.33906759232590455</v>
      </c>
      <c r="O326">
        <v>0.15035971584583041</v>
      </c>
      <c r="P326">
        <v>17.044139765475883</v>
      </c>
      <c r="Q326">
        <v>12.467039431659298</v>
      </c>
      <c r="R326">
        <v>0.33864949701839242</v>
      </c>
      <c r="S326">
        <v>0.15017287613070485</v>
      </c>
      <c r="T326">
        <v>17.044138195191596</v>
      </c>
      <c r="U326">
        <v>1563.3919681098969</v>
      </c>
      <c r="V326">
        <v>9.7343925681063954</v>
      </c>
      <c r="W326">
        <v>1299.6923484270162</v>
      </c>
      <c r="X326">
        <v>7.0079287002160049</v>
      </c>
      <c r="Y326">
        <v>2917.3909656970404</v>
      </c>
      <c r="Z326">
        <v>9.7734503289227099</v>
      </c>
      <c r="AA326">
        <v>2742.8126524833669</v>
      </c>
      <c r="AB326">
        <v>7.030798920148186</v>
      </c>
      <c r="AC326">
        <v>2211.7773090245355</v>
      </c>
      <c r="AD326">
        <v>9.7556500232786423</v>
      </c>
      <c r="AE326">
        <v>2008.1654924875918</v>
      </c>
      <c r="AF326">
        <v>7.0203858945918434</v>
      </c>
      <c r="AG326">
        <v>2135.7743466133716</v>
      </c>
      <c r="AH326">
        <v>9.7557654379331105</v>
      </c>
      <c r="AI326">
        <v>1911.485876099837</v>
      </c>
      <c r="AJ326">
        <v>7.0204534643851382</v>
      </c>
    </row>
    <row r="327" spans="4:36" x14ac:dyDescent="0.55000000000000004">
      <c r="D327">
        <v>320</v>
      </c>
      <c r="E327">
        <v>15.231881254433754</v>
      </c>
      <c r="F327">
        <v>0.52948494048816352</v>
      </c>
      <c r="G327">
        <v>0.18513096541269136</v>
      </c>
      <c r="H327">
        <v>14.0535028396654</v>
      </c>
      <c r="I327">
        <v>15.504800422650792</v>
      </c>
      <c r="J327">
        <v>0.35123707064162379</v>
      </c>
      <c r="K327">
        <v>0.12240820066129796</v>
      </c>
      <c r="L327">
        <v>14.021554306046301</v>
      </c>
      <c r="M327">
        <v>15.398062962184316</v>
      </c>
      <c r="N327">
        <v>0.42100317004806148</v>
      </c>
      <c r="O327">
        <v>0.14690833721820698</v>
      </c>
      <c r="P327">
        <v>14.034025530549412</v>
      </c>
      <c r="Q327">
        <v>15.332961137598605</v>
      </c>
      <c r="R327">
        <v>0.46352119523015639</v>
      </c>
      <c r="S327">
        <v>0.16187072943115124</v>
      </c>
      <c r="T327">
        <v>14.041646937740094</v>
      </c>
      <c r="U327">
        <v>1713.6902453946352</v>
      </c>
      <c r="V327">
        <v>12.015000270727855</v>
      </c>
      <c r="W327">
        <v>1383.5762572880119</v>
      </c>
      <c r="X327">
        <v>8.3079004999361068</v>
      </c>
      <c r="Y327">
        <v>3018.7606530908834</v>
      </c>
      <c r="Z327">
        <v>12.085442051874921</v>
      </c>
      <c r="AA327">
        <v>2799.3333456714277</v>
      </c>
      <c r="AB327">
        <v>8.3461063401951527</v>
      </c>
      <c r="AC327">
        <v>2336.410976314668</v>
      </c>
      <c r="AD327">
        <v>12.057905039856179</v>
      </c>
      <c r="AE327">
        <v>2079.7806257840189</v>
      </c>
      <c r="AF327">
        <v>8.3311832053189168</v>
      </c>
      <c r="AG327">
        <v>2258.8001893208757</v>
      </c>
      <c r="AH327">
        <v>12.041101707142126</v>
      </c>
      <c r="AI327">
        <v>1977.0142243085004</v>
      </c>
      <c r="AJ327">
        <v>8.322069279735695</v>
      </c>
    </row>
    <row r="328" spans="4:36" x14ac:dyDescent="0.55000000000000004">
      <c r="D328">
        <v>321</v>
      </c>
      <c r="E328">
        <v>14.027390846496759</v>
      </c>
      <c r="F328">
        <v>0.49073015226401173</v>
      </c>
      <c r="G328">
        <v>0.18147939932708498</v>
      </c>
      <c r="H328">
        <v>15.300399601912154</v>
      </c>
      <c r="I328">
        <v>14.274698941453467</v>
      </c>
      <c r="J328">
        <v>0.32432887822144502</v>
      </c>
      <c r="K328">
        <v>0.11954510195012666</v>
      </c>
      <c r="L328">
        <v>15.281427078374957</v>
      </c>
      <c r="M328">
        <v>14.172509632022662</v>
      </c>
      <c r="N328">
        <v>0.39313310765239878</v>
      </c>
      <c r="O328">
        <v>0.14510338187255156</v>
      </c>
      <c r="P328">
        <v>15.28925387845239</v>
      </c>
      <c r="Q328">
        <v>14.116628836240098</v>
      </c>
      <c r="R328">
        <v>0.43073033576418573</v>
      </c>
      <c r="S328">
        <v>0.15909939120696073</v>
      </c>
      <c r="T328">
        <v>15.293541436788741</v>
      </c>
      <c r="U328">
        <v>1638.0939725859625</v>
      </c>
      <c r="V328">
        <v>11.093444682681255</v>
      </c>
      <c r="W328">
        <v>1339.976128705322</v>
      </c>
      <c r="X328">
        <v>7.7916733363352559</v>
      </c>
      <c r="Y328">
        <v>2954.6501215997009</v>
      </c>
      <c r="Z328">
        <v>11.146764220166874</v>
      </c>
      <c r="AA328">
        <v>2760.7489942243456</v>
      </c>
      <c r="AB328">
        <v>7.8210419230793127</v>
      </c>
      <c r="AC328">
        <v>2288.6655268215122</v>
      </c>
      <c r="AD328">
        <v>11.124741015017307</v>
      </c>
      <c r="AE328">
        <v>2053.4614611507113</v>
      </c>
      <c r="AF328">
        <v>7.8089215496852802</v>
      </c>
      <c r="AG328">
        <v>2166.1247139380857</v>
      </c>
      <c r="AH328">
        <v>11.112692723458077</v>
      </c>
      <c r="AI328">
        <v>1919.8169088259865</v>
      </c>
      <c r="AJ328">
        <v>7.8022848400919997</v>
      </c>
    </row>
    <row r="329" spans="4:36" x14ac:dyDescent="0.55000000000000004">
      <c r="D329">
        <v>322</v>
      </c>
      <c r="E329">
        <v>12.959386528871214</v>
      </c>
      <c r="F329">
        <v>0.51038338276042416</v>
      </c>
      <c r="G329">
        <v>0.20423864978715214</v>
      </c>
      <c r="H329">
        <v>16.325991438581216</v>
      </c>
      <c r="I329">
        <v>13.16928926659002</v>
      </c>
      <c r="J329">
        <v>0.34581580907045251</v>
      </c>
      <c r="K329">
        <v>0.13797359523506511</v>
      </c>
      <c r="L329">
        <v>16.346921329104468</v>
      </c>
      <c r="M329">
        <v>13.087280558014843</v>
      </c>
      <c r="N329">
        <v>0.41013720240538765</v>
      </c>
      <c r="O329">
        <v>0.16382581133557625</v>
      </c>
      <c r="P329">
        <v>16.338756428244196</v>
      </c>
      <c r="Q329">
        <v>13.047660046125319</v>
      </c>
      <c r="R329">
        <v>0.4412010363239901</v>
      </c>
      <c r="S329">
        <v>0.17633283109464509</v>
      </c>
      <c r="T329">
        <v>16.334806086456055</v>
      </c>
      <c r="U329">
        <v>1612.6869837206091</v>
      </c>
      <c r="V329">
        <v>10.251723817986534</v>
      </c>
      <c r="W329">
        <v>1324.6536181285044</v>
      </c>
      <c r="X329">
        <v>7.3040677539927579</v>
      </c>
      <c r="Y329">
        <v>2931.7394699467909</v>
      </c>
      <c r="Z329">
        <v>10.282723737297646</v>
      </c>
      <c r="AA329">
        <v>2745.4530137066999</v>
      </c>
      <c r="AB329">
        <v>7.3227537837692358</v>
      </c>
      <c r="AC329">
        <v>2266.8285371625066</v>
      </c>
      <c r="AD329">
        <v>10.2706051917742</v>
      </c>
      <c r="AE329">
        <v>2039.918015300809</v>
      </c>
      <c r="AF329">
        <v>7.3154577859484604</v>
      </c>
      <c r="AG329">
        <v>2175.1269083827738</v>
      </c>
      <c r="AH329">
        <v>10.264753580416052</v>
      </c>
      <c r="AI329">
        <v>1928.8376569373681</v>
      </c>
      <c r="AJ329">
        <v>7.3119307939437972</v>
      </c>
    </row>
    <row r="330" spans="4:36" x14ac:dyDescent="0.55000000000000004">
      <c r="D330">
        <v>323</v>
      </c>
      <c r="E330">
        <v>12.110927347383203</v>
      </c>
      <c r="F330">
        <v>0.43559793486253623</v>
      </c>
      <c r="G330">
        <v>0.17457368586282671</v>
      </c>
      <c r="H330">
        <v>17.278901031891433</v>
      </c>
      <c r="I330">
        <v>12.307383063701206</v>
      </c>
      <c r="J330">
        <v>0.29232717221105803</v>
      </c>
      <c r="K330">
        <v>0.11680169056666007</v>
      </c>
      <c r="L330">
        <v>17.283488073521063</v>
      </c>
      <c r="M330">
        <v>12.260760047540128</v>
      </c>
      <c r="N330">
        <v>0.32634908047164501</v>
      </c>
      <c r="O330">
        <v>0.1304885423679529</v>
      </c>
      <c r="P330">
        <v>17.282402329620268</v>
      </c>
      <c r="Q330">
        <v>12.182812848823485</v>
      </c>
      <c r="R330">
        <v>0.38320016543659541</v>
      </c>
      <c r="S330">
        <v>0.15340382653028486</v>
      </c>
      <c r="T330">
        <v>17.280583159209627</v>
      </c>
      <c r="U330">
        <v>1550.184160008693</v>
      </c>
      <c r="V330">
        <v>9.5471800947807264</v>
      </c>
      <c r="W330">
        <v>1295.5483275331785</v>
      </c>
      <c r="X330">
        <v>6.8982556218935631</v>
      </c>
      <c r="Y330">
        <v>2899.2235457195898</v>
      </c>
      <c r="Z330">
        <v>9.581796878397677</v>
      </c>
      <c r="AA330">
        <v>2732.8005973738054</v>
      </c>
      <c r="AB330">
        <v>6.9186863808571326</v>
      </c>
      <c r="AC330">
        <v>2194.146306028767</v>
      </c>
      <c r="AD330">
        <v>9.5735802340705654</v>
      </c>
      <c r="AE330">
        <v>2001.9696339471752</v>
      </c>
      <c r="AF330">
        <v>6.9138433827230834</v>
      </c>
      <c r="AG330">
        <v>2085.3139586317593</v>
      </c>
      <c r="AH330">
        <v>9.5598450367642478</v>
      </c>
      <c r="AI330">
        <v>1877.0416781976287</v>
      </c>
      <c r="AJ330">
        <v>6.9057387446937311</v>
      </c>
    </row>
    <row r="331" spans="4:36" x14ac:dyDescent="0.55000000000000004">
      <c r="D331">
        <v>324</v>
      </c>
      <c r="E331">
        <v>14.828786657245615</v>
      </c>
      <c r="F331">
        <v>0.47194317987391704</v>
      </c>
      <c r="G331">
        <v>0.18116252193622984</v>
      </c>
      <c r="H331">
        <v>14.518107640944228</v>
      </c>
      <c r="I331">
        <v>15.127813951451857</v>
      </c>
      <c r="J331">
        <v>0.29771872943999478</v>
      </c>
      <c r="K331">
        <v>0.11384314985300577</v>
      </c>
      <c r="L331">
        <v>14.460624169255128</v>
      </c>
      <c r="M331">
        <v>14.942804890331674</v>
      </c>
      <c r="N331">
        <v>0.40558523481177611</v>
      </c>
      <c r="O331">
        <v>0.15545960709408085</v>
      </c>
      <c r="P331">
        <v>14.496150267762477</v>
      </c>
      <c r="Q331">
        <v>14.984635452131945</v>
      </c>
      <c r="R331">
        <v>0.38121732993883128</v>
      </c>
      <c r="S331">
        <v>0.14604044661293381</v>
      </c>
      <c r="T331">
        <v>14.488106771316279</v>
      </c>
      <c r="U331">
        <v>1653.6496951830898</v>
      </c>
      <c r="V331">
        <v>11.681096674896784</v>
      </c>
      <c r="W331">
        <v>1348.6536205144489</v>
      </c>
      <c r="X331">
        <v>8.1241340646182483</v>
      </c>
      <c r="Y331">
        <v>2977.2178956358011</v>
      </c>
      <c r="Z331">
        <v>11.769364563924887</v>
      </c>
      <c r="AA331">
        <v>2776.0100561983777</v>
      </c>
      <c r="AB331">
        <v>8.1716652918414212</v>
      </c>
      <c r="AC331">
        <v>2324.9474363567979</v>
      </c>
      <c r="AD331">
        <v>11.714775930569884</v>
      </c>
      <c r="AE331">
        <v>2075.2970563169201</v>
      </c>
      <c r="AF331">
        <v>8.1422864256034817</v>
      </c>
      <c r="AG331">
        <v>2223.8163706823043</v>
      </c>
      <c r="AH331">
        <v>11.727124912338367</v>
      </c>
      <c r="AI331">
        <v>1960.7009713407317</v>
      </c>
      <c r="AJ331">
        <v>8.1489371299062938</v>
      </c>
    </row>
    <row r="332" spans="4:36" x14ac:dyDescent="0.55000000000000004">
      <c r="D332">
        <v>325</v>
      </c>
      <c r="E332">
        <v>12.459856909723175</v>
      </c>
      <c r="F332">
        <v>0.45478963597709421</v>
      </c>
      <c r="G332">
        <v>0.16752777719295259</v>
      </c>
      <c r="H332">
        <v>16.917825677106777</v>
      </c>
      <c r="I332">
        <v>12.69345381273947</v>
      </c>
      <c r="J332">
        <v>0.28200088610463653</v>
      </c>
      <c r="K332">
        <v>0.10352752199254861</v>
      </c>
      <c r="L332">
        <v>16.921017779163325</v>
      </c>
      <c r="M332">
        <v>12.578569683706391</v>
      </c>
      <c r="N332">
        <v>0.36701801162570641</v>
      </c>
      <c r="O332">
        <v>0.13496256312922542</v>
      </c>
      <c r="P332">
        <v>16.919449741538696</v>
      </c>
      <c r="Q332">
        <v>12.565716876073308</v>
      </c>
      <c r="R332">
        <v>0.37652476342538854</v>
      </c>
      <c r="S332">
        <v>0.13848426754795273</v>
      </c>
      <c r="T332">
        <v>16.919274092953341</v>
      </c>
      <c r="U332">
        <v>1568.1322065386848</v>
      </c>
      <c r="V332">
        <v>9.8453429301047617</v>
      </c>
      <c r="W332">
        <v>1301.5126720361357</v>
      </c>
      <c r="X332">
        <v>7.0750823951667217</v>
      </c>
      <c r="Y332">
        <v>2896.4708610663138</v>
      </c>
      <c r="Z332">
        <v>9.8879194938490311</v>
      </c>
      <c r="AA332">
        <v>2728.2110238535124</v>
      </c>
      <c r="AB332">
        <v>7.0998504823209689</v>
      </c>
      <c r="AC332">
        <v>2258.5027225302324</v>
      </c>
      <c r="AD332">
        <v>9.8669797267361421</v>
      </c>
      <c r="AE332">
        <v>2040.9691642334039</v>
      </c>
      <c r="AF332">
        <v>7.0876809157786083</v>
      </c>
      <c r="AG332">
        <v>2149.6933676557237</v>
      </c>
      <c r="AH332">
        <v>9.8646371116542362</v>
      </c>
      <c r="AI332">
        <v>1919.6518463381524</v>
      </c>
      <c r="AJ332">
        <v>7.0863180522655052</v>
      </c>
    </row>
    <row r="333" spans="4:36" x14ac:dyDescent="0.55000000000000004">
      <c r="D333">
        <v>326</v>
      </c>
      <c r="E333">
        <v>13.112301440969336</v>
      </c>
      <c r="F333">
        <v>0.43716184185276519</v>
      </c>
      <c r="G333">
        <v>0.16360349340165434</v>
      </c>
      <c r="H333">
        <v>16.286933223776231</v>
      </c>
      <c r="I333">
        <v>13.328587818300225</v>
      </c>
      <c r="J333">
        <v>0.29411444625129224</v>
      </c>
      <c r="K333">
        <v>0.10973383675016736</v>
      </c>
      <c r="L333">
        <v>16.267563898698327</v>
      </c>
      <c r="M333">
        <v>13.246579583928852</v>
      </c>
      <c r="N333">
        <v>0.34838964203711348</v>
      </c>
      <c r="O333">
        <v>0.13013380527858712</v>
      </c>
      <c r="P333">
        <v>16.274896968755442</v>
      </c>
      <c r="Q333">
        <v>13.200112448737324</v>
      </c>
      <c r="R333">
        <v>0.37912301362761969</v>
      </c>
      <c r="S333">
        <v>0.14170653895695026</v>
      </c>
      <c r="T333">
        <v>16.279057998678105</v>
      </c>
      <c r="U333">
        <v>1599.5566742649842</v>
      </c>
      <c r="V333">
        <v>10.429142321859201</v>
      </c>
      <c r="W333">
        <v>1324.6693797516675</v>
      </c>
      <c r="X333">
        <v>7.4259831724274639</v>
      </c>
      <c r="Y333">
        <v>2911.0936745298372</v>
      </c>
      <c r="Z333">
        <v>10.480236371013619</v>
      </c>
      <c r="AA333">
        <v>2737.2298357828008</v>
      </c>
      <c r="AB333">
        <v>7.4545681543661839</v>
      </c>
      <c r="AC333">
        <v>2253.4198911780186</v>
      </c>
      <c r="AD333">
        <v>10.460870008632295</v>
      </c>
      <c r="AE333">
        <v>2038.0911610714356</v>
      </c>
      <c r="AF333">
        <v>7.4437429600563174</v>
      </c>
      <c r="AG333">
        <v>2104.0942076632409</v>
      </c>
      <c r="AH333">
        <v>10.449893099036466</v>
      </c>
      <c r="AI333">
        <v>1886.037519227745</v>
      </c>
      <c r="AJ333">
        <v>7.4376020916322405</v>
      </c>
    </row>
    <row r="334" spans="4:36" x14ac:dyDescent="0.55000000000000004">
      <c r="D334">
        <v>327</v>
      </c>
      <c r="E334">
        <v>13.786970395397523</v>
      </c>
      <c r="F334">
        <v>0.50855059115474421</v>
      </c>
      <c r="G334">
        <v>0.16523503156137587</v>
      </c>
      <c r="H334">
        <v>15.539243981886344</v>
      </c>
      <c r="I334">
        <v>14.054289995952441</v>
      </c>
      <c r="J334">
        <v>0.31935928489295295</v>
      </c>
      <c r="K334">
        <v>0.10340385108150869</v>
      </c>
      <c r="L334">
        <v>15.522946868073104</v>
      </c>
      <c r="M334">
        <v>13.959251342727022</v>
      </c>
      <c r="N334">
        <v>0.38666893665925517</v>
      </c>
      <c r="O334">
        <v>0.12535185333978083</v>
      </c>
      <c r="P334">
        <v>15.528727867273941</v>
      </c>
      <c r="Q334">
        <v>13.869189805463158</v>
      </c>
      <c r="R334">
        <v>0.45040537938602038</v>
      </c>
      <c r="S334">
        <v>0.14618547748174621</v>
      </c>
      <c r="T334">
        <v>15.534219337669066</v>
      </c>
      <c r="U334">
        <v>1607.3713515762292</v>
      </c>
      <c r="V334">
        <v>10.850937040283233</v>
      </c>
      <c r="W334">
        <v>1322.0094656161775</v>
      </c>
      <c r="X334">
        <v>7.6468072991294544</v>
      </c>
      <c r="Y334">
        <v>2940.0977116008571</v>
      </c>
      <c r="Z334">
        <v>10.909432052259316</v>
      </c>
      <c r="AA334">
        <v>2754.0705610614859</v>
      </c>
      <c r="AB334">
        <v>7.6794113168839893</v>
      </c>
      <c r="AC334">
        <v>2278.9618638446595</v>
      </c>
      <c r="AD334">
        <v>10.888642889840437</v>
      </c>
      <c r="AE334">
        <v>2050.9930523509847</v>
      </c>
      <c r="AF334">
        <v>7.6678360442178963</v>
      </c>
      <c r="AG334">
        <v>2193.6695368940786</v>
      </c>
      <c r="AH334">
        <v>10.868935090119383</v>
      </c>
      <c r="AI334">
        <v>1942.2948832234185</v>
      </c>
      <c r="AJ334">
        <v>7.6568504713572985</v>
      </c>
    </row>
    <row r="335" spans="4:36" x14ac:dyDescent="0.55000000000000004">
      <c r="D335">
        <v>328</v>
      </c>
      <c r="E335">
        <v>11.93708148990877</v>
      </c>
      <c r="F335">
        <v>0.43641405684029544</v>
      </c>
      <c r="G335">
        <v>0.15165676251372759</v>
      </c>
      <c r="H335">
        <v>17.474847690737203</v>
      </c>
      <c r="I335">
        <v>12.12119963275827</v>
      </c>
      <c r="J335">
        <v>0.29155235086873588</v>
      </c>
      <c r="K335">
        <v>0.10103431515729312</v>
      </c>
      <c r="L335">
        <v>17.486213701215693</v>
      </c>
      <c r="M335">
        <v>12.014588374244395</v>
      </c>
      <c r="N335">
        <v>0.37545324152145687</v>
      </c>
      <c r="O335">
        <v>0.13031890103525051</v>
      </c>
      <c r="P335">
        <v>17.479639483198888</v>
      </c>
      <c r="Q335">
        <v>12.01172211677854</v>
      </c>
      <c r="R335">
        <v>0.37770814885767934</v>
      </c>
      <c r="S335">
        <v>0.13110726961744013</v>
      </c>
      <c r="T335">
        <v>17.479462464746341</v>
      </c>
      <c r="U335">
        <v>1503.8594271919628</v>
      </c>
      <c r="V335">
        <v>9.4833267406929469</v>
      </c>
      <c r="W335">
        <v>1264.4167761429071</v>
      </c>
      <c r="X335">
        <v>6.871259271542332</v>
      </c>
      <c r="Y335">
        <v>2892.767604471775</v>
      </c>
      <c r="Z335">
        <v>9.5108834719189836</v>
      </c>
      <c r="AA335">
        <v>2730.0071915660847</v>
      </c>
      <c r="AB335">
        <v>6.8879549218384497</v>
      </c>
      <c r="AC335">
        <v>2207.5209056343624</v>
      </c>
      <c r="AD335">
        <v>9.4949227986212179</v>
      </c>
      <c r="AE335">
        <v>2009.9681133246388</v>
      </c>
      <c r="AF335">
        <v>6.8782924810005435</v>
      </c>
      <c r="AG335">
        <v>2100.7713127412517</v>
      </c>
      <c r="AH335">
        <v>9.4944938566559891</v>
      </c>
      <c r="AI335">
        <v>1891.0534831912362</v>
      </c>
      <c r="AJ335">
        <v>6.8780325173048693</v>
      </c>
    </row>
    <row r="336" spans="4:36" x14ac:dyDescent="0.55000000000000004">
      <c r="D336">
        <v>329</v>
      </c>
      <c r="E336">
        <v>11.924233171837043</v>
      </c>
      <c r="F336">
        <v>0.39664626230029204</v>
      </c>
      <c r="G336">
        <v>0.1463770574870997</v>
      </c>
      <c r="H336">
        <v>17.53274350837556</v>
      </c>
      <c r="I336">
        <v>12.068732385945776</v>
      </c>
      <c r="J336">
        <v>0.28559349642847226</v>
      </c>
      <c r="K336">
        <v>0.10516590631191911</v>
      </c>
      <c r="L336">
        <v>17.540508211313835</v>
      </c>
      <c r="M336">
        <v>11.987933809726115</v>
      </c>
      <c r="N336">
        <v>0.34770376729907188</v>
      </c>
      <c r="O336">
        <v>0.12819237821967439</v>
      </c>
      <c r="P336">
        <v>17.536170044755139</v>
      </c>
      <c r="Q336">
        <v>11.970573316043778</v>
      </c>
      <c r="R336">
        <v>0.36104433712965051</v>
      </c>
      <c r="S336">
        <v>0.13314558502537382</v>
      </c>
      <c r="T336">
        <v>17.535236761801208</v>
      </c>
      <c r="U336">
        <v>1511.0928092942283</v>
      </c>
      <c r="V336">
        <v>9.4662843926709694</v>
      </c>
      <c r="W336">
        <v>1269.7089325963341</v>
      </c>
      <c r="X336">
        <v>6.8657080456891597</v>
      </c>
      <c r="Y336">
        <v>2894.534971185275</v>
      </c>
      <c r="Z336">
        <v>9.4913423982920619</v>
      </c>
      <c r="AA336">
        <v>2729.5477995019619</v>
      </c>
      <c r="AB336">
        <v>6.8807739034865358</v>
      </c>
      <c r="AC336">
        <v>2219.4944799173095</v>
      </c>
      <c r="AD336">
        <v>9.4773286116629709</v>
      </c>
      <c r="AE336">
        <v>2018.1711387621899</v>
      </c>
      <c r="AF336">
        <v>6.8723534851135319</v>
      </c>
      <c r="AG336">
        <v>2086.352066979437</v>
      </c>
      <c r="AH336">
        <v>9.4743183448046633</v>
      </c>
      <c r="AI336">
        <v>1879.0367948715536</v>
      </c>
      <c r="AJ336">
        <v>6.870542991376916</v>
      </c>
    </row>
    <row r="337" spans="4:36" x14ac:dyDescent="0.55000000000000004">
      <c r="D337">
        <v>330</v>
      </c>
      <c r="E337">
        <v>13.78962771421048</v>
      </c>
      <c r="F337">
        <v>0.50005721097397193</v>
      </c>
      <c r="G337">
        <v>0.19138556839715859</v>
      </c>
      <c r="H337">
        <v>15.518929506418381</v>
      </c>
      <c r="I337">
        <v>14.06786519061048</v>
      </c>
      <c r="J337">
        <v>0.31304720658526686</v>
      </c>
      <c r="K337">
        <v>0.11935782690900307</v>
      </c>
      <c r="L337">
        <v>15.499729775895256</v>
      </c>
      <c r="M337">
        <v>13.969148237827635</v>
      </c>
      <c r="N337">
        <v>0.37945301413831284</v>
      </c>
      <c r="O337">
        <v>0.14487074926841909</v>
      </c>
      <c r="P337">
        <v>15.506527998765629</v>
      </c>
      <c r="Q337">
        <v>13.923946092296635</v>
      </c>
      <c r="R337">
        <v>0.40983960741221992</v>
      </c>
      <c r="S337">
        <v>0.15656840540726824</v>
      </c>
      <c r="T337">
        <v>15.509645894883866</v>
      </c>
      <c r="U337">
        <v>1637.5671589114227</v>
      </c>
      <c r="V337">
        <v>10.88915182088461</v>
      </c>
      <c r="W337">
        <v>1339.6087544798518</v>
      </c>
      <c r="X337">
        <v>7.6735266622717209</v>
      </c>
      <c r="Y337">
        <v>2948.0349497789471</v>
      </c>
      <c r="Z337">
        <v>10.955779411326006</v>
      </c>
      <c r="AA337">
        <v>2757.3460219900671</v>
      </c>
      <c r="AB337">
        <v>7.7107689925968401</v>
      </c>
      <c r="AC337">
        <v>2295.1502698796726</v>
      </c>
      <c r="AD337">
        <v>10.932147550927418</v>
      </c>
      <c r="AE337">
        <v>2059.5920132627307</v>
      </c>
      <c r="AF337">
        <v>7.6975744566873958</v>
      </c>
      <c r="AG337">
        <v>2198.8404759979853</v>
      </c>
      <c r="AH337">
        <v>10.921323974591219</v>
      </c>
      <c r="AI337">
        <v>1945.0394610179001</v>
      </c>
      <c r="AJ337">
        <v>7.6915258572876324</v>
      </c>
    </row>
    <row r="338" spans="4:36" x14ac:dyDescent="0.55000000000000004">
      <c r="D338">
        <v>331</v>
      </c>
      <c r="E338">
        <v>13.05966109871531</v>
      </c>
      <c r="F338">
        <v>0.47882168120642404</v>
      </c>
      <c r="G338">
        <v>0.16234799899882887</v>
      </c>
      <c r="H338">
        <v>16.299169221079438</v>
      </c>
      <c r="I338">
        <v>13.315942085582115</v>
      </c>
      <c r="J338">
        <v>0.29788849357976044</v>
      </c>
      <c r="K338">
        <v>0.10064872229545757</v>
      </c>
      <c r="L338">
        <v>16.285520698542658</v>
      </c>
      <c r="M338">
        <v>13.221259571211501</v>
      </c>
      <c r="N338">
        <v>0.36478013062612846</v>
      </c>
      <c r="O338">
        <v>0.12340816648371804</v>
      </c>
      <c r="P338">
        <v>16.290552131678645</v>
      </c>
      <c r="Q338">
        <v>13.195678865016594</v>
      </c>
      <c r="R338">
        <v>0.38284322904153545</v>
      </c>
      <c r="S338">
        <v>0.12956421689392825</v>
      </c>
      <c r="T338">
        <v>16.291913689047949</v>
      </c>
      <c r="U338">
        <v>1567.4603598759745</v>
      </c>
      <c r="V338">
        <v>10.270216155103068</v>
      </c>
      <c r="W338">
        <v>1299.5032010409127</v>
      </c>
      <c r="X338">
        <v>7.3150855901817753</v>
      </c>
      <c r="Y338">
        <v>2898.8831567228553</v>
      </c>
      <c r="Z338">
        <v>10.326258431163936</v>
      </c>
      <c r="AA338">
        <v>2728.8008122673896</v>
      </c>
      <c r="AB338">
        <v>7.3466798964229225</v>
      </c>
      <c r="AC338">
        <v>2241.3846345940037</v>
      </c>
      <c r="AD338">
        <v>10.305560320451672</v>
      </c>
      <c r="AE338">
        <v>2028.9580996799723</v>
      </c>
      <c r="AF338">
        <v>7.3350238609804519</v>
      </c>
      <c r="AG338">
        <v>2157.9967470400152</v>
      </c>
      <c r="AH338">
        <v>10.299966919450284</v>
      </c>
      <c r="AI338">
        <v>1925.0486355510031</v>
      </c>
      <c r="AJ338">
        <v>7.3318714275404844</v>
      </c>
    </row>
    <row r="339" spans="4:36" x14ac:dyDescent="0.55000000000000004">
      <c r="D339">
        <v>332</v>
      </c>
      <c r="E339">
        <v>13.70067631545907</v>
      </c>
      <c r="F339">
        <v>0.45257394999071593</v>
      </c>
      <c r="G339">
        <v>0.15338692344843274</v>
      </c>
      <c r="H339">
        <v>15.693362811101789</v>
      </c>
      <c r="I339">
        <v>13.942015776645103</v>
      </c>
      <c r="J339">
        <v>0.29236391116314875</v>
      </c>
      <c r="K339">
        <v>9.876460506423404E-2</v>
      </c>
      <c r="L339">
        <v>15.666855707127523</v>
      </c>
      <c r="M339">
        <v>13.847903051637658</v>
      </c>
      <c r="N339">
        <v>0.35488395908231118</v>
      </c>
      <c r="O339">
        <v>0.12003714291158903</v>
      </c>
      <c r="P339">
        <v>15.677175846368447</v>
      </c>
      <c r="Q339">
        <v>13.813697673008459</v>
      </c>
      <c r="R339">
        <v>0.37759288448112971</v>
      </c>
      <c r="S339">
        <v>0.127777501752943</v>
      </c>
      <c r="T339">
        <v>15.680931940757457</v>
      </c>
      <c r="U339">
        <v>1552.3803890144518</v>
      </c>
      <c r="V339">
        <v>10.684807010953882</v>
      </c>
      <c r="W339">
        <v>1289.0086966519279</v>
      </c>
      <c r="X339">
        <v>7.544599545993627</v>
      </c>
      <c r="Y339">
        <v>2903.5547932857453</v>
      </c>
      <c r="Z339">
        <v>10.742590620583064</v>
      </c>
      <c r="AA339">
        <v>2731.5078740371141</v>
      </c>
      <c r="AB339">
        <v>7.5764850972792033</v>
      </c>
      <c r="AC339">
        <v>2221.57398945871</v>
      </c>
      <c r="AD339">
        <v>10.720067284803898</v>
      </c>
      <c r="AE339">
        <v>2014.2765846985258</v>
      </c>
      <c r="AF339">
        <v>7.5640672807540161</v>
      </c>
      <c r="AG339">
        <v>2136.4777430647641</v>
      </c>
      <c r="AH339">
        <v>10.711878010578193</v>
      </c>
      <c r="AI339">
        <v>1908.5607553589091</v>
      </c>
      <c r="AJ339">
        <v>7.5595488809172622</v>
      </c>
    </row>
    <row r="340" spans="4:36" x14ac:dyDescent="0.55000000000000004">
      <c r="D340">
        <v>333</v>
      </c>
      <c r="E340">
        <v>12.834686730412759</v>
      </c>
      <c r="F340">
        <v>0.43525138551997467</v>
      </c>
      <c r="G340">
        <v>0.148851890093253</v>
      </c>
      <c r="H340">
        <v>16.581209993974021</v>
      </c>
      <c r="I340">
        <v>13.026818575345443</v>
      </c>
      <c r="J340">
        <v>0.30067649076205299</v>
      </c>
      <c r="K340">
        <v>0.10255213636790954</v>
      </c>
      <c r="L340">
        <v>16.569952797524593</v>
      </c>
      <c r="M340">
        <v>12.947062552356137</v>
      </c>
      <c r="N340">
        <v>0.35656778008595907</v>
      </c>
      <c r="O340">
        <v>0.12175052435507695</v>
      </c>
      <c r="P340">
        <v>16.57461914320282</v>
      </c>
      <c r="Q340">
        <v>12.91415433096536</v>
      </c>
      <c r="R340">
        <v>0.37961768617767272</v>
      </c>
      <c r="S340">
        <v>0.12968071547327406</v>
      </c>
      <c r="T340">
        <v>16.576547267383685</v>
      </c>
      <c r="U340">
        <v>1553.6729640699507</v>
      </c>
      <c r="V340">
        <v>10.098383488437891</v>
      </c>
      <c r="W340">
        <v>1295.1492526963777</v>
      </c>
      <c r="X340">
        <v>7.2205750564949209</v>
      </c>
      <c r="Y340">
        <v>2894.5403893487019</v>
      </c>
      <c r="Z340">
        <v>10.139968433431086</v>
      </c>
      <c r="AA340">
        <v>2727.0269044350839</v>
      </c>
      <c r="AB340">
        <v>7.2440472975255377</v>
      </c>
      <c r="AC340">
        <v>2229.1238005828923</v>
      </c>
      <c r="AD340">
        <v>10.122710368858542</v>
      </c>
      <c r="AE340">
        <v>2022.7015757689167</v>
      </c>
      <c r="AF340">
        <v>7.2343136825454009</v>
      </c>
      <c r="AG340">
        <v>2110.3623360496535</v>
      </c>
      <c r="AH340">
        <v>10.115587726482037</v>
      </c>
      <c r="AI340">
        <v>1893.213451170122</v>
      </c>
      <c r="AJ340">
        <v>7.230293376070942</v>
      </c>
    </row>
    <row r="341" spans="4:36" x14ac:dyDescent="0.55000000000000004">
      <c r="D341">
        <v>334</v>
      </c>
      <c r="E341">
        <v>12.120792009502171</v>
      </c>
      <c r="F341">
        <v>0.40228635859686884</v>
      </c>
      <c r="G341">
        <v>0.13899704129042065</v>
      </c>
      <c r="H341">
        <v>17.337924590610545</v>
      </c>
      <c r="I341">
        <v>12.275757580277581</v>
      </c>
      <c r="J341">
        <v>0.28422493378614816</v>
      </c>
      <c r="K341">
        <v>9.7974686760829835E-2</v>
      </c>
      <c r="L341">
        <v>17.342042799175438</v>
      </c>
      <c r="M341">
        <v>12.180610877302545</v>
      </c>
      <c r="N341">
        <v>0.35672835967508559</v>
      </c>
      <c r="O341">
        <v>0.12314405727340563</v>
      </c>
      <c r="P341">
        <v>17.339516705748959</v>
      </c>
      <c r="Q341">
        <v>12.14646699468439</v>
      </c>
      <c r="R341">
        <v>0.38273468809877104</v>
      </c>
      <c r="S341">
        <v>0.13218999519803121</v>
      </c>
      <c r="T341">
        <v>17.338608322018821</v>
      </c>
      <c r="U341">
        <v>1470.4354988594548</v>
      </c>
      <c r="V341">
        <v>9.5313578242556076</v>
      </c>
      <c r="W341">
        <v>1240.5290457855508</v>
      </c>
      <c r="X341">
        <v>6.891286497453585</v>
      </c>
      <c r="Y341">
        <v>2887.0428472514313</v>
      </c>
      <c r="Z341">
        <v>9.5586969237100075</v>
      </c>
      <c r="AA341">
        <v>2724.9153659612739</v>
      </c>
      <c r="AB341">
        <v>6.9075133689145689</v>
      </c>
      <c r="AC341">
        <v>2205.4891641243471</v>
      </c>
      <c r="AD341">
        <v>9.5419094500187853</v>
      </c>
      <c r="AE341">
        <v>2008.1050712702918</v>
      </c>
      <c r="AF341">
        <v>6.8975547596465718</v>
      </c>
      <c r="AG341">
        <v>2103.7904178759918</v>
      </c>
      <c r="AH341">
        <v>9.5358864551995879</v>
      </c>
      <c r="AI341">
        <v>1890.8716571317248</v>
      </c>
      <c r="AJ341">
        <v>6.8939776036887253</v>
      </c>
    </row>
    <row r="342" spans="4:36" x14ac:dyDescent="0.55000000000000004">
      <c r="D342">
        <v>335</v>
      </c>
      <c r="E342">
        <v>13.671155751443862</v>
      </c>
      <c r="F342">
        <v>0.46970814550831702</v>
      </c>
      <c r="G342">
        <v>0.16130531781575819</v>
      </c>
      <c r="H342">
        <v>15.697830785232052</v>
      </c>
      <c r="I342">
        <v>13.939047116792544</v>
      </c>
      <c r="J342">
        <v>0.2968980715493616</v>
      </c>
      <c r="K342">
        <v>0.10159355877917561</v>
      </c>
      <c r="L342">
        <v>15.662461252878924</v>
      </c>
      <c r="M342">
        <v>13.844588381455452</v>
      </c>
      <c r="N342">
        <v>0.3578856989185501</v>
      </c>
      <c r="O342">
        <v>0.12261706471955415</v>
      </c>
      <c r="P342">
        <v>15.67490885490645</v>
      </c>
      <c r="Q342">
        <v>13.758919343706159</v>
      </c>
      <c r="R342">
        <v>0.41314690774728469</v>
      </c>
      <c r="S342">
        <v>0.14171330223818698</v>
      </c>
      <c r="T342">
        <v>15.68622044630836</v>
      </c>
      <c r="U342">
        <v>1579.1045933300329</v>
      </c>
      <c r="V342">
        <v>10.700115593267093</v>
      </c>
      <c r="W342">
        <v>1305.7333540278482</v>
      </c>
      <c r="X342">
        <v>7.5575715949079463</v>
      </c>
      <c r="Y342">
        <v>2924.2673489639915</v>
      </c>
      <c r="Z342">
        <v>10.768956705593961</v>
      </c>
      <c r="AA342">
        <v>2745.0997804226827</v>
      </c>
      <c r="AB342">
        <v>7.5954527930145916</v>
      </c>
      <c r="AC342">
        <v>2247.8516518240453</v>
      </c>
      <c r="AD342">
        <v>10.744697088033597</v>
      </c>
      <c r="AE342">
        <v>2031.7870081978256</v>
      </c>
      <c r="AF342">
        <v>7.5821168944500563</v>
      </c>
      <c r="AG342">
        <v>2156.6683887736435</v>
      </c>
      <c r="AH342">
        <v>10.722681930506713</v>
      </c>
      <c r="AI342">
        <v>1919.5650629544743</v>
      </c>
      <c r="AJ342">
        <v>7.5700021937691986</v>
      </c>
    </row>
    <row r="343" spans="4:36" x14ac:dyDescent="0.55000000000000004">
      <c r="D343">
        <v>336</v>
      </c>
      <c r="E343">
        <v>13.665269297005324</v>
      </c>
      <c r="F343">
        <v>0.48032820626576389</v>
      </c>
      <c r="G343">
        <v>0.19045187423279225</v>
      </c>
      <c r="H343">
        <v>15.663950622496145</v>
      </c>
      <c r="I343">
        <v>13.92539075865405</v>
      </c>
      <c r="J343">
        <v>0.30310350824481425</v>
      </c>
      <c r="K343">
        <v>0.11974822776806188</v>
      </c>
      <c r="L343">
        <v>15.651757505333077</v>
      </c>
      <c r="M343">
        <v>13.819489382379061</v>
      </c>
      <c r="N343">
        <v>0.37530646408878804</v>
      </c>
      <c r="O343">
        <v>0.14849092395431149</v>
      </c>
      <c r="P343">
        <v>15.656713229577852</v>
      </c>
      <c r="Q343">
        <v>13.786480026260005</v>
      </c>
      <c r="R343">
        <v>0.3977978676845576</v>
      </c>
      <c r="S343">
        <v>0.15746184174755642</v>
      </c>
      <c r="T343">
        <v>15.658260264307852</v>
      </c>
      <c r="U343">
        <v>1609.6156528254057</v>
      </c>
      <c r="V343">
        <v>10.801235182376107</v>
      </c>
      <c r="W343">
        <v>1325.7445141919618</v>
      </c>
      <c r="X343">
        <v>7.6246126896644242</v>
      </c>
      <c r="Y343">
        <v>2914.5826212936649</v>
      </c>
      <c r="Z343">
        <v>10.857417034681909</v>
      </c>
      <c r="AA343">
        <v>2737.2691980797272</v>
      </c>
      <c r="AB343">
        <v>7.6561964211859692</v>
      </c>
      <c r="AC343">
        <v>2258.1624582101872</v>
      </c>
      <c r="AD343">
        <v>10.834548814499877</v>
      </c>
      <c r="AE343">
        <v>2037.2216101573777</v>
      </c>
      <c r="AF343">
        <v>7.6433534402123868</v>
      </c>
      <c r="AG343">
        <v>2145.7621692594662</v>
      </c>
      <c r="AH343">
        <v>10.827419500702444</v>
      </c>
      <c r="AI343">
        <v>1912.0622590305775</v>
      </c>
      <c r="AJ343">
        <v>7.6393459728510384</v>
      </c>
    </row>
    <row r="344" spans="4:36" x14ac:dyDescent="0.55000000000000004">
      <c r="D344">
        <v>337</v>
      </c>
      <c r="E344">
        <v>11.300896184617766</v>
      </c>
      <c r="F344">
        <v>0.41650529889011484</v>
      </c>
      <c r="G344">
        <v>0.17525945509494306</v>
      </c>
      <c r="H344">
        <v>18.107339061397173</v>
      </c>
      <c r="I344">
        <v>11.477278908985765</v>
      </c>
      <c r="J344">
        <v>0.27420880926907903</v>
      </c>
      <c r="K344">
        <v>0.11504866916396719</v>
      </c>
      <c r="L344">
        <v>18.133463612581181</v>
      </c>
      <c r="M344">
        <v>11.405762604763071</v>
      </c>
      <c r="N344">
        <v>0.33192218600252332</v>
      </c>
      <c r="O344">
        <v>0.13942663980435077</v>
      </c>
      <c r="P344">
        <v>18.122888569430057</v>
      </c>
      <c r="Q344">
        <v>11.370127066550326</v>
      </c>
      <c r="R344">
        <v>0.3606709332301829</v>
      </c>
      <c r="S344">
        <v>0.15159167519721969</v>
      </c>
      <c r="T344">
        <v>18.117610325022284</v>
      </c>
      <c r="U344">
        <v>1479.3989275323572</v>
      </c>
      <c r="V344">
        <v>8.9689141852387237</v>
      </c>
      <c r="W344">
        <v>1249.1313869096273</v>
      </c>
      <c r="X344">
        <v>6.5633881083324281</v>
      </c>
      <c r="Y344">
        <v>2851.9922658475566</v>
      </c>
      <c r="Z344">
        <v>8.9860288624286024</v>
      </c>
      <c r="AA344">
        <v>2702.3044602480677</v>
      </c>
      <c r="AB344">
        <v>6.5748580008103836</v>
      </c>
      <c r="AC344">
        <v>2162.1934394652776</v>
      </c>
      <c r="AD344">
        <v>8.9790793841532253</v>
      </c>
      <c r="AE344">
        <v>1981.085587948523</v>
      </c>
      <c r="AF344">
        <v>6.570208451976435</v>
      </c>
      <c r="AG344">
        <v>2054.0475528971056</v>
      </c>
      <c r="AH344">
        <v>8.9756217096625068</v>
      </c>
      <c r="AI344">
        <v>1859.065534251728</v>
      </c>
      <c r="AJ344">
        <v>6.567891119879933</v>
      </c>
    </row>
    <row r="345" spans="4:36" x14ac:dyDescent="0.55000000000000004">
      <c r="D345">
        <v>338</v>
      </c>
      <c r="E345">
        <v>12.696827820259781</v>
      </c>
      <c r="F345">
        <v>0.46342291546396008</v>
      </c>
      <c r="G345">
        <v>0.18326567332180124</v>
      </c>
      <c r="H345">
        <v>16.656483590954455</v>
      </c>
      <c r="I345">
        <v>12.924597168974245</v>
      </c>
      <c r="J345">
        <v>0.29876205412397183</v>
      </c>
      <c r="K345">
        <v>0.11776223839933132</v>
      </c>
      <c r="L345">
        <v>16.658878538502453</v>
      </c>
      <c r="M345">
        <v>12.819353369152127</v>
      </c>
      <c r="N345">
        <v>0.37488375381386924</v>
      </c>
      <c r="O345">
        <v>0.14798992286557835</v>
      </c>
      <c r="P345">
        <v>16.657772954168408</v>
      </c>
      <c r="Q345">
        <v>12.780515403678333</v>
      </c>
      <c r="R345">
        <v>0.40295839259460975</v>
      </c>
      <c r="S345">
        <v>0.15916168866033431</v>
      </c>
      <c r="T345">
        <v>16.657364515066735</v>
      </c>
      <c r="U345">
        <v>1591.8322135799363</v>
      </c>
      <c r="V345">
        <v>10.057389276699986</v>
      </c>
      <c r="W345">
        <v>1317.3137260835408</v>
      </c>
      <c r="X345">
        <v>7.2000373357257876</v>
      </c>
      <c r="Y345">
        <v>2904.4724391890663</v>
      </c>
      <c r="Z345">
        <v>10.100334729676669</v>
      </c>
      <c r="AA345">
        <v>2732.1777835520147</v>
      </c>
      <c r="AB345">
        <v>7.2249528125643039</v>
      </c>
      <c r="AC345">
        <v>2249.1839965482932</v>
      </c>
      <c r="AD345">
        <v>10.08049062821771</v>
      </c>
      <c r="AE345">
        <v>2033.1145404791819</v>
      </c>
      <c r="AF345">
        <v>7.2134511061427382</v>
      </c>
      <c r="AG345">
        <v>2144.0864863677416</v>
      </c>
      <c r="AH345">
        <v>10.073167845841347</v>
      </c>
      <c r="AI345">
        <v>1912.8883099728976</v>
      </c>
      <c r="AJ345">
        <v>7.2092019734258255</v>
      </c>
    </row>
    <row r="346" spans="4:36" x14ac:dyDescent="0.55000000000000004">
      <c r="D346">
        <v>339</v>
      </c>
      <c r="E346">
        <v>11.934964460455639</v>
      </c>
      <c r="F346">
        <v>0.47171070874595039</v>
      </c>
      <c r="G346">
        <v>0.16316423282848561</v>
      </c>
      <c r="H346">
        <v>17.430160597969934</v>
      </c>
      <c r="I346">
        <v>12.160078055330905</v>
      </c>
      <c r="J346">
        <v>0.2934423423596707</v>
      </c>
      <c r="K346">
        <v>0.10117744507810914</v>
      </c>
      <c r="L346">
        <v>17.445302157231332</v>
      </c>
      <c r="M346">
        <v>12.076204789420375</v>
      </c>
      <c r="N346">
        <v>0.35989077862897906</v>
      </c>
      <c r="O346">
        <v>0.12423571935381418</v>
      </c>
      <c r="P346">
        <v>17.439668712596841</v>
      </c>
      <c r="Q346">
        <v>12.051516440749259</v>
      </c>
      <c r="R346">
        <v>0.37944357594316003</v>
      </c>
      <c r="S346">
        <v>0.13103130088699058</v>
      </c>
      <c r="T346">
        <v>17.438008682420577</v>
      </c>
      <c r="U346">
        <v>1518.9782776880911</v>
      </c>
      <c r="V346">
        <v>9.4619332385727262</v>
      </c>
      <c r="W346">
        <v>1273.5692318144461</v>
      </c>
      <c r="X346">
        <v>6.8521604747364</v>
      </c>
      <c r="Y346">
        <v>2876.3125177953752</v>
      </c>
      <c r="Z346">
        <v>9.494400467441606</v>
      </c>
      <c r="AA346">
        <v>2718.3906309151853</v>
      </c>
      <c r="AB346">
        <v>6.87173620296391</v>
      </c>
      <c r="AC346">
        <v>2179.9388018020427</v>
      </c>
      <c r="AD346">
        <v>9.4822990237579763</v>
      </c>
      <c r="AE346">
        <v>1991.7209077442076</v>
      </c>
      <c r="AF346">
        <v>6.8644497943927734</v>
      </c>
      <c r="AG346">
        <v>2065.6961720860554</v>
      </c>
      <c r="AH346">
        <v>9.4787379953033266</v>
      </c>
      <c r="AI346">
        <v>1866.0114527917265</v>
      </c>
      <c r="AJ346">
        <v>6.8623034090359347</v>
      </c>
    </row>
    <row r="347" spans="4:36" x14ac:dyDescent="0.55000000000000004">
      <c r="D347">
        <v>340</v>
      </c>
      <c r="E347">
        <v>11.86218284973017</v>
      </c>
      <c r="F347">
        <v>0.43559704963102541</v>
      </c>
      <c r="G347">
        <v>0.14468322511267659</v>
      </c>
      <c r="H347">
        <v>17.557536875526129</v>
      </c>
      <c r="I347">
        <v>12.071882975282314</v>
      </c>
      <c r="J347">
        <v>0.27572866425054637</v>
      </c>
      <c r="K347">
        <v>9.1295605141114608E-2</v>
      </c>
      <c r="L347">
        <v>17.56109275532603</v>
      </c>
      <c r="M347">
        <v>11.977759096268908</v>
      </c>
      <c r="N347">
        <v>0.34751519652018326</v>
      </c>
      <c r="O347">
        <v>0.11522645079916818</v>
      </c>
      <c r="P347">
        <v>17.559499256411758</v>
      </c>
      <c r="Q347">
        <v>11.956386038299739</v>
      </c>
      <c r="R347">
        <v>0.36380933184152903</v>
      </c>
      <c r="S347">
        <v>0.12066779323024626</v>
      </c>
      <c r="T347">
        <v>17.559136836628493</v>
      </c>
      <c r="U347">
        <v>1531.1709584978194</v>
      </c>
      <c r="V347">
        <v>9.408000288155538</v>
      </c>
      <c r="W347">
        <v>1286.1347380935174</v>
      </c>
      <c r="X347">
        <v>6.8267156492593752</v>
      </c>
      <c r="Y347">
        <v>2865.5004890523164</v>
      </c>
      <c r="Z347">
        <v>9.4451248873872995</v>
      </c>
      <c r="AA347">
        <v>2712.4545258113708</v>
      </c>
      <c r="AB347">
        <v>6.8486531521927736</v>
      </c>
      <c r="AC347">
        <v>2174.4644097959617</v>
      </c>
      <c r="AD347">
        <v>9.4284600803834788</v>
      </c>
      <c r="AE347">
        <v>1989.3758428636245</v>
      </c>
      <c r="AF347">
        <v>6.8388159061850819</v>
      </c>
      <c r="AG347">
        <v>2051.3796454579065</v>
      </c>
      <c r="AH347">
        <v>9.4246762651898415</v>
      </c>
      <c r="AI347">
        <v>1857.5061812718004</v>
      </c>
      <c r="AJ347">
        <v>6.8365800032508126</v>
      </c>
    </row>
    <row r="348" spans="4:36" x14ac:dyDescent="0.55000000000000004">
      <c r="D348">
        <v>341</v>
      </c>
      <c r="E348">
        <v>12.598219558258066</v>
      </c>
      <c r="F348">
        <v>0.48745341091881045</v>
      </c>
      <c r="G348">
        <v>0.1711058478523497</v>
      </c>
      <c r="H348">
        <v>16.743221182970771</v>
      </c>
      <c r="I348">
        <v>12.802645584246621</v>
      </c>
      <c r="J348">
        <v>0.32605715706571048</v>
      </c>
      <c r="K348">
        <v>0.11412403143832638</v>
      </c>
      <c r="L348">
        <v>16.757173227249325</v>
      </c>
      <c r="M348">
        <v>12.75346282889954</v>
      </c>
      <c r="N348">
        <v>0.36490556723173856</v>
      </c>
      <c r="O348">
        <v>0.12780936727124309</v>
      </c>
      <c r="P348">
        <v>16.753822236597493</v>
      </c>
      <c r="Q348">
        <v>12.66466961054415</v>
      </c>
      <c r="R348">
        <v>0.43501236052179221</v>
      </c>
      <c r="S348">
        <v>0.15255474380152684</v>
      </c>
      <c r="T348">
        <v>16.747763285132532</v>
      </c>
      <c r="U348">
        <v>1538.2023541633998</v>
      </c>
      <c r="V348">
        <v>10.025602623476106</v>
      </c>
      <c r="W348">
        <v>1280.4619675007989</v>
      </c>
      <c r="X348">
        <v>7.1844134082720323</v>
      </c>
      <c r="Y348">
        <v>2906.6838469035424</v>
      </c>
      <c r="Z348">
        <v>10.055192363644025</v>
      </c>
      <c r="AA348">
        <v>2734.0755840966499</v>
      </c>
      <c r="AB348">
        <v>7.2021585745871537</v>
      </c>
      <c r="AC348">
        <v>2211.1563626818279</v>
      </c>
      <c r="AD348">
        <v>10.04806968656267</v>
      </c>
      <c r="AE348">
        <v>2009.4414473221923</v>
      </c>
      <c r="AF348">
        <v>7.1978931935708337</v>
      </c>
      <c r="AG348">
        <v>2138.2183259226263</v>
      </c>
      <c r="AH348">
        <v>10.03521651428186</v>
      </c>
      <c r="AI348">
        <v>1909.4312966746438</v>
      </c>
      <c r="AJ348">
        <v>7.1901863210555961</v>
      </c>
    </row>
    <row r="349" spans="4:36" x14ac:dyDescent="0.55000000000000004">
      <c r="D349">
        <v>342</v>
      </c>
      <c r="E349">
        <v>13.367904613144518</v>
      </c>
      <c r="F349">
        <v>0.45548392905135715</v>
      </c>
      <c r="G349">
        <v>0.16904603674371316</v>
      </c>
      <c r="H349">
        <v>16.007565421060395</v>
      </c>
      <c r="I349">
        <v>13.565791313073071</v>
      </c>
      <c r="J349">
        <v>0.31801681704643475</v>
      </c>
      <c r="K349">
        <v>0.11769787031892139</v>
      </c>
      <c r="L349">
        <v>15.998493999561564</v>
      </c>
      <c r="M349">
        <v>13.490574890962538</v>
      </c>
      <c r="N349">
        <v>0.37029610793075435</v>
      </c>
      <c r="O349">
        <v>0.13719146727815587</v>
      </c>
      <c r="P349">
        <v>16.001937533828563</v>
      </c>
      <c r="Q349">
        <v>13.443002582073238</v>
      </c>
      <c r="R349">
        <v>0.40334347129469689</v>
      </c>
      <c r="S349">
        <v>0.14953563203134898</v>
      </c>
      <c r="T349">
        <v>16.004118314600721</v>
      </c>
      <c r="U349">
        <v>1615.6018735389898</v>
      </c>
      <c r="V349">
        <v>10.548809419011668</v>
      </c>
      <c r="W349">
        <v>1329.909775112631</v>
      </c>
      <c r="X349">
        <v>7.480944937069272</v>
      </c>
      <c r="Y349">
        <v>2937.5196163274204</v>
      </c>
      <c r="Z349">
        <v>10.591186662530616</v>
      </c>
      <c r="AA349">
        <v>2751.1002671458136</v>
      </c>
      <c r="AB349">
        <v>7.5049041066371611</v>
      </c>
      <c r="AC349">
        <v>2254.1610083767609</v>
      </c>
      <c r="AD349">
        <v>10.575081579820182</v>
      </c>
      <c r="AE349">
        <v>2033.1744861629209</v>
      </c>
      <c r="AF349">
        <v>7.4958062134393719</v>
      </c>
      <c r="AG349">
        <v>2192.3256694079519</v>
      </c>
      <c r="AH349">
        <v>10.564894018960182</v>
      </c>
      <c r="AI349">
        <v>1943.1362111564968</v>
      </c>
      <c r="AJ349">
        <v>7.4900464001738554</v>
      </c>
    </row>
    <row r="350" spans="4:36" x14ac:dyDescent="0.55000000000000004">
      <c r="D350">
        <v>343</v>
      </c>
      <c r="E350">
        <v>12.045951264704623</v>
      </c>
      <c r="F350">
        <v>0.45405959098159354</v>
      </c>
      <c r="G350">
        <v>0.16924554833113864</v>
      </c>
      <c r="H350">
        <v>17.330743595982643</v>
      </c>
      <c r="I350">
        <v>12.289015073101741</v>
      </c>
      <c r="J350">
        <v>0.27037082290914949</v>
      </c>
      <c r="K350">
        <v>0.10042380061259797</v>
      </c>
      <c r="L350">
        <v>17.34019030337652</v>
      </c>
      <c r="M350">
        <v>12.173504166599129</v>
      </c>
      <c r="N350">
        <v>0.35770563541494688</v>
      </c>
      <c r="O350">
        <v>0.13308389158714859</v>
      </c>
      <c r="P350">
        <v>17.33570630639877</v>
      </c>
      <c r="Q350">
        <v>12.147582302832475</v>
      </c>
      <c r="R350">
        <v>0.37729441490889803</v>
      </c>
      <c r="S350">
        <v>0.14042455867089915</v>
      </c>
      <c r="T350">
        <v>17.334698723587721</v>
      </c>
      <c r="U350">
        <v>1543.3515323747304</v>
      </c>
      <c r="V350">
        <v>9.5596791184109655</v>
      </c>
      <c r="W350">
        <v>1286.3241223752095</v>
      </c>
      <c r="X350">
        <v>6.913370858287947</v>
      </c>
      <c r="Y350">
        <v>2898.7419968293534</v>
      </c>
      <c r="Z350">
        <v>9.601184951553444</v>
      </c>
      <c r="AA350">
        <v>2732.643117927862</v>
      </c>
      <c r="AB350">
        <v>6.9379248418368142</v>
      </c>
      <c r="AC350">
        <v>2235.0595253512943</v>
      </c>
      <c r="AD350">
        <v>9.5814574208323862</v>
      </c>
      <c r="AE350">
        <v>2027.0152220578268</v>
      </c>
      <c r="AF350">
        <v>6.9262677024127264</v>
      </c>
      <c r="AG350">
        <v>2112.6594525207515</v>
      </c>
      <c r="AH350">
        <v>9.5770310411738873</v>
      </c>
      <c r="AI350">
        <v>1895.1068122796287</v>
      </c>
      <c r="AJ350">
        <v>6.9236488409610377</v>
      </c>
    </row>
    <row r="351" spans="4:36" x14ac:dyDescent="0.55000000000000004">
      <c r="D351">
        <v>344</v>
      </c>
      <c r="E351">
        <v>13.280137404991757</v>
      </c>
      <c r="F351">
        <v>0.43675861899617829</v>
      </c>
      <c r="G351">
        <v>0.17114223647312218</v>
      </c>
      <c r="H351">
        <v>16.111961739538941</v>
      </c>
      <c r="I351">
        <v>13.509869427352012</v>
      </c>
      <c r="J351">
        <v>0.283789910039487</v>
      </c>
      <c r="K351">
        <v>0.11084816672257501</v>
      </c>
      <c r="L351">
        <v>16.095492495885921</v>
      </c>
      <c r="M351">
        <v>13.400919789328974</v>
      </c>
      <c r="N351">
        <v>0.35637783174972471</v>
      </c>
      <c r="O351">
        <v>0.13941072791501685</v>
      </c>
      <c r="P351">
        <v>16.103291651006273</v>
      </c>
      <c r="Q351">
        <v>13.357398304164622</v>
      </c>
      <c r="R351">
        <v>0.38535247173169684</v>
      </c>
      <c r="S351">
        <v>0.15083639339913282</v>
      </c>
      <c r="T351">
        <v>16.106412830704542</v>
      </c>
      <c r="U351">
        <v>1577.4127372172318</v>
      </c>
      <c r="V351">
        <v>10.450301841797636</v>
      </c>
      <c r="W351">
        <v>1303.7820748829713</v>
      </c>
      <c r="X351">
        <v>7.4229287646760298</v>
      </c>
      <c r="Y351">
        <v>2942.6983903788637</v>
      </c>
      <c r="Z351">
        <v>10.504123730437181</v>
      </c>
      <c r="AA351">
        <v>2757.3041538698576</v>
      </c>
      <c r="AB351">
        <v>7.4531608982844126</v>
      </c>
      <c r="AC351">
        <v>2280.1070098539976</v>
      </c>
      <c r="AD351">
        <v>10.478605019645725</v>
      </c>
      <c r="AE351">
        <v>2052.4914166066615</v>
      </c>
      <c r="AF351">
        <v>7.4388382269718951</v>
      </c>
      <c r="AG351">
        <v>2158.9306949710585</v>
      </c>
      <c r="AH351">
        <v>10.468408120437269</v>
      </c>
      <c r="AI351">
        <v>1920.42463071775</v>
      </c>
      <c r="AJ351">
        <v>7.4331093856741877</v>
      </c>
    </row>
    <row r="352" spans="4:36" x14ac:dyDescent="0.55000000000000004">
      <c r="D352">
        <v>345</v>
      </c>
      <c r="E352">
        <v>13.313864573743485</v>
      </c>
      <c r="F352">
        <v>0.44749485426937913</v>
      </c>
      <c r="G352">
        <v>0.15723403645796452</v>
      </c>
      <c r="H352">
        <v>16.081406535529162</v>
      </c>
      <c r="I352">
        <v>13.532984435517868</v>
      </c>
      <c r="J352">
        <v>0.30070446265334738</v>
      </c>
      <c r="K352">
        <v>0.10533103815591273</v>
      </c>
      <c r="L352">
        <v>16.060980063672865</v>
      </c>
      <c r="M352">
        <v>13.437725634555058</v>
      </c>
      <c r="N352">
        <v>0.36455743108187133</v>
      </c>
      <c r="O352">
        <v>0.12786850851052178</v>
      </c>
      <c r="P352">
        <v>16.069848425852552</v>
      </c>
      <c r="Q352">
        <v>13.393900328969472</v>
      </c>
      <c r="R352">
        <v>0.39391429503951886</v>
      </c>
      <c r="S352">
        <v>0.13825088628341203</v>
      </c>
      <c r="T352">
        <v>16.07393448970759</v>
      </c>
      <c r="U352">
        <v>1595.2772910511374</v>
      </c>
      <c r="V352">
        <v>10.642672800764482</v>
      </c>
      <c r="W352">
        <v>1319.8108554563096</v>
      </c>
      <c r="X352">
        <v>7.5571944145070908</v>
      </c>
      <c r="Y352">
        <v>2924.2227897525718</v>
      </c>
      <c r="Z352">
        <v>10.698985387358025</v>
      </c>
      <c r="AA352">
        <v>2745.495273960722</v>
      </c>
      <c r="AB352">
        <v>7.5887258383502072</v>
      </c>
      <c r="AC352">
        <v>2248.6799610059306</v>
      </c>
      <c r="AD352">
        <v>10.674511054595044</v>
      </c>
      <c r="AE352">
        <v>2032.7489685474659</v>
      </c>
      <c r="AF352">
        <v>7.5750327911245119</v>
      </c>
      <c r="AG352">
        <v>2161.5621373300614</v>
      </c>
      <c r="AH352">
        <v>10.663247828409485</v>
      </c>
      <c r="AI352">
        <v>1925.2319886453668</v>
      </c>
      <c r="AJ352">
        <v>7.5687255080654445</v>
      </c>
    </row>
    <row r="353" spans="4:36" x14ac:dyDescent="0.55000000000000004">
      <c r="D353">
        <v>346</v>
      </c>
      <c r="E353">
        <v>13.848762383796139</v>
      </c>
      <c r="F353">
        <v>0.46925201591493099</v>
      </c>
      <c r="G353">
        <v>0.19235596352892526</v>
      </c>
      <c r="H353">
        <v>15.489629636759998</v>
      </c>
      <c r="I353">
        <v>14.086819140747526</v>
      </c>
      <c r="J353">
        <v>0.30780395883742928</v>
      </c>
      <c r="K353">
        <v>0.12577364769352758</v>
      </c>
      <c r="L353">
        <v>15.47960325272153</v>
      </c>
      <c r="M353">
        <v>13.953493806626719</v>
      </c>
      <c r="N353">
        <v>0.39826741448354813</v>
      </c>
      <c r="O353">
        <v>0.16302826118146635</v>
      </c>
      <c r="P353">
        <v>15.48521051770825</v>
      </c>
      <c r="Q353">
        <v>13.937954043338937</v>
      </c>
      <c r="R353">
        <v>0.4088042412005618</v>
      </c>
      <c r="S353">
        <v>0.16737630754031801</v>
      </c>
      <c r="T353">
        <v>15.485865407920187</v>
      </c>
      <c r="U353">
        <v>1575.1262863035024</v>
      </c>
      <c r="V353">
        <v>10.962684951616081</v>
      </c>
      <c r="W353">
        <v>1296.6778345891801</v>
      </c>
      <c r="X353">
        <v>7.7204330981142801</v>
      </c>
      <c r="Y353">
        <v>2974.3508249271372</v>
      </c>
      <c r="Z353">
        <v>11.014879821064278</v>
      </c>
      <c r="AA353">
        <v>2775.7539143447666</v>
      </c>
      <c r="AB353">
        <v>7.7496607059128477</v>
      </c>
      <c r="AC353">
        <v>2325.2673383882352</v>
      </c>
      <c r="AD353">
        <v>10.985652395378089</v>
      </c>
      <c r="AE353">
        <v>2078.7301009941361</v>
      </c>
      <c r="AF353">
        <v>7.7333049462852221</v>
      </c>
      <c r="AG353">
        <v>2196.6587826389728</v>
      </c>
      <c r="AH353">
        <v>10.982245015</v>
      </c>
      <c r="AI353">
        <v>1942.7769736580638</v>
      </c>
      <c r="AJ353">
        <v>7.7313963914081985</v>
      </c>
    </row>
    <row r="354" spans="4:36" x14ac:dyDescent="0.55000000000000004">
      <c r="D354">
        <v>347</v>
      </c>
      <c r="E354">
        <v>12.665556815035265</v>
      </c>
      <c r="F354">
        <v>0.46753088476652327</v>
      </c>
      <c r="G354">
        <v>0.15514325701240955</v>
      </c>
      <c r="H354">
        <v>16.711769043185818</v>
      </c>
      <c r="I354">
        <v>12.893224386945725</v>
      </c>
      <c r="J354">
        <v>0.30030734936554754</v>
      </c>
      <c r="K354">
        <v>9.935082634823586E-2</v>
      </c>
      <c r="L354">
        <v>16.707117437340482</v>
      </c>
      <c r="M354">
        <v>12.822287923220212</v>
      </c>
      <c r="N354">
        <v>0.35244244356203491</v>
      </c>
      <c r="O354">
        <v>0.11670838554533462</v>
      </c>
      <c r="P354">
        <v>16.708561247672431</v>
      </c>
      <c r="Q354">
        <v>12.756330823428856</v>
      </c>
      <c r="R354">
        <v>0.40089224557738656</v>
      </c>
      <c r="S354">
        <v>0.13286874577518945</v>
      </c>
      <c r="T354">
        <v>16.709908185218563</v>
      </c>
      <c r="U354">
        <v>1557.3994439979929</v>
      </c>
      <c r="V354">
        <v>9.9142038079490682</v>
      </c>
      <c r="W354">
        <v>1296.4255810864806</v>
      </c>
      <c r="X354">
        <v>7.10259933993843</v>
      </c>
      <c r="Y354">
        <v>2910.4736147386075</v>
      </c>
      <c r="Z354">
        <v>9.9580435855958882</v>
      </c>
      <c r="AA354">
        <v>2739.0906589336432</v>
      </c>
      <c r="AB354">
        <v>7.1277281598850681</v>
      </c>
      <c r="AC354">
        <v>2218.8395122900065</v>
      </c>
      <c r="AD354">
        <v>9.9443864260740824</v>
      </c>
      <c r="AE354">
        <v>2016.3146859752985</v>
      </c>
      <c r="AF354">
        <v>7.1199089783251512</v>
      </c>
      <c r="AG354">
        <v>2127.0367076996117</v>
      </c>
      <c r="AH354">
        <v>9.9316859861041866</v>
      </c>
      <c r="AI354">
        <v>1904.4272407848946</v>
      </c>
      <c r="AJ354">
        <v>7.1126302239600463</v>
      </c>
    </row>
    <row r="355" spans="4:36" x14ac:dyDescent="0.55000000000000004">
      <c r="D355">
        <v>348</v>
      </c>
      <c r="E355">
        <v>12.714770239624217</v>
      </c>
      <c r="F355">
        <v>0.41920269765503726</v>
      </c>
      <c r="G355">
        <v>0.16143294048741957</v>
      </c>
      <c r="H355">
        <v>16.704594122233321</v>
      </c>
      <c r="I355">
        <v>12.933831013482674</v>
      </c>
      <c r="J355">
        <v>0.2723680354376779</v>
      </c>
      <c r="K355">
        <v>0.10455413977134793</v>
      </c>
      <c r="L355">
        <v>16.689246811308294</v>
      </c>
      <c r="M355">
        <v>12.847036832562825</v>
      </c>
      <c r="N355">
        <v>0.33058365821984376</v>
      </c>
      <c r="O355">
        <v>0.12706095060821973</v>
      </c>
      <c r="P355">
        <v>16.695318558609117</v>
      </c>
      <c r="Q355">
        <v>12.776780155919754</v>
      </c>
      <c r="R355">
        <v>0.37767042732673306</v>
      </c>
      <c r="S355">
        <v>0.14530735511274953</v>
      </c>
      <c r="T355">
        <v>16.700242061640743</v>
      </c>
      <c r="U355">
        <v>1569.0960663930084</v>
      </c>
      <c r="V355">
        <v>9.968162990558179</v>
      </c>
      <c r="W355">
        <v>1305.7688850974796</v>
      </c>
      <c r="X355">
        <v>7.1402253335870283</v>
      </c>
      <c r="Y355">
        <v>2906.1820799534521</v>
      </c>
      <c r="Z355">
        <v>10.016383315778219</v>
      </c>
      <c r="AA355">
        <v>2736.3572867169814</v>
      </c>
      <c r="AB355">
        <v>7.16752486622799</v>
      </c>
      <c r="AC355">
        <v>2226.5335193172787</v>
      </c>
      <c r="AD355">
        <v>9.9972831031505862</v>
      </c>
      <c r="AE355">
        <v>2021.400516851111</v>
      </c>
      <c r="AF355">
        <v>7.1567215277062823</v>
      </c>
      <c r="AG355">
        <v>2142.798809047184</v>
      </c>
      <c r="AH355">
        <v>9.9818172139790526</v>
      </c>
      <c r="AI355">
        <v>1915.1553235457977</v>
      </c>
      <c r="AJ355">
        <v>7.1479641430548408</v>
      </c>
    </row>
    <row r="356" spans="4:36" x14ac:dyDescent="0.55000000000000004">
      <c r="D356">
        <v>349</v>
      </c>
      <c r="E356">
        <v>11.856893293055048</v>
      </c>
      <c r="F356">
        <v>0.44579298427198955</v>
      </c>
      <c r="G356">
        <v>0.18851773043998712</v>
      </c>
      <c r="H356">
        <v>17.508795992232962</v>
      </c>
      <c r="I356">
        <v>12.053904093682361</v>
      </c>
      <c r="J356">
        <v>0.29152291375284201</v>
      </c>
      <c r="K356">
        <v>0.12290090817956038</v>
      </c>
      <c r="L356">
        <v>17.531672084385217</v>
      </c>
      <c r="M356">
        <v>11.9709237903032</v>
      </c>
      <c r="N356">
        <v>0.35652492430955168</v>
      </c>
      <c r="O356">
        <v>0.15049880710186508</v>
      </c>
      <c r="P356">
        <v>17.522052478285378</v>
      </c>
      <c r="Q356">
        <v>11.922444476264932</v>
      </c>
      <c r="R356">
        <v>0.39448473926069744</v>
      </c>
      <c r="S356">
        <v>0.16664890255177955</v>
      </c>
      <c r="T356">
        <v>17.516421881922593</v>
      </c>
      <c r="U356">
        <v>1521.9735803584674</v>
      </c>
      <c r="V356">
        <v>9.3749739239682661</v>
      </c>
      <c r="W356">
        <v>1273.7285710771971</v>
      </c>
      <c r="X356">
        <v>6.7970982228644239</v>
      </c>
      <c r="Y356">
        <v>2885.7352774417946</v>
      </c>
      <c r="Z356">
        <v>9.4005841362164499</v>
      </c>
      <c r="AA356">
        <v>2722.8234895649507</v>
      </c>
      <c r="AB356">
        <v>6.8132396816369747</v>
      </c>
      <c r="AC356">
        <v>2212.2114767948951</v>
      </c>
      <c r="AD356">
        <v>9.3897877785522681</v>
      </c>
      <c r="AE356">
        <v>2012.3348160730548</v>
      </c>
      <c r="AF356">
        <v>6.8064443961173238</v>
      </c>
      <c r="AG356">
        <v>2113.1901812940737</v>
      </c>
      <c r="AH356">
        <v>9.3834865850290043</v>
      </c>
      <c r="AI356">
        <v>1895.9801830737961</v>
      </c>
      <c r="AJ356">
        <v>6.8024720971143608</v>
      </c>
    </row>
    <row r="357" spans="4:36" x14ac:dyDescent="0.55000000000000004">
      <c r="D357">
        <v>350</v>
      </c>
      <c r="E357">
        <v>12.345621080856368</v>
      </c>
      <c r="F357">
        <v>0.46183053286396136</v>
      </c>
      <c r="G357">
        <v>0.16347592724635235</v>
      </c>
      <c r="H357">
        <v>17.029072459033323</v>
      </c>
      <c r="I357">
        <v>12.563880080159485</v>
      </c>
      <c r="J357">
        <v>0.29837714682117783</v>
      </c>
      <c r="K357">
        <v>0.10528758651613691</v>
      </c>
      <c r="L357">
        <v>17.032455186503196</v>
      </c>
      <c r="M357">
        <v>12.462672500048253</v>
      </c>
      <c r="N357">
        <v>0.3742040859742452</v>
      </c>
      <c r="O357">
        <v>0.13223552699662267</v>
      </c>
      <c r="P357">
        <v>17.030887886980867</v>
      </c>
      <c r="Q357">
        <v>12.457153198760006</v>
      </c>
      <c r="R357">
        <v>0.37833763618972105</v>
      </c>
      <c r="S357">
        <v>0.13370681361104572</v>
      </c>
      <c r="T357">
        <v>17.030802351439231</v>
      </c>
      <c r="U357">
        <v>1532.1976190413507</v>
      </c>
      <c r="V357">
        <v>9.7993332142964089</v>
      </c>
      <c r="W357">
        <v>1280.2166027996293</v>
      </c>
      <c r="X357">
        <v>7.0552117645832517</v>
      </c>
      <c r="Y357">
        <v>2894.1047470303447</v>
      </c>
      <c r="Z357">
        <v>9.8421508518519349</v>
      </c>
      <c r="AA357">
        <v>2728.49819802505</v>
      </c>
      <c r="AB357">
        <v>7.0801868757041362</v>
      </c>
      <c r="AC357">
        <v>2213.3172566604685</v>
      </c>
      <c r="AD357">
        <v>9.8222956817766018</v>
      </c>
      <c r="AE357">
        <v>2011.971627070109</v>
      </c>
      <c r="AF357">
        <v>7.0686167253517587</v>
      </c>
      <c r="AG357">
        <v>2127.5972626873099</v>
      </c>
      <c r="AH357">
        <v>9.8212129134330386</v>
      </c>
      <c r="AI357">
        <v>1907.9136970252391</v>
      </c>
      <c r="AJ357">
        <v>7.06798521380541</v>
      </c>
    </row>
    <row r="358" spans="4:36" x14ac:dyDescent="0.55000000000000004">
      <c r="D358">
        <v>351</v>
      </c>
      <c r="E358">
        <v>12.978906230390574</v>
      </c>
      <c r="F358">
        <v>0.49319437696325291</v>
      </c>
      <c r="G358">
        <v>0.20303511769814103</v>
      </c>
      <c r="H358">
        <v>16.324864274948027</v>
      </c>
      <c r="I358">
        <v>13.240676323757407</v>
      </c>
      <c r="J358">
        <v>0.30686568249131607</v>
      </c>
      <c r="K358">
        <v>0.12583958943505127</v>
      </c>
      <c r="L358">
        <v>16.326618404316235</v>
      </c>
      <c r="M358">
        <v>13.144014357510791</v>
      </c>
      <c r="N358">
        <v>0.37571766834083492</v>
      </c>
      <c r="O358">
        <v>0.15429403482947676</v>
      </c>
      <c r="P358">
        <v>16.325973939318907</v>
      </c>
      <c r="Q358">
        <v>13.092585556257893</v>
      </c>
      <c r="R358">
        <v>0.41232754324345056</v>
      </c>
      <c r="S358">
        <v>0.16945739962902132</v>
      </c>
      <c r="T358">
        <v>16.325629500869638</v>
      </c>
      <c r="U358">
        <v>1631.0655254515443</v>
      </c>
      <c r="V358">
        <v>10.25090903577469</v>
      </c>
      <c r="W358">
        <v>1338.9335237839234</v>
      </c>
      <c r="X358">
        <v>7.3037814535889893</v>
      </c>
      <c r="Y358">
        <v>2937.8715027933608</v>
      </c>
      <c r="Z358">
        <v>10.300162252733442</v>
      </c>
      <c r="AA358">
        <v>2752.8366765197325</v>
      </c>
      <c r="AB358">
        <v>7.3323050457278818</v>
      </c>
      <c r="AC358">
        <v>2282.0024888735697</v>
      </c>
      <c r="AD358">
        <v>10.281973003144008</v>
      </c>
      <c r="AE358">
        <v>2053.3416398980307</v>
      </c>
      <c r="AF358">
        <v>7.3217848097228257</v>
      </c>
      <c r="AG358">
        <v>2188.8011390662023</v>
      </c>
      <c r="AH358">
        <v>10.272296336488225</v>
      </c>
      <c r="AI358">
        <v>1940.7106644340731</v>
      </c>
      <c r="AJ358">
        <v>7.3161816210162911</v>
      </c>
    </row>
    <row r="359" spans="4:36" x14ac:dyDescent="0.55000000000000004">
      <c r="D359">
        <v>352</v>
      </c>
      <c r="E359">
        <v>14.357677792569277</v>
      </c>
      <c r="F359">
        <v>0.48979799690328396</v>
      </c>
      <c r="G359">
        <v>0.15312163865028344</v>
      </c>
      <c r="H359">
        <v>14.999402571877154</v>
      </c>
      <c r="I359">
        <v>14.616729034080521</v>
      </c>
      <c r="J359">
        <v>0.32041727194354019</v>
      </c>
      <c r="K359">
        <v>9.9835201072135213E-2</v>
      </c>
      <c r="L359">
        <v>14.963018492903805</v>
      </c>
      <c r="M359">
        <v>14.499792967152649</v>
      </c>
      <c r="N359">
        <v>0.39692880006411596</v>
      </c>
      <c r="O359">
        <v>0.12386053817398107</v>
      </c>
      <c r="P359">
        <v>14.979417694609246</v>
      </c>
      <c r="Q359">
        <v>14.422501021744557</v>
      </c>
      <c r="R359">
        <v>0.44745345112667345</v>
      </c>
      <c r="S359">
        <v>0.13976616219878735</v>
      </c>
      <c r="T359">
        <v>14.990279364929998</v>
      </c>
      <c r="U359">
        <v>1632.8944582695387</v>
      </c>
      <c r="V359">
        <v>11.294807409296673</v>
      </c>
      <c r="W359">
        <v>1336.5537756451959</v>
      </c>
      <c r="X359">
        <v>7.9044437387611097</v>
      </c>
      <c r="Y359">
        <v>2968.1043328030069</v>
      </c>
      <c r="Z359">
        <v>11.367432365362188</v>
      </c>
      <c r="AA359">
        <v>2770.591774061701</v>
      </c>
      <c r="AB359">
        <v>7.9441881758352135</v>
      </c>
      <c r="AC359">
        <v>2319.4269104300747</v>
      </c>
      <c r="AD359">
        <v>11.334662855566576</v>
      </c>
      <c r="AE359">
        <v>2074.9959318071719</v>
      </c>
      <c r="AF359">
        <v>7.9262687584158389</v>
      </c>
      <c r="AG359">
        <v>2205.3451221656451</v>
      </c>
      <c r="AH359">
        <v>11.312990834014235</v>
      </c>
      <c r="AI359">
        <v>1946.6075751123819</v>
      </c>
      <c r="AJ359">
        <v>7.914405284521691</v>
      </c>
    </row>
    <row r="360" spans="4:36" x14ac:dyDescent="0.55000000000000004">
      <c r="D360">
        <v>353</v>
      </c>
      <c r="E360">
        <v>11.529361937180161</v>
      </c>
      <c r="F360">
        <v>0.4190917682753606</v>
      </c>
      <c r="G360">
        <v>0.15115345060362059</v>
      </c>
      <c r="H360">
        <v>17.900392843940839</v>
      </c>
      <c r="I360">
        <v>11.718167125220234</v>
      </c>
      <c r="J360">
        <v>0.27637250823838505</v>
      </c>
      <c r="K360">
        <v>9.9387903113584267E-2</v>
      </c>
      <c r="L360">
        <v>17.906072463427794</v>
      </c>
      <c r="M360">
        <v>11.649798026230339</v>
      </c>
      <c r="N360">
        <v>0.32807648619339347</v>
      </c>
      <c r="O360">
        <v>0.11810597665792882</v>
      </c>
      <c r="P360">
        <v>17.904019510918339</v>
      </c>
      <c r="Q360">
        <v>11.615350329583354</v>
      </c>
      <c r="R360">
        <v>0.35411750615430332</v>
      </c>
      <c r="S360">
        <v>0.12754862559021438</v>
      </c>
      <c r="T360">
        <v>17.902983538672117</v>
      </c>
      <c r="U360">
        <v>1508.1447640044225</v>
      </c>
      <c r="V360">
        <v>9.1613073462624328</v>
      </c>
      <c r="W360">
        <v>1270.7793224815071</v>
      </c>
      <c r="X360">
        <v>6.6847400449545002</v>
      </c>
      <c r="Y360">
        <v>2854.3036466811568</v>
      </c>
      <c r="Z360">
        <v>9.1952973612279276</v>
      </c>
      <c r="AA360">
        <v>2704.2747877491356</v>
      </c>
      <c r="AB360">
        <v>6.7051026326909531</v>
      </c>
      <c r="AC360">
        <v>2193.6517625580232</v>
      </c>
      <c r="AD360">
        <v>9.1829867680836728</v>
      </c>
      <c r="AE360">
        <v>2005.0561909444475</v>
      </c>
      <c r="AF360">
        <v>6.6977363131628875</v>
      </c>
      <c r="AG360">
        <v>2075.3070367226624</v>
      </c>
      <c r="AH360">
        <v>9.1767850813629206</v>
      </c>
      <c r="AI360">
        <v>1875.8692032249389</v>
      </c>
      <c r="AJ360">
        <v>6.694021688106619</v>
      </c>
    </row>
    <row r="361" spans="4:36" x14ac:dyDescent="0.55000000000000004">
      <c r="D361">
        <v>354</v>
      </c>
      <c r="E361">
        <v>16.2819144281892</v>
      </c>
      <c r="F361">
        <v>0.57076378873369593</v>
      </c>
      <c r="G361">
        <v>0.19208148423408211</v>
      </c>
      <c r="H361">
        <v>12.955240298843034</v>
      </c>
      <c r="I361">
        <v>16.594411120372317</v>
      </c>
      <c r="J361">
        <v>0.3753109969775163</v>
      </c>
      <c r="K361">
        <v>0.1258386720327459</v>
      </c>
      <c r="L361">
        <v>12.904439210617417</v>
      </c>
      <c r="M361">
        <v>16.456593132166358</v>
      </c>
      <c r="N361">
        <v>0.46158353438545741</v>
      </c>
      <c r="O361">
        <v>0.15501658891973311</v>
      </c>
      <c r="P361">
        <v>12.926806744528458</v>
      </c>
      <c r="Q361">
        <v>16.380364140089085</v>
      </c>
      <c r="R361">
        <v>0.50925236162058873</v>
      </c>
      <c r="S361">
        <v>0.17118005169753014</v>
      </c>
      <c r="T361">
        <v>12.939203446592792</v>
      </c>
      <c r="U361">
        <v>1766.775625777477</v>
      </c>
      <c r="V361">
        <v>12.951017958241351</v>
      </c>
      <c r="W361">
        <v>1408.4703141061395</v>
      </c>
      <c r="X361">
        <v>8.8394941709907489</v>
      </c>
      <c r="Y361">
        <v>3050.6365753616492</v>
      </c>
      <c r="Z361">
        <v>13.034665227326551</v>
      </c>
      <c r="AA361">
        <v>2813.7088928567728</v>
      </c>
      <c r="AB361">
        <v>8.8837289899027763</v>
      </c>
      <c r="AC361">
        <v>2376.1452818488265</v>
      </c>
      <c r="AD361">
        <v>12.997798628640126</v>
      </c>
      <c r="AE361">
        <v>2097.5055703970602</v>
      </c>
      <c r="AF361">
        <v>8.8642470068728283</v>
      </c>
      <c r="AG361">
        <v>2330.5473474378159</v>
      </c>
      <c r="AH361">
        <v>12.97739119579531</v>
      </c>
      <c r="AI361">
        <v>2015.7160471236361</v>
      </c>
      <c r="AJ361">
        <v>8.8534533220554952</v>
      </c>
    </row>
    <row r="362" spans="4:36" x14ac:dyDescent="0.55000000000000004">
      <c r="D362">
        <v>355</v>
      </c>
      <c r="E362">
        <v>12.670886825022293</v>
      </c>
      <c r="F362">
        <v>0.42338758543110239</v>
      </c>
      <c r="G362">
        <v>0.16767239808391579</v>
      </c>
      <c r="H362">
        <v>16.738053191462683</v>
      </c>
      <c r="I362">
        <v>12.874390930563415</v>
      </c>
      <c r="J362">
        <v>0.28298728574737048</v>
      </c>
      <c r="K362">
        <v>0.11172262491301152</v>
      </c>
      <c r="L362">
        <v>16.730899158776214</v>
      </c>
      <c r="M362">
        <v>12.786686385917545</v>
      </c>
      <c r="N362">
        <v>0.34352835724820974</v>
      </c>
      <c r="O362">
        <v>0.13580509967765395</v>
      </c>
      <c r="P362">
        <v>16.733980157156591</v>
      </c>
      <c r="Q362">
        <v>12.745031498507924</v>
      </c>
      <c r="R362">
        <v>0.37226487899319621</v>
      </c>
      <c r="S362">
        <v>0.14725899963653097</v>
      </c>
      <c r="T362">
        <v>16.735444622862367</v>
      </c>
      <c r="U362">
        <v>1506.8286545297847</v>
      </c>
      <c r="V362">
        <v>9.9200478788310757</v>
      </c>
      <c r="W362">
        <v>1260.0403551791187</v>
      </c>
      <c r="X362">
        <v>7.1084792416149343</v>
      </c>
      <c r="Y362">
        <v>2901.0960438168918</v>
      </c>
      <c r="Z362">
        <v>9.9608280173554533</v>
      </c>
      <c r="AA362">
        <v>2731.555806223259</v>
      </c>
      <c r="AB362">
        <v>7.1319329223452161</v>
      </c>
      <c r="AC362">
        <v>2211.6477156282658</v>
      </c>
      <c r="AD362">
        <v>9.9432539786407315</v>
      </c>
      <c r="AE362">
        <v>2009.2834914902294</v>
      </c>
      <c r="AF362">
        <v>7.1218346483500392</v>
      </c>
      <c r="AG362">
        <v>2112.9454783050578</v>
      </c>
      <c r="AH362">
        <v>9.9349067080846112</v>
      </c>
      <c r="AI362">
        <v>1893.6438942623429</v>
      </c>
      <c r="AJ362">
        <v>7.1170334399780275</v>
      </c>
    </row>
    <row r="363" spans="4:36" x14ac:dyDescent="0.55000000000000004">
      <c r="D363">
        <v>356</v>
      </c>
      <c r="E363">
        <v>13.71259483666033</v>
      </c>
      <c r="F363">
        <v>0.43387439878380651</v>
      </c>
      <c r="G363">
        <v>0.17234457519915294</v>
      </c>
      <c r="H363">
        <v>15.681186189356712</v>
      </c>
      <c r="I363">
        <v>13.914065172397214</v>
      </c>
      <c r="J363">
        <v>0.30826610342803457</v>
      </c>
      <c r="K363">
        <v>0.12209957386226461</v>
      </c>
      <c r="L363">
        <v>15.655569150312495</v>
      </c>
      <c r="M363">
        <v>13.839856867971612</v>
      </c>
      <c r="N363">
        <v>0.35456451723605065</v>
      </c>
      <c r="O363">
        <v>0.14058548942368987</v>
      </c>
      <c r="P363">
        <v>15.664993125368643</v>
      </c>
      <c r="Q363">
        <v>13.783070653693345</v>
      </c>
      <c r="R363">
        <v>0.38996766472680006</v>
      </c>
      <c r="S363">
        <v>0.15474792547176727</v>
      </c>
      <c r="T363">
        <v>15.672213756108073</v>
      </c>
      <c r="U363">
        <v>1587.405473557307</v>
      </c>
      <c r="V363">
        <v>10.749472371892422</v>
      </c>
      <c r="W363">
        <v>1311.3038494316509</v>
      </c>
      <c r="X363">
        <v>7.5902544760535884</v>
      </c>
      <c r="Y363">
        <v>2942.8377761822135</v>
      </c>
      <c r="Z363">
        <v>10.802622511186199</v>
      </c>
      <c r="AA363">
        <v>2755.594484449332</v>
      </c>
      <c r="AB363">
        <v>7.6196702524650064</v>
      </c>
      <c r="AC363">
        <v>2266.2375284838731</v>
      </c>
      <c r="AD363">
        <v>10.783052214575028</v>
      </c>
      <c r="AE363">
        <v>2042.8758243797542</v>
      </c>
      <c r="AF363">
        <v>7.6088474238124517</v>
      </c>
      <c r="AG363">
        <v>2166.4931839115134</v>
      </c>
      <c r="AH363">
        <v>10.768071235384296</v>
      </c>
      <c r="AI363">
        <v>1925.6822655340022</v>
      </c>
      <c r="AJ363">
        <v>7.6005560829577421</v>
      </c>
    </row>
    <row r="364" spans="4:36" x14ac:dyDescent="0.55000000000000004">
      <c r="D364">
        <v>357</v>
      </c>
      <c r="E364">
        <v>12.661460983301016</v>
      </c>
      <c r="F364">
        <v>0.46023362178992816</v>
      </c>
      <c r="G364">
        <v>0.16198743655969472</v>
      </c>
      <c r="H364">
        <v>16.71631795834935</v>
      </c>
      <c r="I364">
        <v>12.902646336096756</v>
      </c>
      <c r="J364">
        <v>0.28916567401859999</v>
      </c>
      <c r="K364">
        <v>0.10142626503248925</v>
      </c>
      <c r="L364">
        <v>16.706761724852164</v>
      </c>
      <c r="M364">
        <v>12.808092496579938</v>
      </c>
      <c r="N364">
        <v>0.35627318527956942</v>
      </c>
      <c r="O364">
        <v>0.12513299239759623</v>
      </c>
      <c r="P364">
        <v>16.710501325742896</v>
      </c>
      <c r="Q364">
        <v>12.748716672079386</v>
      </c>
      <c r="R364">
        <v>0.39838603325413613</v>
      </c>
      <c r="S364">
        <v>0.14004318535002158</v>
      </c>
      <c r="T364">
        <v>16.712854109316449</v>
      </c>
      <c r="U364">
        <v>1537.2893434548814</v>
      </c>
      <c r="V364">
        <v>9.9712276326697236</v>
      </c>
      <c r="W364">
        <v>1284.5919727752489</v>
      </c>
      <c r="X364">
        <v>7.1445511841169198</v>
      </c>
      <c r="Y364">
        <v>2889.9765584947759</v>
      </c>
      <c r="Z364">
        <v>10.021443613823511</v>
      </c>
      <c r="AA364">
        <v>2726.486021785061</v>
      </c>
      <c r="AB364">
        <v>7.1732286250528716</v>
      </c>
      <c r="AC364">
        <v>2212.0788771692055</v>
      </c>
      <c r="AD364">
        <v>10.001760845387221</v>
      </c>
      <c r="AE364">
        <v>2012.8029257494288</v>
      </c>
      <c r="AF364">
        <v>7.1620002617503236</v>
      </c>
      <c r="AG364">
        <v>2125.3713476264343</v>
      </c>
      <c r="AH364">
        <v>9.9893983949859848</v>
      </c>
      <c r="AI364">
        <v>1905.2510614073844</v>
      </c>
      <c r="AJ364">
        <v>7.1549399437016694</v>
      </c>
    </row>
    <row r="365" spans="4:36" x14ac:dyDescent="0.55000000000000004">
      <c r="D365">
        <v>358</v>
      </c>
      <c r="E365">
        <v>13.313590998317615</v>
      </c>
      <c r="F365">
        <v>0.488862101833965</v>
      </c>
      <c r="G365">
        <v>0.19634083126854299</v>
      </c>
      <c r="H365">
        <v>16.00120606857989</v>
      </c>
      <c r="I365">
        <v>13.533721663396243</v>
      </c>
      <c r="J365">
        <v>0.32456075478624058</v>
      </c>
      <c r="K365">
        <v>0.12994331267688003</v>
      </c>
      <c r="L365">
        <v>16.011774269140648</v>
      </c>
      <c r="M365">
        <v>13.425311475462394</v>
      </c>
      <c r="N365">
        <v>0.4055084240697342</v>
      </c>
      <c r="O365">
        <v>0.16260290608913761</v>
      </c>
      <c r="P365">
        <v>16.006577194378746</v>
      </c>
      <c r="Q365">
        <v>13.422106865817149</v>
      </c>
      <c r="R365">
        <v>0.40790028839384951</v>
      </c>
      <c r="S365">
        <v>0.16356949961205486</v>
      </c>
      <c r="T365">
        <v>16.006423346176952</v>
      </c>
      <c r="U365">
        <v>1625.8433062418064</v>
      </c>
      <c r="V365">
        <v>10.50826397246086</v>
      </c>
      <c r="W365">
        <v>1332.8099505564876</v>
      </c>
      <c r="X365">
        <v>7.4519445893566632</v>
      </c>
      <c r="Y365">
        <v>2950.8114762828163</v>
      </c>
      <c r="Z365">
        <v>10.546634673201048</v>
      </c>
      <c r="AA365">
        <v>2758.9099699024741</v>
      </c>
      <c r="AB365">
        <v>7.4744462985754598</v>
      </c>
      <c r="AC365">
        <v>2283.8083395956887</v>
      </c>
      <c r="AD365">
        <v>10.527733062969236</v>
      </c>
      <c r="AE365">
        <v>2050.0522419827007</v>
      </c>
      <c r="AF365">
        <v>7.4633719388553761</v>
      </c>
      <c r="AG365">
        <v>2157.7339652825553</v>
      </c>
      <c r="AH365">
        <v>10.527174470759993</v>
      </c>
      <c r="AI365">
        <v>1916.633019070184</v>
      </c>
      <c r="AJ365">
        <v>7.4630443656058958</v>
      </c>
    </row>
    <row r="366" spans="4:36" x14ac:dyDescent="0.55000000000000004">
      <c r="D366">
        <v>359</v>
      </c>
      <c r="E366">
        <v>11.984647685536091</v>
      </c>
      <c r="F366">
        <v>0.41691011459325672</v>
      </c>
      <c r="G366">
        <v>0.14173464505195535</v>
      </c>
      <c r="H366">
        <v>17.456707554818692</v>
      </c>
      <c r="I366">
        <v>12.157345337334245</v>
      </c>
      <c r="J366">
        <v>0.28861565978338161</v>
      </c>
      <c r="K366">
        <v>9.7872468133281182E-2</v>
      </c>
      <c r="L366">
        <v>17.456166534749098</v>
      </c>
      <c r="M366">
        <v>12.095484393153303</v>
      </c>
      <c r="N366">
        <v>0.33459096244922676</v>
      </c>
      <c r="O366">
        <v>0.1135651063521797</v>
      </c>
      <c r="P366">
        <v>17.456359538045273</v>
      </c>
      <c r="Q366">
        <v>12.058739188159269</v>
      </c>
      <c r="R366">
        <v>0.36188973871661545</v>
      </c>
      <c r="S366">
        <v>0.12289647468216405</v>
      </c>
      <c r="T366">
        <v>17.456474598441947</v>
      </c>
      <c r="U366">
        <v>1498.7362725593225</v>
      </c>
      <c r="V366">
        <v>9.4338406223719566</v>
      </c>
      <c r="W366">
        <v>1262.3263896890767</v>
      </c>
      <c r="X366">
        <v>6.8350255069552155</v>
      </c>
      <c r="Y366">
        <v>2864.9505671395505</v>
      </c>
      <c r="Z366">
        <v>9.4671783589156391</v>
      </c>
      <c r="AA366">
        <v>2710.0643060531902</v>
      </c>
      <c r="AB366">
        <v>6.8544752644740807</v>
      </c>
      <c r="AC366">
        <v>2167.2288203490084</v>
      </c>
      <c r="AD366">
        <v>9.4552372162494187</v>
      </c>
      <c r="AE366">
        <v>1983.9088163918352</v>
      </c>
      <c r="AF366">
        <v>6.8475151063656989</v>
      </c>
      <c r="AG366">
        <v>2079.476433262208</v>
      </c>
      <c r="AH366">
        <v>9.4481439208703311</v>
      </c>
      <c r="AI366">
        <v>1876.8687840856012</v>
      </c>
      <c r="AJ366">
        <v>6.8433772047179797</v>
      </c>
    </row>
    <row r="367" spans="4:36" x14ac:dyDescent="0.55000000000000004">
      <c r="D367">
        <v>360</v>
      </c>
      <c r="E367">
        <v>11.676041806578512</v>
      </c>
      <c r="F367">
        <v>0.41741277047341979</v>
      </c>
      <c r="G367">
        <v>0.17262360698865961</v>
      </c>
      <c r="H367">
        <v>17.733921815959405</v>
      </c>
      <c r="I367">
        <v>11.839029344704803</v>
      </c>
      <c r="J367">
        <v>0.28824716986061311</v>
      </c>
      <c r="K367">
        <v>0.11890266021507928</v>
      </c>
      <c r="L367">
        <v>17.753820825219503</v>
      </c>
      <c r="M367">
        <v>11.762611353032547</v>
      </c>
      <c r="N367">
        <v>0.34882377928187569</v>
      </c>
      <c r="O367">
        <v>0.14406235753833152</v>
      </c>
      <c r="P367">
        <v>17.74450251014726</v>
      </c>
      <c r="Q367">
        <v>11.72053294887807</v>
      </c>
      <c r="R367">
        <v>0.38216710309273405</v>
      </c>
      <c r="S367">
        <v>0.15793707206256372</v>
      </c>
      <c r="T367">
        <v>17.739362875966638</v>
      </c>
      <c r="U367">
        <v>1493.1451393466145</v>
      </c>
      <c r="V367">
        <v>9.2265294975636127</v>
      </c>
      <c r="W367">
        <v>1255.1352958582354</v>
      </c>
      <c r="X367">
        <v>6.7119712404626579</v>
      </c>
      <c r="Y367">
        <v>2873.6195308103288</v>
      </c>
      <c r="Z367">
        <v>9.2455083435798553</v>
      </c>
      <c r="AA367">
        <v>2714.2583765275972</v>
      </c>
      <c r="AB367">
        <v>6.7240485876905671</v>
      </c>
      <c r="AC367">
        <v>2228.0351979548286</v>
      </c>
      <c r="AD367">
        <v>9.2366035042692189</v>
      </c>
      <c r="AE367">
        <v>2024.6209416261433</v>
      </c>
      <c r="AF367">
        <v>6.718388146159155</v>
      </c>
      <c r="AG367">
        <v>2099.8679136471956</v>
      </c>
      <c r="AH367">
        <v>9.2317050483137617</v>
      </c>
      <c r="AI367">
        <v>1887.3028531104235</v>
      </c>
      <c r="AJ367">
        <v>6.7152697178918546</v>
      </c>
    </row>
    <row r="368" spans="4:36" x14ac:dyDescent="0.55000000000000004">
      <c r="D368">
        <v>361</v>
      </c>
      <c r="E368">
        <v>12.901308225499193</v>
      </c>
      <c r="F368">
        <v>0.49757214220448404</v>
      </c>
      <c r="G368">
        <v>0.16950789729073309</v>
      </c>
      <c r="H368">
        <v>16.4316117350056</v>
      </c>
      <c r="I368">
        <v>13.134022032315871</v>
      </c>
      <c r="J368">
        <v>0.32100640309420025</v>
      </c>
      <c r="K368">
        <v>0.10899792135712767</v>
      </c>
      <c r="L368">
        <v>16.435973643232796</v>
      </c>
      <c r="M368">
        <v>13.035469934617634</v>
      </c>
      <c r="N368">
        <v>0.39581498236610307</v>
      </c>
      <c r="O368">
        <v>0.13458586604870668</v>
      </c>
      <c r="P368">
        <v>16.434129216967573</v>
      </c>
      <c r="Q368">
        <v>12.982708332069747</v>
      </c>
      <c r="R368">
        <v>0.43584420856562917</v>
      </c>
      <c r="S368">
        <v>0.14830737452119153</v>
      </c>
      <c r="T368">
        <v>16.433140084843433</v>
      </c>
      <c r="U368">
        <v>1550.0170585713704</v>
      </c>
      <c r="V368">
        <v>10.185900290186304</v>
      </c>
      <c r="W368">
        <v>1286.6157125438765</v>
      </c>
      <c r="X368">
        <v>7.2676197283415096</v>
      </c>
      <c r="Y368">
        <v>2923.2584020792715</v>
      </c>
      <c r="Z368">
        <v>10.228184990205179</v>
      </c>
      <c r="AA368">
        <v>2745.2473729643743</v>
      </c>
      <c r="AB368">
        <v>7.2923112168408331</v>
      </c>
      <c r="AC368">
        <v>2248.3880070335745</v>
      </c>
      <c r="AD368">
        <v>10.210274927338592</v>
      </c>
      <c r="AE368">
        <v>2032.5675146206174</v>
      </c>
      <c r="AF368">
        <v>7.2818642647632688</v>
      </c>
      <c r="AG368">
        <v>2131.4735798924921</v>
      </c>
      <c r="AH368">
        <v>10.200688200593325</v>
      </c>
      <c r="AI368">
        <v>1903.1071522809264</v>
      </c>
      <c r="AJ368">
        <v>7.276265494020306</v>
      </c>
    </row>
    <row r="369" spans="4:36" x14ac:dyDescent="0.55000000000000004">
      <c r="D369">
        <v>362</v>
      </c>
      <c r="E369">
        <v>12.611699232220241</v>
      </c>
      <c r="F369">
        <v>0.43212200991472227</v>
      </c>
      <c r="G369">
        <v>0.15673654998137693</v>
      </c>
      <c r="H369">
        <v>16.799442207883651</v>
      </c>
      <c r="I369">
        <v>12.809852749122904</v>
      </c>
      <c r="J369">
        <v>0.29439458523463391</v>
      </c>
      <c r="K369">
        <v>0.10647996904714631</v>
      </c>
      <c r="L369">
        <v>16.789272696595312</v>
      </c>
      <c r="M369">
        <v>12.723574812373888</v>
      </c>
      <c r="N369">
        <v>0.35439305316399106</v>
      </c>
      <c r="O369">
        <v>0.12833795011341578</v>
      </c>
      <c r="P369">
        <v>16.793694184348702</v>
      </c>
      <c r="Q369">
        <v>12.717633319134702</v>
      </c>
      <c r="R369">
        <v>0.35852308985743081</v>
      </c>
      <c r="S369">
        <v>0.12984456015963969</v>
      </c>
      <c r="T369">
        <v>16.793999030848237</v>
      </c>
      <c r="U369">
        <v>1514.3611758683537</v>
      </c>
      <c r="V369">
        <v>10.008291675023704</v>
      </c>
      <c r="W369">
        <v>1267.9085409797656</v>
      </c>
      <c r="X369">
        <v>7.1794527706950584</v>
      </c>
      <c r="Y369">
        <v>2914.6222823257308</v>
      </c>
      <c r="Z369">
        <v>10.050932680240146</v>
      </c>
      <c r="AA369">
        <v>2742.47192376353</v>
      </c>
      <c r="AB369">
        <v>7.2036927426365347</v>
      </c>
      <c r="AC369">
        <v>2203.5035556028411</v>
      </c>
      <c r="AD369">
        <v>10.032370297231868</v>
      </c>
      <c r="AE369">
        <v>2005.0816720009138</v>
      </c>
      <c r="AF369">
        <v>7.1931491674832735</v>
      </c>
      <c r="AG369">
        <v>2118.1562131239275</v>
      </c>
      <c r="AH369">
        <v>10.03109178513302</v>
      </c>
      <c r="AI369">
        <v>1901.1064457517073</v>
      </c>
      <c r="AJ369">
        <v>7.1924224819587987</v>
      </c>
    </row>
    <row r="370" spans="4:36" x14ac:dyDescent="0.55000000000000004">
      <c r="D370">
        <v>363</v>
      </c>
      <c r="E370">
        <v>11.801773250800007</v>
      </c>
      <c r="F370">
        <v>0.42668696899721054</v>
      </c>
      <c r="G370">
        <v>0.16599718683242165</v>
      </c>
      <c r="H370">
        <v>17.605542593370355</v>
      </c>
      <c r="I370">
        <v>12.031797055485434</v>
      </c>
      <c r="J370">
        <v>0.25343793046658381</v>
      </c>
      <c r="K370">
        <v>9.8252302817251475E-2</v>
      </c>
      <c r="L370">
        <v>17.616512711230733</v>
      </c>
      <c r="M370">
        <v>11.940408490117935</v>
      </c>
      <c r="N370">
        <v>0.32230544476639689</v>
      </c>
      <c r="O370">
        <v>0.12512379971097254</v>
      </c>
      <c r="P370">
        <v>17.612162265404692</v>
      </c>
      <c r="Q370">
        <v>11.896054435083693</v>
      </c>
      <c r="R370">
        <v>0.35571239605501598</v>
      </c>
      <c r="S370">
        <v>0.13818610760072098</v>
      </c>
      <c r="T370">
        <v>17.610047061260573</v>
      </c>
      <c r="U370">
        <v>1527.0606304389028</v>
      </c>
      <c r="V370">
        <v>9.2886150137106487</v>
      </c>
      <c r="W370">
        <v>1281.0330439788199</v>
      </c>
      <c r="X370">
        <v>6.7440854633035752</v>
      </c>
      <c r="Y370">
        <v>2856.5324233527031</v>
      </c>
      <c r="Z370">
        <v>9.3227443431547101</v>
      </c>
      <c r="AA370">
        <v>2706.0160264698279</v>
      </c>
      <c r="AB370">
        <v>6.7646138401055351</v>
      </c>
      <c r="AC370">
        <v>2185.1617371753732</v>
      </c>
      <c r="AD370">
        <v>9.3091800852919899</v>
      </c>
      <c r="AE370">
        <v>1997.0179754452286</v>
      </c>
      <c r="AF370">
        <v>6.7564661598871529</v>
      </c>
      <c r="AG370">
        <v>2091.4900664713541</v>
      </c>
      <c r="AH370">
        <v>9.3025990840896515</v>
      </c>
      <c r="AI370">
        <v>1885.0938692474979</v>
      </c>
      <c r="AJ370">
        <v>6.7525079034342266</v>
      </c>
    </row>
    <row r="371" spans="4:36" x14ac:dyDescent="0.55000000000000004">
      <c r="D371">
        <v>364</v>
      </c>
      <c r="E371">
        <v>12.511790529850799</v>
      </c>
      <c r="F371">
        <v>0.45308693350048596</v>
      </c>
      <c r="G371">
        <v>0.16241453841335821</v>
      </c>
      <c r="H371">
        <v>16.872707998235363</v>
      </c>
      <c r="I371">
        <v>12.771314642591809</v>
      </c>
      <c r="J371">
        <v>0.26774819778200587</v>
      </c>
      <c r="K371">
        <v>9.5612022903627553E-2</v>
      </c>
      <c r="L371">
        <v>16.865325136722561</v>
      </c>
      <c r="M371">
        <v>12.627568470668923</v>
      </c>
      <c r="N371">
        <v>0.37045490211681081</v>
      </c>
      <c r="O371">
        <v>0.13256712343041413</v>
      </c>
      <c r="P371">
        <v>16.869409503783842</v>
      </c>
      <c r="Q371">
        <v>12.636945696454463</v>
      </c>
      <c r="R371">
        <v>0.36375868394101191</v>
      </c>
      <c r="S371">
        <v>0.13015292570947204</v>
      </c>
      <c r="T371">
        <v>16.869142693895064</v>
      </c>
      <c r="U371">
        <v>1548.388068834485</v>
      </c>
      <c r="V371">
        <v>9.9094991183382675</v>
      </c>
      <c r="W371">
        <v>1290.8322405711003</v>
      </c>
      <c r="X371">
        <v>7.1158451804596421</v>
      </c>
      <c r="Y371">
        <v>2872.5965986652209</v>
      </c>
      <c r="Z371">
        <v>9.96023434662367</v>
      </c>
      <c r="AA371">
        <v>2714.2018276097269</v>
      </c>
      <c r="AB371">
        <v>7.1450139417670124</v>
      </c>
      <c r="AC371">
        <v>2218.1963648833398</v>
      </c>
      <c r="AD371">
        <v>9.9321356944190189</v>
      </c>
      <c r="AE371">
        <v>2014.3681643485481</v>
      </c>
      <c r="AF371">
        <v>7.1288737951611125</v>
      </c>
      <c r="AG371">
        <v>2116.128998676164</v>
      </c>
      <c r="AH371">
        <v>9.9339689073595423</v>
      </c>
      <c r="AI371">
        <v>1899.2026853151717</v>
      </c>
      <c r="AJ371">
        <v>7.129927892276462</v>
      </c>
    </row>
    <row r="372" spans="4:36" x14ac:dyDescent="0.55000000000000004">
      <c r="D372">
        <v>365</v>
      </c>
      <c r="E372">
        <v>11.965620912442724</v>
      </c>
      <c r="F372">
        <v>0.4571827913259644</v>
      </c>
      <c r="G372">
        <v>0.17662192858621545</v>
      </c>
      <c r="H372">
        <v>17.400574367645103</v>
      </c>
      <c r="I372">
        <v>12.186052422726631</v>
      </c>
      <c r="J372">
        <v>0.28264415652968811</v>
      </c>
      <c r="K372">
        <v>0.10882756645951309</v>
      </c>
      <c r="L372">
        <v>17.422475854284187</v>
      </c>
      <c r="M372">
        <v>12.075146559328935</v>
      </c>
      <c r="N372">
        <v>0.37048947677927069</v>
      </c>
      <c r="O372">
        <v>0.14289089011451714</v>
      </c>
      <c r="P372">
        <v>17.41147307377728</v>
      </c>
      <c r="Q372">
        <v>12.029978083965114</v>
      </c>
      <c r="R372">
        <v>0.4062489964916538</v>
      </c>
      <c r="S372">
        <v>0.15679050108505491</v>
      </c>
      <c r="T372">
        <v>17.406982418458178</v>
      </c>
      <c r="U372">
        <v>1545.979935448715</v>
      </c>
      <c r="V372">
        <v>9.4600319979451211</v>
      </c>
      <c r="W372">
        <v>1288.3358003217509</v>
      </c>
      <c r="X372">
        <v>6.8457190623344042</v>
      </c>
      <c r="Y372">
        <v>2903.2758681697246</v>
      </c>
      <c r="Z372">
        <v>9.4857696535030023</v>
      </c>
      <c r="AA372">
        <v>2735.1488727523156</v>
      </c>
      <c r="AB372">
        <v>6.8618109951195061</v>
      </c>
      <c r="AC372">
        <v>2222.7379875521428</v>
      </c>
      <c r="AD372">
        <v>9.4728104216109639</v>
      </c>
      <c r="AE372">
        <v>2017.2455165415013</v>
      </c>
      <c r="AF372">
        <v>6.8537187980444756</v>
      </c>
      <c r="AG372">
        <v>2133.8916412927479</v>
      </c>
      <c r="AH372">
        <v>9.4675382216310489</v>
      </c>
      <c r="AI372">
        <v>1908.3629904594411</v>
      </c>
      <c r="AJ372">
        <v>6.8504207009458549</v>
      </c>
    </row>
    <row r="373" spans="4:36" x14ac:dyDescent="0.55000000000000004">
      <c r="D373">
        <v>366</v>
      </c>
      <c r="E373">
        <v>12.113673708350795</v>
      </c>
      <c r="F373">
        <v>0.42757325275363128</v>
      </c>
      <c r="G373">
        <v>0.14814987701259419</v>
      </c>
      <c r="H373">
        <v>17.310603161882977</v>
      </c>
      <c r="I373">
        <v>12.2745096241631</v>
      </c>
      <c r="J373">
        <v>0.30037398890846551</v>
      </c>
      <c r="K373">
        <v>0.10383722811416179</v>
      </c>
      <c r="L373">
        <v>17.321279158814288</v>
      </c>
      <c r="M373">
        <v>12.178083113325984</v>
      </c>
      <c r="N373">
        <v>0.37664929204557512</v>
      </c>
      <c r="O373">
        <v>0.13038456186383088</v>
      </c>
      <c r="P373">
        <v>17.314883032764609</v>
      </c>
      <c r="Q373">
        <v>12.16755411812774</v>
      </c>
      <c r="R373">
        <v>0.3849752077345045</v>
      </c>
      <c r="S373">
        <v>0.13328685935069562</v>
      </c>
      <c r="T373">
        <v>17.314183814787054</v>
      </c>
      <c r="U373">
        <v>1479.8839192906303</v>
      </c>
      <c r="V373">
        <v>9.5808370029938725</v>
      </c>
      <c r="W373">
        <v>1248.0933640090871</v>
      </c>
      <c r="X373">
        <v>6.92385321278016</v>
      </c>
      <c r="Y373">
        <v>2864.5630713863898</v>
      </c>
      <c r="Z373">
        <v>9.604112158862355</v>
      </c>
      <c r="AA373">
        <v>2709.1864589867487</v>
      </c>
      <c r="AB373">
        <v>6.9378531540764428</v>
      </c>
      <c r="AC373">
        <v>2183.9135561598905</v>
      </c>
      <c r="AD373">
        <v>9.5901553750283153</v>
      </c>
      <c r="AE373">
        <v>1993.1989725367066</v>
      </c>
      <c r="AF373">
        <v>6.9294633814267499</v>
      </c>
      <c r="AG373">
        <v>2079.4744695225995</v>
      </c>
      <c r="AH373">
        <v>9.5886318684531613</v>
      </c>
      <c r="AI373">
        <v>1875.4401330848525</v>
      </c>
      <c r="AJ373">
        <v>6.9285466242141416</v>
      </c>
    </row>
    <row r="374" spans="4:36" x14ac:dyDescent="0.55000000000000004">
      <c r="D374">
        <v>367</v>
      </c>
      <c r="E374">
        <v>13.528798392502166</v>
      </c>
      <c r="F374">
        <v>0.47125359011397361</v>
      </c>
      <c r="G374">
        <v>0.17241953744901864</v>
      </c>
      <c r="H374">
        <v>15.827528479934845</v>
      </c>
      <c r="I374">
        <v>13.796446570638038</v>
      </c>
      <c r="J374">
        <v>0.2974718518730643</v>
      </c>
      <c r="K374">
        <v>0.10844325834177149</v>
      </c>
      <c r="L374">
        <v>15.797638319147117</v>
      </c>
      <c r="M374">
        <v>13.693455316596808</v>
      </c>
      <c r="N374">
        <v>0.36439975641819145</v>
      </c>
      <c r="O374">
        <v>0.13302638736758113</v>
      </c>
      <c r="P374">
        <v>15.809118539617414</v>
      </c>
      <c r="Q374">
        <v>13.672252776222683</v>
      </c>
      <c r="R374">
        <v>0.37816929235180441</v>
      </c>
      <c r="S374">
        <v>0.13809266150890376</v>
      </c>
      <c r="T374">
        <v>15.811485269916599</v>
      </c>
      <c r="U374">
        <v>1576.8995249034108</v>
      </c>
      <c r="V374">
        <v>10.719289372031103</v>
      </c>
      <c r="W374">
        <v>1304.830875443349</v>
      </c>
      <c r="X374">
        <v>7.5845831709541445</v>
      </c>
      <c r="Y374">
        <v>2922.6542080341319</v>
      </c>
      <c r="Z374">
        <v>10.784939782387431</v>
      </c>
      <c r="AA374">
        <v>2744.4219782482414</v>
      </c>
      <c r="AB374">
        <v>7.6208166584055075</v>
      </c>
      <c r="AC374">
        <v>2253.0346028330232</v>
      </c>
      <c r="AD374">
        <v>10.759690829271294</v>
      </c>
      <c r="AE374">
        <v>2035.6469899748263</v>
      </c>
      <c r="AF374">
        <v>7.6068949867012607</v>
      </c>
      <c r="AG374">
        <v>2162.3149787390003</v>
      </c>
      <c r="AH374">
        <v>10.754490825968142</v>
      </c>
      <c r="AI374">
        <v>1926.5666085204548</v>
      </c>
      <c r="AJ374">
        <v>7.6040257264886684</v>
      </c>
    </row>
    <row r="375" spans="4:36" x14ac:dyDescent="0.55000000000000004">
      <c r="D375">
        <v>368</v>
      </c>
      <c r="E375">
        <v>11.743515993300429</v>
      </c>
      <c r="F375">
        <v>0.41953178642682776</v>
      </c>
      <c r="G375">
        <v>0.15138273874749819</v>
      </c>
      <c r="H375">
        <v>17.685569481525246</v>
      </c>
      <c r="I375">
        <v>11.914207002279259</v>
      </c>
      <c r="J375">
        <v>0.28531672947500814</v>
      </c>
      <c r="K375">
        <v>0.10268412186880278</v>
      </c>
      <c r="L375">
        <v>17.69779214637693</v>
      </c>
      <c r="M375">
        <v>11.82525906198369</v>
      </c>
      <c r="N375">
        <v>0.3552751647211152</v>
      </c>
      <c r="O375">
        <v>0.12803565663666733</v>
      </c>
      <c r="P375">
        <v>17.691430116658534</v>
      </c>
      <c r="Q375">
        <v>11.785658343078833</v>
      </c>
      <c r="R375">
        <v>0.38640873260797765</v>
      </c>
      <c r="S375">
        <v>0.1393403374022113</v>
      </c>
      <c r="T375">
        <v>17.688592586910964</v>
      </c>
      <c r="U375">
        <v>1493.4953294074205</v>
      </c>
      <c r="V375">
        <v>9.2517481708533182</v>
      </c>
      <c r="W375">
        <v>1261.0853953137675</v>
      </c>
      <c r="X375">
        <v>6.7254927875005679</v>
      </c>
      <c r="Y375">
        <v>2859.906745719939</v>
      </c>
      <c r="Z375">
        <v>9.2757523588038229</v>
      </c>
      <c r="AA375">
        <v>2708.4851135031881</v>
      </c>
      <c r="AB375">
        <v>6.740117594867904</v>
      </c>
      <c r="AC375">
        <v>2167.7535544317352</v>
      </c>
      <c r="AD375">
        <v>9.2632398452774787</v>
      </c>
      <c r="AE375">
        <v>1984.8983273334702</v>
      </c>
      <c r="AF375">
        <v>6.7325007193008624</v>
      </c>
      <c r="AG375">
        <v>2050.0745267789639</v>
      </c>
      <c r="AH375">
        <v>9.2576717835853355</v>
      </c>
      <c r="AI375">
        <v>1855.9037733627263</v>
      </c>
      <c r="AJ375">
        <v>6.7291066688643202</v>
      </c>
    </row>
    <row r="376" spans="4:36" x14ac:dyDescent="0.55000000000000004">
      <c r="D376">
        <v>369</v>
      </c>
      <c r="E376">
        <v>13.563344035237233</v>
      </c>
      <c r="F376">
        <v>0.51752026807730656</v>
      </c>
      <c r="G376">
        <v>0.16801086235711274</v>
      </c>
      <c r="H376">
        <v>15.751124834328344</v>
      </c>
      <c r="I376">
        <v>13.867356208009424</v>
      </c>
      <c r="J376">
        <v>0.29766239909812536</v>
      </c>
      <c r="K376">
        <v>9.6249539881440527E-2</v>
      </c>
      <c r="L376">
        <v>15.738731853011009</v>
      </c>
      <c r="M376">
        <v>13.69753967678059</v>
      </c>
      <c r="N376">
        <v>0.42053588381988605</v>
      </c>
      <c r="O376">
        <v>0.13628342928664436</v>
      </c>
      <c r="P376">
        <v>15.745641010112884</v>
      </c>
      <c r="Q376">
        <v>13.674097391972643</v>
      </c>
      <c r="R376">
        <v>0.43748520111881584</v>
      </c>
      <c r="S376">
        <v>0.14181997682803102</v>
      </c>
      <c r="T376">
        <v>15.74659743008052</v>
      </c>
      <c r="U376">
        <v>1589.1261978782186</v>
      </c>
      <c r="V376">
        <v>10.683515910843107</v>
      </c>
      <c r="W376">
        <v>1311.4425234928456</v>
      </c>
      <c r="X376">
        <v>7.5520187896988951</v>
      </c>
      <c r="Y376">
        <v>2902.3517142856113</v>
      </c>
      <c r="Z376">
        <v>10.750462872316959</v>
      </c>
      <c r="AA376">
        <v>2730.6484666988372</v>
      </c>
      <c r="AB376">
        <v>7.5896560541383185</v>
      </c>
      <c r="AC376">
        <v>2261.2312188595643</v>
      </c>
      <c r="AD376">
        <v>10.713074874249484</v>
      </c>
      <c r="AE376">
        <v>2038.5483677581315</v>
      </c>
      <c r="AF376">
        <v>7.5686549591925019</v>
      </c>
      <c r="AG376">
        <v>2148.8627137743338</v>
      </c>
      <c r="AH376">
        <v>10.70791216265798</v>
      </c>
      <c r="AI376">
        <v>1913.9038451421909</v>
      </c>
      <c r="AJ376">
        <v>7.5657514154600092</v>
      </c>
    </row>
    <row r="377" spans="4:36" x14ac:dyDescent="0.55000000000000004">
      <c r="D377">
        <v>370</v>
      </c>
      <c r="E377">
        <v>12.408004049827817</v>
      </c>
      <c r="F377">
        <v>0.48165367988581281</v>
      </c>
      <c r="G377">
        <v>0.19205730494314407</v>
      </c>
      <c r="H377">
        <v>16.918284965343229</v>
      </c>
      <c r="I377">
        <v>12.622558372697693</v>
      </c>
      <c r="J377">
        <v>0.31740430162443367</v>
      </c>
      <c r="K377">
        <v>0.12617365832740074</v>
      </c>
      <c r="L377">
        <v>16.933863667350472</v>
      </c>
      <c r="M377">
        <v>12.543493578578003</v>
      </c>
      <c r="N377">
        <v>0.37795949614933522</v>
      </c>
      <c r="O377">
        <v>0.15041556310986826</v>
      </c>
      <c r="P377">
        <v>16.928131362162794</v>
      </c>
      <c r="Q377">
        <v>12.510944758888858</v>
      </c>
      <c r="R377">
        <v>0.40287891483565713</v>
      </c>
      <c r="S377">
        <v>0.16040768895269264</v>
      </c>
      <c r="T377">
        <v>16.92576863732279</v>
      </c>
      <c r="U377">
        <v>1552.6252959076678</v>
      </c>
      <c r="V377">
        <v>9.8665953319191484</v>
      </c>
      <c r="W377">
        <v>1291.4187653630504</v>
      </c>
      <c r="X377">
        <v>7.0906967525600901</v>
      </c>
      <c r="Y377">
        <v>2900.0036540257497</v>
      </c>
      <c r="Z377">
        <v>9.9003374817068313</v>
      </c>
      <c r="AA377">
        <v>2729.9441528037441</v>
      </c>
      <c r="AB377">
        <v>7.110985816898717</v>
      </c>
      <c r="AC377">
        <v>2217.5500137080603</v>
      </c>
      <c r="AD377">
        <v>9.8878976552463804</v>
      </c>
      <c r="AE377">
        <v>2013.1090542911702</v>
      </c>
      <c r="AF377">
        <v>7.1035153567249063</v>
      </c>
      <c r="AG377">
        <v>2107.0612692234881</v>
      </c>
      <c r="AH377">
        <v>9.8827784113238764</v>
      </c>
      <c r="AI377">
        <v>1889.4383143148198</v>
      </c>
      <c r="AJ377">
        <v>7.1004378787056686</v>
      </c>
    </row>
    <row r="378" spans="4:36" x14ac:dyDescent="0.55000000000000004">
      <c r="D378">
        <v>371</v>
      </c>
      <c r="E378">
        <v>13.455861717972882</v>
      </c>
      <c r="F378">
        <v>0.50227223148139333</v>
      </c>
      <c r="G378">
        <v>0.17833210945866157</v>
      </c>
      <c r="H378">
        <v>15.863533941087068</v>
      </c>
      <c r="I378">
        <v>13.710099162558814</v>
      </c>
      <c r="J378">
        <v>0.32146753190586036</v>
      </c>
      <c r="K378">
        <v>0.1137529445003207</v>
      </c>
      <c r="L378">
        <v>15.854680361034996</v>
      </c>
      <c r="M378">
        <v>13.609324126315816</v>
      </c>
      <c r="N378">
        <v>0.39318045262757895</v>
      </c>
      <c r="O378">
        <v>0.13931418276012164</v>
      </c>
      <c r="P378">
        <v>15.858181238296499</v>
      </c>
      <c r="Q378">
        <v>13.568644144243855</v>
      </c>
      <c r="R378">
        <v>0.42211211595151232</v>
      </c>
      <c r="S378">
        <v>0.1496461427034953</v>
      </c>
      <c r="T378">
        <v>15.859597597101121</v>
      </c>
      <c r="U378">
        <v>1606.0198680345563</v>
      </c>
      <c r="V378">
        <v>10.63022384398017</v>
      </c>
      <c r="W378">
        <v>1320.6280527323806</v>
      </c>
      <c r="X378">
        <v>7.5239043662676934</v>
      </c>
      <c r="Y378">
        <v>2944.4129058617923</v>
      </c>
      <c r="Z378">
        <v>10.679979853574878</v>
      </c>
      <c r="AA378">
        <v>2756.4911790681226</v>
      </c>
      <c r="AB378">
        <v>7.5518946736916988</v>
      </c>
      <c r="AC378">
        <v>2281.0843603151197</v>
      </c>
      <c r="AD378">
        <v>10.660262486413632</v>
      </c>
      <c r="AE378">
        <v>2051.4711200418651</v>
      </c>
      <c r="AF378">
        <v>7.5408137214454669</v>
      </c>
      <c r="AG378">
        <v>2174.334578123779</v>
      </c>
      <c r="AH378">
        <v>10.652301301464954</v>
      </c>
      <c r="AI378">
        <v>1929.8188917062953</v>
      </c>
      <c r="AJ378">
        <v>7.536335517106628</v>
      </c>
    </row>
    <row r="379" spans="4:36" x14ac:dyDescent="0.55000000000000004">
      <c r="D379">
        <v>372</v>
      </c>
      <c r="E379">
        <v>12.283833159240906</v>
      </c>
      <c r="F379">
        <v>0.42372314181413051</v>
      </c>
      <c r="G379">
        <v>0.16081016348338364</v>
      </c>
      <c r="H379">
        <v>17.131633535461592</v>
      </c>
      <c r="I379">
        <v>12.478471466550737</v>
      </c>
      <c r="J379">
        <v>0.2847989752225672</v>
      </c>
      <c r="K379">
        <v>0.10777156234512224</v>
      </c>
      <c r="L379">
        <v>17.128957995881571</v>
      </c>
      <c r="M379">
        <v>12.41185003364655</v>
      </c>
      <c r="N379">
        <v>0.33237662894399361</v>
      </c>
      <c r="O379">
        <v>0.1259005363935059</v>
      </c>
      <c r="P379">
        <v>17.129872801015953</v>
      </c>
      <c r="Q379">
        <v>12.378335450424364</v>
      </c>
      <c r="R379">
        <v>0.35630075787291249</v>
      </c>
      <c r="S379">
        <v>0.1350304014116237</v>
      </c>
      <c r="T379">
        <v>17.13033339029111</v>
      </c>
      <c r="U379">
        <v>1525.63199978135</v>
      </c>
      <c r="V379">
        <v>9.5852526596080185</v>
      </c>
      <c r="W379">
        <v>1278.1389348940877</v>
      </c>
      <c r="X379">
        <v>6.9100851309939735</v>
      </c>
      <c r="Y379">
        <v>2909.2775782932626</v>
      </c>
      <c r="Z379">
        <v>9.6228176896491338</v>
      </c>
      <c r="AA379">
        <v>2740.3657148083612</v>
      </c>
      <c r="AB379">
        <v>6.931821137035997</v>
      </c>
      <c r="AC379">
        <v>2193.211298374069</v>
      </c>
      <c r="AD379">
        <v>9.6099608443832167</v>
      </c>
      <c r="AE379">
        <v>2000.4397324188765</v>
      </c>
      <c r="AF379">
        <v>6.9243894948961913</v>
      </c>
      <c r="AG379">
        <v>2113.628284857642</v>
      </c>
      <c r="AH379">
        <v>9.6034926726710239</v>
      </c>
      <c r="AI379">
        <v>1899.3301878594912</v>
      </c>
      <c r="AJ379">
        <v>6.920647708881309</v>
      </c>
    </row>
    <row r="380" spans="4:36" x14ac:dyDescent="0.55000000000000004">
      <c r="D380">
        <v>373</v>
      </c>
      <c r="E380">
        <v>11.951182312043539</v>
      </c>
      <c r="F380">
        <v>0.43765115751227568</v>
      </c>
      <c r="G380">
        <v>0.15353642303460749</v>
      </c>
      <c r="H380">
        <v>17.457630107409571</v>
      </c>
      <c r="I380">
        <v>12.149927372281162</v>
      </c>
      <c r="J380">
        <v>0.2860507755624993</v>
      </c>
      <c r="K380">
        <v>0.10004010022155169</v>
      </c>
      <c r="L380">
        <v>17.46398175193481</v>
      </c>
      <c r="M380">
        <v>12.086705230706899</v>
      </c>
      <c r="N380">
        <v>0.33429906802845044</v>
      </c>
      <c r="O380">
        <v>0.11702923369073101</v>
      </c>
      <c r="P380">
        <v>17.46196646757393</v>
      </c>
      <c r="Q380">
        <v>12.027835990040483</v>
      </c>
      <c r="R380">
        <v>0.37920602472833004</v>
      </c>
      <c r="S380">
        <v>0.13287240872340003</v>
      </c>
      <c r="T380">
        <v>17.46008557650779</v>
      </c>
      <c r="U380">
        <v>1510.58573185163</v>
      </c>
      <c r="V380">
        <v>9.4346378981284342</v>
      </c>
      <c r="W380">
        <v>1267.4662504628743</v>
      </c>
      <c r="X380">
        <v>6.8343573356677476</v>
      </c>
      <c r="Y380">
        <v>2903.8490172680649</v>
      </c>
      <c r="Z380">
        <v>9.4661096844670638</v>
      </c>
      <c r="AA380">
        <v>2737.3324891260249</v>
      </c>
      <c r="AB380">
        <v>6.853083668220977</v>
      </c>
      <c r="AC380">
        <v>2188.7572953666113</v>
      </c>
      <c r="AD380">
        <v>9.4560959151941688</v>
      </c>
      <c r="AE380">
        <v>1998.1586684880476</v>
      </c>
      <c r="AF380">
        <v>6.8471328203212369</v>
      </c>
      <c r="AG380">
        <v>2104.6670729296529</v>
      </c>
      <c r="AH380">
        <v>9.4467735940194171</v>
      </c>
      <c r="AI380">
        <v>1892.2392939818624</v>
      </c>
      <c r="AJ380">
        <v>6.8415865751964722</v>
      </c>
    </row>
    <row r="381" spans="4:36" x14ac:dyDescent="0.55000000000000004">
      <c r="D381">
        <v>374</v>
      </c>
      <c r="E381">
        <v>11.574852708210143</v>
      </c>
      <c r="F381">
        <v>0.38885151928740447</v>
      </c>
      <c r="G381">
        <v>0.14714087717918048</v>
      </c>
      <c r="H381">
        <v>17.889154895323269</v>
      </c>
      <c r="I381">
        <v>11.739188238076181</v>
      </c>
      <c r="J381">
        <v>0.26231944474670793</v>
      </c>
      <c r="K381">
        <v>9.900384417597119E-2</v>
      </c>
      <c r="L381">
        <v>17.899488473001149</v>
      </c>
      <c r="M381">
        <v>11.629185464939207</v>
      </c>
      <c r="N381">
        <v>0.3470334670546617</v>
      </c>
      <c r="O381">
        <v>0.1312038424237989</v>
      </c>
      <c r="P381">
        <v>17.892577225582329</v>
      </c>
      <c r="Q381">
        <v>11.626791961654543</v>
      </c>
      <c r="R381">
        <v>0.34887600029418669</v>
      </c>
      <c r="S381">
        <v>0.13190545334399792</v>
      </c>
      <c r="T381">
        <v>17.892426584707252</v>
      </c>
      <c r="U381">
        <v>1455.0473852645503</v>
      </c>
      <c r="V381">
        <v>9.0842233244646895</v>
      </c>
      <c r="W381">
        <v>1236.0877377337611</v>
      </c>
      <c r="X381">
        <v>6.6243818490617246</v>
      </c>
      <c r="Y381">
        <v>2849.2502918877931</v>
      </c>
      <c r="Z381">
        <v>9.1075247875640315</v>
      </c>
      <c r="AA381">
        <v>2703.0138656204604</v>
      </c>
      <c r="AB381">
        <v>6.6386492082775002</v>
      </c>
      <c r="AC381">
        <v>2174.5301082944488</v>
      </c>
      <c r="AD381">
        <v>9.0919238653588756</v>
      </c>
      <c r="AE381">
        <v>1991.1253578499532</v>
      </c>
      <c r="AF381">
        <v>6.6291024578814044</v>
      </c>
      <c r="AG381">
        <v>2046.6077787725553</v>
      </c>
      <c r="AH381">
        <v>9.0915845646778006</v>
      </c>
      <c r="AI381">
        <v>1856.914566927944</v>
      </c>
      <c r="AJ381">
        <v>6.6288945761218159</v>
      </c>
    </row>
    <row r="382" spans="4:36" x14ac:dyDescent="0.55000000000000004">
      <c r="D382">
        <v>375</v>
      </c>
      <c r="E382">
        <v>12.30179665911897</v>
      </c>
      <c r="F382">
        <v>0.47282533550397599</v>
      </c>
      <c r="G382">
        <v>0.15423419978391151</v>
      </c>
      <c r="H382">
        <v>17.071143805593149</v>
      </c>
      <c r="I382">
        <v>12.511950316314698</v>
      </c>
      <c r="J382">
        <v>0.30625980841913331</v>
      </c>
      <c r="K382">
        <v>9.9601624670422453E-2</v>
      </c>
      <c r="L382">
        <v>17.082188250595745</v>
      </c>
      <c r="M382">
        <v>12.412949519046565</v>
      </c>
      <c r="N382">
        <v>0.3847530540967472</v>
      </c>
      <c r="O382">
        <v>0.12530555254712283</v>
      </c>
      <c r="P382">
        <v>17.076991874309556</v>
      </c>
      <c r="Q382">
        <v>12.404349122228748</v>
      </c>
      <c r="R382">
        <v>0.3915697174693073</v>
      </c>
      <c r="S382">
        <v>0.1275412522666414</v>
      </c>
      <c r="T382">
        <v>17.076539908035308</v>
      </c>
      <c r="U382">
        <v>1519.3953337287808</v>
      </c>
      <c r="V382">
        <v>9.7462196297055801</v>
      </c>
      <c r="W382">
        <v>1273.3994040350187</v>
      </c>
      <c r="X382">
        <v>7.0187760724974737</v>
      </c>
      <c r="Y382">
        <v>2877.9619305227834</v>
      </c>
      <c r="Z382">
        <v>9.7779484685015525</v>
      </c>
      <c r="AA382">
        <v>2718.3808762218928</v>
      </c>
      <c r="AB382">
        <v>7.0376104828169845</v>
      </c>
      <c r="AC382">
        <v>2199.7567249669864</v>
      </c>
      <c r="AD382">
        <v>9.7629982705131919</v>
      </c>
      <c r="AE382">
        <v>2004.0388397445975</v>
      </c>
      <c r="AF382">
        <v>7.0287448172627451</v>
      </c>
      <c r="AG382">
        <v>2087.8728171478442</v>
      </c>
      <c r="AH382">
        <v>9.7616997794696392</v>
      </c>
      <c r="AI382">
        <v>1880.9002795605966</v>
      </c>
      <c r="AJ382">
        <v>7.0279740540714055</v>
      </c>
    </row>
    <row r="383" spans="4:36" x14ac:dyDescent="0.55000000000000004">
      <c r="D383">
        <v>376</v>
      </c>
      <c r="E383">
        <v>11.865403343471689</v>
      </c>
      <c r="F383">
        <v>0.43524895904279465</v>
      </c>
      <c r="G383">
        <v>0.14735970989630029</v>
      </c>
      <c r="H383">
        <v>17.551987987589214</v>
      </c>
      <c r="I383">
        <v>12.100426649084843</v>
      </c>
      <c r="J383">
        <v>0.26612771007818281</v>
      </c>
      <c r="K383">
        <v>8.9788065206180184E-2</v>
      </c>
      <c r="L383">
        <v>17.543657575630785</v>
      </c>
      <c r="M383">
        <v>12.011716713731136</v>
      </c>
      <c r="N383">
        <v>0.33000288676762901</v>
      </c>
      <c r="O383">
        <v>0.11148447049613178</v>
      </c>
      <c r="P383">
        <v>17.546795929005118</v>
      </c>
      <c r="Q383">
        <v>11.985413635058135</v>
      </c>
      <c r="R383">
        <v>0.34893299561287078</v>
      </c>
      <c r="S383">
        <v>0.11792551207339184</v>
      </c>
      <c r="T383">
        <v>17.547727857255595</v>
      </c>
      <c r="U383">
        <v>1498.8658025522182</v>
      </c>
      <c r="V383">
        <v>9.3498953915018959</v>
      </c>
      <c r="W383">
        <v>1263.712801887282</v>
      </c>
      <c r="X383">
        <v>6.784536609537561</v>
      </c>
      <c r="Y383">
        <v>2869.4554925240591</v>
      </c>
      <c r="Z383">
        <v>9.3961045030643433</v>
      </c>
      <c r="AA383">
        <v>2716.7106594121874</v>
      </c>
      <c r="AB383">
        <v>6.8112658629399707</v>
      </c>
      <c r="AC383">
        <v>2169.4340650344984</v>
      </c>
      <c r="AD383">
        <v>9.3786663442619567</v>
      </c>
      <c r="AE383">
        <v>1987.866700768343</v>
      </c>
      <c r="AF383">
        <v>6.8011909272531392</v>
      </c>
      <c r="AG383">
        <v>2060.8778451426874</v>
      </c>
      <c r="AH383">
        <v>9.3734949928700058</v>
      </c>
      <c r="AI383">
        <v>1866.4467437168082</v>
      </c>
      <c r="AJ383">
        <v>6.7982003834750993</v>
      </c>
    </row>
    <row r="384" spans="4:36" x14ac:dyDescent="0.55000000000000004">
      <c r="D384">
        <v>377</v>
      </c>
      <c r="E384">
        <v>12.090633535201771</v>
      </c>
      <c r="F384">
        <v>0.45152964168648518</v>
      </c>
      <c r="G384">
        <v>0.14662984202423143</v>
      </c>
      <c r="H384">
        <v>17.31120698108753</v>
      </c>
      <c r="I384">
        <v>12.295928420676347</v>
      </c>
      <c r="J384">
        <v>0.28810758716110269</v>
      </c>
      <c r="K384">
        <v>9.3282111115735381E-2</v>
      </c>
      <c r="L384">
        <v>17.322681881046815</v>
      </c>
      <c r="M384">
        <v>12.224485801763883</v>
      </c>
      <c r="N384">
        <v>0.34500118228308496</v>
      </c>
      <c r="O384">
        <v>0.11181807599391005</v>
      </c>
      <c r="P384">
        <v>17.318694939959133</v>
      </c>
      <c r="Q384">
        <v>12.167104721974443</v>
      </c>
      <c r="R384">
        <v>0.39067930561649383</v>
      </c>
      <c r="S384">
        <v>0.12672812676214304</v>
      </c>
      <c r="T384">
        <v>17.315487845646921</v>
      </c>
      <c r="U384">
        <v>1495.3353897775164</v>
      </c>
      <c r="V384">
        <v>9.6764075971286712</v>
      </c>
      <c r="W384">
        <v>1258.4929958924524</v>
      </c>
      <c r="X384">
        <v>6.9944576495689335</v>
      </c>
      <c r="Y384">
        <v>2863.8146415532447</v>
      </c>
      <c r="Z384">
        <v>9.7098692643870166</v>
      </c>
      <c r="AA384">
        <v>2710.1381213775171</v>
      </c>
      <c r="AB384">
        <v>7.0144763368252327</v>
      </c>
      <c r="AC384">
        <v>2186.5900789181583</v>
      </c>
      <c r="AD384">
        <v>9.6982209551101253</v>
      </c>
      <c r="AE384">
        <v>1998.1785405588907</v>
      </c>
      <c r="AF384">
        <v>7.0075164075286489</v>
      </c>
      <c r="AG384">
        <v>2092.6885778020496</v>
      </c>
      <c r="AH384">
        <v>9.6888681118441191</v>
      </c>
      <c r="AI384">
        <v>1885.4052460855046</v>
      </c>
      <c r="AJ384">
        <v>7.0019212891700393</v>
      </c>
    </row>
    <row r="385" spans="4:36" x14ac:dyDescent="0.55000000000000004">
      <c r="D385">
        <v>378</v>
      </c>
      <c r="E385">
        <v>12.320968990683967</v>
      </c>
      <c r="F385">
        <v>0.42304310507548909</v>
      </c>
      <c r="G385">
        <v>0.14617537246439899</v>
      </c>
      <c r="H385">
        <v>17.109812531776157</v>
      </c>
      <c r="I385">
        <v>12.518832051041072</v>
      </c>
      <c r="J385">
        <v>0.28335997539644386</v>
      </c>
      <c r="K385">
        <v>9.7611193693757259E-2</v>
      </c>
      <c r="L385">
        <v>17.10019677986875</v>
      </c>
      <c r="M385">
        <v>12.452419750675565</v>
      </c>
      <c r="N385">
        <v>0.33027164495291195</v>
      </c>
      <c r="O385">
        <v>0.11388757715377656</v>
      </c>
      <c r="P385">
        <v>17.103421027217756</v>
      </c>
      <c r="Q385">
        <v>12.418479320633391</v>
      </c>
      <c r="R385">
        <v>0.35423552595433372</v>
      </c>
      <c r="S385">
        <v>0.1222150862595273</v>
      </c>
      <c r="T385">
        <v>17.105070067152752</v>
      </c>
      <c r="U385">
        <v>1506.2987947915949</v>
      </c>
      <c r="V385">
        <v>9.7138489149897538</v>
      </c>
      <c r="W385">
        <v>1267.4036193431295</v>
      </c>
      <c r="X385">
        <v>7.0012847323130085</v>
      </c>
      <c r="Y385">
        <v>2867.8137845824763</v>
      </c>
      <c r="Z385">
        <v>9.7586087100653423</v>
      </c>
      <c r="AA385">
        <v>2712.6270875468194</v>
      </c>
      <c r="AB385">
        <v>7.0270714278007018</v>
      </c>
      <c r="AC385">
        <v>2192.6368904693522</v>
      </c>
      <c r="AD385">
        <v>9.7435869919481188</v>
      </c>
      <c r="AE385">
        <v>2002.6943070248237</v>
      </c>
      <c r="AF385">
        <v>7.0184261844787184</v>
      </c>
      <c r="AG385">
        <v>2106.0703910007137</v>
      </c>
      <c r="AH385">
        <v>9.7359093434132991</v>
      </c>
      <c r="AI385">
        <v>1896.6976310867824</v>
      </c>
      <c r="AJ385">
        <v>7.0140040922260631</v>
      </c>
    </row>
    <row r="386" spans="4:36" x14ac:dyDescent="0.55000000000000004">
      <c r="D386">
        <v>379</v>
      </c>
      <c r="E386">
        <v>13.670564701232033</v>
      </c>
      <c r="F386">
        <v>0.50207328776198212</v>
      </c>
      <c r="G386">
        <v>0.17393555632417618</v>
      </c>
      <c r="H386">
        <v>15.653426454681821</v>
      </c>
      <c r="I386">
        <v>13.949989176478461</v>
      </c>
      <c r="J386">
        <v>0.30902815512098697</v>
      </c>
      <c r="K386">
        <v>0.10665709901960443</v>
      </c>
      <c r="L386">
        <v>15.634325569380959</v>
      </c>
      <c r="M386">
        <v>13.814639077031574</v>
      </c>
      <c r="N386">
        <v>0.4025963960362276</v>
      </c>
      <c r="O386">
        <v>0.13920262682007489</v>
      </c>
      <c r="P386">
        <v>15.643561900112132</v>
      </c>
      <c r="Q386">
        <v>13.775705080169752</v>
      </c>
      <c r="R386">
        <v>0.42949110252312911</v>
      </c>
      <c r="S386">
        <v>0.14857952964173815</v>
      </c>
      <c r="T386">
        <v>15.646224287665373</v>
      </c>
      <c r="U386">
        <v>1636.7614967985337</v>
      </c>
      <c r="V386">
        <v>10.806474502509953</v>
      </c>
      <c r="W386">
        <v>1339.0385374937673</v>
      </c>
      <c r="X386">
        <v>7.6277580690789275</v>
      </c>
      <c r="Y386">
        <v>2965.2101168573427</v>
      </c>
      <c r="Z386">
        <v>10.869549670620231</v>
      </c>
      <c r="AA386">
        <v>2769.9498662953019</v>
      </c>
      <c r="AB386">
        <v>7.6629720543439444</v>
      </c>
      <c r="AC386">
        <v>2314.3767013805082</v>
      </c>
      <c r="AD386">
        <v>10.839005522049431</v>
      </c>
      <c r="AE386">
        <v>2071.6139011361429</v>
      </c>
      <c r="AF386">
        <v>7.6459349939486998</v>
      </c>
      <c r="AG386">
        <v>2192.0753964285977</v>
      </c>
      <c r="AH386">
        <v>10.830216339457069</v>
      </c>
      <c r="AI386">
        <v>1938.908381997293</v>
      </c>
      <c r="AJ386">
        <v>7.6410272173316605</v>
      </c>
    </row>
    <row r="387" spans="4:36" x14ac:dyDescent="0.55000000000000004">
      <c r="D387">
        <v>380</v>
      </c>
      <c r="E387">
        <v>12.705283437030676</v>
      </c>
      <c r="F387">
        <v>0.4341752874581441</v>
      </c>
      <c r="G387">
        <v>0.15711567133155821</v>
      </c>
      <c r="H387">
        <v>16.703425604179639</v>
      </c>
      <c r="I387">
        <v>12.920111687856211</v>
      </c>
      <c r="J387">
        <v>0.28277804394581935</v>
      </c>
      <c r="K387">
        <v>0.10201712804602314</v>
      </c>
      <c r="L387">
        <v>16.695093140151954</v>
      </c>
      <c r="M387">
        <v>12.836545920630176</v>
      </c>
      <c r="N387">
        <v>0.34170368134939211</v>
      </c>
      <c r="O387">
        <v>0.12342157160530712</v>
      </c>
      <c r="P387">
        <v>16.698328826415121</v>
      </c>
      <c r="Q387">
        <v>12.779901830082085</v>
      </c>
      <c r="R387">
        <v>0.38162132462029213</v>
      </c>
      <c r="S387">
        <v>0.13795074078063962</v>
      </c>
      <c r="T387">
        <v>16.700526104516996</v>
      </c>
      <c r="U387">
        <v>1544.9985668270128</v>
      </c>
      <c r="V387">
        <v>9.9931399388046458</v>
      </c>
      <c r="W387">
        <v>1287.9414568207853</v>
      </c>
      <c r="X387">
        <v>7.1583217939627879</v>
      </c>
      <c r="Y387">
        <v>2898.3362286140396</v>
      </c>
      <c r="Z387">
        <v>10.038449324541169</v>
      </c>
      <c r="AA387">
        <v>2730.3887561115735</v>
      </c>
      <c r="AB387">
        <v>7.184180355324961</v>
      </c>
      <c r="AC387">
        <v>2206.1861171390265</v>
      </c>
      <c r="AD387">
        <v>10.020827602405769</v>
      </c>
      <c r="AE387">
        <v>2006.4665918391406</v>
      </c>
      <c r="AF387">
        <v>7.1741330905615239</v>
      </c>
      <c r="AG387">
        <v>2163.5503690516935</v>
      </c>
      <c r="AH387">
        <v>10.008880670490381</v>
      </c>
      <c r="AI387">
        <v>1930.4271791866834</v>
      </c>
      <c r="AJ387">
        <v>7.1673144249177145</v>
      </c>
    </row>
    <row r="388" spans="4:36" x14ac:dyDescent="0.55000000000000004">
      <c r="D388">
        <v>381</v>
      </c>
      <c r="E388">
        <v>13.671750229433593</v>
      </c>
      <c r="F388">
        <v>0.44855338837730996</v>
      </c>
      <c r="G388">
        <v>0.18842430710977226</v>
      </c>
      <c r="H388">
        <v>15.691272075079329</v>
      </c>
      <c r="I388">
        <v>13.862576411833331</v>
      </c>
      <c r="J388">
        <v>0.32142557759478613</v>
      </c>
      <c r="K388">
        <v>0.1346650385349944</v>
      </c>
      <c r="L388">
        <v>15.681332972036897</v>
      </c>
      <c r="M388">
        <v>13.75450953582644</v>
      </c>
      <c r="N388">
        <v>0.39344814854386734</v>
      </c>
      <c r="O388">
        <v>0.16508613211482667</v>
      </c>
      <c r="P388">
        <v>15.686956183514862</v>
      </c>
      <c r="Q388">
        <v>13.729111364930338</v>
      </c>
      <c r="R388">
        <v>0.41036421193344108</v>
      </c>
      <c r="S388">
        <v>0.17224461201551353</v>
      </c>
      <c r="T388">
        <v>15.68827981112071</v>
      </c>
      <c r="U388">
        <v>1608.4835674597639</v>
      </c>
      <c r="V388">
        <v>10.826899302736342</v>
      </c>
      <c r="W388">
        <v>1323.5689203457887</v>
      </c>
      <c r="X388">
        <v>7.6440270362775697</v>
      </c>
      <c r="Y388">
        <v>2959.9002287430112</v>
      </c>
      <c r="Z388">
        <v>10.866765039906735</v>
      </c>
      <c r="AA388">
        <v>2765.5748272103992</v>
      </c>
      <c r="AB388">
        <v>7.666343703366393</v>
      </c>
      <c r="AC388">
        <v>2279.6586747551287</v>
      </c>
      <c r="AD388">
        <v>10.844191975057694</v>
      </c>
      <c r="AE388">
        <v>2048.1337714284268</v>
      </c>
      <c r="AF388">
        <v>7.6537140380133337</v>
      </c>
      <c r="AG388">
        <v>2209.6652047724774</v>
      </c>
      <c r="AH388">
        <v>10.838885535600816</v>
      </c>
      <c r="AI388">
        <v>1953.3566079644374</v>
      </c>
      <c r="AJ388">
        <v>7.6507425666287094</v>
      </c>
    </row>
    <row r="389" spans="4:36" x14ac:dyDescent="0.55000000000000004">
      <c r="D389">
        <v>382</v>
      </c>
      <c r="E389">
        <v>12.837714151286068</v>
      </c>
      <c r="F389">
        <v>0.43474069496039369</v>
      </c>
      <c r="G389">
        <v>0.16400643514540669</v>
      </c>
      <c r="H389">
        <v>16.563538718608111</v>
      </c>
      <c r="I389">
        <v>13.076321837101283</v>
      </c>
      <c r="J389">
        <v>0.2757732859046213</v>
      </c>
      <c r="K389">
        <v>0.10368182453338337</v>
      </c>
      <c r="L389">
        <v>16.544223052460726</v>
      </c>
      <c r="M389">
        <v>12.971308845370277</v>
      </c>
      <c r="N389">
        <v>0.34578280155604546</v>
      </c>
      <c r="O389">
        <v>0.13019744952170559</v>
      </c>
      <c r="P389">
        <v>16.552710903551962</v>
      </c>
      <c r="Q389">
        <v>12.928246709577589</v>
      </c>
      <c r="R389">
        <v>0.37447004135608891</v>
      </c>
      <c r="S389">
        <v>0.14108583521124279</v>
      </c>
      <c r="T389">
        <v>16.556197413855077</v>
      </c>
      <c r="U389">
        <v>1551.1594927560245</v>
      </c>
      <c r="V389">
        <v>10.199676457944067</v>
      </c>
      <c r="W389">
        <v>1292.9580551346662</v>
      </c>
      <c r="X389">
        <v>7.2922874080210676</v>
      </c>
      <c r="Y389">
        <v>2888.4255032266669</v>
      </c>
      <c r="Z389">
        <v>10.255764827680826</v>
      </c>
      <c r="AA389">
        <v>2724.1516085372186</v>
      </c>
      <c r="AB389">
        <v>7.3238229041691332</v>
      </c>
      <c r="AC389">
        <v>2214.8284737610761</v>
      </c>
      <c r="AD389">
        <v>10.231088205291019</v>
      </c>
      <c r="AE389">
        <v>2012.8447074768956</v>
      </c>
      <c r="AF389">
        <v>7.3099611083772364</v>
      </c>
      <c r="AG389">
        <v>2128.6253130045575</v>
      </c>
      <c r="AH389">
        <v>10.220965439104223</v>
      </c>
      <c r="AI389">
        <v>1906.323752262929</v>
      </c>
      <c r="AJ389">
        <v>7.3042690840004028</v>
      </c>
    </row>
    <row r="390" spans="4:36" x14ac:dyDescent="0.55000000000000004">
      <c r="D390">
        <v>383</v>
      </c>
      <c r="E390">
        <v>12.523453713220592</v>
      </c>
      <c r="F390">
        <v>0.43644026424461851</v>
      </c>
      <c r="G390">
        <v>0.13995829758713255</v>
      </c>
      <c r="H390">
        <v>16.900147724947665</v>
      </c>
      <c r="I390">
        <v>12.726290175330513</v>
      </c>
      <c r="J390">
        <v>0.29422102813671946</v>
      </c>
      <c r="K390">
        <v>9.40749724888406E-2</v>
      </c>
      <c r="L390">
        <v>16.885413824043916</v>
      </c>
      <c r="M390">
        <v>12.643212795896128</v>
      </c>
      <c r="N390">
        <v>0.35250216438197712</v>
      </c>
      <c r="O390">
        <v>0.11284484611812752</v>
      </c>
      <c r="P390">
        <v>16.891440193603767</v>
      </c>
      <c r="Q390">
        <v>12.621911151012354</v>
      </c>
      <c r="R390">
        <v>0.36743891356356079</v>
      </c>
      <c r="S390">
        <v>0.11766268559952121</v>
      </c>
      <c r="T390">
        <v>16.892987249824579</v>
      </c>
      <c r="U390">
        <v>1507.4255091272385</v>
      </c>
      <c r="V390">
        <v>9.8944738061062427</v>
      </c>
      <c r="W390">
        <v>1267.1328611479598</v>
      </c>
      <c r="X390">
        <v>7.1082843112725067</v>
      </c>
      <c r="Y390">
        <v>2873.4742765914316</v>
      </c>
      <c r="Z390">
        <v>9.9393971973347472</v>
      </c>
      <c r="AA390">
        <v>2715.8815595351439</v>
      </c>
      <c r="AB390">
        <v>7.1337229524420396</v>
      </c>
      <c r="AC390">
        <v>2221.3441678734803</v>
      </c>
      <c r="AD390">
        <v>9.9210027284949582</v>
      </c>
      <c r="AE390">
        <v>2021.7538018307955</v>
      </c>
      <c r="AF390">
        <v>7.1233156734160916</v>
      </c>
      <c r="AG390">
        <v>2076.2368428762147</v>
      </c>
      <c r="AH390">
        <v>9.9162851016489917</v>
      </c>
      <c r="AI390">
        <v>1874.0312808162466</v>
      </c>
      <c r="AJ390">
        <v>7.1206445389939006</v>
      </c>
    </row>
    <row r="391" spans="4:36" x14ac:dyDescent="0.55000000000000004">
      <c r="D391">
        <v>384</v>
      </c>
      <c r="E391">
        <v>12.831530119309408</v>
      </c>
      <c r="F391">
        <v>0.42732596011540308</v>
      </c>
      <c r="G391">
        <v>0.16104006803949114</v>
      </c>
      <c r="H391">
        <v>16.580103852535697</v>
      </c>
      <c r="I391">
        <v>13.029619126273284</v>
      </c>
      <c r="J391">
        <v>0.29020196149688487</v>
      </c>
      <c r="K391">
        <v>0.10905085118790271</v>
      </c>
      <c r="L391">
        <v>16.571128061041922</v>
      </c>
      <c r="M391">
        <v>12.931955737716697</v>
      </c>
      <c r="N391">
        <v>0.3578389022147323</v>
      </c>
      <c r="O391">
        <v>0.13465688719832283</v>
      </c>
      <c r="P391">
        <v>16.575548472870242</v>
      </c>
      <c r="Q391">
        <v>12.921808282348531</v>
      </c>
      <c r="R391">
        <v>0.3648630927044888</v>
      </c>
      <c r="S391">
        <v>0.13732031581388487</v>
      </c>
      <c r="T391">
        <v>16.576008309133094</v>
      </c>
      <c r="U391">
        <v>1549.8922142119206</v>
      </c>
      <c r="V391">
        <v>10.115256806226993</v>
      </c>
      <c r="W391">
        <v>1292.52721400671</v>
      </c>
      <c r="X391">
        <v>7.232440850861714</v>
      </c>
      <c r="Y391">
        <v>2917.3151238584815</v>
      </c>
      <c r="Z391">
        <v>10.157979996301345</v>
      </c>
      <c r="AA391">
        <v>2743.8148641696102</v>
      </c>
      <c r="AB391">
        <v>7.2567975449585029</v>
      </c>
      <c r="AC391">
        <v>2248.4193547379004</v>
      </c>
      <c r="AD391">
        <v>10.136918874654945</v>
      </c>
      <c r="AE391">
        <v>2036.0842528430426</v>
      </c>
      <c r="AF391">
        <v>7.2447992490881248</v>
      </c>
      <c r="AG391">
        <v>2112.9437512637428</v>
      </c>
      <c r="AH391">
        <v>10.134730285718371</v>
      </c>
      <c r="AI391">
        <v>1895.7291237455916</v>
      </c>
      <c r="AJ391">
        <v>7.2435514613674652</v>
      </c>
    </row>
    <row r="392" spans="4:36" x14ac:dyDescent="0.55000000000000004">
      <c r="D392">
        <v>385</v>
      </c>
      <c r="E392">
        <v>14.241067017954418</v>
      </c>
      <c r="F392">
        <v>0.4729130239431425</v>
      </c>
      <c r="G392">
        <v>0.1755852581134984</v>
      </c>
      <c r="H392">
        <v>15.110434699988954</v>
      </c>
      <c r="I392">
        <v>14.511857799602586</v>
      </c>
      <c r="J392">
        <v>0.30582482854381748</v>
      </c>
      <c r="K392">
        <v>0.11313620368459237</v>
      </c>
      <c r="L392">
        <v>15.069181168168987</v>
      </c>
      <c r="M392">
        <v>14.402750624587204</v>
      </c>
      <c r="N392">
        <v>0.37320813282968224</v>
      </c>
      <c r="O392">
        <v>0.13826512728375667</v>
      </c>
      <c r="P392">
        <v>15.085776115299375</v>
      </c>
      <c r="Q392">
        <v>14.347905161004192</v>
      </c>
      <c r="R392">
        <v>0.4070495483649994</v>
      </c>
      <c r="S392">
        <v>0.15091362090610574</v>
      </c>
      <c r="T392">
        <v>15.094131669724685</v>
      </c>
      <c r="U392">
        <v>1642.3866509102165</v>
      </c>
      <c r="V392">
        <v>11.244232972724149</v>
      </c>
      <c r="W392">
        <v>1344.6900580630256</v>
      </c>
      <c r="X392">
        <v>7.8803148768120233</v>
      </c>
      <c r="Y392">
        <v>2953.0197250769315</v>
      </c>
      <c r="Z392">
        <v>11.319689431491078</v>
      </c>
      <c r="AA392">
        <v>2761.1559114798365</v>
      </c>
      <c r="AB392">
        <v>7.9215185258414085</v>
      </c>
      <c r="AC392">
        <v>2297.4188179986327</v>
      </c>
      <c r="AD392">
        <v>11.289302166041727</v>
      </c>
      <c r="AE392">
        <v>2061.3449166571054</v>
      </c>
      <c r="AF392">
        <v>7.9049398859811841</v>
      </c>
      <c r="AG392">
        <v>2201.2929497033983</v>
      </c>
      <c r="AH392">
        <v>11.274019272744962</v>
      </c>
      <c r="AI392">
        <v>1946.6900026497869</v>
      </c>
      <c r="AJ392">
        <v>7.8965944622416773</v>
      </c>
    </row>
    <row r="393" spans="4:36" x14ac:dyDescent="0.55000000000000004">
      <c r="D393">
        <v>386</v>
      </c>
      <c r="E393">
        <v>11.37566175026922</v>
      </c>
      <c r="F393">
        <v>0.41523469443369077</v>
      </c>
      <c r="G393">
        <v>0.17372177318310073</v>
      </c>
      <c r="H393">
        <v>18.035381782113983</v>
      </c>
      <c r="I393">
        <v>11.54625989086297</v>
      </c>
      <c r="J393">
        <v>0.27767826566760617</v>
      </c>
      <c r="K393">
        <v>0.11585037333745243</v>
      </c>
      <c r="L393">
        <v>18.060211470131986</v>
      </c>
      <c r="M393">
        <v>11.470238654235763</v>
      </c>
      <c r="N393">
        <v>0.33899254780399463</v>
      </c>
      <c r="O393">
        <v>0.14160575815168749</v>
      </c>
      <c r="P393">
        <v>18.049163039808569</v>
      </c>
      <c r="Q393">
        <v>11.435659862323019</v>
      </c>
      <c r="R393">
        <v>0.36687278014312585</v>
      </c>
      <c r="S393">
        <v>0.15333830072719495</v>
      </c>
      <c r="T393">
        <v>18.04412905680665</v>
      </c>
      <c r="U393">
        <v>1470.8506019176382</v>
      </c>
      <c r="V393">
        <v>8.998776128520479</v>
      </c>
      <c r="W393">
        <v>1245.0023639652029</v>
      </c>
      <c r="X393">
        <v>6.5777615024868874</v>
      </c>
      <c r="Y393">
        <v>2867.4772602978946</v>
      </c>
      <c r="Z393">
        <v>9.0163888007242008</v>
      </c>
      <c r="AA393">
        <v>2714.7467755874127</v>
      </c>
      <c r="AB393">
        <v>6.5894423590269362</v>
      </c>
      <c r="AC393">
        <v>2171.2832100620071</v>
      </c>
      <c r="AD393">
        <v>9.008530845157205</v>
      </c>
      <c r="AE393">
        <v>1988.8294470079866</v>
      </c>
      <c r="AF393">
        <v>6.5842384580393389</v>
      </c>
      <c r="AG393">
        <v>2065.8209323105821</v>
      </c>
      <c r="AH393">
        <v>9.0049616230538643</v>
      </c>
      <c r="AI393">
        <v>1869.0151147486295</v>
      </c>
      <c r="AJ393">
        <v>6.5818707522487543</v>
      </c>
    </row>
    <row r="394" spans="4:36" x14ac:dyDescent="0.55000000000000004">
      <c r="D394">
        <v>387</v>
      </c>
      <c r="E394">
        <v>13.038063289352099</v>
      </c>
      <c r="F394">
        <v>0.44434458874472144</v>
      </c>
      <c r="G394">
        <v>0.15937284851213701</v>
      </c>
      <c r="H394">
        <v>16.358219273391043</v>
      </c>
      <c r="I394">
        <v>13.249778529575821</v>
      </c>
      <c r="J394">
        <v>0.29767128266978166</v>
      </c>
      <c r="K394">
        <v>0.1064538820348014</v>
      </c>
      <c r="L394">
        <v>16.346096305719591</v>
      </c>
      <c r="M394">
        <v>13.152271098086347</v>
      </c>
      <c r="N394">
        <v>0.36525784267985822</v>
      </c>
      <c r="O394">
        <v>0.13079973274731177</v>
      </c>
      <c r="P394">
        <v>16.351671326486475</v>
      </c>
      <c r="Q394">
        <v>13.122359873476409</v>
      </c>
      <c r="R394">
        <v>0.38597871380516602</v>
      </c>
      <c r="S394">
        <v>0.13827706172559734</v>
      </c>
      <c r="T394">
        <v>16.353384350992844</v>
      </c>
      <c r="U394">
        <v>1546.3128136391163</v>
      </c>
      <c r="V394">
        <v>10.332627649784014</v>
      </c>
      <c r="W394">
        <v>1288.0551083501171</v>
      </c>
      <c r="X394">
        <v>7.3652181393877454</v>
      </c>
      <c r="Y394">
        <v>2885.5390661179217</v>
      </c>
      <c r="Z394">
        <v>10.381183905748609</v>
      </c>
      <c r="AA394">
        <v>2720.0934093536166</v>
      </c>
      <c r="AB394">
        <v>7.3926755796176744</v>
      </c>
      <c r="AC394">
        <v>2224.1833063797581</v>
      </c>
      <c r="AD394">
        <v>10.35882532898483</v>
      </c>
      <c r="AE394">
        <v>2017.6339737684202</v>
      </c>
      <c r="AF394">
        <v>7.3800422294022807</v>
      </c>
      <c r="AG394">
        <v>2126.3718291294831</v>
      </c>
      <c r="AH394">
        <v>10.351965125958667</v>
      </c>
      <c r="AI394">
        <v>1903.2806270414048</v>
      </c>
      <c r="AJ394">
        <v>7.3761626047848425</v>
      </c>
    </row>
    <row r="395" spans="4:36" x14ac:dyDescent="0.55000000000000004">
      <c r="D395">
        <v>388</v>
      </c>
      <c r="E395">
        <v>12.52035568110149</v>
      </c>
      <c r="F395">
        <v>0.47821761222149856</v>
      </c>
      <c r="G395">
        <v>0.14274706186428135</v>
      </c>
      <c r="H395">
        <v>16.858679644812721</v>
      </c>
      <c r="I395">
        <v>12.757619498316354</v>
      </c>
      <c r="J395">
        <v>0.30309004149531527</v>
      </c>
      <c r="K395">
        <v>9.0156399276936416E-2</v>
      </c>
      <c r="L395">
        <v>16.849134060911396</v>
      </c>
      <c r="M395">
        <v>12.686536351758493</v>
      </c>
      <c r="N395">
        <v>0.35559105774558047</v>
      </c>
      <c r="O395">
        <v>0.10588334391311771</v>
      </c>
      <c r="P395">
        <v>16.851989246582797</v>
      </c>
      <c r="Q395">
        <v>12.630525943995533</v>
      </c>
      <c r="R395">
        <v>0.39693939140880447</v>
      </c>
      <c r="S395">
        <v>0.11829287872215176</v>
      </c>
      <c r="T395">
        <v>16.854241785873501</v>
      </c>
      <c r="U395">
        <v>1604.6934005194796</v>
      </c>
      <c r="V395">
        <v>9.9072097805353412</v>
      </c>
      <c r="W395">
        <v>1331.3435638893709</v>
      </c>
      <c r="X395">
        <v>7.1138412134053954</v>
      </c>
      <c r="Y395">
        <v>2889.0254452373915</v>
      </c>
      <c r="Z395">
        <v>9.9572032162184492</v>
      </c>
      <c r="AA395">
        <v>2724.381887854569</v>
      </c>
      <c r="AB395">
        <v>7.1425097142586127</v>
      </c>
      <c r="AC395">
        <v>2198.0240766445922</v>
      </c>
      <c r="AD395">
        <v>9.9422280955233315</v>
      </c>
      <c r="AE395">
        <v>2002.1991626150159</v>
      </c>
      <c r="AF395">
        <v>7.1339331197204237</v>
      </c>
      <c r="AG395">
        <v>2111.9754497629146</v>
      </c>
      <c r="AH395">
        <v>9.9304267456529018</v>
      </c>
      <c r="AI395">
        <v>1895.0838343857274</v>
      </c>
      <c r="AJ395">
        <v>7.1271677302830119</v>
      </c>
    </row>
    <row r="396" spans="4:36" x14ac:dyDescent="0.55000000000000004">
      <c r="D396">
        <v>389</v>
      </c>
      <c r="E396">
        <v>12.782606650042078</v>
      </c>
      <c r="F396">
        <v>0.43560972845324775</v>
      </c>
      <c r="G396">
        <v>0.17326598554294437</v>
      </c>
      <c r="H396">
        <v>16.608517635961721</v>
      </c>
      <c r="I396">
        <v>12.999044592434451</v>
      </c>
      <c r="J396">
        <v>0.2887050612770013</v>
      </c>
      <c r="K396">
        <v>0.11447495234151385</v>
      </c>
      <c r="L396">
        <v>16.597775393947021</v>
      </c>
      <c r="M396">
        <v>12.924984069804214</v>
      </c>
      <c r="N396">
        <v>0.33900712924923443</v>
      </c>
      <c r="O396">
        <v>0.13456373330377502</v>
      </c>
      <c r="P396">
        <v>16.601445067642793</v>
      </c>
      <c r="Q396">
        <v>12.893843607951618</v>
      </c>
      <c r="R396">
        <v>0.36014716115921286</v>
      </c>
      <c r="S396">
        <v>0.14301927784246596</v>
      </c>
      <c r="T396">
        <v>16.602989953046716</v>
      </c>
      <c r="U396">
        <v>1539.5383170538887</v>
      </c>
      <c r="V396">
        <v>9.9982996399030437</v>
      </c>
      <c r="W396">
        <v>1281.5265263834742</v>
      </c>
      <c r="X396">
        <v>7.1531913846351554</v>
      </c>
      <c r="Y396">
        <v>2916.110795900936</v>
      </c>
      <c r="Z396">
        <v>10.046940579896331</v>
      </c>
      <c r="AA396">
        <v>2741.1092968783573</v>
      </c>
      <c r="AB396">
        <v>7.1809380748366394</v>
      </c>
      <c r="AC396">
        <v>2248.4134718100086</v>
      </c>
      <c r="AD396">
        <v>10.030299633178359</v>
      </c>
      <c r="AE396">
        <v>2035.1694040938917</v>
      </c>
      <c r="AF396">
        <v>7.1714552551632895</v>
      </c>
      <c r="AG396">
        <v>2143.0597474284177</v>
      </c>
      <c r="AH396">
        <v>10.023301645248244</v>
      </c>
      <c r="AI396">
        <v>1915.2915872745295</v>
      </c>
      <c r="AJ396">
        <v>7.1674644244020485</v>
      </c>
    </row>
    <row r="397" spans="4:36" x14ac:dyDescent="0.55000000000000004">
      <c r="D397">
        <v>390</v>
      </c>
      <c r="E397">
        <v>12.748292950462265</v>
      </c>
      <c r="F397">
        <v>0.48130179977172649</v>
      </c>
      <c r="G397">
        <v>0.16887214546312879</v>
      </c>
      <c r="H397">
        <v>16.601533104302874</v>
      </c>
      <c r="I397">
        <v>12.972754570743048</v>
      </c>
      <c r="J397">
        <v>0.30831729966020355</v>
      </c>
      <c r="K397">
        <v>0.10784066762740609</v>
      </c>
      <c r="L397">
        <v>16.611087461969351</v>
      </c>
      <c r="M397">
        <v>12.869307441091371</v>
      </c>
      <c r="N397">
        <v>0.38807202046703942</v>
      </c>
      <c r="O397">
        <v>0.1359312902889592</v>
      </c>
      <c r="P397">
        <v>16.60668924815263</v>
      </c>
      <c r="Q397">
        <v>12.821343603967184</v>
      </c>
      <c r="R397">
        <v>0.42503237798265903</v>
      </c>
      <c r="S397">
        <v>0.14897696697409332</v>
      </c>
      <c r="T397">
        <v>16.604647051076068</v>
      </c>
      <c r="U397">
        <v>1549.5488826075175</v>
      </c>
      <c r="V397">
        <v>10.087949365262556</v>
      </c>
      <c r="W397">
        <v>1288.5670432933516</v>
      </c>
      <c r="X397">
        <v>7.2146385889839282</v>
      </c>
      <c r="Y397">
        <v>2886.4897645558112</v>
      </c>
      <c r="Z397">
        <v>10.123990470534858</v>
      </c>
      <c r="AA397">
        <v>2720.5492220999258</v>
      </c>
      <c r="AB397">
        <v>7.2357934006946003</v>
      </c>
      <c r="AC397">
        <v>2243.8463084963942</v>
      </c>
      <c r="AD397">
        <v>10.10737742724206</v>
      </c>
      <c r="AE397">
        <v>2030.7879323570201</v>
      </c>
      <c r="AF397">
        <v>7.2260519651130082</v>
      </c>
      <c r="AG397">
        <v>2123.7464856308929</v>
      </c>
      <c r="AH397">
        <v>10.099676351740269</v>
      </c>
      <c r="AI397">
        <v>1899.2899233537721</v>
      </c>
      <c r="AJ397">
        <v>7.2215305910257923</v>
      </c>
    </row>
    <row r="398" spans="4:36" x14ac:dyDescent="0.55000000000000004">
      <c r="D398">
        <v>391</v>
      </c>
      <c r="E398">
        <v>13.19876540470676</v>
      </c>
      <c r="F398">
        <v>0.4954991830083158</v>
      </c>
      <c r="G398">
        <v>0.17450293904131856</v>
      </c>
      <c r="H398">
        <v>16.131232473243621</v>
      </c>
      <c r="I398">
        <v>13.438697078529584</v>
      </c>
      <c r="J398">
        <v>0.31715552679526943</v>
      </c>
      <c r="K398">
        <v>0.11132907805647806</v>
      </c>
      <c r="L398">
        <v>16.132818316618678</v>
      </c>
      <c r="M398">
        <v>13.331540158353722</v>
      </c>
      <c r="N398">
        <v>0.39684492947407513</v>
      </c>
      <c r="O398">
        <v>0.13950515109914366</v>
      </c>
      <c r="P398">
        <v>16.13210976107306</v>
      </c>
      <c r="Q398">
        <v>13.293582797575933</v>
      </c>
      <c r="R398">
        <v>0.42505780249534481</v>
      </c>
      <c r="S398">
        <v>0.14950051180383811</v>
      </c>
      <c r="T398">
        <v>16.131858888124867</v>
      </c>
      <c r="U398">
        <v>1604.1284578459902</v>
      </c>
      <c r="V398">
        <v>10.484723524415804</v>
      </c>
      <c r="W398">
        <v>1321.1738718874778</v>
      </c>
      <c r="X398">
        <v>7.4491575007377282</v>
      </c>
      <c r="Y398">
        <v>2934.8449691617093</v>
      </c>
      <c r="Z398">
        <v>10.530009907060119</v>
      </c>
      <c r="AA398">
        <v>2750.9589008170146</v>
      </c>
      <c r="AB398">
        <v>7.4751582277015274</v>
      </c>
      <c r="AC398">
        <v>2263.755477635129</v>
      </c>
      <c r="AD398">
        <v>10.509784506637978</v>
      </c>
      <c r="AE398">
        <v>2039.9743725533267</v>
      </c>
      <c r="AF398">
        <v>7.4635573048530448</v>
      </c>
      <c r="AG398">
        <v>2146.3453784835874</v>
      </c>
      <c r="AH398">
        <v>10.502620164615497</v>
      </c>
      <c r="AI398">
        <v>1910.8145451624</v>
      </c>
      <c r="AJ398">
        <v>7.4594436157292385</v>
      </c>
    </row>
    <row r="399" spans="4:36" x14ac:dyDescent="0.55000000000000004">
      <c r="D399">
        <v>392</v>
      </c>
      <c r="E399">
        <v>13.260348362898609</v>
      </c>
      <c r="F399">
        <v>0.45692740715125346</v>
      </c>
      <c r="G399">
        <v>0.16399903495620582</v>
      </c>
      <c r="H399">
        <v>16.118725194993939</v>
      </c>
      <c r="I399">
        <v>13.470025836257912</v>
      </c>
      <c r="J399">
        <v>0.30657665412188995</v>
      </c>
      <c r="K399">
        <v>0.10972449313918123</v>
      </c>
      <c r="L399">
        <v>16.113673016481012</v>
      </c>
      <c r="M399">
        <v>13.366998264337056</v>
      </c>
      <c r="N399">
        <v>0.38048532067704838</v>
      </c>
      <c r="O399">
        <v>0.13636551608550962</v>
      </c>
      <c r="P399">
        <v>16.116150898900372</v>
      </c>
      <c r="Q399">
        <v>13.315498417473417</v>
      </c>
      <c r="R399">
        <v>0.41740652355925151</v>
      </c>
      <c r="S399">
        <v>0.14970225403248652</v>
      </c>
      <c r="T399">
        <v>16.117392804934852</v>
      </c>
      <c r="U399">
        <v>1576.6765279981007</v>
      </c>
      <c r="V399">
        <v>10.470062686757965</v>
      </c>
      <c r="W399">
        <v>1304.7695962166806</v>
      </c>
      <c r="X399">
        <v>7.4366318296921454</v>
      </c>
      <c r="Y399">
        <v>2928.6647793324009</v>
      </c>
      <c r="Z399">
        <v>10.513262012507624</v>
      </c>
      <c r="AA399">
        <v>2747.5659636237078</v>
      </c>
      <c r="AB399">
        <v>7.4612512499284689</v>
      </c>
      <c r="AC399">
        <v>2250.313389145379</v>
      </c>
      <c r="AD399">
        <v>10.492037149643902</v>
      </c>
      <c r="AE399">
        <v>2031.8934068490832</v>
      </c>
      <c r="AF399">
        <v>7.4491642066274935</v>
      </c>
      <c r="AG399">
        <v>2152.200922336147</v>
      </c>
      <c r="AH399">
        <v>10.481426397582444</v>
      </c>
      <c r="AI399">
        <v>1915.8869829261855</v>
      </c>
      <c r="AJ399">
        <v>7.4431150899075629</v>
      </c>
    </row>
    <row r="400" spans="4:36" x14ac:dyDescent="0.55000000000000004">
      <c r="D400">
        <v>393</v>
      </c>
      <c r="E400">
        <v>12.558680120339547</v>
      </c>
      <c r="F400">
        <v>0.4316837703009444</v>
      </c>
      <c r="G400">
        <v>0.16557221679158857</v>
      </c>
      <c r="H400">
        <v>16.84406389256792</v>
      </c>
      <c r="I400">
        <v>12.783505105531573</v>
      </c>
      <c r="J400">
        <v>0.27823419148202411</v>
      </c>
      <c r="K400">
        <v>0.10636841474753685</v>
      </c>
      <c r="L400">
        <v>16.831892288238855</v>
      </c>
      <c r="M400">
        <v>12.67984718108826</v>
      </c>
      <c r="N400">
        <v>0.34902479492689797</v>
      </c>
      <c r="O400">
        <v>0.13363197922413858</v>
      </c>
      <c r="P400">
        <v>16.837496044760705</v>
      </c>
      <c r="Q400">
        <v>12.656952433463811</v>
      </c>
      <c r="R400">
        <v>0.36465075469756303</v>
      </c>
      <c r="S400">
        <v>0.13966121575861318</v>
      </c>
      <c r="T400">
        <v>16.838735596080006</v>
      </c>
      <c r="U400">
        <v>1533.3792307113852</v>
      </c>
      <c r="V400">
        <v>9.927823768687972</v>
      </c>
      <c r="W400">
        <v>1280.6529111198163</v>
      </c>
      <c r="X400">
        <v>7.126445496192753</v>
      </c>
      <c r="Y400">
        <v>2910.0291773049366</v>
      </c>
      <c r="Z400">
        <v>9.9757695912414075</v>
      </c>
      <c r="AA400">
        <v>2739.7209390558446</v>
      </c>
      <c r="AB400">
        <v>7.1537467581852328</v>
      </c>
      <c r="AC400">
        <v>2250.535383261014</v>
      </c>
      <c r="AD400">
        <v>9.9536683832294361</v>
      </c>
      <c r="AE400">
        <v>2038.5622074161208</v>
      </c>
      <c r="AF400">
        <v>7.1411730452865099</v>
      </c>
      <c r="AG400">
        <v>2107.4789930392658</v>
      </c>
      <c r="AH400">
        <v>9.9487858431016818</v>
      </c>
      <c r="AI400">
        <v>1892.0876000440633</v>
      </c>
      <c r="AJ400">
        <v>7.1383927369858107</v>
      </c>
    </row>
    <row r="401" spans="4:36" x14ac:dyDescent="0.55000000000000004">
      <c r="D401">
        <v>394</v>
      </c>
      <c r="E401">
        <v>12.457702553345404</v>
      </c>
      <c r="F401">
        <v>0.47623980471631211</v>
      </c>
      <c r="G401">
        <v>0.16414951770983766</v>
      </c>
      <c r="H401">
        <v>16.901908124228459</v>
      </c>
      <c r="I401">
        <v>12.652980974712879</v>
      </c>
      <c r="J401">
        <v>0.3238081610960008</v>
      </c>
      <c r="K401">
        <v>0.11131198305074273</v>
      </c>
      <c r="L401">
        <v>16.911898881140374</v>
      </c>
      <c r="M401">
        <v>12.556350895162423</v>
      </c>
      <c r="N401">
        <v>0.39925995792510593</v>
      </c>
      <c r="O401">
        <v>0.13743012877532898</v>
      </c>
      <c r="P401">
        <v>16.90695901813714</v>
      </c>
      <c r="Q401">
        <v>12.543374278153777</v>
      </c>
      <c r="R401">
        <v>0.40938898408220104</v>
      </c>
      <c r="S401">
        <v>0.14094168063548479</v>
      </c>
      <c r="T401">
        <v>16.906295057128538</v>
      </c>
      <c r="U401">
        <v>1535.8524650602058</v>
      </c>
      <c r="V401">
        <v>9.858802629225492</v>
      </c>
      <c r="W401">
        <v>1282.7768895292243</v>
      </c>
      <c r="X401">
        <v>7.0820421691736861</v>
      </c>
      <c r="Y401">
        <v>2887.6528029687156</v>
      </c>
      <c r="Z401">
        <v>9.888598189440021</v>
      </c>
      <c r="AA401">
        <v>2722.6203658868085</v>
      </c>
      <c r="AB401">
        <v>7.0996510070441134</v>
      </c>
      <c r="AC401">
        <v>2228.6541795679677</v>
      </c>
      <c r="AD401">
        <v>9.8738521423068253</v>
      </c>
      <c r="AE401">
        <v>2022.0509989127609</v>
      </c>
      <c r="AF401">
        <v>7.0909437005485305</v>
      </c>
      <c r="AG401">
        <v>2110.2833480199965</v>
      </c>
      <c r="AH401">
        <v>9.8718722040607236</v>
      </c>
      <c r="AI401">
        <v>1893.9117040506464</v>
      </c>
      <c r="AJ401">
        <v>7.0897734728712054</v>
      </c>
    </row>
    <row r="402" spans="4:36" x14ac:dyDescent="0.55000000000000004">
      <c r="D402">
        <v>395</v>
      </c>
      <c r="E402">
        <v>13.035622308031002</v>
      </c>
      <c r="F402">
        <v>0.50428121016217664</v>
      </c>
      <c r="G402">
        <v>0.18098340019978074</v>
      </c>
      <c r="H402">
        <v>16.279113081607033</v>
      </c>
      <c r="I402">
        <v>13.254096099759616</v>
      </c>
      <c r="J402">
        <v>0.3336263903802657</v>
      </c>
      <c r="K402">
        <v>0.11938965071444406</v>
      </c>
      <c r="L402">
        <v>16.292887859145676</v>
      </c>
      <c r="M402">
        <v>13.183260817262425</v>
      </c>
      <c r="N402">
        <v>0.38898257604227016</v>
      </c>
      <c r="O402">
        <v>0.13932945839619323</v>
      </c>
      <c r="P402">
        <v>16.28842714829911</v>
      </c>
      <c r="Q402">
        <v>13.151770360556791</v>
      </c>
      <c r="R402">
        <v>0.41358394718132213</v>
      </c>
      <c r="S402">
        <v>0.14820326759009367</v>
      </c>
      <c r="T402">
        <v>16.286442424671797</v>
      </c>
      <c r="U402">
        <v>1613.4756526111603</v>
      </c>
      <c r="V402">
        <v>10.292679442214197</v>
      </c>
      <c r="W402">
        <v>1326.4049198995453</v>
      </c>
      <c r="X402">
        <v>7.3274280151087465</v>
      </c>
      <c r="Y402">
        <v>2963.0759579109144</v>
      </c>
      <c r="Z402">
        <v>10.326494029724266</v>
      </c>
      <c r="AA402">
        <v>2769.3570830881213</v>
      </c>
      <c r="AB402">
        <v>7.347339183253534</v>
      </c>
      <c r="AC402">
        <v>2219.7431441243912</v>
      </c>
      <c r="AD402">
        <v>10.315527066959952</v>
      </c>
      <c r="AE402">
        <v>2008.4989092755532</v>
      </c>
      <c r="AF402">
        <v>7.3408893546418117</v>
      </c>
      <c r="AG402">
        <v>2149.8991915371139</v>
      </c>
      <c r="AH402">
        <v>10.310652628926103</v>
      </c>
      <c r="AI402">
        <v>1913.6077356031769</v>
      </c>
      <c r="AJ402">
        <v>7.3380202098898604</v>
      </c>
    </row>
    <row r="403" spans="4:36" x14ac:dyDescent="0.55000000000000004">
      <c r="D403">
        <v>396</v>
      </c>
      <c r="E403">
        <v>12.691071882275777</v>
      </c>
      <c r="F403">
        <v>0.42397775594268378</v>
      </c>
      <c r="G403">
        <v>0.17451532654708862</v>
      </c>
      <c r="H403">
        <v>16.710435035234461</v>
      </c>
      <c r="I403">
        <v>12.88695613023042</v>
      </c>
      <c r="J403">
        <v>0.28675768679627339</v>
      </c>
      <c r="K403">
        <v>0.1176849784230949</v>
      </c>
      <c r="L403">
        <v>16.708601204550199</v>
      </c>
      <c r="M403">
        <v>12.786364712814448</v>
      </c>
      <c r="N403">
        <v>0.35725350820719343</v>
      </c>
      <c r="O403">
        <v>0.14683853683696338</v>
      </c>
      <c r="P403">
        <v>16.709543242141397</v>
      </c>
      <c r="Q403">
        <v>12.751716084259501</v>
      </c>
      <c r="R403">
        <v>0.38152114241981461</v>
      </c>
      <c r="S403">
        <v>0.15689520260975387</v>
      </c>
      <c r="T403">
        <v>16.709867570710927</v>
      </c>
      <c r="U403">
        <v>1512.3677758895569</v>
      </c>
      <c r="V403">
        <v>10.042702050947925</v>
      </c>
      <c r="W403">
        <v>1264.4832209684469</v>
      </c>
      <c r="X403">
        <v>7.193536234984756</v>
      </c>
      <c r="Y403">
        <v>2912.4845940619953</v>
      </c>
      <c r="Z403">
        <v>10.080403290015161</v>
      </c>
      <c r="AA403">
        <v>2739.7817719113054</v>
      </c>
      <c r="AB403">
        <v>7.215364900001326</v>
      </c>
      <c r="AC403">
        <v>2234.2853751064176</v>
      </c>
      <c r="AD403">
        <v>10.061042524905041</v>
      </c>
      <c r="AE403">
        <v>2024.9041200709462</v>
      </c>
      <c r="AF403">
        <v>7.2041636557386486</v>
      </c>
      <c r="AG403">
        <v>2128.3473077799831</v>
      </c>
      <c r="AH403">
        <v>10.054373844505967</v>
      </c>
      <c r="AI403">
        <v>1904.4498116636139</v>
      </c>
      <c r="AJ403">
        <v>7.2003013425449165</v>
      </c>
    </row>
    <row r="404" spans="4:36" x14ac:dyDescent="0.55000000000000004">
      <c r="D404">
        <v>397</v>
      </c>
      <c r="E404">
        <v>13.341993324532622</v>
      </c>
      <c r="F404">
        <v>0.45818877825885374</v>
      </c>
      <c r="G404">
        <v>0.1890008069134525</v>
      </c>
      <c r="H404">
        <v>16.010817090295063</v>
      </c>
      <c r="I404">
        <v>13.598084806055565</v>
      </c>
      <c r="J404">
        <v>0.28799627127789224</v>
      </c>
      <c r="K404">
        <v>0.11835841344165192</v>
      </c>
      <c r="L404">
        <v>15.995560509224894</v>
      </c>
      <c r="M404">
        <v>13.46177163929196</v>
      </c>
      <c r="N404">
        <v>0.37864026006549684</v>
      </c>
      <c r="O404">
        <v>0.15591617395354948</v>
      </c>
      <c r="P404">
        <v>16.003671926688984</v>
      </c>
      <c r="Q404">
        <v>13.487549088212738</v>
      </c>
      <c r="R404">
        <v>0.36150833521458475</v>
      </c>
      <c r="S404">
        <v>0.14880618915442173</v>
      </c>
      <c r="T404">
        <v>16.002136387418265</v>
      </c>
      <c r="U404">
        <v>1562.6692844176114</v>
      </c>
      <c r="V404">
        <v>10.596938729859055</v>
      </c>
      <c r="W404">
        <v>1294.3861969237053</v>
      </c>
      <c r="X404">
        <v>7.5160536328436205</v>
      </c>
      <c r="Y404">
        <v>2933.017527596603</v>
      </c>
      <c r="Z404">
        <v>10.652716035558649</v>
      </c>
      <c r="AA404">
        <v>2751.8044073982487</v>
      </c>
      <c r="AB404">
        <v>7.5473949477342428</v>
      </c>
      <c r="AC404">
        <v>2251.6247049468716</v>
      </c>
      <c r="AD404">
        <v>10.623033010176346</v>
      </c>
      <c r="AE404">
        <v>2032.713278471155</v>
      </c>
      <c r="AF404">
        <v>7.5307292282243363</v>
      </c>
      <c r="AG404">
        <v>2140.5824127814376</v>
      </c>
      <c r="AH404">
        <v>10.628647299802362</v>
      </c>
      <c r="AI404">
        <v>1911.4561345771622</v>
      </c>
      <c r="AJ404">
        <v>7.5338836945057377</v>
      </c>
    </row>
    <row r="405" spans="4:36" x14ac:dyDescent="0.55000000000000004">
      <c r="D405">
        <v>398</v>
      </c>
      <c r="E405">
        <v>14.327940042190637</v>
      </c>
      <c r="F405">
        <v>0.49544921011351029</v>
      </c>
      <c r="G405">
        <v>0.16981337307774905</v>
      </c>
      <c r="H405">
        <v>15.006797374618092</v>
      </c>
      <c r="I405">
        <v>14.61125633566366</v>
      </c>
      <c r="J405">
        <v>0.31193780973563678</v>
      </c>
      <c r="K405">
        <v>0.10651349985830942</v>
      </c>
      <c r="L405">
        <v>14.970292354742398</v>
      </c>
      <c r="M405">
        <v>14.472319771281651</v>
      </c>
      <c r="N405">
        <v>0.40199527486007836</v>
      </c>
      <c r="O405">
        <v>0.13751702181927106</v>
      </c>
      <c r="P405">
        <v>14.988167932038996</v>
      </c>
      <c r="Q405">
        <v>14.443913044095201</v>
      </c>
      <c r="R405">
        <v>0.42039301448242755</v>
      </c>
      <c r="S405">
        <v>0.14386500162732307</v>
      </c>
      <c r="T405">
        <v>14.991828939795061</v>
      </c>
      <c r="U405">
        <v>1651.0910670583335</v>
      </c>
      <c r="V405">
        <v>11.304427426131111</v>
      </c>
      <c r="W405">
        <v>1349.0997010324959</v>
      </c>
      <c r="X405">
        <v>7.9111424431726833</v>
      </c>
      <c r="Y405">
        <v>2944.5045274786075</v>
      </c>
      <c r="Z405">
        <v>11.378719099534727</v>
      </c>
      <c r="AA405">
        <v>2754.6650833255731</v>
      </c>
      <c r="AB405">
        <v>7.9518122573559493</v>
      </c>
      <c r="AC405">
        <v>2303.0494035612569</v>
      </c>
      <c r="AD405">
        <v>11.342302001450109</v>
      </c>
      <c r="AE405">
        <v>2063.2242889100335</v>
      </c>
      <c r="AF405">
        <v>7.9318920605022223</v>
      </c>
      <c r="AG405">
        <v>2195.9912680772636</v>
      </c>
      <c r="AH405">
        <v>11.334852665456552</v>
      </c>
      <c r="AI405">
        <v>1941.8965701829015</v>
      </c>
      <c r="AJ405">
        <v>7.9278135437786359</v>
      </c>
    </row>
    <row r="406" spans="4:36" x14ac:dyDescent="0.55000000000000004">
      <c r="D406">
        <v>399</v>
      </c>
      <c r="E406">
        <v>12.596937631814946</v>
      </c>
      <c r="F406">
        <v>0.44810158420854607</v>
      </c>
      <c r="G406">
        <v>0.16713925354224191</v>
      </c>
      <c r="H406">
        <v>16.787821530434265</v>
      </c>
      <c r="I406">
        <v>12.816180525370966</v>
      </c>
      <c r="J406">
        <v>0.29025916062847712</v>
      </c>
      <c r="K406">
        <v>0.10791843055557374</v>
      </c>
      <c r="L406">
        <v>16.785641883444985</v>
      </c>
      <c r="M406">
        <v>12.726014740165599</v>
      </c>
      <c r="N406">
        <v>0.35520811781720457</v>
      </c>
      <c r="O406">
        <v>0.13223997311214927</v>
      </c>
      <c r="P406">
        <v>16.786537168905046</v>
      </c>
      <c r="Q406">
        <v>12.676344701621886</v>
      </c>
      <c r="R406">
        <v>0.39096618793220522</v>
      </c>
      <c r="S406">
        <v>0.14565808751700698</v>
      </c>
      <c r="T406">
        <v>16.787031022928904</v>
      </c>
      <c r="U406">
        <v>1530.2840952757808</v>
      </c>
      <c r="V406">
        <v>9.97688600918924</v>
      </c>
      <c r="W406">
        <v>1275.1536735485913</v>
      </c>
      <c r="X406">
        <v>7.1562452492640842</v>
      </c>
      <c r="Y406">
        <v>2901.5433211042091</v>
      </c>
      <c r="Z406">
        <v>10.022085865005419</v>
      </c>
      <c r="AA406">
        <v>2731.4261508798331</v>
      </c>
      <c r="AB406">
        <v>7.1824545548616534</v>
      </c>
      <c r="AC406">
        <v>2226.4776360346009</v>
      </c>
      <c r="AD406">
        <v>10.003496826669735</v>
      </c>
      <c r="AE406">
        <v>2019.176990522614</v>
      </c>
      <c r="AF406">
        <v>7.1716866870256517</v>
      </c>
      <c r="AG406">
        <v>2131.7030369708359</v>
      </c>
      <c r="AH406">
        <v>9.9932566904888613</v>
      </c>
      <c r="AI406">
        <v>1905.8184880656711</v>
      </c>
      <c r="AJ406">
        <v>7.1657484225095391</v>
      </c>
    </row>
    <row r="407" spans="4:36" x14ac:dyDescent="0.55000000000000004">
      <c r="D407">
        <v>400</v>
      </c>
      <c r="E407">
        <v>13.789031502185235</v>
      </c>
      <c r="F407">
        <v>0.47909220545968378</v>
      </c>
      <c r="G407">
        <v>0.17189919334526732</v>
      </c>
      <c r="H407">
        <v>15.559977099009807</v>
      </c>
      <c r="I407">
        <v>14.0450604442205</v>
      </c>
      <c r="J407">
        <v>0.31127863201739436</v>
      </c>
      <c r="K407">
        <v>0.11130176729752222</v>
      </c>
      <c r="L407">
        <v>15.532359156464588</v>
      </c>
      <c r="M407">
        <v>13.949668705319214</v>
      </c>
      <c r="N407">
        <v>0.37385282961495381</v>
      </c>
      <c r="O407">
        <v>0.13384750757034522</v>
      </c>
      <c r="P407">
        <v>15.542630957495478</v>
      </c>
      <c r="Q407">
        <v>13.887193434057231</v>
      </c>
      <c r="R407">
        <v>0.41480276942734468</v>
      </c>
      <c r="S407">
        <v>0.14863385249263886</v>
      </c>
      <c r="T407">
        <v>15.549369944022784</v>
      </c>
      <c r="U407">
        <v>1620.9324128820526</v>
      </c>
      <c r="V407">
        <v>10.915956226682178</v>
      </c>
      <c r="W407">
        <v>1333.0027391753056</v>
      </c>
      <c r="X407">
        <v>7.6951476746188892</v>
      </c>
      <c r="Y407">
        <v>2924.0597721254376</v>
      </c>
      <c r="Z407">
        <v>10.979565976970786</v>
      </c>
      <c r="AA407">
        <v>2742.8422542119824</v>
      </c>
      <c r="AB407">
        <v>7.7303954390348117</v>
      </c>
      <c r="AC407">
        <v>2269.5149885967253</v>
      </c>
      <c r="AD407">
        <v>10.955875696452557</v>
      </c>
      <c r="AE407">
        <v>2044.6731359512514</v>
      </c>
      <c r="AF407">
        <v>7.717280652108812</v>
      </c>
      <c r="AG407">
        <v>2157.4859437867231</v>
      </c>
      <c r="AH407">
        <v>10.940354001080554</v>
      </c>
      <c r="AI407">
        <v>1918.4961974998514</v>
      </c>
      <c r="AJ407">
        <v>7.708679867332501</v>
      </c>
    </row>
    <row r="408" spans="4:36" x14ac:dyDescent="0.55000000000000004">
      <c r="D408">
        <v>401</v>
      </c>
      <c r="E408">
        <v>12.026381804735385</v>
      </c>
      <c r="F408">
        <v>0.4641008500932795</v>
      </c>
      <c r="G408">
        <v>0.16532491978433833</v>
      </c>
      <c r="H408">
        <v>17.344192425387011</v>
      </c>
      <c r="I408">
        <v>12.235432713972893</v>
      </c>
      <c r="J408">
        <v>0.29570794347623314</v>
      </c>
      <c r="K408">
        <v>0.10501970107640736</v>
      </c>
      <c r="L408">
        <v>17.36383964147447</v>
      </c>
      <c r="M408">
        <v>12.152127084334325</v>
      </c>
      <c r="N408">
        <v>0.36283559276745081</v>
      </c>
      <c r="O408">
        <v>0.12901516004912536</v>
      </c>
      <c r="P408">
        <v>17.356022162849094</v>
      </c>
      <c r="Q408">
        <v>12.097666381814935</v>
      </c>
      <c r="R408">
        <v>0.40670285974813336</v>
      </c>
      <c r="S408">
        <v>0.14472768784470236</v>
      </c>
      <c r="T408">
        <v>17.350903070592231</v>
      </c>
      <c r="U408">
        <v>1534.939199702641</v>
      </c>
      <c r="V408">
        <v>9.5343114584671618</v>
      </c>
      <c r="W408">
        <v>1283.9076688578773</v>
      </c>
      <c r="X408">
        <v>6.8956543892763467</v>
      </c>
      <c r="Y408">
        <v>2879.6637942923271</v>
      </c>
      <c r="Z408">
        <v>9.5643190806538687</v>
      </c>
      <c r="AA408">
        <v>2719.4942360475529</v>
      </c>
      <c r="AB408">
        <v>6.9139835509508814</v>
      </c>
      <c r="AC408">
        <v>2218.7191539159689</v>
      </c>
      <c r="AD408">
        <v>9.5523546323700934</v>
      </c>
      <c r="AE408">
        <v>2018.2880806240278</v>
      </c>
      <c r="AF408">
        <v>6.9066849624629709</v>
      </c>
      <c r="AG408">
        <v>2115.3585105519851</v>
      </c>
      <c r="AH408">
        <v>9.5445376228613146</v>
      </c>
      <c r="AI408">
        <v>1898.5287700173089</v>
      </c>
      <c r="AJ408">
        <v>6.9019096300130247</v>
      </c>
    </row>
    <row r="409" spans="4:36" x14ac:dyDescent="0.55000000000000004">
      <c r="D409">
        <v>402</v>
      </c>
      <c r="E409">
        <v>12.228544781976014</v>
      </c>
      <c r="F409">
        <v>0.40855906083317256</v>
      </c>
      <c r="G409">
        <v>0.16310912506556238</v>
      </c>
      <c r="H409">
        <v>17.199787032125251</v>
      </c>
      <c r="I409">
        <v>12.396002911643492</v>
      </c>
      <c r="J409">
        <v>0.29056482599564409</v>
      </c>
      <c r="K409">
        <v>0.11570810192958456</v>
      </c>
      <c r="L409">
        <v>17.197724160431296</v>
      </c>
      <c r="M409">
        <v>12.353826392921523</v>
      </c>
      <c r="N409">
        <v>0.32029989243242918</v>
      </c>
      <c r="O409">
        <v>0.12763038916772315</v>
      </c>
      <c r="P409">
        <v>17.198243325478312</v>
      </c>
      <c r="Q409">
        <v>12.305985711933833</v>
      </c>
      <c r="R409">
        <v>0.35401472348722773</v>
      </c>
      <c r="S409">
        <v>0.14116702965618944</v>
      </c>
      <c r="T409">
        <v>17.198832534922722</v>
      </c>
      <c r="U409">
        <v>1506.5291208592773</v>
      </c>
      <c r="V409">
        <v>9.6282391758438823</v>
      </c>
      <c r="W409">
        <v>1268.4320449661052</v>
      </c>
      <c r="X409">
        <v>6.9474085190140631</v>
      </c>
      <c r="Y409">
        <v>2869.4802620430419</v>
      </c>
      <c r="Z409">
        <v>9.6599722134440675</v>
      </c>
      <c r="AA409">
        <v>2713.1674819545851</v>
      </c>
      <c r="AB409">
        <v>6.9658717052283565</v>
      </c>
      <c r="AC409">
        <v>2180.7977345280219</v>
      </c>
      <c r="AD409">
        <v>9.651980022370509</v>
      </c>
      <c r="AE409">
        <v>1994.7139983848833</v>
      </c>
      <c r="AF409">
        <v>6.9612264263122556</v>
      </c>
      <c r="AG409">
        <v>2051.798969878897</v>
      </c>
      <c r="AH409">
        <v>9.642914353382686</v>
      </c>
      <c r="AI409">
        <v>1857.2371212044641</v>
      </c>
      <c r="AJ409">
        <v>6.9559533106014912</v>
      </c>
    </row>
    <row r="410" spans="4:36" x14ac:dyDescent="0.55000000000000004">
      <c r="D410">
        <v>403</v>
      </c>
      <c r="E410">
        <v>12.497639823025784</v>
      </c>
      <c r="F410">
        <v>0.45600835659800171</v>
      </c>
      <c r="G410">
        <v>0.1637813418893313</v>
      </c>
      <c r="H410">
        <v>16.88257047848689</v>
      </c>
      <c r="I410">
        <v>12.724766301861424</v>
      </c>
      <c r="J410">
        <v>0.28686469867717657</v>
      </c>
      <c r="K410">
        <v>0.10269300307386929</v>
      </c>
      <c r="L410">
        <v>16.885675996387526</v>
      </c>
      <c r="M410">
        <v>12.615908688005632</v>
      </c>
      <c r="N410">
        <v>0.36796816646277264</v>
      </c>
      <c r="O410">
        <v>0.13193368770561428</v>
      </c>
      <c r="P410">
        <v>16.88418945782599</v>
      </c>
      <c r="Q410">
        <v>12.570177306946734</v>
      </c>
      <c r="R410">
        <v>0.40202025470251679</v>
      </c>
      <c r="S410">
        <v>0.14423850907888602</v>
      </c>
      <c r="T410">
        <v>16.883563929271855</v>
      </c>
      <c r="U410">
        <v>1561.4829007643482</v>
      </c>
      <c r="V410">
        <v>9.8814647442124279</v>
      </c>
      <c r="W410">
        <v>1298.2978157408845</v>
      </c>
      <c r="X410">
        <v>7.0967168566224181</v>
      </c>
      <c r="Y410">
        <v>2889.0084668113664</v>
      </c>
      <c r="Z410">
        <v>9.9227446567534408</v>
      </c>
      <c r="AA410">
        <v>2723.4776300692852</v>
      </c>
      <c r="AB410">
        <v>7.1208719821145197</v>
      </c>
      <c r="AC410">
        <v>2231.9500449944253</v>
      </c>
      <c r="AD410">
        <v>9.9029580931968528</v>
      </c>
      <c r="AE410">
        <v>2023.0799659590105</v>
      </c>
      <c r="AF410">
        <v>7.109305184850812</v>
      </c>
      <c r="AG410">
        <v>2143.0426627394836</v>
      </c>
      <c r="AH410">
        <v>9.8946467158748774</v>
      </c>
      <c r="AI410">
        <v>1914.1931505245077</v>
      </c>
      <c r="AJ410">
        <v>7.1044402957077635</v>
      </c>
    </row>
    <row r="411" spans="4:36" x14ac:dyDescent="0.55000000000000004">
      <c r="D411">
        <v>404</v>
      </c>
      <c r="E411">
        <v>13.411529426430786</v>
      </c>
      <c r="F411">
        <v>0.50777453479120327</v>
      </c>
      <c r="G411">
        <v>0.18121226270113872</v>
      </c>
      <c r="H411">
        <v>15.89948377607686</v>
      </c>
      <c r="I411">
        <v>13.691931301438943</v>
      </c>
      <c r="J411">
        <v>0.30728275261424348</v>
      </c>
      <c r="K411">
        <v>0.10925952426669602</v>
      </c>
      <c r="L411">
        <v>15.891526421680117</v>
      </c>
      <c r="M411">
        <v>13.576465733237614</v>
      </c>
      <c r="N411">
        <v>0.3898977327855343</v>
      </c>
      <c r="O411">
        <v>0.1388434858409163</v>
      </c>
      <c r="P411">
        <v>15.894793048135943</v>
      </c>
      <c r="Q411">
        <v>13.503206941209633</v>
      </c>
      <c r="R411">
        <v>0.44227399958949237</v>
      </c>
      <c r="S411">
        <v>0.15764614795262524</v>
      </c>
      <c r="T411">
        <v>15.896872911248247</v>
      </c>
      <c r="U411">
        <v>1620.3532838308058</v>
      </c>
      <c r="V411">
        <v>10.567617063647658</v>
      </c>
      <c r="W411">
        <v>1328.9044228297032</v>
      </c>
      <c r="X411">
        <v>7.4841539346138193</v>
      </c>
      <c r="Y411">
        <v>2947.3821523352858</v>
      </c>
      <c r="Z411">
        <v>10.623058016652347</v>
      </c>
      <c r="AA411">
        <v>2758.7654568615217</v>
      </c>
      <c r="AB411">
        <v>7.5153830806880864</v>
      </c>
      <c r="AC411">
        <v>2283.7478983442365</v>
      </c>
      <c r="AD411">
        <v>10.600234222792603</v>
      </c>
      <c r="AE411">
        <v>2052.4464396108742</v>
      </c>
      <c r="AF411">
        <v>7.502540626512471</v>
      </c>
      <c r="AG411">
        <v>2183.6887949354323</v>
      </c>
      <c r="AH411">
        <v>10.585748988184889</v>
      </c>
      <c r="AI411">
        <v>1933.6470184008069</v>
      </c>
      <c r="AJ411">
        <v>7.4943800585862794</v>
      </c>
    </row>
    <row r="412" spans="4:36" x14ac:dyDescent="0.55000000000000004">
      <c r="D412">
        <v>405</v>
      </c>
      <c r="E412">
        <v>12.238952499510322</v>
      </c>
      <c r="F412">
        <v>0.45817759845203887</v>
      </c>
      <c r="G412">
        <v>0.18114021032799224</v>
      </c>
      <c r="H412">
        <v>17.121729691709664</v>
      </c>
      <c r="I412">
        <v>12.456443564035853</v>
      </c>
      <c r="J412">
        <v>0.29014695126172668</v>
      </c>
      <c r="K412">
        <v>0.11433413647762677</v>
      </c>
      <c r="L412">
        <v>17.139075348224786</v>
      </c>
      <c r="M412">
        <v>12.343641732723778</v>
      </c>
      <c r="N412">
        <v>0.37732662209593915</v>
      </c>
      <c r="O412">
        <v>0.14893983254371337</v>
      </c>
      <c r="P412">
        <v>17.130091812636554</v>
      </c>
      <c r="Q412">
        <v>12.32487963395609</v>
      </c>
      <c r="R412">
        <v>0.39182068303627454</v>
      </c>
      <c r="S412">
        <v>0.15470474909292584</v>
      </c>
      <c r="T412">
        <v>17.128594933914716</v>
      </c>
      <c r="U412">
        <v>1571.4945651750913</v>
      </c>
      <c r="V412">
        <v>9.6960844719138191</v>
      </c>
      <c r="W412">
        <v>1305.1591129449573</v>
      </c>
      <c r="X412">
        <v>6.9872864045521634</v>
      </c>
      <c r="Y412">
        <v>2898.2555852709488</v>
      </c>
      <c r="Z412">
        <v>9.7250126966134083</v>
      </c>
      <c r="AA412">
        <v>2729.758001706572</v>
      </c>
      <c r="AB412">
        <v>7.0048897084313486</v>
      </c>
      <c r="AC412">
        <v>2247.0559324366654</v>
      </c>
      <c r="AD412">
        <v>9.7100020285106847</v>
      </c>
      <c r="AE412">
        <v>2033.0148700621751</v>
      </c>
      <c r="AF412">
        <v>6.9957651937531828</v>
      </c>
      <c r="AG412">
        <v>2137.7475078850534</v>
      </c>
      <c r="AH412">
        <v>9.7075067995143609</v>
      </c>
      <c r="AI412">
        <v>1911.0035716347265</v>
      </c>
      <c r="AJ412">
        <v>6.9942463983209295</v>
      </c>
    </row>
    <row r="413" spans="4:36" x14ac:dyDescent="0.55000000000000004">
      <c r="D413">
        <v>406</v>
      </c>
      <c r="E413">
        <v>12.601018354101619</v>
      </c>
      <c r="F413">
        <v>0.46011397607092203</v>
      </c>
      <c r="G413">
        <v>0.18350607706329627</v>
      </c>
      <c r="H413">
        <v>16.755361592764157</v>
      </c>
      <c r="I413">
        <v>12.817264963036376</v>
      </c>
      <c r="J413">
        <v>0.30165938430360817</v>
      </c>
      <c r="K413">
        <v>0.1199266048119841</v>
      </c>
      <c r="L413">
        <v>16.761149047848015</v>
      </c>
      <c r="M413">
        <v>12.71178859869932</v>
      </c>
      <c r="N413">
        <v>0.37898081215939333</v>
      </c>
      <c r="O413">
        <v>0.15090014578177527</v>
      </c>
      <c r="P413">
        <v>16.758330443359505</v>
      </c>
      <c r="Q413">
        <v>12.708546470049932</v>
      </c>
      <c r="R413">
        <v>0.38135650338217048</v>
      </c>
      <c r="S413">
        <v>0.15185335001286587</v>
      </c>
      <c r="T413">
        <v>16.758243676555018</v>
      </c>
      <c r="U413">
        <v>1592.718981631207</v>
      </c>
      <c r="V413">
        <v>10.015000296772413</v>
      </c>
      <c r="W413">
        <v>1316.3476966571982</v>
      </c>
      <c r="X413">
        <v>7.1789688182294871</v>
      </c>
      <c r="Y413">
        <v>2914.447483391777</v>
      </c>
      <c r="Z413">
        <v>10.051662125147054</v>
      </c>
      <c r="AA413">
        <v>2737.8862012601712</v>
      </c>
      <c r="AB413">
        <v>7.2004110472057015</v>
      </c>
      <c r="AC413">
        <v>2258.7393809348214</v>
      </c>
      <c r="AD413">
        <v>10.033778078026051</v>
      </c>
      <c r="AE413">
        <v>2038.1069167004375</v>
      </c>
      <c r="AF413">
        <v>7.189960910353645</v>
      </c>
      <c r="AG413">
        <v>2160.9545623391728</v>
      </c>
      <c r="AH413">
        <v>10.03322841553126</v>
      </c>
      <c r="AI413">
        <v>1925.2706034448643</v>
      </c>
      <c r="AJ413">
        <v>7.1896394387840612</v>
      </c>
    </row>
    <row r="414" spans="4:36" x14ac:dyDescent="0.55000000000000004">
      <c r="D414">
        <v>407</v>
      </c>
      <c r="E414">
        <v>11.805589884321265</v>
      </c>
      <c r="F414">
        <v>0.43294099634645222</v>
      </c>
      <c r="G414">
        <v>0.16445939586596126</v>
      </c>
      <c r="H414">
        <v>17.597009723466321</v>
      </c>
      <c r="I414">
        <v>12.003924474637898</v>
      </c>
      <c r="J414">
        <v>0.28205159469997371</v>
      </c>
      <c r="K414">
        <v>0.10680797262185886</v>
      </c>
      <c r="L414">
        <v>17.607215958040261</v>
      </c>
      <c r="M414">
        <v>11.958106019345795</v>
      </c>
      <c r="N414">
        <v>0.31692861504943476</v>
      </c>
      <c r="O414">
        <v>0.12010136137187102</v>
      </c>
      <c r="P414">
        <v>17.604864004232901</v>
      </c>
      <c r="Q414">
        <v>11.919501997052738</v>
      </c>
      <c r="R414">
        <v>0.34630510924420582</v>
      </c>
      <c r="S414">
        <v>0.13131322636699433</v>
      </c>
      <c r="T414">
        <v>17.602879667336055</v>
      </c>
      <c r="U414">
        <v>1523.2415405471495</v>
      </c>
      <c r="V414">
        <v>9.3381926876012837</v>
      </c>
      <c r="W414">
        <v>1279.7824820374283</v>
      </c>
      <c r="X414">
        <v>6.7796065609106346</v>
      </c>
      <c r="Y414">
        <v>2866.8163242524042</v>
      </c>
      <c r="Z414">
        <v>9.368878016566768</v>
      </c>
      <c r="AA414">
        <v>2712.4242557769599</v>
      </c>
      <c r="AB414">
        <v>6.798153908067663</v>
      </c>
      <c r="AC414">
        <v>2176.9041768379193</v>
      </c>
      <c r="AD414">
        <v>9.3617858662032312</v>
      </c>
      <c r="AE414">
        <v>1992.9387357554763</v>
      </c>
      <c r="AF414">
        <v>6.7938737294838827</v>
      </c>
      <c r="AG414">
        <v>2062.1851618265923</v>
      </c>
      <c r="AH414">
        <v>9.3558119785318041</v>
      </c>
      <c r="AI414">
        <v>1866.113826187935</v>
      </c>
      <c r="AJ414">
        <v>6.790265382675563</v>
      </c>
    </row>
    <row r="415" spans="4:36" x14ac:dyDescent="0.55000000000000004">
      <c r="D415">
        <v>408</v>
      </c>
      <c r="E415">
        <v>12.554319639790219</v>
      </c>
      <c r="F415">
        <v>0.4877412302826839</v>
      </c>
      <c r="G415">
        <v>0.14358691272627735</v>
      </c>
      <c r="H415">
        <v>16.814352217200828</v>
      </c>
      <c r="I415">
        <v>12.782544626269948</v>
      </c>
      <c r="J415">
        <v>0.31000619023158127</v>
      </c>
      <c r="K415">
        <v>9.0977035770238343E-2</v>
      </c>
      <c r="L415">
        <v>16.816472147728231</v>
      </c>
      <c r="M415">
        <v>12.687873575777656</v>
      </c>
      <c r="N415">
        <v>0.3837647029156474</v>
      </c>
      <c r="O415">
        <v>0.1127690172282319</v>
      </c>
      <c r="P415">
        <v>16.815592704078455</v>
      </c>
      <c r="Q415">
        <v>12.648910383532192</v>
      </c>
      <c r="R415">
        <v>0.41410815105297999</v>
      </c>
      <c r="S415">
        <v>0.12175068262920317</v>
      </c>
      <c r="T415">
        <v>16.815230782785619</v>
      </c>
      <c r="U415">
        <v>1548.352735335387</v>
      </c>
      <c r="V415">
        <v>9.8905979274164064</v>
      </c>
      <c r="W415">
        <v>1289.3609529682551</v>
      </c>
      <c r="X415">
        <v>7.0965608097246333</v>
      </c>
      <c r="Y415">
        <v>2902.6366630536022</v>
      </c>
      <c r="Z415">
        <v>9.9319956813104522</v>
      </c>
      <c r="AA415">
        <v>2733.3773081238828</v>
      </c>
      <c r="AB415">
        <v>7.1205761016513831</v>
      </c>
      <c r="AC415">
        <v>2241.773483893548</v>
      </c>
      <c r="AD415">
        <v>9.9148233689566396</v>
      </c>
      <c r="AE415">
        <v>2031.3180608808489</v>
      </c>
      <c r="AF415">
        <v>7.1106248028716648</v>
      </c>
      <c r="AG415">
        <v>2130.7067577408611</v>
      </c>
      <c r="AH415">
        <v>9.9077558320907997</v>
      </c>
      <c r="AI415">
        <v>1906.92395432329</v>
      </c>
      <c r="AJ415">
        <v>7.1065248635617388</v>
      </c>
    </row>
    <row r="416" spans="4:36" x14ac:dyDescent="0.55000000000000004">
      <c r="D416">
        <v>409</v>
      </c>
      <c r="E416">
        <v>12.193434034951313</v>
      </c>
      <c r="F416">
        <v>0.46120181357784013</v>
      </c>
      <c r="G416">
        <v>0.17371991489431798</v>
      </c>
      <c r="H416">
        <v>17.171644236576523</v>
      </c>
      <c r="I416">
        <v>12.426819949010582</v>
      </c>
      <c r="J416">
        <v>0.28383889718269911</v>
      </c>
      <c r="K416">
        <v>0.10653646063720655</v>
      </c>
      <c r="L416">
        <v>17.182804693169508</v>
      </c>
      <c r="M416">
        <v>12.338263922242918</v>
      </c>
      <c r="N416">
        <v>0.35117216624328329</v>
      </c>
      <c r="O416">
        <v>0.13198513461634589</v>
      </c>
      <c r="P416">
        <v>17.178578776897449</v>
      </c>
      <c r="Q416">
        <v>12.301410082344582</v>
      </c>
      <c r="R416">
        <v>0.37918142792352899</v>
      </c>
      <c r="S416">
        <v>0.14259154860165163</v>
      </c>
      <c r="T416">
        <v>17.17681694113023</v>
      </c>
      <c r="U416">
        <v>1501.5852488720591</v>
      </c>
      <c r="V416">
        <v>9.7098878918362814</v>
      </c>
      <c r="W416">
        <v>1257.8457049734689</v>
      </c>
      <c r="X416">
        <v>7.0042675989482603</v>
      </c>
      <c r="Y416">
        <v>2881.3765916679731</v>
      </c>
      <c r="Z416">
        <v>9.7482156299464329</v>
      </c>
      <c r="AA416">
        <v>2720.3631527555067</v>
      </c>
      <c r="AB416">
        <v>7.0270945077793092</v>
      </c>
      <c r="AC416">
        <v>2187.7194018758705</v>
      </c>
      <c r="AD416">
        <v>9.7336679466626528</v>
      </c>
      <c r="AE416">
        <v>1995.0846222024759</v>
      </c>
      <c r="AF416">
        <v>7.0184418826927999</v>
      </c>
      <c r="AG416">
        <v>2086.8690042659118</v>
      </c>
      <c r="AH416">
        <v>9.7276153711128952</v>
      </c>
      <c r="AI416">
        <v>1878.2457228677943</v>
      </c>
      <c r="AJ416">
        <v>7.0148378073739934</v>
      </c>
    </row>
    <row r="417" spans="4:36" x14ac:dyDescent="0.55000000000000004">
      <c r="D417">
        <v>410</v>
      </c>
      <c r="E417">
        <v>14.208016580074068</v>
      </c>
      <c r="F417">
        <v>0.48966267704570116</v>
      </c>
      <c r="G417">
        <v>0.1822961924156124</v>
      </c>
      <c r="H417">
        <v>15.12002455046462</v>
      </c>
      <c r="I417">
        <v>14.440539009741768</v>
      </c>
      <c r="J417">
        <v>0.33446700119783557</v>
      </c>
      <c r="K417">
        <v>0.12413108964136965</v>
      </c>
      <c r="L417">
        <v>15.10086289941904</v>
      </c>
      <c r="M417">
        <v>14.346945679835317</v>
      </c>
      <c r="N417">
        <v>0.39697587354861646</v>
      </c>
      <c r="O417">
        <v>0.14751420539078902</v>
      </c>
      <c r="P417">
        <v>15.108564241225277</v>
      </c>
      <c r="Q417">
        <v>14.311655094719741</v>
      </c>
      <c r="R417">
        <v>0.4205315137217725</v>
      </c>
      <c r="S417">
        <v>0.1563412597432407</v>
      </c>
      <c r="T417">
        <v>15.111472131815233</v>
      </c>
      <c r="U417">
        <v>1642.3124301243338</v>
      </c>
      <c r="V417">
        <v>11.177109944859659</v>
      </c>
      <c r="W417">
        <v>1340.5140779351254</v>
      </c>
      <c r="X417">
        <v>7.8318590367405143</v>
      </c>
      <c r="Y417">
        <v>2964.4335686991908</v>
      </c>
      <c r="Z417">
        <v>11.229289513931395</v>
      </c>
      <c r="AA417">
        <v>2765.2389296865522</v>
      </c>
      <c r="AB417">
        <v>7.8606565408615809</v>
      </c>
      <c r="AC417">
        <v>2328.4838442707983</v>
      </c>
      <c r="AD417">
        <v>11.208293376081961</v>
      </c>
      <c r="AE417">
        <v>2079.2334431539093</v>
      </c>
      <c r="AF417">
        <v>7.8490781743689544</v>
      </c>
      <c r="AG417">
        <v>2207.2867578778591</v>
      </c>
      <c r="AH417">
        <v>11.200374130278846</v>
      </c>
      <c r="AI417">
        <v>1947.4721311739497</v>
      </c>
      <c r="AJ417">
        <v>7.8447078696515877</v>
      </c>
    </row>
    <row r="418" spans="4:36" x14ac:dyDescent="0.55000000000000004">
      <c r="D418">
        <v>411</v>
      </c>
      <c r="E418">
        <v>12.535227334207699</v>
      </c>
      <c r="F418">
        <v>0.4659795058634123</v>
      </c>
      <c r="G418">
        <v>0.15091700744052633</v>
      </c>
      <c r="H418">
        <v>16.847876152488372</v>
      </c>
      <c r="I418">
        <v>12.746166823794656</v>
      </c>
      <c r="J418">
        <v>0.3091089281629249</v>
      </c>
      <c r="K418">
        <v>9.9813146831212007E-2</v>
      </c>
      <c r="L418">
        <v>16.84491110121122</v>
      </c>
      <c r="M418">
        <v>12.672249470026888</v>
      </c>
      <c r="N418">
        <v>0.36410781373632589</v>
      </c>
      <c r="O418">
        <v>0.11769500535828058</v>
      </c>
      <c r="P418">
        <v>16.845947710878505</v>
      </c>
      <c r="Q418">
        <v>12.624475976759779</v>
      </c>
      <c r="R418">
        <v>0.39963790346055289</v>
      </c>
      <c r="S418">
        <v>0.12926706420979353</v>
      </c>
      <c r="T418">
        <v>16.846619055569882</v>
      </c>
      <c r="U418">
        <v>1521.3208585242648</v>
      </c>
      <c r="V418">
        <v>9.9746944233581676</v>
      </c>
      <c r="W418">
        <v>1271.2966425087704</v>
      </c>
      <c r="X418">
        <v>7.1615125175070968</v>
      </c>
      <c r="Y418">
        <v>2896.2781390891355</v>
      </c>
      <c r="Z418">
        <v>10.018507352574753</v>
      </c>
      <c r="AA418">
        <v>2728.7629290111558</v>
      </c>
      <c r="AB418">
        <v>7.1867840365042008</v>
      </c>
      <c r="AC418">
        <v>2199.2438991381432</v>
      </c>
      <c r="AD418">
        <v>10.003155702384285</v>
      </c>
      <c r="AE418">
        <v>2001.9822046592151</v>
      </c>
      <c r="AF418">
        <v>7.1779385220755074</v>
      </c>
      <c r="AG418">
        <v>2142.3676915876026</v>
      </c>
      <c r="AH418">
        <v>9.9932330614238687</v>
      </c>
      <c r="AI418">
        <v>1916.3041042390698</v>
      </c>
      <c r="AJ418">
        <v>7.1722157946679506</v>
      </c>
    </row>
    <row r="419" spans="4:36" x14ac:dyDescent="0.55000000000000004">
      <c r="D419">
        <v>412</v>
      </c>
      <c r="E419">
        <v>12.191365597745627</v>
      </c>
      <c r="F419">
        <v>0.46892099677768179</v>
      </c>
      <c r="G419">
        <v>0.17295665763304041</v>
      </c>
      <c r="H419">
        <v>17.166756747843667</v>
      </c>
      <c r="I419">
        <v>12.415472620832137</v>
      </c>
      <c r="J419">
        <v>0.30047762656957977</v>
      </c>
      <c r="K419">
        <v>0.11045171629989314</v>
      </c>
      <c r="L419">
        <v>17.173598036298383</v>
      </c>
      <c r="M419">
        <v>12.340550098168753</v>
      </c>
      <c r="N419">
        <v>0.35682193549131225</v>
      </c>
      <c r="O419">
        <v>0.13131165803696998</v>
      </c>
      <c r="P419">
        <v>17.171316308302956</v>
      </c>
      <c r="Q419">
        <v>12.315031211484472</v>
      </c>
      <c r="R419">
        <v>0.37600593196211679</v>
      </c>
      <c r="S419">
        <v>0.13842495026969226</v>
      </c>
      <c r="T419">
        <v>17.17053790628372</v>
      </c>
      <c r="U419">
        <v>1502.3837273118606</v>
      </c>
      <c r="V419">
        <v>9.7333175876727065</v>
      </c>
      <c r="W419">
        <v>1258.1329450712783</v>
      </c>
      <c r="X419">
        <v>7.0205645035128859</v>
      </c>
      <c r="Y419">
        <v>2895.8667478110251</v>
      </c>
      <c r="Z419">
        <v>9.7712336717283215</v>
      </c>
      <c r="AA419">
        <v>2729.707492277375</v>
      </c>
      <c r="AB419">
        <v>7.0430433767184857</v>
      </c>
      <c r="AC419">
        <v>2197.4118766615493</v>
      </c>
      <c r="AD419">
        <v>9.758554490644455</v>
      </c>
      <c r="AE419">
        <v>2001.888627826198</v>
      </c>
      <c r="AF419">
        <v>7.0355365350657308</v>
      </c>
      <c r="AG419">
        <v>2099.1902231966228</v>
      </c>
      <c r="AH419">
        <v>9.7542366527974149</v>
      </c>
      <c r="AI419">
        <v>1887.6723866573159</v>
      </c>
      <c r="AJ419">
        <v>7.0329778077590666</v>
      </c>
    </row>
    <row r="420" spans="4:36" x14ac:dyDescent="0.55000000000000004">
      <c r="D420">
        <v>413</v>
      </c>
      <c r="E420">
        <v>13.388238450340163</v>
      </c>
      <c r="F420">
        <v>0.43710593243467599</v>
      </c>
      <c r="G420">
        <v>0.16460327804907232</v>
      </c>
      <c r="H420">
        <v>16.010052339176085</v>
      </c>
      <c r="I420">
        <v>13.580177170993359</v>
      </c>
      <c r="J420">
        <v>0.30604998889720808</v>
      </c>
      <c r="K420">
        <v>0.11494157720518948</v>
      </c>
      <c r="L420">
        <v>15.998831262904234</v>
      </c>
      <c r="M420">
        <v>13.449897650510579</v>
      </c>
      <c r="N420">
        <v>0.39503025561493826</v>
      </c>
      <c r="O420">
        <v>0.14862973843825425</v>
      </c>
      <c r="P420">
        <v>16.006442355436221</v>
      </c>
      <c r="Q420">
        <v>13.433654923479013</v>
      </c>
      <c r="R420">
        <v>0.40611647830597958</v>
      </c>
      <c r="S420">
        <v>0.15283576117537107</v>
      </c>
      <c r="T420">
        <v>16.007392837039621</v>
      </c>
      <c r="U420">
        <v>1559.4195668000214</v>
      </c>
      <c r="V420">
        <v>10.489337885263412</v>
      </c>
      <c r="W420">
        <v>1292.5815151608258</v>
      </c>
      <c r="X420">
        <v>7.439525461908846</v>
      </c>
      <c r="Y420">
        <v>2939.4985010036498</v>
      </c>
      <c r="Z420">
        <v>10.533249647566072</v>
      </c>
      <c r="AA420">
        <v>2754.3906799082029</v>
      </c>
      <c r="AB420">
        <v>7.4642621673031773</v>
      </c>
      <c r="AC420">
        <v>2265.4662227361532</v>
      </c>
      <c r="AD420">
        <v>10.503447169131514</v>
      </c>
      <c r="AE420">
        <v>2040.4785510524102</v>
      </c>
      <c r="AF420">
        <v>7.4474805025522395</v>
      </c>
      <c r="AG420">
        <v>2153.3455529912794</v>
      </c>
      <c r="AH420">
        <v>10.499730662546085</v>
      </c>
      <c r="AI420">
        <v>1916.3636195569886</v>
      </c>
      <c r="AJ420">
        <v>7.4453857135011852</v>
      </c>
    </row>
    <row r="421" spans="4:36" x14ac:dyDescent="0.55000000000000004">
      <c r="D421">
        <v>414</v>
      </c>
      <c r="E421">
        <v>12.38642403719088</v>
      </c>
      <c r="F421">
        <v>0.43607751402650086</v>
      </c>
      <c r="G421">
        <v>0.15668632783867739</v>
      </c>
      <c r="H421">
        <v>17.020812120943944</v>
      </c>
      <c r="I421">
        <v>12.604890202054467</v>
      </c>
      <c r="J421">
        <v>0.27930478096098299</v>
      </c>
      <c r="K421">
        <v>0.10003160047443281</v>
      </c>
      <c r="L421">
        <v>17.015773416510115</v>
      </c>
      <c r="M421">
        <v>12.517025051562959</v>
      </c>
      <c r="N421">
        <v>0.34239215741043116</v>
      </c>
      <c r="O421">
        <v>0.12278540081323636</v>
      </c>
      <c r="P421">
        <v>17.017797390213364</v>
      </c>
      <c r="Q421">
        <v>12.459445474842093</v>
      </c>
      <c r="R421">
        <v>0.38370911110336825</v>
      </c>
      <c r="S421">
        <v>0.13771982310485914</v>
      </c>
      <c r="T421">
        <v>17.01912559094967</v>
      </c>
      <c r="U421">
        <v>1554.1477265365709</v>
      </c>
      <c r="V421">
        <v>9.8760066718225055</v>
      </c>
      <c r="W421">
        <v>1297.4961080799189</v>
      </c>
      <c r="X421">
        <v>7.109034708108835</v>
      </c>
      <c r="Y421">
        <v>2905.6540982795918</v>
      </c>
      <c r="Z421">
        <v>9.9232587411170936</v>
      </c>
      <c r="AA421">
        <v>2737.9187042331941</v>
      </c>
      <c r="AB421">
        <v>7.1363087551270032</v>
      </c>
      <c r="AC421">
        <v>2218.9533928661572</v>
      </c>
      <c r="AD421">
        <v>9.9042560901692021</v>
      </c>
      <c r="AE421">
        <v>2018.007175325333</v>
      </c>
      <c r="AF421">
        <v>7.1253516428280719</v>
      </c>
      <c r="AG421">
        <v>2112.266633269423</v>
      </c>
      <c r="AH421">
        <v>9.8918020732669412</v>
      </c>
      <c r="AI421">
        <v>1895.9206655035705</v>
      </c>
      <c r="AJ421">
        <v>7.1181623327788826</v>
      </c>
    </row>
    <row r="422" spans="4:36" x14ac:dyDescent="0.55000000000000004">
      <c r="D422">
        <v>415</v>
      </c>
      <c r="E422">
        <v>12.276621533610641</v>
      </c>
      <c r="F422">
        <v>0.46719082169213</v>
      </c>
      <c r="G422">
        <v>0.16415987332361109</v>
      </c>
      <c r="H422">
        <v>17.092027771373623</v>
      </c>
      <c r="I422">
        <v>12.499801830227982</v>
      </c>
      <c r="J422">
        <v>0.29893452875364562</v>
      </c>
      <c r="K422">
        <v>0.10469520934529182</v>
      </c>
      <c r="L422">
        <v>17.096568431673067</v>
      </c>
      <c r="M422">
        <v>12.421478377238936</v>
      </c>
      <c r="N422">
        <v>0.35801394806355391</v>
      </c>
      <c r="O422">
        <v>0.12552993899599557</v>
      </c>
      <c r="P422">
        <v>17.094977735701512</v>
      </c>
      <c r="Q422">
        <v>12.364095855368989</v>
      </c>
      <c r="R422">
        <v>0.40127631277188602</v>
      </c>
      <c r="S422">
        <v>0.14081742150153601</v>
      </c>
      <c r="T422">
        <v>17.093810410357612</v>
      </c>
      <c r="U422">
        <v>1527.1853962920566</v>
      </c>
      <c r="V422">
        <v>9.8093566293054657</v>
      </c>
      <c r="W422">
        <v>1275.6303140829509</v>
      </c>
      <c r="X422">
        <v>7.0678912031021843</v>
      </c>
      <c r="Y422">
        <v>2878.3038799175893</v>
      </c>
      <c r="Z422">
        <v>9.8494237724318392</v>
      </c>
      <c r="AA422">
        <v>2716.6884294678202</v>
      </c>
      <c r="AB422">
        <v>7.0913866779297869</v>
      </c>
      <c r="AC422">
        <v>2185.0911601734474</v>
      </c>
      <c r="AD422">
        <v>9.8353611492035302</v>
      </c>
      <c r="AE422">
        <v>1992.3558765593682</v>
      </c>
      <c r="AF422">
        <v>7.0831504721845215</v>
      </c>
      <c r="AG422">
        <v>2153.5895337491706</v>
      </c>
      <c r="AH422">
        <v>9.8250593058097397</v>
      </c>
      <c r="AI422">
        <v>1924.5767246956182</v>
      </c>
      <c r="AJ422">
        <v>7.0771099436839311</v>
      </c>
    </row>
    <row r="423" spans="4:36" x14ac:dyDescent="0.55000000000000004">
      <c r="D423">
        <v>416</v>
      </c>
      <c r="E423">
        <v>12.583556405965211</v>
      </c>
      <c r="F423">
        <v>0.46166469019213713</v>
      </c>
      <c r="G423">
        <v>0.13620973435196643</v>
      </c>
      <c r="H423">
        <v>16.818569169490669</v>
      </c>
      <c r="I423">
        <v>12.80698602424606</v>
      </c>
      <c r="J423">
        <v>0.29849031255056108</v>
      </c>
      <c r="K423">
        <v>8.7797986087545826E-2</v>
      </c>
      <c r="L423">
        <v>16.806725677115832</v>
      </c>
      <c r="M423">
        <v>12.720870810617075</v>
      </c>
      <c r="N423">
        <v>0.36141600355690956</v>
      </c>
      <c r="O423">
        <v>0.10643169258739842</v>
      </c>
      <c r="P423">
        <v>16.811281493238607</v>
      </c>
      <c r="Q423">
        <v>12.692059942946136</v>
      </c>
      <c r="R423">
        <v>0.3824589702581771</v>
      </c>
      <c r="S423">
        <v>0.11267289480228454</v>
      </c>
      <c r="T423">
        <v>16.812808191993383</v>
      </c>
      <c r="U423">
        <v>1534.4646531941448</v>
      </c>
      <c r="V423">
        <v>9.9096899633340563</v>
      </c>
      <c r="W423">
        <v>1283.5289051456298</v>
      </c>
      <c r="X423">
        <v>7.1111391273835229</v>
      </c>
      <c r="Y423">
        <v>2893.6862331962011</v>
      </c>
      <c r="Z423">
        <v>9.9574215442214093</v>
      </c>
      <c r="AA423">
        <v>2729.2160618483481</v>
      </c>
      <c r="AB423">
        <v>7.1382123608831582</v>
      </c>
      <c r="AC423">
        <v>2204.9077648051748</v>
      </c>
      <c r="AD423">
        <v>9.939030096947322</v>
      </c>
      <c r="AE423">
        <v>2008.1349286271607</v>
      </c>
      <c r="AF423">
        <v>7.1277909675209692</v>
      </c>
      <c r="AG423">
        <v>2087.9240072664243</v>
      </c>
      <c r="AH423">
        <v>9.9328754958932439</v>
      </c>
      <c r="AI423">
        <v>1880.2437370261587</v>
      </c>
      <c r="AJ423">
        <v>7.1243006638100752</v>
      </c>
    </row>
    <row r="424" spans="4:36" x14ac:dyDescent="0.55000000000000004">
      <c r="D424">
        <v>417</v>
      </c>
      <c r="E424">
        <v>11.263389660732987</v>
      </c>
      <c r="F424">
        <v>0.42904355794787497</v>
      </c>
      <c r="G424">
        <v>0.15701476406751233</v>
      </c>
      <c r="H424">
        <v>18.150552017251641</v>
      </c>
      <c r="I424">
        <v>11.457898786199289</v>
      </c>
      <c r="J424">
        <v>0.26449659468494335</v>
      </c>
      <c r="K424">
        <v>9.6512317232119671E-2</v>
      </c>
      <c r="L424">
        <v>18.181092301883652</v>
      </c>
      <c r="M424">
        <v>11.352615400101985</v>
      </c>
      <c r="N424">
        <v>0.3535804161116371</v>
      </c>
      <c r="O424">
        <v>0.12922294623227268</v>
      </c>
      <c r="P424">
        <v>18.16458123755411</v>
      </c>
      <c r="Q424">
        <v>11.341771102031659</v>
      </c>
      <c r="R424">
        <v>0.36275369985747685</v>
      </c>
      <c r="S424">
        <v>0.13259724987404228</v>
      </c>
      <c r="T424">
        <v>18.162877948236833</v>
      </c>
      <c r="U424">
        <v>1479.2077947579937</v>
      </c>
      <c r="V424">
        <v>8.922120186577807</v>
      </c>
      <c r="W424">
        <v>1251.6679462380923</v>
      </c>
      <c r="X424">
        <v>6.5344066862654859</v>
      </c>
      <c r="Y424">
        <v>2829.96978007606</v>
      </c>
      <c r="Z424">
        <v>8.9403467002960859</v>
      </c>
      <c r="AA424">
        <v>2689.3400817949555</v>
      </c>
      <c r="AB424">
        <v>6.5464776837430687</v>
      </c>
      <c r="AC424">
        <v>2160.5098756064972</v>
      </c>
      <c r="AD424">
        <v>8.9304705292108792</v>
      </c>
      <c r="AE424">
        <v>1981.0072407948064</v>
      </c>
      <c r="AF424">
        <v>6.5399457046840332</v>
      </c>
      <c r="AG424">
        <v>2036.6352902933161</v>
      </c>
      <c r="AH424">
        <v>8.9294546860428561</v>
      </c>
      <c r="AI424">
        <v>1849.2511852574485</v>
      </c>
      <c r="AJ424">
        <v>6.5392726669046537</v>
      </c>
    </row>
    <row r="425" spans="4:36" x14ac:dyDescent="0.55000000000000004">
      <c r="D425">
        <v>418</v>
      </c>
      <c r="E425">
        <v>12.592146618711208</v>
      </c>
      <c r="F425">
        <v>0.44751529546695579</v>
      </c>
      <c r="G425">
        <v>0.16432612137076591</v>
      </c>
      <c r="H425">
        <v>16.796011964451072</v>
      </c>
      <c r="I425">
        <v>12.797616361459021</v>
      </c>
      <c r="J425">
        <v>0.29548910907108766</v>
      </c>
      <c r="K425">
        <v>0.1081810799524779</v>
      </c>
      <c r="L425">
        <v>16.798713449517397</v>
      </c>
      <c r="M425">
        <v>12.678599534487939</v>
      </c>
      <c r="N425">
        <v>0.38357822109756862</v>
      </c>
      <c r="O425">
        <v>0.14067218913677862</v>
      </c>
      <c r="P425">
        <v>16.797150055277719</v>
      </c>
      <c r="Q425">
        <v>12.657003839719188</v>
      </c>
      <c r="R425">
        <v>0.39955349936598866</v>
      </c>
      <c r="S425">
        <v>0.14657670311725512</v>
      </c>
      <c r="T425">
        <v>16.796865957797568</v>
      </c>
      <c r="U425">
        <v>1569.6716012063603</v>
      </c>
      <c r="V425">
        <v>9.8870314131113144</v>
      </c>
      <c r="W425">
        <v>1304.7898975299006</v>
      </c>
      <c r="X425">
        <v>7.0916787299317896</v>
      </c>
      <c r="Y425">
        <v>2885.152209410096</v>
      </c>
      <c r="Z425">
        <v>9.9244367428043052</v>
      </c>
      <c r="AA425">
        <v>2719.9564564451516</v>
      </c>
      <c r="AB425">
        <v>7.113418251983342</v>
      </c>
      <c r="AC425">
        <v>2243.237108357087</v>
      </c>
      <c r="AD425">
        <v>9.9027694978978182</v>
      </c>
      <c r="AE425">
        <v>2029.9298991034618</v>
      </c>
      <c r="AF425">
        <v>7.100834269312541</v>
      </c>
      <c r="AG425">
        <v>2138.7797960543753</v>
      </c>
      <c r="AH425">
        <v>9.8988381023588428</v>
      </c>
      <c r="AI425">
        <v>1911.2495603162736</v>
      </c>
      <c r="AJ425">
        <v>7.0985484025643899</v>
      </c>
    </row>
    <row r="426" spans="4:36" x14ac:dyDescent="0.55000000000000004">
      <c r="D426">
        <v>419</v>
      </c>
      <c r="E426">
        <v>11.99955201429225</v>
      </c>
      <c r="F426">
        <v>0.45239000780754463</v>
      </c>
      <c r="G426">
        <v>0.15261317294403753</v>
      </c>
      <c r="H426">
        <v>17.395444804956156</v>
      </c>
      <c r="I426">
        <v>12.229904598729503</v>
      </c>
      <c r="J426">
        <v>0.27628512645167957</v>
      </c>
      <c r="K426">
        <v>9.2909850238563005E-2</v>
      </c>
      <c r="L426">
        <v>17.400900424580243</v>
      </c>
      <c r="M426">
        <v>12.133006020649916</v>
      </c>
      <c r="N426">
        <v>0.35039894462914251</v>
      </c>
      <c r="O426">
        <v>0.11798935437387334</v>
      </c>
      <c r="P426">
        <v>17.39860568034706</v>
      </c>
      <c r="Q426">
        <v>12.103595943087372</v>
      </c>
      <c r="R426">
        <v>0.37288359408291721</v>
      </c>
      <c r="S426">
        <v>0.12561132284481138</v>
      </c>
      <c r="T426">
        <v>17.397909139984886</v>
      </c>
      <c r="U426">
        <v>1507.5206965092559</v>
      </c>
      <c r="V426">
        <v>9.4127984382770578</v>
      </c>
      <c r="W426">
        <v>1266.0869625650807</v>
      </c>
      <c r="X426">
        <v>6.813289799927631</v>
      </c>
      <c r="Y426">
        <v>2862.0608281855648</v>
      </c>
      <c r="Z426">
        <v>9.4515898478652129</v>
      </c>
      <c r="AA426">
        <v>2708.965204965401</v>
      </c>
      <c r="AB426">
        <v>6.8360800748080974</v>
      </c>
      <c r="AC426">
        <v>2194.3388283604277</v>
      </c>
      <c r="AD426">
        <v>9.4352717058555324</v>
      </c>
      <c r="AE426">
        <v>2002.465476243701</v>
      </c>
      <c r="AF426">
        <v>6.8265039938070062</v>
      </c>
      <c r="AG426">
        <v>2104.6270142814378</v>
      </c>
      <c r="AH426">
        <v>9.4303190383377817</v>
      </c>
      <c r="AI426">
        <v>1894.3700570593958</v>
      </c>
      <c r="AJ426">
        <v>6.8235944544048577</v>
      </c>
    </row>
    <row r="427" spans="4:36" x14ac:dyDescent="0.55000000000000004">
      <c r="D427">
        <v>420</v>
      </c>
      <c r="E427">
        <v>11.248730135520745</v>
      </c>
      <c r="F427">
        <v>0.44553081335765155</v>
      </c>
      <c r="G427">
        <v>0.1533196695437386</v>
      </c>
      <c r="H427">
        <v>18.152419381577882</v>
      </c>
      <c r="I427">
        <v>11.428553869968617</v>
      </c>
      <c r="J427">
        <v>0.29241470340449444</v>
      </c>
      <c r="K427">
        <v>0.10036322800394412</v>
      </c>
      <c r="L427">
        <v>18.17866819862294</v>
      </c>
      <c r="M427">
        <v>11.380875206635853</v>
      </c>
      <c r="N427">
        <v>0.3330239486197733</v>
      </c>
      <c r="O427">
        <v>0.11438077060394974</v>
      </c>
      <c r="P427">
        <v>18.171720074140442</v>
      </c>
      <c r="Q427">
        <v>11.331249049304716</v>
      </c>
      <c r="R427">
        <v>0.37528286028324492</v>
      </c>
      <c r="S427">
        <v>0.12898874285084905</v>
      </c>
      <c r="T427">
        <v>18.164479347561191</v>
      </c>
      <c r="U427">
        <v>1479.0049994539609</v>
      </c>
      <c r="V427">
        <v>8.884357724591279</v>
      </c>
      <c r="W427">
        <v>1251.7999073126925</v>
      </c>
      <c r="X427">
        <v>6.5063590974198915</v>
      </c>
      <c r="Y427">
        <v>2861.2797152071848</v>
      </c>
      <c r="Z427">
        <v>8.899738529729138</v>
      </c>
      <c r="AA427">
        <v>2711.1181015420611</v>
      </c>
      <c r="AB427">
        <v>6.5165687631258846</v>
      </c>
      <c r="AC427">
        <v>2162.1392618554792</v>
      </c>
      <c r="AD427">
        <v>8.8956539744482601</v>
      </c>
      <c r="AE427">
        <v>1985.0991124837747</v>
      </c>
      <c r="AF427">
        <v>6.5138628487252417</v>
      </c>
      <c r="AG427">
        <v>2058.0991496852903</v>
      </c>
      <c r="AH427">
        <v>8.8914075243737454</v>
      </c>
      <c r="AI427">
        <v>1865.4077930231283</v>
      </c>
      <c r="AJ427">
        <v>6.5110455792168649</v>
      </c>
    </row>
    <row r="428" spans="4:36" x14ac:dyDescent="0.55000000000000004">
      <c r="D428">
        <v>421</v>
      </c>
      <c r="E428">
        <v>11.517247274356253</v>
      </c>
      <c r="F428">
        <v>0.41691656506634212</v>
      </c>
      <c r="G428">
        <v>0.14547921109199394</v>
      </c>
      <c r="H428">
        <v>17.92035694948542</v>
      </c>
      <c r="I428">
        <v>11.740224628971633</v>
      </c>
      <c r="J428">
        <v>0.24584218141465067</v>
      </c>
      <c r="K428">
        <v>8.5483510686397063E-2</v>
      </c>
      <c r="L428">
        <v>17.928449678927326</v>
      </c>
      <c r="M428">
        <v>11.633633257267135</v>
      </c>
      <c r="N428">
        <v>0.32765576261180374</v>
      </c>
      <c r="O428">
        <v>0.11412222787100247</v>
      </c>
      <c r="P428">
        <v>17.92458875225006</v>
      </c>
      <c r="Q428">
        <v>11.605350787362783</v>
      </c>
      <c r="R428">
        <v>0.34935346729041061</v>
      </c>
      <c r="S428">
        <v>0.12173379081566973</v>
      </c>
      <c r="T428">
        <v>17.923561954531145</v>
      </c>
      <c r="U428">
        <v>1517.3672302602236</v>
      </c>
      <c r="V428">
        <v>9.0648466482447283</v>
      </c>
      <c r="W428">
        <v>1278.5399700603546</v>
      </c>
      <c r="X428">
        <v>6.6153996957398657</v>
      </c>
      <c r="Y428">
        <v>2862.8156543516993</v>
      </c>
      <c r="Z428">
        <v>9.1014704377534397</v>
      </c>
      <c r="AA428">
        <v>2713.5545670474871</v>
      </c>
      <c r="AB428">
        <v>6.6374152458685813</v>
      </c>
      <c r="AC428">
        <v>2183.7312159119069</v>
      </c>
      <c r="AD428">
        <v>9.0839588267290914</v>
      </c>
      <c r="AE428">
        <v>1998.4515241272411</v>
      </c>
      <c r="AF428">
        <v>6.6269007341432005</v>
      </c>
      <c r="AG428">
        <v>2055.7973165807271</v>
      </c>
      <c r="AH428">
        <v>9.0793136291817902</v>
      </c>
      <c r="AI428">
        <v>1862.6191367838721</v>
      </c>
      <c r="AJ428">
        <v>6.6241078828975297</v>
      </c>
    </row>
    <row r="429" spans="4:36" x14ac:dyDescent="0.55000000000000004">
      <c r="D429">
        <v>422</v>
      </c>
      <c r="E429">
        <v>14.524474497388285</v>
      </c>
      <c r="F429">
        <v>0.50647451856246284</v>
      </c>
      <c r="G429">
        <v>0.18169363454813162</v>
      </c>
      <c r="H429">
        <v>14.787357349501136</v>
      </c>
      <c r="I429">
        <v>14.810873579122196</v>
      </c>
      <c r="J429">
        <v>0.32013506993667606</v>
      </c>
      <c r="K429">
        <v>0.11442079328120101</v>
      </c>
      <c r="L429">
        <v>14.754570557659935</v>
      </c>
      <c r="M429">
        <v>14.692722160538557</v>
      </c>
      <c r="N429">
        <v>0.39707081410149236</v>
      </c>
      <c r="O429">
        <v>0.14213490035215054</v>
      </c>
      <c r="P429">
        <v>14.768072125007789</v>
      </c>
      <c r="Q429">
        <v>14.634736042365132</v>
      </c>
      <c r="R429">
        <v>0.43479690812303035</v>
      </c>
      <c r="S429">
        <v>0.15575619633340435</v>
      </c>
      <c r="T429">
        <v>14.774710853178439</v>
      </c>
      <c r="U429">
        <v>1634.1437213492372</v>
      </c>
      <c r="V429">
        <v>11.467291485744367</v>
      </c>
      <c r="W429">
        <v>1334.8317726274463</v>
      </c>
      <c r="X429">
        <v>8.0024678512888077</v>
      </c>
      <c r="Y429">
        <v>2952.9880626595459</v>
      </c>
      <c r="Z429">
        <v>11.540877401274821</v>
      </c>
      <c r="AA429">
        <v>2759.0422302571396</v>
      </c>
      <c r="AB429">
        <v>8.0428159985662688</v>
      </c>
      <c r="AC429">
        <v>2319.5071111068733</v>
      </c>
      <c r="AD429">
        <v>11.510533041405745</v>
      </c>
      <c r="AE429">
        <v>2073.8025157955362</v>
      </c>
      <c r="AF429">
        <v>8.0261930180043848</v>
      </c>
      <c r="AG429">
        <v>2188.5512085130053</v>
      </c>
      <c r="AH429">
        <v>11.495634113862726</v>
      </c>
      <c r="AI429">
        <v>1934.3595916534639</v>
      </c>
      <c r="AJ429">
        <v>8.0180234211836563</v>
      </c>
    </row>
    <row r="430" spans="4:36" x14ac:dyDescent="0.55000000000000004">
      <c r="D430">
        <v>423</v>
      </c>
      <c r="E430">
        <v>10.682934344944542</v>
      </c>
      <c r="F430">
        <v>0.36355201500539575</v>
      </c>
      <c r="G430">
        <v>0.12829353694718146</v>
      </c>
      <c r="H430">
        <v>18.825220103102883</v>
      </c>
      <c r="I430">
        <v>10.820990381678389</v>
      </c>
      <c r="J430">
        <v>0.25314559462402414</v>
      </c>
      <c r="K430">
        <v>8.9133500425417428E-2</v>
      </c>
      <c r="L430">
        <v>18.836730523272173</v>
      </c>
      <c r="M430">
        <v>10.765945457101516</v>
      </c>
      <c r="N430">
        <v>0.29717764369324334</v>
      </c>
      <c r="O430">
        <v>0.10473007228797052</v>
      </c>
      <c r="P430">
        <v>18.832146826917267</v>
      </c>
      <c r="Q430">
        <v>10.728573523089263</v>
      </c>
      <c r="R430">
        <v>0.32706393025749447</v>
      </c>
      <c r="S430">
        <v>0.11533203226068081</v>
      </c>
      <c r="T430">
        <v>18.829030514392549</v>
      </c>
      <c r="U430">
        <v>1408.4363424121234</v>
      </c>
      <c r="V430">
        <v>8.4104907343027335</v>
      </c>
      <c r="W430">
        <v>1210.6064708061904</v>
      </c>
      <c r="X430">
        <v>6.230527138961234</v>
      </c>
      <c r="Y430">
        <v>2817.1882638472334</v>
      </c>
      <c r="Z430">
        <v>8.4300567244719478</v>
      </c>
      <c r="AA430">
        <v>2684.6779110245939</v>
      </c>
      <c r="AB430">
        <v>6.2428574786162558</v>
      </c>
      <c r="AC430">
        <v>2117.2696419589852</v>
      </c>
      <c r="AD430">
        <v>8.4222520503467937</v>
      </c>
      <c r="AE430">
        <v>1958.4114045651447</v>
      </c>
      <c r="AF430">
        <v>6.2379441851468922</v>
      </c>
      <c r="AG430">
        <v>2017.6756590021639</v>
      </c>
      <c r="AH430">
        <v>8.4169557724521908</v>
      </c>
      <c r="AI430">
        <v>1843.3030551039269</v>
      </c>
      <c r="AJ430">
        <v>6.2346061233863281</v>
      </c>
    </row>
    <row r="431" spans="4:36" x14ac:dyDescent="0.55000000000000004">
      <c r="D431">
        <v>424</v>
      </c>
      <c r="E431">
        <v>13.978921663253239</v>
      </c>
      <c r="F431">
        <v>0.49547168912274686</v>
      </c>
      <c r="G431">
        <v>0.17119265368214684</v>
      </c>
      <c r="H431">
        <v>15.354413993941861</v>
      </c>
      <c r="I431">
        <v>14.160631406521379</v>
      </c>
      <c r="J431">
        <v>0.36339238418503478</v>
      </c>
      <c r="K431">
        <v>0.12524737783870013</v>
      </c>
      <c r="L431">
        <v>15.350728831454882</v>
      </c>
      <c r="M431">
        <v>14.051062409967965</v>
      </c>
      <c r="N431">
        <v>0.44305645356390372</v>
      </c>
      <c r="O431">
        <v>0.15293177698521948</v>
      </c>
      <c r="P431">
        <v>15.35294935948292</v>
      </c>
      <c r="Q431">
        <v>14.047691831074518</v>
      </c>
      <c r="R431">
        <v>0.44550605035301616</v>
      </c>
      <c r="S431">
        <v>0.15378437470615294</v>
      </c>
      <c r="T431">
        <v>15.353017743866312</v>
      </c>
      <c r="U431">
        <v>1599.213638004057</v>
      </c>
      <c r="V431">
        <v>10.996071397410635</v>
      </c>
      <c r="W431">
        <v>1314.0530050398443</v>
      </c>
      <c r="X431">
        <v>7.7272421504230406</v>
      </c>
      <c r="Y431">
        <v>2952.6314956127749</v>
      </c>
      <c r="Z431">
        <v>11.029636797921343</v>
      </c>
      <c r="AA431">
        <v>2757.8603062310103</v>
      </c>
      <c r="AB431">
        <v>7.7461429286990739</v>
      </c>
      <c r="AC431">
        <v>2281.842546254366</v>
      </c>
      <c r="AD431">
        <v>11.009398400290552</v>
      </c>
      <c r="AE431">
        <v>2046.6970913768926</v>
      </c>
      <c r="AF431">
        <v>7.7347519419605471</v>
      </c>
      <c r="AG431">
        <v>2217.3084542380125</v>
      </c>
      <c r="AH431">
        <v>11.008775767106551</v>
      </c>
      <c r="AI431">
        <v>1956.656500995748</v>
      </c>
      <c r="AJ431">
        <v>7.7344012436042444</v>
      </c>
    </row>
    <row r="432" spans="4:36" x14ac:dyDescent="0.55000000000000004">
      <c r="D432">
        <v>425</v>
      </c>
      <c r="E432">
        <v>12.374149790931956</v>
      </c>
      <c r="F432">
        <v>0.44443515044046855</v>
      </c>
      <c r="G432">
        <v>0.15162236576340613</v>
      </c>
      <c r="H432">
        <v>17.029792692864167</v>
      </c>
      <c r="I432">
        <v>12.588656174438414</v>
      </c>
      <c r="J432">
        <v>0.2880795057919448</v>
      </c>
      <c r="K432">
        <v>9.7967514489411739E-2</v>
      </c>
      <c r="L432">
        <v>17.025296805280238</v>
      </c>
      <c r="M432">
        <v>12.520997987061005</v>
      </c>
      <c r="N432">
        <v>0.33742538750665407</v>
      </c>
      <c r="O432">
        <v>0.11486355635441757</v>
      </c>
      <c r="P432">
        <v>17.026713069077928</v>
      </c>
      <c r="Q432">
        <v>12.448577375457662</v>
      </c>
      <c r="R432">
        <v>0.39021494932579565</v>
      </c>
      <c r="S432">
        <v>0.13297681938399986</v>
      </c>
      <c r="T432">
        <v>17.028230855832554</v>
      </c>
      <c r="U432">
        <v>1500.3931982946797</v>
      </c>
      <c r="V432">
        <v>9.7442018273831934</v>
      </c>
      <c r="W432">
        <v>1259.1535889395323</v>
      </c>
      <c r="X432">
        <v>7.0137736649864095</v>
      </c>
      <c r="Y432">
        <v>2878.2062069107383</v>
      </c>
      <c r="Z432">
        <v>9.7863225434523802</v>
      </c>
      <c r="AA432">
        <v>2718.2260359661077</v>
      </c>
      <c r="AB432">
        <v>7.0381097056344215</v>
      </c>
      <c r="AC432">
        <v>2212.5882470296306</v>
      </c>
      <c r="AD432">
        <v>9.7730382822216395</v>
      </c>
      <c r="AE432">
        <v>2014.7347315515797</v>
      </c>
      <c r="AF432">
        <v>7.0304433952071763</v>
      </c>
      <c r="AG432">
        <v>2111.613787544472</v>
      </c>
      <c r="AH432">
        <v>9.7588177499988387</v>
      </c>
      <c r="AI432">
        <v>1896.048570935757</v>
      </c>
      <c r="AJ432">
        <v>7.0222276864671596</v>
      </c>
    </row>
    <row r="433" spans="4:36" x14ac:dyDescent="0.55000000000000004">
      <c r="D433">
        <v>426</v>
      </c>
      <c r="E433">
        <v>12.496985247057461</v>
      </c>
      <c r="F433">
        <v>0.44175123040611169</v>
      </c>
      <c r="G433">
        <v>0.15224569848336406</v>
      </c>
      <c r="H433">
        <v>16.909017824053073</v>
      </c>
      <c r="I433">
        <v>12.693366146202059</v>
      </c>
      <c r="J433">
        <v>0.29510009894389383</v>
      </c>
      <c r="K433">
        <v>0.10142192870919255</v>
      </c>
      <c r="L433">
        <v>16.910111826144846</v>
      </c>
      <c r="M433">
        <v>12.623274973226689</v>
      </c>
      <c r="N433">
        <v>0.34746657176943518</v>
      </c>
      <c r="O433">
        <v>0.11953738999125549</v>
      </c>
      <c r="P433">
        <v>16.909721065012615</v>
      </c>
      <c r="Q433">
        <v>12.580799237529337</v>
      </c>
      <c r="R433">
        <v>0.37918778513699142</v>
      </c>
      <c r="S433">
        <v>0.13052855750323977</v>
      </c>
      <c r="T433">
        <v>16.90948441983042</v>
      </c>
      <c r="U433">
        <v>1493.9353021618747</v>
      </c>
      <c r="V433">
        <v>9.8602935666647173</v>
      </c>
      <c r="W433">
        <v>1256.42136147671</v>
      </c>
      <c r="X433">
        <v>7.083878282715772</v>
      </c>
      <c r="Y433">
        <v>2876.2540699370106</v>
      </c>
      <c r="Z433">
        <v>9.8957204807272365</v>
      </c>
      <c r="AA433">
        <v>2717.4773167495955</v>
      </c>
      <c r="AB433">
        <v>7.1043881517797773</v>
      </c>
      <c r="AC433">
        <v>2200.9330715570709</v>
      </c>
      <c r="AD433">
        <v>9.8830766366437377</v>
      </c>
      <c r="AE433">
        <v>2006.9230540535859</v>
      </c>
      <c r="AF433">
        <v>7.0970754826941089</v>
      </c>
      <c r="AG433">
        <v>2100.7127904285048</v>
      </c>
      <c r="AH433">
        <v>9.8754140934932444</v>
      </c>
      <c r="AI433">
        <v>1890.4522726949999</v>
      </c>
      <c r="AJ433">
        <v>7.0926398663393888</v>
      </c>
    </row>
    <row r="434" spans="4:36" x14ac:dyDescent="0.55000000000000004">
      <c r="D434">
        <v>427</v>
      </c>
      <c r="E434">
        <v>10.465387590739519</v>
      </c>
      <c r="F434">
        <v>0.3763983530874041</v>
      </c>
      <c r="G434">
        <v>0.14620029889115368</v>
      </c>
      <c r="H434">
        <v>19.012013757281931</v>
      </c>
      <c r="I434">
        <v>10.636863720199413</v>
      </c>
      <c r="J434">
        <v>0.23295583274763412</v>
      </c>
      <c r="K434">
        <v>9.0227887280037319E-2</v>
      </c>
      <c r="L434">
        <v>19.039952559772921</v>
      </c>
      <c r="M434">
        <v>10.553926824447187</v>
      </c>
      <c r="N434">
        <v>0.30234945805537466</v>
      </c>
      <c r="O434">
        <v>0.11726570568485563</v>
      </c>
      <c r="P434">
        <v>19.026458011812579</v>
      </c>
      <c r="Q434">
        <v>10.510009263201679</v>
      </c>
      <c r="R434">
        <v>0.33908364849854622</v>
      </c>
      <c r="S434">
        <v>0.13160881691992435</v>
      </c>
      <c r="T434">
        <v>19.019298271379849</v>
      </c>
      <c r="U434">
        <v>1423.7666466868761</v>
      </c>
      <c r="V434">
        <v>8.2809010793844049</v>
      </c>
      <c r="W434">
        <v>1218.8876859452275</v>
      </c>
      <c r="X434">
        <v>6.1545045993207044</v>
      </c>
      <c r="Y434">
        <v>2814.2558203541239</v>
      </c>
      <c r="Z434">
        <v>8.2987901838344111</v>
      </c>
      <c r="AA434">
        <v>2682.9106140950253</v>
      </c>
      <c r="AB434">
        <v>6.1667044607155539</v>
      </c>
      <c r="AC434">
        <v>2117.712985109722</v>
      </c>
      <c r="AD434">
        <v>8.2901270091947108</v>
      </c>
      <c r="AE434">
        <v>1956.5915663436415</v>
      </c>
      <c r="AF434">
        <v>6.160805566237979</v>
      </c>
      <c r="AG434">
        <v>2023.9997551286904</v>
      </c>
      <c r="AH434">
        <v>8.2855478168940859</v>
      </c>
      <c r="AI434">
        <v>1845.0768581078187</v>
      </c>
      <c r="AJ434">
        <v>6.1576806067799046</v>
      </c>
    </row>
    <row r="435" spans="4:36" x14ac:dyDescent="0.55000000000000004">
      <c r="D435">
        <v>428</v>
      </c>
      <c r="E435">
        <v>12.451459642083396</v>
      </c>
      <c r="F435">
        <v>0.47832251356239247</v>
      </c>
      <c r="G435">
        <v>0.16425297222952806</v>
      </c>
      <c r="H435">
        <v>16.905964872124677</v>
      </c>
      <c r="I435">
        <v>12.685460560369332</v>
      </c>
      <c r="J435">
        <v>0.29530610643622679</v>
      </c>
      <c r="K435">
        <v>0.10108670855613078</v>
      </c>
      <c r="L435">
        <v>16.918146624638304</v>
      </c>
      <c r="M435">
        <v>12.57043102045759</v>
      </c>
      <c r="N435">
        <v>0.38530658381025407</v>
      </c>
      <c r="O435">
        <v>0.13209893601835446</v>
      </c>
      <c r="P435">
        <v>16.912163459713799</v>
      </c>
      <c r="Q435">
        <v>12.549296000992658</v>
      </c>
      <c r="R435">
        <v>0.40183579903564559</v>
      </c>
      <c r="S435">
        <v>0.13780513183833154</v>
      </c>
      <c r="T435">
        <v>16.911063068133384</v>
      </c>
      <c r="U435">
        <v>1596.4698793156631</v>
      </c>
      <c r="V435">
        <v>9.8951102969194427</v>
      </c>
      <c r="W435">
        <v>1325.756287872015</v>
      </c>
      <c r="X435">
        <v>7.1092256800662232</v>
      </c>
      <c r="Y435">
        <v>2876.7804393353708</v>
      </c>
      <c r="Z435">
        <v>9.9326363741771519</v>
      </c>
      <c r="AA435">
        <v>2716.3900318271271</v>
      </c>
      <c r="AB435">
        <v>7.1313960060950254</v>
      </c>
      <c r="AC435">
        <v>2211.2351503731611</v>
      </c>
      <c r="AD435">
        <v>9.9141861147715069</v>
      </c>
      <c r="AE435">
        <v>2009.8563209399035</v>
      </c>
      <c r="AF435">
        <v>7.1205068089233112</v>
      </c>
      <c r="AG435">
        <v>2132.8063373485215</v>
      </c>
      <c r="AH435">
        <v>9.9107968358894087</v>
      </c>
      <c r="AI435">
        <v>1910.0970306917673</v>
      </c>
      <c r="AJ435">
        <v>7.1185041439251036</v>
      </c>
    </row>
    <row r="436" spans="4:36" x14ac:dyDescent="0.55000000000000004">
      <c r="D436">
        <v>429</v>
      </c>
      <c r="E436">
        <v>12.728757669626107</v>
      </c>
      <c r="F436">
        <v>0.48944224440980066</v>
      </c>
      <c r="G436">
        <v>0.15408923574533742</v>
      </c>
      <c r="H436">
        <v>16.627710850218755</v>
      </c>
      <c r="I436">
        <v>12.930555802600695</v>
      </c>
      <c r="J436">
        <v>0.33404377514314121</v>
      </c>
      <c r="K436">
        <v>0.1048620756554166</v>
      </c>
      <c r="L436">
        <v>16.630538346600733</v>
      </c>
      <c r="M436">
        <v>12.877526952679503</v>
      </c>
      <c r="N436">
        <v>0.3748997076795213</v>
      </c>
      <c r="O436">
        <v>0.11777647964633108</v>
      </c>
      <c r="P436">
        <v>16.629796859994652</v>
      </c>
      <c r="Q436">
        <v>12.81760627068682</v>
      </c>
      <c r="R436">
        <v>0.42104827657907268</v>
      </c>
      <c r="S436">
        <v>0.13238775168187078</v>
      </c>
      <c r="T436">
        <v>16.628957701052226</v>
      </c>
      <c r="U436">
        <v>1553.2119286107909</v>
      </c>
      <c r="V436">
        <v>10.029995797331447</v>
      </c>
      <c r="W436">
        <v>1293.2563658121076</v>
      </c>
      <c r="X436">
        <v>7.1754983444467708</v>
      </c>
      <c r="Y436">
        <v>2904.4205275096783</v>
      </c>
      <c r="Z436">
        <v>10.063636919228598</v>
      </c>
      <c r="AA436">
        <v>2733.273433781721</v>
      </c>
      <c r="AB436">
        <v>7.1950570080674865</v>
      </c>
      <c r="AC436">
        <v>2193.626701888772</v>
      </c>
      <c r="AD436">
        <v>10.05479595067022</v>
      </c>
      <c r="AE436">
        <v>1997.6536142638035</v>
      </c>
      <c r="AF436">
        <v>7.1899230613797229</v>
      </c>
      <c r="AG436">
        <v>2111.8604305307863</v>
      </c>
      <c r="AH436">
        <v>10.044806573067472</v>
      </c>
      <c r="AI436">
        <v>1893.2883708577147</v>
      </c>
      <c r="AJ436">
        <v>7.184117007559701</v>
      </c>
    </row>
    <row r="437" spans="4:36" x14ac:dyDescent="0.55000000000000004">
      <c r="D437">
        <v>430</v>
      </c>
      <c r="E437">
        <v>14.039789083905903</v>
      </c>
      <c r="F437">
        <v>0.48745175186639905</v>
      </c>
      <c r="G437">
        <v>0.17258274391778722</v>
      </c>
      <c r="H437">
        <v>15.300176420309903</v>
      </c>
      <c r="I437">
        <v>14.264744623479297</v>
      </c>
      <c r="J437">
        <v>0.32831246052412855</v>
      </c>
      <c r="K437">
        <v>0.11589659690931386</v>
      </c>
      <c r="L437">
        <v>15.291046319087256</v>
      </c>
      <c r="M437">
        <v>14.140801452794157</v>
      </c>
      <c r="N437">
        <v>0.41602901060612385</v>
      </c>
      <c r="O437">
        <v>0.14709954788006901</v>
      </c>
      <c r="P437">
        <v>15.296069988719637</v>
      </c>
      <c r="Q437">
        <v>14.128535486925907</v>
      </c>
      <c r="R437">
        <v>0.42470504137492726</v>
      </c>
      <c r="S437">
        <v>0.15019142474266078</v>
      </c>
      <c r="T437">
        <v>15.296568046956496</v>
      </c>
      <c r="U437">
        <v>1636.0088907298234</v>
      </c>
      <c r="V437">
        <v>11.150560548694372</v>
      </c>
      <c r="W437">
        <v>1338.0462787482293</v>
      </c>
      <c r="X437">
        <v>7.832346516533498</v>
      </c>
      <c r="Y437">
        <v>2985.2106689030697</v>
      </c>
      <c r="Z437">
        <v>11.200264065582251</v>
      </c>
      <c r="AA437">
        <v>2781.5881859908363</v>
      </c>
      <c r="AB437">
        <v>7.860218041953841</v>
      </c>
      <c r="AC437">
        <v>2313.7228696501866</v>
      </c>
      <c r="AD437">
        <v>11.172882242838229</v>
      </c>
      <c r="AE437">
        <v>2068.930124226586</v>
      </c>
      <c r="AF437">
        <v>7.8448732432225405</v>
      </c>
      <c r="AG437">
        <v>2182.1313079892384</v>
      </c>
      <c r="AH437">
        <v>11.170171991277025</v>
      </c>
      <c r="AI437">
        <v>1930.9905270941902</v>
      </c>
      <c r="AJ437">
        <v>7.8433531244758257</v>
      </c>
    </row>
    <row r="438" spans="4:36" x14ac:dyDescent="0.55000000000000004">
      <c r="D438">
        <v>431</v>
      </c>
      <c r="E438">
        <v>12.533134486197531</v>
      </c>
      <c r="F438">
        <v>0.48566759729161962</v>
      </c>
      <c r="G438">
        <v>0.18615128677989465</v>
      </c>
      <c r="H438">
        <v>16.795046629730958</v>
      </c>
      <c r="I438">
        <v>12.738193041055967</v>
      </c>
      <c r="J438">
        <v>0.32509132033165172</v>
      </c>
      <c r="K438">
        <v>0.12423906669421018</v>
      </c>
      <c r="L438">
        <v>16.812476571918165</v>
      </c>
      <c r="M438">
        <v>12.673512438898367</v>
      </c>
      <c r="N438">
        <v>0.37576333423918434</v>
      </c>
      <c r="O438">
        <v>0.14373655934331836</v>
      </c>
      <c r="P438">
        <v>16.80698766751912</v>
      </c>
      <c r="Q438">
        <v>12.622669040635055</v>
      </c>
      <c r="R438">
        <v>0.41558068267744713</v>
      </c>
      <c r="S438">
        <v>0.15908302641331004</v>
      </c>
      <c r="T438">
        <v>16.80266725027419</v>
      </c>
      <c r="U438">
        <v>1596.142782398143</v>
      </c>
      <c r="V438">
        <v>9.9072126663788893</v>
      </c>
      <c r="W438">
        <v>1316.2355628505122</v>
      </c>
      <c r="X438">
        <v>7.1053751164441632</v>
      </c>
      <c r="Y438">
        <v>2939.704165360748</v>
      </c>
      <c r="Z438">
        <v>9.9351639665126985</v>
      </c>
      <c r="AA438">
        <v>2753.7971291511667</v>
      </c>
      <c r="AB438">
        <v>7.1222731929941085</v>
      </c>
      <c r="AC438">
        <v>2268.3711371731561</v>
      </c>
      <c r="AD438">
        <v>9.9263423534318527</v>
      </c>
      <c r="AE438">
        <v>2045.0935852796833</v>
      </c>
      <c r="AF438">
        <v>7.1169472777818292</v>
      </c>
      <c r="AG438">
        <v>2188.9306443542582</v>
      </c>
      <c r="AH438">
        <v>9.9194112301843376</v>
      </c>
      <c r="AI438">
        <v>1942.1962641491984</v>
      </c>
      <c r="AJ438">
        <v>7.1127580625635591</v>
      </c>
    </row>
    <row r="439" spans="4:36" x14ac:dyDescent="0.55000000000000004">
      <c r="D439">
        <v>432</v>
      </c>
      <c r="E439">
        <v>12.299112733820694</v>
      </c>
      <c r="F439">
        <v>0.49771259739764151</v>
      </c>
      <c r="G439">
        <v>0.17187521783372073</v>
      </c>
      <c r="H439">
        <v>17.031299450947941</v>
      </c>
      <c r="I439">
        <v>12.532391481925595</v>
      </c>
      <c r="J439">
        <v>0.30945105956258856</v>
      </c>
      <c r="K439">
        <v>0.10651863322776865</v>
      </c>
      <c r="L439">
        <v>17.05163882528403</v>
      </c>
      <c r="M439">
        <v>12.43795064089675</v>
      </c>
      <c r="N439">
        <v>0.38569653285350247</v>
      </c>
      <c r="O439">
        <v>0.13293641386441729</v>
      </c>
      <c r="P439">
        <v>17.043416412385337</v>
      </c>
      <c r="Q439">
        <v>12.380032026592531</v>
      </c>
      <c r="R439">
        <v>0.43243654315618968</v>
      </c>
      <c r="S439">
        <v>0.14916557448328824</v>
      </c>
      <c r="T439">
        <v>17.038365855767999</v>
      </c>
      <c r="U439">
        <v>1522.1631622400942</v>
      </c>
      <c r="V439">
        <v>9.7769433593252835</v>
      </c>
      <c r="W439">
        <v>1269.5957506571942</v>
      </c>
      <c r="X439">
        <v>7.0374241317689581</v>
      </c>
      <c r="Y439">
        <v>2899.2852115447017</v>
      </c>
      <c r="Z439">
        <v>9.8091699315135994</v>
      </c>
      <c r="AA439">
        <v>2731.0654799773165</v>
      </c>
      <c r="AB439">
        <v>7.0569153918002003</v>
      </c>
      <c r="AC439">
        <v>2220.451252131757</v>
      </c>
      <c r="AD439">
        <v>9.7961166003066715</v>
      </c>
      <c r="AE439">
        <v>2015.8121386826876</v>
      </c>
      <c r="AF439">
        <v>7.0490311136863584</v>
      </c>
      <c r="AG439">
        <v>2117.8240188746968</v>
      </c>
      <c r="AH439">
        <v>9.7881157505085685</v>
      </c>
      <c r="AI439">
        <v>1896.2216134663931</v>
      </c>
      <c r="AJ439">
        <v>7.0441914346723999</v>
      </c>
    </row>
    <row r="440" spans="4:36" x14ac:dyDescent="0.55000000000000004">
      <c r="D440">
        <v>433</v>
      </c>
      <c r="E440">
        <v>12.882071177899531</v>
      </c>
      <c r="F440">
        <v>0.45548453738861649</v>
      </c>
      <c r="G440">
        <v>0.15832955374002522</v>
      </c>
      <c r="H440">
        <v>16.504114730971835</v>
      </c>
      <c r="I440">
        <v>13.102564149887773</v>
      </c>
      <c r="J440">
        <v>0.29649254793065555</v>
      </c>
      <c r="K440">
        <v>0.1027463336468924</v>
      </c>
      <c r="L440">
        <v>16.498196968534693</v>
      </c>
      <c r="M440">
        <v>13.009122989691685</v>
      </c>
      <c r="N440">
        <v>0.36390546318171996</v>
      </c>
      <c r="O440">
        <v>0.12627137754070944</v>
      </c>
      <c r="P440">
        <v>16.50070016958588</v>
      </c>
      <c r="Q440">
        <v>12.971429883339766</v>
      </c>
      <c r="R440">
        <v>0.39108461792050681</v>
      </c>
      <c r="S440">
        <v>0.13577363886539864</v>
      </c>
      <c r="T440">
        <v>16.501711859874327</v>
      </c>
      <c r="U440">
        <v>1552.5302041090301</v>
      </c>
      <c r="V440">
        <v>10.108580978868941</v>
      </c>
      <c r="W440">
        <v>1292.3097605965254</v>
      </c>
      <c r="X440">
        <v>7.2204087233883536</v>
      </c>
      <c r="Y440">
        <v>2894.8739357427989</v>
      </c>
      <c r="Z440">
        <v>10.154557690557148</v>
      </c>
      <c r="AA440">
        <v>2727.2309992050714</v>
      </c>
      <c r="AB440">
        <v>7.2466739209371331</v>
      </c>
      <c r="AC440">
        <v>2229.7769068496382</v>
      </c>
      <c r="AD440">
        <v>10.135076012590568</v>
      </c>
      <c r="AE440">
        <v>2022.1974235215459</v>
      </c>
      <c r="AF440">
        <v>7.2355548627244541</v>
      </c>
      <c r="AG440">
        <v>2150.3865604079833</v>
      </c>
      <c r="AH440">
        <v>10.127216300312259</v>
      </c>
      <c r="AI440">
        <v>1920.6605975613415</v>
      </c>
      <c r="AJ440">
        <v>7.2310647154103957</v>
      </c>
    </row>
    <row r="441" spans="4:36" x14ac:dyDescent="0.55000000000000004">
      <c r="D441">
        <v>434</v>
      </c>
      <c r="E441">
        <v>13.635609845975583</v>
      </c>
      <c r="F441">
        <v>0.50474299300700076</v>
      </c>
      <c r="G441">
        <v>0.18514848211818821</v>
      </c>
      <c r="H441">
        <v>15.674498678899214</v>
      </c>
      <c r="I441">
        <v>13.91103530214389</v>
      </c>
      <c r="J441">
        <v>0.31422486898588131</v>
      </c>
      <c r="K441">
        <v>0.11482223380497995</v>
      </c>
      <c r="L441">
        <v>15.659917595065256</v>
      </c>
      <c r="M441">
        <v>13.787545199611735</v>
      </c>
      <c r="N441">
        <v>0.39970288539378784</v>
      </c>
      <c r="O441">
        <v>0.14630711849486042</v>
      </c>
      <c r="P441">
        <v>15.666444796499611</v>
      </c>
      <c r="Q441">
        <v>13.729828124717688</v>
      </c>
      <c r="R441">
        <v>0.43962207689848809</v>
      </c>
      <c r="S441">
        <v>0.16104853067594554</v>
      </c>
      <c r="T441">
        <v>15.669501267707872</v>
      </c>
      <c r="U441">
        <v>1613.3418106147913</v>
      </c>
      <c r="V441">
        <v>10.751171329623638</v>
      </c>
      <c r="W441">
        <v>1322.5010913234</v>
      </c>
      <c r="X441">
        <v>7.5895839482162115</v>
      </c>
      <c r="Y441">
        <v>2935.1930095660255</v>
      </c>
      <c r="Z441">
        <v>10.807208740831094</v>
      </c>
      <c r="AA441">
        <v>2748.4923643181373</v>
      </c>
      <c r="AB441">
        <v>7.6209986404918393</v>
      </c>
      <c r="AC441">
        <v>2264.9787021782158</v>
      </c>
      <c r="AD441">
        <v>10.782089859780932</v>
      </c>
      <c r="AE441">
        <v>2037.0441997230716</v>
      </c>
      <c r="AF441">
        <v>7.6069306432313537</v>
      </c>
      <c r="AG441">
        <v>2197.2354570391085</v>
      </c>
      <c r="AH441">
        <v>10.770346340272797</v>
      </c>
      <c r="AI441">
        <v>1942.0670683618146</v>
      </c>
      <c r="AJ441">
        <v>7.6003459992498072</v>
      </c>
    </row>
    <row r="442" spans="4:36" x14ac:dyDescent="0.55000000000000004">
      <c r="D442">
        <v>435</v>
      </c>
      <c r="E442">
        <v>11.486340696032336</v>
      </c>
      <c r="F442">
        <v>0.43141194495175328</v>
      </c>
      <c r="G442">
        <v>0.16385817483261905</v>
      </c>
      <c r="H442">
        <v>17.91838918418329</v>
      </c>
      <c r="I442">
        <v>11.667023488286755</v>
      </c>
      <c r="J442">
        <v>0.28628090644998139</v>
      </c>
      <c r="K442">
        <v>0.10842411616367298</v>
      </c>
      <c r="L442">
        <v>17.938271489099584</v>
      </c>
      <c r="M442">
        <v>11.566679614982217</v>
      </c>
      <c r="N442">
        <v>0.36689996790584334</v>
      </c>
      <c r="O442">
        <v>0.13917757112559132</v>
      </c>
      <c r="P442">
        <v>17.927242845986346</v>
      </c>
      <c r="Q442">
        <v>11.580725814930982</v>
      </c>
      <c r="R442">
        <v>0.3556177341709808</v>
      </c>
      <c r="S442">
        <v>0.13486783444038267</v>
      </c>
      <c r="T442">
        <v>17.928788616457645</v>
      </c>
      <c r="U442">
        <v>1498.6595155692787</v>
      </c>
      <c r="V442">
        <v>9.0521203773899757</v>
      </c>
      <c r="W442">
        <v>1261.1872102977952</v>
      </c>
      <c r="X442">
        <v>6.6055987535340561</v>
      </c>
      <c r="Y442">
        <v>2869.880837216981</v>
      </c>
      <c r="Z442">
        <v>9.0760612305892643</v>
      </c>
      <c r="AA442">
        <v>2713.840642249158</v>
      </c>
      <c r="AB442">
        <v>6.6207620392292981</v>
      </c>
      <c r="AC442">
        <v>2196.3874356837118</v>
      </c>
      <c r="AD442">
        <v>9.062757372443297</v>
      </c>
      <c r="AE442">
        <v>2002.4983515217564</v>
      </c>
      <c r="AF442">
        <v>6.6123443405607638</v>
      </c>
      <c r="AG442">
        <v>2063.8929518045411</v>
      </c>
      <c r="AH442">
        <v>9.0646184446489588</v>
      </c>
      <c r="AI442">
        <v>1866.0769253901253</v>
      </c>
      <c r="AJ442">
        <v>6.6135231600174365</v>
      </c>
    </row>
    <row r="443" spans="4:36" x14ac:dyDescent="0.55000000000000004">
      <c r="D443">
        <v>436</v>
      </c>
      <c r="E443">
        <v>11.440015606009652</v>
      </c>
      <c r="F443">
        <v>0.41302468920983154</v>
      </c>
      <c r="G443">
        <v>0.15796730034843184</v>
      </c>
      <c r="H443">
        <v>17.988992404432103</v>
      </c>
      <c r="I443">
        <v>11.636549328572169</v>
      </c>
      <c r="J443">
        <v>0.26454380953192436</v>
      </c>
      <c r="K443">
        <v>0.10086930291466761</v>
      </c>
      <c r="L443">
        <v>17.998037558981249</v>
      </c>
      <c r="M443">
        <v>11.5601051308801</v>
      </c>
      <c r="N443">
        <v>0.32232332912476824</v>
      </c>
      <c r="O443">
        <v>0.12304621435334115</v>
      </c>
      <c r="P443">
        <v>17.994525325641789</v>
      </c>
      <c r="Q443">
        <v>11.508835627878414</v>
      </c>
      <c r="R443">
        <v>0.3610562867532825</v>
      </c>
      <c r="S443">
        <v>0.13794260055604021</v>
      </c>
      <c r="T443">
        <v>17.992165484812251</v>
      </c>
      <c r="U443">
        <v>1441.7061020025292</v>
      </c>
      <c r="V443">
        <v>9.0605773130391984</v>
      </c>
      <c r="W443">
        <v>1226.3338931955745</v>
      </c>
      <c r="X443">
        <v>6.6190808912583412</v>
      </c>
      <c r="Y443">
        <v>2837.4882643798928</v>
      </c>
      <c r="Z443">
        <v>9.0902053480863412</v>
      </c>
      <c r="AA443">
        <v>2695.4262715941131</v>
      </c>
      <c r="AB443">
        <v>6.6370319194691172</v>
      </c>
      <c r="AC443">
        <v>2143.2430352162464</v>
      </c>
      <c r="AD443">
        <v>9.0786775862637228</v>
      </c>
      <c r="AE443">
        <v>1971.587008455786</v>
      </c>
      <c r="AF443">
        <v>6.6300561105310249</v>
      </c>
      <c r="AG443">
        <v>2050.2651936837192</v>
      </c>
      <c r="AH443">
        <v>9.0709487032551248</v>
      </c>
      <c r="AI443">
        <v>1860.3065513144586</v>
      </c>
      <c r="AJ443">
        <v>6.6253729899343785</v>
      </c>
    </row>
    <row r="444" spans="4:36" x14ac:dyDescent="0.55000000000000004">
      <c r="D444">
        <v>437</v>
      </c>
      <c r="E444">
        <v>12.840365201811593</v>
      </c>
      <c r="F444">
        <v>0.46718722237019755</v>
      </c>
      <c r="G444">
        <v>0.15151197991072407</v>
      </c>
      <c r="H444">
        <v>16.540935595907474</v>
      </c>
      <c r="I444">
        <v>13.062285725881212</v>
      </c>
      <c r="J444">
        <v>0.3023086325820602</v>
      </c>
      <c r="K444">
        <v>9.7746024019825073E-2</v>
      </c>
      <c r="L444">
        <v>16.537659617516915</v>
      </c>
      <c r="M444">
        <v>12.994594522290479</v>
      </c>
      <c r="N444">
        <v>0.35262945361097336</v>
      </c>
      <c r="O444">
        <v>0.11412058528774631</v>
      </c>
      <c r="P444">
        <v>16.538655438810792</v>
      </c>
      <c r="Q444">
        <v>12.931615125468985</v>
      </c>
      <c r="R444">
        <v>0.39942494141022616</v>
      </c>
      <c r="S444">
        <v>0.12937529470074735</v>
      </c>
      <c r="T444">
        <v>16.53958463842006</v>
      </c>
      <c r="U444">
        <v>1518.1978539278621</v>
      </c>
      <c r="V444">
        <v>10.162604490027974</v>
      </c>
      <c r="W444">
        <v>1271.5288562460601</v>
      </c>
      <c r="X444">
        <v>7.2624383850890553</v>
      </c>
      <c r="Y444">
        <v>2875.651325055645</v>
      </c>
      <c r="Z444">
        <v>10.206683092666195</v>
      </c>
      <c r="AA444">
        <v>2716.0833969986356</v>
      </c>
      <c r="AB444">
        <v>7.2877035740121778</v>
      </c>
      <c r="AC444">
        <v>2161.5020581250592</v>
      </c>
      <c r="AD444">
        <v>10.193239672147605</v>
      </c>
      <c r="AE444">
        <v>1977.5856227990525</v>
      </c>
      <c r="AF444">
        <v>7.2800067558666148</v>
      </c>
      <c r="AG444">
        <v>2107.6483206858043</v>
      </c>
      <c r="AH444">
        <v>10.180730729747204</v>
      </c>
      <c r="AI444">
        <v>1893.4190894066237</v>
      </c>
      <c r="AJ444">
        <v>7.2728380911561583</v>
      </c>
    </row>
    <row r="445" spans="4:36" x14ac:dyDescent="0.55000000000000004">
      <c r="D445">
        <v>438</v>
      </c>
      <c r="E445">
        <v>12.904451068941606</v>
      </c>
      <c r="F445">
        <v>0.48696041288584396</v>
      </c>
      <c r="G445">
        <v>0.16745192566188477</v>
      </c>
      <c r="H445">
        <v>16.441136592510681</v>
      </c>
      <c r="I445">
        <v>13.150231567080265</v>
      </c>
      <c r="J445">
        <v>0.30316421259279919</v>
      </c>
      <c r="K445">
        <v>0.10388744720745931</v>
      </c>
      <c r="L445">
        <v>16.442716773119486</v>
      </c>
      <c r="M445">
        <v>13.025789161943582</v>
      </c>
      <c r="N445">
        <v>0.39626400047852312</v>
      </c>
      <c r="O445">
        <v>0.13602915200033561</v>
      </c>
      <c r="P445">
        <v>16.441917685577554</v>
      </c>
      <c r="Q445">
        <v>13.001161508680406</v>
      </c>
      <c r="R445">
        <v>0.41467889546139475</v>
      </c>
      <c r="S445">
        <v>0.14240029086385184</v>
      </c>
      <c r="T445">
        <v>16.44175930499436</v>
      </c>
      <c r="U445">
        <v>1565.3153989107707</v>
      </c>
      <c r="V445">
        <v>10.204249317750936</v>
      </c>
      <c r="W445">
        <v>1298.1526020275273</v>
      </c>
      <c r="X445">
        <v>7.2823642427618456</v>
      </c>
      <c r="Y445">
        <v>2888.9923574783761</v>
      </c>
      <c r="Z445">
        <v>10.252183764667556</v>
      </c>
      <c r="AA445">
        <v>2721.8708187198354</v>
      </c>
      <c r="AB445">
        <v>7.3101543781346372</v>
      </c>
      <c r="AC445">
        <v>2234.5913021304473</v>
      </c>
      <c r="AD445">
        <v>10.227912306519784</v>
      </c>
      <c r="AE445">
        <v>2022.4410155516068</v>
      </c>
      <c r="AF445">
        <v>7.2960962772215021</v>
      </c>
      <c r="AG445">
        <v>2157.8618684235084</v>
      </c>
      <c r="AH445">
        <v>10.223109255107872</v>
      </c>
      <c r="AI445">
        <v>1923.3939660281865</v>
      </c>
      <c r="AJ445">
        <v>7.293311104599062</v>
      </c>
    </row>
    <row r="446" spans="4:36" x14ac:dyDescent="0.55000000000000004">
      <c r="D446">
        <v>439</v>
      </c>
      <c r="E446">
        <v>12.169783575813355</v>
      </c>
      <c r="F446">
        <v>0.45632053453736754</v>
      </c>
      <c r="G446">
        <v>0.14230976253699923</v>
      </c>
      <c r="H446">
        <v>17.231586127112291</v>
      </c>
      <c r="I446">
        <v>12.398084691691739</v>
      </c>
      <c r="J446">
        <v>0.27990545590052512</v>
      </c>
      <c r="K446">
        <v>8.7018703502542608E-2</v>
      </c>
      <c r="L446">
        <v>17.234991148905188</v>
      </c>
      <c r="M446">
        <v>12.278972144410535</v>
      </c>
      <c r="N446">
        <v>0.37198095007821297</v>
      </c>
      <c r="O446">
        <v>0.11583258891306326</v>
      </c>
      <c r="P446">
        <v>17.23321431659819</v>
      </c>
      <c r="Q446">
        <v>12.247326449111576</v>
      </c>
      <c r="R446">
        <v>0.3964311516020359</v>
      </c>
      <c r="S446">
        <v>0.12350003552741257</v>
      </c>
      <c r="T446">
        <v>17.232742363758966</v>
      </c>
      <c r="U446">
        <v>1520.1217154437281</v>
      </c>
      <c r="V446">
        <v>9.594951814154026</v>
      </c>
      <c r="W446">
        <v>1274.8216680167457</v>
      </c>
      <c r="X446">
        <v>6.9272249312630976</v>
      </c>
      <c r="Y446">
        <v>2889.1745033586944</v>
      </c>
      <c r="Z446">
        <v>9.6346363235468413</v>
      </c>
      <c r="AA446">
        <v>2728.2369070552613</v>
      </c>
      <c r="AB446">
        <v>6.9504369135367376</v>
      </c>
      <c r="AC446">
        <v>2191.310829625204</v>
      </c>
      <c r="AD446">
        <v>9.6139313553202843</v>
      </c>
      <c r="AE446">
        <v>1998.5557056260172</v>
      </c>
      <c r="AF446">
        <v>6.9383373715236614</v>
      </c>
      <c r="AG446">
        <v>2107.7505217268922</v>
      </c>
      <c r="AH446">
        <v>9.6084305530856415</v>
      </c>
      <c r="AI446">
        <v>1894.7410086987509</v>
      </c>
      <c r="AJ446">
        <v>6.9351187773600769</v>
      </c>
    </row>
    <row r="447" spans="4:36" x14ac:dyDescent="0.55000000000000004">
      <c r="D447">
        <v>440</v>
      </c>
      <c r="E447">
        <v>12.741738678923912</v>
      </c>
      <c r="F447">
        <v>0.46303560916743408</v>
      </c>
      <c r="G447">
        <v>0.16523113285255461</v>
      </c>
      <c r="H447">
        <v>16.629994579056092</v>
      </c>
      <c r="I447">
        <v>12.927466655762505</v>
      </c>
      <c r="J447">
        <v>0.32498214771637074</v>
      </c>
      <c r="K447">
        <v>0.11566586324799015</v>
      </c>
      <c r="L447">
        <v>16.631885333273132</v>
      </c>
      <c r="M447">
        <v>12.885984496050233</v>
      </c>
      <c r="N447">
        <v>0.35583284594062842</v>
      </c>
      <c r="O447">
        <v>0.12671946877089663</v>
      </c>
      <c r="P447">
        <v>16.631463189238243</v>
      </c>
      <c r="Q447">
        <v>12.803258191845908</v>
      </c>
      <c r="R447">
        <v>0.4173287950117201</v>
      </c>
      <c r="S447">
        <v>0.14879195463533956</v>
      </c>
      <c r="T447">
        <v>16.630621058507046</v>
      </c>
      <c r="U447">
        <v>1544.843424801883</v>
      </c>
      <c r="V447">
        <v>10.082033480220973</v>
      </c>
      <c r="W447">
        <v>1287.7652973437384</v>
      </c>
      <c r="X447">
        <v>7.2133737083732425</v>
      </c>
      <c r="Y447">
        <v>2905.6748789136436</v>
      </c>
      <c r="Z447">
        <v>10.114393674802477</v>
      </c>
      <c r="AA447">
        <v>2733.9130364895568</v>
      </c>
      <c r="AB447">
        <v>7.2320639470567532</v>
      </c>
      <c r="AC447">
        <v>2231.098248800386</v>
      </c>
      <c r="AD447">
        <v>10.107166254067804</v>
      </c>
      <c r="AE447">
        <v>2024.9468521278918</v>
      </c>
      <c r="AF447">
        <v>7.2278942509960089</v>
      </c>
      <c r="AG447">
        <v>2116.9198133284872</v>
      </c>
      <c r="AH447">
        <v>10.092752545402872</v>
      </c>
      <c r="AI447">
        <v>1896.0524163993041</v>
      </c>
      <c r="AJ447">
        <v>7.2195706496463226</v>
      </c>
    </row>
    <row r="448" spans="4:36" x14ac:dyDescent="0.55000000000000004">
      <c r="D448">
        <v>441</v>
      </c>
      <c r="E448">
        <v>14.736641267648105</v>
      </c>
      <c r="F448">
        <v>0.48488042262178926</v>
      </c>
      <c r="G448">
        <v>0.18345915924104286</v>
      </c>
      <c r="H448">
        <v>14.595019150489065</v>
      </c>
      <c r="I448">
        <v>15.047986970652051</v>
      </c>
      <c r="J448">
        <v>0.30188823856506858</v>
      </c>
      <c r="K448">
        <v>0.11375925896888571</v>
      </c>
      <c r="L448">
        <v>14.536365531813997</v>
      </c>
      <c r="M448">
        <v>14.928850336866395</v>
      </c>
      <c r="N448">
        <v>0.37198958574069291</v>
      </c>
      <c r="O448">
        <v>0.14039208714037749</v>
      </c>
      <c r="P448">
        <v>14.558767990252534</v>
      </c>
      <c r="Q448">
        <v>14.851358944299703</v>
      </c>
      <c r="R448">
        <v>0.41753384278071437</v>
      </c>
      <c r="S448">
        <v>0.15774030266642175</v>
      </c>
      <c r="T448">
        <v>14.573366910253153</v>
      </c>
      <c r="U448">
        <v>1662.4229114968534</v>
      </c>
      <c r="V448">
        <v>11.636032698755848</v>
      </c>
      <c r="W448">
        <v>1355.0711965130233</v>
      </c>
      <c r="X448">
        <v>8.1015527252957877</v>
      </c>
      <c r="Y448">
        <v>2967.7542018991389</v>
      </c>
      <c r="Z448">
        <v>11.728380781459782</v>
      </c>
      <c r="AA448">
        <v>2769.8317868658619</v>
      </c>
      <c r="AB448">
        <v>8.1513603338650018</v>
      </c>
      <c r="AC448">
        <v>2309.3231247196468</v>
      </c>
      <c r="AD448">
        <v>11.69306842260135</v>
      </c>
      <c r="AE448">
        <v>2067.4338346161662</v>
      </c>
      <c r="AF448">
        <v>8.1323329324221518</v>
      </c>
      <c r="AG448">
        <v>2187.9207245666053</v>
      </c>
      <c r="AH448">
        <v>11.670083434412129</v>
      </c>
      <c r="AI448">
        <v>1934.1985657203347</v>
      </c>
      <c r="AJ448">
        <v>8.1199358482159951</v>
      </c>
    </row>
    <row r="449" spans="4:36" x14ac:dyDescent="0.55000000000000004">
      <c r="D449">
        <v>442</v>
      </c>
      <c r="E449">
        <v>10.790044499949108</v>
      </c>
      <c r="F449">
        <v>0.45002975203272183</v>
      </c>
      <c r="G449">
        <v>0.14467124846079762</v>
      </c>
      <c r="H449">
        <v>18.615254499557363</v>
      </c>
      <c r="I449">
        <v>11.007519916508119</v>
      </c>
      <c r="J449">
        <v>0.26196802072492625</v>
      </c>
      <c r="K449">
        <v>8.3933927043350634E-2</v>
      </c>
      <c r="L449">
        <v>18.646578135723594</v>
      </c>
      <c r="M449">
        <v>10.936833110150209</v>
      </c>
      <c r="N449">
        <v>0.32311275363189612</v>
      </c>
      <c r="O449">
        <v>0.10363651464642477</v>
      </c>
      <c r="P449">
        <v>18.636417621571471</v>
      </c>
      <c r="Q449">
        <v>10.897374085282893</v>
      </c>
      <c r="R449">
        <v>0.35723751271535542</v>
      </c>
      <c r="S449">
        <v>0.11465125633520236</v>
      </c>
      <c r="T449">
        <v>18.630737145666558</v>
      </c>
      <c r="U449">
        <v>1477.8464690149633</v>
      </c>
      <c r="V449">
        <v>8.6323729068170607</v>
      </c>
      <c r="W449">
        <v>1250.6121061072392</v>
      </c>
      <c r="X449">
        <v>6.3720922295959195</v>
      </c>
      <c r="Y449">
        <v>2835.2604057253693</v>
      </c>
      <c r="Z449">
        <v>8.6535485002580348</v>
      </c>
      <c r="AA449">
        <v>2694.5567613154872</v>
      </c>
      <c r="AB449">
        <v>6.3861944782873517</v>
      </c>
      <c r="AC449">
        <v>2134.8642901096978</v>
      </c>
      <c r="AD449">
        <v>8.6466538238641668</v>
      </c>
      <c r="AE449">
        <v>1965.903379112965</v>
      </c>
      <c r="AF449">
        <v>6.3816133541061486</v>
      </c>
      <c r="AG449">
        <v>2059.4713667973106</v>
      </c>
      <c r="AH449">
        <v>8.6428100162273598</v>
      </c>
      <c r="AI449">
        <v>1868.0737282081179</v>
      </c>
      <c r="AJ449">
        <v>6.37905499094256</v>
      </c>
    </row>
    <row r="450" spans="4:36" x14ac:dyDescent="0.55000000000000004">
      <c r="D450">
        <v>443</v>
      </c>
      <c r="E450">
        <v>13.602097416185428</v>
      </c>
      <c r="F450">
        <v>0.52908067325498631</v>
      </c>
      <c r="G450">
        <v>0.20269091757777924</v>
      </c>
      <c r="H450">
        <v>15.666130992981799</v>
      </c>
      <c r="I450">
        <v>13.924059541316092</v>
      </c>
      <c r="J450">
        <v>0.30585194399300769</v>
      </c>
      <c r="K450">
        <v>0.116660558638932</v>
      </c>
      <c r="L450">
        <v>15.653427956051962</v>
      </c>
      <c r="M450">
        <v>13.810112417074318</v>
      </c>
      <c r="N450">
        <v>0.38492768471332517</v>
      </c>
      <c r="O450">
        <v>0.14704827259708755</v>
      </c>
      <c r="P450">
        <v>15.657911625615291</v>
      </c>
      <c r="Q450">
        <v>13.748648105106716</v>
      </c>
      <c r="R450">
        <v>0.42754949183734259</v>
      </c>
      <c r="S450">
        <v>0.16346675419328657</v>
      </c>
      <c r="T450">
        <v>15.66033564886264</v>
      </c>
      <c r="U450">
        <v>1611.8935873614776</v>
      </c>
      <c r="V450">
        <v>10.840348100839288</v>
      </c>
      <c r="W450">
        <v>1325.4501191216677</v>
      </c>
      <c r="X450">
        <v>7.655732905949943</v>
      </c>
      <c r="Y450">
        <v>2929.0505920095388</v>
      </c>
      <c r="Z450">
        <v>10.914167083876835</v>
      </c>
      <c r="AA450">
        <v>2748.1204082926351</v>
      </c>
      <c r="AB450">
        <v>7.6973164518510995</v>
      </c>
      <c r="AC450">
        <v>2247.34769623902</v>
      </c>
      <c r="AD450">
        <v>10.888048093775231</v>
      </c>
      <c r="AE450">
        <v>2029.8848658311128</v>
      </c>
      <c r="AF450">
        <v>7.6826231270424685</v>
      </c>
      <c r="AG450">
        <v>2176.5462034594175</v>
      </c>
      <c r="AH450">
        <v>10.873956227832871</v>
      </c>
      <c r="AI450">
        <v>1932.9844699015457</v>
      </c>
      <c r="AJ450">
        <v>7.6746866746562015</v>
      </c>
    </row>
    <row r="451" spans="4:36" x14ac:dyDescent="0.55000000000000004">
      <c r="D451">
        <v>444</v>
      </c>
      <c r="E451">
        <v>11.497088738678608</v>
      </c>
      <c r="F451">
        <v>0.39688212132010875</v>
      </c>
      <c r="G451">
        <v>0.13961521412369712</v>
      </c>
      <c r="H451">
        <v>17.966413925877589</v>
      </c>
      <c r="I451">
        <v>11.665196417072016</v>
      </c>
      <c r="J451">
        <v>0.26898969125457478</v>
      </c>
      <c r="K451">
        <v>9.4382557076976167E-2</v>
      </c>
      <c r="L451">
        <v>17.971431334596449</v>
      </c>
      <c r="M451">
        <v>11.605374873477976</v>
      </c>
      <c r="N451">
        <v>0.31451856968954822</v>
      </c>
      <c r="O451">
        <v>0.11045814514494617</v>
      </c>
      <c r="P451">
        <v>17.96964841168753</v>
      </c>
      <c r="Q451">
        <v>11.559724598570547</v>
      </c>
      <c r="R451">
        <v>0.34924863158977348</v>
      </c>
      <c r="S451">
        <v>0.12274079942266562</v>
      </c>
      <c r="T451">
        <v>17.968285970417014</v>
      </c>
      <c r="U451">
        <v>1449.7269198956535</v>
      </c>
      <c r="V451">
        <v>9.0748752033862772</v>
      </c>
      <c r="W451">
        <v>1234.724129402239</v>
      </c>
      <c r="X451">
        <v>6.626697991669432</v>
      </c>
      <c r="Y451">
        <v>2838.4723827633252</v>
      </c>
      <c r="Z451">
        <v>9.1019674713724559</v>
      </c>
      <c r="AA451">
        <v>2696.685240996796</v>
      </c>
      <c r="AB451">
        <v>6.6429538930674692</v>
      </c>
      <c r="AC451">
        <v>2138.2979894670461</v>
      </c>
      <c r="AD451">
        <v>9.0923249463739886</v>
      </c>
      <c r="AE451">
        <v>1969.5680454875821</v>
      </c>
      <c r="AF451">
        <v>6.6371743310085947</v>
      </c>
      <c r="AG451">
        <v>2037.6460991808638</v>
      </c>
      <c r="AH451">
        <v>9.0849679024032604</v>
      </c>
      <c r="AI451">
        <v>1853.0588747292691</v>
      </c>
      <c r="AJ451">
        <v>6.6327600939444498</v>
      </c>
    </row>
    <row r="452" spans="4:36" x14ac:dyDescent="0.55000000000000004">
      <c r="D452">
        <v>445</v>
      </c>
      <c r="E452">
        <v>12.573269393341867</v>
      </c>
      <c r="F452">
        <v>0.45375860164657444</v>
      </c>
      <c r="G452">
        <v>0.17154668251943156</v>
      </c>
      <c r="H452">
        <v>16.801425322492122</v>
      </c>
      <c r="I452">
        <v>12.787306849402992</v>
      </c>
      <c r="J452">
        <v>0.29369982943793177</v>
      </c>
      <c r="K452">
        <v>0.1106876094300914</v>
      </c>
      <c r="L452">
        <v>16.808305711728991</v>
      </c>
      <c r="M452">
        <v>12.682236041606414</v>
      </c>
      <c r="N452">
        <v>0.37230412867383245</v>
      </c>
      <c r="O452">
        <v>0.1405268943048186</v>
      </c>
      <c r="P452">
        <v>16.80493293541495</v>
      </c>
      <c r="Q452">
        <v>12.656039566070554</v>
      </c>
      <c r="R452">
        <v>0.39189246140533018</v>
      </c>
      <c r="S452">
        <v>0.14797738211042469</v>
      </c>
      <c r="T452">
        <v>16.804090590413679</v>
      </c>
      <c r="U452">
        <v>1535.7136400011134</v>
      </c>
      <c r="V452">
        <v>9.9299744658507318</v>
      </c>
      <c r="W452">
        <v>1278.2481154480738</v>
      </c>
      <c r="X452">
        <v>7.121770595225593</v>
      </c>
      <c r="Y452">
        <v>2909.6279454818541</v>
      </c>
      <c r="Z452">
        <v>9.9648051122901595</v>
      </c>
      <c r="AA452">
        <v>2736.7605091445002</v>
      </c>
      <c r="AB452">
        <v>7.1423407065559426</v>
      </c>
      <c r="AC452">
        <v>2248.1347903655437</v>
      </c>
      <c r="AD452">
        <v>9.9477033184582613</v>
      </c>
      <c r="AE452">
        <v>2033.1187862571524</v>
      </c>
      <c r="AF452">
        <v>7.13225037857472</v>
      </c>
      <c r="AG452">
        <v>2127.5700127638347</v>
      </c>
      <c r="AH452">
        <v>9.9434404986117517</v>
      </c>
      <c r="AI452">
        <v>1902.4589935052031</v>
      </c>
      <c r="AJ452">
        <v>7.1297323862662765</v>
      </c>
    </row>
    <row r="453" spans="4:36" x14ac:dyDescent="0.55000000000000004">
      <c r="D453">
        <v>446</v>
      </c>
      <c r="E453">
        <v>11.387117997283855</v>
      </c>
      <c r="F453">
        <v>0.36788969454651177</v>
      </c>
      <c r="G453">
        <v>0.13787954294118193</v>
      </c>
      <c r="H453">
        <v>18.107112765228457</v>
      </c>
      <c r="I453">
        <v>11.567803602601165</v>
      </c>
      <c r="J453">
        <v>0.23937345979378219</v>
      </c>
      <c r="K453">
        <v>8.9464527404431948E-2</v>
      </c>
      <c r="L453">
        <v>18.103358410200606</v>
      </c>
      <c r="M453">
        <v>11.490108645543776</v>
      </c>
      <c r="N453">
        <v>0.29466131555408148</v>
      </c>
      <c r="O453">
        <v>0.1102593294396922</v>
      </c>
      <c r="P453">
        <v>18.104970709462453</v>
      </c>
      <c r="Q453">
        <v>11.41293299853397</v>
      </c>
      <c r="R453">
        <v>0.34954117369167187</v>
      </c>
      <c r="S453">
        <v>0.13095049719762358</v>
      </c>
      <c r="T453">
        <v>18.106575330576735</v>
      </c>
      <c r="U453">
        <v>1468.0159629703319</v>
      </c>
      <c r="V453">
        <v>8.8870841201424877</v>
      </c>
      <c r="W453">
        <v>1249.5281569504057</v>
      </c>
      <c r="X453">
        <v>6.5053979438681457</v>
      </c>
      <c r="Y453">
        <v>2845.6421412895766</v>
      </c>
      <c r="Z453">
        <v>8.9218931336695437</v>
      </c>
      <c r="AA453">
        <v>2703.5943359543699</v>
      </c>
      <c r="AB453">
        <v>6.5258273873523533</v>
      </c>
      <c r="AC453">
        <v>2152.0496888602902</v>
      </c>
      <c r="AD453">
        <v>8.9069265324861977</v>
      </c>
      <c r="AE453">
        <v>1980.483191021958</v>
      </c>
      <c r="AF453">
        <v>6.5170515735190779</v>
      </c>
      <c r="AG453">
        <v>2057.5610435669382</v>
      </c>
      <c r="AH453">
        <v>8.8920580233192066</v>
      </c>
      <c r="AI453">
        <v>1866.9089002244689</v>
      </c>
      <c r="AJ453">
        <v>6.5083211950631066</v>
      </c>
    </row>
    <row r="454" spans="4:36" x14ac:dyDescent="0.55000000000000004">
      <c r="D454">
        <v>447</v>
      </c>
      <c r="E454">
        <v>10.645741550535227</v>
      </c>
      <c r="F454">
        <v>0.39072576600555758</v>
      </c>
      <c r="G454">
        <v>0.13496862353440356</v>
      </c>
      <c r="H454">
        <v>18.828564059924815</v>
      </c>
      <c r="I454">
        <v>10.821997633832266</v>
      </c>
      <c r="J454">
        <v>0.24666286400518059</v>
      </c>
      <c r="K454">
        <v>8.495883304319761E-2</v>
      </c>
      <c r="L454">
        <v>18.846380669119341</v>
      </c>
      <c r="M454">
        <v>10.75410804059895</v>
      </c>
      <c r="N454">
        <v>0.30216946381499293</v>
      </c>
      <c r="O454">
        <v>0.10419269109538111</v>
      </c>
      <c r="P454">
        <v>18.839529804490677</v>
      </c>
      <c r="Q454">
        <v>10.696713650560937</v>
      </c>
      <c r="R454">
        <v>0.34907855030630119</v>
      </c>
      <c r="S454">
        <v>0.12048114317131531</v>
      </c>
      <c r="T454">
        <v>18.83372665596146</v>
      </c>
      <c r="U454">
        <v>1434.9902259974913</v>
      </c>
      <c r="V454">
        <v>8.3723590473806837</v>
      </c>
      <c r="W454">
        <v>1227.8037825043737</v>
      </c>
      <c r="X454">
        <v>6.2024791555873238</v>
      </c>
      <c r="Y454">
        <v>2805.3078090262729</v>
      </c>
      <c r="Z454">
        <v>8.3939040438178374</v>
      </c>
      <c r="AA454">
        <v>2676.0995824363326</v>
      </c>
      <c r="AB454">
        <v>6.2163032011061725</v>
      </c>
      <c r="AC454">
        <v>2114.2191100261139</v>
      </c>
      <c r="AD454">
        <v>8.3855987780568775</v>
      </c>
      <c r="AE454">
        <v>1955.3945030082689</v>
      </c>
      <c r="AF454">
        <v>6.2109821340157643</v>
      </c>
      <c r="AG454">
        <v>2011.2969373271951</v>
      </c>
      <c r="AH454">
        <v>8.3785839294117856</v>
      </c>
      <c r="AI454">
        <v>1836.3689088513918</v>
      </c>
      <c r="AJ454">
        <v>6.2064801331217838</v>
      </c>
    </row>
    <row r="455" spans="4:36" x14ac:dyDescent="0.55000000000000004">
      <c r="D455">
        <v>448</v>
      </c>
      <c r="E455">
        <v>11.476328642610207</v>
      </c>
      <c r="F455">
        <v>0.4500398215820508</v>
      </c>
      <c r="G455">
        <v>0.16311250922529355</v>
      </c>
      <c r="H455">
        <v>17.910519026582453</v>
      </c>
      <c r="I455">
        <v>11.66650355429182</v>
      </c>
      <c r="J455">
        <v>0.28987332308262986</v>
      </c>
      <c r="K455">
        <v>0.10474455569432986</v>
      </c>
      <c r="L455">
        <v>17.938878566931233</v>
      </c>
      <c r="M455">
        <v>11.594305587185383</v>
      </c>
      <c r="N455">
        <v>0.35069565145591092</v>
      </c>
      <c r="O455">
        <v>0.12686740065589663</v>
      </c>
      <c r="P455">
        <v>17.928131360702814</v>
      </c>
      <c r="Q455">
        <v>11.545327055534221</v>
      </c>
      <c r="R455">
        <v>0.39194540016958018</v>
      </c>
      <c r="S455">
        <v>0.14190034543767938</v>
      </c>
      <c r="T455">
        <v>17.920827198858532</v>
      </c>
      <c r="U455">
        <v>1483.1389387570102</v>
      </c>
      <c r="V455">
        <v>9.0550196430122583</v>
      </c>
      <c r="W455">
        <v>1249.9421736460306</v>
      </c>
      <c r="X455">
        <v>6.6057076967595654</v>
      </c>
      <c r="Y455">
        <v>2880.5949079351672</v>
      </c>
      <c r="Z455">
        <v>9.0738020075190224</v>
      </c>
      <c r="AA455">
        <v>2722.5542383249053</v>
      </c>
      <c r="AB455">
        <v>6.6181723843965301</v>
      </c>
      <c r="AC455">
        <v>2164.713282482559</v>
      </c>
      <c r="AD455">
        <v>9.0666605282484483</v>
      </c>
      <c r="AE455">
        <v>1982.0736057107999</v>
      </c>
      <c r="AF455">
        <v>6.6134415812745786</v>
      </c>
      <c r="AG455">
        <v>2070.0095817479155</v>
      </c>
      <c r="AH455">
        <v>9.0618234095863173</v>
      </c>
      <c r="AI455">
        <v>1868.9595269865197</v>
      </c>
      <c r="AJ455">
        <v>6.6102313480063044</v>
      </c>
    </row>
    <row r="456" spans="4:36" x14ac:dyDescent="0.55000000000000004">
      <c r="D456">
        <v>449</v>
      </c>
      <c r="E456">
        <v>10.421837151932241</v>
      </c>
      <c r="F456">
        <v>0.39317848538849609</v>
      </c>
      <c r="G456">
        <v>0.15253354168287786</v>
      </c>
      <c r="H456">
        <v>19.032450820996388</v>
      </c>
      <c r="I456">
        <v>10.584102228448705</v>
      </c>
      <c r="J456">
        <v>0.25551825223105656</v>
      </c>
      <c r="K456">
        <v>9.885102461912694E-2</v>
      </c>
      <c r="L456">
        <v>19.061528494701101</v>
      </c>
      <c r="M456">
        <v>10.536817238525794</v>
      </c>
      <c r="N456">
        <v>0.29564407610299342</v>
      </c>
      <c r="O456">
        <v>0.11446728778117901</v>
      </c>
      <c r="P456">
        <v>19.053071397590031</v>
      </c>
      <c r="Q456">
        <v>10.483104789607848</v>
      </c>
      <c r="R456">
        <v>0.34121343376505275</v>
      </c>
      <c r="S456">
        <v>0.1322332764959806</v>
      </c>
      <c r="T456">
        <v>19.043448500131127</v>
      </c>
      <c r="U456">
        <v>1426.8545157158035</v>
      </c>
      <c r="V456">
        <v>8.1930191154362806</v>
      </c>
      <c r="W456">
        <v>1222.4717603431222</v>
      </c>
      <c r="X456">
        <v>6.0902146564380732</v>
      </c>
      <c r="Y456">
        <v>2811.7616852092801</v>
      </c>
      <c r="Z456">
        <v>8.2059760055082336</v>
      </c>
      <c r="AA456">
        <v>2680.7600799293914</v>
      </c>
      <c r="AB456">
        <v>6.0996475365447296</v>
      </c>
      <c r="AC456">
        <v>2105.7641878530403</v>
      </c>
      <c r="AD456">
        <v>8.2021904320595738</v>
      </c>
      <c r="AE456">
        <v>1950.3684656046453</v>
      </c>
      <c r="AF456">
        <v>6.0968986845800197</v>
      </c>
      <c r="AG456">
        <v>2000.8756942879768</v>
      </c>
      <c r="AH456">
        <v>8.1979000957674657</v>
      </c>
      <c r="AI456">
        <v>1829.9854230521344</v>
      </c>
      <c r="AJ456">
        <v>6.0937762372783082</v>
      </c>
    </row>
    <row r="457" spans="4:36" x14ac:dyDescent="0.55000000000000004">
      <c r="D457">
        <v>450</v>
      </c>
      <c r="E457">
        <v>12.064009309958733</v>
      </c>
      <c r="F457">
        <v>0.40542556575387639</v>
      </c>
      <c r="G457">
        <v>0.1539777307907722</v>
      </c>
      <c r="H457">
        <v>17.376587393496614</v>
      </c>
      <c r="I457">
        <v>12.245623101084334</v>
      </c>
      <c r="J457">
        <v>0.27562733336766221</v>
      </c>
      <c r="K457">
        <v>0.10438128748463948</v>
      </c>
      <c r="L457">
        <v>17.374368278063351</v>
      </c>
      <c r="M457">
        <v>12.166333921664455</v>
      </c>
      <c r="N457">
        <v>0.33231997895503973</v>
      </c>
      <c r="O457">
        <v>0.12600828431193598</v>
      </c>
      <c r="P457">
        <v>17.375337815068558</v>
      </c>
      <c r="Q457">
        <v>12.126198356383281</v>
      </c>
      <c r="R457">
        <v>0.36100251939197198</v>
      </c>
      <c r="S457">
        <v>0.13697095596342829</v>
      </c>
      <c r="T457">
        <v>17.375828168261304</v>
      </c>
      <c r="U457">
        <v>1486.4093393027977</v>
      </c>
      <c r="V457">
        <v>9.469751919139977</v>
      </c>
      <c r="W457">
        <v>1255.2442705482372</v>
      </c>
      <c r="X457">
        <v>6.8520800966036219</v>
      </c>
      <c r="Y457">
        <v>2865.2513638392006</v>
      </c>
      <c r="Z457">
        <v>9.5062495244864724</v>
      </c>
      <c r="AA457">
        <v>2711.9897407371041</v>
      </c>
      <c r="AB457">
        <v>6.8735353674374498</v>
      </c>
      <c r="AC457">
        <v>2185.9145213020165</v>
      </c>
      <c r="AD457">
        <v>9.4903142621305676</v>
      </c>
      <c r="AE457">
        <v>1998.527514792796</v>
      </c>
      <c r="AF457">
        <v>6.8641761783353621</v>
      </c>
      <c r="AG457">
        <v>2087.2275682537916</v>
      </c>
      <c r="AH457">
        <v>9.4822485990390195</v>
      </c>
      <c r="AI457">
        <v>1883.502458159601</v>
      </c>
      <c r="AJ457">
        <v>6.8594340469793158</v>
      </c>
    </row>
    <row r="458" spans="4:36" x14ac:dyDescent="0.55000000000000004">
      <c r="D458">
        <v>451</v>
      </c>
      <c r="E458">
        <v>13.265792899165767</v>
      </c>
      <c r="F458">
        <v>0.49877100300594773</v>
      </c>
      <c r="G458">
        <v>0.15742138244430062</v>
      </c>
      <c r="H458">
        <v>16.07801471538399</v>
      </c>
      <c r="I458">
        <v>13.514301225526548</v>
      </c>
      <c r="J458">
        <v>0.31792451714779246</v>
      </c>
      <c r="K458">
        <v>0.10000880574858528</v>
      </c>
      <c r="L458">
        <v>16.067765451577088</v>
      </c>
      <c r="M458">
        <v>13.400044219633678</v>
      </c>
      <c r="N458">
        <v>0.40111592991895278</v>
      </c>
      <c r="O458">
        <v>0.12637094187116643</v>
      </c>
      <c r="P458">
        <v>16.072468908576209</v>
      </c>
      <c r="Q458">
        <v>13.319181213400384</v>
      </c>
      <c r="R458">
        <v>0.45994837308642428</v>
      </c>
      <c r="S458">
        <v>0.14506363641342818</v>
      </c>
      <c r="T458">
        <v>16.075806777099775</v>
      </c>
      <c r="U458">
        <v>1571.4738485433054</v>
      </c>
      <c r="V458">
        <v>10.451800500491805</v>
      </c>
      <c r="W458">
        <v>1300.3009195184491</v>
      </c>
      <c r="X458">
        <v>7.4205037945684262</v>
      </c>
      <c r="Y458">
        <v>2908.5396205187949</v>
      </c>
      <c r="Z458">
        <v>10.504586356766875</v>
      </c>
      <c r="AA458">
        <v>2733.8449955312967</v>
      </c>
      <c r="AB458">
        <v>7.4504108508322879</v>
      </c>
      <c r="AC458">
        <v>2261.7262173581494</v>
      </c>
      <c r="AD458">
        <v>10.480320930119506</v>
      </c>
      <c r="AE458">
        <v>2040.3701964764555</v>
      </c>
      <c r="AF458">
        <v>7.4366753138965782</v>
      </c>
      <c r="AG458">
        <v>2173.7550976740358</v>
      </c>
      <c r="AH458">
        <v>10.463143479270174</v>
      </c>
      <c r="AI458">
        <v>1930.2816043341857</v>
      </c>
      <c r="AJ458">
        <v>7.4269390152632893</v>
      </c>
    </row>
    <row r="459" spans="4:36" x14ac:dyDescent="0.55000000000000004">
      <c r="D459">
        <v>452</v>
      </c>
      <c r="E459">
        <v>11.437421605073778</v>
      </c>
      <c r="F459">
        <v>0.41582211903081928</v>
      </c>
      <c r="G459">
        <v>0.14022850286799307</v>
      </c>
      <c r="H459">
        <v>18.006527773027411</v>
      </c>
      <c r="I459">
        <v>11.622029630852454</v>
      </c>
      <c r="J459">
        <v>0.27218630876789868</v>
      </c>
      <c r="K459">
        <v>9.1529246124724226E-2</v>
      </c>
      <c r="L459">
        <v>18.014254814254915</v>
      </c>
      <c r="M459">
        <v>11.544044260900568</v>
      </c>
      <c r="N459">
        <v>0.33288534762740435</v>
      </c>
      <c r="O459">
        <v>0.11207484153509498</v>
      </c>
      <c r="P459">
        <v>18.010995549936943</v>
      </c>
      <c r="Q459">
        <v>11.534947940041326</v>
      </c>
      <c r="R459">
        <v>0.33996329110927931</v>
      </c>
      <c r="S459">
        <v>0.11447385158451245</v>
      </c>
      <c r="T459">
        <v>18.010614917264885</v>
      </c>
      <c r="U459">
        <v>1458.1366578191969</v>
      </c>
      <c r="V459">
        <v>8.9504570202424869</v>
      </c>
      <c r="W459">
        <v>1238.753293721353</v>
      </c>
      <c r="X459">
        <v>6.540718456657781</v>
      </c>
      <c r="Y459">
        <v>2845.1408462919017</v>
      </c>
      <c r="Z459">
        <v>8.9800545587676375</v>
      </c>
      <c r="AA459">
        <v>2700.8242102964255</v>
      </c>
      <c r="AB459">
        <v>6.5586669762205272</v>
      </c>
      <c r="AC459">
        <v>2168.8678050626795</v>
      </c>
      <c r="AD459">
        <v>8.9675479211871156</v>
      </c>
      <c r="AE459">
        <v>1990.0557504578589</v>
      </c>
      <c r="AF459">
        <v>6.5510910597051213</v>
      </c>
      <c r="AG459">
        <v>2039.9107391381381</v>
      </c>
      <c r="AH459">
        <v>8.9660894642039963</v>
      </c>
      <c r="AI459">
        <v>1854.7290150718129</v>
      </c>
      <c r="AJ459">
        <v>6.550206805533211</v>
      </c>
    </row>
    <row r="460" spans="4:36" x14ac:dyDescent="0.55000000000000004">
      <c r="D460">
        <v>453</v>
      </c>
      <c r="E460">
        <v>11.974231831316654</v>
      </c>
      <c r="F460">
        <v>0.448741825581846</v>
      </c>
      <c r="G460">
        <v>0.14621496521421801</v>
      </c>
      <c r="H460">
        <v>17.430811377887274</v>
      </c>
      <c r="I460">
        <v>12.176395884998431</v>
      </c>
      <c r="J460">
        <v>0.28635426076007808</v>
      </c>
      <c r="K460">
        <v>9.3037161275894287E-2</v>
      </c>
      <c r="L460">
        <v>17.4442126929656</v>
      </c>
      <c r="M460">
        <v>12.081591025789287</v>
      </c>
      <c r="N460">
        <v>0.36252955252589458</v>
      </c>
      <c r="O460">
        <v>0.11794425671000607</v>
      </c>
      <c r="P460">
        <v>17.437935164974835</v>
      </c>
      <c r="Q460">
        <v>12.046278182526951</v>
      </c>
      <c r="R460">
        <v>0.39089263362055093</v>
      </c>
      <c r="S460">
        <v>0.12723542899721293</v>
      </c>
      <c r="T460">
        <v>17.435593754855287</v>
      </c>
      <c r="U460">
        <v>1493.8714499969046</v>
      </c>
      <c r="V460">
        <v>9.3857643071594747</v>
      </c>
      <c r="W460">
        <v>1255.953984420102</v>
      </c>
      <c r="X460">
        <v>6.796570166800322</v>
      </c>
      <c r="Y460">
        <v>2874.3833343575488</v>
      </c>
      <c r="Z460">
        <v>9.4154792204907487</v>
      </c>
      <c r="AA460">
        <v>2716.908964451904</v>
      </c>
      <c r="AB460">
        <v>6.8144091479764146</v>
      </c>
      <c r="AC460">
        <v>2206.0202615771718</v>
      </c>
      <c r="AD460">
        <v>9.4015408012964379</v>
      </c>
      <c r="AE460">
        <v>2009.7159821258304</v>
      </c>
      <c r="AF460">
        <v>6.8060499653217699</v>
      </c>
      <c r="AG460">
        <v>2115.7368352193303</v>
      </c>
      <c r="AH460">
        <v>9.396350653375416</v>
      </c>
      <c r="AI460">
        <v>1900.7420340430197</v>
      </c>
      <c r="AJ460">
        <v>6.8029334601732021</v>
      </c>
    </row>
    <row r="461" spans="4:36" x14ac:dyDescent="0.55000000000000004">
      <c r="D461">
        <v>454</v>
      </c>
      <c r="E461">
        <v>13.278596449515161</v>
      </c>
      <c r="F461">
        <v>0.48919770009887242</v>
      </c>
      <c r="G461">
        <v>0.17106146711735581</v>
      </c>
      <c r="H461">
        <v>16.061144383268626</v>
      </c>
      <c r="I461">
        <v>13.514266147661852</v>
      </c>
      <c r="J461">
        <v>0.3131445649013091</v>
      </c>
      <c r="K461">
        <v>0.10914511357280107</v>
      </c>
      <c r="L461">
        <v>16.063444173864031</v>
      </c>
      <c r="M461">
        <v>13.402275496170457</v>
      </c>
      <c r="N461">
        <v>0.3968422944715953</v>
      </c>
      <c r="O461">
        <v>0.13853005782241351</v>
      </c>
      <c r="P461">
        <v>16.062352151535528</v>
      </c>
      <c r="Q461">
        <v>13.388146120591305</v>
      </c>
      <c r="R461">
        <v>0.40739733621896129</v>
      </c>
      <c r="S461">
        <v>0.14224227544257467</v>
      </c>
      <c r="T461">
        <v>16.062214267747173</v>
      </c>
      <c r="U461">
        <v>1569.1438223368091</v>
      </c>
      <c r="V461">
        <v>10.45535662346845</v>
      </c>
      <c r="W461">
        <v>1298.6558616083266</v>
      </c>
      <c r="X461">
        <v>7.4195024181464166</v>
      </c>
      <c r="Y461">
        <v>2920.0897971978052</v>
      </c>
      <c r="Z461">
        <v>10.496582690559837</v>
      </c>
      <c r="AA461">
        <v>2742.0425780425553</v>
      </c>
      <c r="AB461">
        <v>7.4432067794249797</v>
      </c>
      <c r="AC461">
        <v>2247.6293331002821</v>
      </c>
      <c r="AD461">
        <v>10.476991454993046</v>
      </c>
      <c r="AE461">
        <v>2030.118569165538</v>
      </c>
      <c r="AF461">
        <v>7.4319523805938177</v>
      </c>
      <c r="AG461">
        <v>2147.2739333586628</v>
      </c>
      <c r="AH461">
        <v>10.474519782475651</v>
      </c>
      <c r="AI461">
        <v>1914.5100754130763</v>
      </c>
      <c r="AJ461">
        <v>7.4305311873122122</v>
      </c>
    </row>
    <row r="462" spans="4:36" x14ac:dyDescent="0.55000000000000004">
      <c r="D462">
        <v>455</v>
      </c>
      <c r="E462">
        <v>12.099009196564456</v>
      </c>
      <c r="F462">
        <v>0.43661228439332028</v>
      </c>
      <c r="G462">
        <v>0.13512125378858281</v>
      </c>
      <c r="H462">
        <v>17.329257265253656</v>
      </c>
      <c r="I462">
        <v>12.29333162533122</v>
      </c>
      <c r="J462">
        <v>0.28879605674785869</v>
      </c>
      <c r="K462">
        <v>8.9123272534298692E-2</v>
      </c>
      <c r="L462">
        <v>17.32874904538663</v>
      </c>
      <c r="M462">
        <v>12.228409521888493</v>
      </c>
      <c r="N462">
        <v>0.33820342195738157</v>
      </c>
      <c r="O462">
        <v>0.10446873170401103</v>
      </c>
      <c r="P462">
        <v>17.3289183244501</v>
      </c>
      <c r="Q462">
        <v>12.186761356463563</v>
      </c>
      <c r="R462">
        <v>0.36988675613892924</v>
      </c>
      <c r="S462">
        <v>0.11432469803904333</v>
      </c>
      <c r="T462">
        <v>17.329027189358456</v>
      </c>
      <c r="U462">
        <v>1497.9281063760031</v>
      </c>
      <c r="V462">
        <v>9.5313855562257235</v>
      </c>
      <c r="W462">
        <v>1262.5472648735206</v>
      </c>
      <c r="X462">
        <v>6.8910482389314129</v>
      </c>
      <c r="Y462">
        <v>2858.7169411913187</v>
      </c>
      <c r="Z462">
        <v>9.5663701033119235</v>
      </c>
      <c r="AA462">
        <v>2707.0764418432755</v>
      </c>
      <c r="AB462">
        <v>6.9114602412869415</v>
      </c>
      <c r="AC462">
        <v>2166.2963726319845</v>
      </c>
      <c r="AD462">
        <v>9.554682215468608</v>
      </c>
      <c r="AE462">
        <v>1984.7490596354285</v>
      </c>
      <c r="AF462">
        <v>6.9046482377716556</v>
      </c>
      <c r="AG462">
        <v>2060.062516189771</v>
      </c>
      <c r="AH462">
        <v>9.5471841811152611</v>
      </c>
      <c r="AI462">
        <v>1864.0878576520215</v>
      </c>
      <c r="AJ462">
        <v>6.900274304462541</v>
      </c>
    </row>
    <row r="463" spans="4:36" x14ac:dyDescent="0.55000000000000004">
      <c r="D463">
        <v>456</v>
      </c>
      <c r="E463">
        <v>12.823951837908703</v>
      </c>
      <c r="F463">
        <v>0.48641713050833524</v>
      </c>
      <c r="G463">
        <v>0.15349934918609226</v>
      </c>
      <c r="H463">
        <v>16.53613168239686</v>
      </c>
      <c r="I463">
        <v>13.037590863036499</v>
      </c>
      <c r="J463">
        <v>0.32469429892676127</v>
      </c>
      <c r="K463">
        <v>0.10216783298560553</v>
      </c>
      <c r="L463">
        <v>16.535547005051129</v>
      </c>
      <c r="M463">
        <v>12.960676644062575</v>
      </c>
      <c r="N463">
        <v>0.3829455049519746</v>
      </c>
      <c r="O463">
        <v>0.12062226580546268</v>
      </c>
      <c r="P463">
        <v>16.535755585180002</v>
      </c>
      <c r="Q463">
        <v>12.94384367553347</v>
      </c>
      <c r="R463">
        <v>0.39568984420014641</v>
      </c>
      <c r="S463">
        <v>0.12466496085371105</v>
      </c>
      <c r="T463">
        <v>16.535801519412679</v>
      </c>
      <c r="U463">
        <v>1555.5938102212351</v>
      </c>
      <c r="V463">
        <v>10.10392430068916</v>
      </c>
      <c r="W463">
        <v>1294.5490606947978</v>
      </c>
      <c r="X463">
        <v>7.2195579141821975</v>
      </c>
      <c r="Y463">
        <v>2905.6475018103433</v>
      </c>
      <c r="Z463">
        <v>10.142866453269534</v>
      </c>
      <c r="AA463">
        <v>2734.3940772720921</v>
      </c>
      <c r="AB463">
        <v>7.2419632811543284</v>
      </c>
      <c r="AC463">
        <v>2211.8377050114941</v>
      </c>
      <c r="AD463">
        <v>10.128847399344469</v>
      </c>
      <c r="AE463">
        <v>2009.7089828743094</v>
      </c>
      <c r="AF463">
        <v>7.2339056961748494</v>
      </c>
      <c r="AG463">
        <v>2104.651265404686</v>
      </c>
      <c r="AH463">
        <v>10.12577914484755</v>
      </c>
      <c r="AI463">
        <v>1889.3130554722682</v>
      </c>
      <c r="AJ463">
        <v>7.2321409522323012</v>
      </c>
    </row>
    <row r="464" spans="4:36" x14ac:dyDescent="0.55000000000000004">
      <c r="D464">
        <v>457</v>
      </c>
      <c r="E464">
        <v>14.236891816584592</v>
      </c>
      <c r="F464">
        <v>0.45591934502591924</v>
      </c>
      <c r="G464">
        <v>0.17004892078362899</v>
      </c>
      <c r="H464">
        <v>15.137139917605857</v>
      </c>
      <c r="I464">
        <v>14.492725355760429</v>
      </c>
      <c r="J464">
        <v>0.29940830523001349</v>
      </c>
      <c r="K464">
        <v>0.11129657532027358</v>
      </c>
      <c r="L464">
        <v>15.096569763689297</v>
      </c>
      <c r="M464">
        <v>14.405218665876689</v>
      </c>
      <c r="N464">
        <v>0.35299268991588439</v>
      </c>
      <c r="O464">
        <v>0.1313660803933635</v>
      </c>
      <c r="P464">
        <v>15.110422563814069</v>
      </c>
      <c r="Q464">
        <v>14.330983370038087</v>
      </c>
      <c r="R464">
        <v>0.39840934637105024</v>
      </c>
      <c r="S464">
        <v>0.148413326486454</v>
      </c>
      <c r="T464">
        <v>15.122193957104409</v>
      </c>
      <c r="U464">
        <v>1606.8216649515516</v>
      </c>
      <c r="V464">
        <v>11.220908596154286</v>
      </c>
      <c r="W464">
        <v>1321.8837141442684</v>
      </c>
      <c r="X464">
        <v>7.8659336380936917</v>
      </c>
      <c r="Y464">
        <v>2919.7004617958191</v>
      </c>
      <c r="Z464">
        <v>11.291124162155139</v>
      </c>
      <c r="AA464">
        <v>2738.9191563881704</v>
      </c>
      <c r="AB464">
        <v>7.9040471735745967</v>
      </c>
      <c r="AC464">
        <v>2266.214851785945</v>
      </c>
      <c r="AD464">
        <v>11.267122363057714</v>
      </c>
      <c r="AE464">
        <v>2041.6389774757185</v>
      </c>
      <c r="AF464">
        <v>7.8910303772141326</v>
      </c>
      <c r="AG464">
        <v>2183.8911955092494</v>
      </c>
      <c r="AH464">
        <v>11.246748431807223</v>
      </c>
      <c r="AI464">
        <v>1936.0095519746062</v>
      </c>
      <c r="AJ464">
        <v>7.8799716773764628</v>
      </c>
    </row>
    <row r="465" spans="4:36" x14ac:dyDescent="0.55000000000000004">
      <c r="D465">
        <v>458</v>
      </c>
      <c r="E465">
        <v>12.726871299944111</v>
      </c>
      <c r="F465">
        <v>0.4399375473480226</v>
      </c>
      <c r="G465">
        <v>0.15604790360797133</v>
      </c>
      <c r="H465">
        <v>16.677143249099874</v>
      </c>
      <c r="I465">
        <v>12.967783954930958</v>
      </c>
      <c r="J465">
        <v>0.27283003657079863</v>
      </c>
      <c r="K465">
        <v>9.6442970316698698E-2</v>
      </c>
      <c r="L465">
        <v>16.662943038181567</v>
      </c>
      <c r="M465">
        <v>12.849654934052683</v>
      </c>
      <c r="N465">
        <v>0.35481533921445807</v>
      </c>
      <c r="O465">
        <v>0.1256341720442806</v>
      </c>
      <c r="P465">
        <v>16.669895554688598</v>
      </c>
      <c r="Q465">
        <v>12.824369042607469</v>
      </c>
      <c r="R465">
        <v>0.37235312468846965</v>
      </c>
      <c r="S465">
        <v>0.13189147682956934</v>
      </c>
      <c r="T465">
        <v>16.671386355874482</v>
      </c>
      <c r="U465">
        <v>1561.0501601876715</v>
      </c>
      <c r="V465">
        <v>10.047326875242033</v>
      </c>
      <c r="W465">
        <v>1300.4959704044677</v>
      </c>
      <c r="X465">
        <v>7.1950608677594516</v>
      </c>
      <c r="Y465">
        <v>2885.8098080834066</v>
      </c>
      <c r="Z465">
        <v>10.101464252688013</v>
      </c>
      <c r="AA465">
        <v>2723.0147003846905</v>
      </c>
      <c r="AB465">
        <v>7.225778328401435</v>
      </c>
      <c r="AC465">
        <v>2235.4885552737865</v>
      </c>
      <c r="AD465">
        <v>10.074924543761972</v>
      </c>
      <c r="AE465">
        <v>2027.6731469732501</v>
      </c>
      <c r="AF465">
        <v>7.2107328814395473</v>
      </c>
      <c r="AG465">
        <v>2134.852361621834</v>
      </c>
      <c r="AH465">
        <v>10.069242142231955</v>
      </c>
      <c r="AI465">
        <v>1911.6437812494141</v>
      </c>
      <c r="AJ465">
        <v>7.2075082384862919</v>
      </c>
    </row>
    <row r="466" spans="4:36" x14ac:dyDescent="0.55000000000000004">
      <c r="D466">
        <v>459</v>
      </c>
      <c r="E466">
        <v>15.910077037551758</v>
      </c>
      <c r="F466">
        <v>0.55722720746025001</v>
      </c>
      <c r="G466">
        <v>0.18873715640214608</v>
      </c>
      <c r="H466">
        <v>13.343958598585864</v>
      </c>
      <c r="I466">
        <v>16.197930533721578</v>
      </c>
      <c r="J466">
        <v>0.37080648105585845</v>
      </c>
      <c r="K466">
        <v>0.12517109652710429</v>
      </c>
      <c r="L466">
        <v>13.306091888695471</v>
      </c>
      <c r="M466">
        <v>16.081434382987499</v>
      </c>
      <c r="N466">
        <v>0.44631177819567952</v>
      </c>
      <c r="O466">
        <v>0.15086431926981198</v>
      </c>
      <c r="P466">
        <v>13.321389519546992</v>
      </c>
      <c r="Q466">
        <v>16.010926712997534</v>
      </c>
      <c r="R466">
        <v>0.49197103569093326</v>
      </c>
      <c r="S466">
        <v>0.16643610185412291</v>
      </c>
      <c r="T466">
        <v>13.330666149457389</v>
      </c>
      <c r="U466">
        <v>1720.9657468375015</v>
      </c>
      <c r="V466">
        <v>12.586756256097788</v>
      </c>
      <c r="W466">
        <v>1379.1852438952851</v>
      </c>
      <c r="X466">
        <v>8.6304842255595364</v>
      </c>
      <c r="Y466">
        <v>3048.9812112431841</v>
      </c>
      <c r="Z466">
        <v>12.663935084380459</v>
      </c>
      <c r="AA466">
        <v>2813.8353715545104</v>
      </c>
      <c r="AB466">
        <v>8.6718571958836055</v>
      </c>
      <c r="AC466">
        <v>2399.3306822886357</v>
      </c>
      <c r="AD466">
        <v>12.632716169272344</v>
      </c>
      <c r="AE466">
        <v>2115.5514564520731</v>
      </c>
      <c r="AF466">
        <v>8.6551346866983501</v>
      </c>
      <c r="AG466">
        <v>2310.0422104270988</v>
      </c>
      <c r="AH466">
        <v>12.613810921454947</v>
      </c>
      <c r="AI466">
        <v>2003.971427090567</v>
      </c>
      <c r="AJ466">
        <v>8.6449995404695787</v>
      </c>
    </row>
    <row r="467" spans="4:36" x14ac:dyDescent="0.55000000000000004">
      <c r="D467">
        <v>460</v>
      </c>
      <c r="E467">
        <v>12.465190472369528</v>
      </c>
      <c r="F467">
        <v>0.46791889889443028</v>
      </c>
      <c r="G467">
        <v>0.17934610450968885</v>
      </c>
      <c r="H467">
        <v>16.88754452422635</v>
      </c>
      <c r="I467">
        <v>12.715769676094959</v>
      </c>
      <c r="J467">
        <v>0.27940118055322555</v>
      </c>
      <c r="K467">
        <v>0.10670758686690814</v>
      </c>
      <c r="L467">
        <v>16.89812155648492</v>
      </c>
      <c r="M467">
        <v>12.603125075892329</v>
      </c>
      <c r="N467">
        <v>0.36418928133021522</v>
      </c>
      <c r="O467">
        <v>0.13931240521659852</v>
      </c>
      <c r="P467">
        <v>16.893373237560855</v>
      </c>
      <c r="Q467">
        <v>12.566371018056188</v>
      </c>
      <c r="R467">
        <v>0.39183928822937658</v>
      </c>
      <c r="S467">
        <v>0.14996802415576596</v>
      </c>
      <c r="T467">
        <v>16.891821669558666</v>
      </c>
      <c r="U467">
        <v>1541.4277166855495</v>
      </c>
      <c r="V467">
        <v>9.8167007269636084</v>
      </c>
      <c r="W467">
        <v>1284.375490159593</v>
      </c>
      <c r="X467">
        <v>7.0506226545369417</v>
      </c>
      <c r="Y467">
        <v>2891.4284892459586</v>
      </c>
      <c r="Z467">
        <v>9.8568276119770246</v>
      </c>
      <c r="AA467">
        <v>2726.754427015384</v>
      </c>
      <c r="AB467">
        <v>7.0743276646217463</v>
      </c>
      <c r="AC467">
        <v>2234.0464821754094</v>
      </c>
      <c r="AD467">
        <v>9.8387849903744531</v>
      </c>
      <c r="AE467">
        <v>2026.0965338017397</v>
      </c>
      <c r="AF467">
        <v>7.0636817178175555</v>
      </c>
      <c r="AG467">
        <v>2087.9496820436316</v>
      </c>
      <c r="AH467">
        <v>9.8328994292167824</v>
      </c>
      <c r="AI467">
        <v>1876.4865775318201</v>
      </c>
      <c r="AJ467">
        <v>7.0602044897994807</v>
      </c>
    </row>
    <row r="468" spans="4:36" x14ac:dyDescent="0.55000000000000004">
      <c r="D468">
        <v>461</v>
      </c>
      <c r="E468">
        <v>13.126306543433312</v>
      </c>
      <c r="F468">
        <v>0.4627631600449349</v>
      </c>
      <c r="G468">
        <v>0.17059936421874564</v>
      </c>
      <c r="H468">
        <v>16.240330932303003</v>
      </c>
      <c r="I468">
        <v>13.370943387974087</v>
      </c>
      <c r="J468">
        <v>0.29234612200312593</v>
      </c>
      <c r="K468">
        <v>0.10739528369460205</v>
      </c>
      <c r="L468">
        <v>16.229315206328184</v>
      </c>
      <c r="M468">
        <v>13.283390892986731</v>
      </c>
      <c r="N468">
        <v>0.35337861734317894</v>
      </c>
      <c r="O468">
        <v>0.12997901333225709</v>
      </c>
      <c r="P468">
        <v>16.233251476337834</v>
      </c>
      <c r="Q468">
        <v>13.206829119856319</v>
      </c>
      <c r="R468">
        <v>0.4067109425560067</v>
      </c>
      <c r="S468">
        <v>0.14976074540265111</v>
      </c>
      <c r="T468">
        <v>16.236699192185011</v>
      </c>
      <c r="U468">
        <v>1580.6442215803941</v>
      </c>
      <c r="V468">
        <v>10.317070122415586</v>
      </c>
      <c r="W468">
        <v>1308.542306122104</v>
      </c>
      <c r="X468">
        <v>7.3408478766556184</v>
      </c>
      <c r="Y468">
        <v>2935.4256656930384</v>
      </c>
      <c r="Z468">
        <v>10.368575591460235</v>
      </c>
      <c r="AA468">
        <v>2754.3220688037086</v>
      </c>
      <c r="AB468">
        <v>7.3701424171976804</v>
      </c>
      <c r="AC468">
        <v>2260.2620484461559</v>
      </c>
      <c r="AD468">
        <v>10.350145206177119</v>
      </c>
      <c r="AE468">
        <v>2042.084884902283</v>
      </c>
      <c r="AF468">
        <v>7.3596714763470272</v>
      </c>
      <c r="AG468">
        <v>2175.6752087233444</v>
      </c>
      <c r="AH468">
        <v>10.334025905034771</v>
      </c>
      <c r="AI468">
        <v>1934.6437600290208</v>
      </c>
      <c r="AJ468">
        <v>7.350502955741435</v>
      </c>
    </row>
    <row r="469" spans="4:36" x14ac:dyDescent="0.55000000000000004">
      <c r="D469">
        <v>462</v>
      </c>
      <c r="E469">
        <v>12.6128951735746</v>
      </c>
      <c r="F469">
        <v>0.42368079737106323</v>
      </c>
      <c r="G469">
        <v>0.1326223767619403</v>
      </c>
      <c r="H469">
        <v>16.830801652292397</v>
      </c>
      <c r="I469">
        <v>12.784292202670574</v>
      </c>
      <c r="J469">
        <v>0.2970161885881149</v>
      </c>
      <c r="K469">
        <v>9.2749542518276135E-2</v>
      </c>
      <c r="L469">
        <v>16.825942066223021</v>
      </c>
      <c r="M469">
        <v>12.695144729471593</v>
      </c>
      <c r="N469">
        <v>0.36291806079554667</v>
      </c>
      <c r="O469">
        <v>0.11347051598086794</v>
      </c>
      <c r="P469">
        <v>16.828466693751984</v>
      </c>
      <c r="Q469">
        <v>12.649190278530639</v>
      </c>
      <c r="R469">
        <v>0.39687214314141339</v>
      </c>
      <c r="S469">
        <v>0.12416697255315717</v>
      </c>
      <c r="T469">
        <v>16.829770605774783</v>
      </c>
      <c r="U469">
        <v>1540.7174696985755</v>
      </c>
      <c r="V469">
        <v>9.8465103363074373</v>
      </c>
      <c r="W469">
        <v>1285.4691929089022</v>
      </c>
      <c r="X469">
        <v>7.0662476848900386</v>
      </c>
      <c r="Y469">
        <v>2920.1768766865748</v>
      </c>
      <c r="Z469">
        <v>9.8829844532767428</v>
      </c>
      <c r="AA469">
        <v>2744.8692535351556</v>
      </c>
      <c r="AB469">
        <v>7.0871966906489359</v>
      </c>
      <c r="AC469">
        <v>2228.8546915743927</v>
      </c>
      <c r="AD469">
        <v>9.8640148806339614</v>
      </c>
      <c r="AE469">
        <v>2020.9664490030182</v>
      </c>
      <c r="AF469">
        <v>7.0763082576861924</v>
      </c>
      <c r="AG469">
        <v>2131.216104513855</v>
      </c>
      <c r="AH469">
        <v>9.8542350756676829</v>
      </c>
      <c r="AI469">
        <v>1905.7541779015471</v>
      </c>
      <c r="AJ469">
        <v>7.0706889610204451</v>
      </c>
    </row>
    <row r="470" spans="4:36" x14ac:dyDescent="0.55000000000000004">
      <c r="D470">
        <v>463</v>
      </c>
      <c r="E470">
        <v>14.262977535333379</v>
      </c>
      <c r="F470">
        <v>0.53710853227243149</v>
      </c>
      <c r="G470">
        <v>0.18545565975620509</v>
      </c>
      <c r="H470">
        <v>15.014458272637963</v>
      </c>
      <c r="I470">
        <v>14.572548172085966</v>
      </c>
      <c r="J470">
        <v>0.32746897680951204</v>
      </c>
      <c r="K470">
        <v>0.11261733926331939</v>
      </c>
      <c r="L470">
        <v>14.987365511841197</v>
      </c>
      <c r="M470">
        <v>14.429178835655195</v>
      </c>
      <c r="N470">
        <v>0.42463051684248415</v>
      </c>
      <c r="O470">
        <v>0.14630173982951489</v>
      </c>
      <c r="P470">
        <v>14.999888907672805</v>
      </c>
      <c r="Q470">
        <v>14.391582610627731</v>
      </c>
      <c r="R470">
        <v>0.45008887286179766</v>
      </c>
      <c r="S470">
        <v>0.15514876633032895</v>
      </c>
      <c r="T470">
        <v>15.00317975018015</v>
      </c>
      <c r="U470">
        <v>1671.0635777330094</v>
      </c>
      <c r="V470">
        <v>11.37061120617458</v>
      </c>
      <c r="W470">
        <v>1359.7660438457588</v>
      </c>
      <c r="X470">
        <v>7.9593704798165623</v>
      </c>
      <c r="Y470">
        <v>2965.0617097765557</v>
      </c>
      <c r="Z470">
        <v>11.445842641200986</v>
      </c>
      <c r="AA470">
        <v>2767.6680020405847</v>
      </c>
      <c r="AB470">
        <v>8.0007858540599504</v>
      </c>
      <c r="AC470">
        <v>2319.0645259521571</v>
      </c>
      <c r="AD470">
        <v>11.411015565347496</v>
      </c>
      <c r="AE470">
        <v>2072.4585818163359</v>
      </c>
      <c r="AF470">
        <v>7.98163125899557</v>
      </c>
      <c r="AG470">
        <v>2197.951957622663</v>
      </c>
      <c r="AH470">
        <v>11.401878666261155</v>
      </c>
      <c r="AI470">
        <v>1940.7482124722212</v>
      </c>
      <c r="AJ470">
        <v>7.9766009495376426</v>
      </c>
    </row>
    <row r="471" spans="4:36" x14ac:dyDescent="0.55000000000000004">
      <c r="D471">
        <v>464</v>
      </c>
      <c r="E471">
        <v>11.719907526507043</v>
      </c>
      <c r="F471">
        <v>0.45107232599831493</v>
      </c>
      <c r="G471">
        <v>0.1551384174881339</v>
      </c>
      <c r="H471">
        <v>17.673881730006514</v>
      </c>
      <c r="I471">
        <v>11.920036760314396</v>
      </c>
      <c r="J471">
        <v>0.28764116538476941</v>
      </c>
      <c r="K471">
        <v>9.8630586556178013E-2</v>
      </c>
      <c r="L471">
        <v>17.693691487744644</v>
      </c>
      <c r="M471">
        <v>11.833558827764545</v>
      </c>
      <c r="N471">
        <v>0.35828323531989276</v>
      </c>
      <c r="O471">
        <v>0.12301329451893389</v>
      </c>
      <c r="P471">
        <v>17.685144642396633</v>
      </c>
      <c r="Q471">
        <v>11.798450709808463</v>
      </c>
      <c r="R471">
        <v>0.3869529236814645</v>
      </c>
      <c r="S471">
        <v>0.13292724986350493</v>
      </c>
      <c r="T471">
        <v>17.681669116646567</v>
      </c>
      <c r="U471">
        <v>1488.2636815419687</v>
      </c>
      <c r="V471">
        <v>9.3348335573426855</v>
      </c>
      <c r="W471">
        <v>1251.2237223829563</v>
      </c>
      <c r="X471">
        <v>6.7854325312323942</v>
      </c>
      <c r="Y471">
        <v>2859.5232805512715</v>
      </c>
      <c r="Z471">
        <v>9.362022398628767</v>
      </c>
      <c r="AA471">
        <v>2705.7381018785677</v>
      </c>
      <c r="AB471">
        <v>6.8023286678337191</v>
      </c>
      <c r="AC471">
        <v>2185.5365651614597</v>
      </c>
      <c r="AD471">
        <v>9.3502660852049946</v>
      </c>
      <c r="AE471">
        <v>1994.7937924098346</v>
      </c>
      <c r="AF471">
        <v>6.7950323050624561</v>
      </c>
      <c r="AG471">
        <v>2089.1890220144073</v>
      </c>
      <c r="AH471">
        <v>9.3454966304195697</v>
      </c>
      <c r="AI471">
        <v>1881.3601158292881</v>
      </c>
      <c r="AJ471">
        <v>6.7920681396774665</v>
      </c>
    </row>
    <row r="472" spans="4:36" x14ac:dyDescent="0.55000000000000004">
      <c r="D472">
        <v>465</v>
      </c>
      <c r="E472">
        <v>12.11549682221516</v>
      </c>
      <c r="F472">
        <v>0.42910453911282254</v>
      </c>
      <c r="G472">
        <v>0.12720846819842607</v>
      </c>
      <c r="H472">
        <v>17.328190170473579</v>
      </c>
      <c r="I472">
        <v>12.298476724685338</v>
      </c>
      <c r="J472">
        <v>0.28873428506565935</v>
      </c>
      <c r="K472">
        <v>8.5372691192794392E-2</v>
      </c>
      <c r="L472">
        <v>17.327416299056203</v>
      </c>
      <c r="M472">
        <v>12.207947140282046</v>
      </c>
      <c r="N472">
        <v>0.35820485331739504</v>
      </c>
      <c r="O472">
        <v>0.10604997715759923</v>
      </c>
      <c r="P472">
        <v>17.327798029242949</v>
      </c>
      <c r="Q472">
        <v>12.15850357662195</v>
      </c>
      <c r="R472">
        <v>0.3961285372309018</v>
      </c>
      <c r="S472">
        <v>0.11736042757150573</v>
      </c>
      <c r="T472">
        <v>17.328007458575645</v>
      </c>
      <c r="U472">
        <v>1490.635453170212</v>
      </c>
      <c r="V472">
        <v>9.5759410629839845</v>
      </c>
      <c r="W472">
        <v>1254.9790371810493</v>
      </c>
      <c r="X472">
        <v>6.9231756582670174</v>
      </c>
      <c r="Y472">
        <v>2873.4105915908121</v>
      </c>
      <c r="Z472">
        <v>9.6100623883290286</v>
      </c>
      <c r="AA472">
        <v>2715.9054444299773</v>
      </c>
      <c r="AB472">
        <v>6.9430655013193032</v>
      </c>
      <c r="AC472">
        <v>2201.4165883444607</v>
      </c>
      <c r="AD472">
        <v>9.5931812636005542</v>
      </c>
      <c r="AE472">
        <v>2006.5876419276076</v>
      </c>
      <c r="AF472">
        <v>6.9332328013396252</v>
      </c>
      <c r="AG472">
        <v>2119.276919567897</v>
      </c>
      <c r="AH472">
        <v>9.5839611088314118</v>
      </c>
      <c r="AI472">
        <v>1902.7969669182712</v>
      </c>
      <c r="AJ472">
        <v>6.9278561208147389</v>
      </c>
    </row>
    <row r="473" spans="4:36" x14ac:dyDescent="0.55000000000000004">
      <c r="D473">
        <v>466</v>
      </c>
      <c r="E473">
        <v>11.424254618274579</v>
      </c>
      <c r="F473">
        <v>0.39835888429509114</v>
      </c>
      <c r="G473">
        <v>0.16301666815800867</v>
      </c>
      <c r="H473">
        <v>18.014369829272326</v>
      </c>
      <c r="I473">
        <v>11.578636031802597</v>
      </c>
      <c r="J473">
        <v>0.27642071943050844</v>
      </c>
      <c r="K473">
        <v>0.11282438079503491</v>
      </c>
      <c r="L473">
        <v>18.032118867971871</v>
      </c>
      <c r="M473">
        <v>11.512959891968663</v>
      </c>
      <c r="N473">
        <v>0.32830969113617386</v>
      </c>
      <c r="O473">
        <v>0.13415078458723914</v>
      </c>
      <c r="P473">
        <v>18.024579632307912</v>
      </c>
      <c r="Q473">
        <v>11.483726200248119</v>
      </c>
      <c r="R473">
        <v>0.35139948282151379</v>
      </c>
      <c r="S473">
        <v>0.14365598823269596</v>
      </c>
      <c r="T473">
        <v>18.021218328697678</v>
      </c>
      <c r="U473">
        <v>1471.5446485551556</v>
      </c>
      <c r="V473">
        <v>9.0745037095045742</v>
      </c>
      <c r="W473">
        <v>1245.3175433325735</v>
      </c>
      <c r="X473">
        <v>6.6318060200288116</v>
      </c>
      <c r="Y473">
        <v>2852.8714615655649</v>
      </c>
      <c r="Z473">
        <v>9.0955492355281624</v>
      </c>
      <c r="AA473">
        <v>2703.0303092930299</v>
      </c>
      <c r="AB473">
        <v>6.6452047066008166</v>
      </c>
      <c r="AC473">
        <v>2184.4253704406697</v>
      </c>
      <c r="AD473">
        <v>9.0865895910586616</v>
      </c>
      <c r="AE473">
        <v>1998.0819232716931</v>
      </c>
      <c r="AF473">
        <v>6.6395071084114932</v>
      </c>
      <c r="AG473">
        <v>2073.5881731958966</v>
      </c>
      <c r="AH473">
        <v>9.0826046026433502</v>
      </c>
      <c r="AI473">
        <v>1874.6202479096114</v>
      </c>
      <c r="AJ473">
        <v>6.6369698596790387</v>
      </c>
    </row>
    <row r="474" spans="4:36" x14ac:dyDescent="0.55000000000000004">
      <c r="D474">
        <v>467</v>
      </c>
      <c r="E474">
        <v>12.037754392812694</v>
      </c>
      <c r="F474">
        <v>0.41518530334359016</v>
      </c>
      <c r="G474">
        <v>0.1623081142803823</v>
      </c>
      <c r="H474">
        <v>17.384752189563322</v>
      </c>
      <c r="I474">
        <v>12.231417281453293</v>
      </c>
      <c r="J474">
        <v>0.27647888613365046</v>
      </c>
      <c r="K474">
        <v>0.10776589957004259</v>
      </c>
      <c r="L474">
        <v>17.384337932843028</v>
      </c>
      <c r="M474">
        <v>12.157621752154141</v>
      </c>
      <c r="N474">
        <v>0.32936052748666111</v>
      </c>
      <c r="O474">
        <v>0.12852165285395406</v>
      </c>
      <c r="P474">
        <v>17.384496067505253</v>
      </c>
      <c r="Q474">
        <v>12.114865602516726</v>
      </c>
      <c r="R474">
        <v>0.35998408017961059</v>
      </c>
      <c r="S474">
        <v>0.14056278643556841</v>
      </c>
      <c r="T474">
        <v>17.384587530868089</v>
      </c>
      <c r="U474">
        <v>1520.4605553875745</v>
      </c>
      <c r="V474">
        <v>9.5543114075064466</v>
      </c>
      <c r="W474">
        <v>1275.4687045523799</v>
      </c>
      <c r="X474">
        <v>6.9138632167132679</v>
      </c>
      <c r="Y474">
        <v>2881.5575840931328</v>
      </c>
      <c r="Z474">
        <v>9.5900692709806563</v>
      </c>
      <c r="AA474">
        <v>2721.2039273364935</v>
      </c>
      <c r="AB474">
        <v>6.9348213746420804</v>
      </c>
      <c r="AC474">
        <v>2183.9099483609598</v>
      </c>
      <c r="AD474">
        <v>9.5764433063375023</v>
      </c>
      <c r="AE474">
        <v>1994.2157634703801</v>
      </c>
      <c r="AF474">
        <v>6.9268432582385859</v>
      </c>
      <c r="AG474">
        <v>2099.9190174987698</v>
      </c>
      <c r="AH474">
        <v>9.5685488155198701</v>
      </c>
      <c r="AI474">
        <v>1889.4514379537536</v>
      </c>
      <c r="AJ474">
        <v>6.9222163419966689</v>
      </c>
    </row>
    <row r="475" spans="4:36" x14ac:dyDescent="0.55000000000000004">
      <c r="D475">
        <v>468</v>
      </c>
      <c r="E475">
        <v>12.768450697331806</v>
      </c>
      <c r="F475">
        <v>0.47800328096737194</v>
      </c>
      <c r="G475">
        <v>0.14490934646575793</v>
      </c>
      <c r="H475">
        <v>16.608636675235061</v>
      </c>
      <c r="I475">
        <v>13.008975119569564</v>
      </c>
      <c r="J475">
        <v>0.29843279328877087</v>
      </c>
      <c r="K475">
        <v>9.0173177414191133E-2</v>
      </c>
      <c r="L475">
        <v>16.60241890972749</v>
      </c>
      <c r="M475">
        <v>12.905759837186979</v>
      </c>
      <c r="N475">
        <v>0.3755299983859709</v>
      </c>
      <c r="O475">
        <v>0.11362880068178527</v>
      </c>
      <c r="P475">
        <v>16.605081363745256</v>
      </c>
      <c r="Q475">
        <v>12.867320157796048</v>
      </c>
      <c r="R475">
        <v>0.40422785196754846</v>
      </c>
      <c r="S475">
        <v>0.12237686853972586</v>
      </c>
      <c r="T475">
        <v>16.606075121696673</v>
      </c>
      <c r="U475">
        <v>1541.307739906913</v>
      </c>
      <c r="V475">
        <v>10.067745244757042</v>
      </c>
      <c r="W475">
        <v>1282.2968334519462</v>
      </c>
      <c r="X475">
        <v>7.2019349938195623</v>
      </c>
      <c r="Y475">
        <v>2917.1869416930263</v>
      </c>
      <c r="Z475">
        <v>10.11622075213525</v>
      </c>
      <c r="AA475">
        <v>2742.935936209331</v>
      </c>
      <c r="AB475">
        <v>7.229677461768981</v>
      </c>
      <c r="AC475">
        <v>2234.498063360013</v>
      </c>
      <c r="AD475">
        <v>10.095421508879259</v>
      </c>
      <c r="AE475">
        <v>2024.5165200079687</v>
      </c>
      <c r="AF475">
        <v>7.2177861067442768</v>
      </c>
      <c r="AG475">
        <v>2156.7759631139761</v>
      </c>
      <c r="AH475">
        <v>10.087674312362049</v>
      </c>
      <c r="AI475">
        <v>1924.0797219869985</v>
      </c>
      <c r="AJ475">
        <v>7.2133522760124302</v>
      </c>
    </row>
    <row r="476" spans="4:36" x14ac:dyDescent="0.55000000000000004">
      <c r="D476">
        <v>469</v>
      </c>
      <c r="E476">
        <v>12.718547751531343</v>
      </c>
      <c r="F476">
        <v>0.48457248192788077</v>
      </c>
      <c r="G476">
        <v>0.19122366337745228</v>
      </c>
      <c r="H476">
        <v>16.60565610316333</v>
      </c>
      <c r="I476">
        <v>12.978883367822968</v>
      </c>
      <c r="J476">
        <v>0.29272620355552048</v>
      </c>
      <c r="K476">
        <v>0.11507053650649655</v>
      </c>
      <c r="L476">
        <v>16.613319892115033</v>
      </c>
      <c r="M476">
        <v>12.895115164481822</v>
      </c>
      <c r="N476">
        <v>0.35449836607824337</v>
      </c>
      <c r="O476">
        <v>0.13952574194383888</v>
      </c>
      <c r="P476">
        <v>16.610860727496092</v>
      </c>
      <c r="Q476">
        <v>12.851156332072652</v>
      </c>
      <c r="R476">
        <v>0.38689860739809195</v>
      </c>
      <c r="S476">
        <v>0.15237739492487781</v>
      </c>
      <c r="T476">
        <v>16.609567665604391</v>
      </c>
      <c r="U476">
        <v>1598.8767067918729</v>
      </c>
      <c r="V476">
        <v>10.058628751635677</v>
      </c>
      <c r="W476">
        <v>1319.3088756893719</v>
      </c>
      <c r="X476">
        <v>7.1952579126656957</v>
      </c>
      <c r="Y476">
        <v>2930.7930472308208</v>
      </c>
      <c r="Z476">
        <v>10.103834506476684</v>
      </c>
      <c r="AA476">
        <v>2750.7617821536846</v>
      </c>
      <c r="AB476">
        <v>7.2217533047459392</v>
      </c>
      <c r="AC476">
        <v>2237.6191172258827</v>
      </c>
      <c r="AD476">
        <v>10.089285017978758</v>
      </c>
      <c r="AE476">
        <v>2025.4415591408822</v>
      </c>
      <c r="AF476">
        <v>7.2132383126278397</v>
      </c>
      <c r="AG476">
        <v>2142.5107916057486</v>
      </c>
      <c r="AH476">
        <v>10.081651289600456</v>
      </c>
      <c r="AI476">
        <v>1911.9455324285152</v>
      </c>
      <c r="AJ476">
        <v>7.2087659857283732</v>
      </c>
    </row>
    <row r="477" spans="4:36" x14ac:dyDescent="0.55000000000000004">
      <c r="D477">
        <v>470</v>
      </c>
      <c r="E477">
        <v>13.034396617531399</v>
      </c>
      <c r="F477">
        <v>0.44487753807333669</v>
      </c>
      <c r="G477">
        <v>0.15677313920888292</v>
      </c>
      <c r="H477">
        <v>16.363952705186389</v>
      </c>
      <c r="I477">
        <v>13.249762686833567</v>
      </c>
      <c r="J477">
        <v>0.29540759482020557</v>
      </c>
      <c r="K477">
        <v>0.10378668504863869</v>
      </c>
      <c r="L477">
        <v>16.351043033297586</v>
      </c>
      <c r="M477">
        <v>13.15003526731725</v>
      </c>
      <c r="N477">
        <v>0.36465708690432597</v>
      </c>
      <c r="O477">
        <v>0.12829495374382047</v>
      </c>
      <c r="P477">
        <v>16.357012692034594</v>
      </c>
      <c r="Q477">
        <v>13.123478080808775</v>
      </c>
      <c r="R477">
        <v>0.38308765237120324</v>
      </c>
      <c r="S477">
        <v>0.1348294640717235</v>
      </c>
      <c r="T477">
        <v>16.358604802748307</v>
      </c>
      <c r="U477">
        <v>1563.5311630162626</v>
      </c>
      <c r="V477">
        <v>10.25951367707639</v>
      </c>
      <c r="W477">
        <v>1299.301261303669</v>
      </c>
      <c r="X477">
        <v>7.3136316146129623</v>
      </c>
      <c r="Y477">
        <v>2889.4124182983292</v>
      </c>
      <c r="Z477">
        <v>10.308193981571073</v>
      </c>
      <c r="AA477">
        <v>2722.3205750745024</v>
      </c>
      <c r="AB477">
        <v>7.3410644163376855</v>
      </c>
      <c r="AC477">
        <v>2252.1383983700398</v>
      </c>
      <c r="AD477">
        <v>10.285657383787226</v>
      </c>
      <c r="AE477">
        <v>2036.824750891112</v>
      </c>
      <c r="AF477">
        <v>7.328374315973698</v>
      </c>
      <c r="AG477">
        <v>2137.278895181882</v>
      </c>
      <c r="AH477">
        <v>10.279654400839728</v>
      </c>
      <c r="AI477">
        <v>1910.3793156504175</v>
      </c>
      <c r="AJ477">
        <v>7.3249912244436359</v>
      </c>
    </row>
    <row r="478" spans="4:36" x14ac:dyDescent="0.55000000000000004">
      <c r="D478">
        <v>471</v>
      </c>
      <c r="E478">
        <v>13.173044623397185</v>
      </c>
      <c r="F478">
        <v>0.48132349324698126</v>
      </c>
      <c r="G478">
        <v>0.18247115498320923</v>
      </c>
      <c r="H478">
        <v>16.163160728372645</v>
      </c>
      <c r="I478">
        <v>13.416070632244706</v>
      </c>
      <c r="J478">
        <v>0.30779462117313694</v>
      </c>
      <c r="K478">
        <v>0.11628305623180556</v>
      </c>
      <c r="L478">
        <v>16.159851690350354</v>
      </c>
      <c r="M478">
        <v>13.29223422708333</v>
      </c>
      <c r="N478">
        <v>0.39626156354317355</v>
      </c>
      <c r="O478">
        <v>0.14996837576056668</v>
      </c>
      <c r="P478">
        <v>16.161535833612948</v>
      </c>
      <c r="Q478">
        <v>13.259998120145111</v>
      </c>
      <c r="R478">
        <v>0.41927578472753774</v>
      </c>
      <c r="S478">
        <v>0.15875117528597332</v>
      </c>
      <c r="T478">
        <v>16.161974919841366</v>
      </c>
      <c r="U478">
        <v>1624.3564950328068</v>
      </c>
      <c r="V478">
        <v>10.404041047317417</v>
      </c>
      <c r="W478">
        <v>1335.5357057662113</v>
      </c>
      <c r="X478">
        <v>7.3951022642386324</v>
      </c>
      <c r="Y478">
        <v>2928.3690725696683</v>
      </c>
      <c r="Z478">
        <v>10.451867804339098</v>
      </c>
      <c r="AA478">
        <v>2746.2770512212637</v>
      </c>
      <c r="AB478">
        <v>7.4224662862655579</v>
      </c>
      <c r="AC478">
        <v>2258.4241366637334</v>
      </c>
      <c r="AD478">
        <v>10.427498209534164</v>
      </c>
      <c r="AE478">
        <v>2035.1995874444858</v>
      </c>
      <c r="AF478">
        <v>7.4085353055972885</v>
      </c>
      <c r="AG478">
        <v>2165.5744155026546</v>
      </c>
      <c r="AH478">
        <v>10.421154163444957</v>
      </c>
      <c r="AI478">
        <v>1923.9421961587668</v>
      </c>
      <c r="AJ478">
        <v>7.4049046122486617</v>
      </c>
    </row>
    <row r="479" spans="4:36" x14ac:dyDescent="0.55000000000000004">
      <c r="D479">
        <v>472</v>
      </c>
      <c r="E479">
        <v>14.422331025293285</v>
      </c>
      <c r="F479">
        <v>0.53171452502087257</v>
      </c>
      <c r="G479">
        <v>0.18927161774510595</v>
      </c>
      <c r="H479">
        <v>14.856682831940727</v>
      </c>
      <c r="I479">
        <v>14.721589943693566</v>
      </c>
      <c r="J479">
        <v>0.32909571474258298</v>
      </c>
      <c r="K479">
        <v>0.11668778496810985</v>
      </c>
      <c r="L479">
        <v>14.832626556595748</v>
      </c>
      <c r="M479">
        <v>14.622232572833328</v>
      </c>
      <c r="N479">
        <v>0.39642745529645962</v>
      </c>
      <c r="O479">
        <v>0.14074377959662732</v>
      </c>
      <c r="P479">
        <v>14.840596192273605</v>
      </c>
      <c r="Q479">
        <v>14.567515237132861</v>
      </c>
      <c r="R479">
        <v>0.43348253788874197</v>
      </c>
      <c r="S479">
        <v>0.15400973993214184</v>
      </c>
      <c r="T479">
        <v>14.844992485046262</v>
      </c>
      <c r="U479">
        <v>1669.6636600105489</v>
      </c>
      <c r="V479">
        <v>11.34211011863742</v>
      </c>
      <c r="W479">
        <v>1356.919761074048</v>
      </c>
      <c r="X479">
        <v>7.9220943994939468</v>
      </c>
      <c r="Y479">
        <v>2933.4764064295618</v>
      </c>
      <c r="Z479">
        <v>11.411457850139309</v>
      </c>
      <c r="AA479">
        <v>2744.0650604694688</v>
      </c>
      <c r="AB479">
        <v>7.9602970819599168</v>
      </c>
      <c r="AC479">
        <v>2317.8044288983278</v>
      </c>
      <c r="AD479">
        <v>11.388443762117536</v>
      </c>
      <c r="AE479">
        <v>2071.8076217139637</v>
      </c>
      <c r="AF479">
        <v>7.9476331536630882</v>
      </c>
      <c r="AG479">
        <v>2210.3054841655139</v>
      </c>
      <c r="AH479">
        <v>11.375765332253129</v>
      </c>
      <c r="AI479">
        <v>1948.7498332100638</v>
      </c>
      <c r="AJ479">
        <v>7.9406506167295534</v>
      </c>
    </row>
    <row r="480" spans="4:36" x14ac:dyDescent="0.55000000000000004">
      <c r="D480">
        <v>473</v>
      </c>
      <c r="E480">
        <v>12.75666715570674</v>
      </c>
      <c r="F480">
        <v>0.47457769290132734</v>
      </c>
      <c r="G480">
        <v>0.19022973440032379</v>
      </c>
      <c r="H480">
        <v>16.578525416991617</v>
      </c>
      <c r="I480">
        <v>13.019552120020984</v>
      </c>
      <c r="J480">
        <v>0.2854186615068755</v>
      </c>
      <c r="K480">
        <v>0.11396496469799397</v>
      </c>
      <c r="L480">
        <v>16.581064253774159</v>
      </c>
      <c r="M480">
        <v>12.923840960346503</v>
      </c>
      <c r="N480">
        <v>0.35433503331049221</v>
      </c>
      <c r="O480">
        <v>0.14168118300695492</v>
      </c>
      <c r="P480">
        <v>16.58014282333605</v>
      </c>
      <c r="Q480">
        <v>12.871179811306872</v>
      </c>
      <c r="R480">
        <v>0.39223041876302445</v>
      </c>
      <c r="S480">
        <v>0.15695533965378636</v>
      </c>
      <c r="T480">
        <v>16.579634430276318</v>
      </c>
      <c r="U480">
        <v>1559.4490300396953</v>
      </c>
      <c r="V480">
        <v>10.052513151028441</v>
      </c>
      <c r="W480">
        <v>1292.6381243879623</v>
      </c>
      <c r="X480">
        <v>7.1885750212768551</v>
      </c>
      <c r="Y480">
        <v>2899.1443619806632</v>
      </c>
      <c r="Z480">
        <v>10.10250568811685</v>
      </c>
      <c r="AA480">
        <v>2729.1716684421172</v>
      </c>
      <c r="AB480">
        <v>7.2176736511803554</v>
      </c>
      <c r="AC480">
        <v>2231.8474548951203</v>
      </c>
      <c r="AD480">
        <v>10.084302130256432</v>
      </c>
      <c r="AE480">
        <v>2021.9645532841189</v>
      </c>
      <c r="AF480">
        <v>7.2070923320664857</v>
      </c>
      <c r="AG480">
        <v>2146.4071337253849</v>
      </c>
      <c r="AH480">
        <v>10.074287472968527</v>
      </c>
      <c r="AI480">
        <v>1915.0461102047448</v>
      </c>
      <c r="AJ480">
        <v>7.2012641230381131</v>
      </c>
    </row>
    <row r="481" spans="4:36" x14ac:dyDescent="0.55000000000000004">
      <c r="D481">
        <v>474</v>
      </c>
      <c r="E481">
        <v>11.909146250251794</v>
      </c>
      <c r="F481">
        <v>0.41103427583938873</v>
      </c>
      <c r="G481">
        <v>0.16800444327985009</v>
      </c>
      <c r="H481">
        <v>17.511815030628959</v>
      </c>
      <c r="I481">
        <v>12.120218419300206</v>
      </c>
      <c r="J481">
        <v>0.26387093417176544</v>
      </c>
      <c r="K481">
        <v>0.10751488862457705</v>
      </c>
      <c r="L481">
        <v>17.508395757903447</v>
      </c>
      <c r="M481">
        <v>12.037042040353414</v>
      </c>
      <c r="N481">
        <v>0.32189766582919599</v>
      </c>
      <c r="O481">
        <v>0.13131996802128326</v>
      </c>
      <c r="P481">
        <v>17.509740325796123</v>
      </c>
      <c r="Q481">
        <v>11.998674335235632</v>
      </c>
      <c r="R481">
        <v>0.34864916868979839</v>
      </c>
      <c r="S481">
        <v>0.14231470111642308</v>
      </c>
      <c r="T481">
        <v>17.510361794958143</v>
      </c>
      <c r="U481">
        <v>1457.7627534301955</v>
      </c>
      <c r="V481">
        <v>9.3387863056276093</v>
      </c>
      <c r="W481">
        <v>1234.4727022615182</v>
      </c>
      <c r="X481">
        <v>6.7725008149225028</v>
      </c>
      <c r="Y481">
        <v>2858.6841990121598</v>
      </c>
      <c r="Z481">
        <v>9.3807736400878845</v>
      </c>
      <c r="AA481">
        <v>2708.4146373155468</v>
      </c>
      <c r="AB481">
        <v>6.7970476744883914</v>
      </c>
      <c r="AC481">
        <v>2185.0416453230932</v>
      </c>
      <c r="AD481">
        <v>9.364228542720797</v>
      </c>
      <c r="AE481">
        <v>1999.0831828854839</v>
      </c>
      <c r="AF481">
        <v>6.7873855148631144</v>
      </c>
      <c r="AG481">
        <v>2060.7528153149292</v>
      </c>
      <c r="AH481">
        <v>9.3565962998797225</v>
      </c>
      <c r="AI481">
        <v>1865.5720436310953</v>
      </c>
      <c r="AJ481">
        <v>6.7829237736870587</v>
      </c>
    </row>
    <row r="482" spans="4:36" x14ac:dyDescent="0.55000000000000004">
      <c r="D482">
        <v>475</v>
      </c>
      <c r="E482">
        <v>12.50747051401</v>
      </c>
      <c r="F482">
        <v>0.45917062966587496</v>
      </c>
      <c r="G482">
        <v>0.1365764486754136</v>
      </c>
      <c r="H482">
        <v>16.896782407648708</v>
      </c>
      <c r="I482">
        <v>12.703699298676053</v>
      </c>
      <c r="J482">
        <v>0.30725890553525742</v>
      </c>
      <c r="K482">
        <v>9.1152572590763578E-2</v>
      </c>
      <c r="L482">
        <v>16.897889223197922</v>
      </c>
      <c r="M482">
        <v>12.629422025780997</v>
      </c>
      <c r="N482">
        <v>0.36478406606522906</v>
      </c>
      <c r="O482">
        <v>0.10832510267961686</v>
      </c>
      <c r="P482">
        <v>16.897468805474148</v>
      </c>
      <c r="Q482">
        <v>12.589434585057417</v>
      </c>
      <c r="R482">
        <v>0.39574140373286038</v>
      </c>
      <c r="S482">
        <v>0.11758080546239671</v>
      </c>
      <c r="T482">
        <v>16.897243205747337</v>
      </c>
      <c r="U482">
        <v>1553.8364086651004</v>
      </c>
      <c r="V482">
        <v>9.8697649459708572</v>
      </c>
      <c r="W482">
        <v>1295.4831039657215</v>
      </c>
      <c r="X482">
        <v>7.0897343165092392</v>
      </c>
      <c r="Y482">
        <v>2907.325225928008</v>
      </c>
      <c r="Z482">
        <v>9.9056622453401051</v>
      </c>
      <c r="AA482">
        <v>2737.0143174707973</v>
      </c>
      <c r="AB482">
        <v>7.1104759931586008</v>
      </c>
      <c r="AC482">
        <v>2224.657215535362</v>
      </c>
      <c r="AD482">
        <v>9.8920752470918458</v>
      </c>
      <c r="AE482">
        <v>2020.4378089913516</v>
      </c>
      <c r="AF482">
        <v>7.1026327732840686</v>
      </c>
      <c r="AG482">
        <v>2135.1138263176454</v>
      </c>
      <c r="AH482">
        <v>9.8847601423075169</v>
      </c>
      <c r="AI482">
        <v>1911.5313184197757</v>
      </c>
      <c r="AJ482">
        <v>7.0984063280025183</v>
      </c>
    </row>
    <row r="483" spans="4:36" x14ac:dyDescent="0.55000000000000004">
      <c r="D483">
        <v>476</v>
      </c>
      <c r="E483">
        <v>11.921985040362692</v>
      </c>
      <c r="F483">
        <v>0.46168158478155791</v>
      </c>
      <c r="G483">
        <v>0.15453471872043517</v>
      </c>
      <c r="H483">
        <v>17.461798656135318</v>
      </c>
      <c r="I483">
        <v>12.138556655586212</v>
      </c>
      <c r="J483">
        <v>0.28978963149229753</v>
      </c>
      <c r="K483">
        <v>9.6687406545889434E-2</v>
      </c>
      <c r="L483">
        <v>17.474966306375585</v>
      </c>
      <c r="M483">
        <v>12.036339434439491</v>
      </c>
      <c r="N483">
        <v>0.37094730545197935</v>
      </c>
      <c r="O483">
        <v>0.12395265753397523</v>
      </c>
      <c r="P483">
        <v>17.468760602574555</v>
      </c>
      <c r="Q483">
        <v>12.01638247776644</v>
      </c>
      <c r="R483">
        <v>0.38678669874998112</v>
      </c>
      <c r="S483">
        <v>0.12928372774408819</v>
      </c>
      <c r="T483">
        <v>17.467547095739491</v>
      </c>
      <c r="U483">
        <v>1502.2877229572216</v>
      </c>
      <c r="V483">
        <v>9.3927984899947763</v>
      </c>
      <c r="W483">
        <v>1262.9198910646712</v>
      </c>
      <c r="X483">
        <v>6.8049108882671634</v>
      </c>
      <c r="Y483">
        <v>2853.7658116683692</v>
      </c>
      <c r="Z483">
        <v>9.4242809708660449</v>
      </c>
      <c r="AA483">
        <v>2702.7655939185192</v>
      </c>
      <c r="AB483">
        <v>6.8238888474200028</v>
      </c>
      <c r="AC483">
        <v>2195.2296230152838</v>
      </c>
      <c r="AD483">
        <v>9.409416984866052</v>
      </c>
      <c r="AE483">
        <v>2002.6470597492964</v>
      </c>
      <c r="AF483">
        <v>6.8149387544183906</v>
      </c>
      <c r="AG483">
        <v>2074.0174846637651</v>
      </c>
      <c r="AH483">
        <v>9.406515953218678</v>
      </c>
      <c r="AI483">
        <v>1872.1764567702658</v>
      </c>
      <c r="AJ483">
        <v>6.8131898580563446</v>
      </c>
    </row>
    <row r="484" spans="4:36" x14ac:dyDescent="0.55000000000000004">
      <c r="D484">
        <v>477</v>
      </c>
      <c r="E484">
        <v>11.751796945162674</v>
      </c>
      <c r="F484">
        <v>0.4304673546713404</v>
      </c>
      <c r="G484">
        <v>0.15690935164730729</v>
      </c>
      <c r="H484">
        <v>17.660826348518682</v>
      </c>
      <c r="I484">
        <v>11.961062834762263</v>
      </c>
      <c r="J484">
        <v>0.27257653950611715</v>
      </c>
      <c r="K484">
        <v>9.9038129299619998E-2</v>
      </c>
      <c r="L484">
        <v>17.667322496431993</v>
      </c>
      <c r="M484">
        <v>11.885763225606519</v>
      </c>
      <c r="N484">
        <v>0.32941830120254234</v>
      </c>
      <c r="O484">
        <v>0.1198288061044774</v>
      </c>
      <c r="P484">
        <v>17.664989667086456</v>
      </c>
      <c r="Q484">
        <v>11.859236152220932</v>
      </c>
      <c r="R484">
        <v>0.34943536381826751</v>
      </c>
      <c r="S484">
        <v>0.1271618852864296</v>
      </c>
      <c r="T484">
        <v>17.664166598674377</v>
      </c>
      <c r="U484">
        <v>1474.4264642973749</v>
      </c>
      <c r="V484">
        <v>9.2414816674914118</v>
      </c>
      <c r="W484">
        <v>1244.8852371187154</v>
      </c>
      <c r="X484">
        <v>6.7157481813489612</v>
      </c>
      <c r="Y484">
        <v>2863.053194893494</v>
      </c>
      <c r="Z484">
        <v>9.2742975775601746</v>
      </c>
      <c r="AA484">
        <v>2710.8316930747969</v>
      </c>
      <c r="AB484">
        <v>6.7354143573959222</v>
      </c>
      <c r="AC484">
        <v>2193.821795755543</v>
      </c>
      <c r="AD484">
        <v>9.2624863119395116</v>
      </c>
      <c r="AE484">
        <v>2004.8000837005461</v>
      </c>
      <c r="AF484">
        <v>6.7283451664498397</v>
      </c>
      <c r="AG484">
        <v>2068.0644582841392</v>
      </c>
      <c r="AH484">
        <v>9.2583262098641104</v>
      </c>
      <c r="AI484">
        <v>1870.6833118990837</v>
      </c>
      <c r="AJ484">
        <v>6.7258528545539225</v>
      </c>
    </row>
    <row r="485" spans="4:36" x14ac:dyDescent="0.55000000000000004">
      <c r="D485">
        <v>478</v>
      </c>
      <c r="E485">
        <v>12.375958056481226</v>
      </c>
      <c r="F485">
        <v>0.45603514855719235</v>
      </c>
      <c r="G485">
        <v>0.14903907225346283</v>
      </c>
      <c r="H485">
        <v>17.01896772270813</v>
      </c>
      <c r="I485">
        <v>12.606993168391799</v>
      </c>
      <c r="J485">
        <v>0.28679800247244192</v>
      </c>
      <c r="K485">
        <v>9.3423450816790474E-2</v>
      </c>
      <c r="L485">
        <v>17.012785378318963</v>
      </c>
      <c r="M485">
        <v>12.507196141067618</v>
      </c>
      <c r="N485">
        <v>0.35993916987771185</v>
      </c>
      <c r="O485">
        <v>0.11741417444454365</v>
      </c>
      <c r="P485">
        <v>17.015450514610126</v>
      </c>
      <c r="Q485">
        <v>12.488008187792444</v>
      </c>
      <c r="R485">
        <v>0.37399538372075125</v>
      </c>
      <c r="S485">
        <v>0.12203255778269297</v>
      </c>
      <c r="T485">
        <v>17.015963870704113</v>
      </c>
      <c r="U485">
        <v>1550.9074742850048</v>
      </c>
      <c r="V485">
        <v>9.7798263289582188</v>
      </c>
      <c r="W485">
        <v>1294.5058051686401</v>
      </c>
      <c r="X485">
        <v>7.0387332339598521</v>
      </c>
      <c r="Y485">
        <v>2871.704598237694</v>
      </c>
      <c r="Z485">
        <v>9.8255455977060375</v>
      </c>
      <c r="AA485">
        <v>2713.3659732349506</v>
      </c>
      <c r="AB485">
        <v>7.0649707405736795</v>
      </c>
      <c r="AC485">
        <v>2223.7763498015042</v>
      </c>
      <c r="AD485">
        <v>9.8058003626737662</v>
      </c>
      <c r="AE485">
        <v>2020.8354688878251</v>
      </c>
      <c r="AF485">
        <v>7.0536506169277882</v>
      </c>
      <c r="AG485">
        <v>2091.576106082704</v>
      </c>
      <c r="AH485">
        <v>9.8020033462711211</v>
      </c>
      <c r="AI485">
        <v>1882.3914378223724</v>
      </c>
      <c r="AJ485">
        <v>7.0514717881421314</v>
      </c>
    </row>
    <row r="486" spans="4:36" x14ac:dyDescent="0.55000000000000004">
      <c r="D486">
        <v>479</v>
      </c>
      <c r="E486">
        <v>12.861780648879808</v>
      </c>
      <c r="F486">
        <v>0.42677803973026451</v>
      </c>
      <c r="G486">
        <v>0.1670203267715738</v>
      </c>
      <c r="H486">
        <v>16.544420984618352</v>
      </c>
      <c r="I486">
        <v>13.092643078848731</v>
      </c>
      <c r="J486">
        <v>0.27193955744448539</v>
      </c>
      <c r="K486">
        <v>0.10606410781415299</v>
      </c>
      <c r="L486">
        <v>16.529353255892627</v>
      </c>
      <c r="M486">
        <v>12.9638014868332</v>
      </c>
      <c r="N486">
        <v>0.35839651483502516</v>
      </c>
      <c r="O486">
        <v>0.14004841594432083</v>
      </c>
      <c r="P486">
        <v>16.537753582387467</v>
      </c>
      <c r="Q486">
        <v>12.982600604772099</v>
      </c>
      <c r="R486">
        <v>0.34578849324224942</v>
      </c>
      <c r="S486">
        <v>0.13508437912369564</v>
      </c>
      <c r="T486">
        <v>16.536526522861948</v>
      </c>
      <c r="U486">
        <v>1545.006375741794</v>
      </c>
      <c r="V486">
        <v>10.13004417943004</v>
      </c>
      <c r="W486">
        <v>1284.6372740499658</v>
      </c>
      <c r="X486">
        <v>7.2395981855805722</v>
      </c>
      <c r="Y486">
        <v>2912.0903949090434</v>
      </c>
      <c r="Z486">
        <v>10.182683717022648</v>
      </c>
      <c r="AA486">
        <v>2738.6026796595133</v>
      </c>
      <c r="AB486">
        <v>7.269553081024724</v>
      </c>
      <c r="AC486">
        <v>2259.1384084893989</v>
      </c>
      <c r="AD486">
        <v>10.153310152244631</v>
      </c>
      <c r="AE486">
        <v>2040.0433564162627</v>
      </c>
      <c r="AF486">
        <v>7.2528501147170807</v>
      </c>
      <c r="AG486">
        <v>2130.2871764499273</v>
      </c>
      <c r="AH486">
        <v>10.157596630112639</v>
      </c>
      <c r="AI486">
        <v>1905.9865378563068</v>
      </c>
      <c r="AJ486">
        <v>7.2552894946448108</v>
      </c>
    </row>
    <row r="487" spans="4:36" x14ac:dyDescent="0.55000000000000004">
      <c r="D487">
        <v>480</v>
      </c>
      <c r="E487">
        <v>12.425402763251689</v>
      </c>
      <c r="F487">
        <v>0.44377953763845346</v>
      </c>
      <c r="G487">
        <v>0.18037988687266254</v>
      </c>
      <c r="H487">
        <v>16.95043781223719</v>
      </c>
      <c r="I487">
        <v>12.651222852486564</v>
      </c>
      <c r="J487">
        <v>0.2814694876306858</v>
      </c>
      <c r="K487">
        <v>0.11400661824527158</v>
      </c>
      <c r="L487">
        <v>16.953301041637488</v>
      </c>
      <c r="M487">
        <v>12.560317442374997</v>
      </c>
      <c r="N487">
        <v>0.34684548795267711</v>
      </c>
      <c r="O487">
        <v>0.14068401880645429</v>
      </c>
      <c r="P487">
        <v>16.952153050865871</v>
      </c>
      <c r="Q487">
        <v>12.532085215389163</v>
      </c>
      <c r="R487">
        <v>0.36713901618859951</v>
      </c>
      <c r="S487">
        <v>0.14898050673047858</v>
      </c>
      <c r="T487">
        <v>16.951795261691771</v>
      </c>
      <c r="U487">
        <v>1537.4372849828962</v>
      </c>
      <c r="V487">
        <v>9.7361874714985781</v>
      </c>
      <c r="W487">
        <v>1280.8931159276426</v>
      </c>
      <c r="X487">
        <v>6.9986474293297265</v>
      </c>
      <c r="Y487">
        <v>2892.2886503956634</v>
      </c>
      <c r="Z487">
        <v>9.7751140483272145</v>
      </c>
      <c r="AA487">
        <v>2725.6428235296667</v>
      </c>
      <c r="AB487">
        <v>7.0215911628907159</v>
      </c>
      <c r="AC487">
        <v>2238.5328060940928</v>
      </c>
      <c r="AD487">
        <v>9.7594405576986976</v>
      </c>
      <c r="AE487">
        <v>2028.7761617748142</v>
      </c>
      <c r="AF487">
        <v>7.0123639373912212</v>
      </c>
      <c r="AG487">
        <v>2160.1836235767464</v>
      </c>
      <c r="AH487">
        <v>9.7545737972056319</v>
      </c>
      <c r="AI487">
        <v>1928.5967601823959</v>
      </c>
      <c r="AJ487">
        <v>7.0094958281680864</v>
      </c>
    </row>
    <row r="488" spans="4:36" x14ac:dyDescent="0.55000000000000004">
      <c r="D488">
        <v>481</v>
      </c>
      <c r="E488">
        <v>13.872835247702701</v>
      </c>
      <c r="F488">
        <v>0.47636620340434166</v>
      </c>
      <c r="G488">
        <v>0.16309428003642371</v>
      </c>
      <c r="H488">
        <v>15.487704268856545</v>
      </c>
      <c r="I488">
        <v>14.10604877648259</v>
      </c>
      <c r="J488">
        <v>0.32206250410092796</v>
      </c>
      <c r="K488">
        <v>0.10991243231665133</v>
      </c>
      <c r="L488">
        <v>15.461976287099844</v>
      </c>
      <c r="M488">
        <v>14.008067495097963</v>
      </c>
      <c r="N488">
        <v>0.38693347690202812</v>
      </c>
      <c r="O488">
        <v>0.13222847858141051</v>
      </c>
      <c r="P488">
        <v>15.472770549418584</v>
      </c>
      <c r="Q488">
        <v>13.929828597699437</v>
      </c>
      <c r="R488">
        <v>0.43868935704816042</v>
      </c>
      <c r="S488">
        <v>0.15007663197574744</v>
      </c>
      <c r="T488">
        <v>15.481405413276651</v>
      </c>
      <c r="U488">
        <v>1637.6260455895795</v>
      </c>
      <c r="V488">
        <v>10.971721248165379</v>
      </c>
      <c r="W488">
        <v>1344.2184400624924</v>
      </c>
      <c r="X488">
        <v>7.727326026399254</v>
      </c>
      <c r="Y488">
        <v>2953.8190138317382</v>
      </c>
      <c r="Z488">
        <v>11.031352107861892</v>
      </c>
      <c r="AA488">
        <v>2762.634739230486</v>
      </c>
      <c r="AB488">
        <v>7.7602641565638226</v>
      </c>
      <c r="AC488">
        <v>2293.6891736237176</v>
      </c>
      <c r="AD488">
        <v>11.006308078899636</v>
      </c>
      <c r="AE488">
        <v>2060.2754123274071</v>
      </c>
      <c r="AF488">
        <v>7.7464416653241939</v>
      </c>
      <c r="AG488">
        <v>2184.2445698833317</v>
      </c>
      <c r="AH488">
        <v>10.986300847329318</v>
      </c>
      <c r="AI488">
        <v>1935.1652978761488</v>
      </c>
      <c r="AJ488">
        <v>7.7353876918130933</v>
      </c>
    </row>
    <row r="489" spans="4:36" x14ac:dyDescent="0.55000000000000004">
      <c r="D489">
        <v>482</v>
      </c>
      <c r="E489">
        <v>13.174728825048454</v>
      </c>
      <c r="F489">
        <v>0.46687367621836445</v>
      </c>
      <c r="G489">
        <v>0.18272523577463448</v>
      </c>
      <c r="H489">
        <v>16.175672262958543</v>
      </c>
      <c r="I489">
        <v>13.451404290968403</v>
      </c>
      <c r="J489">
        <v>0.28271977498728984</v>
      </c>
      <c r="K489">
        <v>0.11022651381753737</v>
      </c>
      <c r="L489">
        <v>16.155649420226769</v>
      </c>
      <c r="M489">
        <v>13.337685870341911</v>
      </c>
      <c r="N489">
        <v>0.35847110800736576</v>
      </c>
      <c r="O489">
        <v>0.1399802070487092</v>
      </c>
      <c r="P489">
        <v>16.163862814602012</v>
      </c>
      <c r="Q489">
        <v>13.307560869017252</v>
      </c>
      <c r="R489">
        <v>0.37852412518385803</v>
      </c>
      <c r="S489">
        <v>0.14787258909555417</v>
      </c>
      <c r="T489">
        <v>16.166042416703341</v>
      </c>
      <c r="U489">
        <v>1627.3827814421406</v>
      </c>
      <c r="V489">
        <v>10.462052784892123</v>
      </c>
      <c r="W489">
        <v>1339.3163964097173</v>
      </c>
      <c r="X489">
        <v>7.439181287514276</v>
      </c>
      <c r="Y489">
        <v>2933.5358552960297</v>
      </c>
      <c r="Z489">
        <v>10.527387756891905</v>
      </c>
      <c r="AA489">
        <v>2752.1898481216849</v>
      </c>
      <c r="AB489">
        <v>7.4759663091391495</v>
      </c>
      <c r="AC489">
        <v>2219.0887618628317</v>
      </c>
      <c r="AD489">
        <v>10.50054225759758</v>
      </c>
      <c r="AE489">
        <v>2010.4243650141641</v>
      </c>
      <c r="AF489">
        <v>7.4608681071796843</v>
      </c>
      <c r="AG489">
        <v>2151.3366665294052</v>
      </c>
      <c r="AH489">
        <v>10.493428717622228</v>
      </c>
      <c r="AI489">
        <v>1917.3309508552511</v>
      </c>
      <c r="AJ489">
        <v>7.4568635611291025</v>
      </c>
    </row>
    <row r="490" spans="4:36" x14ac:dyDescent="0.55000000000000004">
      <c r="D490">
        <v>483</v>
      </c>
      <c r="E490">
        <v>13.225521386352092</v>
      </c>
      <c r="F490">
        <v>0.44440543692280565</v>
      </c>
      <c r="G490">
        <v>0.16074251762174485</v>
      </c>
      <c r="H490">
        <v>16.169330659103359</v>
      </c>
      <c r="I490">
        <v>13.450178929819861</v>
      </c>
      <c r="J490">
        <v>0.29245290552675857</v>
      </c>
      <c r="K490">
        <v>0.10544956026061003</v>
      </c>
      <c r="L490">
        <v>16.151918604392776</v>
      </c>
      <c r="M490">
        <v>13.377834185222365</v>
      </c>
      <c r="N490">
        <v>0.34142034156014794</v>
      </c>
      <c r="O490">
        <v>0.12322956158277859</v>
      </c>
      <c r="P490">
        <v>16.157515911634697</v>
      </c>
      <c r="Q490">
        <v>13.305061405797597</v>
      </c>
      <c r="R490">
        <v>0.39064373236503691</v>
      </c>
      <c r="S490">
        <v>0.14113919623153909</v>
      </c>
      <c r="T490">
        <v>16.163155665605842</v>
      </c>
      <c r="U490">
        <v>1583.6220080800424</v>
      </c>
      <c r="V490">
        <v>10.444924969627243</v>
      </c>
      <c r="W490">
        <v>1314.4789744938168</v>
      </c>
      <c r="X490">
        <v>7.4249802207047484</v>
      </c>
      <c r="Y490">
        <v>2885.2802922015862</v>
      </c>
      <c r="Z490">
        <v>10.497552255800242</v>
      </c>
      <c r="AA490">
        <v>2720.1355087725569</v>
      </c>
      <c r="AB490">
        <v>7.454488663222028</v>
      </c>
      <c r="AC490">
        <v>2207.0283083132817</v>
      </c>
      <c r="AD490">
        <v>10.480610806112431</v>
      </c>
      <c r="AE490">
        <v>2006.8119737771169</v>
      </c>
      <c r="AF490">
        <v>7.44499894012346</v>
      </c>
      <c r="AG490">
        <v>2136.9455056133133</v>
      </c>
      <c r="AH490">
        <v>10.463563662787523</v>
      </c>
      <c r="AI490">
        <v>1910.2987402864032</v>
      </c>
      <c r="AJ490">
        <v>7.4354409844533453</v>
      </c>
    </row>
    <row r="491" spans="4:36" x14ac:dyDescent="0.55000000000000004">
      <c r="D491">
        <v>484</v>
      </c>
      <c r="E491">
        <v>13.179756231788661</v>
      </c>
      <c r="F491">
        <v>0.46009953294168388</v>
      </c>
      <c r="G491">
        <v>0.15707730029919614</v>
      </c>
      <c r="H491">
        <v>16.20306693497044</v>
      </c>
      <c r="I491">
        <v>13.404483124845084</v>
      </c>
      <c r="J491">
        <v>0.29970723859060788</v>
      </c>
      <c r="K491">
        <v>0.10199439255363275</v>
      </c>
      <c r="L491">
        <v>16.19381524401069</v>
      </c>
      <c r="M491">
        <v>13.310862526432313</v>
      </c>
      <c r="N491">
        <v>0.36656238998565255</v>
      </c>
      <c r="O491">
        <v>0.12491095916263616</v>
      </c>
      <c r="P491">
        <v>16.197664124419397</v>
      </c>
      <c r="Q491">
        <v>13.216709206099452</v>
      </c>
      <c r="R491">
        <v>0.43374593428989477</v>
      </c>
      <c r="S491">
        <v>0.14800226034613867</v>
      </c>
      <c r="T491">
        <v>16.201542599264503</v>
      </c>
      <c r="U491">
        <v>1572.9912431197813</v>
      </c>
      <c r="V491">
        <v>10.285412735894489</v>
      </c>
      <c r="W491">
        <v>1303.1912308555206</v>
      </c>
      <c r="X491">
        <v>7.3133470725569518</v>
      </c>
      <c r="Y491">
        <v>2926.8195867118975</v>
      </c>
      <c r="Z491">
        <v>10.329932906584213</v>
      </c>
      <c r="AA491">
        <v>2747.6076980148769</v>
      </c>
      <c r="AB491">
        <v>7.3385785016716518</v>
      </c>
      <c r="AC491">
        <v>2234.3652874050808</v>
      </c>
      <c r="AD491">
        <v>10.311388967819031</v>
      </c>
      <c r="AE491">
        <v>2022.567686409242</v>
      </c>
      <c r="AF491">
        <v>7.3280784197250082</v>
      </c>
      <c r="AG491">
        <v>2160.6787644948377</v>
      </c>
      <c r="AH491">
        <v>10.292735136256162</v>
      </c>
      <c r="AI491">
        <v>1921.8870073322387</v>
      </c>
      <c r="AJ491">
        <v>7.3175023960120473</v>
      </c>
    </row>
    <row r="492" spans="4:36" x14ac:dyDescent="0.55000000000000004">
      <c r="D492">
        <v>485</v>
      </c>
      <c r="E492">
        <v>11.677773053038191</v>
      </c>
      <c r="F492">
        <v>0.40586610601462314</v>
      </c>
      <c r="G492">
        <v>0.15953225011631386</v>
      </c>
      <c r="H492">
        <v>17.756828590830857</v>
      </c>
      <c r="I492">
        <v>11.88136615453044</v>
      </c>
      <c r="J492">
        <v>0.25824801123729341</v>
      </c>
      <c r="K492">
        <v>0.10118400154066401</v>
      </c>
      <c r="L492">
        <v>17.759201832691584</v>
      </c>
      <c r="M492">
        <v>11.80157302878068</v>
      </c>
      <c r="N492">
        <v>0.31613348212839631</v>
      </c>
      <c r="O492">
        <v>0.12401898340860665</v>
      </c>
      <c r="P492">
        <v>17.758274505682326</v>
      </c>
      <c r="Q492">
        <v>11.76497965015461</v>
      </c>
      <c r="R492">
        <v>0.34266691064216148</v>
      </c>
      <c r="S492">
        <v>0.1345054127559045</v>
      </c>
      <c r="T492">
        <v>17.757848026447313</v>
      </c>
      <c r="U492">
        <v>1489.7791558433375</v>
      </c>
      <c r="V492">
        <v>9.1612565795283096</v>
      </c>
      <c r="W492">
        <v>1257.0929965803612</v>
      </c>
      <c r="X492">
        <v>6.6684449834417396</v>
      </c>
      <c r="Y492">
        <v>2845.1415400160904</v>
      </c>
      <c r="Z492">
        <v>9.1969890355361947</v>
      </c>
      <c r="AA492">
        <v>2698.2728019214442</v>
      </c>
      <c r="AB492">
        <v>6.6896112684069733</v>
      </c>
      <c r="AC492">
        <v>2182.0879535083563</v>
      </c>
      <c r="AD492">
        <v>9.1829833117436142</v>
      </c>
      <c r="AE492">
        <v>1996.5386623716852</v>
      </c>
      <c r="AF492">
        <v>6.6813243985388011</v>
      </c>
      <c r="AG492">
        <v>2074.6865334885679</v>
      </c>
      <c r="AH492">
        <v>9.1765608001637382</v>
      </c>
      <c r="AI492">
        <v>1875.2613394843695</v>
      </c>
      <c r="AJ492">
        <v>6.677520272475169</v>
      </c>
    </row>
    <row r="493" spans="4:36" x14ac:dyDescent="0.55000000000000004">
      <c r="D493">
        <v>486</v>
      </c>
      <c r="E493">
        <v>12.094844472604565</v>
      </c>
      <c r="F493">
        <v>0.51705842359585863</v>
      </c>
      <c r="G493">
        <v>0.1379471555852968</v>
      </c>
      <c r="H493">
        <v>17.250149948214275</v>
      </c>
      <c r="I493">
        <v>12.309415526346172</v>
      </c>
      <c r="J493">
        <v>0.32407968244867391</v>
      </c>
      <c r="K493">
        <v>8.6201416164142661E-2</v>
      </c>
      <c r="L493">
        <v>17.280303375041004</v>
      </c>
      <c r="M493">
        <v>12.205767667413008</v>
      </c>
      <c r="N493">
        <v>0.41731200977712846</v>
      </c>
      <c r="O493">
        <v>0.11116144354560088</v>
      </c>
      <c r="P493">
        <v>17.265758879264268</v>
      </c>
      <c r="Q493">
        <v>12.167304767944763</v>
      </c>
      <c r="R493">
        <v>0.45190288257055206</v>
      </c>
      <c r="S493">
        <v>0.12044078241421796</v>
      </c>
      <c r="T493">
        <v>17.260351567070487</v>
      </c>
      <c r="U493">
        <v>1566.4432111398035</v>
      </c>
      <c r="V493">
        <v>9.5963508817752885</v>
      </c>
      <c r="W493">
        <v>1303.7023062381249</v>
      </c>
      <c r="X493">
        <v>6.9297688616844084</v>
      </c>
      <c r="Y493">
        <v>2887.4097480279056</v>
      </c>
      <c r="Z493">
        <v>9.6216679934542082</v>
      </c>
      <c r="AA493">
        <v>2723.5448524858925</v>
      </c>
      <c r="AB493">
        <v>6.9458786456734538</v>
      </c>
      <c r="AC493">
        <v>2201.8907742189085</v>
      </c>
      <c r="AD493">
        <v>9.6094264653470383</v>
      </c>
      <c r="AE493">
        <v>2002.6209465287545</v>
      </c>
      <c r="AF493">
        <v>6.9380998451109024</v>
      </c>
      <c r="AG493">
        <v>2096.1916865590147</v>
      </c>
      <c r="AH493">
        <v>9.6048895046792584</v>
      </c>
      <c r="AI493">
        <v>1881.9465087723233</v>
      </c>
      <c r="AJ493">
        <v>6.9352117834662987</v>
      </c>
    </row>
    <row r="494" spans="4:36" x14ac:dyDescent="0.55000000000000004">
      <c r="D494">
        <v>487</v>
      </c>
      <c r="E494">
        <v>12.072633522666001</v>
      </c>
      <c r="F494">
        <v>0.40445548358208033</v>
      </c>
      <c r="G494">
        <v>0.15602801538437275</v>
      </c>
      <c r="H494">
        <v>17.36688297836756</v>
      </c>
      <c r="I494">
        <v>12.250144327751658</v>
      </c>
      <c r="J494">
        <v>0.2789277511976726</v>
      </c>
      <c r="K494">
        <v>0.10731395424700392</v>
      </c>
      <c r="L494">
        <v>17.36361396680368</v>
      </c>
      <c r="M494">
        <v>12.184844675083504</v>
      </c>
      <c r="N494">
        <v>0.32512790732323987</v>
      </c>
      <c r="O494">
        <v>0.12521217362799028</v>
      </c>
      <c r="P494">
        <v>17.364815243965253</v>
      </c>
      <c r="Q494">
        <v>12.153668735168639</v>
      </c>
      <c r="R494">
        <v>0.34717572105972588</v>
      </c>
      <c r="S494">
        <v>0.13376625504624443</v>
      </c>
      <c r="T494">
        <v>17.3653892887254</v>
      </c>
      <c r="U494">
        <v>1509.9416003396368</v>
      </c>
      <c r="V494">
        <v>9.4919546149502683</v>
      </c>
      <c r="W494">
        <v>1272.6302683391623</v>
      </c>
      <c r="X494">
        <v>6.8675442605436192</v>
      </c>
      <c r="Y494">
        <v>2856.7806462025219</v>
      </c>
      <c r="Z494">
        <v>9.5277133335460071</v>
      </c>
      <c r="AA494">
        <v>2705.7078764416883</v>
      </c>
      <c r="AB494">
        <v>6.888342877639225</v>
      </c>
      <c r="AC494">
        <v>2151.7464734919954</v>
      </c>
      <c r="AD494">
        <v>9.5145597494330598</v>
      </c>
      <c r="AE494">
        <v>1974.3443719618945</v>
      </c>
      <c r="AF494">
        <v>6.8806993815316426</v>
      </c>
      <c r="AG494">
        <v>2083.2444183877055</v>
      </c>
      <c r="AH494">
        <v>9.5082795519682612</v>
      </c>
      <c r="AI494">
        <v>1881.7489694344756</v>
      </c>
      <c r="AJ494">
        <v>6.877047070764962</v>
      </c>
    </row>
    <row r="495" spans="4:36" x14ac:dyDescent="0.55000000000000004">
      <c r="D495">
        <v>488</v>
      </c>
      <c r="E495">
        <v>13.796919908963384</v>
      </c>
      <c r="F495">
        <v>0.50183894562227604</v>
      </c>
      <c r="G495">
        <v>0.17212446778755378</v>
      </c>
      <c r="H495">
        <v>15.529116677626789</v>
      </c>
      <c r="I495">
        <v>14.052495383413335</v>
      </c>
      <c r="J495">
        <v>0.32189212118320193</v>
      </c>
      <c r="K495">
        <v>0.11004295881613088</v>
      </c>
      <c r="L495">
        <v>15.515569536587352</v>
      </c>
      <c r="M495">
        <v>13.934560964755073</v>
      </c>
      <c r="N495">
        <v>0.40497553582749457</v>
      </c>
      <c r="O495">
        <v>0.13865518970113563</v>
      </c>
      <c r="P495">
        <v>15.521808309716285</v>
      </c>
      <c r="Q495">
        <v>13.90288221948285</v>
      </c>
      <c r="R495">
        <v>0.42727899947416187</v>
      </c>
      <c r="S495">
        <v>0.14635101710054213</v>
      </c>
      <c r="T495">
        <v>15.523487763942457</v>
      </c>
      <c r="U495">
        <v>1633.2659873978507</v>
      </c>
      <c r="V495">
        <v>10.808560424105876</v>
      </c>
      <c r="W495">
        <v>1338.2750414883017</v>
      </c>
      <c r="X495">
        <v>7.6157747978248489</v>
      </c>
      <c r="Y495">
        <v>2932.6936629076731</v>
      </c>
      <c r="Z495">
        <v>10.862779872515407</v>
      </c>
      <c r="AA495">
        <v>2747.0438254393025</v>
      </c>
      <c r="AB495">
        <v>7.6459769074708701</v>
      </c>
      <c r="AC495">
        <v>2274.8984395998982</v>
      </c>
      <c r="AD495">
        <v>10.837767746684133</v>
      </c>
      <c r="AE495">
        <v>2044.846745216764</v>
      </c>
      <c r="AF495">
        <v>7.6320559618697228</v>
      </c>
      <c r="AG495">
        <v>2194.8728970239354</v>
      </c>
      <c r="AH495">
        <v>10.831047050217213</v>
      </c>
      <c r="AI495">
        <v>1942.5191252351444</v>
      </c>
      <c r="AJ495">
        <v>7.6283120442917731</v>
      </c>
    </row>
    <row r="496" spans="4:36" x14ac:dyDescent="0.55000000000000004">
      <c r="D496">
        <v>489</v>
      </c>
      <c r="E496">
        <v>12.613134716111153</v>
      </c>
      <c r="F496">
        <v>0.42803838322222476</v>
      </c>
      <c r="G496">
        <v>0.17078977391996841</v>
      </c>
      <c r="H496">
        <v>16.788037126746659</v>
      </c>
      <c r="I496">
        <v>12.845908363478527</v>
      </c>
      <c r="J496">
        <v>0.27157043043104884</v>
      </c>
      <c r="K496">
        <v>0.10798305013314041</v>
      </c>
      <c r="L496">
        <v>16.774538155957284</v>
      </c>
      <c r="M496">
        <v>12.738969019133041</v>
      </c>
      <c r="N496">
        <v>0.34349873604383957</v>
      </c>
      <c r="O496">
        <v>0.13680038389938723</v>
      </c>
      <c r="P496">
        <v>16.780731860923744</v>
      </c>
      <c r="Q496">
        <v>12.721448879855792</v>
      </c>
      <c r="R496">
        <v>0.35527569396569919</v>
      </c>
      <c r="S496">
        <v>0.14152755926558308</v>
      </c>
      <c r="T496">
        <v>16.78174786691293</v>
      </c>
      <c r="U496">
        <v>1510.5567007484465</v>
      </c>
      <c r="V496">
        <v>9.9970809800329867</v>
      </c>
      <c r="W496">
        <v>1266.6428581037665</v>
      </c>
      <c r="X496">
        <v>7.1709871262635136</v>
      </c>
      <c r="Y496">
        <v>2873.4309770909294</v>
      </c>
      <c r="Z496">
        <v>10.049969669877335</v>
      </c>
      <c r="AA496">
        <v>2715.2586224502288</v>
      </c>
      <c r="AB496">
        <v>7.2011586584521678</v>
      </c>
      <c r="AC496">
        <v>2204.9019922281805</v>
      </c>
      <c r="AD496">
        <v>10.025676299321971</v>
      </c>
      <c r="AE496">
        <v>2007.8257161797503</v>
      </c>
      <c r="AF496">
        <v>7.1873128219786544</v>
      </c>
      <c r="AG496">
        <v>2121.5867790646903</v>
      </c>
      <c r="AH496">
        <v>10.021695544822004</v>
      </c>
      <c r="AI496">
        <v>1904.7779399098754</v>
      </c>
      <c r="AJ496">
        <v>7.1850419455941106</v>
      </c>
    </row>
    <row r="497" spans="4:36" x14ac:dyDescent="0.55000000000000004">
      <c r="D497">
        <v>490</v>
      </c>
      <c r="E497">
        <v>13.353249657275473</v>
      </c>
      <c r="F497">
        <v>0.51994905815700698</v>
      </c>
      <c r="G497">
        <v>0.15980792951384096</v>
      </c>
      <c r="H497">
        <v>15.966993355053694</v>
      </c>
      <c r="I497">
        <v>13.629282138354821</v>
      </c>
      <c r="J497">
        <v>0.31530474271954556</v>
      </c>
      <c r="K497">
        <v>9.6559549760102573E-2</v>
      </c>
      <c r="L497">
        <v>15.958853569165534</v>
      </c>
      <c r="M497">
        <v>13.485707352007646</v>
      </c>
      <c r="N497">
        <v>0.42179935000776864</v>
      </c>
      <c r="O497">
        <v>0.1294152154586039</v>
      </c>
      <c r="P497">
        <v>15.963078082525987</v>
      </c>
      <c r="Q497">
        <v>13.483650760853358</v>
      </c>
      <c r="R497">
        <v>0.42332399113238522</v>
      </c>
      <c r="S497">
        <v>0.1298865072202422</v>
      </c>
      <c r="T497">
        <v>15.963138740794005</v>
      </c>
      <c r="U497">
        <v>1583.1274681547827</v>
      </c>
      <c r="V497">
        <v>10.525302229549903</v>
      </c>
      <c r="W497">
        <v>1307.8062903045745</v>
      </c>
      <c r="X497">
        <v>7.4613418833026364</v>
      </c>
      <c r="Y497">
        <v>2914.1033937799752</v>
      </c>
      <c r="Z497">
        <v>10.581341831396614</v>
      </c>
      <c r="AA497">
        <v>2738.3626328464461</v>
      </c>
      <c r="AB497">
        <v>7.4930075331596315</v>
      </c>
      <c r="AC497">
        <v>2275.9071206247822</v>
      </c>
      <c r="AD497">
        <v>10.552198786287752</v>
      </c>
      <c r="AE497">
        <v>2049.5582516556601</v>
      </c>
      <c r="AF497">
        <v>7.4765546206150599</v>
      </c>
      <c r="AG497">
        <v>2169.411541024725</v>
      </c>
      <c r="AH497">
        <v>10.551781253940485</v>
      </c>
      <c r="AI497">
        <v>1930.1760626353428</v>
      </c>
      <c r="AJ497">
        <v>7.4763186709592766</v>
      </c>
    </row>
    <row r="498" spans="4:36" x14ac:dyDescent="0.55000000000000004">
      <c r="D498">
        <v>491</v>
      </c>
      <c r="E498">
        <v>12.264311106640349</v>
      </c>
      <c r="F498">
        <v>0.3941005617689754</v>
      </c>
      <c r="G498">
        <v>0.17743167967297105</v>
      </c>
      <c r="H498">
        <v>17.164156651917711</v>
      </c>
      <c r="I498">
        <v>12.451451962944777</v>
      </c>
      <c r="J498">
        <v>0.26354417682478476</v>
      </c>
      <c r="K498">
        <v>0.11830261597871948</v>
      </c>
      <c r="L498">
        <v>17.16670124425174</v>
      </c>
      <c r="M498">
        <v>12.361256836614389</v>
      </c>
      <c r="N498">
        <v>0.32649563551875016</v>
      </c>
      <c r="O498">
        <v>0.14676913761698546</v>
      </c>
      <c r="P498">
        <v>17.165478390249877</v>
      </c>
      <c r="Q498">
        <v>12.335393694003418</v>
      </c>
      <c r="R498">
        <v>0.34453716234315518</v>
      </c>
      <c r="S498">
        <v>0.15494261620433977</v>
      </c>
      <c r="T498">
        <v>17.1651265274491</v>
      </c>
      <c r="U498">
        <v>1476.1860966992019</v>
      </c>
      <c r="V498">
        <v>9.6798620950341423</v>
      </c>
      <c r="W498">
        <v>1242.9147835078245</v>
      </c>
      <c r="X498">
        <v>6.9798865173410976</v>
      </c>
      <c r="Y498">
        <v>2854.7964920404179</v>
      </c>
      <c r="Z498">
        <v>9.7125300891303592</v>
      </c>
      <c r="AA498">
        <v>2701.5399441662512</v>
      </c>
      <c r="AB498">
        <v>6.9991813709108834</v>
      </c>
      <c r="AC498">
        <v>2185.8755779700782</v>
      </c>
      <c r="AD498">
        <v>9.6967829925283926</v>
      </c>
      <c r="AE498">
        <v>1994.2420138875605</v>
      </c>
      <c r="AF498">
        <v>6.9898886247526599</v>
      </c>
      <c r="AG498">
        <v>2082.8701245684883</v>
      </c>
      <c r="AH498">
        <v>9.6922683551640656</v>
      </c>
      <c r="AI498">
        <v>1876.5437736850629</v>
      </c>
      <c r="AJ498">
        <v>6.9872216778816512</v>
      </c>
    </row>
    <row r="499" spans="4:36" x14ac:dyDescent="0.55000000000000004">
      <c r="D499">
        <v>492</v>
      </c>
      <c r="E499">
        <v>11.914222529103379</v>
      </c>
      <c r="F499">
        <v>0.44651314371564466</v>
      </c>
      <c r="G499">
        <v>0.17226276372660798</v>
      </c>
      <c r="H499">
        <v>17.467001563454371</v>
      </c>
      <c r="I499">
        <v>12.113266059481342</v>
      </c>
      <c r="J499">
        <v>0.29105949740903142</v>
      </c>
      <c r="K499">
        <v>0.11194657976864635</v>
      </c>
      <c r="L499">
        <v>17.48372786334097</v>
      </c>
      <c r="M499">
        <v>12.026534488275702</v>
      </c>
      <c r="N499">
        <v>0.35882192754450104</v>
      </c>
      <c r="O499">
        <v>0.1381925186770348</v>
      </c>
      <c r="P499">
        <v>17.476451065502772</v>
      </c>
      <c r="Q499">
        <v>11.990508856899451</v>
      </c>
      <c r="R499">
        <v>0.38695713791529973</v>
      </c>
      <c r="S499">
        <v>0.14911072482051055</v>
      </c>
      <c r="T499">
        <v>17.473423280364752</v>
      </c>
      <c r="U499">
        <v>1489.1390590374347</v>
      </c>
      <c r="V499">
        <v>9.3773800158387353</v>
      </c>
      <c r="W499">
        <v>1254.3396311115553</v>
      </c>
      <c r="X499">
        <v>6.794140962544799</v>
      </c>
      <c r="Y499">
        <v>2856.1990417281672</v>
      </c>
      <c r="Z499">
        <v>9.4053382474532548</v>
      </c>
      <c r="AA499">
        <v>2704.3615645861551</v>
      </c>
      <c r="AB499">
        <v>6.811355915513742</v>
      </c>
      <c r="AC499">
        <v>2192.8302631007732</v>
      </c>
      <c r="AD499">
        <v>9.3931485886116235</v>
      </c>
      <c r="AE499">
        <v>2001.7210192431689</v>
      </c>
      <c r="AF499">
        <v>6.8038594330449733</v>
      </c>
      <c r="AG499">
        <v>2083.3084514022366</v>
      </c>
      <c r="AH499">
        <v>9.3880885878049423</v>
      </c>
      <c r="AI499">
        <v>1878.8473069617901</v>
      </c>
      <c r="AJ499">
        <v>6.800743458010599</v>
      </c>
    </row>
    <row r="500" spans="4:36" x14ac:dyDescent="0.55000000000000004">
      <c r="D500">
        <v>493</v>
      </c>
      <c r="E500">
        <v>14.232401843289535</v>
      </c>
      <c r="F500">
        <v>0.45853187989594973</v>
      </c>
      <c r="G500">
        <v>0.16342976417308802</v>
      </c>
      <c r="H500">
        <v>15.145636512641452</v>
      </c>
      <c r="I500">
        <v>14.464890664100448</v>
      </c>
      <c r="J500">
        <v>0.30904180783452195</v>
      </c>
      <c r="K500">
        <v>0.10981438724899864</v>
      </c>
      <c r="L500">
        <v>15.116253140816021</v>
      </c>
      <c r="M500">
        <v>14.357071135885723</v>
      </c>
      <c r="N500">
        <v>0.37841352195880723</v>
      </c>
      <c r="O500">
        <v>0.1346537214269232</v>
      </c>
      <c r="P500">
        <v>15.129861620728539</v>
      </c>
      <c r="Q500">
        <v>14.337368247490653</v>
      </c>
      <c r="R500">
        <v>0.3910823034362288</v>
      </c>
      <c r="S500">
        <v>0.1391975912602155</v>
      </c>
      <c r="T500">
        <v>15.13235185781288</v>
      </c>
      <c r="U500">
        <v>1598.9217964205211</v>
      </c>
      <c r="V500">
        <v>11.190336549951716</v>
      </c>
      <c r="W500">
        <v>1318.581575678912</v>
      </c>
      <c r="X500">
        <v>7.8439818511273929</v>
      </c>
      <c r="Y500">
        <v>2936.8872242274697</v>
      </c>
      <c r="Z500">
        <v>11.249322267605139</v>
      </c>
      <c r="AA500">
        <v>2752.0241057316825</v>
      </c>
      <c r="AB500">
        <v>7.8762360391060291</v>
      </c>
      <c r="AC500">
        <v>2273.6980320759635</v>
      </c>
      <c r="AD500">
        <v>11.221977664343219</v>
      </c>
      <c r="AE500">
        <v>2047.2646387639254</v>
      </c>
      <c r="AF500">
        <v>7.8612938218892294</v>
      </c>
      <c r="AG500">
        <v>2142.8949857248449</v>
      </c>
      <c r="AH500">
        <v>11.216978723959603</v>
      </c>
      <c r="AI500">
        <v>1909.7153872724009</v>
      </c>
      <c r="AJ500">
        <v>7.8585602997957027</v>
      </c>
    </row>
    <row r="501" spans="4:36" x14ac:dyDescent="0.55000000000000004">
      <c r="D501">
        <v>494</v>
      </c>
      <c r="E501">
        <v>12.911991368967881</v>
      </c>
      <c r="F501">
        <v>0.4295966817531166</v>
      </c>
      <c r="G501">
        <v>0.16934627243369249</v>
      </c>
      <c r="H501">
        <v>16.489065676845314</v>
      </c>
      <c r="I501">
        <v>13.129099065388274</v>
      </c>
      <c r="J501">
        <v>0.2852069623398038</v>
      </c>
      <c r="K501">
        <v>0.11207221300024081</v>
      </c>
      <c r="L501">
        <v>16.473621759271676</v>
      </c>
      <c r="M501">
        <v>13.041983952321795</v>
      </c>
      <c r="N501">
        <v>0.34318150914487977</v>
      </c>
      <c r="O501">
        <v>0.13502428532235419</v>
      </c>
      <c r="P501">
        <v>16.479810253210967</v>
      </c>
      <c r="Q501">
        <v>13.017339704007412</v>
      </c>
      <c r="R501">
        <v>0.35957295248535387</v>
      </c>
      <c r="S501">
        <v>0.14152436798971665</v>
      </c>
      <c r="T501">
        <v>16.481562975517519</v>
      </c>
      <c r="U501">
        <v>1553.7601730570675</v>
      </c>
      <c r="V501">
        <v>10.258105952782456</v>
      </c>
      <c r="W501">
        <v>1291.2214935508935</v>
      </c>
      <c r="X501">
        <v>7.3254453093240386</v>
      </c>
      <c r="Y501">
        <v>2928.6192591155018</v>
      </c>
      <c r="Z501">
        <v>10.307844018808142</v>
      </c>
      <c r="AA501">
        <v>2749.6712019639722</v>
      </c>
      <c r="AB501">
        <v>7.3535444265929915</v>
      </c>
      <c r="AC501">
        <v>2253.6340159690203</v>
      </c>
      <c r="AD501">
        <v>10.287891478243498</v>
      </c>
      <c r="AE501">
        <v>2037.7396345077323</v>
      </c>
      <c r="AF501">
        <v>7.3422825440995414</v>
      </c>
      <c r="AG501">
        <v>2146.8734094647248</v>
      </c>
      <c r="AH501">
        <v>10.282245832582486</v>
      </c>
      <c r="AI501">
        <v>1917.1755141496435</v>
      </c>
      <c r="AJ501">
        <v>7.3390934970312642</v>
      </c>
    </row>
    <row r="502" spans="4:36" x14ac:dyDescent="0.55000000000000004">
      <c r="D502">
        <v>495</v>
      </c>
      <c r="E502">
        <v>13.136516066907921</v>
      </c>
      <c r="F502">
        <v>0.48200933943324237</v>
      </c>
      <c r="G502">
        <v>0.16390304929632946</v>
      </c>
      <c r="H502">
        <v>16.217571544362503</v>
      </c>
      <c r="I502">
        <v>13.38450892236944</v>
      </c>
      <c r="J502">
        <v>0.3038654829718509</v>
      </c>
      <c r="K502">
        <v>0.10297386124537186</v>
      </c>
      <c r="L502">
        <v>16.208651733413344</v>
      </c>
      <c r="M502">
        <v>13.292180984040348</v>
      </c>
      <c r="N502">
        <v>0.37023049794660573</v>
      </c>
      <c r="O502">
        <v>0.12562275705877227</v>
      </c>
      <c r="P502">
        <v>16.211965760954282</v>
      </c>
      <c r="Q502">
        <v>13.227393686446169</v>
      </c>
      <c r="R502">
        <v>0.41676980078409609</v>
      </c>
      <c r="S502">
        <v>0.14154045358613232</v>
      </c>
      <c r="T502">
        <v>16.214296059183624</v>
      </c>
      <c r="U502">
        <v>1543.0528488289349</v>
      </c>
      <c r="V502">
        <v>10.443160975291475</v>
      </c>
      <c r="W502">
        <v>1281.3209035135335</v>
      </c>
      <c r="X502">
        <v>7.4288568557673003</v>
      </c>
      <c r="Y502">
        <v>2915.2724915394597</v>
      </c>
      <c r="Z502">
        <v>10.495269371729792</v>
      </c>
      <c r="AA502">
        <v>2739.787958889081</v>
      </c>
      <c r="AB502">
        <v>7.4584230205118907</v>
      </c>
      <c r="AC502">
        <v>2242.2703198856616</v>
      </c>
      <c r="AD502">
        <v>10.475873126470724</v>
      </c>
      <c r="AE502">
        <v>2028.8384741277127</v>
      </c>
      <c r="AF502">
        <v>7.4474295240105501</v>
      </c>
      <c r="AG502">
        <v>2124.0712000083777</v>
      </c>
      <c r="AH502">
        <v>10.46225996836629</v>
      </c>
      <c r="AI502">
        <v>1897.9520294680408</v>
      </c>
      <c r="AJ502">
        <v>7.4397054115692489</v>
      </c>
    </row>
    <row r="503" spans="4:36" x14ac:dyDescent="0.55000000000000004">
      <c r="D503">
        <v>496</v>
      </c>
      <c r="E503">
        <v>12.741287945856214</v>
      </c>
      <c r="F503">
        <v>0.42797362041403508</v>
      </c>
      <c r="G503">
        <v>0.16899329638549199</v>
      </c>
      <c r="H503">
        <v>16.661745137344255</v>
      </c>
      <c r="I503">
        <v>12.965398326206108</v>
      </c>
      <c r="J503">
        <v>0.27906054688533422</v>
      </c>
      <c r="K503">
        <v>0.10982247140901062</v>
      </c>
      <c r="L503">
        <v>16.64571865549954</v>
      </c>
      <c r="M503">
        <v>12.904229615562848</v>
      </c>
      <c r="N503">
        <v>0.31973837768654073</v>
      </c>
      <c r="O503">
        <v>0.12594584593058852</v>
      </c>
      <c r="P503">
        <v>16.650086160820027</v>
      </c>
      <c r="Q503">
        <v>12.853448074886845</v>
      </c>
      <c r="R503">
        <v>0.35348960979136901</v>
      </c>
      <c r="S503">
        <v>0.1393464596304792</v>
      </c>
      <c r="T503">
        <v>16.653715855691317</v>
      </c>
      <c r="U503">
        <v>1532.4468278994152</v>
      </c>
      <c r="V503">
        <v>10.16076914785897</v>
      </c>
      <c r="W503">
        <v>1280.2245028933075</v>
      </c>
      <c r="X503">
        <v>7.2745142470160271</v>
      </c>
      <c r="Y503">
        <v>2878.145317242871</v>
      </c>
      <c r="Z503">
        <v>10.212592419076723</v>
      </c>
      <c r="AA503">
        <v>2716.6808560637983</v>
      </c>
      <c r="AB503">
        <v>7.3038848138079988</v>
      </c>
      <c r="AC503">
        <v>2193.5913861135878</v>
      </c>
      <c r="AD503">
        <v>10.198452005872674</v>
      </c>
      <c r="AE503">
        <v>1999.6921356623202</v>
      </c>
      <c r="AF503">
        <v>7.2958800895658467</v>
      </c>
      <c r="AG503">
        <v>2130.9292071747914</v>
      </c>
      <c r="AH503">
        <v>10.186710395094183</v>
      </c>
      <c r="AI503">
        <v>1909.7396307767735</v>
      </c>
      <c r="AJ503">
        <v>7.2892280327016152</v>
      </c>
    </row>
    <row r="504" spans="4:36" x14ac:dyDescent="0.55000000000000004">
      <c r="D504">
        <v>497</v>
      </c>
      <c r="E504">
        <v>12.420715806137233</v>
      </c>
      <c r="F504">
        <v>0.4694536462910508</v>
      </c>
      <c r="G504">
        <v>0.15837794196156404</v>
      </c>
      <c r="H504">
        <v>16.951452605610143</v>
      </c>
      <c r="I504">
        <v>12.630081885596178</v>
      </c>
      <c r="J504">
        <v>0.31173123381106982</v>
      </c>
      <c r="K504">
        <v>0.10485571905533975</v>
      </c>
      <c r="L504">
        <v>16.95333116153741</v>
      </c>
      <c r="M504">
        <v>12.575924682125308</v>
      </c>
      <c r="N504">
        <v>0.35255259630980712</v>
      </c>
      <c r="O504">
        <v>0.11867732962105586</v>
      </c>
      <c r="P504">
        <v>16.952845391943814</v>
      </c>
      <c r="Q504">
        <v>12.531242819037976</v>
      </c>
      <c r="R504">
        <v>0.38621984995479225</v>
      </c>
      <c r="S504">
        <v>0.13009280323847028</v>
      </c>
      <c r="T504">
        <v>16.952444527768758</v>
      </c>
      <c r="U504">
        <v>1558.3468620585497</v>
      </c>
      <c r="V504">
        <v>9.8231391383989486</v>
      </c>
      <c r="W504">
        <v>1296.3570077388413</v>
      </c>
      <c r="X504">
        <v>7.0631789481108269</v>
      </c>
      <c r="Y504">
        <v>2927.7618318245904</v>
      </c>
      <c r="Z504">
        <v>9.8624319563688232</v>
      </c>
      <c r="AA504">
        <v>2750.318691834475</v>
      </c>
      <c r="AB504">
        <v>7.0860281895293324</v>
      </c>
      <c r="AC504">
        <v>2216.0611699580618</v>
      </c>
      <c r="AD504">
        <v>9.8522679955158736</v>
      </c>
      <c r="AE504">
        <v>2013.908533087071</v>
      </c>
      <c r="AF504">
        <v>7.0801251347998226</v>
      </c>
      <c r="AG504">
        <v>2126.6767058925516</v>
      </c>
      <c r="AH504">
        <v>9.8438823196378351</v>
      </c>
      <c r="AI504">
        <v>1904.7944531441146</v>
      </c>
      <c r="AJ504">
        <v>7.0752510048664341</v>
      </c>
    </row>
    <row r="505" spans="4:36" x14ac:dyDescent="0.55000000000000004">
      <c r="D505">
        <v>498</v>
      </c>
      <c r="E505">
        <v>14.14206759942252</v>
      </c>
      <c r="F505">
        <v>0.47107945849222355</v>
      </c>
      <c r="G505">
        <v>0.15154289107812768</v>
      </c>
      <c r="H505">
        <v>15.235310051007122</v>
      </c>
      <c r="I505">
        <v>14.392565000497353</v>
      </c>
      <c r="J505">
        <v>0.31328741241627589</v>
      </c>
      <c r="K505">
        <v>0.10045579383868061</v>
      </c>
      <c r="L505">
        <v>15.193691793247678</v>
      </c>
      <c r="M505">
        <v>14.312614131881903</v>
      </c>
      <c r="N505">
        <v>0.36369532655185727</v>
      </c>
      <c r="O505">
        <v>0.11673935839580173</v>
      </c>
      <c r="P505">
        <v>15.206951183170428</v>
      </c>
      <c r="Q505">
        <v>14.196543385572324</v>
      </c>
      <c r="R505">
        <v>0.43680025074681195</v>
      </c>
      <c r="S505">
        <v>0.14041580358060135</v>
      </c>
      <c r="T505">
        <v>15.226240560100253</v>
      </c>
      <c r="U505">
        <v>1581.5371193602462</v>
      </c>
      <c r="V505">
        <v>11.208861694083673</v>
      </c>
      <c r="W505">
        <v>1305.2990864120077</v>
      </c>
      <c r="X505">
        <v>7.868310952113907</v>
      </c>
      <c r="Y505">
        <v>2928.2890191127653</v>
      </c>
      <c r="Z505">
        <v>11.280841774331988</v>
      </c>
      <c r="AA505">
        <v>2745.5017039853642</v>
      </c>
      <c r="AB505">
        <v>7.9075472792877104</v>
      </c>
      <c r="AC505">
        <v>2256.4535012136212</v>
      </c>
      <c r="AD505">
        <v>11.257881760484397</v>
      </c>
      <c r="AE505">
        <v>2035.8031628784427</v>
      </c>
      <c r="AF505">
        <v>7.8950433070992307</v>
      </c>
      <c r="AG505">
        <v>2197.8852936698681</v>
      </c>
      <c r="AH505">
        <v>11.224526052628308</v>
      </c>
      <c r="AI505">
        <v>1945.4193575570728</v>
      </c>
      <c r="AJ505">
        <v>7.8768586641640628</v>
      </c>
    </row>
    <row r="506" spans="4:36" x14ac:dyDescent="0.55000000000000004">
      <c r="D506">
        <v>499</v>
      </c>
      <c r="E506">
        <v>13.087899795269198</v>
      </c>
      <c r="F506">
        <v>0.51618702395597738</v>
      </c>
      <c r="G506">
        <v>0.16255699215732458</v>
      </c>
      <c r="H506">
        <v>16.233356188617485</v>
      </c>
      <c r="I506">
        <v>13.287813674292162</v>
      </c>
      <c r="J506">
        <v>0.35313472078009195</v>
      </c>
      <c r="K506">
        <v>0.11090917737710008</v>
      </c>
      <c r="L506">
        <v>16.248142427550654</v>
      </c>
      <c r="M506">
        <v>13.205084101313274</v>
      </c>
      <c r="N506">
        <v>0.42063015200877574</v>
      </c>
      <c r="O506">
        <v>0.13225449947468135</v>
      </c>
      <c r="P506">
        <v>16.242031247203272</v>
      </c>
      <c r="Q506">
        <v>13.156993316702231</v>
      </c>
      <c r="R506">
        <v>0.45985227841786952</v>
      </c>
      <c r="S506">
        <v>0.14468061031866036</v>
      </c>
      <c r="T506">
        <v>16.238473794561234</v>
      </c>
      <c r="U506">
        <v>1584.82967345418</v>
      </c>
      <c r="V506">
        <v>10.296357453081091</v>
      </c>
      <c r="W506">
        <v>1307.8566835339807</v>
      </c>
      <c r="X506">
        <v>7.3241462399604638</v>
      </c>
      <c r="Y506">
        <v>2917.3209220157291</v>
      </c>
      <c r="Z506">
        <v>10.324880814318515</v>
      </c>
      <c r="AA506">
        <v>2737.0938633979777</v>
      </c>
      <c r="AB506">
        <v>7.3411073053461529</v>
      </c>
      <c r="AC506">
        <v>2254.8103478278604</v>
      </c>
      <c r="AD506">
        <v>10.313072665170566</v>
      </c>
      <c r="AE506">
        <v>2033.4622659384961</v>
      </c>
      <c r="AF506">
        <v>7.3340929233445946</v>
      </c>
      <c r="AG506">
        <v>2150.8877591564997</v>
      </c>
      <c r="AH506">
        <v>10.306211449606854</v>
      </c>
      <c r="AI506">
        <v>1913.2278456025304</v>
      </c>
      <c r="AJ506">
        <v>7.3300125136761958</v>
      </c>
    </row>
    <row r="507" spans="4:36" x14ac:dyDescent="0.55000000000000004">
      <c r="D507">
        <v>500</v>
      </c>
      <c r="E507">
        <v>12.230202784145758</v>
      </c>
      <c r="F507">
        <v>0.43533094221487012</v>
      </c>
      <c r="G507">
        <v>0.15211287801309401</v>
      </c>
      <c r="H507">
        <v>17.182353395626269</v>
      </c>
      <c r="I507">
        <v>12.419952285937262</v>
      </c>
      <c r="J507">
        <v>0.29062532070903846</v>
      </c>
      <c r="K507">
        <v>0.10126555490344982</v>
      </c>
      <c r="L507">
        <v>17.188156838450247</v>
      </c>
      <c r="M507">
        <v>12.312610849294195</v>
      </c>
      <c r="N507">
        <v>0.37250907560581842</v>
      </c>
      <c r="O507">
        <v>0.13000270036656289</v>
      </c>
      <c r="P507">
        <v>17.184877374733439</v>
      </c>
      <c r="Q507">
        <v>12.290588680361635</v>
      </c>
      <c r="R507">
        <v>0.38930073881878574</v>
      </c>
      <c r="S507">
        <v>0.13590716087602348</v>
      </c>
      <c r="T507">
        <v>17.184203419943575</v>
      </c>
      <c r="U507">
        <v>1543.2666909428797</v>
      </c>
      <c r="V507">
        <v>9.6666217696558583</v>
      </c>
      <c r="W507">
        <v>1292.6674655316081</v>
      </c>
      <c r="X507">
        <v>6.9716917379256378</v>
      </c>
      <c r="Y507">
        <v>2871.1205811984905</v>
      </c>
      <c r="Z507">
        <v>9.6953873323163506</v>
      </c>
      <c r="AA507">
        <v>2714.0540119041684</v>
      </c>
      <c r="AB507">
        <v>6.9887150135777736</v>
      </c>
      <c r="AC507">
        <v>2189.7139910921719</v>
      </c>
      <c r="AD507">
        <v>9.6791126123326983</v>
      </c>
      <c r="AE507">
        <v>1996.9778068437511</v>
      </c>
      <c r="AF507">
        <v>6.9790908227390185</v>
      </c>
      <c r="AG507">
        <v>2101.4966977545737</v>
      </c>
      <c r="AH507">
        <v>9.6757743396300739</v>
      </c>
      <c r="AI507">
        <v>1890.3058334265324</v>
      </c>
      <c r="AJ507">
        <v>6.977114432714866</v>
      </c>
    </row>
    <row r="508" spans="4:36" x14ac:dyDescent="0.55000000000000004">
      <c r="D508">
        <v>501</v>
      </c>
      <c r="E508">
        <v>12.350490192353011</v>
      </c>
      <c r="F508">
        <v>0.43174111919053826</v>
      </c>
      <c r="G508">
        <v>0.17577204704917254</v>
      </c>
      <c r="H508">
        <v>17.041996641407273</v>
      </c>
      <c r="I508">
        <v>12.546825361899595</v>
      </c>
      <c r="J508">
        <v>0.287410104520192</v>
      </c>
      <c r="K508">
        <v>0.11666306416749958</v>
      </c>
      <c r="L508">
        <v>17.049101469412712</v>
      </c>
      <c r="M508">
        <v>12.425395287297986</v>
      </c>
      <c r="N508">
        <v>0.37670283482834993</v>
      </c>
      <c r="O508">
        <v>0.153189572183041</v>
      </c>
      <c r="P508">
        <v>17.044712305690613</v>
      </c>
      <c r="Q508">
        <v>12.420492548069813</v>
      </c>
      <c r="R508">
        <v>0.38030623767221838</v>
      </c>
      <c r="S508">
        <v>0.1546664643088411</v>
      </c>
      <c r="T508">
        <v>17.044534749949126</v>
      </c>
      <c r="U508">
        <v>1534.6666048921772</v>
      </c>
      <c r="V508">
        <v>9.804314024172994</v>
      </c>
      <c r="W508">
        <v>1279.7672268042083</v>
      </c>
      <c r="X508">
        <v>7.0569150988464289</v>
      </c>
      <c r="Y508">
        <v>2917.227970327197</v>
      </c>
      <c r="Z508">
        <v>9.8361339423437073</v>
      </c>
      <c r="AA508">
        <v>2743.0891294246999</v>
      </c>
      <c r="AB508">
        <v>7.0758160306563163</v>
      </c>
      <c r="AC508">
        <v>2253.4367527086661</v>
      </c>
      <c r="AD508">
        <v>9.8164506805264082</v>
      </c>
      <c r="AE508">
        <v>2036.9189289104502</v>
      </c>
      <c r="AF508">
        <v>7.0641321806555766</v>
      </c>
      <c r="AG508">
        <v>2117.4072499506192</v>
      </c>
      <c r="AH508">
        <v>9.815656183770761</v>
      </c>
      <c r="AI508">
        <v>1896.4503141205057</v>
      </c>
      <c r="AJ508">
        <v>7.0636600335698061</v>
      </c>
    </row>
    <row r="509" spans="4:36" x14ac:dyDescent="0.55000000000000004">
      <c r="D509">
        <v>502</v>
      </c>
      <c r="E509">
        <v>12.006616708259941</v>
      </c>
      <c r="F509">
        <v>0.47696703891010184</v>
      </c>
      <c r="G509">
        <v>0.15227447684654094</v>
      </c>
      <c r="H509">
        <v>17.364141775983423</v>
      </c>
      <c r="I509">
        <v>12.193597070455592</v>
      </c>
      <c r="J509">
        <v>0.32034734812793075</v>
      </c>
      <c r="K509">
        <v>0.10199238578173296</v>
      </c>
      <c r="L509">
        <v>17.384063195634749</v>
      </c>
      <c r="M509">
        <v>12.10960698985439</v>
      </c>
      <c r="N509">
        <v>0.39071666859228021</v>
      </c>
      <c r="O509">
        <v>0.1245495582544643</v>
      </c>
      <c r="P509">
        <v>17.37512678329885</v>
      </c>
      <c r="Q509">
        <v>12.103999148846244</v>
      </c>
      <c r="R509">
        <v>0.39541409573882996</v>
      </c>
      <c r="S509">
        <v>0.12605733940440539</v>
      </c>
      <c r="T509">
        <v>17.374529416010517</v>
      </c>
      <c r="U509">
        <v>1511.6781630096496</v>
      </c>
      <c r="V509">
        <v>9.5339210385457935</v>
      </c>
      <c r="W509">
        <v>1267.5719710754984</v>
      </c>
      <c r="X509">
        <v>6.8969912967092055</v>
      </c>
      <c r="Y509">
        <v>2869.7369842443663</v>
      </c>
      <c r="Z509">
        <v>9.5587360546862463</v>
      </c>
      <c r="AA509">
        <v>2711.420613782383</v>
      </c>
      <c r="AB509">
        <v>6.9122969182388463</v>
      </c>
      <c r="AC509">
        <v>2209.7470208694472</v>
      </c>
      <c r="AD509">
        <v>9.5475830860378696</v>
      </c>
      <c r="AE509">
        <v>2010.9078423730762</v>
      </c>
      <c r="AF509">
        <v>6.9054255999198535</v>
      </c>
      <c r="AG509">
        <v>2101.432231443026</v>
      </c>
      <c r="AH509">
        <v>9.5468387881133498</v>
      </c>
      <c r="AI509">
        <v>1890.6273071010007</v>
      </c>
      <c r="AJ509">
        <v>6.904966594289256</v>
      </c>
    </row>
    <row r="510" spans="4:36" x14ac:dyDescent="0.55000000000000004">
      <c r="D510">
        <v>503</v>
      </c>
      <c r="E510">
        <v>12.210603672690807</v>
      </c>
      <c r="F510">
        <v>0.44473867601598366</v>
      </c>
      <c r="G510">
        <v>0.17890898214117498</v>
      </c>
      <c r="H510">
        <v>17.165748669152041</v>
      </c>
      <c r="I510">
        <v>12.406141881070818</v>
      </c>
      <c r="J510">
        <v>0.28746889677215859</v>
      </c>
      <c r="K510">
        <v>0.11530522909832551</v>
      </c>
      <c r="L510">
        <v>17.191083993058704</v>
      </c>
      <c r="M510">
        <v>12.332625743844437</v>
      </c>
      <c r="N510">
        <v>0.3466177884881953</v>
      </c>
      <c r="O510">
        <v>0.13918235383760447</v>
      </c>
      <c r="P510">
        <v>17.18157411382975</v>
      </c>
      <c r="Q510">
        <v>12.250953315973826</v>
      </c>
      <c r="R510">
        <v>0.41230011759100132</v>
      </c>
      <c r="S510">
        <v>0.16575912832727235</v>
      </c>
      <c r="T510">
        <v>17.170987438107915</v>
      </c>
      <c r="U510">
        <v>1499.0582596408174</v>
      </c>
      <c r="V510">
        <v>9.6377311228916813</v>
      </c>
      <c r="W510">
        <v>1258.9029506186332</v>
      </c>
      <c r="X510">
        <v>6.949874046303786</v>
      </c>
      <c r="Y510">
        <v>2886.4165197160446</v>
      </c>
      <c r="Z510">
        <v>9.6617855177707614</v>
      </c>
      <c r="AA510">
        <v>2724.7998104736266</v>
      </c>
      <c r="AB510">
        <v>6.9650551690979281</v>
      </c>
      <c r="AC510">
        <v>2185.6397080534202</v>
      </c>
      <c r="AD510">
        <v>9.6527326911208267</v>
      </c>
      <c r="AE510">
        <v>1995.2183358428299</v>
      </c>
      <c r="AF510">
        <v>6.9593501152784478</v>
      </c>
      <c r="AG510">
        <v>2105.3200512013836</v>
      </c>
      <c r="AH510">
        <v>9.6426883872458706</v>
      </c>
      <c r="AI510">
        <v>1890.5163103352004</v>
      </c>
      <c r="AJ510">
        <v>6.953008495271134</v>
      </c>
    </row>
    <row r="511" spans="4:36" x14ac:dyDescent="0.55000000000000004">
      <c r="D511">
        <v>504</v>
      </c>
      <c r="E511">
        <v>12.554747690615482</v>
      </c>
      <c r="F511">
        <v>0.44768490705846758</v>
      </c>
      <c r="G511">
        <v>0.16973045052973074</v>
      </c>
      <c r="H511">
        <v>16.827836951796325</v>
      </c>
      <c r="I511">
        <v>12.786542707726657</v>
      </c>
      <c r="J511">
        <v>0.28450553458761058</v>
      </c>
      <c r="K511">
        <v>0.10749772249177258</v>
      </c>
      <c r="L511">
        <v>16.821454035193948</v>
      </c>
      <c r="M511">
        <v>12.657664966158281</v>
      </c>
      <c r="N511">
        <v>0.37527439021782838</v>
      </c>
      <c r="O511">
        <v>0.14206166566426312</v>
      </c>
      <c r="P511">
        <v>16.824998977959627</v>
      </c>
      <c r="Q511">
        <v>12.64877175213487</v>
      </c>
      <c r="R511">
        <v>0.38153409423121265</v>
      </c>
      <c r="S511">
        <v>0.14445019302843784</v>
      </c>
      <c r="T511">
        <v>16.82524396060548</v>
      </c>
      <c r="U511">
        <v>1535.5295045182979</v>
      </c>
      <c r="V511">
        <v>9.908972129847637</v>
      </c>
      <c r="W511">
        <v>1283.4306143312833</v>
      </c>
      <c r="X511">
        <v>7.111065822264913</v>
      </c>
      <c r="Y511">
        <v>2893.9431283684517</v>
      </c>
      <c r="Z511">
        <v>9.9542280003104686</v>
      </c>
      <c r="AA511">
        <v>2729.2072007085753</v>
      </c>
      <c r="AB511">
        <v>7.1369648338609251</v>
      </c>
      <c r="AC511">
        <v>2236.1062785939439</v>
      </c>
      <c r="AD511">
        <v>9.9290690300516378</v>
      </c>
      <c r="AE511">
        <v>2028.1765389589882</v>
      </c>
      <c r="AF511">
        <v>7.1225779867192314</v>
      </c>
      <c r="AG511">
        <v>2100.1801885754749</v>
      </c>
      <c r="AH511">
        <v>9.9273326361961161</v>
      </c>
      <c r="AI511">
        <v>1887.6048549119796</v>
      </c>
      <c r="AJ511">
        <v>7.1215840287096475</v>
      </c>
    </row>
    <row r="512" spans="4:36" x14ac:dyDescent="0.55000000000000004">
      <c r="D512">
        <v>505</v>
      </c>
      <c r="E512">
        <v>11.684801824360346</v>
      </c>
      <c r="F512">
        <v>0.45265684412742413</v>
      </c>
      <c r="G512">
        <v>0.14169393230020844</v>
      </c>
      <c r="H512">
        <v>17.720847399212012</v>
      </c>
      <c r="I512">
        <v>11.89414368281877</v>
      </c>
      <c r="J512">
        <v>0.28507030456826038</v>
      </c>
      <c r="K512">
        <v>8.8965663427600317E-2</v>
      </c>
      <c r="L512">
        <v>17.731820349185348</v>
      </c>
      <c r="M512">
        <v>11.815021612275931</v>
      </c>
      <c r="N512">
        <v>0.34843521422806584</v>
      </c>
      <c r="O512">
        <v>0.10886445153675878</v>
      </c>
      <c r="P512">
        <v>17.727678721959247</v>
      </c>
      <c r="Q512">
        <v>11.760351686269843</v>
      </c>
      <c r="R512">
        <v>0.3922002645484608</v>
      </c>
      <c r="S512">
        <v>0.12263502536165143</v>
      </c>
      <c r="T512">
        <v>17.724813023820058</v>
      </c>
      <c r="U512">
        <v>1470.0422954866438</v>
      </c>
      <c r="V512">
        <v>9.2354271746897201</v>
      </c>
      <c r="W512">
        <v>1242.7707274308571</v>
      </c>
      <c r="X512">
        <v>6.7189808273978295</v>
      </c>
      <c r="Y512">
        <v>2884.5802920173332</v>
      </c>
      <c r="Z512">
        <v>9.2689792002017946</v>
      </c>
      <c r="AA512">
        <v>2727.3818095553534</v>
      </c>
      <c r="AB512">
        <v>6.7392006963452413</v>
      </c>
      <c r="AC512">
        <v>2161.7016758638661</v>
      </c>
      <c r="AD512">
        <v>9.2562941632459701</v>
      </c>
      <c r="AE512">
        <v>1982.0325200085349</v>
      </c>
      <c r="AF512">
        <v>6.7315659508960897</v>
      </c>
      <c r="AG512">
        <v>2065.7311139891394</v>
      </c>
      <c r="AH512">
        <v>9.2475320690598615</v>
      </c>
      <c r="AI512">
        <v>1868.0855616015081</v>
      </c>
      <c r="AJ512">
        <v>6.7262853822399213</v>
      </c>
    </row>
    <row r="513" spans="4:36" x14ac:dyDescent="0.55000000000000004">
      <c r="D513">
        <v>506</v>
      </c>
      <c r="E513">
        <v>13.481878879450212</v>
      </c>
      <c r="F513">
        <v>0.47700701537502255</v>
      </c>
      <c r="G513">
        <v>0.17345231271075479</v>
      </c>
      <c r="H513">
        <v>15.867661792464014</v>
      </c>
      <c r="I513">
        <v>13.736318758165735</v>
      </c>
      <c r="J513">
        <v>0.30453777811541599</v>
      </c>
      <c r="K513">
        <v>0.1103541395920849</v>
      </c>
      <c r="L513">
        <v>15.848789324126759</v>
      </c>
      <c r="M513">
        <v>13.614414868928801</v>
      </c>
      <c r="N513">
        <v>0.38722004999227044</v>
      </c>
      <c r="O513">
        <v>0.14054802670654054</v>
      </c>
      <c r="P513">
        <v>15.857817054372383</v>
      </c>
      <c r="Q513">
        <v>13.608413674472773</v>
      </c>
      <c r="R513">
        <v>0.39128799112117496</v>
      </c>
      <c r="S513">
        <v>0.14203618336871904</v>
      </c>
      <c r="T513">
        <v>15.858262151037344</v>
      </c>
      <c r="U513">
        <v>1616.6737930067809</v>
      </c>
      <c r="V513">
        <v>10.656850361357067</v>
      </c>
      <c r="W513">
        <v>1330.2719829054827</v>
      </c>
      <c r="X513">
        <v>7.5441296849826092</v>
      </c>
      <c r="Y513">
        <v>2926.8965536212841</v>
      </c>
      <c r="Z513">
        <v>10.715013597892009</v>
      </c>
      <c r="AA513">
        <v>2745.409062998001</v>
      </c>
      <c r="AB513">
        <v>7.5766166093490854</v>
      </c>
      <c r="AC513">
        <v>2254.9535115882782</v>
      </c>
      <c r="AD513">
        <v>10.687155366935491</v>
      </c>
      <c r="AE513">
        <v>2033.461550957237</v>
      </c>
      <c r="AF513">
        <v>7.5610694915120877</v>
      </c>
      <c r="AG513">
        <v>2136.0933131176298</v>
      </c>
      <c r="AH513">
        <v>10.685783550307821</v>
      </c>
      <c r="AI513">
        <v>1905.0264336534949</v>
      </c>
      <c r="AJ513">
        <v>7.5603032928274327</v>
      </c>
    </row>
    <row r="514" spans="4:36" x14ac:dyDescent="0.55000000000000004">
      <c r="D514">
        <v>507</v>
      </c>
      <c r="E514">
        <v>11.920070738079788</v>
      </c>
      <c r="F514">
        <v>0.45474801440963131</v>
      </c>
      <c r="G514">
        <v>0.17513600899363055</v>
      </c>
      <c r="H514">
        <v>17.45004523851696</v>
      </c>
      <c r="I514">
        <v>12.107260473982686</v>
      </c>
      <c r="J514">
        <v>0.30656719166061847</v>
      </c>
      <c r="K514">
        <v>0.11772651606038284</v>
      </c>
      <c r="L514">
        <v>17.46844581829632</v>
      </c>
      <c r="M514">
        <v>12.019545844529597</v>
      </c>
      <c r="N514">
        <v>0.37602409427622441</v>
      </c>
      <c r="O514">
        <v>0.14459419156189438</v>
      </c>
      <c r="P514">
        <v>17.45983586963229</v>
      </c>
      <c r="Q514">
        <v>12.011031774541916</v>
      </c>
      <c r="R514">
        <v>0.38276397150404612</v>
      </c>
      <c r="S514">
        <v>0.14720526623733773</v>
      </c>
      <c r="T514">
        <v>17.458998987716697</v>
      </c>
      <c r="U514">
        <v>1518.5995010255983</v>
      </c>
      <c r="V514">
        <v>9.4666596388501603</v>
      </c>
      <c r="W514">
        <v>1275.3169520017325</v>
      </c>
      <c r="X514">
        <v>6.8572335870891381</v>
      </c>
      <c r="Y514">
        <v>2880.2878525639871</v>
      </c>
      <c r="Z514">
        <v>9.491772601449977</v>
      </c>
      <c r="AA514">
        <v>2720.7748975001373</v>
      </c>
      <c r="AB514">
        <v>6.872772660188069</v>
      </c>
      <c r="AC514">
        <v>2206.1200892506968</v>
      </c>
      <c r="AD514">
        <v>9.4799982564816911</v>
      </c>
      <c r="AE514">
        <v>2010.1835554220195</v>
      </c>
      <c r="AF514">
        <v>6.8654951554047141</v>
      </c>
      <c r="AG514">
        <v>2085.0782332341328</v>
      </c>
      <c r="AH514">
        <v>9.4788560038582279</v>
      </c>
      <c r="AI514">
        <v>1880.5202824534285</v>
      </c>
      <c r="AJ514">
        <v>6.8647883959277785</v>
      </c>
    </row>
    <row r="515" spans="4:36" x14ac:dyDescent="0.55000000000000004">
      <c r="D515">
        <v>508</v>
      </c>
      <c r="E515">
        <v>11.921552955800873</v>
      </c>
      <c r="F515">
        <v>0.40521844419525316</v>
      </c>
      <c r="G515">
        <v>0.12726706341620805</v>
      </c>
      <c r="H515">
        <v>17.545961536587651</v>
      </c>
      <c r="I515">
        <v>12.105180728974174</v>
      </c>
      <c r="J515">
        <v>0.27221775253795255</v>
      </c>
      <c r="K515">
        <v>8.5281948690999157E-2</v>
      </c>
      <c r="L515">
        <v>17.537319569796875</v>
      </c>
      <c r="M515">
        <v>12.021182514304458</v>
      </c>
      <c r="N515">
        <v>0.33308272899501284</v>
      </c>
      <c r="O515">
        <v>0.10446914253132059</v>
      </c>
      <c r="P515">
        <v>17.541265614169216</v>
      </c>
      <c r="Q515">
        <v>11.987856722371459</v>
      </c>
      <c r="R515">
        <v>0.35721866948362713</v>
      </c>
      <c r="S515">
        <v>0.11209011000060391</v>
      </c>
      <c r="T515">
        <v>17.542834498144309</v>
      </c>
      <c r="U515">
        <v>1487.4010301957692</v>
      </c>
      <c r="V515">
        <v>9.4082459924622661</v>
      </c>
      <c r="W515">
        <v>1258.2444978808064</v>
      </c>
      <c r="X515">
        <v>6.8260156399090892</v>
      </c>
      <c r="Y515">
        <v>2861.8752038651455</v>
      </c>
      <c r="Z515">
        <v>9.4467979958329824</v>
      </c>
      <c r="AA515">
        <v>2711.2682362184355</v>
      </c>
      <c r="AB515">
        <v>6.8481007281217003</v>
      </c>
      <c r="AC515">
        <v>2178.3099279318485</v>
      </c>
      <c r="AD515">
        <v>9.4291671324551931</v>
      </c>
      <c r="AE515">
        <v>1994.7570718479628</v>
      </c>
      <c r="AF515">
        <v>6.8380083759317811</v>
      </c>
      <c r="AG515">
        <v>2053.3343535514732</v>
      </c>
      <c r="AH515">
        <v>9.4221702051565526</v>
      </c>
      <c r="AI515">
        <v>1861.0367349139478</v>
      </c>
      <c r="AJ515">
        <v>6.833999548130274</v>
      </c>
    </row>
    <row r="516" spans="4:36" x14ac:dyDescent="0.55000000000000004">
      <c r="D516">
        <v>509</v>
      </c>
      <c r="E516">
        <v>11.79000190806379</v>
      </c>
      <c r="F516">
        <v>0.39003097503396011</v>
      </c>
      <c r="G516">
        <v>0.15909981347990215</v>
      </c>
      <c r="H516">
        <v>17.660867303422336</v>
      </c>
      <c r="I516">
        <v>11.9767641355149</v>
      </c>
      <c r="J516">
        <v>0.25798686230579526</v>
      </c>
      <c r="K516">
        <v>0.10492684647391183</v>
      </c>
      <c r="L516">
        <v>17.660322155705394</v>
      </c>
      <c r="M516">
        <v>11.890347443669732</v>
      </c>
      <c r="N516">
        <v>0.31911270429656169</v>
      </c>
      <c r="O516">
        <v>0.1299643045936025</v>
      </c>
      <c r="P516">
        <v>17.660575547440114</v>
      </c>
      <c r="Q516">
        <v>11.860036275363417</v>
      </c>
      <c r="R516">
        <v>0.34054166255100854</v>
      </c>
      <c r="S516">
        <v>0.13875810182765533</v>
      </c>
      <c r="T516">
        <v>17.660663960257935</v>
      </c>
      <c r="U516">
        <v>1504.3090791582081</v>
      </c>
      <c r="V516">
        <v>9.3456660314478555</v>
      </c>
      <c r="W516">
        <v>1267.7139848118261</v>
      </c>
      <c r="X516">
        <v>6.7920414132967952</v>
      </c>
      <c r="Y516">
        <v>2861.6310310882081</v>
      </c>
      <c r="Z516">
        <v>9.3806400086937316</v>
      </c>
      <c r="AA516">
        <v>2709.4857084123137</v>
      </c>
      <c r="AB516">
        <v>6.8126416773579939</v>
      </c>
      <c r="AC516">
        <v>2216.091115639108</v>
      </c>
      <c r="AD516">
        <v>9.3644566022711864</v>
      </c>
      <c r="AE516">
        <v>2020.0835881151122</v>
      </c>
      <c r="AF516">
        <v>6.8031179591301711</v>
      </c>
      <c r="AG516">
        <v>2059.0489532411852</v>
      </c>
      <c r="AH516">
        <v>9.3587804233987022</v>
      </c>
      <c r="AI516">
        <v>1862.8835870332134</v>
      </c>
      <c r="AJ516">
        <v>6.7997741145550155</v>
      </c>
    </row>
    <row r="517" spans="4:36" x14ac:dyDescent="0.55000000000000004">
      <c r="D517">
        <v>510</v>
      </c>
      <c r="E517">
        <v>12.236803567815674</v>
      </c>
      <c r="F517">
        <v>0.44946138167350169</v>
      </c>
      <c r="G517">
        <v>0.15941355663171219</v>
      </c>
      <c r="H517">
        <v>17.15432149387911</v>
      </c>
      <c r="I517">
        <v>12.458083210965729</v>
      </c>
      <c r="J517">
        <v>0.28575600875082735</v>
      </c>
      <c r="K517">
        <v>0.10102906431407252</v>
      </c>
      <c r="L517">
        <v>17.155131715969361</v>
      </c>
      <c r="M517">
        <v>12.36860836683098</v>
      </c>
      <c r="N517">
        <v>0.35198444259409084</v>
      </c>
      <c r="O517">
        <v>0.12460365695126757</v>
      </c>
      <c r="P517">
        <v>17.15480353362365</v>
      </c>
      <c r="Q517">
        <v>12.327486748809003</v>
      </c>
      <c r="R517">
        <v>0.38240691005224436</v>
      </c>
      <c r="S517">
        <v>0.13545337956860842</v>
      </c>
      <c r="T517">
        <v>17.154652961570147</v>
      </c>
      <c r="U517">
        <v>1490.5447523375287</v>
      </c>
      <c r="V517">
        <v>9.7694747370863855</v>
      </c>
      <c r="W517">
        <v>1255.1769305347507</v>
      </c>
      <c r="X517">
        <v>7.0452506241450461</v>
      </c>
      <c r="Y517">
        <v>2863.5346314295998</v>
      </c>
      <c r="Z517">
        <v>9.8098535131614764</v>
      </c>
      <c r="AA517">
        <v>2710.0447188527</v>
      </c>
      <c r="AB517">
        <v>7.0687581349958233</v>
      </c>
      <c r="AC517">
        <v>2173.6342218947898</v>
      </c>
      <c r="AD517">
        <v>9.7935266751190575</v>
      </c>
      <c r="AE517">
        <v>1988.2346209968023</v>
      </c>
      <c r="AF517">
        <v>7.0592633322824367</v>
      </c>
      <c r="AG517">
        <v>2071.4739344233481</v>
      </c>
      <c r="AH517">
        <v>9.7860228668989109</v>
      </c>
      <c r="AI517">
        <v>1870.5593706521151</v>
      </c>
      <c r="AJ517">
        <v>7.0548948668628322</v>
      </c>
    </row>
    <row r="518" spans="4:36" x14ac:dyDescent="0.55000000000000004">
      <c r="D518">
        <v>511</v>
      </c>
      <c r="E518">
        <v>12.807424931949997</v>
      </c>
      <c r="F518">
        <v>0.44198818723166794</v>
      </c>
      <c r="G518">
        <v>0.16095886095167999</v>
      </c>
      <c r="H518">
        <v>16.589628019866673</v>
      </c>
      <c r="I518">
        <v>13.053051905786658</v>
      </c>
      <c r="J518">
        <v>0.27627655407030977</v>
      </c>
      <c r="K518">
        <v>0.10025990421558478</v>
      </c>
      <c r="L518">
        <v>16.570411635927456</v>
      </c>
      <c r="M518">
        <v>12.954132438160793</v>
      </c>
      <c r="N518">
        <v>0.34305996504508152</v>
      </c>
      <c r="O518">
        <v>0.12467028517194184</v>
      </c>
      <c r="P518">
        <v>16.578137311622179</v>
      </c>
      <c r="Q518">
        <v>12.923722511927703</v>
      </c>
      <c r="R518">
        <v>0.36357773409623406</v>
      </c>
      <c r="S518">
        <v>0.13218384759556573</v>
      </c>
      <c r="T518">
        <v>16.580515906380498</v>
      </c>
      <c r="U518">
        <v>1500.9992806534412</v>
      </c>
      <c r="V518">
        <v>10.08662148744409</v>
      </c>
      <c r="W518">
        <v>1259.2084333332548</v>
      </c>
      <c r="X518">
        <v>7.2140803137940921</v>
      </c>
      <c r="Y518">
        <v>2853.6207295225818</v>
      </c>
      <c r="Z518">
        <v>10.143696975129536</v>
      </c>
      <c r="AA518">
        <v>2700.9420472011689</v>
      </c>
      <c r="AB518">
        <v>7.2463254491763207</v>
      </c>
      <c r="AC518">
        <v>2209.7110855360447</v>
      </c>
      <c r="AD518">
        <v>10.120718520397103</v>
      </c>
      <c r="AE518">
        <v>2011.5939609324817</v>
      </c>
      <c r="AF518">
        <v>7.233356831382932</v>
      </c>
      <c r="AG518">
        <v>2101.1934747839377</v>
      </c>
      <c r="AH518">
        <v>10.113652538956423</v>
      </c>
      <c r="AI518">
        <v>1889.7589772337019</v>
      </c>
      <c r="AJ518">
        <v>7.229365363441369</v>
      </c>
    </row>
    <row r="519" spans="4:36" x14ac:dyDescent="0.55000000000000004">
      <c r="D519">
        <v>512</v>
      </c>
      <c r="E519">
        <v>12.510607233178114</v>
      </c>
      <c r="F519">
        <v>0.4633742340650418</v>
      </c>
      <c r="G519">
        <v>0.17225641446609602</v>
      </c>
      <c r="H519">
        <v>16.853762118290742</v>
      </c>
      <c r="I519">
        <v>12.729126899259464</v>
      </c>
      <c r="J519">
        <v>0.2987500287861411</v>
      </c>
      <c r="K519">
        <v>0.11071481006023995</v>
      </c>
      <c r="L519">
        <v>16.861408261894152</v>
      </c>
      <c r="M519">
        <v>12.62348694609598</v>
      </c>
      <c r="N519">
        <v>0.37836748572703072</v>
      </c>
      <c r="O519">
        <v>0.14042995826142993</v>
      </c>
      <c r="P519">
        <v>16.857715609915576</v>
      </c>
      <c r="Q519">
        <v>12.605439392321841</v>
      </c>
      <c r="R519">
        <v>0.39196330035681537</v>
      </c>
      <c r="S519">
        <v>0.14551325220044761</v>
      </c>
      <c r="T519">
        <v>16.857084055120872</v>
      </c>
      <c r="U519">
        <v>1578.6603679771868</v>
      </c>
      <c r="V519">
        <v>9.8926504799574602</v>
      </c>
      <c r="W519">
        <v>1312.1188265552173</v>
      </c>
      <c r="X519">
        <v>7.1019655422953738</v>
      </c>
      <c r="Y519">
        <v>2872.2213466909943</v>
      </c>
      <c r="Z519">
        <v>9.9297424121250017</v>
      </c>
      <c r="AA519">
        <v>2711.6824361065419</v>
      </c>
      <c r="AB519">
        <v>7.1237318876275895</v>
      </c>
      <c r="AC519">
        <v>2221.2667588846298</v>
      </c>
      <c r="AD519">
        <v>9.9118088061932923</v>
      </c>
      <c r="AE519">
        <v>2016.1474970538798</v>
      </c>
      <c r="AF519">
        <v>7.1132180401327743</v>
      </c>
      <c r="AG519">
        <v>2093.3421214402697</v>
      </c>
      <c r="AH519">
        <v>9.9087454139419648</v>
      </c>
      <c r="AI519">
        <v>1880.7744684131255</v>
      </c>
      <c r="AJ519">
        <v>7.1114202204477994</v>
      </c>
    </row>
    <row r="520" spans="4:36" x14ac:dyDescent="0.55000000000000004">
      <c r="D520">
        <v>513</v>
      </c>
      <c r="E520">
        <v>12.351355226001685</v>
      </c>
      <c r="F520">
        <v>0.46507255693744981</v>
      </c>
      <c r="G520">
        <v>0.17140012127025819</v>
      </c>
      <c r="H520">
        <v>17.012172095790621</v>
      </c>
      <c r="I520">
        <v>12.574860155266849</v>
      </c>
      <c r="J520">
        <v>0.2977770173992455</v>
      </c>
      <c r="K520">
        <v>0.1093693826265552</v>
      </c>
      <c r="L520">
        <v>17.017993444707347</v>
      </c>
      <c r="M520">
        <v>12.481326444084536</v>
      </c>
      <c r="N520">
        <v>0.36782170158435257</v>
      </c>
      <c r="O520">
        <v>0.13528854681841448</v>
      </c>
      <c r="P520">
        <v>17.015563307512696</v>
      </c>
      <c r="Q520">
        <v>12.477947841523674</v>
      </c>
      <c r="R520">
        <v>0.37035093232620991</v>
      </c>
      <c r="S520">
        <v>0.13622586062156164</v>
      </c>
      <c r="T520">
        <v>17.015475365528545</v>
      </c>
      <c r="U520">
        <v>1533.3225353708474</v>
      </c>
      <c r="V520">
        <v>9.7918253556584691</v>
      </c>
      <c r="W520">
        <v>1279.8495897786177</v>
      </c>
      <c r="X520">
        <v>7.0460772566470729</v>
      </c>
      <c r="Y520">
        <v>2874.8999557547304</v>
      </c>
      <c r="Z520">
        <v>9.8304731751326138</v>
      </c>
      <c r="AA520">
        <v>2714.0735685041691</v>
      </c>
      <c r="AB520">
        <v>7.0689077541557257</v>
      </c>
      <c r="AC520">
        <v>2221.8567463736804</v>
      </c>
      <c r="AD520">
        <v>9.8142961197579677</v>
      </c>
      <c r="AE520">
        <v>2017.8980614148261</v>
      </c>
      <c r="AF520">
        <v>7.0593624414723664</v>
      </c>
      <c r="AG520">
        <v>2101.923098671361</v>
      </c>
      <c r="AH520">
        <v>9.8137118691827148</v>
      </c>
      <c r="AI520">
        <v>1889.1831773417055</v>
      </c>
      <c r="AJ520">
        <v>7.0590174087736779</v>
      </c>
    </row>
    <row r="521" spans="4:36" x14ac:dyDescent="0.55000000000000004">
      <c r="D521">
        <v>514</v>
      </c>
      <c r="E521">
        <v>13.816374564776767</v>
      </c>
      <c r="F521">
        <v>0.48082917442341627</v>
      </c>
      <c r="G521">
        <v>0.17228771743796106</v>
      </c>
      <c r="H521">
        <v>15.530508543361865</v>
      </c>
      <c r="I521">
        <v>14.086614195971919</v>
      </c>
      <c r="J521">
        <v>0.3039772319339335</v>
      </c>
      <c r="K521">
        <v>0.10852519989155987</v>
      </c>
      <c r="L521">
        <v>15.500883372202606</v>
      </c>
      <c r="M521">
        <v>13.979121204225336</v>
      </c>
      <c r="N521">
        <v>0.37438047008942937</v>
      </c>
      <c r="O521">
        <v>0.13385225624113672</v>
      </c>
      <c r="P521">
        <v>15.512646069444106</v>
      </c>
      <c r="Q521">
        <v>13.923152778751446</v>
      </c>
      <c r="R521">
        <v>0.41100765959287544</v>
      </c>
      <c r="S521">
        <v>0.14705791571220128</v>
      </c>
      <c r="T521">
        <v>15.518781645943497</v>
      </c>
      <c r="U521">
        <v>1591.1028101887828</v>
      </c>
      <c r="V521">
        <v>10.850742455800544</v>
      </c>
      <c r="W521">
        <v>1312.2197469818809</v>
      </c>
      <c r="X521">
        <v>7.6457558521824405</v>
      </c>
      <c r="Y521">
        <v>2920.1534452806454</v>
      </c>
      <c r="Z521">
        <v>10.915262051811618</v>
      </c>
      <c r="AA521">
        <v>2740.8977897725886</v>
      </c>
      <c r="AB521">
        <v>7.6812797360616623</v>
      </c>
      <c r="AC521">
        <v>2301.5167564739677</v>
      </c>
      <c r="AD521">
        <v>10.88961085653342</v>
      </c>
      <c r="AE521">
        <v>2067.664627011417</v>
      </c>
      <c r="AF521">
        <v>7.6671697017296401</v>
      </c>
      <c r="AG521">
        <v>2184.2015233785264</v>
      </c>
      <c r="AH521">
        <v>10.876248415051979</v>
      </c>
      <c r="AI521">
        <v>1938.1008558262176</v>
      </c>
      <c r="AJ521">
        <v>7.6598124696086556</v>
      </c>
    </row>
    <row r="522" spans="4:36" x14ac:dyDescent="0.55000000000000004">
      <c r="D522">
        <v>515</v>
      </c>
      <c r="E522">
        <v>13.169524531452744</v>
      </c>
      <c r="F522">
        <v>0.46890283784761888</v>
      </c>
      <c r="G522">
        <v>0.15562150058657775</v>
      </c>
      <c r="H522">
        <v>16.205951130113064</v>
      </c>
      <c r="I522">
        <v>13.394329607269892</v>
      </c>
      <c r="J522">
        <v>0.30587764312045845</v>
      </c>
      <c r="K522">
        <v>0.10120093973375414</v>
      </c>
      <c r="L522">
        <v>16.198591809875907</v>
      </c>
      <c r="M522">
        <v>13.272948869594003</v>
      </c>
      <c r="N522">
        <v>0.39393703140422937</v>
      </c>
      <c r="O522">
        <v>0.13055397769552463</v>
      </c>
      <c r="P522">
        <v>16.202560121306249</v>
      </c>
      <c r="Q522">
        <v>13.247890666837876</v>
      </c>
      <c r="R522">
        <v>0.41210579922304369</v>
      </c>
      <c r="S522">
        <v>0.13662264872740149</v>
      </c>
      <c r="T522">
        <v>16.203380885211669</v>
      </c>
      <c r="U522">
        <v>1578.932668655224</v>
      </c>
      <c r="V522">
        <v>10.454185584767986</v>
      </c>
      <c r="W522">
        <v>1307.0635165532749</v>
      </c>
      <c r="X522">
        <v>7.4348566109388514</v>
      </c>
      <c r="Y522">
        <v>2907.912272139401</v>
      </c>
      <c r="Z522">
        <v>10.500851855070582</v>
      </c>
      <c r="AA522">
        <v>2733.8326227048483</v>
      </c>
      <c r="AB522">
        <v>7.4613082458703808</v>
      </c>
      <c r="AC522">
        <v>2239.0648118583058</v>
      </c>
      <c r="AD522">
        <v>10.47565834869838</v>
      </c>
      <c r="AE522">
        <v>2024.1183980783012</v>
      </c>
      <c r="AF522">
        <v>7.447038134809298</v>
      </c>
      <c r="AG522">
        <v>2144.5944580882765</v>
      </c>
      <c r="AH522">
        <v>10.470456342908831</v>
      </c>
      <c r="AI522">
        <v>1912.2055677918913</v>
      </c>
      <c r="AJ522">
        <v>7.4440886387415039</v>
      </c>
    </row>
    <row r="523" spans="4:36" x14ac:dyDescent="0.55000000000000004">
      <c r="D523">
        <v>516</v>
      </c>
      <c r="E523">
        <v>12.237947172265809</v>
      </c>
      <c r="F523">
        <v>0.49869698564765225</v>
      </c>
      <c r="G523">
        <v>0.17132746465946902</v>
      </c>
      <c r="H523">
        <v>17.092028377427088</v>
      </c>
      <c r="I523">
        <v>12.462377042578913</v>
      </c>
      <c r="J523">
        <v>0.31666099089354666</v>
      </c>
      <c r="K523">
        <v>0.10842854701632133</v>
      </c>
      <c r="L523">
        <v>17.112533419511212</v>
      </c>
      <c r="M523">
        <v>12.369345843805167</v>
      </c>
      <c r="N523">
        <v>0.39214604269779807</v>
      </c>
      <c r="O523">
        <v>0.13445955817779684</v>
      </c>
      <c r="P523">
        <v>17.104048555319253</v>
      </c>
      <c r="Q523">
        <v>12.330106482656005</v>
      </c>
      <c r="R523">
        <v>0.42397321477439476</v>
      </c>
      <c r="S523">
        <v>0.14545687118765413</v>
      </c>
      <c r="T523">
        <v>17.100463431381943</v>
      </c>
      <c r="U523">
        <v>1534.1829647586314</v>
      </c>
      <c r="V523">
        <v>9.6964286136324507</v>
      </c>
      <c r="W523">
        <v>1279.1703915044009</v>
      </c>
      <c r="X523">
        <v>6.9852685284494438</v>
      </c>
      <c r="Y523">
        <v>2900.4220319751198</v>
      </c>
      <c r="Z523">
        <v>9.7264902165728859</v>
      </c>
      <c r="AA523">
        <v>2731.9227123738006</v>
      </c>
      <c r="AB523">
        <v>7.0037203391369545</v>
      </c>
      <c r="AC523">
        <v>2221.5349264101792</v>
      </c>
      <c r="AD523">
        <v>9.7140202197717578</v>
      </c>
      <c r="AE523">
        <v>2016.8322483244363</v>
      </c>
      <c r="AF523">
        <v>6.9960768679981591</v>
      </c>
      <c r="AG523">
        <v>2089.4665171561446</v>
      </c>
      <c r="AH523">
        <v>9.7087642542975505</v>
      </c>
      <c r="AI523">
        <v>1877.1043300605552</v>
      </c>
      <c r="AJ523">
        <v>6.9928507457303741</v>
      </c>
    </row>
    <row r="524" spans="4:36" x14ac:dyDescent="0.55000000000000004">
      <c r="D524">
        <v>517</v>
      </c>
      <c r="E524">
        <v>13.116747105576197</v>
      </c>
      <c r="F524">
        <v>0.45237308288662165</v>
      </c>
      <c r="G524">
        <v>0.16542556742354386</v>
      </c>
      <c r="H524">
        <v>16.265454244113634</v>
      </c>
      <c r="I524">
        <v>13.365919785845689</v>
      </c>
      <c r="J524">
        <v>0.28392756424840282</v>
      </c>
      <c r="K524">
        <v>0.10345024589486708</v>
      </c>
      <c r="L524">
        <v>16.246702404011025</v>
      </c>
      <c r="M524">
        <v>13.24472363285288</v>
      </c>
      <c r="N524">
        <v>0.36590855620490698</v>
      </c>
      <c r="O524">
        <v>0.13355582049438197</v>
      </c>
      <c r="P524">
        <v>16.255811990447818</v>
      </c>
      <c r="Q524">
        <v>13.218074259690408</v>
      </c>
      <c r="R524">
        <v>0.38392237988104694</v>
      </c>
      <c r="S524">
        <v>0.14018546139662727</v>
      </c>
      <c r="T524">
        <v>16.257817899031927</v>
      </c>
      <c r="U524">
        <v>1564.4517014306325</v>
      </c>
      <c r="V524">
        <v>10.402515805232975</v>
      </c>
      <c r="W524">
        <v>1297.8898372960375</v>
      </c>
      <c r="X524">
        <v>7.4056675901271038</v>
      </c>
      <c r="Y524">
        <v>2911.2868983676649</v>
      </c>
      <c r="Z524">
        <v>10.461756689250084</v>
      </c>
      <c r="AA524">
        <v>2737.8188733975935</v>
      </c>
      <c r="AB524">
        <v>7.4390000376966139</v>
      </c>
      <c r="AC524">
        <v>2246.9714652815387</v>
      </c>
      <c r="AD524">
        <v>10.432949475435507</v>
      </c>
      <c r="AE524">
        <v>2031.7859842931305</v>
      </c>
      <c r="AF524">
        <v>7.4228053520688428</v>
      </c>
      <c r="AG524">
        <v>2139.5687927194022</v>
      </c>
      <c r="AH524">
        <v>10.426613338664117</v>
      </c>
      <c r="AI524">
        <v>1910.6409842471674</v>
      </c>
      <c r="AJ524">
        <v>7.4192398042108714</v>
      </c>
    </row>
    <row r="525" spans="4:36" x14ac:dyDescent="0.55000000000000004">
      <c r="D525">
        <v>518</v>
      </c>
      <c r="E525">
        <v>13.338083566806679</v>
      </c>
      <c r="F525">
        <v>0.46951610921566045</v>
      </c>
      <c r="G525">
        <v>0.15936373069828588</v>
      </c>
      <c r="H525">
        <v>16.033036593279363</v>
      </c>
      <c r="I525">
        <v>13.56357457857783</v>
      </c>
      <c r="J525">
        <v>0.31130353491328977</v>
      </c>
      <c r="K525">
        <v>0.10533603103913869</v>
      </c>
      <c r="L525">
        <v>16.019785855469745</v>
      </c>
      <c r="M525">
        <v>13.44119692895811</v>
      </c>
      <c r="N525">
        <v>0.39720616850509521</v>
      </c>
      <c r="O525">
        <v>0.13462851854884458</v>
      </c>
      <c r="P525">
        <v>16.026968383987949</v>
      </c>
      <c r="Q525">
        <v>13.399200268258745</v>
      </c>
      <c r="R525">
        <v>0.42666480901099085</v>
      </c>
      <c r="S525">
        <v>0.14469685392250428</v>
      </c>
      <c r="T525">
        <v>16.029438068807757</v>
      </c>
      <c r="U525">
        <v>1575.2149939903161</v>
      </c>
      <c r="V525">
        <v>10.515962400032242</v>
      </c>
      <c r="W525">
        <v>1303.6901650456405</v>
      </c>
      <c r="X525">
        <v>7.4599388886752687</v>
      </c>
      <c r="Y525">
        <v>2915.6557288735962</v>
      </c>
      <c r="Z525">
        <v>10.562653968919452</v>
      </c>
      <c r="AA525">
        <v>2738.5177732731463</v>
      </c>
      <c r="AB525">
        <v>7.4860671241811412</v>
      </c>
      <c r="AC525">
        <v>2260.9562834230778</v>
      </c>
      <c r="AD525">
        <v>10.537319579274381</v>
      </c>
      <c r="AE525">
        <v>2039.0063285298477</v>
      </c>
      <c r="AF525">
        <v>7.4718996088669831</v>
      </c>
      <c r="AG525">
        <v>2139.1451013129558</v>
      </c>
      <c r="AH525">
        <v>10.528622297084603</v>
      </c>
      <c r="AI525">
        <v>1906.7197521870226</v>
      </c>
      <c r="AJ525">
        <v>7.4670307737698334</v>
      </c>
    </row>
    <row r="526" spans="4:36" x14ac:dyDescent="0.55000000000000004">
      <c r="D526">
        <v>519</v>
      </c>
      <c r="E526">
        <v>11.761408254902371</v>
      </c>
      <c r="F526">
        <v>0.40054293259416091</v>
      </c>
      <c r="G526">
        <v>0.15172213968508325</v>
      </c>
      <c r="H526">
        <v>17.686326672818385</v>
      </c>
      <c r="I526">
        <v>11.945644573091224</v>
      </c>
      <c r="J526">
        <v>0.26584186788890973</v>
      </c>
      <c r="K526">
        <v>0.10040591208553362</v>
      </c>
      <c r="L526">
        <v>17.688107646934334</v>
      </c>
      <c r="M526">
        <v>11.877588523099421</v>
      </c>
      <c r="N526">
        <v>0.31562360710390575</v>
      </c>
      <c r="O526">
        <v>0.11933571625490585</v>
      </c>
      <c r="P526">
        <v>17.687452153541777</v>
      </c>
      <c r="Q526">
        <v>11.827575625513182</v>
      </c>
      <c r="R526">
        <v>0.35218939572000929</v>
      </c>
      <c r="S526">
        <v>0.13326631216775386</v>
      </c>
      <c r="T526">
        <v>17.68696866659905</v>
      </c>
      <c r="U526">
        <v>1523.4816881367617</v>
      </c>
      <c r="V526">
        <v>9.26848785793457</v>
      </c>
      <c r="W526">
        <v>1280.2718878833482</v>
      </c>
      <c r="X526">
        <v>6.7393306615267292</v>
      </c>
      <c r="Y526">
        <v>2850.9565150210988</v>
      </c>
      <c r="Z526">
        <v>9.3032524934669532</v>
      </c>
      <c r="AA526">
        <v>2700.6478584478518</v>
      </c>
      <c r="AB526">
        <v>6.7598932222576282</v>
      </c>
      <c r="AC526">
        <v>2173.7493562433842</v>
      </c>
      <c r="AD526">
        <v>9.29040947472234</v>
      </c>
      <c r="AE526">
        <v>1988.9800651002956</v>
      </c>
      <c r="AF526">
        <v>6.7523049203466101</v>
      </c>
      <c r="AG526">
        <v>2072.6131945447173</v>
      </c>
      <c r="AH526">
        <v>9.2809722571465318</v>
      </c>
      <c r="AI526">
        <v>1871.2944924176616</v>
      </c>
      <c r="AJ526">
        <v>6.746722925254983</v>
      </c>
    </row>
    <row r="527" spans="4:36" x14ac:dyDescent="0.55000000000000004">
      <c r="D527">
        <v>520</v>
      </c>
      <c r="E527">
        <v>12.473241279107098</v>
      </c>
      <c r="F527">
        <v>0.47995471844466459</v>
      </c>
      <c r="G527">
        <v>0.1749037669423105</v>
      </c>
      <c r="H527">
        <v>16.871900235505926</v>
      </c>
      <c r="I527">
        <v>12.694369412629255</v>
      </c>
      <c r="J527">
        <v>0.31186435634432469</v>
      </c>
      <c r="K527">
        <v>0.11328208909220401</v>
      </c>
      <c r="L527">
        <v>16.880484141934222</v>
      </c>
      <c r="M527">
        <v>12.622732278993157</v>
      </c>
      <c r="N527">
        <v>0.36634778573952392</v>
      </c>
      <c r="O527">
        <v>0.13321142959816887</v>
      </c>
      <c r="P527">
        <v>16.877708505669133</v>
      </c>
      <c r="Q527">
        <v>12.606881752896095</v>
      </c>
      <c r="R527">
        <v>0.37839918532840966</v>
      </c>
      <c r="S527">
        <v>0.13762536999734509</v>
      </c>
      <c r="T527">
        <v>16.87709369177816</v>
      </c>
      <c r="U527">
        <v>1544.4874331074925</v>
      </c>
      <c r="V527">
        <v>9.8595180191919383</v>
      </c>
      <c r="W527">
        <v>1286.8771764024923</v>
      </c>
      <c r="X527">
        <v>7.0791917634823989</v>
      </c>
      <c r="Y527">
        <v>2879.1196022803388</v>
      </c>
      <c r="Z527">
        <v>9.893754735070182</v>
      </c>
      <c r="AA527">
        <v>2716.1024753589627</v>
      </c>
      <c r="AB527">
        <v>7.099434315467807</v>
      </c>
      <c r="AC527">
        <v>2219.6007968269596</v>
      </c>
      <c r="AD527">
        <v>9.8826603253033909</v>
      </c>
      <c r="AE527">
        <v>2016.4137016126886</v>
      </c>
      <c r="AF527">
        <v>7.092883303482683</v>
      </c>
      <c r="AG527">
        <v>2133.8147461825802</v>
      </c>
      <c r="AH527">
        <v>9.8802059496045551</v>
      </c>
      <c r="AI527">
        <v>1911.6063422484749</v>
      </c>
      <c r="AJ527">
        <v>7.0914329420977369</v>
      </c>
    </row>
    <row r="528" spans="4:36" x14ac:dyDescent="0.55000000000000004">
      <c r="D528">
        <v>521</v>
      </c>
      <c r="E528">
        <v>11.702645115981115</v>
      </c>
      <c r="F528">
        <v>0.4442372148804275</v>
      </c>
      <c r="G528">
        <v>0.16365608418433863</v>
      </c>
      <c r="H528">
        <v>17.68946158495412</v>
      </c>
      <c r="I528">
        <v>11.915128051148862</v>
      </c>
      <c r="J528">
        <v>0.27726466810491307</v>
      </c>
      <c r="K528">
        <v>0.10181206660492287</v>
      </c>
      <c r="L528">
        <v>17.705795214141308</v>
      </c>
      <c r="M528">
        <v>11.829107556892925</v>
      </c>
      <c r="N528">
        <v>0.34488841299181128</v>
      </c>
      <c r="O528">
        <v>0.12680976174465453</v>
      </c>
      <c r="P528">
        <v>17.699194268370618</v>
      </c>
      <c r="Q528">
        <v>11.818037743338188</v>
      </c>
      <c r="R528">
        <v>0.35358808465020231</v>
      </c>
      <c r="S528">
        <v>0.13003049529438707</v>
      </c>
      <c r="T528">
        <v>17.698343676717229</v>
      </c>
      <c r="U528">
        <v>1473.284848222215</v>
      </c>
      <c r="V528">
        <v>9.2158984816111023</v>
      </c>
      <c r="W528">
        <v>1242.2761211355685</v>
      </c>
      <c r="X528">
        <v>6.7006385203002035</v>
      </c>
      <c r="Y528">
        <v>2860.0455585434333</v>
      </c>
      <c r="Z528">
        <v>9.2459805093125826</v>
      </c>
      <c r="AA528">
        <v>2707.8761395815241</v>
      </c>
      <c r="AB528">
        <v>6.7191214652056255</v>
      </c>
      <c r="AC528">
        <v>2193.0941967569693</v>
      </c>
      <c r="AD528">
        <v>9.2337952401006795</v>
      </c>
      <c r="AE528">
        <v>2002.5562315893183</v>
      </c>
      <c r="AF528">
        <v>6.7116448563112403</v>
      </c>
      <c r="AG528">
        <v>2063.0291592115618</v>
      </c>
      <c r="AH528">
        <v>9.2322278309844101</v>
      </c>
      <c r="AI528">
        <v>1866.1642117696867</v>
      </c>
      <c r="AJ528">
        <v>6.7106821233153422</v>
      </c>
    </row>
    <row r="529" spans="4:36" x14ac:dyDescent="0.55000000000000004">
      <c r="D529">
        <v>522</v>
      </c>
      <c r="E529">
        <v>14.661718345143955</v>
      </c>
      <c r="F529">
        <v>0.48973697694062285</v>
      </c>
      <c r="G529">
        <v>0.15531682479365927</v>
      </c>
      <c r="H529">
        <v>14.693227853121753</v>
      </c>
      <c r="I529">
        <v>14.917237789391155</v>
      </c>
      <c r="J529">
        <v>0.32507933246363613</v>
      </c>
      <c r="K529">
        <v>0.10277097834909756</v>
      </c>
      <c r="L529">
        <v>14.654911899796106</v>
      </c>
      <c r="M529">
        <v>14.777146714376068</v>
      </c>
      <c r="N529">
        <v>0.41540614008556742</v>
      </c>
      <c r="O529">
        <v>0.13155431038097859</v>
      </c>
      <c r="P529">
        <v>14.675892835157399</v>
      </c>
      <c r="Q529">
        <v>14.740218873097348</v>
      </c>
      <c r="R529">
        <v>0.43919536550540633</v>
      </c>
      <c r="S529">
        <v>0.13915182698320744</v>
      </c>
      <c r="T529">
        <v>14.681433934414057</v>
      </c>
      <c r="U529">
        <v>1621.625908630848</v>
      </c>
      <c r="V529">
        <v>11.397249459833949</v>
      </c>
      <c r="W529">
        <v>1328.8558788684361</v>
      </c>
      <c r="X529">
        <v>7.9438935425425141</v>
      </c>
      <c r="Y529">
        <v>2943.5778726326616</v>
      </c>
      <c r="Z529">
        <v>11.468142059154895</v>
      </c>
      <c r="AA529">
        <v>2753.2662545978246</v>
      </c>
      <c r="AB529">
        <v>7.9825191980560586</v>
      </c>
      <c r="AC529">
        <v>2316.6075008783528</v>
      </c>
      <c r="AD529">
        <v>11.429287744011509</v>
      </c>
      <c r="AE529">
        <v>2072.0248610062436</v>
      </c>
      <c r="AF529">
        <v>7.9613623026287712</v>
      </c>
      <c r="AG529">
        <v>2208.3300978131897</v>
      </c>
      <c r="AH529">
        <v>11.419040447980468</v>
      </c>
      <c r="AI529">
        <v>1949.4977056738765</v>
      </c>
      <c r="AJ529">
        <v>7.9557773083677663</v>
      </c>
    </row>
    <row r="530" spans="4:36" x14ac:dyDescent="0.55000000000000004">
      <c r="D530">
        <v>523</v>
      </c>
      <c r="E530">
        <v>12.970173560091061</v>
      </c>
      <c r="F530">
        <v>0.43919193603981177</v>
      </c>
      <c r="G530">
        <v>0.14893464522815711</v>
      </c>
      <c r="H530">
        <v>16.441699858640973</v>
      </c>
      <c r="I530">
        <v>13.202833811589535</v>
      </c>
      <c r="J530">
        <v>0.27633817708098007</v>
      </c>
      <c r="K530">
        <v>9.3400618426826412E-2</v>
      </c>
      <c r="L530">
        <v>16.427427392902658</v>
      </c>
      <c r="M530">
        <v>13.062867784060677</v>
      </c>
      <c r="N530">
        <v>0.37434932013997413</v>
      </c>
      <c r="O530">
        <v>0.12677836475682</v>
      </c>
      <c r="P530">
        <v>16.436004531042528</v>
      </c>
      <c r="Q530">
        <v>13.014160659554733</v>
      </c>
      <c r="R530">
        <v>0.40842818062875058</v>
      </c>
      <c r="S530">
        <v>0.13841546258673676</v>
      </c>
      <c r="T530">
        <v>16.438995697229789</v>
      </c>
      <c r="U530">
        <v>1525.9762453481646</v>
      </c>
      <c r="V530">
        <v>10.231576451614632</v>
      </c>
      <c r="W530">
        <v>1274.9338039063969</v>
      </c>
      <c r="X530">
        <v>7.3018196190347417</v>
      </c>
      <c r="Y530">
        <v>2887.2452743669223</v>
      </c>
      <c r="Z530">
        <v>10.28572923354335</v>
      </c>
      <c r="AA530">
        <v>2723.5527802023448</v>
      </c>
      <c r="AB530">
        <v>7.3324771919156424</v>
      </c>
      <c r="AC530">
        <v>2228.756458288562</v>
      </c>
      <c r="AD530">
        <v>10.253156517894693</v>
      </c>
      <c r="AE530">
        <v>2021.1933228001847</v>
      </c>
      <c r="AF530">
        <v>7.3140486669387981</v>
      </c>
      <c r="AG530">
        <v>2134.1862534119509</v>
      </c>
      <c r="AH530">
        <v>10.241817890911889</v>
      </c>
      <c r="AI530">
        <v>1908.3194533783897</v>
      </c>
      <c r="AJ530">
        <v>7.3076252466127682</v>
      </c>
    </row>
    <row r="531" spans="4:36" x14ac:dyDescent="0.55000000000000004">
      <c r="D531">
        <v>524</v>
      </c>
      <c r="E531">
        <v>13.168648291615382</v>
      </c>
      <c r="F531">
        <v>0.47928803519079366</v>
      </c>
      <c r="G531">
        <v>0.17956739025569102</v>
      </c>
      <c r="H531">
        <v>16.172496282938141</v>
      </c>
      <c r="I531">
        <v>13.386653103309188</v>
      </c>
      <c r="J531">
        <v>0.31889879722034647</v>
      </c>
      <c r="K531">
        <v>0.11911755610239923</v>
      </c>
      <c r="L531">
        <v>16.175330543368073</v>
      </c>
      <c r="M531">
        <v>13.286914703644069</v>
      </c>
      <c r="N531">
        <v>0.3923105312649412</v>
      </c>
      <c r="O531">
        <v>0.14674017434054676</v>
      </c>
      <c r="P531">
        <v>16.174034590750434</v>
      </c>
      <c r="Q531">
        <v>13.262603920565455</v>
      </c>
      <c r="R531">
        <v>0.41019595702558986</v>
      </c>
      <c r="S531">
        <v>0.15348160239539202</v>
      </c>
      <c r="T531">
        <v>16.173718520013576</v>
      </c>
      <c r="U531">
        <v>1548.0591867211397</v>
      </c>
      <c r="V531">
        <v>10.379782153620772</v>
      </c>
      <c r="W531">
        <v>1283.4100079521331</v>
      </c>
      <c r="X531">
        <v>7.3787389518571445</v>
      </c>
      <c r="Y531">
        <v>2920.0984525341337</v>
      </c>
      <c r="Z531">
        <v>10.420869208682724</v>
      </c>
      <c r="AA531">
        <v>2741.0482766105383</v>
      </c>
      <c r="AB531">
        <v>7.4024683205869453</v>
      </c>
      <c r="AC531">
        <v>2270.2081934203534</v>
      </c>
      <c r="AD531">
        <v>10.402070638547809</v>
      </c>
      <c r="AE531">
        <v>2045.862769162914</v>
      </c>
      <c r="AF531">
        <v>7.3916211162563688</v>
      </c>
      <c r="AG531">
        <v>2155.1385835601404</v>
      </c>
      <c r="AH531">
        <v>10.397488831475668</v>
      </c>
      <c r="AI531">
        <v>1919.2129172373934</v>
      </c>
      <c r="AJ531">
        <v>7.3889748395600412</v>
      </c>
    </row>
    <row r="532" spans="4:36" x14ac:dyDescent="0.55000000000000004">
      <c r="D532">
        <v>525</v>
      </c>
      <c r="E532">
        <v>12.80752699834996</v>
      </c>
      <c r="F532">
        <v>0.49513467080704066</v>
      </c>
      <c r="G532">
        <v>0.18282543213954697</v>
      </c>
      <c r="H532">
        <v>16.514512898703444</v>
      </c>
      <c r="I532">
        <v>13.028692619128835</v>
      </c>
      <c r="J532">
        <v>0.32947463500961993</v>
      </c>
      <c r="K532">
        <v>0.12127229455904349</v>
      </c>
      <c r="L532">
        <v>16.52056045130249</v>
      </c>
      <c r="M532">
        <v>13.001789289572727</v>
      </c>
      <c r="N532">
        <v>0.34964025536318571</v>
      </c>
      <c r="O532">
        <v>0.12874402626063575</v>
      </c>
      <c r="P532">
        <v>16.519826428803434</v>
      </c>
      <c r="Q532">
        <v>12.948996916990135</v>
      </c>
      <c r="R532">
        <v>0.38919987433073222</v>
      </c>
      <c r="S532">
        <v>0.14341845044940138</v>
      </c>
      <c r="T532">
        <v>16.518384758229718</v>
      </c>
      <c r="U532">
        <v>1559.4600229545554</v>
      </c>
      <c r="V532">
        <v>10.209039045916082</v>
      </c>
      <c r="W532">
        <v>1292.9214836395424</v>
      </c>
      <c r="X532">
        <v>7.2937019464990032</v>
      </c>
      <c r="Y532">
        <v>2915.2504975801826</v>
      </c>
      <c r="Z532">
        <v>10.249229506833597</v>
      </c>
      <c r="AA532">
        <v>2738.4274203978512</v>
      </c>
      <c r="AB532">
        <v>7.3171731781442428</v>
      </c>
      <c r="AC532">
        <v>2212.179291084532</v>
      </c>
      <c r="AD532">
        <v>10.244339587576954</v>
      </c>
      <c r="AE532">
        <v>2009.5525030366525</v>
      </c>
      <c r="AF532">
        <v>7.314321962556293</v>
      </c>
      <c r="AG532">
        <v>2098.8776254171926</v>
      </c>
      <c r="AH532">
        <v>10.234744918712583</v>
      </c>
      <c r="AI532">
        <v>1882.6156724414107</v>
      </c>
      <c r="AJ532">
        <v>7.3087239033140357</v>
      </c>
    </row>
    <row r="533" spans="4:36" x14ac:dyDescent="0.55000000000000004">
      <c r="D533">
        <v>526</v>
      </c>
      <c r="E533">
        <v>12.373604486796895</v>
      </c>
      <c r="F533">
        <v>0.46198691108386253</v>
      </c>
      <c r="G533">
        <v>0.16243143927730735</v>
      </c>
      <c r="H533">
        <v>17.001977162841939</v>
      </c>
      <c r="I533">
        <v>12.605579607920017</v>
      </c>
      <c r="J533">
        <v>0.29241707177926468</v>
      </c>
      <c r="K533">
        <v>0.10246100364882373</v>
      </c>
      <c r="L533">
        <v>16.99954231665189</v>
      </c>
      <c r="M533">
        <v>12.492724823813486</v>
      </c>
      <c r="N533">
        <v>0.37495134874371688</v>
      </c>
      <c r="O533">
        <v>0.1315982728028009</v>
      </c>
      <c r="P533">
        <v>17.000725554639985</v>
      </c>
      <c r="Q533">
        <v>12.505366188843855</v>
      </c>
      <c r="R533">
        <v>0.36571000986091257</v>
      </c>
      <c r="S533">
        <v>0.12833090864311419</v>
      </c>
      <c r="T533">
        <v>17.000592892652129</v>
      </c>
      <c r="U533">
        <v>1529.8482542274096</v>
      </c>
      <c r="V533">
        <v>9.843409733869434</v>
      </c>
      <c r="W533">
        <v>1278.5873490670431</v>
      </c>
      <c r="X533">
        <v>7.0840340482074078</v>
      </c>
      <c r="Y533">
        <v>2889.6265840239016</v>
      </c>
      <c r="Z533">
        <v>9.8918937340813322</v>
      </c>
      <c r="AA533">
        <v>2725.7468934068511</v>
      </c>
      <c r="AB533">
        <v>7.1121908489647785</v>
      </c>
      <c r="AC533">
        <v>2220.7085629650833</v>
      </c>
      <c r="AD533">
        <v>9.868306833484418</v>
      </c>
      <c r="AE533">
        <v>2017.3216212289899</v>
      </c>
      <c r="AF533">
        <v>7.0985061119605124</v>
      </c>
      <c r="AG533">
        <v>2078.188143939718</v>
      </c>
      <c r="AH533">
        <v>9.8709489381211899</v>
      </c>
      <c r="AI533">
        <v>1873.1475706570068</v>
      </c>
      <c r="AJ533">
        <v>7.1000402560553155</v>
      </c>
    </row>
    <row r="534" spans="4:36" x14ac:dyDescent="0.55000000000000004">
      <c r="D534">
        <v>527</v>
      </c>
      <c r="E534">
        <v>12.586764298415895</v>
      </c>
      <c r="F534">
        <v>0.47984273613719169</v>
      </c>
      <c r="G534">
        <v>0.16487910964621871</v>
      </c>
      <c r="H534">
        <v>16.768513855800688</v>
      </c>
      <c r="I534">
        <v>12.824616403379498</v>
      </c>
      <c r="J534">
        <v>0.30545902237829575</v>
      </c>
      <c r="K534">
        <v>0.1046114625020057</v>
      </c>
      <c r="L534">
        <v>16.765313111740209</v>
      </c>
      <c r="M534">
        <v>12.730709568132065</v>
      </c>
      <c r="N534">
        <v>0.3743467002757358</v>
      </c>
      <c r="O534">
        <v>0.12837083686746373</v>
      </c>
      <c r="P534">
        <v>16.766572894724746</v>
      </c>
      <c r="Q534">
        <v>12.686824191002959</v>
      </c>
      <c r="R534">
        <v>0.4065225556708657</v>
      </c>
      <c r="S534">
        <v>0.139489884792904</v>
      </c>
      <c r="T534">
        <v>16.767163368533257</v>
      </c>
      <c r="U534">
        <v>1557.9592690390646</v>
      </c>
      <c r="V534">
        <v>9.9801348784644563</v>
      </c>
      <c r="W534">
        <v>1296.1686717481855</v>
      </c>
      <c r="X534">
        <v>7.156580571477968</v>
      </c>
      <c r="Y534">
        <v>2888.8561068782756</v>
      </c>
      <c r="Z534">
        <v>10.026630823305686</v>
      </c>
      <c r="AA534">
        <v>2723.2950007746736</v>
      </c>
      <c r="AB534">
        <v>7.1833897248117484</v>
      </c>
      <c r="AC534">
        <v>2247.3760177075492</v>
      </c>
      <c r="AD534">
        <v>10.008275208452442</v>
      </c>
      <c r="AE534">
        <v>2035.450675241025</v>
      </c>
      <c r="AF534">
        <v>7.1728177382073053</v>
      </c>
      <c r="AG534">
        <v>2138.2423736686987</v>
      </c>
      <c r="AH534">
        <v>9.9996964154240402</v>
      </c>
      <c r="AI534">
        <v>1912.2852341063265</v>
      </c>
      <c r="AJ534">
        <v>7.1678715396638246</v>
      </c>
    </row>
    <row r="535" spans="4:36" x14ac:dyDescent="0.55000000000000004">
      <c r="D535">
        <v>528</v>
      </c>
      <c r="E535">
        <v>12.002027206473239</v>
      </c>
      <c r="F535">
        <v>0.41265612418234487</v>
      </c>
      <c r="G535">
        <v>0.16580059155706264</v>
      </c>
      <c r="H535">
        <v>17.419516077787364</v>
      </c>
      <c r="I535">
        <v>12.21392195002298</v>
      </c>
      <c r="J535">
        <v>0.26262635709870075</v>
      </c>
      <c r="K535">
        <v>0.10517386750664165</v>
      </c>
      <c r="L535">
        <v>17.418277825371668</v>
      </c>
      <c r="M535">
        <v>12.138121129761599</v>
      </c>
      <c r="N535">
        <v>0.31632889191401276</v>
      </c>
      <c r="O535">
        <v>0.1268285375974115</v>
      </c>
      <c r="P535">
        <v>17.418721440726973</v>
      </c>
      <c r="Q535">
        <v>12.094717482312237</v>
      </c>
      <c r="R535">
        <v>0.34706274328848491</v>
      </c>
      <c r="S535">
        <v>0.13924464619389887</v>
      </c>
      <c r="T535">
        <v>17.418975128205357</v>
      </c>
      <c r="U535">
        <v>1490.3281329011343</v>
      </c>
      <c r="V535">
        <v>9.4620861696495382</v>
      </c>
      <c r="W535">
        <v>1257.2391771944117</v>
      </c>
      <c r="X535">
        <v>6.8519196046294288</v>
      </c>
      <c r="Y535">
        <v>2848.8529852005249</v>
      </c>
      <c r="Z535">
        <v>9.5042977021574355</v>
      </c>
      <c r="AA535">
        <v>2700.8115877156979</v>
      </c>
      <c r="AB535">
        <v>6.8766986657074609</v>
      </c>
      <c r="AC535">
        <v>2175.0680592343133</v>
      </c>
      <c r="AD535">
        <v>9.4891966374866108</v>
      </c>
      <c r="AE535">
        <v>1991.5427679873706</v>
      </c>
      <c r="AF535">
        <v>6.8678445236423435</v>
      </c>
      <c r="AG535">
        <v>2051.549713302968</v>
      </c>
      <c r="AH535">
        <v>9.4805501426907917</v>
      </c>
      <c r="AI535">
        <v>1858.2508091296368</v>
      </c>
      <c r="AJ535">
        <v>6.8627696186565581</v>
      </c>
    </row>
    <row r="536" spans="4:36" x14ac:dyDescent="0.55000000000000004">
      <c r="D536">
        <v>529</v>
      </c>
      <c r="E536">
        <v>13.562428622844962</v>
      </c>
      <c r="F536">
        <v>0.48402408397753738</v>
      </c>
      <c r="G536">
        <v>0.14834085804067262</v>
      </c>
      <c r="H536">
        <v>15.805206435136837</v>
      </c>
      <c r="I536">
        <v>13.769120400261915</v>
      </c>
      <c r="J536">
        <v>0.33414271272514301</v>
      </c>
      <c r="K536">
        <v>0.1021305188572673</v>
      </c>
      <c r="L536">
        <v>15.794606368155671</v>
      </c>
      <c r="M536">
        <v>13.659498856607273</v>
      </c>
      <c r="N536">
        <v>0.41366406106433201</v>
      </c>
      <c r="O536">
        <v>0.126616454238105</v>
      </c>
      <c r="P536">
        <v>15.800220628090301</v>
      </c>
      <c r="Q536">
        <v>13.65060085193392</v>
      </c>
      <c r="R536">
        <v>0.42011587136617984</v>
      </c>
      <c r="S536">
        <v>0.12860618559096962</v>
      </c>
      <c r="T536">
        <v>15.800677091108943</v>
      </c>
      <c r="U536">
        <v>1584.4134218115287</v>
      </c>
      <c r="V536">
        <v>10.667844823457688</v>
      </c>
      <c r="W536">
        <v>1308.0902587558355</v>
      </c>
      <c r="X536">
        <v>7.543937434149429</v>
      </c>
      <c r="Y536">
        <v>2937.952355209798</v>
      </c>
      <c r="Z536">
        <v>10.711269518502871</v>
      </c>
      <c r="AA536">
        <v>2752.0297178783653</v>
      </c>
      <c r="AB536">
        <v>7.5682581594053122</v>
      </c>
      <c r="AC536">
        <v>2251.676915593534</v>
      </c>
      <c r="AD536">
        <v>10.688243023027871</v>
      </c>
      <c r="AE536">
        <v>2030.3783711517081</v>
      </c>
      <c r="AF536">
        <v>7.5553697422794235</v>
      </c>
      <c r="AG536">
        <v>2178.2825734658522</v>
      </c>
      <c r="AH536">
        <v>10.686373529757429</v>
      </c>
      <c r="AI536">
        <v>1934.1025374298467</v>
      </c>
      <c r="AJ536">
        <v>7.5543225617576057</v>
      </c>
    </row>
    <row r="537" spans="4:36" x14ac:dyDescent="0.55000000000000004">
      <c r="D537">
        <v>530</v>
      </c>
      <c r="E537">
        <v>13.592661574965671</v>
      </c>
      <c r="F537">
        <v>0.50639090885651483</v>
      </c>
      <c r="G537">
        <v>0.21482376047888418</v>
      </c>
      <c r="H537">
        <v>15.686123755698944</v>
      </c>
      <c r="I537">
        <v>13.854218497882311</v>
      </c>
      <c r="J537">
        <v>0.32114604276536374</v>
      </c>
      <c r="K537">
        <v>0.13575688581416889</v>
      </c>
      <c r="L537">
        <v>15.688878573538144</v>
      </c>
      <c r="M537">
        <v>13.782012316391999</v>
      </c>
      <c r="N537">
        <v>0.3723252887400838</v>
      </c>
      <c r="O537">
        <v>0.15754465918759969</v>
      </c>
      <c r="P537">
        <v>15.688117735680304</v>
      </c>
      <c r="Q537">
        <v>13.720185488190532</v>
      </c>
      <c r="R537">
        <v>0.41612358353939949</v>
      </c>
      <c r="S537">
        <v>0.17622446312060719</v>
      </c>
      <c r="T537">
        <v>15.687466465149475</v>
      </c>
      <c r="U537">
        <v>1617.2548164907671</v>
      </c>
      <c r="V537">
        <v>10.717550333923221</v>
      </c>
      <c r="W537">
        <v>1327.8260982789454</v>
      </c>
      <c r="X537">
        <v>7.5671781712411361</v>
      </c>
      <c r="Y537">
        <v>2963.1091075608542</v>
      </c>
      <c r="Z537">
        <v>10.762300661311118</v>
      </c>
      <c r="AA537">
        <v>2769.435828243109</v>
      </c>
      <c r="AB537">
        <v>7.5926314903352585</v>
      </c>
      <c r="AC537">
        <v>2233.2112760946043</v>
      </c>
      <c r="AD537">
        <v>10.74994772385433</v>
      </c>
      <c r="AE537">
        <v>2018.59896151827</v>
      </c>
      <c r="AF537">
        <v>7.5856144099699581</v>
      </c>
      <c r="AG537">
        <v>2166.9833526626235</v>
      </c>
      <c r="AH537">
        <v>10.739369887609273</v>
      </c>
      <c r="AI537">
        <v>1924.5935685512343</v>
      </c>
      <c r="AJ537">
        <v>7.5796001976284133</v>
      </c>
    </row>
    <row r="538" spans="4:36" x14ac:dyDescent="0.55000000000000004">
      <c r="D538">
        <v>531</v>
      </c>
      <c r="E538">
        <v>13.178822385836396</v>
      </c>
      <c r="F538">
        <v>0.48213877818556239</v>
      </c>
      <c r="G538">
        <v>0.17476614458029216</v>
      </c>
      <c r="H538">
        <v>16.164272691397741</v>
      </c>
      <c r="I538">
        <v>13.379859569350126</v>
      </c>
      <c r="J538">
        <v>0.33528352256058941</v>
      </c>
      <c r="K538">
        <v>0.12117630724904473</v>
      </c>
      <c r="L538">
        <v>16.163680600840244</v>
      </c>
      <c r="M538">
        <v>13.314273055548984</v>
      </c>
      <c r="N538">
        <v>0.38321873420735986</v>
      </c>
      <c r="O538">
        <v>0.13863341475342408</v>
      </c>
      <c r="P538">
        <v>16.163874795490223</v>
      </c>
      <c r="Q538">
        <v>13.297111846577327</v>
      </c>
      <c r="R538">
        <v>0.39575735874669477</v>
      </c>
      <c r="S538">
        <v>0.14320535033603471</v>
      </c>
      <c r="T538">
        <v>16.163925444339963</v>
      </c>
      <c r="U538">
        <v>1579.4960122066243</v>
      </c>
      <c r="V538">
        <v>10.358456494086397</v>
      </c>
      <c r="W538">
        <v>1305.0447493598579</v>
      </c>
      <c r="X538">
        <v>7.3616138651909884</v>
      </c>
      <c r="Y538">
        <v>2941.4283084223912</v>
      </c>
      <c r="Z538">
        <v>10.39527871542882</v>
      </c>
      <c r="AA538">
        <v>2754.568632090607</v>
      </c>
      <c r="AB538">
        <v>7.3828156419451156</v>
      </c>
      <c r="AC538">
        <v>2285.5076606616253</v>
      </c>
      <c r="AD538">
        <v>10.383265278981275</v>
      </c>
      <c r="AE538">
        <v>2056.9438426216475</v>
      </c>
      <c r="AF538">
        <v>7.3759055079128837</v>
      </c>
      <c r="AG538">
        <v>2108.9051878120313</v>
      </c>
      <c r="AH538">
        <v>10.380121956121959</v>
      </c>
      <c r="AI538">
        <v>1886.695810656686</v>
      </c>
      <c r="AJ538">
        <v>7.3740963457716724</v>
      </c>
    </row>
    <row r="539" spans="4:36" x14ac:dyDescent="0.55000000000000004">
      <c r="D539">
        <v>532</v>
      </c>
      <c r="E539">
        <v>13.230482569195575</v>
      </c>
      <c r="F539">
        <v>0.48892378334879333</v>
      </c>
      <c r="G539">
        <v>0.15073274671434075</v>
      </c>
      <c r="H539">
        <v>16.129860900741292</v>
      </c>
      <c r="I539">
        <v>13.449832917249283</v>
      </c>
      <c r="J539">
        <v>0.33043841680860858</v>
      </c>
      <c r="K539">
        <v>0.10156866110669607</v>
      </c>
      <c r="L539">
        <v>16.118160004835417</v>
      </c>
      <c r="M539">
        <v>13.367767462275921</v>
      </c>
      <c r="N539">
        <v>0.38976487244281433</v>
      </c>
      <c r="O539">
        <v>0.11993754040886478</v>
      </c>
      <c r="P539">
        <v>16.122530124872387</v>
      </c>
      <c r="Q539">
        <v>13.351438573345948</v>
      </c>
      <c r="R539">
        <v>0.40156469288035163</v>
      </c>
      <c r="S539">
        <v>0.12359599966704425</v>
      </c>
      <c r="T539">
        <v>16.123400734106664</v>
      </c>
      <c r="U539">
        <v>1590.6921517977912</v>
      </c>
      <c r="V539">
        <v>10.476928760161584</v>
      </c>
      <c r="W539">
        <v>1314.8225949782593</v>
      </c>
      <c r="X539">
        <v>7.4433748559960646</v>
      </c>
      <c r="Y539">
        <v>2934.0600736794399</v>
      </c>
      <c r="Z539">
        <v>10.523912262903007</v>
      </c>
      <c r="AA539">
        <v>2751.1965543661527</v>
      </c>
      <c r="AB539">
        <v>7.4698305215787304</v>
      </c>
      <c r="AC539">
        <v>2239.6808698713803</v>
      </c>
      <c r="AD539">
        <v>10.506338795174633</v>
      </c>
      <c r="AE539">
        <v>2025.5009845299685</v>
      </c>
      <c r="AF539">
        <v>7.4599442216167988</v>
      </c>
      <c r="AG539">
        <v>2164.6820348067977</v>
      </c>
      <c r="AH539">
        <v>10.502841500813144</v>
      </c>
      <c r="AI539">
        <v>1927.9412534964347</v>
      </c>
      <c r="AJ539">
        <v>7.4579754673086009</v>
      </c>
    </row>
    <row r="540" spans="4:36" x14ac:dyDescent="0.55000000000000004">
      <c r="D540">
        <v>533</v>
      </c>
      <c r="E540">
        <v>13.519838317791287</v>
      </c>
      <c r="F540">
        <v>0.4654130300499878</v>
      </c>
      <c r="G540">
        <v>0.17470131913841905</v>
      </c>
      <c r="H540">
        <v>15.840047333020314</v>
      </c>
      <c r="I540">
        <v>13.720189649480259</v>
      </c>
      <c r="J540">
        <v>0.32285227542392708</v>
      </c>
      <c r="K540">
        <v>0.12085734911893702</v>
      </c>
      <c r="L540">
        <v>15.836100725976872</v>
      </c>
      <c r="M540">
        <v>13.607126492283529</v>
      </c>
      <c r="N540">
        <v>0.40333161447803767</v>
      </c>
      <c r="O540">
        <v>0.15121689413679881</v>
      </c>
      <c r="P540">
        <v>15.838324999101642</v>
      </c>
      <c r="Q540">
        <v>13.577478998890339</v>
      </c>
      <c r="R540">
        <v>0.4244226281091692</v>
      </c>
      <c r="S540">
        <v>0.15918888579723137</v>
      </c>
      <c r="T540">
        <v>15.838909487203264</v>
      </c>
      <c r="U540">
        <v>1606.6386244451999</v>
      </c>
      <c r="V540">
        <v>10.750141926502618</v>
      </c>
      <c r="W540">
        <v>1322.7873731301411</v>
      </c>
      <c r="X540">
        <v>7.6059897805421546</v>
      </c>
      <c r="Y540">
        <v>2944.3674782567841</v>
      </c>
      <c r="Z540">
        <v>10.790556323176492</v>
      </c>
      <c r="AA540">
        <v>2755.6999198000512</v>
      </c>
      <c r="AB540">
        <v>7.628849777857158</v>
      </c>
      <c r="AC540">
        <v>2268.4668793693149</v>
      </c>
      <c r="AD540">
        <v>10.767751542133601</v>
      </c>
      <c r="AE540">
        <v>2040.9179736955896</v>
      </c>
      <c r="AF540">
        <v>7.6159580528597015</v>
      </c>
      <c r="AG540">
        <v>2196.6389426400569</v>
      </c>
      <c r="AH540">
        <v>10.761770780277681</v>
      </c>
      <c r="AI540">
        <v>1944.6553650924345</v>
      </c>
      <c r="AJ540">
        <v>7.6125738428870884</v>
      </c>
    </row>
    <row r="541" spans="4:36" x14ac:dyDescent="0.55000000000000004">
      <c r="D541">
        <v>534</v>
      </c>
      <c r="E541">
        <v>12.847382734368978</v>
      </c>
      <c r="F541">
        <v>0.5329632168919306</v>
      </c>
      <c r="G541">
        <v>0.18166476339458038</v>
      </c>
      <c r="H541">
        <v>16.437989285344518</v>
      </c>
      <c r="I541">
        <v>13.111352438774025</v>
      </c>
      <c r="J541">
        <v>0.32901870358804491</v>
      </c>
      <c r="K541">
        <v>0.111757844431607</v>
      </c>
      <c r="L541">
        <v>16.447871013206338</v>
      </c>
      <c r="M541">
        <v>13.021882229581331</v>
      </c>
      <c r="N541">
        <v>0.39818299242288469</v>
      </c>
      <c r="O541">
        <v>0.13541012603778477</v>
      </c>
      <c r="P541">
        <v>16.444524651957998</v>
      </c>
      <c r="Q541">
        <v>12.968673588685762</v>
      </c>
      <c r="R541">
        <v>0.43929661747364079</v>
      </c>
      <c r="S541">
        <v>0.14949668728431303</v>
      </c>
      <c r="T541">
        <v>16.442533106556297</v>
      </c>
      <c r="U541">
        <v>1635.0577643102674</v>
      </c>
      <c r="V541">
        <v>10.078703657117877</v>
      </c>
      <c r="W541">
        <v>1341.3158927376978</v>
      </c>
      <c r="X541">
        <v>7.192298529020313</v>
      </c>
      <c r="Y541">
        <v>2951.4030506491881</v>
      </c>
      <c r="Z541">
        <v>10.120479555920358</v>
      </c>
      <c r="AA541">
        <v>2762.4472674107892</v>
      </c>
      <c r="AB541">
        <v>7.2166115911227386</v>
      </c>
      <c r="AC541">
        <v>2259.6127911871363</v>
      </c>
      <c r="AD541">
        <v>10.106318385105499</v>
      </c>
      <c r="AE541">
        <v>2037.5541874003386</v>
      </c>
      <c r="AF541">
        <v>7.2083812692819338</v>
      </c>
      <c r="AG541">
        <v>2162.4902336153368</v>
      </c>
      <c r="AH541">
        <v>10.097897400023676</v>
      </c>
      <c r="AI541">
        <v>1921.9209189460328</v>
      </c>
      <c r="AJ541">
        <v>7.2034816148466181</v>
      </c>
    </row>
    <row r="542" spans="4:36" x14ac:dyDescent="0.55000000000000004">
      <c r="D542">
        <v>535</v>
      </c>
      <c r="E542">
        <v>13.508392138325799</v>
      </c>
      <c r="F542">
        <v>0.49120259449350401</v>
      </c>
      <c r="G542">
        <v>0.1572286400705161</v>
      </c>
      <c r="H542">
        <v>15.843176627110191</v>
      </c>
      <c r="I542">
        <v>13.775161667326691</v>
      </c>
      <c r="J542">
        <v>0.30615086650387341</v>
      </c>
      <c r="K542">
        <v>9.7647226107029791E-2</v>
      </c>
      <c r="L542">
        <v>15.821040240062407</v>
      </c>
      <c r="M542">
        <v>13.645820818887337</v>
      </c>
      <c r="N542">
        <v>0.3959257262863205</v>
      </c>
      <c r="O542">
        <v>0.1264983342376533</v>
      </c>
      <c r="P542">
        <v>15.831755120588689</v>
      </c>
      <c r="Q542">
        <v>13.59686177425089</v>
      </c>
      <c r="R542">
        <v>0.42988144352595781</v>
      </c>
      <c r="S542">
        <v>0.13743709750466579</v>
      </c>
      <c r="T542">
        <v>15.835819684718498</v>
      </c>
      <c r="U542">
        <v>1579.0308060660702</v>
      </c>
      <c r="V542">
        <v>10.610673659125968</v>
      </c>
      <c r="W542">
        <v>1307.5044941815763</v>
      </c>
      <c r="X542">
        <v>7.5084402086293878</v>
      </c>
      <c r="Y542">
        <v>2918.4184591141857</v>
      </c>
      <c r="Z542">
        <v>10.670053779723844</v>
      </c>
      <c r="AA542">
        <v>2742.4153113667085</v>
      </c>
      <c r="AB542">
        <v>7.5413608396243896</v>
      </c>
      <c r="AC542">
        <v>2258.2356787255812</v>
      </c>
      <c r="AD542">
        <v>10.641275169311108</v>
      </c>
      <c r="AE542">
        <v>2039.2458949037205</v>
      </c>
      <c r="AF542">
        <v>7.5254191487520279</v>
      </c>
      <c r="AG542">
        <v>2138.2271053537556</v>
      </c>
      <c r="AH542">
        <v>10.630376139624783</v>
      </c>
      <c r="AI542">
        <v>1908.1632437100943</v>
      </c>
      <c r="AJ542">
        <v>7.5193752007208419</v>
      </c>
    </row>
    <row r="543" spans="4:36" x14ac:dyDescent="0.55000000000000004">
      <c r="D543">
        <v>536</v>
      </c>
      <c r="E543">
        <v>11.807634041358325</v>
      </c>
      <c r="F543">
        <v>0.43351074022747854</v>
      </c>
      <c r="G543">
        <v>0.15159659380587523</v>
      </c>
      <c r="H543">
        <v>17.607258624608317</v>
      </c>
      <c r="I543">
        <v>11.989143196619338</v>
      </c>
      <c r="J543">
        <v>0.28797746566394589</v>
      </c>
      <c r="K543">
        <v>0.10043803938514972</v>
      </c>
      <c r="L543">
        <v>17.622441298331577</v>
      </c>
      <c r="M543">
        <v>11.892796660920013</v>
      </c>
      <c r="N543">
        <v>0.36524704648045625</v>
      </c>
      <c r="O543">
        <v>0.12756603005019349</v>
      </c>
      <c r="P543">
        <v>17.614390262549339</v>
      </c>
      <c r="Q543">
        <v>11.897151483264937</v>
      </c>
      <c r="R543">
        <v>0.3617554351590993</v>
      </c>
      <c r="S543">
        <v>0.12633852389811662</v>
      </c>
      <c r="T543">
        <v>17.614754557677852</v>
      </c>
      <c r="U543">
        <v>1498.6682284408901</v>
      </c>
      <c r="V543">
        <v>9.2964318554268868</v>
      </c>
      <c r="W543">
        <v>1263.7285829891807</v>
      </c>
      <c r="X543">
        <v>6.7497014687423533</v>
      </c>
      <c r="Y543">
        <v>2851.8488640521778</v>
      </c>
      <c r="Z543">
        <v>9.3207951384067194</v>
      </c>
      <c r="AA543">
        <v>2702.3699938493514</v>
      </c>
      <c r="AB543">
        <v>6.7646185183305674</v>
      </c>
      <c r="AC543">
        <v>2189.5050219883115</v>
      </c>
      <c r="AD543">
        <v>9.3078582851703384</v>
      </c>
      <c r="AE543">
        <v>2000.0024863163649</v>
      </c>
      <c r="AF543">
        <v>6.7567047052890725</v>
      </c>
      <c r="AG543">
        <v>2078.9887839725047</v>
      </c>
      <c r="AH543">
        <v>9.3084428004018491</v>
      </c>
      <c r="AI543">
        <v>1878.8350293172621</v>
      </c>
      <c r="AJ543">
        <v>6.7570626141554913</v>
      </c>
    </row>
    <row r="544" spans="4:36" x14ac:dyDescent="0.55000000000000004">
      <c r="D544">
        <v>537</v>
      </c>
      <c r="E544">
        <v>12.305377994996032</v>
      </c>
      <c r="F544">
        <v>0.46811082854046615</v>
      </c>
      <c r="G544">
        <v>0.18484524304221767</v>
      </c>
      <c r="H544">
        <v>17.041665933421299</v>
      </c>
      <c r="I544">
        <v>12.517165662957028</v>
      </c>
      <c r="J544">
        <v>0.3051499005818602</v>
      </c>
      <c r="K544">
        <v>0.12010549557583121</v>
      </c>
      <c r="L544">
        <v>17.057578940885275</v>
      </c>
      <c r="M544">
        <v>12.435185242548762</v>
      </c>
      <c r="N544">
        <v>0.3682577834791595</v>
      </c>
      <c r="O544">
        <v>0.14512591666984959</v>
      </c>
      <c r="P544">
        <v>17.051431057302239</v>
      </c>
      <c r="Q544">
        <v>12.404814791499</v>
      </c>
      <c r="R544">
        <v>0.39162786965189272</v>
      </c>
      <c r="S544">
        <v>0.1544076084544741</v>
      </c>
      <c r="T544">
        <v>17.049149730394618</v>
      </c>
      <c r="U544">
        <v>1552.9307747790986</v>
      </c>
      <c r="V544">
        <v>9.6924060744173932</v>
      </c>
      <c r="W544">
        <v>1291.7258694463515</v>
      </c>
      <c r="X544">
        <v>6.9775496389355096</v>
      </c>
      <c r="Y544">
        <v>2895.0660946738699</v>
      </c>
      <c r="Z544">
        <v>9.7242977555510191</v>
      </c>
      <c r="AA544">
        <v>2726.7252357061188</v>
      </c>
      <c r="AB544">
        <v>6.996876165415248</v>
      </c>
      <c r="AC544">
        <v>2209.6892100501491</v>
      </c>
      <c r="AD544">
        <v>9.7119461358046522</v>
      </c>
      <c r="AE544">
        <v>2007.4228564143216</v>
      </c>
      <c r="AF544">
        <v>6.9894007159573501</v>
      </c>
      <c r="AG544">
        <v>2083.1301625776373</v>
      </c>
      <c r="AH544">
        <v>9.7073725091265963</v>
      </c>
      <c r="AI544">
        <v>1872.1767409733145</v>
      </c>
      <c r="AJ544">
        <v>6.9866295714108446</v>
      </c>
    </row>
    <row r="545" spans="4:36" x14ac:dyDescent="0.55000000000000004">
      <c r="D545">
        <v>538</v>
      </c>
      <c r="E545">
        <v>12.227207493892598</v>
      </c>
      <c r="F545">
        <v>0.43852292738223531</v>
      </c>
      <c r="G545">
        <v>0.16408198428820631</v>
      </c>
      <c r="H545">
        <v>17.17018759443696</v>
      </c>
      <c r="I545">
        <v>12.433463705718372</v>
      </c>
      <c r="J545">
        <v>0.2852226704179745</v>
      </c>
      <c r="K545">
        <v>0.10640426308594809</v>
      </c>
      <c r="L545">
        <v>17.174909360777704</v>
      </c>
      <c r="M545">
        <v>12.319817566324664</v>
      </c>
      <c r="N545">
        <v>0.36972029824962477</v>
      </c>
      <c r="O545">
        <v>0.13815254161911936</v>
      </c>
      <c r="P545">
        <v>17.172309593806592</v>
      </c>
      <c r="Q545">
        <v>12.309905766713046</v>
      </c>
      <c r="R545">
        <v>0.37708639663131494</v>
      </c>
      <c r="S545">
        <v>0.14092520584191465</v>
      </c>
      <c r="T545">
        <v>17.172082630813719</v>
      </c>
      <c r="U545">
        <v>1531.9897853346401</v>
      </c>
      <c r="V545">
        <v>9.6185308077513358</v>
      </c>
      <c r="W545">
        <v>1280.1605858713767</v>
      </c>
      <c r="X545">
        <v>6.9368360106180376</v>
      </c>
      <c r="Y545">
        <v>2907.6440804653475</v>
      </c>
      <c r="Z545">
        <v>9.6516083873472507</v>
      </c>
      <c r="AA545">
        <v>2738.253042498276</v>
      </c>
      <c r="AB545">
        <v>6.9562509134275228</v>
      </c>
      <c r="AC545">
        <v>2232.7337213449073</v>
      </c>
      <c r="AD545">
        <v>9.6333818147529104</v>
      </c>
      <c r="AE545">
        <v>2024.9530018420849</v>
      </c>
      <c r="AF545">
        <v>6.9455612688210921</v>
      </c>
      <c r="AG545">
        <v>2105.1219722299797</v>
      </c>
      <c r="AH545">
        <v>9.6317922750658234</v>
      </c>
      <c r="AI545">
        <v>1890.3161414747979</v>
      </c>
      <c r="AJ545">
        <v>6.9446280451801448</v>
      </c>
    </row>
    <row r="546" spans="4:36" x14ac:dyDescent="0.55000000000000004">
      <c r="D546">
        <v>539</v>
      </c>
      <c r="E546">
        <v>12.040757528102688</v>
      </c>
      <c r="F546">
        <v>0.45899930002576539</v>
      </c>
      <c r="G546">
        <v>0.17318005273032122</v>
      </c>
      <c r="H546">
        <v>17.327063119141219</v>
      </c>
      <c r="I546">
        <v>12.287940774566279</v>
      </c>
      <c r="J546">
        <v>0.27337541979089824</v>
      </c>
      <c r="K546">
        <v>0.10274602783873008</v>
      </c>
      <c r="L546">
        <v>17.335937777804073</v>
      </c>
      <c r="M546">
        <v>12.196670352041343</v>
      </c>
      <c r="N546">
        <v>0.34195536369474289</v>
      </c>
      <c r="O546">
        <v>0.12870403009012502</v>
      </c>
      <c r="P546">
        <v>17.332670254173784</v>
      </c>
      <c r="Q546">
        <v>12.155676790881468</v>
      </c>
      <c r="R546">
        <v>0.37274252494533938</v>
      </c>
      <c r="S546">
        <v>0.14038157148966063</v>
      </c>
      <c r="T546">
        <v>17.331199112683546</v>
      </c>
      <c r="U546">
        <v>1534.4003764015754</v>
      </c>
      <c r="V546">
        <v>9.4953629267671182</v>
      </c>
      <c r="W546">
        <v>1280.2531055171578</v>
      </c>
      <c r="X546">
        <v>6.8662052581801989</v>
      </c>
      <c r="Y546">
        <v>2871.6934015869965</v>
      </c>
      <c r="Z546">
        <v>9.5376929694360513</v>
      </c>
      <c r="AA546">
        <v>2713.2571261720968</v>
      </c>
      <c r="AB546">
        <v>6.8914423985147213</v>
      </c>
      <c r="AC546">
        <v>2213.3949352013715</v>
      </c>
      <c r="AD546">
        <v>9.522057753301052</v>
      </c>
      <c r="AE546">
        <v>2013.2876942896801</v>
      </c>
      <c r="AF546">
        <v>6.8821343040679555</v>
      </c>
      <c r="AG546">
        <v>2133.1251791017862</v>
      </c>
      <c r="AH546">
        <v>9.515037256978232</v>
      </c>
      <c r="AI546">
        <v>1911.0966698731459</v>
      </c>
      <c r="AJ546">
        <v>6.8779496449748665</v>
      </c>
    </row>
    <row r="547" spans="4:36" x14ac:dyDescent="0.55000000000000004">
      <c r="D547">
        <v>540</v>
      </c>
      <c r="E547">
        <v>12.747124114696703</v>
      </c>
      <c r="F547">
        <v>0.44664450331372491</v>
      </c>
      <c r="G547">
        <v>0.16833108347723036</v>
      </c>
      <c r="H547">
        <v>16.637900298512339</v>
      </c>
      <c r="I547">
        <v>12.977704496914699</v>
      </c>
      <c r="J547">
        <v>0.28665839479771976</v>
      </c>
      <c r="K547">
        <v>0.10767539113770852</v>
      </c>
      <c r="L547">
        <v>16.627961717149887</v>
      </c>
      <c r="M547">
        <v>12.860478891487512</v>
      </c>
      <c r="N547">
        <v>0.36803632335782344</v>
      </c>
      <c r="O547">
        <v>0.13847686384211552</v>
      </c>
      <c r="P547">
        <v>16.633007921312561</v>
      </c>
      <c r="Q547">
        <v>12.844662017222442</v>
      </c>
      <c r="R547">
        <v>0.37900975682190263</v>
      </c>
      <c r="S547">
        <v>0.14263840968390673</v>
      </c>
      <c r="T547">
        <v>16.633689816271744</v>
      </c>
      <c r="U547">
        <v>1541.2668225632826</v>
      </c>
      <c r="V547">
        <v>10.109226017204435</v>
      </c>
      <c r="W547">
        <v>1286.3611712034485</v>
      </c>
      <c r="X547">
        <v>7.2343916039789038</v>
      </c>
      <c r="Y547">
        <v>2899.7939044302584</v>
      </c>
      <c r="Z547">
        <v>10.156836886120175</v>
      </c>
      <c r="AA547">
        <v>2732.4171366110932</v>
      </c>
      <c r="AB547">
        <v>7.2615052891172267</v>
      </c>
      <c r="AC547">
        <v>2233.1538166327446</v>
      </c>
      <c r="AD547">
        <v>10.132635772350508</v>
      </c>
      <c r="AE547">
        <v>2025.5292017279282</v>
      </c>
      <c r="AF547">
        <v>7.2477344297411239</v>
      </c>
      <c r="AG547">
        <v>2128.2120178863088</v>
      </c>
      <c r="AH547">
        <v>10.129369770501826</v>
      </c>
      <c r="AI547">
        <v>1906.889520702746</v>
      </c>
      <c r="AJ547">
        <v>7.2458742330544794</v>
      </c>
    </row>
    <row r="548" spans="4:36" x14ac:dyDescent="0.55000000000000004">
      <c r="D548">
        <v>541</v>
      </c>
      <c r="E548">
        <v>11.614613878022016</v>
      </c>
      <c r="F548">
        <v>0.37861497625456114</v>
      </c>
      <c r="G548">
        <v>0.14298824392748277</v>
      </c>
      <c r="H548">
        <v>17.863782901795936</v>
      </c>
      <c r="I548">
        <v>11.787253792180572</v>
      </c>
      <c r="J548">
        <v>0.25177930422051925</v>
      </c>
      <c r="K548">
        <v>9.4825279901211743E-2</v>
      </c>
      <c r="L548">
        <v>17.8661416236977</v>
      </c>
      <c r="M548">
        <v>11.695681784732672</v>
      </c>
      <c r="N548">
        <v>0.31907799897283629</v>
      </c>
      <c r="O548">
        <v>0.12034689005220124</v>
      </c>
      <c r="P548">
        <v>17.864893326242278</v>
      </c>
      <c r="Q548">
        <v>11.662622072095886</v>
      </c>
      <c r="R548">
        <v>0.34336212245516678</v>
      </c>
      <c r="S548">
        <v>0.12957470658609505</v>
      </c>
      <c r="T548">
        <v>17.864441098862866</v>
      </c>
      <c r="U548">
        <v>1479.4266616103912</v>
      </c>
      <c r="V548">
        <v>9.1473677411251391</v>
      </c>
      <c r="W548">
        <v>1253.60086468859</v>
      </c>
      <c r="X548">
        <v>6.6685599151312775</v>
      </c>
      <c r="Y548">
        <v>2855.6756550418895</v>
      </c>
      <c r="Z548">
        <v>9.1773283255465987</v>
      </c>
      <c r="AA548">
        <v>2707.7462005577859</v>
      </c>
      <c r="AB548">
        <v>6.6863797988848734</v>
      </c>
      <c r="AC548">
        <v>2167.4912999426706</v>
      </c>
      <c r="AD548">
        <v>9.1614351790120878</v>
      </c>
      <c r="AE548">
        <v>1987.154110522815</v>
      </c>
      <c r="AF548">
        <v>6.6769341821812844</v>
      </c>
      <c r="AG548">
        <v>2074.5947159984935</v>
      </c>
      <c r="AH548">
        <v>9.1556981397638602</v>
      </c>
      <c r="AI548">
        <v>1876.8120796951778</v>
      </c>
      <c r="AJ548">
        <v>6.6735205191093065</v>
      </c>
    </row>
    <row r="549" spans="4:36" x14ac:dyDescent="0.55000000000000004">
      <c r="D549">
        <v>542</v>
      </c>
      <c r="E549">
        <v>13.381298554653815</v>
      </c>
      <c r="F549">
        <v>0.49636717114645562</v>
      </c>
      <c r="G549">
        <v>0.17513997892480962</v>
      </c>
      <c r="H549">
        <v>15.947194295274929</v>
      </c>
      <c r="I549">
        <v>13.6377285718771</v>
      </c>
      <c r="J549">
        <v>0.31426798768959097</v>
      </c>
      <c r="K549">
        <v>0.11050218498148597</v>
      </c>
      <c r="L549">
        <v>15.937501255451831</v>
      </c>
      <c r="M549">
        <v>13.506996334726804</v>
      </c>
      <c r="N549">
        <v>0.40715358634927712</v>
      </c>
      <c r="O549">
        <v>0.14341565470001155</v>
      </c>
      <c r="P549">
        <v>15.942434424223915</v>
      </c>
      <c r="Q549">
        <v>13.504913722208096</v>
      </c>
      <c r="R549">
        <v>0.4086324761225667</v>
      </c>
      <c r="S549">
        <v>0.14394064782608423</v>
      </c>
      <c r="T549">
        <v>15.942513153843256</v>
      </c>
      <c r="U549">
        <v>1597.0654821257165</v>
      </c>
      <c r="V549">
        <v>10.644276555910912</v>
      </c>
      <c r="W549">
        <v>1319.0322747414407</v>
      </c>
      <c r="X549">
        <v>7.5447958206309318</v>
      </c>
      <c r="Y549">
        <v>2918.3454778802693</v>
      </c>
      <c r="Z549">
        <v>10.701949437470022</v>
      </c>
      <c r="AA549">
        <v>2741.2408689711947</v>
      </c>
      <c r="AB549">
        <v>7.5774088764052934</v>
      </c>
      <c r="AC549">
        <v>2274.976302550951</v>
      </c>
      <c r="AD549">
        <v>10.672551365861255</v>
      </c>
      <c r="AE549">
        <v>2049.6279060891252</v>
      </c>
      <c r="AF549">
        <v>7.5607988408317128</v>
      </c>
      <c r="AG549">
        <v>2121.5094876958865</v>
      </c>
      <c r="AH549">
        <v>10.672082968220645</v>
      </c>
      <c r="AI549">
        <v>1896.7712884722523</v>
      </c>
      <c r="AJ549">
        <v>7.5605339583516153</v>
      </c>
    </row>
    <row r="550" spans="4:36" x14ac:dyDescent="0.55000000000000004">
      <c r="D550">
        <v>543</v>
      </c>
      <c r="E550">
        <v>11.876953309239276</v>
      </c>
      <c r="F550">
        <v>0.45244239767426708</v>
      </c>
      <c r="G550">
        <v>0.13519501960554403</v>
      </c>
      <c r="H550">
        <v>17.535409273480912</v>
      </c>
      <c r="I550">
        <v>12.084712299973885</v>
      </c>
      <c r="J550">
        <v>0.291520834167665</v>
      </c>
      <c r="K550">
        <v>8.6846069965469855E-2</v>
      </c>
      <c r="L550">
        <v>17.536920795892996</v>
      </c>
      <c r="M550">
        <v>12.011590245881825</v>
      </c>
      <c r="N550">
        <v>0.34818385228509269</v>
      </c>
      <c r="O550">
        <v>0.10383662853111369</v>
      </c>
      <c r="P550">
        <v>17.536389273301978</v>
      </c>
      <c r="Q550">
        <v>11.98405776048552</v>
      </c>
      <c r="R550">
        <v>0.3695118524542555</v>
      </c>
      <c r="S550">
        <v>0.11024137791404486</v>
      </c>
      <c r="T550">
        <v>17.53618900914617</v>
      </c>
      <c r="U550">
        <v>1471.764292317549</v>
      </c>
      <c r="V550">
        <v>9.3894896841664313</v>
      </c>
      <c r="W550">
        <v>1241.4449313467542</v>
      </c>
      <c r="X550">
        <v>6.8115732921423433</v>
      </c>
      <c r="Y550">
        <v>2883.0700414280523</v>
      </c>
      <c r="Z550">
        <v>9.4279926167739596</v>
      </c>
      <c r="AA550">
        <v>2724.0320371906296</v>
      </c>
      <c r="AB550">
        <v>6.8342226454358936</v>
      </c>
      <c r="AC550">
        <v>2216.5792303024732</v>
      </c>
      <c r="AD550">
        <v>9.41444079451961</v>
      </c>
      <c r="AE550">
        <v>2020.020775508744</v>
      </c>
      <c r="AF550">
        <v>6.8262602052524137</v>
      </c>
      <c r="AG550">
        <v>2074.5894260647474</v>
      </c>
      <c r="AH550">
        <v>9.4093382910809567</v>
      </c>
      <c r="AI550">
        <v>1873.994308070095</v>
      </c>
      <c r="AJ550">
        <v>6.8232595663415045</v>
      </c>
    </row>
    <row r="551" spans="4:36" x14ac:dyDescent="0.55000000000000004">
      <c r="D551">
        <v>544</v>
      </c>
      <c r="E551">
        <v>13.123974137118136</v>
      </c>
      <c r="F551">
        <v>0.46201599949085836</v>
      </c>
      <c r="G551">
        <v>0.16316103219727676</v>
      </c>
      <c r="H551">
        <v>16.250848831193732</v>
      </c>
      <c r="I551">
        <v>13.333823086241939</v>
      </c>
      <c r="J551">
        <v>0.31271005077802227</v>
      </c>
      <c r="K551">
        <v>0.11011947582485382</v>
      </c>
      <c r="L551">
        <v>16.243347387155179</v>
      </c>
      <c r="M551">
        <v>13.20806242717873</v>
      </c>
      <c r="N551">
        <v>0.40221931091215501</v>
      </c>
      <c r="O551">
        <v>0.14188113466758404</v>
      </c>
      <c r="P551">
        <v>16.247837127241532</v>
      </c>
      <c r="Q551">
        <v>13.210423978274619</v>
      </c>
      <c r="R551">
        <v>0.40053935894296516</v>
      </c>
      <c r="S551">
        <v>0.1412840040620908</v>
      </c>
      <c r="T551">
        <v>16.247752658720319</v>
      </c>
      <c r="U551">
        <v>1572.7967625752033</v>
      </c>
      <c r="V551">
        <v>10.318473587835888</v>
      </c>
      <c r="W551">
        <v>1303.0673686587359</v>
      </c>
      <c r="X551">
        <v>7.3420367318722501</v>
      </c>
      <c r="Y551">
        <v>2923.8572477582511</v>
      </c>
      <c r="Z551">
        <v>10.359014325090454</v>
      </c>
      <c r="AA551">
        <v>2744.6063696125593</v>
      </c>
      <c r="AB551">
        <v>7.3649568218009209</v>
      </c>
      <c r="AC551">
        <v>2273.58880487951</v>
      </c>
      <c r="AD551">
        <v>10.334722043168599</v>
      </c>
      <c r="AE551">
        <v>2048.0765815901773</v>
      </c>
      <c r="AF551">
        <v>7.3512308172663632</v>
      </c>
      <c r="AG551">
        <v>2168.7493482509121</v>
      </c>
      <c r="AH551">
        <v>10.335178301227648</v>
      </c>
      <c r="AI551">
        <v>1930.2342217451369</v>
      </c>
      <c r="AJ551">
        <v>7.3514888352916348</v>
      </c>
    </row>
    <row r="552" spans="4:36" x14ac:dyDescent="0.55000000000000004">
      <c r="D552">
        <v>545</v>
      </c>
      <c r="E552">
        <v>11.906137551871478</v>
      </c>
      <c r="F552">
        <v>0.42779511927825203</v>
      </c>
      <c r="G552">
        <v>0.16386574591473957</v>
      </c>
      <c r="H552">
        <v>17.50220158293552</v>
      </c>
      <c r="I552">
        <v>12.119227393021811</v>
      </c>
      <c r="J552">
        <v>0.26902469894972098</v>
      </c>
      <c r="K552">
        <v>0.10270792931444024</v>
      </c>
      <c r="L552">
        <v>17.509039978714007</v>
      </c>
      <c r="M552">
        <v>12.02909526734838</v>
      </c>
      <c r="N552">
        <v>0.33621275439464549</v>
      </c>
      <c r="O552">
        <v>0.12853836636718829</v>
      </c>
      <c r="P552">
        <v>17.506153611889779</v>
      </c>
      <c r="Q552">
        <v>11.997276870566175</v>
      </c>
      <c r="R552">
        <v>0.35992035046290283</v>
      </c>
      <c r="S552">
        <v>0.13767024437416175</v>
      </c>
      <c r="T552">
        <v>17.505132534596768</v>
      </c>
      <c r="U552">
        <v>1487.6513300710926</v>
      </c>
      <c r="V552">
        <v>9.4288726075226084</v>
      </c>
      <c r="W552">
        <v>1253.6006621908182</v>
      </c>
      <c r="X552">
        <v>6.8357318722201015</v>
      </c>
      <c r="Y552">
        <v>2854.4696681820019</v>
      </c>
      <c r="Z552">
        <v>9.4650682091340634</v>
      </c>
      <c r="AA552">
        <v>2704.1013504216221</v>
      </c>
      <c r="AB552">
        <v>6.857325472536175</v>
      </c>
      <c r="AC552">
        <v>2177.170682576992</v>
      </c>
      <c r="AD552">
        <v>9.4497547340770254</v>
      </c>
      <c r="AE552">
        <v>1991.1723738169323</v>
      </c>
      <c r="AF552">
        <v>6.8482003479433908</v>
      </c>
      <c r="AG552">
        <v>2069.6192291014286</v>
      </c>
      <c r="AH552">
        <v>9.4443500218513492</v>
      </c>
      <c r="AI552">
        <v>1870.001405658315</v>
      </c>
      <c r="AJ552">
        <v>6.8449760474970365</v>
      </c>
    </row>
    <row r="553" spans="4:36" x14ac:dyDescent="0.55000000000000004">
      <c r="D553">
        <v>546</v>
      </c>
      <c r="E553">
        <v>13.381998455673916</v>
      </c>
      <c r="F553">
        <v>0.47938641070789145</v>
      </c>
      <c r="G553">
        <v>0.16429222756972539</v>
      </c>
      <c r="H553">
        <v>15.974322906048476</v>
      </c>
      <c r="I553">
        <v>13.610155472521019</v>
      </c>
      <c r="J553">
        <v>0.31829598411630527</v>
      </c>
      <c r="K553">
        <v>0.10873136495285522</v>
      </c>
      <c r="L553">
        <v>15.962817178409818</v>
      </c>
      <c r="M553">
        <v>13.504429191373351</v>
      </c>
      <c r="N553">
        <v>0.39298265404017529</v>
      </c>
      <c r="O553">
        <v>0.13444566980315042</v>
      </c>
      <c r="P553">
        <v>15.968142484783334</v>
      </c>
      <c r="Q553">
        <v>13.473311982324008</v>
      </c>
      <c r="R553">
        <v>0.41495168631545892</v>
      </c>
      <c r="S553">
        <v>0.14202442322694001</v>
      </c>
      <c r="T553">
        <v>15.969711908133609</v>
      </c>
      <c r="U553">
        <v>1570.4717908781479</v>
      </c>
      <c r="V553">
        <v>10.525982131381838</v>
      </c>
      <c r="W553">
        <v>1299.5688885732873</v>
      </c>
      <c r="X553">
        <v>7.4614566756147349</v>
      </c>
      <c r="Y553">
        <v>2915.989218592033</v>
      </c>
      <c r="Z553">
        <v>10.574464566430644</v>
      </c>
      <c r="AA553">
        <v>2738.2340021901855</v>
      </c>
      <c r="AB553">
        <v>7.4888501943506904</v>
      </c>
      <c r="AC553">
        <v>2252.2263715881786</v>
      </c>
      <c r="AD553">
        <v>10.552001543586643</v>
      </c>
      <c r="AE553">
        <v>2033.0635923443856</v>
      </c>
      <c r="AF553">
        <v>7.4761686627690933</v>
      </c>
      <c r="AG553">
        <v>2151.7307155156109</v>
      </c>
      <c r="AH553">
        <v>10.545389149964752</v>
      </c>
      <c r="AI553">
        <v>1916.5051612877323</v>
      </c>
      <c r="AJ553">
        <v>7.4724321816875143</v>
      </c>
    </row>
    <row r="554" spans="4:36" x14ac:dyDescent="0.55000000000000004">
      <c r="D554">
        <v>547</v>
      </c>
      <c r="E554">
        <v>12.222342927774752</v>
      </c>
      <c r="F554">
        <v>0.47527092732657195</v>
      </c>
      <c r="G554">
        <v>0.18352506412871478</v>
      </c>
      <c r="H554">
        <v>17.118861080769943</v>
      </c>
      <c r="I554">
        <v>12.451440722668812</v>
      </c>
      <c r="J554">
        <v>0.29814483254616186</v>
      </c>
      <c r="K554">
        <v>0.11473124324123218</v>
      </c>
      <c r="L554">
        <v>17.135683201543809</v>
      </c>
      <c r="M554">
        <v>12.383517020997079</v>
      </c>
      <c r="N554">
        <v>0.35068799097384823</v>
      </c>
      <c r="O554">
        <v>0.13508824287905624</v>
      </c>
      <c r="P554">
        <v>17.130706745150015</v>
      </c>
      <c r="Q554">
        <v>12.295266619650754</v>
      </c>
      <c r="R554">
        <v>0.41891968872485835</v>
      </c>
      <c r="S554">
        <v>0.16158648400545869</v>
      </c>
      <c r="T554">
        <v>17.124227207618929</v>
      </c>
      <c r="U554">
        <v>1524.2548237516585</v>
      </c>
      <c r="V554">
        <v>9.7730893417877098</v>
      </c>
      <c r="W554">
        <v>1271.3432640722165</v>
      </c>
      <c r="X554">
        <v>7.0423550528976664</v>
      </c>
      <c r="Y554">
        <v>2902.0102455707911</v>
      </c>
      <c r="Z554">
        <v>9.8034444405804297</v>
      </c>
      <c r="AA554">
        <v>2732.9932452922712</v>
      </c>
      <c r="AB554">
        <v>7.0608663330787724</v>
      </c>
      <c r="AC554">
        <v>2203.4856379288967</v>
      </c>
      <c r="AD554">
        <v>9.7944378764428084</v>
      </c>
      <c r="AE554">
        <v>2005.1718797906587</v>
      </c>
      <c r="AF554">
        <v>7.0553829815582301</v>
      </c>
      <c r="AG554">
        <v>2131.6423872496694</v>
      </c>
      <c r="AH554">
        <v>9.7827445382275098</v>
      </c>
      <c r="AI554">
        <v>1905.9620877250111</v>
      </c>
      <c r="AJ554">
        <v>7.048252502230711</v>
      </c>
    </row>
    <row r="555" spans="4:36" x14ac:dyDescent="0.55000000000000004">
      <c r="D555">
        <v>548</v>
      </c>
      <c r="E555">
        <v>14.996095991789097</v>
      </c>
      <c r="F555">
        <v>0.53454564176408115</v>
      </c>
      <c r="G555">
        <v>0.17663084975528348</v>
      </c>
      <c r="H555">
        <v>14.292727516691535</v>
      </c>
      <c r="I555">
        <v>15.284728257618967</v>
      </c>
      <c r="J555">
        <v>0.34394990210964926</v>
      </c>
      <c r="K555">
        <v>0.11324593240478574</v>
      </c>
      <c r="L555">
        <v>14.258075907866614</v>
      </c>
      <c r="M555">
        <v>15.164924980100222</v>
      </c>
      <c r="N555">
        <v>0.42312250460096046</v>
      </c>
      <c r="O555">
        <v>0.13951971345568351</v>
      </c>
      <c r="P555">
        <v>14.27243280184314</v>
      </c>
      <c r="Q555">
        <v>15.152665129932384</v>
      </c>
      <c r="R555">
        <v>0.4312195838432773</v>
      </c>
      <c r="S555">
        <v>0.14221122502500219</v>
      </c>
      <c r="T555">
        <v>14.273904061199337</v>
      </c>
      <c r="U555">
        <v>1660.1907564399739</v>
      </c>
      <c r="V555">
        <v>11.795408971707145</v>
      </c>
      <c r="W555">
        <v>1344.8859250034425</v>
      </c>
      <c r="X555">
        <v>8.1799931050632821</v>
      </c>
      <c r="Y555">
        <v>2994.9554785711098</v>
      </c>
      <c r="Z555">
        <v>11.868777567079723</v>
      </c>
      <c r="AA555">
        <v>2782.6413863277553</v>
      </c>
      <c r="AB555">
        <v>8.2198382251221673</v>
      </c>
      <c r="AC555">
        <v>2349.9501526995682</v>
      </c>
      <c r="AD555">
        <v>11.838338799901649</v>
      </c>
      <c r="AE555">
        <v>2088.2289427179885</v>
      </c>
      <c r="AF555">
        <v>8.2033215865613336</v>
      </c>
      <c r="AG555">
        <v>2269.3925314984758</v>
      </c>
      <c r="AH555">
        <v>11.835222748811468</v>
      </c>
      <c r="AI555">
        <v>1985.7282106481064</v>
      </c>
      <c r="AJ555">
        <v>8.2016296383553602</v>
      </c>
    </row>
    <row r="556" spans="4:36" x14ac:dyDescent="0.55000000000000004">
      <c r="D556">
        <v>549</v>
      </c>
      <c r="E556">
        <v>12.832180358310188</v>
      </c>
      <c r="F556">
        <v>0.46374560931981745</v>
      </c>
      <c r="G556">
        <v>0.16189010027372375</v>
      </c>
      <c r="H556">
        <v>16.542183932096272</v>
      </c>
      <c r="I556">
        <v>13.062786931109438</v>
      </c>
      <c r="J556">
        <v>0.30216497881963594</v>
      </c>
      <c r="K556">
        <v>0.10513274058616302</v>
      </c>
      <c r="L556">
        <v>16.529915349484767</v>
      </c>
      <c r="M556">
        <v>12.975386297982778</v>
      </c>
      <c r="N556">
        <v>0.36344332118198464</v>
      </c>
      <c r="O556">
        <v>0.12661241651087726</v>
      </c>
      <c r="P556">
        <v>16.53455796432435</v>
      </c>
      <c r="Q556">
        <v>12.957892756710661</v>
      </c>
      <c r="R556">
        <v>0.37570273718215785</v>
      </c>
      <c r="S556">
        <v>0.13091625291791201</v>
      </c>
      <c r="T556">
        <v>16.535488253189289</v>
      </c>
      <c r="U556">
        <v>1572.3026704275703</v>
      </c>
      <c r="V556">
        <v>10.178020603405207</v>
      </c>
      <c r="W556">
        <v>1305.059981933668</v>
      </c>
      <c r="X556">
        <v>7.2748131057297032</v>
      </c>
      <c r="Y556">
        <v>2918.7787440995298</v>
      </c>
      <c r="Z556">
        <v>10.229727686892694</v>
      </c>
      <c r="AA556">
        <v>2743.3477938590763</v>
      </c>
      <c r="AB556">
        <v>7.3042025234307992</v>
      </c>
      <c r="AC556">
        <v>2209.2230854432278</v>
      </c>
      <c r="AD556">
        <v>10.210134693290977</v>
      </c>
      <c r="AE556">
        <v>2006.7532731715655</v>
      </c>
      <c r="AF556">
        <v>7.2930775933857079</v>
      </c>
      <c r="AG556">
        <v>2138.7294058127823</v>
      </c>
      <c r="AH556">
        <v>10.206212480606784</v>
      </c>
      <c r="AI556">
        <v>1912.663308622477</v>
      </c>
      <c r="AJ556">
        <v>7.2908488948545305</v>
      </c>
    </row>
    <row r="557" spans="4:36" x14ac:dyDescent="0.55000000000000004">
      <c r="D557">
        <v>550</v>
      </c>
      <c r="E557">
        <v>11.628724967323532</v>
      </c>
      <c r="F557">
        <v>0.43258907450328937</v>
      </c>
      <c r="G557">
        <v>0.16807726244844176</v>
      </c>
      <c r="H557">
        <v>17.77060869572475</v>
      </c>
      <c r="I557">
        <v>11.814107637320287</v>
      </c>
      <c r="J557">
        <v>0.28824110570454531</v>
      </c>
      <c r="K557">
        <v>0.1116702874120459</v>
      </c>
      <c r="L557">
        <v>17.785980969563113</v>
      </c>
      <c r="M557">
        <v>11.740547350653852</v>
      </c>
      <c r="N557">
        <v>0.34554013415936402</v>
      </c>
      <c r="O557">
        <v>0.13402165877585601</v>
      </c>
      <c r="P557">
        <v>17.779890856410937</v>
      </c>
      <c r="Q557">
        <v>11.717151664776418</v>
      </c>
      <c r="R557">
        <v>0.3637580789188482</v>
      </c>
      <c r="S557">
        <v>0.14113899601673055</v>
      </c>
      <c r="T557">
        <v>17.777951260287999</v>
      </c>
      <c r="U557">
        <v>1496.0850695300555</v>
      </c>
      <c r="V557">
        <v>9.2001207889522298</v>
      </c>
      <c r="W557">
        <v>1259.5269489844306</v>
      </c>
      <c r="X557">
        <v>6.6977983332752169</v>
      </c>
      <c r="Y557">
        <v>2848.356796615984</v>
      </c>
      <c r="Z557">
        <v>9.2260912167639155</v>
      </c>
      <c r="AA557">
        <v>2698.1418593104991</v>
      </c>
      <c r="AB557">
        <v>6.7138222926634343</v>
      </c>
      <c r="AC557">
        <v>2180.8419579990596</v>
      </c>
      <c r="AD557">
        <v>9.2157804589156171</v>
      </c>
      <c r="AE557">
        <v>1993.2229397624806</v>
      </c>
      <c r="AF557">
        <v>6.7074683564872579</v>
      </c>
      <c r="AG557">
        <v>2091.2985492611983</v>
      </c>
      <c r="AH557">
        <v>9.2125026921512774</v>
      </c>
      <c r="AI557">
        <v>1885.7206485110494</v>
      </c>
      <c r="AJ557">
        <v>6.7054462909700767</v>
      </c>
    </row>
    <row r="558" spans="4:36" x14ac:dyDescent="0.55000000000000004">
      <c r="D558">
        <v>551</v>
      </c>
      <c r="E558">
        <v>12.88703274153843</v>
      </c>
      <c r="F558">
        <v>0.44606739279642882</v>
      </c>
      <c r="G558">
        <v>0.14846722866604578</v>
      </c>
      <c r="H558">
        <v>16.518432636999087</v>
      </c>
      <c r="I558">
        <v>13.110960105135398</v>
      </c>
      <c r="J558">
        <v>0.28362591761330613</v>
      </c>
      <c r="K558">
        <v>9.4104043155644509E-2</v>
      </c>
      <c r="L558">
        <v>16.511309934095632</v>
      </c>
      <c r="M558">
        <v>12.989678838184634</v>
      </c>
      <c r="N558">
        <v>0.37164190505904465</v>
      </c>
      <c r="O558">
        <v>0.12351662002153151</v>
      </c>
      <c r="P558">
        <v>16.515162636734797</v>
      </c>
      <c r="Q558">
        <v>12.936226424845042</v>
      </c>
      <c r="R558">
        <v>0.41040625435265338</v>
      </c>
      <c r="S558">
        <v>0.13650291686816671</v>
      </c>
      <c r="T558">
        <v>16.516864403934129</v>
      </c>
      <c r="U558">
        <v>1549.7129842793165</v>
      </c>
      <c r="V558">
        <v>10.171641635257881</v>
      </c>
      <c r="W558">
        <v>1292.7633955020099</v>
      </c>
      <c r="X558">
        <v>7.2659260856541428</v>
      </c>
      <c r="Y558">
        <v>2894.4454818841159</v>
      </c>
      <c r="Z558">
        <v>10.217726186081364</v>
      </c>
      <c r="AA558">
        <v>2729.0116635192512</v>
      </c>
      <c r="AB558">
        <v>7.2922209516502665</v>
      </c>
      <c r="AC558">
        <v>2223.9630322474341</v>
      </c>
      <c r="AD558">
        <v>10.192769104306718</v>
      </c>
      <c r="AE558">
        <v>2018.9684159276044</v>
      </c>
      <c r="AF558">
        <v>7.2779915600143328</v>
      </c>
      <c r="AG558">
        <v>2118.1729843510752</v>
      </c>
      <c r="AH558">
        <v>10.181767674243448</v>
      </c>
      <c r="AI558">
        <v>1897.7972975013101</v>
      </c>
      <c r="AJ558">
        <v>7.2717111181727789</v>
      </c>
    </row>
    <row r="559" spans="4:36" x14ac:dyDescent="0.55000000000000004">
      <c r="D559">
        <v>552</v>
      </c>
      <c r="E559">
        <v>11.333799243493413</v>
      </c>
      <c r="F559">
        <v>0.45750285707617949</v>
      </c>
      <c r="G559">
        <v>0.16386052702938939</v>
      </c>
      <c r="H559">
        <v>18.044837372401023</v>
      </c>
      <c r="I559">
        <v>11.5384352599277</v>
      </c>
      <c r="J559">
        <v>0.28768902153320619</v>
      </c>
      <c r="K559">
        <v>0.10270270906250924</v>
      </c>
      <c r="L559">
        <v>18.071173009476574</v>
      </c>
      <c r="M559">
        <v>11.485910359442254</v>
      </c>
      <c r="N559">
        <v>0.33129283033906681</v>
      </c>
      <c r="O559">
        <v>0.11836782640402393</v>
      </c>
      <c r="P559">
        <v>18.064428983814651</v>
      </c>
      <c r="Q559">
        <v>11.434520379528404</v>
      </c>
      <c r="R559">
        <v>0.37394323909667837</v>
      </c>
      <c r="S559">
        <v>0.13371612994418047</v>
      </c>
      <c r="T559">
        <v>18.057820251430748</v>
      </c>
      <c r="U559">
        <v>1481.4873188110073</v>
      </c>
      <c r="V559">
        <v>9.0643089338526242</v>
      </c>
      <c r="W559">
        <v>1249.1262362314556</v>
      </c>
      <c r="X559">
        <v>6.627623245187177</v>
      </c>
      <c r="Y559">
        <v>2855.6331568369933</v>
      </c>
      <c r="Z559">
        <v>9.0877319909580763</v>
      </c>
      <c r="AA559">
        <v>2705.0753729960575</v>
      </c>
      <c r="AB559">
        <v>6.6428992678661105</v>
      </c>
      <c r="AC559">
        <v>2160.6062487451622</v>
      </c>
      <c r="AD559">
        <v>9.0817101137683931</v>
      </c>
      <c r="AE559">
        <v>1981.4695970316877</v>
      </c>
      <c r="AF559">
        <v>6.6389804418795038</v>
      </c>
      <c r="AG559">
        <v>2085.1480579245617</v>
      </c>
      <c r="AH559">
        <v>9.075824854778098</v>
      </c>
      <c r="AI559">
        <v>1882.4775778108669</v>
      </c>
      <c r="AJ559">
        <v>6.6351448670763293</v>
      </c>
    </row>
    <row r="560" spans="4:36" x14ac:dyDescent="0.55000000000000004">
      <c r="D560">
        <v>553</v>
      </c>
      <c r="E560">
        <v>11.971135355732976</v>
      </c>
      <c r="F560">
        <v>0.42342358230331978</v>
      </c>
      <c r="G560">
        <v>0.16309108884037937</v>
      </c>
      <c r="H560">
        <v>17.442349973123321</v>
      </c>
      <c r="I560">
        <v>12.144574884683976</v>
      </c>
      <c r="J560">
        <v>0.29030787891194748</v>
      </c>
      <c r="K560">
        <v>0.11152661706427068</v>
      </c>
      <c r="L560">
        <v>17.45359061933981</v>
      </c>
      <c r="M560">
        <v>12.08102347748847</v>
      </c>
      <c r="N560">
        <v>0.33910249762368516</v>
      </c>
      <c r="O560">
        <v>0.1303962847372577</v>
      </c>
      <c r="P560">
        <v>17.449477740150581</v>
      </c>
      <c r="Q560">
        <v>12.005693812955917</v>
      </c>
      <c r="R560">
        <v>0.39691261103746961</v>
      </c>
      <c r="S560">
        <v>0.15279979716924103</v>
      </c>
      <c r="T560">
        <v>17.444593778837373</v>
      </c>
      <c r="U560">
        <v>1507.2761380993802</v>
      </c>
      <c r="V560">
        <v>9.4596761469613888</v>
      </c>
      <c r="W560">
        <v>1265.6718416747979</v>
      </c>
      <c r="X560">
        <v>6.8508502643648761</v>
      </c>
      <c r="Y560">
        <v>2881.0268509818206</v>
      </c>
      <c r="Z560">
        <v>9.4849267751945785</v>
      </c>
      <c r="AA560">
        <v>2720.0269909906856</v>
      </c>
      <c r="AB560">
        <v>6.8660257669757865</v>
      </c>
      <c r="AC560">
        <v>2194.8640021827532</v>
      </c>
      <c r="AD560">
        <v>9.4756717885490787</v>
      </c>
      <c r="AE560">
        <v>2001.7991046731731</v>
      </c>
      <c r="AF560">
        <v>6.8604694869369247</v>
      </c>
      <c r="AG560">
        <v>2088.9575030931487</v>
      </c>
      <c r="AH560">
        <v>9.4647055681355603</v>
      </c>
      <c r="AI560">
        <v>1878.8532700677299</v>
      </c>
      <c r="AJ560">
        <v>6.853877005556245</v>
      </c>
    </row>
    <row r="561" spans="4:36" x14ac:dyDescent="0.55000000000000004">
      <c r="D561">
        <v>554</v>
      </c>
      <c r="E561">
        <v>12.058612576046519</v>
      </c>
      <c r="F561">
        <v>0.47520304614305742</v>
      </c>
      <c r="G561">
        <v>0.15698973154302215</v>
      </c>
      <c r="H561">
        <v>17.309194646267397</v>
      </c>
      <c r="I561">
        <v>12.24590356754757</v>
      </c>
      <c r="J561">
        <v>0.32137797960041609</v>
      </c>
      <c r="K561">
        <v>0.10588121538436097</v>
      </c>
      <c r="L561">
        <v>17.326837237467668</v>
      </c>
      <c r="M561">
        <v>12.197605899325227</v>
      </c>
      <c r="N561">
        <v>0.36105991449383312</v>
      </c>
      <c r="O561">
        <v>0.11903846549326887</v>
      </c>
      <c r="P561">
        <v>17.32229572068767</v>
      </c>
      <c r="Q561">
        <v>12.114603186724322</v>
      </c>
      <c r="R561">
        <v>0.42923276996239768</v>
      </c>
      <c r="S561">
        <v>0.14168628442395323</v>
      </c>
      <c r="T561">
        <v>17.314477758889318</v>
      </c>
      <c r="U561">
        <v>1490.2291159528306</v>
      </c>
      <c r="V561">
        <v>9.555405508610944</v>
      </c>
      <c r="W561">
        <v>1252.1939144455887</v>
      </c>
      <c r="X561">
        <v>6.9059258088881554</v>
      </c>
      <c r="Y561">
        <v>2881.5622839209082</v>
      </c>
      <c r="Z561">
        <v>9.5799676746985067</v>
      </c>
      <c r="AA561">
        <v>2720.0135344121895</v>
      </c>
      <c r="AB561">
        <v>6.9210783947887657</v>
      </c>
      <c r="AC561">
        <v>2189.7486958155505</v>
      </c>
      <c r="AD561">
        <v>9.573628854109181</v>
      </c>
      <c r="AE561">
        <v>1998.6625772276584</v>
      </c>
      <c r="AF561">
        <v>6.9171738092389852</v>
      </c>
      <c r="AG561">
        <v>2116.283417763661</v>
      </c>
      <c r="AH561">
        <v>9.5627430337550372</v>
      </c>
      <c r="AI561">
        <v>1899.0111669654084</v>
      </c>
      <c r="AJ561">
        <v>6.9104588482415936</v>
      </c>
    </row>
    <row r="562" spans="4:36" x14ac:dyDescent="0.55000000000000004">
      <c r="D562">
        <v>555</v>
      </c>
      <c r="E562">
        <v>13.924648693278504</v>
      </c>
      <c r="F562">
        <v>0.50342189046204489</v>
      </c>
      <c r="G562">
        <v>0.17378435737499026</v>
      </c>
      <c r="H562">
        <v>15.398145058884467</v>
      </c>
      <c r="I562">
        <v>14.173523286397502</v>
      </c>
      <c r="J562">
        <v>0.3333549581889812</v>
      </c>
      <c r="K562">
        <v>0.11469243020382922</v>
      </c>
      <c r="L562">
        <v>15.378429325209673</v>
      </c>
      <c r="M562">
        <v>14.107659250996205</v>
      </c>
      <c r="N562">
        <v>0.37839956691902399</v>
      </c>
      <c r="O562">
        <v>0.1303047549944171</v>
      </c>
      <c r="P562">
        <v>15.383636427090366</v>
      </c>
      <c r="Q562">
        <v>14.031882735777582</v>
      </c>
      <c r="R562">
        <v>0.43019067991158311</v>
      </c>
      <c r="S562">
        <v>0.14828997290899826</v>
      </c>
      <c r="T562">
        <v>15.38963661140183</v>
      </c>
      <c r="U562">
        <v>1612.3290118162033</v>
      </c>
      <c r="V562">
        <v>11.068112156471244</v>
      </c>
      <c r="W562">
        <v>1325.7724882415337</v>
      </c>
      <c r="X562">
        <v>7.785383959911286</v>
      </c>
      <c r="Y562">
        <v>2936.9437856903132</v>
      </c>
      <c r="Z562">
        <v>11.126360032645911</v>
      </c>
      <c r="AA562">
        <v>2750.8222839176028</v>
      </c>
      <c r="AB562">
        <v>7.8177613561722685</v>
      </c>
      <c r="AC562">
        <v>2264.9187023436243</v>
      </c>
      <c r="AD562">
        <v>11.110950665684509</v>
      </c>
      <c r="AE562">
        <v>2041.4802612917686</v>
      </c>
      <c r="AF562">
        <v>7.8092054138221885</v>
      </c>
      <c r="AG562">
        <v>2169.2647739155427</v>
      </c>
      <c r="AH562">
        <v>11.093217069190761</v>
      </c>
      <c r="AI562">
        <v>1926.2618197050315</v>
      </c>
      <c r="AJ562">
        <v>7.7993505921498283</v>
      </c>
    </row>
    <row r="563" spans="4:36" x14ac:dyDescent="0.55000000000000004">
      <c r="D563">
        <v>556</v>
      </c>
      <c r="E563">
        <v>12.119061918016078</v>
      </c>
      <c r="F563">
        <v>0.43189753997442693</v>
      </c>
      <c r="G563">
        <v>0.15515204720593656</v>
      </c>
      <c r="H563">
        <v>17.293888494803568</v>
      </c>
      <c r="I563">
        <v>12.347920738714981</v>
      </c>
      <c r="J563">
        <v>0.26680439399033762</v>
      </c>
      <c r="K563">
        <v>9.5507131300695658E-2</v>
      </c>
      <c r="L563">
        <v>17.289767735994001</v>
      </c>
      <c r="M563">
        <v>12.249078480814804</v>
      </c>
      <c r="N563">
        <v>0.33814581893822376</v>
      </c>
      <c r="O563">
        <v>0.1212289825676495</v>
      </c>
      <c r="P563">
        <v>17.291546717679317</v>
      </c>
      <c r="Q563">
        <v>12.215496207726781</v>
      </c>
      <c r="R563">
        <v>0.3623710499743566</v>
      </c>
      <c r="S563">
        <v>0.12998134808360659</v>
      </c>
      <c r="T563">
        <v>17.292151394215256</v>
      </c>
      <c r="U563">
        <v>1504.7959889261783</v>
      </c>
      <c r="V563">
        <v>9.5288356836294472</v>
      </c>
      <c r="W563">
        <v>1263.7037110166075</v>
      </c>
      <c r="X563">
        <v>6.8869372824867581</v>
      </c>
      <c r="Y563">
        <v>2868.9034591183695</v>
      </c>
      <c r="Z563">
        <v>9.5750059161201211</v>
      </c>
      <c r="AA563">
        <v>2713.4234409518344</v>
      </c>
      <c r="AB563">
        <v>6.9138350299690003</v>
      </c>
      <c r="AC563">
        <v>2183.02446520383</v>
      </c>
      <c r="AD563">
        <v>9.5550657331548443</v>
      </c>
      <c r="AE563">
        <v>1993.6374229173441</v>
      </c>
      <c r="AF563">
        <v>6.9022309700719866</v>
      </c>
      <c r="AG563">
        <v>2082.2559309154153</v>
      </c>
      <c r="AH563">
        <v>9.5482908056394713</v>
      </c>
      <c r="AI563">
        <v>1877.2372035843387</v>
      </c>
      <c r="AJ563">
        <v>6.8982839894249741</v>
      </c>
    </row>
    <row r="564" spans="4:36" x14ac:dyDescent="0.55000000000000004">
      <c r="D564">
        <v>557</v>
      </c>
      <c r="E564">
        <v>13.727518065736817</v>
      </c>
      <c r="F564">
        <v>0.56383170333778898</v>
      </c>
      <c r="G564">
        <v>0.1808812686961927</v>
      </c>
      <c r="H564">
        <v>15.527768962229207</v>
      </c>
      <c r="I564">
        <v>13.985442300969233</v>
      </c>
      <c r="J564">
        <v>0.36359466235903082</v>
      </c>
      <c r="K564">
        <v>0.11624784912492399</v>
      </c>
      <c r="L564">
        <v>15.53471518754681</v>
      </c>
      <c r="M564">
        <v>13.892811886778611</v>
      </c>
      <c r="N564">
        <v>0.43554359039187623</v>
      </c>
      <c r="O564">
        <v>0.13942051470952246</v>
      </c>
      <c r="P564">
        <v>15.532224008119996</v>
      </c>
      <c r="Q564">
        <v>13.821725596415426</v>
      </c>
      <c r="R564">
        <v>0.49073111505942074</v>
      </c>
      <c r="S564">
        <v>0.15723369075713861</v>
      </c>
      <c r="T564">
        <v>15.530309597768012</v>
      </c>
      <c r="U564">
        <v>1616.0961006117536</v>
      </c>
      <c r="V564">
        <v>10.898982327322209</v>
      </c>
      <c r="W564">
        <v>1321.5498537168151</v>
      </c>
      <c r="X564">
        <v>7.6789780237913066</v>
      </c>
      <c r="Y564">
        <v>2970.3873106410429</v>
      </c>
      <c r="Z564">
        <v>10.942832983695491</v>
      </c>
      <c r="AA564">
        <v>2770.6669543204844</v>
      </c>
      <c r="AB564">
        <v>7.704174109260129</v>
      </c>
      <c r="AC564">
        <v>2279.6778806571606</v>
      </c>
      <c r="AD564">
        <v>10.927082570196276</v>
      </c>
      <c r="AE564">
        <v>2045.9880473805449</v>
      </c>
      <c r="AF564">
        <v>7.6951348346818369</v>
      </c>
      <c r="AG564">
        <v>2208.3060238252579</v>
      </c>
      <c r="AH564">
        <v>10.914996907328259</v>
      </c>
      <c r="AI564">
        <v>1947.4211410220098</v>
      </c>
      <c r="AJ564">
        <v>7.6881906621124454</v>
      </c>
    </row>
    <row r="565" spans="4:36" x14ac:dyDescent="0.55000000000000004">
      <c r="D565">
        <v>558</v>
      </c>
      <c r="E565">
        <v>11.831467343796772</v>
      </c>
      <c r="F565">
        <v>0.41160319015934094</v>
      </c>
      <c r="G565">
        <v>0.15046764668983195</v>
      </c>
      <c r="H565">
        <v>17.606461819354053</v>
      </c>
      <c r="I565">
        <v>11.998571408619078</v>
      </c>
      <c r="J565">
        <v>0.28381952878975458</v>
      </c>
      <c r="K565">
        <v>0.10349155301245237</v>
      </c>
      <c r="L565">
        <v>17.61411750957873</v>
      </c>
      <c r="M565">
        <v>11.92553349976963</v>
      </c>
      <c r="N565">
        <v>0.33968986229826187</v>
      </c>
      <c r="O565">
        <v>0.12400101595560549</v>
      </c>
      <c r="P565">
        <v>17.610775621976504</v>
      </c>
      <c r="Q565">
        <v>11.887787167246762</v>
      </c>
      <c r="R565">
        <v>0.36855261368227377</v>
      </c>
      <c r="S565">
        <v>0.13461428985856852</v>
      </c>
      <c r="T565">
        <v>17.609045929212407</v>
      </c>
      <c r="U565">
        <v>1465.8322053605352</v>
      </c>
      <c r="V565">
        <v>9.3714621862622121</v>
      </c>
      <c r="W565">
        <v>1240.9320429864742</v>
      </c>
      <c r="X565">
        <v>6.8048001928744357</v>
      </c>
      <c r="Y565">
        <v>2882.138311373958</v>
      </c>
      <c r="Z565">
        <v>9.3988722467219521</v>
      </c>
      <c r="AA565">
        <v>2724.4776730594804</v>
      </c>
      <c r="AB565">
        <v>6.8212024934111479</v>
      </c>
      <c r="AC565">
        <v>2184.8564205336056</v>
      </c>
      <c r="AD565">
        <v>9.3868896382782889</v>
      </c>
      <c r="AE565">
        <v>1998.175222996859</v>
      </c>
      <c r="AF565">
        <v>6.8140385008176985</v>
      </c>
      <c r="AG565">
        <v>2071.2090174422692</v>
      </c>
      <c r="AH565">
        <v>9.3806983114929974</v>
      </c>
      <c r="AI565">
        <v>1872.2879287277858</v>
      </c>
      <c r="AJ565">
        <v>6.8103330016966357</v>
      </c>
    </row>
    <row r="566" spans="4:36" x14ac:dyDescent="0.55000000000000004">
      <c r="D566">
        <v>559</v>
      </c>
      <c r="E566">
        <v>12.434784344490712</v>
      </c>
      <c r="F566">
        <v>0.50897187061877891</v>
      </c>
      <c r="G566">
        <v>0.17194386370676484</v>
      </c>
      <c r="H566">
        <v>16.884299921183736</v>
      </c>
      <c r="I566">
        <v>12.729709058326208</v>
      </c>
      <c r="J566">
        <v>0.28376411619610048</v>
      </c>
      <c r="K566">
        <v>9.5453964722073487E-2</v>
      </c>
      <c r="L566">
        <v>16.891072860755635</v>
      </c>
      <c r="M566">
        <v>12.620473959246143</v>
      </c>
      <c r="N566">
        <v>0.36723064505427927</v>
      </c>
      <c r="O566">
        <v>0.12372538150209432</v>
      </c>
      <c r="P566">
        <v>16.888570014197491</v>
      </c>
      <c r="Q566">
        <v>12.564119463014524</v>
      </c>
      <c r="R566">
        <v>0.41026665716958916</v>
      </c>
      <c r="S566">
        <v>0.13833771202166356</v>
      </c>
      <c r="T566">
        <v>16.887276167794219</v>
      </c>
      <c r="U566">
        <v>1588.2189187762688</v>
      </c>
      <c r="V566">
        <v>9.8271016504068633</v>
      </c>
      <c r="W566">
        <v>1314.2828628637201</v>
      </c>
      <c r="X566">
        <v>7.0604677994067693</v>
      </c>
      <c r="Y566">
        <v>2901.4535294662628</v>
      </c>
      <c r="Z566">
        <v>9.8833538331456179</v>
      </c>
      <c r="AA566">
        <v>2733.1828762579189</v>
      </c>
      <c r="AB566">
        <v>7.0935269817144224</v>
      </c>
      <c r="AC566">
        <v>2240.6952311333844</v>
      </c>
      <c r="AD566">
        <v>9.8625143714764967</v>
      </c>
      <c r="AE566">
        <v>2030.0661435273714</v>
      </c>
      <c r="AF566">
        <v>7.0812990531067186</v>
      </c>
      <c r="AG566">
        <v>2090.6763257297371</v>
      </c>
      <c r="AH566">
        <v>9.8517653828082992</v>
      </c>
      <c r="AI566">
        <v>1876.3657035903661</v>
      </c>
      <c r="AJ566">
        <v>7.0749830488164589</v>
      </c>
    </row>
    <row r="567" spans="4:36" x14ac:dyDescent="0.55000000000000004">
      <c r="D567">
        <v>560</v>
      </c>
      <c r="E567">
        <v>11.99427168887736</v>
      </c>
      <c r="F567">
        <v>0.43749300375032441</v>
      </c>
      <c r="G567">
        <v>0.17389108862024882</v>
      </c>
      <c r="H567">
        <v>17.394344218752082</v>
      </c>
      <c r="I567">
        <v>12.209797315216372</v>
      </c>
      <c r="J567">
        <v>0.27551755808075917</v>
      </c>
      <c r="K567">
        <v>0.10914953693871697</v>
      </c>
      <c r="L567">
        <v>17.405535589764149</v>
      </c>
      <c r="M567">
        <v>12.104419479345315</v>
      </c>
      <c r="N567">
        <v>0.35474542122670549</v>
      </c>
      <c r="O567">
        <v>0.14076275079268613</v>
      </c>
      <c r="P567">
        <v>17.40007234863527</v>
      </c>
      <c r="Q567">
        <v>12.101744035265423</v>
      </c>
      <c r="R567">
        <v>0.35675613493452618</v>
      </c>
      <c r="S567">
        <v>0.14156640101759349</v>
      </c>
      <c r="T567">
        <v>17.399933428782457</v>
      </c>
      <c r="U567">
        <v>1513.0271647918164</v>
      </c>
      <c r="V567">
        <v>9.557862300180382</v>
      </c>
      <c r="W567">
        <v>1270.8660076033423</v>
      </c>
      <c r="X567">
        <v>6.9171405410478037</v>
      </c>
      <c r="Y567">
        <v>2838.6239601174998</v>
      </c>
      <c r="Z567">
        <v>9.59027705170117</v>
      </c>
      <c r="AA567">
        <v>2691.766769856798</v>
      </c>
      <c r="AB567">
        <v>6.9365344719967466</v>
      </c>
      <c r="AC567">
        <v>2209.8771492386413</v>
      </c>
      <c r="AD567">
        <v>9.5744243276657688</v>
      </c>
      <c r="AE567">
        <v>2013.1564087009738</v>
      </c>
      <c r="AF567">
        <v>6.9270596357249534</v>
      </c>
      <c r="AG567">
        <v>2087.5700965985866</v>
      </c>
      <c r="AH567">
        <v>9.5740219422266204</v>
      </c>
      <c r="AI567">
        <v>1882.8904216419496</v>
      </c>
      <c r="AJ567">
        <v>6.9268188922848921</v>
      </c>
    </row>
    <row r="568" spans="4:36" x14ac:dyDescent="0.55000000000000004">
      <c r="D568">
        <v>561</v>
      </c>
      <c r="E568">
        <v>13.619338835954286</v>
      </c>
      <c r="F568">
        <v>0.55530985994781312</v>
      </c>
      <c r="G568">
        <v>0.18926510687877288</v>
      </c>
      <c r="H568">
        <v>15.636086197219113</v>
      </c>
      <c r="I568">
        <v>13.869365430338794</v>
      </c>
      <c r="J568">
        <v>0.36096212593766452</v>
      </c>
      <c r="K568">
        <v>0.12260701036233203</v>
      </c>
      <c r="L568">
        <v>15.647065433361213</v>
      </c>
      <c r="M568">
        <v>13.759662191005262</v>
      </c>
      <c r="N568">
        <v>0.44627183777316815</v>
      </c>
      <c r="O568">
        <v>0.15180998275742758</v>
      </c>
      <c r="P568">
        <v>15.642255988464152</v>
      </c>
      <c r="Q568">
        <v>13.741427465644025</v>
      </c>
      <c r="R568">
        <v>0.46044639904087598</v>
      </c>
      <c r="S568">
        <v>0.15667075428282615</v>
      </c>
      <c r="T568">
        <v>15.641455381032262</v>
      </c>
      <c r="U568">
        <v>1594.3071772127144</v>
      </c>
      <c r="V568">
        <v>10.785472291066434</v>
      </c>
      <c r="W568">
        <v>1310.0057619966765</v>
      </c>
      <c r="X568">
        <v>7.6088625770393126</v>
      </c>
      <c r="Y568">
        <v>2960.1681942095656</v>
      </c>
      <c r="Z568">
        <v>10.823451291224398</v>
      </c>
      <c r="AA568">
        <v>2765.796109853512</v>
      </c>
      <c r="AB568">
        <v>7.6310094763994636</v>
      </c>
      <c r="AC568">
        <v>2269.4498045010255</v>
      </c>
      <c r="AD568">
        <v>10.806782483208085</v>
      </c>
      <c r="AE568">
        <v>2040.6019956025468</v>
      </c>
      <c r="AF568">
        <v>7.6212999521717029</v>
      </c>
      <c r="AG568">
        <v>2173.4727304646544</v>
      </c>
      <c r="AH568">
        <v>10.80401255608067</v>
      </c>
      <c r="AI568">
        <v>1927.6939158033858</v>
      </c>
      <c r="AJ568">
        <v>7.6196848741108978</v>
      </c>
    </row>
    <row r="569" spans="4:36" x14ac:dyDescent="0.55000000000000004">
      <c r="D569">
        <v>562</v>
      </c>
      <c r="E569">
        <v>13.364806239667971</v>
      </c>
      <c r="F569">
        <v>0.47964982093578751</v>
      </c>
      <c r="G569">
        <v>0.17857240204553065</v>
      </c>
      <c r="H569">
        <v>15.976971537350703</v>
      </c>
      <c r="I569">
        <v>13.592059330706066</v>
      </c>
      <c r="J569">
        <v>0.31905255576962149</v>
      </c>
      <c r="K569">
        <v>0.11840219513333208</v>
      </c>
      <c r="L569">
        <v>15.970485918390983</v>
      </c>
      <c r="M569">
        <v>13.507488271640472</v>
      </c>
      <c r="N569">
        <v>0.37885388420823746</v>
      </c>
      <c r="O569">
        <v>0.14076191319324749</v>
      </c>
      <c r="P569">
        <v>15.972895930958034</v>
      </c>
      <c r="Q569">
        <v>13.45619839980742</v>
      </c>
      <c r="R569">
        <v>0.41510097988302547</v>
      </c>
      <c r="S569">
        <v>0.15434102831442978</v>
      </c>
      <c r="T569">
        <v>15.974359591995135</v>
      </c>
      <c r="U569">
        <v>1598.1797877771696</v>
      </c>
      <c r="V569">
        <v>10.529303786152136</v>
      </c>
      <c r="W569">
        <v>1319.2960108802577</v>
      </c>
      <c r="X569">
        <v>7.4643096266645186</v>
      </c>
      <c r="Y569">
        <v>2911.2876005343373</v>
      </c>
      <c r="Z569">
        <v>10.575358482267267</v>
      </c>
      <c r="AA569">
        <v>2734.8043701739343</v>
      </c>
      <c r="AB569">
        <v>7.4904584190171102</v>
      </c>
      <c r="AC569">
        <v>2253.135536054579</v>
      </c>
      <c r="AD569">
        <v>10.558221468253839</v>
      </c>
      <c r="AE569">
        <v>2034.6826429230953</v>
      </c>
      <c r="AF569">
        <v>7.4807380191626534</v>
      </c>
      <c r="AG569">
        <v>2151.5916897409861</v>
      </c>
      <c r="AH569">
        <v>10.547827218317535</v>
      </c>
      <c r="AI569">
        <v>1916.3620409344294</v>
      </c>
      <c r="AJ569">
        <v>7.4748367051509801</v>
      </c>
    </row>
    <row r="570" spans="4:36" x14ac:dyDescent="0.55000000000000004">
      <c r="D570">
        <v>563</v>
      </c>
      <c r="E570">
        <v>13.193373881585238</v>
      </c>
      <c r="F570">
        <v>0.47057843947987371</v>
      </c>
      <c r="G570">
        <v>0.15809744709178861</v>
      </c>
      <c r="H570">
        <v>16.177950231843084</v>
      </c>
      <c r="I570">
        <v>13.390914179436662</v>
      </c>
      <c r="J570">
        <v>0.33003416999676649</v>
      </c>
      <c r="K570">
        <v>0.11058009075284453</v>
      </c>
      <c r="L570">
        <v>16.168471559813732</v>
      </c>
      <c r="M570">
        <v>13.32185561402485</v>
      </c>
      <c r="N570">
        <v>0.37919368012946458</v>
      </c>
      <c r="O570">
        <v>0.12717102319535173</v>
      </c>
      <c r="P570">
        <v>16.171779682650325</v>
      </c>
      <c r="Q570">
        <v>13.321700378700674</v>
      </c>
      <c r="R570">
        <v>0.37930415305245818</v>
      </c>
      <c r="S570">
        <v>0.12720834265031078</v>
      </c>
      <c r="T570">
        <v>16.17178712559657</v>
      </c>
      <c r="U570">
        <v>1554.8703811781211</v>
      </c>
      <c r="V570">
        <v>10.39765625605159</v>
      </c>
      <c r="W570">
        <v>1290.6053821783837</v>
      </c>
      <c r="X570">
        <v>7.3918559399491244</v>
      </c>
      <c r="Y570">
        <v>2909.9417135435165</v>
      </c>
      <c r="Z570">
        <v>10.439173657246444</v>
      </c>
      <c r="AA570">
        <v>2734.088335638884</v>
      </c>
      <c r="AB570">
        <v>7.4152428101107057</v>
      </c>
      <c r="AC570">
        <v>2240.0252836909676</v>
      </c>
      <c r="AD570">
        <v>10.424663003832443</v>
      </c>
      <c r="AE570">
        <v>2026.5938261214087</v>
      </c>
      <c r="AF570">
        <v>7.4070759337841556</v>
      </c>
      <c r="AG570">
        <v>2122.925632387567</v>
      </c>
      <c r="AH570">
        <v>10.424630381404299</v>
      </c>
      <c r="AI570">
        <v>1899.8051619205407</v>
      </c>
      <c r="AJ570">
        <v>7.407057564802467</v>
      </c>
    </row>
    <row r="571" spans="4:36" x14ac:dyDescent="0.55000000000000004">
      <c r="D571">
        <v>564</v>
      </c>
      <c r="E571">
        <v>11.917994926429914</v>
      </c>
      <c r="F571">
        <v>0.42788038977901804</v>
      </c>
      <c r="G571">
        <v>0.1386212453209503</v>
      </c>
      <c r="H571">
        <v>17.515503438470109</v>
      </c>
      <c r="I571">
        <v>12.102662736962612</v>
      </c>
      <c r="J571">
        <v>0.28417958883149802</v>
      </c>
      <c r="K571">
        <v>9.1810650280741063E-2</v>
      </c>
      <c r="L571">
        <v>17.521347023925152</v>
      </c>
      <c r="M571">
        <v>12.004463278956351</v>
      </c>
      <c r="N571">
        <v>0.36061616032848648</v>
      </c>
      <c r="O571">
        <v>0.11667705327419348</v>
      </c>
      <c r="P571">
        <v>17.518243507440967</v>
      </c>
      <c r="Q571">
        <v>12.006521238749647</v>
      </c>
      <c r="R571">
        <v>0.35901479121541102</v>
      </c>
      <c r="S571">
        <v>0.11615533221532047</v>
      </c>
      <c r="T571">
        <v>17.518308637819615</v>
      </c>
      <c r="U571">
        <v>1494.642203972872</v>
      </c>
      <c r="V571">
        <v>9.443059082450139</v>
      </c>
      <c r="W571">
        <v>1262.1857195153393</v>
      </c>
      <c r="X571">
        <v>6.8470776169852572</v>
      </c>
      <c r="Y571">
        <v>2852.8515774926686</v>
      </c>
      <c r="Z571">
        <v>9.4744745949711344</v>
      </c>
      <c r="AA571">
        <v>2704.0504162062616</v>
      </c>
      <c r="AB571">
        <v>6.8657318235535625</v>
      </c>
      <c r="AC571">
        <v>2170.1226225574919</v>
      </c>
      <c r="AD571">
        <v>9.4577670519663499</v>
      </c>
      <c r="AE571">
        <v>1987.0716837099255</v>
      </c>
      <c r="AF571">
        <v>6.8558189594758421</v>
      </c>
      <c r="AG571">
        <v>2053.8467974483069</v>
      </c>
      <c r="AH571">
        <v>9.4581171457408466</v>
      </c>
      <c r="AI571">
        <v>1861.5033459928954</v>
      </c>
      <c r="AJ571">
        <v>6.8560268592769864</v>
      </c>
    </row>
    <row r="572" spans="4:36" x14ac:dyDescent="0.55000000000000004">
      <c r="D572">
        <v>565</v>
      </c>
      <c r="E572">
        <v>12.142075378314502</v>
      </c>
      <c r="F572">
        <v>0.4380283179964739</v>
      </c>
      <c r="G572">
        <v>0.17658075234151022</v>
      </c>
      <c r="H572">
        <v>17.243315551347511</v>
      </c>
      <c r="I572">
        <v>12.348882841257307</v>
      </c>
      <c r="J572">
        <v>0.28540828655216077</v>
      </c>
      <c r="K572">
        <v>0.1146791003583065</v>
      </c>
      <c r="L572">
        <v>17.251029771832229</v>
      </c>
      <c r="M572">
        <v>12.265787160168614</v>
      </c>
      <c r="N572">
        <v>0.34676115243650085</v>
      </c>
      <c r="O572">
        <v>0.13951396929057494</v>
      </c>
      <c r="P572">
        <v>17.247937718104318</v>
      </c>
      <c r="Q572">
        <v>12.23906382989705</v>
      </c>
      <c r="R572">
        <v>0.36648357631665474</v>
      </c>
      <c r="S572">
        <v>0.14751141336390558</v>
      </c>
      <c r="T572">
        <v>17.246941180422393</v>
      </c>
      <c r="U572">
        <v>1533.7876819819548</v>
      </c>
      <c r="V572">
        <v>9.7089530262219306</v>
      </c>
      <c r="W572">
        <v>1281.1258214223201</v>
      </c>
      <c r="X572">
        <v>7.0108756709619255</v>
      </c>
      <c r="Y572">
        <v>2905.7129278433808</v>
      </c>
      <c r="Z572">
        <v>9.744550703621881</v>
      </c>
      <c r="AA572">
        <v>2736.598794129442</v>
      </c>
      <c r="AB572">
        <v>7.0321073421554798</v>
      </c>
      <c r="AC572">
        <v>2213.9208976858945</v>
      </c>
      <c r="AD572">
        <v>9.7302433190460675</v>
      </c>
      <c r="AE572">
        <v>2012.8960370862296</v>
      </c>
      <c r="AF572">
        <v>7.0235838324222426</v>
      </c>
      <c r="AG572">
        <v>2098.5425056261984</v>
      </c>
      <c r="AH572">
        <v>9.7256432884709305</v>
      </c>
      <c r="AI572">
        <v>1886.0932871861539</v>
      </c>
      <c r="AJ572">
        <v>7.0208405876863909</v>
      </c>
    </row>
    <row r="573" spans="4:36" x14ac:dyDescent="0.55000000000000004">
      <c r="D573">
        <v>566</v>
      </c>
      <c r="E573">
        <v>12.002860987113332</v>
      </c>
      <c r="F573">
        <v>0.42659478292064645</v>
      </c>
      <c r="G573">
        <v>0.1437365587614769</v>
      </c>
      <c r="H573">
        <v>17.42680767120455</v>
      </c>
      <c r="I573">
        <v>12.170147045305868</v>
      </c>
      <c r="J573">
        <v>0.30047600295955612</v>
      </c>
      <c r="K573">
        <v>0.10100343030566757</v>
      </c>
      <c r="L573">
        <v>17.428373521428892</v>
      </c>
      <c r="M573">
        <v>12.10548537674244</v>
      </c>
      <c r="N573">
        <v>0.34924361151140332</v>
      </c>
      <c r="O573">
        <v>0.11750322999793961</v>
      </c>
      <c r="P573">
        <v>17.427767781748216</v>
      </c>
      <c r="Q573">
        <v>12.098729373830196</v>
      </c>
      <c r="R573">
        <v>0.35433762734694801</v>
      </c>
      <c r="S573">
        <v>0.11922847110789746</v>
      </c>
      <c r="T573">
        <v>17.427704527714951</v>
      </c>
      <c r="U573">
        <v>1520.6880331557554</v>
      </c>
      <c r="V573">
        <v>9.4783979136678003</v>
      </c>
      <c r="W573">
        <v>1275.587820412095</v>
      </c>
      <c r="X573">
        <v>6.8639695330155375</v>
      </c>
      <c r="Y573">
        <v>2884.9557875661076</v>
      </c>
      <c r="Z573">
        <v>9.5089452695068371</v>
      </c>
      <c r="AA573">
        <v>2722.3015573500611</v>
      </c>
      <c r="AB573">
        <v>6.8818181516809771</v>
      </c>
      <c r="AC573">
        <v>2215.3660957429738</v>
      </c>
      <c r="AD573">
        <v>9.4971380869878192</v>
      </c>
      <c r="AE573">
        <v>2016.1971335472431</v>
      </c>
      <c r="AF573">
        <v>6.8749252499986264</v>
      </c>
      <c r="AG573">
        <v>2104.8158794301658</v>
      </c>
      <c r="AH573">
        <v>9.4959044163525359</v>
      </c>
      <c r="AI573">
        <v>1894.2336328802587</v>
      </c>
      <c r="AJ573">
        <v>6.8742046156655334</v>
      </c>
    </row>
    <row r="574" spans="4:36" x14ac:dyDescent="0.55000000000000004">
      <c r="D574">
        <v>567</v>
      </c>
      <c r="E574">
        <v>15.320953978600665</v>
      </c>
      <c r="F574">
        <v>0.60790420854596905</v>
      </c>
      <c r="G574">
        <v>0.17540389746799315</v>
      </c>
      <c r="H574">
        <v>13.895737915385379</v>
      </c>
      <c r="I574">
        <v>15.651326247059108</v>
      </c>
      <c r="J574">
        <v>0.37944070239344441</v>
      </c>
      <c r="K574">
        <v>0.10907839163733624</v>
      </c>
      <c r="L574">
        <v>13.860154658910092</v>
      </c>
      <c r="M574">
        <v>15.544457940626083</v>
      </c>
      <c r="N574">
        <v>0.45341058324078043</v>
      </c>
      <c r="O574">
        <v>0.1304979809318503</v>
      </c>
      <c r="P574">
        <v>13.871633495201293</v>
      </c>
      <c r="Q574">
        <v>15.47898091998184</v>
      </c>
      <c r="R574">
        <v>0.49869967318376734</v>
      </c>
      <c r="S574">
        <v>0.1436381179674899</v>
      </c>
      <c r="T574">
        <v>13.878681288866902</v>
      </c>
      <c r="U574">
        <v>1707.4349779596189</v>
      </c>
      <c r="V574">
        <v>12.197262141954599</v>
      </c>
      <c r="W574">
        <v>1373.640012603473</v>
      </c>
      <c r="X574">
        <v>8.4187951482477335</v>
      </c>
      <c r="Y574">
        <v>3034.3029065326118</v>
      </c>
      <c r="Z574">
        <v>12.27772417645499</v>
      </c>
      <c r="AA574">
        <v>2807.8727335394929</v>
      </c>
      <c r="AB574">
        <v>8.4620973523828589</v>
      </c>
      <c r="AC574">
        <v>2371.0633867524361</v>
      </c>
      <c r="AD574">
        <v>12.251715559889028</v>
      </c>
      <c r="AE574">
        <v>2101.2515989774406</v>
      </c>
      <c r="AF574">
        <v>8.4481149512541887</v>
      </c>
      <c r="AG574">
        <v>2286.6797909260672</v>
      </c>
      <c r="AH574">
        <v>12.235771387574955</v>
      </c>
      <c r="AI574">
        <v>1993.5809350534062</v>
      </c>
      <c r="AJ574">
        <v>8.4395363826531522</v>
      </c>
    </row>
    <row r="575" spans="4:36" x14ac:dyDescent="0.55000000000000004">
      <c r="D575">
        <v>568</v>
      </c>
      <c r="E575">
        <v>14.239606563324728</v>
      </c>
      <c r="F575">
        <v>0.4680121877813711</v>
      </c>
      <c r="G575">
        <v>0.17057768844948262</v>
      </c>
      <c r="H575">
        <v>15.121803560444429</v>
      </c>
      <c r="I575">
        <v>14.473752654805322</v>
      </c>
      <c r="J575">
        <v>0.31219878589451749</v>
      </c>
      <c r="K575">
        <v>0.11343695504609896</v>
      </c>
      <c r="L575">
        <v>15.100611604254077</v>
      </c>
      <c r="M575">
        <v>14.356438023426008</v>
      </c>
      <c r="N575">
        <v>0.39030910811178421</v>
      </c>
      <c r="O575">
        <v>0.14203713973065565</v>
      </c>
      <c r="P575">
        <v>15.111215728731544</v>
      </c>
      <c r="Q575">
        <v>14.292220806685192</v>
      </c>
      <c r="R575">
        <v>0.43302976904581808</v>
      </c>
      <c r="S575">
        <v>0.15771742435835678</v>
      </c>
      <c r="T575">
        <v>15.117031999910635</v>
      </c>
      <c r="U575">
        <v>1591.4563360169714</v>
      </c>
      <c r="V575">
        <v>11.337618453264042</v>
      </c>
      <c r="W575">
        <v>1304.8110597919813</v>
      </c>
      <c r="X575">
        <v>7.9443629687977593</v>
      </c>
      <c r="Y575">
        <v>2992.5517629297292</v>
      </c>
      <c r="Z575">
        <v>11.392970509990931</v>
      </c>
      <c r="AA575">
        <v>2785.7443276246449</v>
      </c>
      <c r="AB575">
        <v>7.9748070022177675</v>
      </c>
      <c r="AC575">
        <v>2307.1024393100324</v>
      </c>
      <c r="AD575">
        <v>11.365245860662892</v>
      </c>
      <c r="AE575">
        <v>2063.4911597452883</v>
      </c>
      <c r="AF575">
        <v>7.9595682705342607</v>
      </c>
      <c r="AG575">
        <v>2232.3873096421676</v>
      </c>
      <c r="AH575">
        <v>11.350062372027866</v>
      </c>
      <c r="AI575">
        <v>1962.9135137853082</v>
      </c>
      <c r="AJ575">
        <v>7.9512142212244372</v>
      </c>
    </row>
    <row r="576" spans="4:36" x14ac:dyDescent="0.55000000000000004">
      <c r="D576">
        <v>569</v>
      </c>
      <c r="E576">
        <v>12.826692143886733</v>
      </c>
      <c r="F576">
        <v>0.44622660386359198</v>
      </c>
      <c r="G576">
        <v>0.14427085941953782</v>
      </c>
      <c r="H576">
        <v>16.582810392830126</v>
      </c>
      <c r="I576">
        <v>13.030710733921696</v>
      </c>
      <c r="J576">
        <v>0.29437942591184879</v>
      </c>
      <c r="K576">
        <v>9.4903971404671064E-2</v>
      </c>
      <c r="L576">
        <v>16.580005868761777</v>
      </c>
      <c r="M576">
        <v>12.962033508341834</v>
      </c>
      <c r="N576">
        <v>0.34552014852086865</v>
      </c>
      <c r="O576">
        <v>0.11149823503728233</v>
      </c>
      <c r="P576">
        <v>16.580948108099996</v>
      </c>
      <c r="Q576">
        <v>12.867647125366377</v>
      </c>
      <c r="R576">
        <v>0.41576301454159292</v>
      </c>
      <c r="S576">
        <v>0.13434376851802421</v>
      </c>
      <c r="T576">
        <v>16.582246091574003</v>
      </c>
      <c r="U576">
        <v>1550.9254886297899</v>
      </c>
      <c r="V576">
        <v>10.073454914815162</v>
      </c>
      <c r="W576">
        <v>1293.6758847683589</v>
      </c>
      <c r="X576">
        <v>7.2013391576706365</v>
      </c>
      <c r="Y576">
        <v>2894.4975574432378</v>
      </c>
      <c r="Z576">
        <v>10.111160736787911</v>
      </c>
      <c r="AA576">
        <v>2728.3467688988335</v>
      </c>
      <c r="AB576">
        <v>7.2229875374860981</v>
      </c>
      <c r="AC576">
        <v>2219.8175108273717</v>
      </c>
      <c r="AD576">
        <v>10.09846912375553</v>
      </c>
      <c r="AE576">
        <v>2017.8372213173286</v>
      </c>
      <c r="AF576">
        <v>7.2157081605240068</v>
      </c>
      <c r="AG576">
        <v>2146.4966785680163</v>
      </c>
      <c r="AH576">
        <v>10.081024764155655</v>
      </c>
      <c r="AI576">
        <v>1917.8139219887955</v>
      </c>
      <c r="AJ576">
        <v>7.2056906225911597</v>
      </c>
    </row>
    <row r="577" spans="4:36" x14ac:dyDescent="0.55000000000000004">
      <c r="D577">
        <v>570</v>
      </c>
      <c r="E577">
        <v>14.057982958778757</v>
      </c>
      <c r="F577">
        <v>0.52501534447302445</v>
      </c>
      <c r="G577">
        <v>0.19160573455203642</v>
      </c>
      <c r="H577">
        <v>15.225395962196188</v>
      </c>
      <c r="I577">
        <v>14.329807806158504</v>
      </c>
      <c r="J577">
        <v>0.33309145980959598</v>
      </c>
      <c r="K577">
        <v>0.1211167480544395</v>
      </c>
      <c r="L577">
        <v>15.215983985977468</v>
      </c>
      <c r="M577">
        <v>14.213916796342559</v>
      </c>
      <c r="N577">
        <v>0.41496915472906087</v>
      </c>
      <c r="O577">
        <v>0.15112407190780364</v>
      </c>
      <c r="P577">
        <v>15.219989977020562</v>
      </c>
      <c r="Q577">
        <v>14.168103435813771</v>
      </c>
      <c r="R577">
        <v>0.44731532467986623</v>
      </c>
      <c r="S577">
        <v>0.16300487984658105</v>
      </c>
      <c r="T577">
        <v>15.221576359659791</v>
      </c>
      <c r="U577">
        <v>1675.3584768037101</v>
      </c>
      <c r="V577">
        <v>11.104037493656506</v>
      </c>
      <c r="W577">
        <v>1361.6397118849306</v>
      </c>
      <c r="X577">
        <v>7.7924520962276853</v>
      </c>
      <c r="Y577">
        <v>2969.8659346444592</v>
      </c>
      <c r="Z577">
        <v>11.160568171569762</v>
      </c>
      <c r="AA577">
        <v>2769.4681216963913</v>
      </c>
      <c r="AB577">
        <v>7.8241717148716576</v>
      </c>
      <c r="AC577">
        <v>2296.4704752377961</v>
      </c>
      <c r="AD577">
        <v>11.136470355764002</v>
      </c>
      <c r="AE577">
        <v>2055.6648870874628</v>
      </c>
      <c r="AF577">
        <v>7.8106635908370459</v>
      </c>
      <c r="AG577">
        <v>2205.896271339157</v>
      </c>
      <c r="AH577">
        <v>11.126942626554047</v>
      </c>
      <c r="AI577">
        <v>1944.8396128011873</v>
      </c>
      <c r="AJ577">
        <v>7.8053173702498766</v>
      </c>
    </row>
    <row r="578" spans="4:36" x14ac:dyDescent="0.55000000000000004">
      <c r="D578">
        <v>571</v>
      </c>
      <c r="E578">
        <v>12.109157090669461</v>
      </c>
      <c r="F578">
        <v>0.48505064523069685</v>
      </c>
      <c r="G578">
        <v>0.18304472824146023</v>
      </c>
      <c r="H578">
        <v>17.22274753585836</v>
      </c>
      <c r="I578">
        <v>12.2928458702221</v>
      </c>
      <c r="J578">
        <v>0.33076677430171059</v>
      </c>
      <c r="K578">
        <v>0.12448592708950403</v>
      </c>
      <c r="L578">
        <v>17.251901428386695</v>
      </c>
      <c r="M578">
        <v>12.236345477598656</v>
      </c>
      <c r="N578">
        <v>0.37823645557566038</v>
      </c>
      <c r="O578">
        <v>0.14246908715342671</v>
      </c>
      <c r="P578">
        <v>17.242948979672253</v>
      </c>
      <c r="Q578">
        <v>12.181845199201383</v>
      </c>
      <c r="R578">
        <v>0.42401406260594421</v>
      </c>
      <c r="S578">
        <v>0.15983982061149127</v>
      </c>
      <c r="T578">
        <v>17.234300917581184</v>
      </c>
      <c r="U578">
        <v>1526.0469975994099</v>
      </c>
      <c r="V578">
        <v>9.607111129516305</v>
      </c>
      <c r="W578">
        <v>1270.7808228499546</v>
      </c>
      <c r="X578">
        <v>6.9333295392042835</v>
      </c>
      <c r="Y578">
        <v>2920.8955782830562</v>
      </c>
      <c r="Z578">
        <v>9.6242296192635646</v>
      </c>
      <c r="AA578">
        <v>2743.3108417750268</v>
      </c>
      <c r="AB578">
        <v>6.9446090248834249</v>
      </c>
      <c r="AC578">
        <v>2225.8063965343117</v>
      </c>
      <c r="AD578">
        <v>9.6189555551028043</v>
      </c>
      <c r="AE578">
        <v>2018.3431115516089</v>
      </c>
      <c r="AF578">
        <v>6.9411402640434687</v>
      </c>
      <c r="AG578">
        <v>2150.6083185929911</v>
      </c>
      <c r="AH578">
        <v>9.6138754359056229</v>
      </c>
      <c r="AI578">
        <v>1918.4541264029958</v>
      </c>
      <c r="AJ578">
        <v>6.937793737103477</v>
      </c>
    </row>
    <row r="579" spans="4:36" x14ac:dyDescent="0.55000000000000004">
      <c r="D579">
        <v>572</v>
      </c>
      <c r="E579">
        <v>12.3703019699414</v>
      </c>
      <c r="F579">
        <v>0.42360728589525959</v>
      </c>
      <c r="G579">
        <v>0.15109353436825315</v>
      </c>
      <c r="H579">
        <v>17.05499720979509</v>
      </c>
      <c r="I579">
        <v>12.574988558349053</v>
      </c>
      <c r="J579">
        <v>0.27808766537521928</v>
      </c>
      <c r="K579">
        <v>9.8894961462875339E-2</v>
      </c>
      <c r="L579">
        <v>17.048028814812852</v>
      </c>
      <c r="M579">
        <v>12.493661963757784</v>
      </c>
      <c r="N579">
        <v>0.33593684376485994</v>
      </c>
      <c r="O579">
        <v>0.11960809296146815</v>
      </c>
      <c r="P579">
        <v>17.050793099515893</v>
      </c>
      <c r="Q579">
        <v>12.434639242674018</v>
      </c>
      <c r="R579">
        <v>0.37789534698095023</v>
      </c>
      <c r="S579">
        <v>0.13466249625195412</v>
      </c>
      <c r="T579">
        <v>17.052802914093068</v>
      </c>
      <c r="U579">
        <v>1494.4825216548711</v>
      </c>
      <c r="V579">
        <v>9.7170172026839925</v>
      </c>
      <c r="W579">
        <v>1255.4656574311518</v>
      </c>
      <c r="X579">
        <v>6.9968362512193112</v>
      </c>
      <c r="Y579">
        <v>2897.8757636405126</v>
      </c>
      <c r="Z579">
        <v>9.7592053404582408</v>
      </c>
      <c r="AA579">
        <v>2732.570174626062</v>
      </c>
      <c r="AB579">
        <v>7.0211229754193569</v>
      </c>
      <c r="AC579">
        <v>2199.9035433303234</v>
      </c>
      <c r="AD579">
        <v>9.7424451994019421</v>
      </c>
      <c r="AE579">
        <v>2004.9358303846734</v>
      </c>
      <c r="AF579">
        <v>7.0114837813163318</v>
      </c>
      <c r="AG579">
        <v>2100.8072323949746</v>
      </c>
      <c r="AH579">
        <v>9.7302797619810608</v>
      </c>
      <c r="AI579">
        <v>1888.3021694879578</v>
      </c>
      <c r="AJ579">
        <v>7.0044795248338341</v>
      </c>
    </row>
    <row r="580" spans="4:36" x14ac:dyDescent="0.55000000000000004">
      <c r="D580">
        <v>573</v>
      </c>
      <c r="E580">
        <v>12.458854872678732</v>
      </c>
      <c r="F580">
        <v>0.44183126662370054</v>
      </c>
      <c r="G580">
        <v>0.17024931061809789</v>
      </c>
      <c r="H580">
        <v>16.929064550079477</v>
      </c>
      <c r="I580">
        <v>12.685267184910789</v>
      </c>
      <c r="J580">
        <v>0.27962105044775742</v>
      </c>
      <c r="K580">
        <v>0.10738035641509486</v>
      </c>
      <c r="L580">
        <v>16.927731408226368</v>
      </c>
      <c r="M580">
        <v>12.596306262841187</v>
      </c>
      <c r="N580">
        <v>0.34339300391987165</v>
      </c>
      <c r="O580">
        <v>0.13204529542452004</v>
      </c>
      <c r="P580">
        <v>16.928255437814418</v>
      </c>
      <c r="Q580">
        <v>12.546072463575069</v>
      </c>
      <c r="R580">
        <v>0.37938217077277725</v>
      </c>
      <c r="S580">
        <v>0.14599414572221811</v>
      </c>
      <c r="T580">
        <v>16.928551219929929</v>
      </c>
      <c r="U580">
        <v>1518.5749937536173</v>
      </c>
      <c r="V580">
        <v>9.7857040270465774</v>
      </c>
      <c r="W580">
        <v>1271.290971885076</v>
      </c>
      <c r="X580">
        <v>7.0332408621794977</v>
      </c>
      <c r="Y580">
        <v>2858.7470128968098</v>
      </c>
      <c r="Z580">
        <v>9.8284930704441376</v>
      </c>
      <c r="AA580">
        <v>2704.0374575407263</v>
      </c>
      <c r="AB580">
        <v>7.057986871930833</v>
      </c>
      <c r="AC580">
        <v>2184.1780651148388</v>
      </c>
      <c r="AD580">
        <v>9.8116813850407212</v>
      </c>
      <c r="AE580">
        <v>1992.7962597036237</v>
      </c>
      <c r="AF580">
        <v>7.0482748421390324</v>
      </c>
      <c r="AG580">
        <v>2104.6699772612824</v>
      </c>
      <c r="AH580">
        <v>9.8021878320158446</v>
      </c>
      <c r="AI580">
        <v>1890.7578996116902</v>
      </c>
      <c r="AJ580">
        <v>7.0427844242483015</v>
      </c>
    </row>
    <row r="581" spans="4:36" x14ac:dyDescent="0.55000000000000004">
      <c r="D581">
        <v>574</v>
      </c>
      <c r="E581">
        <v>12.006684158145069</v>
      </c>
      <c r="F581">
        <v>0.4244573835633802</v>
      </c>
      <c r="G581">
        <v>0.14188292746947753</v>
      </c>
      <c r="H581">
        <v>17.426975530822055</v>
      </c>
      <c r="I581">
        <v>12.232376186538044</v>
      </c>
      <c r="J581">
        <v>0.25882843963753449</v>
      </c>
      <c r="K581">
        <v>8.6232066191155879E-2</v>
      </c>
      <c r="L581">
        <v>17.422563307633276</v>
      </c>
      <c r="M581">
        <v>12.135075551520321</v>
      </c>
      <c r="N581">
        <v>0.3302714493589326</v>
      </c>
      <c r="O581">
        <v>0.11019088739608672</v>
      </c>
      <c r="P581">
        <v>17.424462111724651</v>
      </c>
      <c r="Q581">
        <v>12.091100451465406</v>
      </c>
      <c r="R581">
        <v>0.36254190725538066</v>
      </c>
      <c r="S581">
        <v>0.12103567888713673</v>
      </c>
      <c r="T581">
        <v>17.425321962392079</v>
      </c>
      <c r="U581">
        <v>1484.7822612738794</v>
      </c>
      <c r="V581">
        <v>9.5093463170679193</v>
      </c>
      <c r="W581">
        <v>1252.937960364731</v>
      </c>
      <c r="X581">
        <v>6.8875142520718384</v>
      </c>
      <c r="Y581">
        <v>2858.3751509533295</v>
      </c>
      <c r="Z581">
        <v>9.5569150573352264</v>
      </c>
      <c r="AA581">
        <v>2708.411803271008</v>
      </c>
      <c r="AB581">
        <v>6.9151559754472176</v>
      </c>
      <c r="AC581">
        <v>2187.1280228017031</v>
      </c>
      <c r="AD581">
        <v>9.5364090243186084</v>
      </c>
      <c r="AE581">
        <v>1999.7652087873032</v>
      </c>
      <c r="AF581">
        <v>6.9032527496893881</v>
      </c>
      <c r="AG581">
        <v>2101.9300450306769</v>
      </c>
      <c r="AH581">
        <v>9.5271403829894847</v>
      </c>
      <c r="AI581">
        <v>1894.3159167146455</v>
      </c>
      <c r="AJ581">
        <v>6.8978662874832528</v>
      </c>
    </row>
    <row r="582" spans="4:36" x14ac:dyDescent="0.55000000000000004">
      <c r="D582">
        <v>575</v>
      </c>
      <c r="E582">
        <v>12.094346648557226</v>
      </c>
      <c r="F582">
        <v>0.44817877175699483</v>
      </c>
      <c r="G582">
        <v>0.15933622726288219</v>
      </c>
      <c r="H582">
        <v>17.298138352422885</v>
      </c>
      <c r="I582">
        <v>12.310036274032619</v>
      </c>
      <c r="J582">
        <v>0.28217234032605992</v>
      </c>
      <c r="K582">
        <v>9.9980524860059566E-2</v>
      </c>
      <c r="L582">
        <v>17.307810860781249</v>
      </c>
      <c r="M582">
        <v>12.213689637787144</v>
      </c>
      <c r="N582">
        <v>0.35635613675064376</v>
      </c>
      <c r="O582">
        <v>0.12645492658882546</v>
      </c>
      <c r="P582">
        <v>17.303499298873369</v>
      </c>
      <c r="Q582">
        <v>12.180874015526379</v>
      </c>
      <c r="R582">
        <v>0.38161200869518075</v>
      </c>
      <c r="S582">
        <v>0.13548652060287431</v>
      </c>
      <c r="T582">
        <v>17.302027455175576</v>
      </c>
      <c r="U582">
        <v>1504.5555755506286</v>
      </c>
      <c r="V582">
        <v>9.500970819817498</v>
      </c>
      <c r="W582">
        <v>1263.9325361947965</v>
      </c>
      <c r="X582">
        <v>6.8652543899969691</v>
      </c>
      <c r="Y582">
        <v>2869.0762518213382</v>
      </c>
      <c r="Z582">
        <v>9.5339013126246854</v>
      </c>
      <c r="AA582">
        <v>2713.4220870218119</v>
      </c>
      <c r="AB582">
        <v>6.8850145828718698</v>
      </c>
      <c r="AC582">
        <v>2190.8910105903096</v>
      </c>
      <c r="AD582">
        <v>9.5191864734352052</v>
      </c>
      <c r="AE582">
        <v>1999.2737759450563</v>
      </c>
      <c r="AF582">
        <v>6.876195010233805</v>
      </c>
      <c r="AG582">
        <v>2097.0641803668095</v>
      </c>
      <c r="AH582">
        <v>9.5141764715025054</v>
      </c>
      <c r="AI582">
        <v>1887.9400165028087</v>
      </c>
      <c r="AJ582">
        <v>6.8731884505780814</v>
      </c>
    </row>
    <row r="583" spans="4:36" x14ac:dyDescent="0.55000000000000004">
      <c r="D583">
        <v>576</v>
      </c>
      <c r="E583">
        <v>12.364458621129836</v>
      </c>
      <c r="F583">
        <v>0.43090933597223946</v>
      </c>
      <c r="G583">
        <v>0.16563995846240084</v>
      </c>
      <c r="H583">
        <v>17.038992084435527</v>
      </c>
      <c r="I583">
        <v>12.609774541805871</v>
      </c>
      <c r="J583">
        <v>0.26449294865302009</v>
      </c>
      <c r="K583">
        <v>0.10130390013108644</v>
      </c>
      <c r="L583">
        <v>17.024428609410034</v>
      </c>
      <c r="M583">
        <v>12.508886327247238</v>
      </c>
      <c r="N583">
        <v>0.33298151544997862</v>
      </c>
      <c r="O583">
        <v>0.12772433772393552</v>
      </c>
      <c r="P583">
        <v>17.030407819578844</v>
      </c>
      <c r="Q583">
        <v>12.467674137640028</v>
      </c>
      <c r="R583">
        <v>0.36093925859634218</v>
      </c>
      <c r="S583">
        <v>0.13853225553853118</v>
      </c>
      <c r="T583">
        <v>17.032854348225097</v>
      </c>
      <c r="U583">
        <v>1534.2142968659327</v>
      </c>
      <c r="V583">
        <v>9.8699576001584983</v>
      </c>
      <c r="W583">
        <v>1282.1536515300093</v>
      </c>
      <c r="X583">
        <v>7.1069711596154344</v>
      </c>
      <c r="Y583">
        <v>2873.846134890639</v>
      </c>
      <c r="Z583">
        <v>9.9258866710123996</v>
      </c>
      <c r="AA583">
        <v>2715.2639220381061</v>
      </c>
      <c r="AB583">
        <v>7.1388707332210917</v>
      </c>
      <c r="AC583">
        <v>2223.461185834351</v>
      </c>
      <c r="AD583">
        <v>9.9028916343930025</v>
      </c>
      <c r="AE583">
        <v>2020.9637822259731</v>
      </c>
      <c r="AF583">
        <v>7.1257694238548863</v>
      </c>
      <c r="AG583">
        <v>2128.6607947870862</v>
      </c>
      <c r="AH583">
        <v>9.8934958032289568</v>
      </c>
      <c r="AI583">
        <v>1908.4177652677272</v>
      </c>
      <c r="AJ583">
        <v>7.1204105608291872</v>
      </c>
    </row>
    <row r="584" spans="4:36" x14ac:dyDescent="0.55000000000000004">
      <c r="D584">
        <v>577</v>
      </c>
      <c r="E584">
        <v>11.54456603893003</v>
      </c>
      <c r="F584">
        <v>0.45299625757158279</v>
      </c>
      <c r="G584">
        <v>0.15807870713760042</v>
      </c>
      <c r="H584">
        <v>17.844358996360789</v>
      </c>
      <c r="I584">
        <v>11.752512491832132</v>
      </c>
      <c r="J584">
        <v>0.27961852642159035</v>
      </c>
      <c r="K584">
        <v>9.7251552075784772E-2</v>
      </c>
      <c r="L584">
        <v>17.87061742967051</v>
      </c>
      <c r="M584">
        <v>11.641622231477056</v>
      </c>
      <c r="N584">
        <v>0.37209663840052865</v>
      </c>
      <c r="O584">
        <v>0.12964505925935507</v>
      </c>
      <c r="P584">
        <v>17.856636070863072</v>
      </c>
      <c r="Q584">
        <v>11.6503278882918</v>
      </c>
      <c r="R584">
        <v>0.36483828167236687</v>
      </c>
      <c r="S584">
        <v>0.12709837222818707</v>
      </c>
      <c r="T584">
        <v>17.857735457807653</v>
      </c>
      <c r="U584">
        <v>1489.7913713772202</v>
      </c>
      <c r="V584">
        <v>9.1271921688493034</v>
      </c>
      <c r="W584">
        <v>1254.1002192422895</v>
      </c>
      <c r="X584">
        <v>6.6517492607240083</v>
      </c>
      <c r="Y584">
        <v>2851.9419677252545</v>
      </c>
      <c r="Z584">
        <v>9.1503708852243761</v>
      </c>
      <c r="AA584">
        <v>2702.0994639504897</v>
      </c>
      <c r="AB584">
        <v>6.6666237984502974</v>
      </c>
      <c r="AC584">
        <v>2191.4775518139595</v>
      </c>
      <c r="AD584">
        <v>9.1379992978558064</v>
      </c>
      <c r="AE584">
        <v>1999.5326480720732</v>
      </c>
      <c r="AF584">
        <v>6.658694829891191</v>
      </c>
      <c r="AG584">
        <v>2078.0096332007188</v>
      </c>
      <c r="AH584">
        <v>9.1389696301299157</v>
      </c>
      <c r="AI584">
        <v>1876.6672587274174</v>
      </c>
      <c r="AJ584">
        <v>6.6593175621569669</v>
      </c>
    </row>
    <row r="585" spans="4:36" x14ac:dyDescent="0.55000000000000004">
      <c r="D585">
        <v>578</v>
      </c>
      <c r="E585">
        <v>12.923608070693252</v>
      </c>
      <c r="F585">
        <v>0.47939243401983334</v>
      </c>
      <c r="G585">
        <v>0.18779907672600812</v>
      </c>
      <c r="H585">
        <v>16.409200418560907</v>
      </c>
      <c r="I585">
        <v>13.170858112701888</v>
      </c>
      <c r="J585">
        <v>0.3014728288459485</v>
      </c>
      <c r="K585">
        <v>0.11767544663079589</v>
      </c>
      <c r="L585">
        <v>16.409993611821385</v>
      </c>
      <c r="M585">
        <v>13.101369318703155</v>
      </c>
      <c r="N585">
        <v>0.35151279432172988</v>
      </c>
      <c r="O585">
        <v>0.13734600175752218</v>
      </c>
      <c r="P585">
        <v>16.409771885217594</v>
      </c>
      <c r="Q585">
        <v>13.004061977114882</v>
      </c>
      <c r="R585">
        <v>0.42153782509838922</v>
      </c>
      <c r="S585">
        <v>0.16494037114860904</v>
      </c>
      <c r="T585">
        <v>16.409459826638113</v>
      </c>
      <c r="U585">
        <v>1605.8949639412579</v>
      </c>
      <c r="V585">
        <v>10.317306622596167</v>
      </c>
      <c r="W585">
        <v>1323.2534166509438</v>
      </c>
      <c r="X585">
        <v>7.3585437941704708</v>
      </c>
      <c r="Y585">
        <v>2916.0680208246358</v>
      </c>
      <c r="Z585">
        <v>10.361686329328665</v>
      </c>
      <c r="AA585">
        <v>2738.485972830028</v>
      </c>
      <c r="AB585">
        <v>7.3841479167632054</v>
      </c>
      <c r="AC585">
        <v>2249.4854797737012</v>
      </c>
      <c r="AD585">
        <v>10.349213280947451</v>
      </c>
      <c r="AE585">
        <v>2033.0247028437338</v>
      </c>
      <c r="AF585">
        <v>7.3769615786750649</v>
      </c>
      <c r="AG585">
        <v>2187.8369596580264</v>
      </c>
      <c r="AH585">
        <v>10.331747246552835</v>
      </c>
      <c r="AI585">
        <v>1940.3557382979448</v>
      </c>
      <c r="AJ585">
        <v>7.3668857365492082</v>
      </c>
    </row>
    <row r="586" spans="4:36" x14ac:dyDescent="0.55000000000000004">
      <c r="D586">
        <v>579</v>
      </c>
      <c r="E586">
        <v>11.151830290677886</v>
      </c>
      <c r="F586">
        <v>0.43975437361400138</v>
      </c>
      <c r="G586">
        <v>0.17848048523683088</v>
      </c>
      <c r="H586">
        <v>18.229934850471281</v>
      </c>
      <c r="I586">
        <v>11.347918745153974</v>
      </c>
      <c r="J586">
        <v>0.27361668763350155</v>
      </c>
      <c r="K586">
        <v>0.11069653510457114</v>
      </c>
      <c r="L586">
        <v>18.267768032107956</v>
      </c>
      <c r="M586">
        <v>11.286116830073075</v>
      </c>
      <c r="N586">
        <v>0.32599500319660779</v>
      </c>
      <c r="O586">
        <v>0.13201950967420992</v>
      </c>
      <c r="P586">
        <v>18.255868657056105</v>
      </c>
      <c r="Q586">
        <v>11.229770286470796</v>
      </c>
      <c r="R586">
        <v>0.37373691638040374</v>
      </c>
      <c r="S586">
        <v>0.1514928390067832</v>
      </c>
      <c r="T586">
        <v>18.244999958142024</v>
      </c>
      <c r="U586">
        <v>1496.2805174228583</v>
      </c>
      <c r="V586">
        <v>8.8478057918060671</v>
      </c>
      <c r="W586">
        <v>1259.5023196362174</v>
      </c>
      <c r="X586">
        <v>6.4870775537199767</v>
      </c>
      <c r="Y586">
        <v>2862.2620253416708</v>
      </c>
      <c r="Z586">
        <v>8.8606286970236958</v>
      </c>
      <c r="AA586">
        <v>2709.9616350856786</v>
      </c>
      <c r="AB586">
        <v>6.4966476819827257</v>
      </c>
      <c r="AC586">
        <v>2172.4337235161256</v>
      </c>
      <c r="AD586">
        <v>8.8565724751281838</v>
      </c>
      <c r="AE586">
        <v>1989.2188218107892</v>
      </c>
      <c r="AF586">
        <v>6.4936301460387345</v>
      </c>
      <c r="AG586">
        <v>2084.5468830755112</v>
      </c>
      <c r="AH586">
        <v>8.8528861194659374</v>
      </c>
      <c r="AI586">
        <v>1880.3881759858755</v>
      </c>
      <c r="AJ586">
        <v>6.4908800010078442</v>
      </c>
    </row>
    <row r="587" spans="4:36" x14ac:dyDescent="0.55000000000000004">
      <c r="D587">
        <v>580</v>
      </c>
      <c r="E587">
        <v>12.362776579160691</v>
      </c>
      <c r="F587">
        <v>0.43256207524832474</v>
      </c>
      <c r="G587">
        <v>0.16558222931379096</v>
      </c>
      <c r="H587">
        <v>17.0390791162772</v>
      </c>
      <c r="I587">
        <v>12.567544037166851</v>
      </c>
      <c r="J587">
        <v>0.28233994998733869</v>
      </c>
      <c r="K587">
        <v>0.10774143134248591</v>
      </c>
      <c r="L587">
        <v>17.042374581503307</v>
      </c>
      <c r="M587">
        <v>12.489286001895461</v>
      </c>
      <c r="N587">
        <v>0.33978059893022128</v>
      </c>
      <c r="O587">
        <v>0.12981492079230761</v>
      </c>
      <c r="P587">
        <v>17.041118478382003</v>
      </c>
      <c r="Q587">
        <v>12.415631894103431</v>
      </c>
      <c r="R587">
        <v>0.39380957869626076</v>
      </c>
      <c r="S587">
        <v>0.15062604116452005</v>
      </c>
      <c r="T587">
        <v>17.039932486035777</v>
      </c>
      <c r="U587">
        <v>1510.3569393270977</v>
      </c>
      <c r="V587">
        <v>9.8113952997049267</v>
      </c>
      <c r="W587">
        <v>1267.4567012539351</v>
      </c>
      <c r="X587">
        <v>7.0624987763523901</v>
      </c>
      <c r="Y587">
        <v>2884.377406836973</v>
      </c>
      <c r="Z587">
        <v>9.8488912476531159</v>
      </c>
      <c r="AA587">
        <v>2723.266084401806</v>
      </c>
      <c r="AB587">
        <v>7.0846063667685595</v>
      </c>
      <c r="AC587">
        <v>2195.3323772480844</v>
      </c>
      <c r="AD587">
        <v>9.8345584582986909</v>
      </c>
      <c r="AE587">
        <v>2002.2606252039297</v>
      </c>
      <c r="AF587">
        <v>7.0761651092656299</v>
      </c>
      <c r="AG587">
        <v>2106.4568527587144</v>
      </c>
      <c r="AH587">
        <v>9.821071784715107</v>
      </c>
      <c r="AI587">
        <v>1892.2442289164203</v>
      </c>
      <c r="AJ587">
        <v>7.0682116336344745</v>
      </c>
    </row>
    <row r="588" spans="4:36" x14ac:dyDescent="0.55000000000000004">
      <c r="D588">
        <v>581</v>
      </c>
      <c r="E588">
        <v>12.985947866108706</v>
      </c>
      <c r="F588">
        <v>0.47227020888166593</v>
      </c>
      <c r="G588">
        <v>0.16819511111863725</v>
      </c>
      <c r="H588">
        <v>16.373586813890984</v>
      </c>
      <c r="I588">
        <v>13.24988354594999</v>
      </c>
      <c r="J588">
        <v>0.29021444070508967</v>
      </c>
      <c r="K588">
        <v>0.10297878912281283</v>
      </c>
      <c r="L588">
        <v>16.356923224222104</v>
      </c>
      <c r="M588">
        <v>13.118080872351463</v>
      </c>
      <c r="N588">
        <v>0.38118331704066322</v>
      </c>
      <c r="O588">
        <v>0.13550500773977708</v>
      </c>
      <c r="P588">
        <v>16.365230802868094</v>
      </c>
      <c r="Q588">
        <v>13.113653833442999</v>
      </c>
      <c r="R588">
        <v>0.38423692129280745</v>
      </c>
      <c r="S588">
        <v>0.13659892907535398</v>
      </c>
      <c r="T588">
        <v>16.365510316188836</v>
      </c>
      <c r="U588">
        <v>1578.6415419110201</v>
      </c>
      <c r="V588">
        <v>10.262969990068074</v>
      </c>
      <c r="W588">
        <v>1305.8173655537514</v>
      </c>
      <c r="X588">
        <v>7.3177254591249943</v>
      </c>
      <c r="Y588">
        <v>2932.2725537367573</v>
      </c>
      <c r="Z588">
        <v>10.322541011649321</v>
      </c>
      <c r="AA588">
        <v>2751.9088868723557</v>
      </c>
      <c r="AB588">
        <v>7.3514177902595241</v>
      </c>
      <c r="AC588">
        <v>2277.1494129867751</v>
      </c>
      <c r="AD588">
        <v>10.292799703603885</v>
      </c>
      <c r="AE588">
        <v>2051.6317800687175</v>
      </c>
      <c r="AF588">
        <v>7.3346119253651683</v>
      </c>
      <c r="AG588">
        <v>2145.2122336566335</v>
      </c>
      <c r="AH588">
        <v>10.291800502501262</v>
      </c>
      <c r="AI588">
        <v>1914.0555113800369</v>
      </c>
      <c r="AJ588">
        <v>7.3340467818346653</v>
      </c>
    </row>
    <row r="589" spans="4:36" x14ac:dyDescent="0.55000000000000004">
      <c r="D589">
        <v>582</v>
      </c>
      <c r="E589">
        <v>12.355614186649774</v>
      </c>
      <c r="F589">
        <v>0.45564073449863907</v>
      </c>
      <c r="G589">
        <v>0.14847333032919863</v>
      </c>
      <c r="H589">
        <v>17.040271748522397</v>
      </c>
      <c r="I589">
        <v>12.539559162618628</v>
      </c>
      <c r="J589">
        <v>0.31443026861396389</v>
      </c>
      <c r="K589">
        <v>0.10217904535228975</v>
      </c>
      <c r="L589">
        <v>17.043831523415118</v>
      </c>
      <c r="M589">
        <v>12.465258182979651</v>
      </c>
      <c r="N589">
        <v>0.3714907771496076</v>
      </c>
      <c r="O589">
        <v>0.12085477578600677</v>
      </c>
      <c r="P589">
        <v>17.042396264084733</v>
      </c>
      <c r="Q589">
        <v>12.436055684341191</v>
      </c>
      <c r="R589">
        <v>0.39390937802552572</v>
      </c>
      <c r="S589">
        <v>0.12820375015644053</v>
      </c>
      <c r="T589">
        <v>17.041831187476845</v>
      </c>
      <c r="U589">
        <v>1530.1518204344607</v>
      </c>
      <c r="V589">
        <v>9.7164342307734781</v>
      </c>
      <c r="W589">
        <v>1277.9284546142837</v>
      </c>
      <c r="X589">
        <v>6.9946176869531307</v>
      </c>
      <c r="Y589">
        <v>2901.805805386748</v>
      </c>
      <c r="Z589">
        <v>9.7498589514195011</v>
      </c>
      <c r="AA589">
        <v>2731.9877289227857</v>
      </c>
      <c r="AB589">
        <v>7.0143257271043256</v>
      </c>
      <c r="AC589">
        <v>2220.9881430279593</v>
      </c>
      <c r="AD589">
        <v>9.736355664515381</v>
      </c>
      <c r="AE589">
        <v>2016.7197432379533</v>
      </c>
      <c r="AF589">
        <v>7.0063714799560666</v>
      </c>
      <c r="AG589">
        <v>2116.0256160219978</v>
      </c>
      <c r="AH589">
        <v>9.7310492188858646</v>
      </c>
      <c r="AI589">
        <v>1897.2878692281051</v>
      </c>
      <c r="AJ589">
        <v>7.0032428471369919</v>
      </c>
    </row>
    <row r="590" spans="4:36" x14ac:dyDescent="0.55000000000000004">
      <c r="D590">
        <v>583</v>
      </c>
      <c r="E590">
        <v>11.10341064828614</v>
      </c>
      <c r="F590">
        <v>0.41120437050206871</v>
      </c>
      <c r="G590">
        <v>0.14918340902605429</v>
      </c>
      <c r="H590">
        <v>18.336201572185729</v>
      </c>
      <c r="I590">
        <v>11.28194727435474</v>
      </c>
      <c r="J590">
        <v>0.26546036986810773</v>
      </c>
      <c r="K590">
        <v>9.6034055223523582E-2</v>
      </c>
      <c r="L590">
        <v>18.356558300553619</v>
      </c>
      <c r="M590">
        <v>11.198564472810411</v>
      </c>
      <c r="N590">
        <v>0.3335459914117499</v>
      </c>
      <c r="O590">
        <v>0.12082510921837988</v>
      </c>
      <c r="P590">
        <v>18.347064426559449</v>
      </c>
      <c r="Q590">
        <v>11.17782628782526</v>
      </c>
      <c r="R590">
        <v>0.3504746904894544</v>
      </c>
      <c r="S590">
        <v>0.12699946396858963</v>
      </c>
      <c r="T590">
        <v>18.344699557716694</v>
      </c>
      <c r="U590">
        <v>1447.789134952945</v>
      </c>
      <c r="V590">
        <v>8.7794920769139573</v>
      </c>
      <c r="W590">
        <v>1232.9666182793953</v>
      </c>
      <c r="X590">
        <v>6.4501118573215201</v>
      </c>
      <c r="Y590">
        <v>2823.4013076728929</v>
      </c>
      <c r="Z590">
        <v>8.8010970278878293</v>
      </c>
      <c r="AA590">
        <v>2686.3218222616474</v>
      </c>
      <c r="AB590">
        <v>6.4639183986858146</v>
      </c>
      <c r="AC590">
        <v>2122.1944171226605</v>
      </c>
      <c r="AD590">
        <v>8.7909992459699993</v>
      </c>
      <c r="AE590">
        <v>1956.7774097650929</v>
      </c>
      <c r="AF590">
        <v>6.4574735594782027</v>
      </c>
      <c r="AG590">
        <v>2003.2984011819397</v>
      </c>
      <c r="AH590">
        <v>8.7884898607866226</v>
      </c>
      <c r="AI590">
        <v>1828.1795821582275</v>
      </c>
      <c r="AJ590">
        <v>6.4558697669271217</v>
      </c>
    </row>
    <row r="591" spans="4:36" x14ac:dyDescent="0.55000000000000004">
      <c r="D591">
        <v>584</v>
      </c>
      <c r="E591">
        <v>12.681471610934366</v>
      </c>
      <c r="F591">
        <v>0.45371758456567823</v>
      </c>
      <c r="G591">
        <v>0.15682098950620571</v>
      </c>
      <c r="H591">
        <v>16.707989814993752</v>
      </c>
      <c r="I591">
        <v>12.871191770642112</v>
      </c>
      <c r="J591">
        <v>0.31439931352891481</v>
      </c>
      <c r="K591">
        <v>0.108374374450962</v>
      </c>
      <c r="L591">
        <v>16.706034541378017</v>
      </c>
      <c r="M591">
        <v>12.797117810186759</v>
      </c>
      <c r="N591">
        <v>0.36881894513409208</v>
      </c>
      <c r="O591">
        <v>0.12726668281255799</v>
      </c>
      <c r="P591">
        <v>16.706796561866582</v>
      </c>
      <c r="Q591">
        <v>12.767916088885769</v>
      </c>
      <c r="R591">
        <v>0.3902638685745643</v>
      </c>
      <c r="S591">
        <v>0.13472258549685762</v>
      </c>
      <c r="T591">
        <v>16.707097457042824</v>
      </c>
      <c r="U591">
        <v>1535.7528019905988</v>
      </c>
      <c r="V591">
        <v>10.069844549737912</v>
      </c>
      <c r="W591">
        <v>1280.6195268812407</v>
      </c>
      <c r="X591">
        <v>7.2145708211316801</v>
      </c>
      <c r="Y591">
        <v>2903.1865802984362</v>
      </c>
      <c r="Z591">
        <v>10.10942960661531</v>
      </c>
      <c r="AA591">
        <v>2732.0042044449751</v>
      </c>
      <c r="AB591">
        <v>7.2374103255479243</v>
      </c>
      <c r="AC591">
        <v>2236.8278424449395</v>
      </c>
      <c r="AD591">
        <v>10.093974712093583</v>
      </c>
      <c r="AE591">
        <v>2027.1253981168427</v>
      </c>
      <c r="AF591">
        <v>7.2285012265895636</v>
      </c>
      <c r="AG591">
        <v>2151.3055978823377</v>
      </c>
      <c r="AH591">
        <v>10.087881808108015</v>
      </c>
      <c r="AI591">
        <v>1921.6755686990498</v>
      </c>
      <c r="AJ591">
        <v>7.22498613295972</v>
      </c>
    </row>
    <row r="592" spans="4:36" x14ac:dyDescent="0.55000000000000004">
      <c r="D592">
        <v>585</v>
      </c>
      <c r="E592">
        <v>12.622478482145828</v>
      </c>
      <c r="F592">
        <v>0.42108792519832117</v>
      </c>
      <c r="G592">
        <v>0.14886823384346359</v>
      </c>
      <c r="H592">
        <v>16.807565358812408</v>
      </c>
      <c r="I592">
        <v>12.829554702362753</v>
      </c>
      <c r="J592">
        <v>0.2804273297607216</v>
      </c>
      <c r="K592">
        <v>9.8831829822549275E-2</v>
      </c>
      <c r="L592">
        <v>16.791186138053998</v>
      </c>
      <c r="M592">
        <v>12.747174661042427</v>
      </c>
      <c r="N592">
        <v>0.33641929963314909</v>
      </c>
      <c r="O592">
        <v>0.11871165727539894</v>
      </c>
      <c r="P592">
        <v>16.797694382049041</v>
      </c>
      <c r="Q592">
        <v>12.706012651851326</v>
      </c>
      <c r="R592">
        <v>0.36437960910410411</v>
      </c>
      <c r="S592">
        <v>0.12865759030249843</v>
      </c>
      <c r="T592">
        <v>16.800950148742068</v>
      </c>
      <c r="U592">
        <v>1520.584305427263</v>
      </c>
      <c r="V592">
        <v>10.050725131327198</v>
      </c>
      <c r="W592">
        <v>1274.3301514363782</v>
      </c>
      <c r="X592">
        <v>7.2108836627665847</v>
      </c>
      <c r="Y592">
        <v>2882.1288173344578</v>
      </c>
      <c r="Z592">
        <v>10.099827692051159</v>
      </c>
      <c r="AA592">
        <v>2720.8571209829238</v>
      </c>
      <c r="AB592">
        <v>7.2387657019010376</v>
      </c>
      <c r="AC592">
        <v>2197.9178972878776</v>
      </c>
      <c r="AD592">
        <v>10.08029799222049</v>
      </c>
      <c r="AE592">
        <v>2003.274663998455</v>
      </c>
      <c r="AF592">
        <v>7.2276861002860304</v>
      </c>
      <c r="AG592">
        <v>2101.0179801805471</v>
      </c>
      <c r="AH592">
        <v>10.070537555174395</v>
      </c>
      <c r="AI592">
        <v>1889.2748142183355</v>
      </c>
      <c r="AJ592">
        <v>7.2221438712043806</v>
      </c>
    </row>
    <row r="593" spans="4:36" x14ac:dyDescent="0.55000000000000004">
      <c r="D593">
        <v>586</v>
      </c>
      <c r="E593">
        <v>11.624410480914131</v>
      </c>
      <c r="F593">
        <v>0.40810957887132687</v>
      </c>
      <c r="G593">
        <v>0.17828531582475166</v>
      </c>
      <c r="H593">
        <v>17.789194624389786</v>
      </c>
      <c r="I593">
        <v>11.837350146544667</v>
      </c>
      <c r="J593">
        <v>0.25365184399382951</v>
      </c>
      <c r="K593">
        <v>0.11043369311731194</v>
      </c>
      <c r="L593">
        <v>17.798564316344194</v>
      </c>
      <c r="M593">
        <v>11.722503739635526</v>
      </c>
      <c r="N593">
        <v>0.3369914038187829</v>
      </c>
      <c r="O593">
        <v>0.1469857926733405</v>
      </c>
      <c r="P593">
        <v>17.793519063872353</v>
      </c>
      <c r="Q593">
        <v>11.725106389324756</v>
      </c>
      <c r="R593">
        <v>0.33510365801302111</v>
      </c>
      <c r="S593">
        <v>0.14615634216803397</v>
      </c>
      <c r="T593">
        <v>17.793633610494197</v>
      </c>
      <c r="U593">
        <v>1503.9802447616869</v>
      </c>
      <c r="V593">
        <v>9.2257215215725932</v>
      </c>
      <c r="W593">
        <v>1267.378749935471</v>
      </c>
      <c r="X593">
        <v>6.7194895646347277</v>
      </c>
      <c r="Y593">
        <v>2866.4183198890223</v>
      </c>
      <c r="Z593">
        <v>9.2611065262343466</v>
      </c>
      <c r="AA593">
        <v>2714.247831128318</v>
      </c>
      <c r="AB593">
        <v>6.7406946396663576</v>
      </c>
      <c r="AC593">
        <v>2186.7251801474467</v>
      </c>
      <c r="AD593">
        <v>9.2420185189631106</v>
      </c>
      <c r="AE593">
        <v>1998.2387459265806</v>
      </c>
      <c r="AF593">
        <v>6.7292667998851572</v>
      </c>
      <c r="AG593">
        <v>2078.9588550420222</v>
      </c>
      <c r="AH593">
        <v>9.242451000144877</v>
      </c>
      <c r="AI593">
        <v>1879.0673025341343</v>
      </c>
      <c r="AJ593">
        <v>6.729526006172347</v>
      </c>
    </row>
    <row r="594" spans="4:36" x14ac:dyDescent="0.55000000000000004">
      <c r="D594">
        <v>587</v>
      </c>
      <c r="E594">
        <v>11.450749967051184</v>
      </c>
      <c r="F594">
        <v>0.45429691098184799</v>
      </c>
      <c r="G594">
        <v>0.1635781835252772</v>
      </c>
      <c r="H594">
        <v>17.931374938441696</v>
      </c>
      <c r="I594">
        <v>11.628251235752495</v>
      </c>
      <c r="J594">
        <v>0.29896815138122645</v>
      </c>
      <c r="K594">
        <v>0.10735298324038905</v>
      </c>
      <c r="L594">
        <v>17.965427629625882</v>
      </c>
      <c r="M594">
        <v>11.561734583704531</v>
      </c>
      <c r="N594">
        <v>0.35718769334456724</v>
      </c>
      <c r="O594">
        <v>0.1283903195578823</v>
      </c>
      <c r="P594">
        <v>17.952687403393014</v>
      </c>
      <c r="Q594">
        <v>11.495910968162018</v>
      </c>
      <c r="R594">
        <v>0.41478675405509779</v>
      </c>
      <c r="S594">
        <v>0.14924667611193687</v>
      </c>
      <c r="T594">
        <v>17.940055601670959</v>
      </c>
      <c r="U594">
        <v>1490.77204100366</v>
      </c>
      <c r="V594">
        <v>9.0536227798569655</v>
      </c>
      <c r="W594">
        <v>1251.1062961005596</v>
      </c>
      <c r="X594">
        <v>6.6050686700273031</v>
      </c>
      <c r="Y594">
        <v>2889.4940377675684</v>
      </c>
      <c r="Z594">
        <v>9.0640285953557402</v>
      </c>
      <c r="AA594">
        <v>2725.6755513223093</v>
      </c>
      <c r="AB594">
        <v>6.6128454958227039</v>
      </c>
      <c r="AC594">
        <v>2183.2886567869282</v>
      </c>
      <c r="AD594">
        <v>9.060117151438547</v>
      </c>
      <c r="AE594">
        <v>1991.987265229767</v>
      </c>
      <c r="AF594">
        <v>6.6099299935780431</v>
      </c>
      <c r="AG594">
        <v>2120.0195810576824</v>
      </c>
      <c r="AH594">
        <v>9.0562605688207434</v>
      </c>
      <c r="AI594">
        <v>1900.0848316025549</v>
      </c>
      <c r="AJ594">
        <v>6.6070463080385613</v>
      </c>
    </row>
    <row r="595" spans="4:36" x14ac:dyDescent="0.55000000000000004">
      <c r="D595">
        <v>588</v>
      </c>
      <c r="E595">
        <v>12.383225937125015</v>
      </c>
      <c r="F595">
        <v>0.46247051615723789</v>
      </c>
      <c r="G595">
        <v>0.16662147403192915</v>
      </c>
      <c r="H595">
        <v>16.987682072685836</v>
      </c>
      <c r="I595">
        <v>12.591275792027584</v>
      </c>
      <c r="J595">
        <v>0.3038089162753167</v>
      </c>
      <c r="K595">
        <v>0.10912385565920946</v>
      </c>
      <c r="L595">
        <v>16.995791436037901</v>
      </c>
      <c r="M595">
        <v>12.524835575162712</v>
      </c>
      <c r="N595">
        <v>0.35450207222535413</v>
      </c>
      <c r="O595">
        <v>0.12745591369920098</v>
      </c>
      <c r="P595">
        <v>16.993206438912747</v>
      </c>
      <c r="Q595">
        <v>12.496759351725416</v>
      </c>
      <c r="R595">
        <v>0.37591691233469643</v>
      </c>
      <c r="S595">
        <v>0.13521098397003287</v>
      </c>
      <c r="T595">
        <v>16.992112751969845</v>
      </c>
      <c r="U595">
        <v>1573.4019297781681</v>
      </c>
      <c r="V595">
        <v>9.7344313029769687</v>
      </c>
      <c r="W595">
        <v>1307.7860913346651</v>
      </c>
      <c r="X595">
        <v>7.0014361115782613</v>
      </c>
      <c r="Y595">
        <v>2898.5124006443402</v>
      </c>
      <c r="Z595">
        <v>9.766984180722682</v>
      </c>
      <c r="AA595">
        <v>2729.8259211836589</v>
      </c>
      <c r="AB595">
        <v>7.0206583693875242</v>
      </c>
      <c r="AC595">
        <v>2204.5030242721245</v>
      </c>
      <c r="AD595">
        <v>9.7565862218058914</v>
      </c>
      <c r="AE595">
        <v>2005.3908759690057</v>
      </c>
      <c r="AF595">
        <v>7.0145260522697335</v>
      </c>
      <c r="AG595">
        <v>2116.8943526608709</v>
      </c>
      <c r="AH595">
        <v>9.7521929045324125</v>
      </c>
      <c r="AI595">
        <v>1898.5302058335276</v>
      </c>
      <c r="AJ595">
        <v>7.0119329081843125</v>
      </c>
    </row>
    <row r="596" spans="4:36" x14ac:dyDescent="0.55000000000000004">
      <c r="D596">
        <v>589</v>
      </c>
      <c r="E596">
        <v>13.46141868335617</v>
      </c>
      <c r="F596">
        <v>0.46156578320990427</v>
      </c>
      <c r="G596">
        <v>0.17559740263761686</v>
      </c>
      <c r="H596">
        <v>15.901418130796303</v>
      </c>
      <c r="I596">
        <v>13.742740312686946</v>
      </c>
      <c r="J596">
        <v>0.28168178366069163</v>
      </c>
      <c r="K596">
        <v>0.10675627955680725</v>
      </c>
      <c r="L596">
        <v>15.868821624095538</v>
      </c>
      <c r="M596">
        <v>13.66374620468642</v>
      </c>
      <c r="N596">
        <v>0.33224686548337001</v>
      </c>
      <c r="O596">
        <v>0.12605380061242238</v>
      </c>
      <c r="P596">
        <v>15.877953129217792</v>
      </c>
      <c r="Q596">
        <v>13.582884223330915</v>
      </c>
      <c r="R596">
        <v>0.38396386040314051</v>
      </c>
      <c r="S596">
        <v>0.14583406739230714</v>
      </c>
      <c r="T596">
        <v>15.887317848873632</v>
      </c>
      <c r="U596">
        <v>1580.2025981956654</v>
      </c>
      <c r="V596">
        <v>10.630698685447502</v>
      </c>
      <c r="W596">
        <v>1308.1035161884506</v>
      </c>
      <c r="X596">
        <v>7.5302877520978537</v>
      </c>
      <c r="Y596">
        <v>2912.6306858521393</v>
      </c>
      <c r="Z596">
        <v>10.70207031041568</v>
      </c>
      <c r="AA596">
        <v>2738.5619383372773</v>
      </c>
      <c r="AB596">
        <v>7.5697283186188749</v>
      </c>
      <c r="AC596">
        <v>2221.5849076034865</v>
      </c>
      <c r="AD596">
        <v>10.682042363771357</v>
      </c>
      <c r="AE596">
        <v>2015.6836662265425</v>
      </c>
      <c r="AF596">
        <v>7.5586740943536306</v>
      </c>
      <c r="AG596">
        <v>2147.3833708277812</v>
      </c>
      <c r="AH596">
        <v>10.66153041382468</v>
      </c>
      <c r="AI596">
        <v>1915.8032903762619</v>
      </c>
      <c r="AJ596">
        <v>7.5473419537689237</v>
      </c>
    </row>
    <row r="597" spans="4:36" x14ac:dyDescent="0.55000000000000004">
      <c r="D597">
        <v>590</v>
      </c>
      <c r="E597">
        <v>11.521327944069084</v>
      </c>
      <c r="F597">
        <v>0.45635937011413741</v>
      </c>
      <c r="G597">
        <v>0.19457708798228998</v>
      </c>
      <c r="H597">
        <v>17.82773559783449</v>
      </c>
      <c r="I597">
        <v>11.691373251909628</v>
      </c>
      <c r="J597">
        <v>0.31041823188747131</v>
      </c>
      <c r="K597">
        <v>0.1319834759450848</v>
      </c>
      <c r="L597">
        <v>17.866225040257806</v>
      </c>
      <c r="M597">
        <v>11.625173015586876</v>
      </c>
      <c r="N597">
        <v>0.36724676583474308</v>
      </c>
      <c r="O597">
        <v>0.1563149721601538</v>
      </c>
      <c r="P597">
        <v>17.85126524641823</v>
      </c>
      <c r="Q597">
        <v>11.592933947904479</v>
      </c>
      <c r="R597">
        <v>0.39491622602462451</v>
      </c>
      <c r="S597">
        <v>0.1681811768018236</v>
      </c>
      <c r="T597">
        <v>17.843968649269073</v>
      </c>
      <c r="U597">
        <v>1526.0446121006194</v>
      </c>
      <c r="V597">
        <v>9.1567000567287433</v>
      </c>
      <c r="W597">
        <v>1275.5435464493958</v>
      </c>
      <c r="X597">
        <v>6.6703689254170051</v>
      </c>
      <c r="Y597">
        <v>2896.5448466627254</v>
      </c>
      <c r="Z597">
        <v>9.1674230166191784</v>
      </c>
      <c r="AA597">
        <v>2728.8825205210114</v>
      </c>
      <c r="AB597">
        <v>6.6786449741190692</v>
      </c>
      <c r="AC597">
        <v>2178.1278198050459</v>
      </c>
      <c r="AD597">
        <v>9.1632342843754007</v>
      </c>
      <c r="AE597">
        <v>1986.2204910779192</v>
      </c>
      <c r="AF597">
        <v>6.6754211361625799</v>
      </c>
      <c r="AG597">
        <v>2109.9420127989974</v>
      </c>
      <c r="AH597">
        <v>9.1612009272934642</v>
      </c>
      <c r="AI597">
        <v>1893.3784276060994</v>
      </c>
      <c r="AJ597">
        <v>6.6738520209421441</v>
      </c>
    </row>
    <row r="598" spans="4:36" x14ac:dyDescent="0.55000000000000004">
      <c r="D598">
        <v>591</v>
      </c>
      <c r="E598">
        <v>12.766358160376686</v>
      </c>
      <c r="F598">
        <v>0.45478749253562289</v>
      </c>
      <c r="G598">
        <v>0.17301216614376375</v>
      </c>
      <c r="H598">
        <v>16.605842180943931</v>
      </c>
      <c r="I598">
        <v>13.005031615811703</v>
      </c>
      <c r="J598">
        <v>0.28980052550035518</v>
      </c>
      <c r="K598">
        <v>0.10987090658526726</v>
      </c>
      <c r="L598">
        <v>16.595296952102682</v>
      </c>
      <c r="M598">
        <v>12.91784663222564</v>
      </c>
      <c r="N598">
        <v>0.35011049994049465</v>
      </c>
      <c r="O598">
        <v>0.13290102906878148</v>
      </c>
      <c r="P598">
        <v>16.599141838765096</v>
      </c>
      <c r="Q598">
        <v>12.870230121726475</v>
      </c>
      <c r="R598">
        <v>0.38302879539805657</v>
      </c>
      <c r="S598">
        <v>0.14549586550029747</v>
      </c>
      <c r="T598">
        <v>16.601245217375176</v>
      </c>
      <c r="U598">
        <v>1546.2573207663445</v>
      </c>
      <c r="V598">
        <v>10.12035514987131</v>
      </c>
      <c r="W598">
        <v>1286.6404554577746</v>
      </c>
      <c r="X598">
        <v>7.239403612622632</v>
      </c>
      <c r="Y598">
        <v>2898.5685373017318</v>
      </c>
      <c r="Z598">
        <v>10.169839529096953</v>
      </c>
      <c r="AA598">
        <v>2729.5732381088819</v>
      </c>
      <c r="AB598">
        <v>7.267532938166581</v>
      </c>
      <c r="AC598">
        <v>2206.2991745601475</v>
      </c>
      <c r="AD598">
        <v>10.151767771802181</v>
      </c>
      <c r="AE598">
        <v>2005.3882375484882</v>
      </c>
      <c r="AF598">
        <v>7.257271195365842</v>
      </c>
      <c r="AG598">
        <v>2136.4863818264048</v>
      </c>
      <c r="AH598">
        <v>10.14189567049449</v>
      </c>
      <c r="AI598">
        <v>1910.2460784871239</v>
      </c>
      <c r="AJ598">
        <v>7.2516601088045425</v>
      </c>
    </row>
    <row r="599" spans="4:36" x14ac:dyDescent="0.55000000000000004">
      <c r="D599">
        <v>592</v>
      </c>
      <c r="E599">
        <v>11.680943049966261</v>
      </c>
      <c r="F599">
        <v>0.41884760377521146</v>
      </c>
      <c r="G599">
        <v>0.15254348016764277</v>
      </c>
      <c r="H599">
        <v>17.74766586609087</v>
      </c>
      <c r="I599">
        <v>11.860787927602631</v>
      </c>
      <c r="J599">
        <v>0.27876582137363487</v>
      </c>
      <c r="K599">
        <v>0.1012543391461166</v>
      </c>
      <c r="L599">
        <v>17.759191911877608</v>
      </c>
      <c r="M599">
        <v>11.775043881427466</v>
      </c>
      <c r="N599">
        <v>0.3455730760385487</v>
      </c>
      <c r="O599">
        <v>0.12568023056984012</v>
      </c>
      <c r="P599">
        <v>17.753702811964146</v>
      </c>
      <c r="Q599">
        <v>11.753442631564345</v>
      </c>
      <c r="R599">
        <v>0.36239763702557504</v>
      </c>
      <c r="S599">
        <v>0.13184153067157772</v>
      </c>
      <c r="T599">
        <v>17.752318200738518</v>
      </c>
      <c r="U599">
        <v>1508.7293742825616</v>
      </c>
      <c r="V599">
        <v>9.2506180753562326</v>
      </c>
      <c r="W599">
        <v>1270.9174584364316</v>
      </c>
      <c r="X599">
        <v>6.731837792407223</v>
      </c>
      <c r="Y599">
        <v>2862.7407015809163</v>
      </c>
      <c r="Z599">
        <v>9.2777211562819843</v>
      </c>
      <c r="AA599">
        <v>2710.1239306894608</v>
      </c>
      <c r="AB599">
        <v>6.7483106894355958</v>
      </c>
      <c r="AC599">
        <v>2190.5125759821281</v>
      </c>
      <c r="AD599">
        <v>9.2647953886118035</v>
      </c>
      <c r="AE599">
        <v>2001.1221909310552</v>
      </c>
      <c r="AF599">
        <v>6.7404621668628275</v>
      </c>
      <c r="AG599">
        <v>2078.7480193632227</v>
      </c>
      <c r="AH599">
        <v>9.2615401611914905</v>
      </c>
      <c r="AI599">
        <v>1877.4953078306432</v>
      </c>
      <c r="AJ599">
        <v>6.7384834208189881</v>
      </c>
    </row>
    <row r="600" spans="4:36" x14ac:dyDescent="0.55000000000000004">
      <c r="D600">
        <v>593</v>
      </c>
      <c r="E600">
        <v>12.382015353545331</v>
      </c>
      <c r="F600">
        <v>0.43626820667301924</v>
      </c>
      <c r="G600">
        <v>0.16379688706503062</v>
      </c>
      <c r="H600">
        <v>17.017919552716609</v>
      </c>
      <c r="I600">
        <v>12.594773300970772</v>
      </c>
      <c r="J600">
        <v>0.28147654508297915</v>
      </c>
      <c r="K600">
        <v>0.1053405258487663</v>
      </c>
      <c r="L600">
        <v>17.018409628097491</v>
      </c>
      <c r="M600">
        <v>12.477654447717724</v>
      </c>
      <c r="N600">
        <v>0.36671925397223437</v>
      </c>
      <c r="O600">
        <v>0.13748475777541505</v>
      </c>
      <c r="P600">
        <v>17.018141540534636</v>
      </c>
      <c r="Q600">
        <v>12.455801012765795</v>
      </c>
      <c r="R600">
        <v>0.38261590710559945</v>
      </c>
      <c r="S600">
        <v>0.143492018736076</v>
      </c>
      <c r="T600">
        <v>17.018091061392536</v>
      </c>
      <c r="U600">
        <v>1562.746049738048</v>
      </c>
      <c r="V600">
        <v>9.8042671902516734</v>
      </c>
      <c r="W600">
        <v>1300.3900318783292</v>
      </c>
      <c r="X600">
        <v>7.0551796854822246</v>
      </c>
      <c r="Y600">
        <v>2907.1673738776149</v>
      </c>
      <c r="Z600">
        <v>9.8432543825422449</v>
      </c>
      <c r="AA600">
        <v>2736.7368161320524</v>
      </c>
      <c r="AB600">
        <v>7.0779100133397694</v>
      </c>
      <c r="AC600">
        <v>2259.5342975898675</v>
      </c>
      <c r="AD600">
        <v>9.8217920411770674</v>
      </c>
      <c r="AE600">
        <v>2042.7386600200298</v>
      </c>
      <c r="AF600">
        <v>7.0654069635619319</v>
      </c>
      <c r="AG600">
        <v>2122.0364106388452</v>
      </c>
      <c r="AH600">
        <v>9.8177875294742751</v>
      </c>
      <c r="AI600">
        <v>1900.177028458407</v>
      </c>
      <c r="AJ600">
        <v>7.063071421299135</v>
      </c>
    </row>
    <row r="601" spans="4:36" x14ac:dyDescent="0.55000000000000004">
      <c r="D601">
        <v>594</v>
      </c>
      <c r="E601">
        <v>14.162927789223575</v>
      </c>
      <c r="F601">
        <v>0.50613757264782056</v>
      </c>
      <c r="G601">
        <v>0.17550694407774509</v>
      </c>
      <c r="H601">
        <v>15.15542769405087</v>
      </c>
      <c r="I601">
        <v>14.418360419440305</v>
      </c>
      <c r="J601">
        <v>0.33376727129386791</v>
      </c>
      <c r="K601">
        <v>0.11533688952937317</v>
      </c>
      <c r="L601">
        <v>15.132535419736463</v>
      </c>
      <c r="M601">
        <v>14.337552160368396</v>
      </c>
      <c r="N601">
        <v>0.38834147799852081</v>
      </c>
      <c r="O601">
        <v>0.13434165224714489</v>
      </c>
      <c r="P601">
        <v>15.139764709385949</v>
      </c>
      <c r="Q601">
        <v>14.265718728273502</v>
      </c>
      <c r="R601">
        <v>0.43682087757023008</v>
      </c>
      <c r="S601">
        <v>0.15125933519211165</v>
      </c>
      <c r="T601">
        <v>15.146201058964145</v>
      </c>
      <c r="U601">
        <v>1583.5736509261185</v>
      </c>
      <c r="V601">
        <v>11.112077569869802</v>
      </c>
      <c r="W601">
        <v>1302.3062306075328</v>
      </c>
      <c r="X601">
        <v>7.789809171120174</v>
      </c>
      <c r="Y601">
        <v>2943.828048392656</v>
      </c>
      <c r="Z601">
        <v>11.168531332717565</v>
      </c>
      <c r="AA601">
        <v>2753.7145161265425</v>
      </c>
      <c r="AB601">
        <v>7.8208788865079342</v>
      </c>
      <c r="AC601">
        <v>2251.0533132105206</v>
      </c>
      <c r="AD601">
        <v>11.150679830633536</v>
      </c>
      <c r="AE601">
        <v>2028.7647356782445</v>
      </c>
      <c r="AF601">
        <v>7.8110639311984418</v>
      </c>
      <c r="AG601">
        <v>2162.5673002403387</v>
      </c>
      <c r="AH601">
        <v>11.134804686573071</v>
      </c>
      <c r="AI601">
        <v>1918.5765093912075</v>
      </c>
      <c r="AJ601">
        <v>7.8023280606640411</v>
      </c>
    </row>
    <row r="602" spans="4:36" x14ac:dyDescent="0.55000000000000004">
      <c r="D602">
        <v>595</v>
      </c>
      <c r="E602">
        <v>14.093834981925479</v>
      </c>
      <c r="F602">
        <v>0.46776418060992447</v>
      </c>
      <c r="G602">
        <v>0.15214994846166008</v>
      </c>
      <c r="H602">
        <v>15.286250889002929</v>
      </c>
      <c r="I602">
        <v>14.370876158243501</v>
      </c>
      <c r="J602">
        <v>0.29705822912169172</v>
      </c>
      <c r="K602">
        <v>9.6275702111791692E-2</v>
      </c>
      <c r="L602">
        <v>15.235789910523016</v>
      </c>
      <c r="M602">
        <v>14.257353574175191</v>
      </c>
      <c r="N602">
        <v>0.36707172257581183</v>
      </c>
      <c r="O602">
        <v>0.11914234073848094</v>
      </c>
      <c r="P602">
        <v>15.256432362510511</v>
      </c>
      <c r="Q602">
        <v>14.24598169859757</v>
      </c>
      <c r="R602">
        <v>0.37408032285613252</v>
      </c>
      <c r="S602">
        <v>0.12143515212894546</v>
      </c>
      <c r="T602">
        <v>15.258502826417345</v>
      </c>
      <c r="U602">
        <v>1638.1641566001626</v>
      </c>
      <c r="V602">
        <v>11.059611327240271</v>
      </c>
      <c r="W602">
        <v>1346.6943606471821</v>
      </c>
      <c r="X602">
        <v>7.7684157781801968</v>
      </c>
      <c r="Y602">
        <v>2940.2280900273095</v>
      </c>
      <c r="Z602">
        <v>11.139388002200725</v>
      </c>
      <c r="AA602">
        <v>2755.6632933573173</v>
      </c>
      <c r="AB602">
        <v>7.8118927720448577</v>
      </c>
      <c r="AC602">
        <v>2276.883344126878</v>
      </c>
      <c r="AD602">
        <v>11.106717172758358</v>
      </c>
      <c r="AE602">
        <v>2050.9006991585093</v>
      </c>
      <c r="AF602">
        <v>7.7941034590359921</v>
      </c>
      <c r="AG602">
        <v>2178.9684217125964</v>
      </c>
      <c r="AH602">
        <v>11.103442991046522</v>
      </c>
      <c r="AI602">
        <v>1936.9059828997561</v>
      </c>
      <c r="AJ602">
        <v>7.7923194641008608</v>
      </c>
    </row>
    <row r="603" spans="4:36" x14ac:dyDescent="0.55000000000000004">
      <c r="D603">
        <v>596</v>
      </c>
      <c r="E603">
        <v>13.661549375751932</v>
      </c>
      <c r="F603">
        <v>0.46387275887274049</v>
      </c>
      <c r="G603">
        <v>0.15942502316839929</v>
      </c>
      <c r="H603">
        <v>15.715152842206937</v>
      </c>
      <c r="I603">
        <v>13.890441733237916</v>
      </c>
      <c r="J603">
        <v>0.30763693746207821</v>
      </c>
      <c r="K603">
        <v>0.10539138011019891</v>
      </c>
      <c r="L603">
        <v>15.696529949189816</v>
      </c>
      <c r="M603">
        <v>13.77339542303716</v>
      </c>
      <c r="N603">
        <v>0.38757025028544817</v>
      </c>
      <c r="O603">
        <v>0.13299210965880767</v>
      </c>
      <c r="P603">
        <v>15.706042217018574</v>
      </c>
      <c r="Q603">
        <v>13.720059405668655</v>
      </c>
      <c r="R603">
        <v>0.42396636212464589</v>
      </c>
      <c r="S603">
        <v>0.14559000423357762</v>
      </c>
      <c r="T603">
        <v>15.710384227973117</v>
      </c>
      <c r="U603">
        <v>1613.9593398163704</v>
      </c>
      <c r="V603">
        <v>10.79620741827968</v>
      </c>
      <c r="W603">
        <v>1330.4238675555064</v>
      </c>
      <c r="X603">
        <v>7.6253774780532009</v>
      </c>
      <c r="Y603">
        <v>2933.9074535910977</v>
      </c>
      <c r="Z603">
        <v>10.848894050469049</v>
      </c>
      <c r="AA603">
        <v>2750.9540758236408</v>
      </c>
      <c r="AB603">
        <v>7.65477410276951</v>
      </c>
      <c r="AC603">
        <v>2255.7297023478345</v>
      </c>
      <c r="AD603">
        <v>10.821958323152661</v>
      </c>
      <c r="AE603">
        <v>2035.0417249077443</v>
      </c>
      <c r="AF603">
        <v>7.6397557884310112</v>
      </c>
      <c r="AG603">
        <v>2166.676683276778</v>
      </c>
      <c r="AH603">
        <v>10.809679950865522</v>
      </c>
      <c r="AI603">
        <v>1925.5457561518133</v>
      </c>
      <c r="AJ603">
        <v>7.6329025496232124</v>
      </c>
    </row>
    <row r="604" spans="4:36" x14ac:dyDescent="0.55000000000000004">
      <c r="D604">
        <v>597</v>
      </c>
      <c r="E604">
        <v>13.01116228921668</v>
      </c>
      <c r="F604">
        <v>0.53359714016420212</v>
      </c>
      <c r="G604">
        <v>0.19676153160316442</v>
      </c>
      <c r="H604">
        <v>16.258479039015956</v>
      </c>
      <c r="I604">
        <v>13.262737557566807</v>
      </c>
      <c r="J604">
        <v>0.3374757755870928</v>
      </c>
      <c r="K604">
        <v>0.12400763036097477</v>
      </c>
      <c r="L604">
        <v>16.275779036485119</v>
      </c>
      <c r="M604">
        <v>13.174259094191449</v>
      </c>
      <c r="N604">
        <v>0.40648616706134866</v>
      </c>
      <c r="O604">
        <v>0.14954905675816094</v>
      </c>
      <c r="P604">
        <v>16.269705681989024</v>
      </c>
      <c r="Q604">
        <v>13.13270300526332</v>
      </c>
      <c r="R604">
        <v>0.43888556912614146</v>
      </c>
      <c r="S604">
        <v>0.16156235111625303</v>
      </c>
      <c r="T604">
        <v>16.266849074494282</v>
      </c>
      <c r="U604">
        <v>1572.8695640559952</v>
      </c>
      <c r="V604">
        <v>10.159863253393592</v>
      </c>
      <c r="W604">
        <v>1295.9666277319343</v>
      </c>
      <c r="X604">
        <v>7.2318415980794724</v>
      </c>
      <c r="Y604">
        <v>2910.3827385966733</v>
      </c>
      <c r="Z604">
        <v>10.198541358364119</v>
      </c>
      <c r="AA604">
        <v>2732.0188348680799</v>
      </c>
      <c r="AB604">
        <v>7.254750500111359</v>
      </c>
      <c r="AC604">
        <v>2240.0380041294115</v>
      </c>
      <c r="AD604">
        <v>10.184932218969982</v>
      </c>
      <c r="AE604">
        <v>2022.396579394529</v>
      </c>
      <c r="AF604">
        <v>7.2467011577938516</v>
      </c>
      <c r="AG604">
        <v>2165.7809998428347</v>
      </c>
      <c r="AH604">
        <v>10.178542639054973</v>
      </c>
      <c r="AI604">
        <v>1923.7946251188114</v>
      </c>
      <c r="AJ604">
        <v>7.242917731077319</v>
      </c>
    </row>
    <row r="605" spans="4:36" x14ac:dyDescent="0.55000000000000004">
      <c r="D605">
        <v>598</v>
      </c>
      <c r="E605">
        <v>12.055944948890369</v>
      </c>
      <c r="F605">
        <v>0.4078298798983469</v>
      </c>
      <c r="G605">
        <v>0.16247406292452232</v>
      </c>
      <c r="H605">
        <v>17.373751108286772</v>
      </c>
      <c r="I605">
        <v>12.251869015106237</v>
      </c>
      <c r="J605">
        <v>0.26446767329055448</v>
      </c>
      <c r="K605">
        <v>0.10503201581248213</v>
      </c>
      <c r="L605">
        <v>17.378631295790729</v>
      </c>
      <c r="M605">
        <v>12.158967695851354</v>
      </c>
      <c r="N605">
        <v>0.33247409182767146</v>
      </c>
      <c r="O605">
        <v>0.13223535553578467</v>
      </c>
      <c r="P605">
        <v>17.376322856785187</v>
      </c>
      <c r="Q605">
        <v>12.122111078018266</v>
      </c>
      <c r="R605">
        <v>0.35944005334065632</v>
      </c>
      <c r="S605">
        <v>0.14304462516040298</v>
      </c>
      <c r="T605">
        <v>17.375404243480681</v>
      </c>
      <c r="U605">
        <v>1559.1468184668288</v>
      </c>
      <c r="V605">
        <v>9.4102608129429299</v>
      </c>
      <c r="W605">
        <v>1301.3173351784831</v>
      </c>
      <c r="X605">
        <v>6.8073955298791047</v>
      </c>
      <c r="Y605">
        <v>2886.2186384547954</v>
      </c>
      <c r="Z605">
        <v>9.4430095133846166</v>
      </c>
      <c r="AA605">
        <v>2723.7304704666899</v>
      </c>
      <c r="AB605">
        <v>6.8269367683916036</v>
      </c>
      <c r="AC605">
        <v>2188.5189922102732</v>
      </c>
      <c r="AD605">
        <v>9.4274774605080758</v>
      </c>
      <c r="AE605">
        <v>1994.9500955056753</v>
      </c>
      <c r="AF605">
        <v>6.8176777709021534</v>
      </c>
      <c r="AG605">
        <v>2096.0328396380669</v>
      </c>
      <c r="AH605">
        <v>9.4213172434395833</v>
      </c>
      <c r="AI605">
        <v>1884.1045386786095</v>
      </c>
      <c r="AJ605">
        <v>6.8140010382349034</v>
      </c>
    </row>
    <row r="606" spans="4:36" x14ac:dyDescent="0.55000000000000004">
      <c r="D606">
        <v>599</v>
      </c>
      <c r="E606">
        <v>12.86121112493063</v>
      </c>
      <c r="F606">
        <v>0.46146721572919014</v>
      </c>
      <c r="G606">
        <v>0.16724968623083877</v>
      </c>
      <c r="H606">
        <v>16.510071973109348</v>
      </c>
      <c r="I606">
        <v>13.062182968882787</v>
      </c>
      <c r="J606">
        <v>0.31898297806345299</v>
      </c>
      <c r="K606">
        <v>0.11528148727211007</v>
      </c>
      <c r="L606">
        <v>16.50355256578165</v>
      </c>
      <c r="M606">
        <v>12.990869732157352</v>
      </c>
      <c r="N606">
        <v>0.36957040535412256</v>
      </c>
      <c r="O606">
        <v>0.13369794741936766</v>
      </c>
      <c r="P606">
        <v>16.505861915069154</v>
      </c>
      <c r="Q606">
        <v>12.966211330849513</v>
      </c>
      <c r="R606">
        <v>0.38705516920631677</v>
      </c>
      <c r="S606">
        <v>0.14007204540572493</v>
      </c>
      <c r="T606">
        <v>16.506661454538449</v>
      </c>
      <c r="U606">
        <v>1570.4422936433034</v>
      </c>
      <c r="V606">
        <v>10.107008213719144</v>
      </c>
      <c r="W606">
        <v>1303.3705584567499</v>
      </c>
      <c r="X606">
        <v>7.2199968454074863</v>
      </c>
      <c r="Y606">
        <v>2931.841756488147</v>
      </c>
      <c r="Z606">
        <v>10.147528302302662</v>
      </c>
      <c r="AA606">
        <v>2751.1117991395417</v>
      </c>
      <c r="AB606">
        <v>7.2429639628278224</v>
      </c>
      <c r="AC606">
        <v>2223.4422772855323</v>
      </c>
      <c r="AD606">
        <v>10.133153365039661</v>
      </c>
      <c r="AE606">
        <v>2016.1116687388405</v>
      </c>
      <c r="AF606">
        <v>7.2348235452785126</v>
      </c>
      <c r="AG606">
        <v>2131.6893070294054</v>
      </c>
      <c r="AH606">
        <v>10.128182019155412</v>
      </c>
      <c r="AI606">
        <v>1906.342794669727</v>
      </c>
      <c r="AJ606">
        <v>7.2320064212024118</v>
      </c>
    </row>
    <row r="607" spans="4:36" x14ac:dyDescent="0.55000000000000004">
      <c r="D607">
        <v>600</v>
      </c>
      <c r="E607">
        <v>13.568659143468869</v>
      </c>
      <c r="F607">
        <v>0.49215700784885164</v>
      </c>
      <c r="G607">
        <v>0.20526102898196483</v>
      </c>
      <c r="H607">
        <v>15.733922819700329</v>
      </c>
      <c r="I607">
        <v>13.837546567449108</v>
      </c>
      <c r="J607">
        <v>0.30995677420273138</v>
      </c>
      <c r="K607">
        <v>0.12880408454160777</v>
      </c>
      <c r="L607">
        <v>15.72369257380655</v>
      </c>
      <c r="M607">
        <v>13.766471468170478</v>
      </c>
      <c r="N607">
        <v>0.35816202320441654</v>
      </c>
      <c r="O607">
        <v>0.14897783051831037</v>
      </c>
      <c r="P607">
        <v>15.726388678106796</v>
      </c>
      <c r="Q607">
        <v>13.707101619683545</v>
      </c>
      <c r="R607">
        <v>0.3984041884589436</v>
      </c>
      <c r="S607">
        <v>0.16584901121789708</v>
      </c>
      <c r="T607">
        <v>15.728645180639624</v>
      </c>
      <c r="U607">
        <v>1664.3221563564696</v>
      </c>
      <c r="V607">
        <v>10.754823593809578</v>
      </c>
      <c r="W607">
        <v>1362.3011245480018</v>
      </c>
      <c r="X607">
        <v>7.5994181966210004</v>
      </c>
      <c r="Y607">
        <v>2910.3952368920668</v>
      </c>
      <c r="Z607">
        <v>10.809464442255988</v>
      </c>
      <c r="AA607">
        <v>2732.8118883510392</v>
      </c>
      <c r="AB607">
        <v>7.6300534414418983</v>
      </c>
      <c r="AC607">
        <v>2279.7953958491735</v>
      </c>
      <c r="AD607">
        <v>10.795026297614253</v>
      </c>
      <c r="AE607">
        <v>2052.6305907874284</v>
      </c>
      <c r="AF607">
        <v>7.6219686538568245</v>
      </c>
      <c r="AG607">
        <v>2180.6259626837759</v>
      </c>
      <c r="AH607">
        <v>10.782963161365952</v>
      </c>
      <c r="AI607">
        <v>1935.5082884947722</v>
      </c>
      <c r="AJ607">
        <v>7.6152081994128826</v>
      </c>
    </row>
    <row r="608" spans="4:36" x14ac:dyDescent="0.55000000000000004">
      <c r="D608">
        <v>601</v>
      </c>
      <c r="E608">
        <v>13.63028385714852</v>
      </c>
      <c r="F608">
        <v>0.48225330803457372</v>
      </c>
      <c r="G608">
        <v>0.19052836002847068</v>
      </c>
      <c r="H608">
        <v>15.696934474788442</v>
      </c>
      <c r="I608">
        <v>13.890180517729187</v>
      </c>
      <c r="J608">
        <v>0.31097732051085286</v>
      </c>
      <c r="K608">
        <v>0.12240389661476063</v>
      </c>
      <c r="L608">
        <v>15.676438265145208</v>
      </c>
      <c r="M608">
        <v>13.799940768994261</v>
      </c>
      <c r="N608">
        <v>0.37049662711530068</v>
      </c>
      <c r="O608">
        <v>0.14601906587817876</v>
      </c>
      <c r="P608">
        <v>15.683543538012257</v>
      </c>
      <c r="Q608">
        <v>13.748923143035316</v>
      </c>
      <c r="R608">
        <v>0.40412286051289076</v>
      </c>
      <c r="S608">
        <v>0.15938814960783848</v>
      </c>
      <c r="T608">
        <v>15.687565846843951</v>
      </c>
      <c r="U608">
        <v>1588.6631706371422</v>
      </c>
      <c r="V608">
        <v>10.715643433392444</v>
      </c>
      <c r="W608">
        <v>1308.6816918542036</v>
      </c>
      <c r="X608">
        <v>7.566748430208694</v>
      </c>
      <c r="Y608">
        <v>2947.4961044924094</v>
      </c>
      <c r="Z608">
        <v>10.771361052922012</v>
      </c>
      <c r="AA608">
        <v>2758.7036524542204</v>
      </c>
      <c r="AB608">
        <v>7.5977675651947623</v>
      </c>
      <c r="AC608">
        <v>2284.7174095303521</v>
      </c>
      <c r="AD608">
        <v>10.752022357780046</v>
      </c>
      <c r="AE608">
        <v>2054.8176922765256</v>
      </c>
      <c r="AF608">
        <v>7.5870126698264615</v>
      </c>
      <c r="AG608">
        <v>2174.6053570829922</v>
      </c>
      <c r="AH608">
        <v>10.741085706704574</v>
      </c>
      <c r="AI608">
        <v>1930.3884011282771</v>
      </c>
      <c r="AJ608">
        <v>7.5809251157641864</v>
      </c>
    </row>
    <row r="609" spans="4:36" x14ac:dyDescent="0.55000000000000004">
      <c r="D609">
        <v>602</v>
      </c>
      <c r="E609">
        <v>11.685556226126003</v>
      </c>
      <c r="F609">
        <v>0.44437368133213839</v>
      </c>
      <c r="G609">
        <v>0.16191871907685476</v>
      </c>
      <c r="H609">
        <v>17.708151373465018</v>
      </c>
      <c r="I609">
        <v>11.894805785994668</v>
      </c>
      <c r="J609">
        <v>0.27368448439677484</v>
      </c>
      <c r="K609">
        <v>9.9409253346651599E-2</v>
      </c>
      <c r="L609">
        <v>17.732100476261913</v>
      </c>
      <c r="M609">
        <v>11.777262060647029</v>
      </c>
      <c r="N609">
        <v>0.36959134610290889</v>
      </c>
      <c r="O609">
        <v>0.1344828090919217</v>
      </c>
      <c r="P609">
        <v>17.718663784158135</v>
      </c>
      <c r="Q609">
        <v>11.776715617942651</v>
      </c>
      <c r="R609">
        <v>0.37003705911570645</v>
      </c>
      <c r="S609">
        <v>0.13464610208923411</v>
      </c>
      <c r="T609">
        <v>17.718601220852428</v>
      </c>
      <c r="U609">
        <v>1473.2619101978557</v>
      </c>
      <c r="V609">
        <v>9.2325829392872585</v>
      </c>
      <c r="W609">
        <v>1244.2867112487163</v>
      </c>
      <c r="X609">
        <v>6.7147143311074284</v>
      </c>
      <c r="Y609">
        <v>2858.0156901980567</v>
      </c>
      <c r="Z609">
        <v>9.2595565943216549</v>
      </c>
      <c r="AA609">
        <v>2707.9691437211122</v>
      </c>
      <c r="AB609">
        <v>6.731670144873096</v>
      </c>
      <c r="AC609">
        <v>2172.7304983294957</v>
      </c>
      <c r="AD609">
        <v>9.2443947474702632</v>
      </c>
      <c r="AE609">
        <v>1987.3558966164646</v>
      </c>
      <c r="AF609">
        <v>6.7221497672334189</v>
      </c>
      <c r="AG609">
        <v>2042.0630449026874</v>
      </c>
      <c r="AH609">
        <v>9.2443243201206116</v>
      </c>
      <c r="AI609">
        <v>1851.2030927396193</v>
      </c>
      <c r="AJ609">
        <v>6.7221054824256514</v>
      </c>
    </row>
    <row r="610" spans="4:36" x14ac:dyDescent="0.55000000000000004">
      <c r="D610">
        <v>603</v>
      </c>
      <c r="E610">
        <v>13.1352268192559</v>
      </c>
      <c r="F610">
        <v>0.433415436814786</v>
      </c>
      <c r="G610">
        <v>0.14172095212359437</v>
      </c>
      <c r="H610">
        <v>16.289636791805727</v>
      </c>
      <c r="I610">
        <v>13.378108641356569</v>
      </c>
      <c r="J610">
        <v>0.27147525797474292</v>
      </c>
      <c r="K610">
        <v>8.8466591963449651E-2</v>
      </c>
      <c r="L610">
        <v>16.26194950870525</v>
      </c>
      <c r="M610">
        <v>13.258239038102245</v>
      </c>
      <c r="N610">
        <v>0.35144612289643062</v>
      </c>
      <c r="O610">
        <v>0.11471909392730106</v>
      </c>
      <c r="P610">
        <v>16.275595745074014</v>
      </c>
      <c r="Q610">
        <v>13.232430334368487</v>
      </c>
      <c r="R610">
        <v>0.3686520602705039</v>
      </c>
      <c r="S610">
        <v>0.12037909122977422</v>
      </c>
      <c r="T610">
        <v>16.278538514131224</v>
      </c>
      <c r="U610">
        <v>1556.6110426123305</v>
      </c>
      <c r="V610">
        <v>10.398865786738588</v>
      </c>
      <c r="W610">
        <v>1297.077623276107</v>
      </c>
      <c r="X610">
        <v>7.4048572517722491</v>
      </c>
      <c r="Y610">
        <v>2904.4112724729944</v>
      </c>
      <c r="Z610">
        <v>10.460806166874695</v>
      </c>
      <c r="AA610">
        <v>2735.9529666026738</v>
      </c>
      <c r="AB610">
        <v>7.4394264361087856</v>
      </c>
      <c r="AC610">
        <v>2215.3284383880155</v>
      </c>
      <c r="AD610">
        <v>10.430247011453671</v>
      </c>
      <c r="AE610">
        <v>2012.9820198289547</v>
      </c>
      <c r="AF610">
        <v>7.4223847512670265</v>
      </c>
      <c r="AG610">
        <v>2120.9747034731245</v>
      </c>
      <c r="AH610">
        <v>10.423664805886089</v>
      </c>
      <c r="AI610">
        <v>1901.3575302853001</v>
      </c>
      <c r="AJ610">
        <v>7.4187106746923686</v>
      </c>
    </row>
    <row r="611" spans="4:36" x14ac:dyDescent="0.55000000000000004">
      <c r="D611">
        <v>604</v>
      </c>
      <c r="E611">
        <v>12.553588362380768</v>
      </c>
      <c r="F611">
        <v>0.45163364839342618</v>
      </c>
      <c r="G611">
        <v>0.1547094301065883</v>
      </c>
      <c r="H611">
        <v>16.840068559119207</v>
      </c>
      <c r="I611">
        <v>12.764305801920859</v>
      </c>
      <c r="J611">
        <v>0.29635482743102431</v>
      </c>
      <c r="K611">
        <v>0.10121889844869941</v>
      </c>
      <c r="L611">
        <v>16.838120472199414</v>
      </c>
      <c r="M611">
        <v>12.662079121800602</v>
      </c>
      <c r="N611">
        <v>0.37171787152273361</v>
      </c>
      <c r="O611">
        <v>0.12714001880439588</v>
      </c>
      <c r="P611">
        <v>16.839062987872254</v>
      </c>
      <c r="Q611">
        <v>12.63298055596705</v>
      </c>
      <c r="R611">
        <v>0.39315889726780462</v>
      </c>
      <c r="S611">
        <v>0.13452839120288046</v>
      </c>
      <c r="T611">
        <v>16.839332155562253</v>
      </c>
      <c r="U611">
        <v>1523.829773433886</v>
      </c>
      <c r="V611">
        <v>9.916717133702516</v>
      </c>
      <c r="W611">
        <v>1275.1767052518633</v>
      </c>
      <c r="X611">
        <v>7.1176427408948131</v>
      </c>
      <c r="Y611">
        <v>2897.5587112085932</v>
      </c>
      <c r="Z611">
        <v>9.9566882662366165</v>
      </c>
      <c r="AA611">
        <v>2731.2985746161557</v>
      </c>
      <c r="AB611">
        <v>7.1406577504712043</v>
      </c>
      <c r="AC611">
        <v>2202.9456646476906</v>
      </c>
      <c r="AD611">
        <v>9.9372984564197218</v>
      </c>
      <c r="AE611">
        <v>2004.9255767293423</v>
      </c>
      <c r="AF611">
        <v>7.1295025568268766</v>
      </c>
      <c r="AG611">
        <v>2095.5406201852388</v>
      </c>
      <c r="AH611">
        <v>9.9317786338271219</v>
      </c>
      <c r="AI611">
        <v>1883.8582210369182</v>
      </c>
      <c r="AJ611">
        <v>7.1263237498314229</v>
      </c>
    </row>
    <row r="612" spans="4:36" x14ac:dyDescent="0.55000000000000004">
      <c r="D612">
        <v>605</v>
      </c>
      <c r="E612">
        <v>13.256364697826193</v>
      </c>
      <c r="F612">
        <v>0.51365864311880216</v>
      </c>
      <c r="G612">
        <v>0.17925618629568624</v>
      </c>
      <c r="H612">
        <v>16.050720472759309</v>
      </c>
      <c r="I612">
        <v>13.505768971970273</v>
      </c>
      <c r="J612">
        <v>0.32902131697990533</v>
      </c>
      <c r="K612">
        <v>0.11443662351259754</v>
      </c>
      <c r="L612">
        <v>16.050773087537223</v>
      </c>
      <c r="M612">
        <v>13.390445321494326</v>
      </c>
      <c r="N612">
        <v>0.41443916702475914</v>
      </c>
      <c r="O612">
        <v>0.1443688122143392</v>
      </c>
      <c r="P612">
        <v>16.05074669926659</v>
      </c>
      <c r="Q612">
        <v>13.347498152595287</v>
      </c>
      <c r="R612">
        <v>0.446230755519333</v>
      </c>
      <c r="S612">
        <v>0.15553331866566728</v>
      </c>
      <c r="T612">
        <v>16.050737773219723</v>
      </c>
      <c r="U612">
        <v>1572.6170981631474</v>
      </c>
      <c r="V612">
        <v>10.407785393191132</v>
      </c>
      <c r="W612">
        <v>1299.6681996762875</v>
      </c>
      <c r="X612">
        <v>7.3852351649523795</v>
      </c>
      <c r="Y612">
        <v>2950.8224394841304</v>
      </c>
      <c r="Z612">
        <v>10.451333392431344</v>
      </c>
      <c r="AA612">
        <v>2762.9320579308337</v>
      </c>
      <c r="AB612">
        <v>7.4101757002493267</v>
      </c>
      <c r="AC612">
        <v>2268.1754403858959</v>
      </c>
      <c r="AD612">
        <v>10.431197604481543</v>
      </c>
      <c r="AE612">
        <v>2043.7121656978818</v>
      </c>
      <c r="AF612">
        <v>7.3986547786551338</v>
      </c>
      <c r="AG612">
        <v>2152.6823822679885</v>
      </c>
      <c r="AH612">
        <v>10.42369864002135</v>
      </c>
      <c r="AI612">
        <v>1915.8203114232961</v>
      </c>
      <c r="AJ612">
        <v>7.3943592916117291</v>
      </c>
    </row>
    <row r="613" spans="4:36" x14ac:dyDescent="0.55000000000000004">
      <c r="D613">
        <v>606</v>
      </c>
      <c r="E613">
        <v>11.552277248745039</v>
      </c>
      <c r="F613">
        <v>0.41002192325755316</v>
      </c>
      <c r="G613">
        <v>0.17511738485392719</v>
      </c>
      <c r="H613">
        <v>17.862583443143478</v>
      </c>
      <c r="I613">
        <v>11.751130354242086</v>
      </c>
      <c r="J613">
        <v>0.2637657929439105</v>
      </c>
      <c r="K613">
        <v>0.11227959860255979</v>
      </c>
      <c r="L613">
        <v>17.872824254211444</v>
      </c>
      <c r="M613">
        <v>11.695324985877182</v>
      </c>
      <c r="N613">
        <v>0.30483448097035348</v>
      </c>
      <c r="O613">
        <v>0.12988186559374348</v>
      </c>
      <c r="P613">
        <v>17.869958667558713</v>
      </c>
      <c r="Q613">
        <v>11.642908315258314</v>
      </c>
      <c r="R613">
        <v>0.343392385892417</v>
      </c>
      <c r="S613">
        <v>0.14643812155033578</v>
      </c>
      <c r="T613">
        <v>17.867261177298932</v>
      </c>
      <c r="U613">
        <v>1450.5528777470529</v>
      </c>
      <c r="V613">
        <v>9.1406886895601875</v>
      </c>
      <c r="W613">
        <v>1229.8732068573997</v>
      </c>
      <c r="X613">
        <v>6.6646875859745398</v>
      </c>
      <c r="Y613">
        <v>2859.1294160248553</v>
      </c>
      <c r="Z613">
        <v>9.1726090609632926</v>
      </c>
      <c r="AA613">
        <v>2709.2778381418007</v>
      </c>
      <c r="AB613">
        <v>6.684125801673467</v>
      </c>
      <c r="AC613">
        <v>2157.0040699830047</v>
      </c>
      <c r="AD613">
        <v>9.1636464425543611</v>
      </c>
      <c r="AE613">
        <v>1980.5839959122666</v>
      </c>
      <c r="AF613">
        <v>6.6786762191814475</v>
      </c>
      <c r="AG613">
        <v>2061.9668443525084</v>
      </c>
      <c r="AH613">
        <v>9.1552313267134124</v>
      </c>
      <c r="AI613">
        <v>1867.5134390969999</v>
      </c>
      <c r="AJ613">
        <v>6.6735536758294565</v>
      </c>
    </row>
    <row r="614" spans="4:36" x14ac:dyDescent="0.55000000000000004">
      <c r="D614">
        <v>607</v>
      </c>
      <c r="E614">
        <v>13.590611726913719</v>
      </c>
      <c r="F614">
        <v>0.46277445037741771</v>
      </c>
      <c r="G614">
        <v>0.17296656873913055</v>
      </c>
      <c r="H614">
        <v>15.773647253969731</v>
      </c>
      <c r="I614">
        <v>13.831602403554777</v>
      </c>
      <c r="J614">
        <v>0.30082492859875448</v>
      </c>
      <c r="K614">
        <v>0.11207095296910081</v>
      </c>
      <c r="L614">
        <v>15.755501714877385</v>
      </c>
      <c r="M614">
        <v>13.716896107059911</v>
      </c>
      <c r="N614">
        <v>0.37795546950478137</v>
      </c>
      <c r="O614">
        <v>0.14102304198740076</v>
      </c>
      <c r="P614">
        <v>15.764125381447911</v>
      </c>
      <c r="Q614">
        <v>13.685265132985984</v>
      </c>
      <c r="R614">
        <v>0.39921000946139318</v>
      </c>
      <c r="S614">
        <v>0.1490172388773712</v>
      </c>
      <c r="T614">
        <v>15.766507618675259</v>
      </c>
      <c r="U614">
        <v>1620.9611404557686</v>
      </c>
      <c r="V614">
        <v>10.693342937875002</v>
      </c>
      <c r="W614">
        <v>1334.74867597567</v>
      </c>
      <c r="X614">
        <v>7.5597573911769063</v>
      </c>
      <c r="Y614">
        <v>2924.0853076063672</v>
      </c>
      <c r="Z614">
        <v>10.748023162904421</v>
      </c>
      <c r="AA614">
        <v>2743.9645360340492</v>
      </c>
      <c r="AB614">
        <v>7.5901392024389054</v>
      </c>
      <c r="AC614">
        <v>2256.7895966174801</v>
      </c>
      <c r="AD614">
        <v>10.722004984689226</v>
      </c>
      <c r="AE614">
        <v>2035.8160142881543</v>
      </c>
      <c r="AF614">
        <v>7.575693965837532</v>
      </c>
      <c r="AG614">
        <v>2157.99047956611</v>
      </c>
      <c r="AH614">
        <v>10.714827630962352</v>
      </c>
      <c r="AI614">
        <v>1920.3981540489247</v>
      </c>
      <c r="AJ614">
        <v>7.5717055602830898</v>
      </c>
    </row>
    <row r="615" spans="4:36" x14ac:dyDescent="0.55000000000000004">
      <c r="D615">
        <v>608</v>
      </c>
      <c r="E615">
        <v>12.585879587792316</v>
      </c>
      <c r="F615">
        <v>0.49236995087939567</v>
      </c>
      <c r="G615">
        <v>0.167351861402182</v>
      </c>
      <c r="H615">
        <v>16.754398599926102</v>
      </c>
      <c r="I615">
        <v>12.797832586167505</v>
      </c>
      <c r="J615">
        <v>0.32324011664077423</v>
      </c>
      <c r="K615">
        <v>0.10952016575496148</v>
      </c>
      <c r="L615">
        <v>16.769407131436772</v>
      </c>
      <c r="M615">
        <v>12.711073971564311</v>
      </c>
      <c r="N615">
        <v>0.39249495897390252</v>
      </c>
      <c r="O615">
        <v>0.13315621565594124</v>
      </c>
      <c r="P615">
        <v>16.763274853805846</v>
      </c>
      <c r="Q615">
        <v>12.678496178594433</v>
      </c>
      <c r="R615">
        <v>0.41849117706618039</v>
      </c>
      <c r="S615">
        <v>0.14204443444633122</v>
      </c>
      <c r="T615">
        <v>16.760968209893065</v>
      </c>
      <c r="U615">
        <v>1572.7656219688201</v>
      </c>
      <c r="V615">
        <v>9.9442751673041769</v>
      </c>
      <c r="W615">
        <v>1303.2689347537857</v>
      </c>
      <c r="X615">
        <v>7.1270399937795004</v>
      </c>
      <c r="Y615">
        <v>2932.0034692394761</v>
      </c>
      <c r="Z615">
        <v>9.9743259731012639</v>
      </c>
      <c r="AA615">
        <v>2751.3683914115904</v>
      </c>
      <c r="AB615">
        <v>7.1451712522072404</v>
      </c>
      <c r="AC615">
        <v>2219.2969565628496</v>
      </c>
      <c r="AD615">
        <v>9.9620188538792984</v>
      </c>
      <c r="AE615">
        <v>2011.8010611858442</v>
      </c>
      <c r="AF615">
        <v>7.1377547017547229</v>
      </c>
      <c r="AG615">
        <v>2132.4855559378661</v>
      </c>
      <c r="AH615">
        <v>9.957399835733769</v>
      </c>
      <c r="AI615">
        <v>1905.0280539896892</v>
      </c>
      <c r="AJ615">
        <v>7.1349679724480692</v>
      </c>
    </row>
    <row r="616" spans="4:36" x14ac:dyDescent="0.55000000000000004">
      <c r="D616">
        <v>609</v>
      </c>
      <c r="E616">
        <v>13.204875723621781</v>
      </c>
      <c r="F616">
        <v>0.45038532350300187</v>
      </c>
      <c r="G616">
        <v>0.18950364658560706</v>
      </c>
      <c r="H616">
        <v>16.155235306289605</v>
      </c>
      <c r="I616">
        <v>13.452539331475476</v>
      </c>
      <c r="J616">
        <v>0.28707067460828389</v>
      </c>
      <c r="K616">
        <v>0.12036273108722377</v>
      </c>
      <c r="L616">
        <v>16.140027262829019</v>
      </c>
      <c r="M616">
        <v>13.3639237263037</v>
      </c>
      <c r="N616">
        <v>0.34555249019351469</v>
      </c>
      <c r="O616">
        <v>0.14506477859810146</v>
      </c>
      <c r="P616">
        <v>16.14545900490468</v>
      </c>
      <c r="Q616">
        <v>13.31824927631893</v>
      </c>
      <c r="R616">
        <v>0.37567502766047656</v>
      </c>
      <c r="S616">
        <v>0.15781280687767196</v>
      </c>
      <c r="T616">
        <v>16.14826288914292</v>
      </c>
      <c r="U616">
        <v>1608.2792572825588</v>
      </c>
      <c r="V616">
        <v>10.47126384690298</v>
      </c>
      <c r="W616">
        <v>1327.3193009526008</v>
      </c>
      <c r="X616">
        <v>7.4436235276192368</v>
      </c>
      <c r="Y616">
        <v>2927.5666326600463</v>
      </c>
      <c r="Z616">
        <v>10.529774207376706</v>
      </c>
      <c r="AA616">
        <v>2747.8506754051818</v>
      </c>
      <c r="AB616">
        <v>7.4766471886439279</v>
      </c>
      <c r="AC616">
        <v>2247.4696079832411</v>
      </c>
      <c r="AD616">
        <v>10.508844183321361</v>
      </c>
      <c r="AE616">
        <v>2032.0238787000621</v>
      </c>
      <c r="AF616">
        <v>7.4648468243997579</v>
      </c>
      <c r="AG616">
        <v>2164.3385395882733</v>
      </c>
      <c r="AH616">
        <v>10.498054064413942</v>
      </c>
      <c r="AI616">
        <v>1927.1902036479169</v>
      </c>
      <c r="AJ616">
        <v>7.4587578516065705</v>
      </c>
    </row>
    <row r="617" spans="4:36" x14ac:dyDescent="0.55000000000000004">
      <c r="D617">
        <v>610</v>
      </c>
      <c r="E617">
        <v>11.816444364452405</v>
      </c>
      <c r="F617">
        <v>0.44127359087798701</v>
      </c>
      <c r="G617">
        <v>0.14885584255130743</v>
      </c>
      <c r="H617">
        <v>17.593426202118295</v>
      </c>
      <c r="I617">
        <v>12.022218524205789</v>
      </c>
      <c r="J617">
        <v>0.27420056294237477</v>
      </c>
      <c r="K617">
        <v>9.2205426954470884E-2</v>
      </c>
      <c r="L617">
        <v>17.611375485897376</v>
      </c>
      <c r="M617">
        <v>11.907973016862659</v>
      </c>
      <c r="N617">
        <v>0.36698280509204867</v>
      </c>
      <c r="O617">
        <v>0.12362092509577829</v>
      </c>
      <c r="P617">
        <v>17.601423252949512</v>
      </c>
      <c r="Q617">
        <v>11.884123437030908</v>
      </c>
      <c r="R617">
        <v>0.38634437554245532</v>
      </c>
      <c r="S617">
        <v>0.13019067582986157</v>
      </c>
      <c r="T617">
        <v>17.599341511596776</v>
      </c>
      <c r="U617">
        <v>1494.9554891278663</v>
      </c>
      <c r="V617">
        <v>9.3347175286656725</v>
      </c>
      <c r="W617">
        <v>1257.8633489593269</v>
      </c>
      <c r="X617">
        <v>6.7759733226774799</v>
      </c>
      <c r="Y617">
        <v>2875.2056887470535</v>
      </c>
      <c r="Z617">
        <v>9.3621569353616838</v>
      </c>
      <c r="AA617">
        <v>2718.8653368150808</v>
      </c>
      <c r="AB617">
        <v>6.7928540885119189</v>
      </c>
      <c r="AC617">
        <v>2189.5609146497945</v>
      </c>
      <c r="AD617">
        <v>9.3469156777604248</v>
      </c>
      <c r="AE617">
        <v>1997.7898208639522</v>
      </c>
      <c r="AF617">
        <v>6.7834869981792272</v>
      </c>
      <c r="AG617">
        <v>2096.9858820664767</v>
      </c>
      <c r="AH617">
        <v>9.3437361341040148</v>
      </c>
      <c r="AI617">
        <v>1887.9167571473079</v>
      </c>
      <c r="AJ617">
        <v>6.7815299537945863</v>
      </c>
    </row>
    <row r="618" spans="4:36" x14ac:dyDescent="0.55000000000000004">
      <c r="D618">
        <v>611</v>
      </c>
      <c r="E618">
        <v>11.380517676456479</v>
      </c>
      <c r="F618">
        <v>0.3782942624927963</v>
      </c>
      <c r="G618">
        <v>0.13956851470473455</v>
      </c>
      <c r="H618">
        <v>18.101619546345983</v>
      </c>
      <c r="I618">
        <v>11.546333010738145</v>
      </c>
      <c r="J618">
        <v>0.25342081879738931</v>
      </c>
      <c r="K618">
        <v>9.3244253989400866E-2</v>
      </c>
      <c r="L618">
        <v>18.107001916475074</v>
      </c>
      <c r="M618">
        <v>11.475201103334156</v>
      </c>
      <c r="N618">
        <v>0.30700867858772912</v>
      </c>
      <c r="O618">
        <v>0.11309257109269061</v>
      </c>
      <c r="P618">
        <v>18.104697646985421</v>
      </c>
      <c r="Q618">
        <v>11.435013660953112</v>
      </c>
      <c r="R618">
        <v>0.33727144552299715</v>
      </c>
      <c r="S618">
        <v>0.12432218792596167</v>
      </c>
      <c r="T618">
        <v>18.103392705597923</v>
      </c>
      <c r="U618">
        <v>1469.2407825128118</v>
      </c>
      <c r="V618">
        <v>8.9830972811894156</v>
      </c>
      <c r="W618">
        <v>1249.5771858733053</v>
      </c>
      <c r="X618">
        <v>6.5736166030923782</v>
      </c>
      <c r="Y618">
        <v>2836.5904871696653</v>
      </c>
      <c r="Z618">
        <v>9.0096536887204497</v>
      </c>
      <c r="AA618">
        <v>2695.8556491821805</v>
      </c>
      <c r="AB618">
        <v>6.5896975407046332</v>
      </c>
      <c r="AC618">
        <v>2140.9405500669095</v>
      </c>
      <c r="AD618">
        <v>8.9982586743492785</v>
      </c>
      <c r="AE618">
        <v>1971.3409584576532</v>
      </c>
      <c r="AF618">
        <v>6.5828042206074224</v>
      </c>
      <c r="AG618">
        <v>2027.7564565688133</v>
      </c>
      <c r="AH618">
        <v>8.9918226640191659</v>
      </c>
      <c r="AI618">
        <v>1845.847120813014</v>
      </c>
      <c r="AJ618">
        <v>6.5789063030264385</v>
      </c>
    </row>
    <row r="619" spans="4:36" x14ac:dyDescent="0.55000000000000004">
      <c r="D619">
        <v>612</v>
      </c>
      <c r="E619">
        <v>13.532870846048313</v>
      </c>
      <c r="F619">
        <v>0.49218963539746818</v>
      </c>
      <c r="G619">
        <v>0.18200230615506513</v>
      </c>
      <c r="H619">
        <v>15.79293721239914</v>
      </c>
      <c r="I619">
        <v>13.769838702604217</v>
      </c>
      <c r="J619">
        <v>0.32836152379591077</v>
      </c>
      <c r="K619">
        <v>0.12103576943428845</v>
      </c>
      <c r="L619">
        <v>15.780764004165595</v>
      </c>
      <c r="M619">
        <v>13.701432213573598</v>
      </c>
      <c r="N619">
        <v>0.37568973876613843</v>
      </c>
      <c r="O619">
        <v>0.13860788978837088</v>
      </c>
      <c r="P619">
        <v>15.784270157871882</v>
      </c>
      <c r="Q619">
        <v>13.648521652541724</v>
      </c>
      <c r="R619">
        <v>0.41227726637237527</v>
      </c>
      <c r="S619">
        <v>0.15221460987949784</v>
      </c>
      <c r="T619">
        <v>15.786986471206397</v>
      </c>
      <c r="U619">
        <v>1605.9128727491593</v>
      </c>
      <c r="V619">
        <v>10.649889860518034</v>
      </c>
      <c r="W619">
        <v>1320.8162644926244</v>
      </c>
      <c r="X619">
        <v>7.5313656692831144</v>
      </c>
      <c r="Y619">
        <v>2947.198043090988</v>
      </c>
      <c r="Z619">
        <v>10.700503813968885</v>
      </c>
      <c r="AA619">
        <v>2757.6183457912994</v>
      </c>
      <c r="AB619">
        <v>7.5597504434195875</v>
      </c>
      <c r="AC619">
        <v>2283.9297950467467</v>
      </c>
      <c r="AD619">
        <v>10.685897339950827</v>
      </c>
      <c r="AE619">
        <v>2054.3876545413923</v>
      </c>
      <c r="AF619">
        <v>7.5515678304873743</v>
      </c>
      <c r="AG619">
        <v>2175.7564701730967</v>
      </c>
      <c r="AH619">
        <v>10.674597154577146</v>
      </c>
      <c r="AI619">
        <v>1931.1369617877951</v>
      </c>
      <c r="AJ619">
        <v>7.5452325219468168</v>
      </c>
    </row>
    <row r="620" spans="4:36" x14ac:dyDescent="0.55000000000000004">
      <c r="D620">
        <v>613</v>
      </c>
      <c r="E620">
        <v>13.010594747186607</v>
      </c>
      <c r="F620">
        <v>0.51269934341775725</v>
      </c>
      <c r="G620">
        <v>0.18724435746801904</v>
      </c>
      <c r="H620">
        <v>16.28946155192763</v>
      </c>
      <c r="I620">
        <v>13.286193268826164</v>
      </c>
      <c r="J620">
        <v>0.31125653543742837</v>
      </c>
      <c r="K620">
        <v>0.11322706700827509</v>
      </c>
      <c r="L620">
        <v>16.289323128728135</v>
      </c>
      <c r="M620">
        <v>13.180463315909854</v>
      </c>
      <c r="N620">
        <v>0.38858849873360457</v>
      </c>
      <c r="O620">
        <v>0.14157147914436852</v>
      </c>
      <c r="P620">
        <v>16.289376706212163</v>
      </c>
      <c r="Q620">
        <v>13.154996262142532</v>
      </c>
      <c r="R620">
        <v>0.40720593480637912</v>
      </c>
      <c r="S620">
        <v>0.14840827901333273</v>
      </c>
      <c r="T620">
        <v>16.289389524037755</v>
      </c>
      <c r="U620">
        <v>1593.3166802450826</v>
      </c>
      <c r="V620">
        <v>10.304113505414445</v>
      </c>
      <c r="W620">
        <v>1313.6635669753587</v>
      </c>
      <c r="X620">
        <v>7.339024212098936</v>
      </c>
      <c r="Y620">
        <v>2917.5458875706604</v>
      </c>
      <c r="Z620">
        <v>10.359218680083844</v>
      </c>
      <c r="AA620">
        <v>2740.0069319477698</v>
      </c>
      <c r="AB620">
        <v>7.3707734661724009</v>
      </c>
      <c r="AC620">
        <v>2255.8850024489652</v>
      </c>
      <c r="AD620">
        <v>10.338077841259667</v>
      </c>
      <c r="AE620">
        <v>2036.153719615105</v>
      </c>
      <c r="AF620">
        <v>7.3586086355693334</v>
      </c>
      <c r="AG620">
        <v>2152.6474649230968</v>
      </c>
      <c r="AH620">
        <v>10.332985749436729</v>
      </c>
      <c r="AI620">
        <v>1917.937235625958</v>
      </c>
      <c r="AJ620">
        <v>7.3556756646089676</v>
      </c>
    </row>
    <row r="621" spans="4:36" x14ac:dyDescent="0.55000000000000004">
      <c r="D621">
        <v>614</v>
      </c>
      <c r="E621">
        <v>14.120247379682297</v>
      </c>
      <c r="F621">
        <v>0.51879487273926861</v>
      </c>
      <c r="G621">
        <v>0.18474798722490393</v>
      </c>
      <c r="H621">
        <v>15.176209760353514</v>
      </c>
      <c r="I621">
        <v>14.412935341421337</v>
      </c>
      <c r="J621">
        <v>0.32126945028377307</v>
      </c>
      <c r="K621">
        <v>0.1139896802398585</v>
      </c>
      <c r="L621">
        <v>15.151805528055029</v>
      </c>
      <c r="M621">
        <v>14.270047147247846</v>
      </c>
      <c r="N621">
        <v>0.41776598505401241</v>
      </c>
      <c r="O621">
        <v>0.14849127933801942</v>
      </c>
      <c r="P621">
        <v>15.163695588360124</v>
      </c>
      <c r="Q621">
        <v>14.303884634170013</v>
      </c>
      <c r="R621">
        <v>0.39492586268716007</v>
      </c>
      <c r="S621">
        <v>0.14031370556523848</v>
      </c>
      <c r="T621">
        <v>15.160875797577573</v>
      </c>
      <c r="U621">
        <v>1641.8448959415132</v>
      </c>
      <c r="V621">
        <v>11.202936215021168</v>
      </c>
      <c r="W621">
        <v>1339.9603016480821</v>
      </c>
      <c r="X621">
        <v>7.8581855794047621</v>
      </c>
      <c r="Y621">
        <v>2956.8418591559421</v>
      </c>
      <c r="Z621">
        <v>11.272626998300471</v>
      </c>
      <c r="AA621">
        <v>2762.0877211690681</v>
      </c>
      <c r="AB621">
        <v>7.8966151569583358</v>
      </c>
      <c r="AC621">
        <v>2314.5374731843822</v>
      </c>
      <c r="AD621">
        <v>11.238617650925315</v>
      </c>
      <c r="AE621">
        <v>2069.39532628508</v>
      </c>
      <c r="AF621">
        <v>7.8778773355333094</v>
      </c>
      <c r="AG621">
        <v>2181.9990098770213</v>
      </c>
      <c r="AH621">
        <v>11.246673696390502</v>
      </c>
      <c r="AI621">
        <v>1933.0402989279644</v>
      </c>
      <c r="AJ621">
        <v>7.8823186304802491</v>
      </c>
    </row>
    <row r="622" spans="4:36" x14ac:dyDescent="0.55000000000000004">
      <c r="D622">
        <v>615</v>
      </c>
      <c r="E622">
        <v>12.613225604174893</v>
      </c>
      <c r="F622">
        <v>0.48963817042551944</v>
      </c>
      <c r="G622">
        <v>0.16040455930121739</v>
      </c>
      <c r="H622">
        <v>16.736731666098354</v>
      </c>
      <c r="I622">
        <v>12.84930636195363</v>
      </c>
      <c r="J622">
        <v>0.30902006528348819</v>
      </c>
      <c r="K622">
        <v>0.10090826459422808</v>
      </c>
      <c r="L622">
        <v>16.740765308168641</v>
      </c>
      <c r="M622">
        <v>12.766599937951433</v>
      </c>
      <c r="N622">
        <v>0.37232918803993997</v>
      </c>
      <c r="O622">
        <v>0.12171824132432811</v>
      </c>
      <c r="P622">
        <v>16.739352632684291</v>
      </c>
      <c r="Q622">
        <v>12.684711368671268</v>
      </c>
      <c r="R622">
        <v>0.43497730835820098</v>
      </c>
      <c r="S622">
        <v>0.14235785940075235</v>
      </c>
      <c r="T622">
        <v>16.737953463569784</v>
      </c>
      <c r="U622">
        <v>1573.1991321149499</v>
      </c>
      <c r="V622">
        <v>10.014726938762401</v>
      </c>
      <c r="W622">
        <v>1304.9818044722783</v>
      </c>
      <c r="X622">
        <v>7.1767862118079595</v>
      </c>
      <c r="Y622">
        <v>2908.835818393592</v>
      </c>
      <c r="Z622">
        <v>10.054692655187129</v>
      </c>
      <c r="AA622">
        <v>2736.522539039509</v>
      </c>
      <c r="AB622">
        <v>7.2000130072902842</v>
      </c>
      <c r="AC622">
        <v>2247.816936981093</v>
      </c>
      <c r="AD622">
        <v>10.040691005380664</v>
      </c>
      <c r="AE622">
        <v>2034.81500636035</v>
      </c>
      <c r="AF622">
        <v>7.1918856052754965</v>
      </c>
      <c r="AG622">
        <v>2166.0287239655431</v>
      </c>
      <c r="AH622">
        <v>10.026828257058114</v>
      </c>
      <c r="AI622">
        <v>1928.9594896020653</v>
      </c>
      <c r="AJ622">
        <v>7.183828336443276</v>
      </c>
    </row>
    <row r="623" spans="4:36" x14ac:dyDescent="0.55000000000000004">
      <c r="D623">
        <v>616</v>
      </c>
      <c r="E623">
        <v>12.928535255148153</v>
      </c>
      <c r="F623">
        <v>0.48626880680000872</v>
      </c>
      <c r="G623">
        <v>0.15271992139466536</v>
      </c>
      <c r="H623">
        <v>16.432476016657176</v>
      </c>
      <c r="I623">
        <v>13.159776312144279</v>
      </c>
      <c r="J623">
        <v>0.31764394468178797</v>
      </c>
      <c r="K623">
        <v>9.9457680507603979E-2</v>
      </c>
      <c r="L623">
        <v>16.423122062666337</v>
      </c>
      <c r="M623">
        <v>13.054700651784184</v>
      </c>
      <c r="N623">
        <v>0.39430486518593683</v>
      </c>
      <c r="O623">
        <v>0.12363117769553736</v>
      </c>
      <c r="P623">
        <v>16.427363305334346</v>
      </c>
      <c r="Q623">
        <v>13.044276272237905</v>
      </c>
      <c r="R623">
        <v>0.40190683057705878</v>
      </c>
      <c r="S623">
        <v>0.12603199530391035</v>
      </c>
      <c r="T623">
        <v>16.427784901881143</v>
      </c>
      <c r="U623">
        <v>1577.3200333955949</v>
      </c>
      <c r="V623">
        <v>10.200386628476949</v>
      </c>
      <c r="W623">
        <v>1308.1433381377092</v>
      </c>
      <c r="X623">
        <v>7.2791600554946649</v>
      </c>
      <c r="Y623">
        <v>2905.4467874350439</v>
      </c>
      <c r="Z623">
        <v>10.249466272545767</v>
      </c>
      <c r="AA623">
        <v>2733.3973875540755</v>
      </c>
      <c r="AB623">
        <v>7.3069694201398168</v>
      </c>
      <c r="AC623">
        <v>2246.0438425574998</v>
      </c>
      <c r="AD623">
        <v>10.227169548707957</v>
      </c>
      <c r="AE623">
        <v>2031.8450402790247</v>
      </c>
      <c r="AF623">
        <v>7.2943467462823071</v>
      </c>
      <c r="AG623">
        <v>2152.7984626466859</v>
      </c>
      <c r="AH623">
        <v>10.224957075617175</v>
      </c>
      <c r="AI623">
        <v>1921.7424487431792</v>
      </c>
      <c r="AJ623">
        <v>7.2930932190973419</v>
      </c>
    </row>
    <row r="624" spans="4:36" x14ac:dyDescent="0.55000000000000004">
      <c r="D624">
        <v>617</v>
      </c>
      <c r="E624">
        <v>11.640747455584085</v>
      </c>
      <c r="F624">
        <v>0.49032094306860469</v>
      </c>
      <c r="G624">
        <v>0.1711174486820021</v>
      </c>
      <c r="H624">
        <v>17.697814152665305</v>
      </c>
      <c r="I624">
        <v>11.802050423121171</v>
      </c>
      <c r="J624">
        <v>0.34246730329340008</v>
      </c>
      <c r="K624">
        <v>0.11922899763285465</v>
      </c>
      <c r="L624">
        <v>17.736253275952578</v>
      </c>
      <c r="M624">
        <v>11.745227838129185</v>
      </c>
      <c r="N624">
        <v>0.39455852368433136</v>
      </c>
      <c r="O624">
        <v>0.13748114271345044</v>
      </c>
      <c r="P624">
        <v>17.722732495473036</v>
      </c>
      <c r="Q624">
        <v>11.728786971429439</v>
      </c>
      <c r="R624">
        <v>0.40962912578628874</v>
      </c>
      <c r="S624">
        <v>0.14276756298045723</v>
      </c>
      <c r="T624">
        <v>17.718816339803819</v>
      </c>
      <c r="U624">
        <v>1511.5121708173851</v>
      </c>
      <c r="V624">
        <v>9.2188436995033296</v>
      </c>
      <c r="W624">
        <v>1266.9311226736397</v>
      </c>
      <c r="X624">
        <v>6.702109836858023</v>
      </c>
      <c r="Y624">
        <v>2862.8661963714167</v>
      </c>
      <c r="Z624">
        <v>9.2283167496131107</v>
      </c>
      <c r="AA624">
        <v>2704.8944261041142</v>
      </c>
      <c r="AB624">
        <v>6.7094951682785258</v>
      </c>
      <c r="AC624">
        <v>2187.0827605733853</v>
      </c>
      <c r="AD624">
        <v>9.2249679445144324</v>
      </c>
      <c r="AE624">
        <v>1994.4679414106604</v>
      </c>
      <c r="AF624">
        <v>6.7068918487800504</v>
      </c>
      <c r="AG624">
        <v>2084.3372445483374</v>
      </c>
      <c r="AH624">
        <v>9.2240013791658448</v>
      </c>
      <c r="AI624">
        <v>1877.5780511165867</v>
      </c>
      <c r="AJ624">
        <v>6.7061389505117557</v>
      </c>
    </row>
    <row r="625" spans="4:36" x14ac:dyDescent="0.55000000000000004">
      <c r="D625">
        <v>618</v>
      </c>
      <c r="E625">
        <v>13.435692161442809</v>
      </c>
      <c r="F625">
        <v>0.47509549063930706</v>
      </c>
      <c r="G625">
        <v>0.16604074095622406</v>
      </c>
      <c r="H625">
        <v>15.923171606961656</v>
      </c>
      <c r="I625">
        <v>13.69883654899871</v>
      </c>
      <c r="J625">
        <v>0.29689351959433569</v>
      </c>
      <c r="K625">
        <v>0.10337808982689088</v>
      </c>
      <c r="L625">
        <v>15.900891841580066</v>
      </c>
      <c r="M625">
        <v>13.571643842214403</v>
      </c>
      <c r="N625">
        <v>0.38308355014655826</v>
      </c>
      <c r="O625">
        <v>0.13362700668836852</v>
      </c>
      <c r="P625">
        <v>15.91164560095066</v>
      </c>
      <c r="Q625">
        <v>13.545568875669348</v>
      </c>
      <c r="R625">
        <v>0.40074019167076624</v>
      </c>
      <c r="S625">
        <v>0.1398372442251406</v>
      </c>
      <c r="T625">
        <v>15.913853688434758</v>
      </c>
      <c r="U625">
        <v>1600.2782972107645</v>
      </c>
      <c r="V625">
        <v>10.543584625798482</v>
      </c>
      <c r="W625">
        <v>1319.5885264649555</v>
      </c>
      <c r="X625">
        <v>7.4692683114198619</v>
      </c>
      <c r="Y625">
        <v>2933.3030307990707</v>
      </c>
      <c r="Z625">
        <v>10.603872800398284</v>
      </c>
      <c r="AA625">
        <v>2751.06826094608</v>
      </c>
      <c r="AB625">
        <v>7.5029303998003538</v>
      </c>
      <c r="AC625">
        <v>2248.2121002954846</v>
      </c>
      <c r="AD625">
        <v>10.57474099264256</v>
      </c>
      <c r="AE625">
        <v>2029.6468983806726</v>
      </c>
      <c r="AF625">
        <v>7.4866786094655389</v>
      </c>
      <c r="AG625">
        <v>2144.5767247511308</v>
      </c>
      <c r="AH625">
        <v>10.568766815211138</v>
      </c>
      <c r="AI625">
        <v>1911.0846763744994</v>
      </c>
      <c r="AJ625">
        <v>7.4833425585163997</v>
      </c>
    </row>
    <row r="626" spans="4:36" x14ac:dyDescent="0.55000000000000004">
      <c r="D626">
        <v>619</v>
      </c>
      <c r="E626">
        <v>12.262769717869924</v>
      </c>
      <c r="F626">
        <v>0.49026555224314777</v>
      </c>
      <c r="G626">
        <v>0.17394109131196675</v>
      </c>
      <c r="H626">
        <v>17.073023638574963</v>
      </c>
      <c r="I626">
        <v>12.49625858666713</v>
      </c>
      <c r="J626">
        <v>0.30214514450783198</v>
      </c>
      <c r="K626">
        <v>0.10681980241937898</v>
      </c>
      <c r="L626">
        <v>17.094776466405666</v>
      </c>
      <c r="M626">
        <v>12.41881898555504</v>
      </c>
      <c r="N626">
        <v>0.36456503617426794</v>
      </c>
      <c r="O626">
        <v>0.129037959215002</v>
      </c>
      <c r="P626">
        <v>17.087578019055687</v>
      </c>
      <c r="Q626">
        <v>12.355184190832865</v>
      </c>
      <c r="R626">
        <v>0.41583738674357534</v>
      </c>
      <c r="S626">
        <v>0.147327574995511</v>
      </c>
      <c r="T626">
        <v>17.08165084742803</v>
      </c>
      <c r="U626">
        <v>1545.7894951874093</v>
      </c>
      <c r="V626">
        <v>9.6909031227753211</v>
      </c>
      <c r="W626">
        <v>1285.755647161569</v>
      </c>
      <c r="X626">
        <v>6.9785568394647193</v>
      </c>
      <c r="Y626">
        <v>2901.7168751468785</v>
      </c>
      <c r="Z626">
        <v>9.7206947689048544</v>
      </c>
      <c r="AA626">
        <v>2732.4642178344066</v>
      </c>
      <c r="AB626">
        <v>6.9969351871876402</v>
      </c>
      <c r="AC626">
        <v>2192.1150701718407</v>
      </c>
      <c r="AD626">
        <v>9.7108046646737858</v>
      </c>
      <c r="AE626">
        <v>1995.8004422843176</v>
      </c>
      <c r="AF626">
        <v>6.9908443343912232</v>
      </c>
      <c r="AG626">
        <v>2120.9817855164865</v>
      </c>
      <c r="AH626">
        <v>9.7026845216783713</v>
      </c>
      <c r="AI626">
        <v>1898.4854505649284</v>
      </c>
      <c r="AJ626">
        <v>6.9858358958594895</v>
      </c>
    </row>
    <row r="627" spans="4:36" x14ac:dyDescent="0.55000000000000004">
      <c r="D627">
        <v>620</v>
      </c>
      <c r="E627">
        <v>12.285942582249607</v>
      </c>
      <c r="F627">
        <v>0.44075561779008215</v>
      </c>
      <c r="G627">
        <v>0.15067250228980458</v>
      </c>
      <c r="H627">
        <v>17.122629297670514</v>
      </c>
      <c r="I627">
        <v>12.435152656152683</v>
      </c>
      <c r="J627">
        <v>0.32556852294831101</v>
      </c>
      <c r="K627">
        <v>0.11105067538345186</v>
      </c>
      <c r="L627">
        <v>17.12822814551555</v>
      </c>
      <c r="M627">
        <v>12.382843934435162</v>
      </c>
      <c r="N627">
        <v>0.36596288276608108</v>
      </c>
      <c r="O627">
        <v>0.12492529173537505</v>
      </c>
      <c r="P627">
        <v>17.126267891063364</v>
      </c>
      <c r="Q627">
        <v>12.341516330112023</v>
      </c>
      <c r="R627">
        <v>0.39786730919841506</v>
      </c>
      <c r="S627">
        <v>0.13589914402987929</v>
      </c>
      <c r="T627">
        <v>17.124717216659686</v>
      </c>
      <c r="U627">
        <v>1498.9758235314976</v>
      </c>
      <c r="V627">
        <v>9.7309703585950871</v>
      </c>
      <c r="W627">
        <v>1259.2284258237373</v>
      </c>
      <c r="X627">
        <v>7.0127550383593027</v>
      </c>
      <c r="Y627">
        <v>2888.7689324675334</v>
      </c>
      <c r="Z627">
        <v>9.7551850998422331</v>
      </c>
      <c r="AA627">
        <v>2723.6393364511487</v>
      </c>
      <c r="AB627">
        <v>7.0270976244329253</v>
      </c>
      <c r="AC627">
        <v>2198.9390393272606</v>
      </c>
      <c r="AD627">
        <v>9.7466947479464583</v>
      </c>
      <c r="AE627">
        <v>2003.4530585703817</v>
      </c>
      <c r="AF627">
        <v>7.0220730767219823</v>
      </c>
      <c r="AG627">
        <v>2099.1523151201918</v>
      </c>
      <c r="AH627">
        <v>9.7399878079100777</v>
      </c>
      <c r="AI627">
        <v>1887.2128993811787</v>
      </c>
      <c r="AJ627">
        <v>7.0181006268112016</v>
      </c>
    </row>
    <row r="628" spans="4:36" x14ac:dyDescent="0.55000000000000004">
      <c r="D628">
        <v>621</v>
      </c>
      <c r="E628">
        <v>13.226068821900737</v>
      </c>
      <c r="F628">
        <v>0.47700820327078602</v>
      </c>
      <c r="G628">
        <v>0.15330719925982628</v>
      </c>
      <c r="H628">
        <v>16.143615775568666</v>
      </c>
      <c r="I628">
        <v>13.446230268789172</v>
      </c>
      <c r="J628">
        <v>0.31864911398660384</v>
      </c>
      <c r="K628">
        <v>0.1021078807587638</v>
      </c>
      <c r="L628">
        <v>16.133012736465464</v>
      </c>
      <c r="M628">
        <v>13.30645532671638</v>
      </c>
      <c r="N628">
        <v>0.41921993974874688</v>
      </c>
      <c r="O628">
        <v>0.13458773921479683</v>
      </c>
      <c r="P628">
        <v>16.139736994320078</v>
      </c>
      <c r="Q628">
        <v>13.323753314996946</v>
      </c>
      <c r="R628">
        <v>0.40677982953345809</v>
      </c>
      <c r="S628">
        <v>0.13056340791839924</v>
      </c>
      <c r="T628">
        <v>16.138903447551201</v>
      </c>
      <c r="U628">
        <v>1604.8879609910637</v>
      </c>
      <c r="V628">
        <v>10.410073250583594</v>
      </c>
      <c r="W628">
        <v>1323.6653781716273</v>
      </c>
      <c r="X628">
        <v>7.3984499593387518</v>
      </c>
      <c r="Y628">
        <v>2923.1936617718675</v>
      </c>
      <c r="Z628">
        <v>10.459491517120792</v>
      </c>
      <c r="AA628">
        <v>2742.873403992684</v>
      </c>
      <c r="AB628">
        <v>7.4262837501710557</v>
      </c>
      <c r="AC628">
        <v>2294.2450116928198</v>
      </c>
      <c r="AD628">
        <v>10.428121756017925</v>
      </c>
      <c r="AE628">
        <v>2060.5228551393438</v>
      </c>
      <c r="AF628">
        <v>7.4086248766737919</v>
      </c>
      <c r="AG628">
        <v>2185.278051691128</v>
      </c>
      <c r="AH628">
        <v>10.432004825460863</v>
      </c>
      <c r="AI628">
        <v>1940.4828696237962</v>
      </c>
      <c r="AJ628">
        <v>7.4108125395076954</v>
      </c>
    </row>
    <row r="629" spans="4:36" x14ac:dyDescent="0.55000000000000004">
      <c r="D629">
        <v>622</v>
      </c>
      <c r="E629">
        <v>11.228334813139437</v>
      </c>
      <c r="F629">
        <v>0.42843719680220249</v>
      </c>
      <c r="G629">
        <v>0.15079340639417516</v>
      </c>
      <c r="H629">
        <v>18.192434583664177</v>
      </c>
      <c r="I629">
        <v>11.443265142241522</v>
      </c>
      <c r="J629">
        <v>0.26363897556874116</v>
      </c>
      <c r="K629">
        <v>9.2485837797859669E-2</v>
      </c>
      <c r="L629">
        <v>18.200610044391869</v>
      </c>
      <c r="M629">
        <v>11.380133673425972</v>
      </c>
      <c r="N629">
        <v>0.31207159610731167</v>
      </c>
      <c r="O629">
        <v>0.10958158738549097</v>
      </c>
      <c r="P629">
        <v>18.198213143081219</v>
      </c>
      <c r="Q629">
        <v>11.344287557728119</v>
      </c>
      <c r="R629">
        <v>0.33956194039567505</v>
      </c>
      <c r="S629">
        <v>0.11929997159644032</v>
      </c>
      <c r="T629">
        <v>18.196850530279757</v>
      </c>
      <c r="U629">
        <v>1470.4889036584143</v>
      </c>
      <c r="V629">
        <v>8.8297182423950584</v>
      </c>
      <c r="W629">
        <v>1246.0511654375998</v>
      </c>
      <c r="X629">
        <v>6.4728321516913248</v>
      </c>
      <c r="Y629">
        <v>2844.1647115749583</v>
      </c>
      <c r="Z629">
        <v>8.862631846858898</v>
      </c>
      <c r="AA629">
        <v>2700.2431280840274</v>
      </c>
      <c r="AB629">
        <v>6.4926453799762465</v>
      </c>
      <c r="AC629">
        <v>2129.6788597732811</v>
      </c>
      <c r="AD629">
        <v>8.8529620014144292</v>
      </c>
      <c r="AE629">
        <v>1962.196665026057</v>
      </c>
      <c r="AF629">
        <v>6.4868332344347808</v>
      </c>
      <c r="AG629">
        <v>2026.3407921285541</v>
      </c>
      <c r="AH629">
        <v>8.8474722396256613</v>
      </c>
      <c r="AI629">
        <v>1844.1163422946881</v>
      </c>
      <c r="AJ629">
        <v>6.4835302982037266</v>
      </c>
    </row>
    <row r="630" spans="4:36" x14ac:dyDescent="0.55000000000000004">
      <c r="D630">
        <v>623</v>
      </c>
      <c r="E630">
        <v>13.269558799512851</v>
      </c>
      <c r="F630">
        <v>0.49582215133337032</v>
      </c>
      <c r="G630">
        <v>0.18535425819922169</v>
      </c>
      <c r="H630">
        <v>16.049264790954552</v>
      </c>
      <c r="I630">
        <v>13.511974452134181</v>
      </c>
      <c r="J630">
        <v>0.3175363396768614</v>
      </c>
      <c r="K630">
        <v>0.11830700476949332</v>
      </c>
      <c r="L630">
        <v>16.052182203419481</v>
      </c>
      <c r="M630">
        <v>13.414390061250899</v>
      </c>
      <c r="N630">
        <v>0.38934434143865876</v>
      </c>
      <c r="O630">
        <v>0.14525656613728016</v>
      </c>
      <c r="P630">
        <v>16.051009031173159</v>
      </c>
      <c r="Q630">
        <v>13.360009117160335</v>
      </c>
      <c r="R630">
        <v>0.42933808062082535</v>
      </c>
      <c r="S630">
        <v>0.16029826424002416</v>
      </c>
      <c r="T630">
        <v>16.050354537978805</v>
      </c>
      <c r="U630">
        <v>1606.9671608116842</v>
      </c>
      <c r="V630">
        <v>10.491542042970314</v>
      </c>
      <c r="W630">
        <v>1320.7017926820604</v>
      </c>
      <c r="X630">
        <v>7.4440565127962985</v>
      </c>
      <c r="Y630">
        <v>2942.9674247284352</v>
      </c>
      <c r="Z630">
        <v>10.533566527858085</v>
      </c>
      <c r="AA630">
        <v>2755.1399372773531</v>
      </c>
      <c r="AB630">
        <v>7.4683351808407386</v>
      </c>
      <c r="AC630">
        <v>2266.6783362792403</v>
      </c>
      <c r="AD630">
        <v>10.516647948807618</v>
      </c>
      <c r="AE630">
        <v>2040.6993793711263</v>
      </c>
      <c r="AF630">
        <v>7.4585715295684221</v>
      </c>
      <c r="AG630">
        <v>2171.7301765672669</v>
      </c>
      <c r="AH630">
        <v>10.507220665648958</v>
      </c>
      <c r="AI630">
        <v>1926.5005088417572</v>
      </c>
      <c r="AJ630">
        <v>7.4531248680988842</v>
      </c>
    </row>
    <row r="631" spans="4:36" x14ac:dyDescent="0.55000000000000004">
      <c r="D631">
        <v>624</v>
      </c>
      <c r="E631">
        <v>11.699648535446045</v>
      </c>
      <c r="F631">
        <v>0.40819698962349549</v>
      </c>
      <c r="G631">
        <v>0.15045572148561573</v>
      </c>
      <c r="H631">
        <v>17.74169875344484</v>
      </c>
      <c r="I631">
        <v>11.882284775926658</v>
      </c>
      <c r="J631">
        <v>0.27521453628247694</v>
      </c>
      <c r="K631">
        <v>0.10115403382923688</v>
      </c>
      <c r="L631">
        <v>17.741346653961628</v>
      </c>
      <c r="M631">
        <v>11.807545299368172</v>
      </c>
      <c r="N631">
        <v>0.32965895215163943</v>
      </c>
      <c r="O631">
        <v>0.12130453167466351</v>
      </c>
      <c r="P631">
        <v>17.741491216805528</v>
      </c>
      <c r="Q631">
        <v>11.778139195671017</v>
      </c>
      <c r="R631">
        <v>0.35107070550196462</v>
      </c>
      <c r="S631">
        <v>0.12924218339305013</v>
      </c>
      <c r="T631">
        <v>17.741547915433969</v>
      </c>
      <c r="U631">
        <v>1479.6284910700647</v>
      </c>
      <c r="V631">
        <v>9.1976328188321084</v>
      </c>
      <c r="W631">
        <v>1250.4499936743237</v>
      </c>
      <c r="X631">
        <v>6.6942452747084245</v>
      </c>
      <c r="Y631">
        <v>2866.2149467461718</v>
      </c>
      <c r="Z631">
        <v>9.2334431676456621</v>
      </c>
      <c r="AA631">
        <v>2712.9152491733735</v>
      </c>
      <c r="AB631">
        <v>6.7153793658502199</v>
      </c>
      <c r="AC631">
        <v>2184.8626925013768</v>
      </c>
      <c r="AD631">
        <v>9.2187881109486938</v>
      </c>
      <c r="AE631">
        <v>1998.246380819081</v>
      </c>
      <c r="AF631">
        <v>6.7067388768582177</v>
      </c>
      <c r="AG631">
        <v>2074.0065693221413</v>
      </c>
      <c r="AH631">
        <v>9.2130223094165338</v>
      </c>
      <c r="AI631">
        <v>1874.9190695573659</v>
      </c>
      <c r="AJ631">
        <v>6.7033362183183298</v>
      </c>
    </row>
    <row r="632" spans="4:36" x14ac:dyDescent="0.55000000000000004">
      <c r="D632">
        <v>625</v>
      </c>
      <c r="E632">
        <v>12.948634942556208</v>
      </c>
      <c r="F632">
        <v>0.4557313504750754</v>
      </c>
      <c r="G632">
        <v>0.14714947306399193</v>
      </c>
      <c r="H632">
        <v>16.44848423390474</v>
      </c>
      <c r="I632">
        <v>13.153075023058669</v>
      </c>
      <c r="J632">
        <v>0.3047041919998642</v>
      </c>
      <c r="K632">
        <v>9.8112523930896936E-2</v>
      </c>
      <c r="L632">
        <v>16.444108261010584</v>
      </c>
      <c r="M632">
        <v>13.046275936494066</v>
      </c>
      <c r="N632">
        <v>0.3836295127264791</v>
      </c>
      <c r="O632">
        <v>0.12370434002330735</v>
      </c>
      <c r="P632">
        <v>16.446390210756149</v>
      </c>
      <c r="Q632">
        <v>12.990183740856255</v>
      </c>
      <c r="R632">
        <v>0.42505665887989069</v>
      </c>
      <c r="S632">
        <v>0.1371673393246233</v>
      </c>
      <c r="T632">
        <v>16.447592260939231</v>
      </c>
      <c r="U632">
        <v>1564.4208387138717</v>
      </c>
      <c r="V632">
        <v>10.145618149081351</v>
      </c>
      <c r="W632">
        <v>1301.4325694626627</v>
      </c>
      <c r="X632">
        <v>7.2392414070279205</v>
      </c>
      <c r="Y632">
        <v>2915.8613303477873</v>
      </c>
      <c r="Z632">
        <v>10.184553077010611</v>
      </c>
      <c r="AA632">
        <v>2742.094112260851</v>
      </c>
      <c r="AB632">
        <v>7.2614922633721779</v>
      </c>
      <c r="AC632">
        <v>2229.0857014492935</v>
      </c>
      <c r="AD632">
        <v>10.164215381319188</v>
      </c>
      <c r="AE632">
        <v>2020.8173772604589</v>
      </c>
      <c r="AF632">
        <v>7.2498777204608382</v>
      </c>
      <c r="AG632">
        <v>2139.4851542769884</v>
      </c>
      <c r="AH632">
        <v>10.15353217057255</v>
      </c>
      <c r="AI632">
        <v>1910.9946241456182</v>
      </c>
      <c r="AJ632">
        <v>7.2437695215914317</v>
      </c>
    </row>
    <row r="633" spans="4:36" x14ac:dyDescent="0.55000000000000004">
      <c r="D633">
        <v>626</v>
      </c>
      <c r="E633">
        <v>12.748330576916254</v>
      </c>
      <c r="F633">
        <v>0.47527072742324167</v>
      </c>
      <c r="G633">
        <v>0.1670552107343885</v>
      </c>
      <c r="H633">
        <v>16.609343484926132</v>
      </c>
      <c r="I633">
        <v>12.979579618325571</v>
      </c>
      <c r="J633">
        <v>0.30061971701622225</v>
      </c>
      <c r="K633">
        <v>0.10533638697802353</v>
      </c>
      <c r="L633">
        <v>16.614464277680177</v>
      </c>
      <c r="M633">
        <v>12.881665672781285</v>
      </c>
      <c r="N633">
        <v>0.37460414680860948</v>
      </c>
      <c r="O633">
        <v>0.13143350444581944</v>
      </c>
      <c r="P633">
        <v>16.612296675964298</v>
      </c>
      <c r="Q633">
        <v>12.834206365455442</v>
      </c>
      <c r="R633">
        <v>0.41044635614087371</v>
      </c>
      <c r="S633">
        <v>0.14410157178800861</v>
      </c>
      <c r="T633">
        <v>16.611245706615691</v>
      </c>
      <c r="U633">
        <v>1545.6802071650175</v>
      </c>
      <c r="V633">
        <v>10.063618609897503</v>
      </c>
      <c r="W633">
        <v>1287.935381881151</v>
      </c>
      <c r="X633">
        <v>7.1989935443975135</v>
      </c>
      <c r="Y633">
        <v>2914.0875557049885</v>
      </c>
      <c r="Z633">
        <v>10.105073291996778</v>
      </c>
      <c r="AA633">
        <v>2741.9981294717218</v>
      </c>
      <c r="AB633">
        <v>7.2230913070921554</v>
      </c>
      <c r="AC633">
        <v>2238.8821066392074</v>
      </c>
      <c r="AD633">
        <v>10.087519895792466</v>
      </c>
      <c r="AE633">
        <v>2029.5435143916193</v>
      </c>
      <c r="AF633">
        <v>7.2128981871814188</v>
      </c>
      <c r="AG633">
        <v>2119.0190254508698</v>
      </c>
      <c r="AH633">
        <v>10.079012179613054</v>
      </c>
      <c r="AI633">
        <v>1898.4296437428436</v>
      </c>
      <c r="AJ633">
        <v>7.2079521720336635</v>
      </c>
    </row>
    <row r="634" spans="4:36" x14ac:dyDescent="0.55000000000000004">
      <c r="D634">
        <v>627</v>
      </c>
      <c r="E634">
        <v>13.258112081582853</v>
      </c>
      <c r="F634">
        <v>0.48478730292487721</v>
      </c>
      <c r="G634">
        <v>0.17284062610495099</v>
      </c>
      <c r="H634">
        <v>16.084259989387316</v>
      </c>
      <c r="I634">
        <v>13.536335037000459</v>
      </c>
      <c r="J634">
        <v>0.2945155772184106</v>
      </c>
      <c r="K634">
        <v>0.10458592741362756</v>
      </c>
      <c r="L634">
        <v>16.064563458367488</v>
      </c>
      <c r="M634">
        <v>13.420838452343622</v>
      </c>
      <c r="N634">
        <v>0.37356085085041923</v>
      </c>
      <c r="O634">
        <v>0.13287419360812386</v>
      </c>
      <c r="P634">
        <v>16.072726503197853</v>
      </c>
      <c r="Q634">
        <v>13.381776603252048</v>
      </c>
      <c r="R634">
        <v>0.40027564033948682</v>
      </c>
      <c r="S634">
        <v>0.14245615297081302</v>
      </c>
      <c r="T634">
        <v>16.075491603437655</v>
      </c>
      <c r="U634">
        <v>1597.0556433186189</v>
      </c>
      <c r="V634">
        <v>10.428336617057406</v>
      </c>
      <c r="W634">
        <v>1321.174417230884</v>
      </c>
      <c r="X634">
        <v>7.405864586490547</v>
      </c>
      <c r="Y634">
        <v>2909.5929684508847</v>
      </c>
      <c r="Z634">
        <v>10.493939665720085</v>
      </c>
      <c r="AA634">
        <v>2737.1643691907334</v>
      </c>
      <c r="AB634">
        <v>7.4428131326872498</v>
      </c>
      <c r="AC634">
        <v>2234.1501387078661</v>
      </c>
      <c r="AD634">
        <v>10.46671376410532</v>
      </c>
      <c r="AE634">
        <v>2023.8142106678356</v>
      </c>
      <c r="AF634">
        <v>7.4274958160429163</v>
      </c>
      <c r="AG634">
        <v>2122.3564701684404</v>
      </c>
      <c r="AH634">
        <v>10.457503385958509</v>
      </c>
      <c r="AI634">
        <v>1899.0205062921734</v>
      </c>
      <c r="AJ634">
        <v>7.4223087168937454</v>
      </c>
    </row>
    <row r="635" spans="4:36" x14ac:dyDescent="0.55000000000000004">
      <c r="D635">
        <v>628</v>
      </c>
      <c r="E635">
        <v>11.904933606912859</v>
      </c>
      <c r="F635">
        <v>0.42921655781511991</v>
      </c>
      <c r="G635">
        <v>0.14388856793097204</v>
      </c>
      <c r="H635">
        <v>17.521961267341048</v>
      </c>
      <c r="I635">
        <v>12.080771340725667</v>
      </c>
      <c r="J635">
        <v>0.29536606091269979</v>
      </c>
      <c r="K635">
        <v>9.8756577158991027E-2</v>
      </c>
      <c r="L635">
        <v>17.52510602120266</v>
      </c>
      <c r="M635">
        <v>12.002002039146706</v>
      </c>
      <c r="N635">
        <v>0.35534739874954469</v>
      </c>
      <c r="O635">
        <v>0.11895139796486649</v>
      </c>
      <c r="P635">
        <v>17.523699164138879</v>
      </c>
      <c r="Q635">
        <v>11.989392162446142</v>
      </c>
      <c r="R635">
        <v>0.36494644461509029</v>
      </c>
      <c r="S635">
        <v>0.12218773032100802</v>
      </c>
      <c r="T635">
        <v>17.523473662617768</v>
      </c>
      <c r="U635">
        <v>1520.5799663394757</v>
      </c>
      <c r="V635">
        <v>9.3324910066418418</v>
      </c>
      <c r="W635">
        <v>1277.8979658659912</v>
      </c>
      <c r="X635">
        <v>6.7676950581531399</v>
      </c>
      <c r="Y635">
        <v>2874.1244524067197</v>
      </c>
      <c r="Z635">
        <v>9.3629933525330387</v>
      </c>
      <c r="AA635">
        <v>2716.5808068766614</v>
      </c>
      <c r="AB635">
        <v>6.7857555560110185</v>
      </c>
      <c r="AC635">
        <v>2202.6320015104566</v>
      </c>
      <c r="AD635">
        <v>9.3493280302904491</v>
      </c>
      <c r="AE635">
        <v>2008.5433798026854</v>
      </c>
      <c r="AF635">
        <v>6.777671418669911</v>
      </c>
      <c r="AG635">
        <v>2088.5298013285701</v>
      </c>
      <c r="AH635">
        <v>9.3471405981848292</v>
      </c>
      <c r="AI635">
        <v>1883.7129156870158</v>
      </c>
      <c r="AJ635">
        <v>6.7763763071699756</v>
      </c>
    </row>
    <row r="636" spans="4:36" x14ac:dyDescent="0.55000000000000004">
      <c r="D636">
        <v>629</v>
      </c>
      <c r="E636">
        <v>11.991027627291521</v>
      </c>
      <c r="F636">
        <v>0.46189164024960055</v>
      </c>
      <c r="G636">
        <v>0.16540254709830529</v>
      </c>
      <c r="H636">
        <v>17.381678185360567</v>
      </c>
      <c r="I636">
        <v>12.254658967346053</v>
      </c>
      <c r="J636">
        <v>0.26210647170691026</v>
      </c>
      <c r="K636">
        <v>9.3496839111040925E-2</v>
      </c>
      <c r="L636">
        <v>17.389737721835981</v>
      </c>
      <c r="M636">
        <v>12.142189746807217</v>
      </c>
      <c r="N636">
        <v>0.34738456899287995</v>
      </c>
      <c r="O636">
        <v>0.12412065166135218</v>
      </c>
      <c r="P636">
        <v>17.386305032538559</v>
      </c>
      <c r="Q636">
        <v>12.095393701199823</v>
      </c>
      <c r="R636">
        <v>0.38284659931945952</v>
      </c>
      <c r="S636">
        <v>0.13688539625283649</v>
      </c>
      <c r="T636">
        <v>17.384874303227878</v>
      </c>
      <c r="U636">
        <v>1541.7463227354756</v>
      </c>
      <c r="V636">
        <v>9.4969444404694894</v>
      </c>
      <c r="W636">
        <v>1287.8161310609316</v>
      </c>
      <c r="X636">
        <v>6.8727193211297495</v>
      </c>
      <c r="Y636">
        <v>2877.6088078631524</v>
      </c>
      <c r="Z636">
        <v>9.5401245249523949</v>
      </c>
      <c r="AA636">
        <v>2719.9304480238975</v>
      </c>
      <c r="AB636">
        <v>6.898256772937156</v>
      </c>
      <c r="AC636">
        <v>2189.5106139047593</v>
      </c>
      <c r="AD636">
        <v>9.5217003203929718</v>
      </c>
      <c r="AE636">
        <v>1997.2949220856997</v>
      </c>
      <c r="AF636">
        <v>6.8873750967586131</v>
      </c>
      <c r="AG636">
        <v>2121.7241398672304</v>
      </c>
      <c r="AH636">
        <v>9.5140356726078643</v>
      </c>
      <c r="AI636">
        <v>1903.9834451855515</v>
      </c>
      <c r="AJ636">
        <v>6.8828417949718439</v>
      </c>
    </row>
    <row r="637" spans="4:36" x14ac:dyDescent="0.55000000000000004">
      <c r="D637">
        <v>630</v>
      </c>
      <c r="E637">
        <v>13.41414425307193</v>
      </c>
      <c r="F637">
        <v>0.50880423134029362</v>
      </c>
      <c r="G637">
        <v>0.16601991988631123</v>
      </c>
      <c r="H637">
        <v>15.911031595701477</v>
      </c>
      <c r="I637">
        <v>13.662762999145414</v>
      </c>
      <c r="J637">
        <v>0.32643324387934314</v>
      </c>
      <c r="K637">
        <v>0.10614214485939644</v>
      </c>
      <c r="L637">
        <v>15.904661612115847</v>
      </c>
      <c r="M637">
        <v>13.5560741907839</v>
      </c>
      <c r="N637">
        <v>0.40473521584508843</v>
      </c>
      <c r="O637">
        <v>0.13179900076250733</v>
      </c>
      <c r="P637">
        <v>15.907391592608512</v>
      </c>
      <c r="Q637">
        <v>13.506584308450027</v>
      </c>
      <c r="R637">
        <v>0.44103598521107396</v>
      </c>
      <c r="S637">
        <v>0.14371994938642435</v>
      </c>
      <c r="T637">
        <v>15.908659756952471</v>
      </c>
      <c r="U637">
        <v>1598.9605052961322</v>
      </c>
      <c r="V637">
        <v>10.639942790303328</v>
      </c>
      <c r="W637">
        <v>1315.5286124707231</v>
      </c>
      <c r="X637">
        <v>7.5360928730065453</v>
      </c>
      <c r="Y637">
        <v>2953.2278943190422</v>
      </c>
      <c r="Z637">
        <v>10.690414087606541</v>
      </c>
      <c r="AA637">
        <v>2762.6849502162854</v>
      </c>
      <c r="AB637">
        <v>7.5647741429566775</v>
      </c>
      <c r="AC637">
        <v>2266.8625161704167</v>
      </c>
      <c r="AD637">
        <v>10.668757491545557</v>
      </c>
      <c r="AE637">
        <v>2040.841078876954</v>
      </c>
      <c r="AF637">
        <v>7.5524794929255519</v>
      </c>
      <c r="AG637">
        <v>2147.6056360174498</v>
      </c>
      <c r="AH637">
        <v>10.658710620493078</v>
      </c>
      <c r="AI637">
        <v>1909.7459285156212</v>
      </c>
      <c r="AJ637">
        <v>7.5467696292128759</v>
      </c>
    </row>
    <row r="638" spans="4:36" x14ac:dyDescent="0.55000000000000004">
      <c r="D638">
        <v>631</v>
      </c>
      <c r="E638">
        <v>13.059818336786845</v>
      </c>
      <c r="F638">
        <v>0.45381882300028514</v>
      </c>
      <c r="G638">
        <v>0.16450253303538798</v>
      </c>
      <c r="H638">
        <v>16.321860307177467</v>
      </c>
      <c r="I638">
        <v>13.278761844046443</v>
      </c>
      <c r="J638">
        <v>0.30324930063507238</v>
      </c>
      <c r="K638">
        <v>0.10959235073171439</v>
      </c>
      <c r="L638">
        <v>16.308396504586767</v>
      </c>
      <c r="M638">
        <v>13.189565509228393</v>
      </c>
      <c r="N638">
        <v>0.36462700637217199</v>
      </c>
      <c r="O638">
        <v>0.13193518456252407</v>
      </c>
      <c r="P638">
        <v>16.313872299836913</v>
      </c>
      <c r="Q638">
        <v>13.178879462762717</v>
      </c>
      <c r="R638">
        <v>0.37197692332996068</v>
      </c>
      <c r="S638">
        <v>0.13461444175568504</v>
      </c>
      <c r="T638">
        <v>16.314529172151623</v>
      </c>
      <c r="U638">
        <v>1593.382612973679</v>
      </c>
      <c r="V638">
        <v>10.374179779480283</v>
      </c>
      <c r="W638">
        <v>1318.6237439914239</v>
      </c>
      <c r="X638">
        <v>7.390657553121402</v>
      </c>
      <c r="Y638">
        <v>2916.9500877113342</v>
      </c>
      <c r="Z638">
        <v>10.422183051460651</v>
      </c>
      <c r="AA638">
        <v>2740.4714330822612</v>
      </c>
      <c r="AB638">
        <v>7.417609835646763</v>
      </c>
      <c r="AC638">
        <v>2241.7332781607929</v>
      </c>
      <c r="AD638">
        <v>10.40263281477467</v>
      </c>
      <c r="AE638">
        <v>2028.2114424963759</v>
      </c>
      <c r="AF638">
        <v>7.4066424355447742</v>
      </c>
      <c r="AG638">
        <v>2126.6247198116143</v>
      </c>
      <c r="AH638">
        <v>10.400290072155357</v>
      </c>
      <c r="AI638">
        <v>1902.3537945355392</v>
      </c>
      <c r="AJ638">
        <v>7.4053273261361596</v>
      </c>
    </row>
    <row r="639" spans="4:36" x14ac:dyDescent="0.55000000000000004">
      <c r="D639">
        <v>632</v>
      </c>
      <c r="E639">
        <v>12.683162105383737</v>
      </c>
      <c r="F639">
        <v>0.469215878760187</v>
      </c>
      <c r="G639">
        <v>0.15332316571357957</v>
      </c>
      <c r="H639">
        <v>16.694298850142484</v>
      </c>
      <c r="I639">
        <v>12.899098538668705</v>
      </c>
      <c r="J639">
        <v>0.30840030850604733</v>
      </c>
      <c r="K639">
        <v>0.10046190008473622</v>
      </c>
      <c r="L639">
        <v>16.692039252740514</v>
      </c>
      <c r="M639">
        <v>12.80837277570645</v>
      </c>
      <c r="N639">
        <v>0.37599848906728106</v>
      </c>
      <c r="O639">
        <v>0.12264135710355796</v>
      </c>
      <c r="P639">
        <v>16.692987378122709</v>
      </c>
      <c r="Q639">
        <v>12.763420600858895</v>
      </c>
      <c r="R639">
        <v>0.40947472408685798</v>
      </c>
      <c r="S639">
        <v>0.1336468596786399</v>
      </c>
      <c r="T639">
        <v>16.693457815375599</v>
      </c>
      <c r="U639">
        <v>1513.9096605539344</v>
      </c>
      <c r="V639">
        <v>9.9375691198232801</v>
      </c>
      <c r="W639">
        <v>1268.5667121174765</v>
      </c>
      <c r="X639">
        <v>7.11810013076727</v>
      </c>
      <c r="Y639">
        <v>2898.6863902469377</v>
      </c>
      <c r="Z639">
        <v>9.9812171506418341</v>
      </c>
      <c r="AA639">
        <v>2732.3987144925618</v>
      </c>
      <c r="AB639">
        <v>7.1433670368504378</v>
      </c>
      <c r="AC639">
        <v>2214.4355719293681</v>
      </c>
      <c r="AD639">
        <v>9.9628783532696037</v>
      </c>
      <c r="AE639">
        <v>2014.3347149684109</v>
      </c>
      <c r="AF639">
        <v>7.1327615357165577</v>
      </c>
      <c r="AG639">
        <v>2102.3484241378087</v>
      </c>
      <c r="AH639">
        <v>9.9537920062122716</v>
      </c>
      <c r="AI639">
        <v>1889.1884026993391</v>
      </c>
      <c r="AJ639">
        <v>7.1275012335061367</v>
      </c>
    </row>
    <row r="640" spans="4:36" x14ac:dyDescent="0.55000000000000004">
      <c r="D640">
        <v>633</v>
      </c>
      <c r="E640">
        <v>13.805390675178229</v>
      </c>
      <c r="F640">
        <v>0.47900308866846963</v>
      </c>
      <c r="G640">
        <v>0.15299857542110964</v>
      </c>
      <c r="H640">
        <v>15.562607660732187</v>
      </c>
      <c r="I640">
        <v>14.067508376662227</v>
      </c>
      <c r="J640">
        <v>0.30323477245333391</v>
      </c>
      <c r="K640">
        <v>9.650990277772957E-2</v>
      </c>
      <c r="L640">
        <v>15.532746948106702</v>
      </c>
      <c r="M640">
        <v>13.965735493913799</v>
      </c>
      <c r="N640">
        <v>0.37153214101291998</v>
      </c>
      <c r="O640">
        <v>0.11841058337164166</v>
      </c>
      <c r="P640">
        <v>15.544321781701624</v>
      </c>
      <c r="Q640">
        <v>13.89151679758089</v>
      </c>
      <c r="R640">
        <v>0.42129743984336782</v>
      </c>
      <c r="S640">
        <v>0.13440758930127336</v>
      </c>
      <c r="T640">
        <v>15.552778173274461</v>
      </c>
      <c r="U640">
        <v>1611.2135478109649</v>
      </c>
      <c r="V640">
        <v>10.732860103951483</v>
      </c>
      <c r="W640">
        <v>1325.0511558318135</v>
      </c>
      <c r="X640">
        <v>7.5654302543502157</v>
      </c>
      <c r="Y640">
        <v>2946.3073528271848</v>
      </c>
      <c r="Z640">
        <v>10.795601631771087</v>
      </c>
      <c r="AA640">
        <v>2758.4887935310671</v>
      </c>
      <c r="AB640">
        <v>7.6000140765727435</v>
      </c>
      <c r="AC640">
        <v>2295.2778280358161</v>
      </c>
      <c r="AD640">
        <v>10.771252288087039</v>
      </c>
      <c r="AE640">
        <v>2062.2689318548601</v>
      </c>
      <c r="AF640">
        <v>7.5866050062135804</v>
      </c>
      <c r="AG640">
        <v>2192.8218889611485</v>
      </c>
      <c r="AH640">
        <v>10.753486222824359</v>
      </c>
      <c r="AI640">
        <v>1942.1825281487984</v>
      </c>
      <c r="AJ640">
        <v>7.5768113002597532</v>
      </c>
    </row>
    <row r="641" spans="4:36" x14ac:dyDescent="0.55000000000000004">
      <c r="D641">
        <v>634</v>
      </c>
      <c r="E641">
        <v>10.106008308733479</v>
      </c>
      <c r="F641">
        <v>0.39094684190957568</v>
      </c>
      <c r="G641">
        <v>0.14703985710775988</v>
      </c>
      <c r="H641">
        <v>19.356004992249204</v>
      </c>
      <c r="I641">
        <v>10.271669478237083</v>
      </c>
      <c r="J641">
        <v>0.24742918310521936</v>
      </c>
      <c r="K641">
        <v>9.2790955605173892E-2</v>
      </c>
      <c r="L641">
        <v>19.388110383052535</v>
      </c>
      <c r="M641">
        <v>10.222590090450616</v>
      </c>
      <c r="N641">
        <v>0.28995857648654516</v>
      </c>
      <c r="O641">
        <v>0.10883363783136346</v>
      </c>
      <c r="P641">
        <v>19.378617695231476</v>
      </c>
      <c r="Q641">
        <v>10.183843142764989</v>
      </c>
      <c r="R641">
        <v>0.32352834717169665</v>
      </c>
      <c r="S641">
        <v>0.12151629813573546</v>
      </c>
      <c r="T641">
        <v>19.371112211927592</v>
      </c>
      <c r="U641">
        <v>1405.7957711971023</v>
      </c>
      <c r="V641">
        <v>7.9553926648402271</v>
      </c>
      <c r="W641">
        <v>1209.8752402054224</v>
      </c>
      <c r="X641">
        <v>5.9480397225954542</v>
      </c>
      <c r="Y641">
        <v>2789.9769303875946</v>
      </c>
      <c r="Z641">
        <v>7.9667798249052577</v>
      </c>
      <c r="AA641">
        <v>2667.0335471185022</v>
      </c>
      <c r="AB641">
        <v>5.9566309977972738</v>
      </c>
      <c r="AC641">
        <v>2108.6600089850012</v>
      </c>
      <c r="AD641">
        <v>7.9633956264726828</v>
      </c>
      <c r="AE641">
        <v>1955.366957550119</v>
      </c>
      <c r="AF641">
        <v>5.9540853593938685</v>
      </c>
      <c r="AG641">
        <v>1992.3729506379559</v>
      </c>
      <c r="AH641">
        <v>7.9607301661718894</v>
      </c>
      <c r="AI641">
        <v>1827.6406349439869</v>
      </c>
      <c r="AJ641">
        <v>5.9520758533380977</v>
      </c>
    </row>
    <row r="642" spans="4:36" x14ac:dyDescent="0.55000000000000004">
      <c r="D642">
        <v>635</v>
      </c>
      <c r="E642">
        <v>11.381796939693816</v>
      </c>
      <c r="F642">
        <v>0.40550102721107267</v>
      </c>
      <c r="G642">
        <v>0.1440161145336589</v>
      </c>
      <c r="H642">
        <v>18.068685918561453</v>
      </c>
      <c r="I642">
        <v>11.566231024274638</v>
      </c>
      <c r="J642">
        <v>0.2650717048972977</v>
      </c>
      <c r="K642">
        <v>9.3876401390810049E-2</v>
      </c>
      <c r="L642">
        <v>18.074820869437254</v>
      </c>
      <c r="M642">
        <v>11.501168539678446</v>
      </c>
      <c r="N642">
        <v>0.3146323931162891</v>
      </c>
      <c r="O642">
        <v>0.11153912980376537</v>
      </c>
      <c r="P642">
        <v>18.072659937401507</v>
      </c>
      <c r="Q642">
        <v>11.459319435305069</v>
      </c>
      <c r="R642">
        <v>0.34649806866443705</v>
      </c>
      <c r="S642">
        <v>0.12291438631427903</v>
      </c>
      <c r="T642">
        <v>18.071268109716222</v>
      </c>
      <c r="U642">
        <v>1461.2510398944723</v>
      </c>
      <c r="V642">
        <v>8.959312193350419</v>
      </c>
      <c r="W642">
        <v>1239.3927786804554</v>
      </c>
      <c r="X642">
        <v>6.5552098973519266</v>
      </c>
      <c r="Y642">
        <v>2859.8036333649134</v>
      </c>
      <c r="Z642">
        <v>8.9926125210768681</v>
      </c>
      <c r="AA642">
        <v>2710.5487670835046</v>
      </c>
      <c r="AB642">
        <v>6.5752320335133634</v>
      </c>
      <c r="AC642">
        <v>2154.1853536399481</v>
      </c>
      <c r="AD642">
        <v>8.9808629775849944</v>
      </c>
      <c r="AE642">
        <v>1978.7612325537641</v>
      </c>
      <c r="AF642">
        <v>6.5681758919170692</v>
      </c>
      <c r="AG642">
        <v>2042.4498682062579</v>
      </c>
      <c r="AH642">
        <v>8.9733067960098492</v>
      </c>
      <c r="AI642">
        <v>1854.0464965470317</v>
      </c>
      <c r="AJ642">
        <v>6.5636332480106727</v>
      </c>
    </row>
    <row r="643" spans="4:36" x14ac:dyDescent="0.55000000000000004">
      <c r="D643">
        <v>636</v>
      </c>
      <c r="E643">
        <v>13.951812735047652</v>
      </c>
      <c r="F643">
        <v>0.52822418634157597</v>
      </c>
      <c r="G643">
        <v>0.17529859016595803</v>
      </c>
      <c r="H643">
        <v>15.344664488444828</v>
      </c>
      <c r="I643">
        <v>14.236006299613139</v>
      </c>
      <c r="J643">
        <v>0.33182988253473578</v>
      </c>
      <c r="K643">
        <v>0.10970917572626274</v>
      </c>
      <c r="L643">
        <v>15.322454642125857</v>
      </c>
      <c r="M643">
        <v>14.14723375100794</v>
      </c>
      <c r="N643">
        <v>0.39322887749557534</v>
      </c>
      <c r="O643">
        <v>0.13016068758800783</v>
      </c>
      <c r="P643">
        <v>15.329376683908476</v>
      </c>
      <c r="Q643">
        <v>14.087953788173913</v>
      </c>
      <c r="R643">
        <v>0.43420332009033247</v>
      </c>
      <c r="S643">
        <v>0.14383601243400018</v>
      </c>
      <c r="T643">
        <v>15.334006879301743</v>
      </c>
      <c r="U643">
        <v>1626.5007416497601</v>
      </c>
      <c r="V643">
        <v>11.002761597524852</v>
      </c>
      <c r="W643">
        <v>1331.8597376798043</v>
      </c>
      <c r="X643">
        <v>7.7348817196409341</v>
      </c>
      <c r="Y643">
        <v>2968.1587537350983</v>
      </c>
      <c r="Z643">
        <v>11.06940625255131</v>
      </c>
      <c r="AA643">
        <v>2771.4677608550878</v>
      </c>
      <c r="AB643">
        <v>7.7719054175392497</v>
      </c>
      <c r="AC643">
        <v>2271.5213923655338</v>
      </c>
      <c r="AD643">
        <v>11.048597071786961</v>
      </c>
      <c r="AE643">
        <v>2043.4222370962702</v>
      </c>
      <c r="AF643">
        <v>7.7603586251182985</v>
      </c>
      <c r="AG643">
        <v>2170.1974418119316</v>
      </c>
      <c r="AH643">
        <v>11.03469703343224</v>
      </c>
      <c r="AI643">
        <v>1924.7170356543165</v>
      </c>
      <c r="AJ643">
        <v>7.75263884137952</v>
      </c>
    </row>
    <row r="644" spans="4:36" x14ac:dyDescent="0.55000000000000004">
      <c r="D644">
        <v>637</v>
      </c>
      <c r="E644">
        <v>12.664676278007748</v>
      </c>
      <c r="F644">
        <v>0.41054974058159488</v>
      </c>
      <c r="G644">
        <v>0.14997690693494162</v>
      </c>
      <c r="H644">
        <v>16.774797074475728</v>
      </c>
      <c r="I644">
        <v>12.880509801437743</v>
      </c>
      <c r="J644">
        <v>0.26742386652433159</v>
      </c>
      <c r="K644">
        <v>9.7371626303650177E-2</v>
      </c>
      <c r="L644">
        <v>16.754694705734281</v>
      </c>
      <c r="M644">
        <v>12.760583424365013</v>
      </c>
      <c r="N644">
        <v>0.34698968614333076</v>
      </c>
      <c r="O644">
        <v>0.12657236203837513</v>
      </c>
      <c r="P644">
        <v>16.765854527453289</v>
      </c>
      <c r="Q644">
        <v>12.75984618101557</v>
      </c>
      <c r="R644">
        <v>0.34747851419222447</v>
      </c>
      <c r="S644">
        <v>0.12675209624890699</v>
      </c>
      <c r="T644">
        <v>16.765923208543306</v>
      </c>
      <c r="U644">
        <v>1485.5082355332804</v>
      </c>
      <c r="V644">
        <v>9.9995247046171656</v>
      </c>
      <c r="W644">
        <v>1250.1675442466574</v>
      </c>
      <c r="X644">
        <v>7.1701531202133184</v>
      </c>
      <c r="Y644">
        <v>2873.0739796308681</v>
      </c>
      <c r="Z644">
        <v>10.050848967518858</v>
      </c>
      <c r="AA644">
        <v>2715.5357760426082</v>
      </c>
      <c r="AB644">
        <v>7.1991859426831395</v>
      </c>
      <c r="AC644">
        <v>2214.7453957886141</v>
      </c>
      <c r="AD644">
        <v>10.022336789157466</v>
      </c>
      <c r="AE644">
        <v>2014.9864623202068</v>
      </c>
      <c r="AF644">
        <v>7.1830683353158955</v>
      </c>
      <c r="AG644">
        <v>2073.3307546121273</v>
      </c>
      <c r="AH644">
        <v>10.022161466890545</v>
      </c>
      <c r="AI644">
        <v>1870.8585241834551</v>
      </c>
      <c r="AJ644">
        <v>7.1829691429262414</v>
      </c>
    </row>
    <row r="645" spans="4:36" x14ac:dyDescent="0.55000000000000004">
      <c r="D645">
        <v>638</v>
      </c>
      <c r="E645">
        <v>12.559977246548916</v>
      </c>
      <c r="F645">
        <v>0.49864069401898992</v>
      </c>
      <c r="G645">
        <v>0.16778818822305949</v>
      </c>
      <c r="H645">
        <v>16.773593871209027</v>
      </c>
      <c r="I645">
        <v>12.760568940158509</v>
      </c>
      <c r="J645">
        <v>0.3375419605505437</v>
      </c>
      <c r="K645">
        <v>0.11325467235951142</v>
      </c>
      <c r="L645">
        <v>16.788634426931434</v>
      </c>
      <c r="M645">
        <v>12.700902112584624</v>
      </c>
      <c r="N645">
        <v>0.38548041330661609</v>
      </c>
      <c r="O645">
        <v>0.12944920420688669</v>
      </c>
      <c r="P645">
        <v>16.784168269901866</v>
      </c>
      <c r="Q645">
        <v>12.677109216266313</v>
      </c>
      <c r="R645">
        <v>0.40459201266835004</v>
      </c>
      <c r="S645">
        <v>0.13591325194776693</v>
      </c>
      <c r="T645">
        <v>16.782385519117561</v>
      </c>
      <c r="U645">
        <v>1539.0268010330201</v>
      </c>
      <c r="V645">
        <v>9.9601987613777467</v>
      </c>
      <c r="W645">
        <v>1280.0199008632219</v>
      </c>
      <c r="X645">
        <v>7.1416471984108254</v>
      </c>
      <c r="Y645">
        <v>2909.4179529965259</v>
      </c>
      <c r="Z645">
        <v>9.9903677399128714</v>
      </c>
      <c r="AA645">
        <v>2735.0404410984338</v>
      </c>
      <c r="AB645">
        <v>7.159795343307116</v>
      </c>
      <c r="AC645">
        <v>2218.217739923733</v>
      </c>
      <c r="AD645">
        <v>9.9813892059430849</v>
      </c>
      <c r="AE645">
        <v>2012.8319940717529</v>
      </c>
      <c r="AF645">
        <v>7.1544015031971</v>
      </c>
      <c r="AG645">
        <v>2126.4013845544887</v>
      </c>
      <c r="AH645">
        <v>9.9778099953091512</v>
      </c>
      <c r="AI645">
        <v>1903.0579367147059</v>
      </c>
      <c r="AJ645">
        <v>7.1522496084897984</v>
      </c>
    </row>
    <row r="646" spans="4:36" x14ac:dyDescent="0.55000000000000004">
      <c r="D646">
        <v>639</v>
      </c>
      <c r="E646">
        <v>12.873828902407627</v>
      </c>
      <c r="F646">
        <v>0.4843777476936677</v>
      </c>
      <c r="G646">
        <v>0.17358518046491919</v>
      </c>
      <c r="H646">
        <v>16.46820816943379</v>
      </c>
      <c r="I646">
        <v>13.123803442154674</v>
      </c>
      <c r="J646">
        <v>0.30522374405302577</v>
      </c>
      <c r="K646">
        <v>0.10900251922422047</v>
      </c>
      <c r="L646">
        <v>16.461970294568065</v>
      </c>
      <c r="M646">
        <v>13.030278128347595</v>
      </c>
      <c r="N646">
        <v>0.37229574091026385</v>
      </c>
      <c r="O646">
        <v>0.13312772521496158</v>
      </c>
      <c r="P646">
        <v>16.464298405527202</v>
      </c>
      <c r="Q646">
        <v>12.981086354005622</v>
      </c>
      <c r="R646">
        <v>0.40755302912037195</v>
      </c>
      <c r="S646">
        <v>0.14583495407934891</v>
      </c>
      <c r="T646">
        <v>16.465525662794661</v>
      </c>
      <c r="U646">
        <v>1541.2454298398436</v>
      </c>
      <c r="V646">
        <v>10.230140450882375</v>
      </c>
      <c r="W646">
        <v>1282.6688138193681</v>
      </c>
      <c r="X646">
        <v>7.3041354286185181</v>
      </c>
      <c r="Y646">
        <v>2899.9064702165479</v>
      </c>
      <c r="Z646">
        <v>10.281453661712394</v>
      </c>
      <c r="AA646">
        <v>2730.5122609344289</v>
      </c>
      <c r="AB646">
        <v>7.3334655442421717</v>
      </c>
      <c r="AC646">
        <v>2211.7665742749305</v>
      </c>
      <c r="AD646">
        <v>10.262258223231552</v>
      </c>
      <c r="AE646">
        <v>2009.0537199187204</v>
      </c>
      <c r="AF646">
        <v>7.3225061022173632</v>
      </c>
      <c r="AG646">
        <v>2127.2405422281327</v>
      </c>
      <c r="AH646">
        <v>10.252160581173099</v>
      </c>
      <c r="AI646">
        <v>1903.2835895681305</v>
      </c>
      <c r="AJ646">
        <v>7.316734997068675</v>
      </c>
    </row>
    <row r="647" spans="4:36" x14ac:dyDescent="0.55000000000000004">
      <c r="D647">
        <v>640</v>
      </c>
      <c r="E647">
        <v>14.725258337538767</v>
      </c>
      <c r="F647">
        <v>0.59071829361164785</v>
      </c>
      <c r="G647">
        <v>0.20624874339396751</v>
      </c>
      <c r="H647">
        <v>14.477774625455602</v>
      </c>
      <c r="I647">
        <v>15.051266082688453</v>
      </c>
      <c r="J647">
        <v>0.3606823724201807</v>
      </c>
      <c r="K647">
        <v>0.12544936442975291</v>
      </c>
      <c r="L647">
        <v>14.462602180461621</v>
      </c>
      <c r="M647">
        <v>14.944997993671603</v>
      </c>
      <c r="N647">
        <v>0.43573174321717856</v>
      </c>
      <c r="O647">
        <v>0.15174095519850567</v>
      </c>
      <c r="P647">
        <v>14.467529307912724</v>
      </c>
      <c r="Q647">
        <v>14.911552487418952</v>
      </c>
      <c r="R647">
        <v>0.45933892231957774</v>
      </c>
      <c r="S647">
        <v>0.16002488270552687</v>
      </c>
      <c r="T647">
        <v>14.469083707555948</v>
      </c>
      <c r="U647">
        <v>1677.0319538894189</v>
      </c>
      <c r="V647">
        <v>11.561334513823917</v>
      </c>
      <c r="W647">
        <v>1355.4531110178305</v>
      </c>
      <c r="X647">
        <v>8.0385452620228524</v>
      </c>
      <c r="Y647">
        <v>3011.812469455499</v>
      </c>
      <c r="Z647">
        <v>11.634067327330881</v>
      </c>
      <c r="AA647">
        <v>2794.9926158189573</v>
      </c>
      <c r="AB647">
        <v>8.0786437158408688</v>
      </c>
      <c r="AC647">
        <v>2339.6807127645388</v>
      </c>
      <c r="AD647">
        <v>11.610368609372582</v>
      </c>
      <c r="AE647">
        <v>2082.3435284607567</v>
      </c>
      <c r="AF647">
        <v>8.0655940248065878</v>
      </c>
      <c r="AG647">
        <v>2242.6906588868346</v>
      </c>
      <c r="AH647">
        <v>11.602908010354186</v>
      </c>
      <c r="AI647">
        <v>1967.4497609141738</v>
      </c>
      <c r="AJ647">
        <v>8.0614827310225312</v>
      </c>
    </row>
    <row r="648" spans="4:36" x14ac:dyDescent="0.55000000000000004">
      <c r="D648">
        <v>641</v>
      </c>
      <c r="E648">
        <v>12.709237008708458</v>
      </c>
      <c r="F648">
        <v>0.44072832884828111</v>
      </c>
      <c r="G648">
        <v>0.15158305910000708</v>
      </c>
      <c r="H648">
        <v>16.698451603343248</v>
      </c>
      <c r="I648">
        <v>12.913783862446714</v>
      </c>
      <c r="J648">
        <v>0.29774386962177785</v>
      </c>
      <c r="K648">
        <v>0.10209650973530221</v>
      </c>
      <c r="L648">
        <v>16.686375758196206</v>
      </c>
      <c r="M648">
        <v>12.85239113703488</v>
      </c>
      <c r="N648">
        <v>0.34068672315156845</v>
      </c>
      <c r="O648">
        <v>0.11692708411774708</v>
      </c>
      <c r="P648">
        <v>16.689995055695803</v>
      </c>
      <c r="Q648">
        <v>12.793879371518397</v>
      </c>
      <c r="R648">
        <v>0.38159254196330167</v>
      </c>
      <c r="S648">
        <v>0.13107947715312768</v>
      </c>
      <c r="T648">
        <v>16.693448609365163</v>
      </c>
      <c r="U648">
        <v>1554.3514372458826</v>
      </c>
      <c r="V648">
        <v>10.026132363927527</v>
      </c>
      <c r="W648">
        <v>1295.065749870432</v>
      </c>
      <c r="X648">
        <v>7.1813955238355609</v>
      </c>
      <c r="Y648">
        <v>2931.7124154018561</v>
      </c>
      <c r="Z648">
        <v>10.071244306080089</v>
      </c>
      <c r="AA648">
        <v>2753.7919212337351</v>
      </c>
      <c r="AB648">
        <v>7.2071010785917373</v>
      </c>
      <c r="AC648">
        <v>2216.1117835940568</v>
      </c>
      <c r="AD648">
        <v>10.057707143491005</v>
      </c>
      <c r="AE648">
        <v>2014.3527843381023</v>
      </c>
      <c r="AF648">
        <v>7.1993954278437506</v>
      </c>
      <c r="AG648">
        <v>2133.6862634685895</v>
      </c>
      <c r="AH648">
        <v>10.044803052452634</v>
      </c>
      <c r="AI648">
        <v>1909.6691344298611</v>
      </c>
      <c r="AJ648">
        <v>7.1920437291714077</v>
      </c>
    </row>
    <row r="649" spans="4:36" x14ac:dyDescent="0.55000000000000004">
      <c r="D649">
        <v>642</v>
      </c>
      <c r="E649">
        <v>12.188098990686314</v>
      </c>
      <c r="F649">
        <v>0.4605562790070426</v>
      </c>
      <c r="G649">
        <v>0.14498749689295162</v>
      </c>
      <c r="H649">
        <v>17.206357233413687</v>
      </c>
      <c r="I649">
        <v>12.40236895081819</v>
      </c>
      <c r="J649">
        <v>0.29287497669381302</v>
      </c>
      <c r="K649">
        <v>9.1922697116443464E-2</v>
      </c>
      <c r="L649">
        <v>17.212833375371535</v>
      </c>
      <c r="M649">
        <v>12.308036365413503</v>
      </c>
      <c r="N649">
        <v>0.36672508734137582</v>
      </c>
      <c r="O649">
        <v>0.11525357558459182</v>
      </c>
      <c r="P649">
        <v>17.209984971660528</v>
      </c>
      <c r="Q649">
        <v>12.266154688270962</v>
      </c>
      <c r="R649">
        <v>0.39949878351982615</v>
      </c>
      <c r="S649">
        <v>0.12562755847445983</v>
      </c>
      <c r="T649">
        <v>17.20871896973475</v>
      </c>
      <c r="U649">
        <v>1522.8867501043446</v>
      </c>
      <c r="V649">
        <v>9.5864196049867338</v>
      </c>
      <c r="W649">
        <v>1276.1850407464119</v>
      </c>
      <c r="X649">
        <v>6.9188830065746219</v>
      </c>
      <c r="Y649">
        <v>2863.2228355987854</v>
      </c>
      <c r="Z649">
        <v>9.62405327668354</v>
      </c>
      <c r="AA649">
        <v>2708.2697300203959</v>
      </c>
      <c r="AB649">
        <v>6.9411005264992198</v>
      </c>
      <c r="AC649">
        <v>2209.135270054398</v>
      </c>
      <c r="AD649">
        <v>9.6074828487150885</v>
      </c>
      <c r="AE649">
        <v>2011.6169607382883</v>
      </c>
      <c r="AF649">
        <v>6.9313282343743206</v>
      </c>
      <c r="AG649">
        <v>2083.5311921720504</v>
      </c>
      <c r="AH649">
        <v>9.6001270161651302</v>
      </c>
      <c r="AI649">
        <v>1876.6434960968695</v>
      </c>
      <c r="AJ649">
        <v>6.926985024557391</v>
      </c>
    </row>
    <row r="650" spans="4:36" x14ac:dyDescent="0.55000000000000004">
      <c r="D650">
        <v>643</v>
      </c>
      <c r="E650">
        <v>12.653799812480147</v>
      </c>
      <c r="F650">
        <v>0.47715641707568779</v>
      </c>
      <c r="G650">
        <v>0.17204909777561189</v>
      </c>
      <c r="H650">
        <v>16.696994672668541</v>
      </c>
      <c r="I650">
        <v>12.872058727704692</v>
      </c>
      <c r="J650">
        <v>0.31607250943710019</v>
      </c>
      <c r="K650">
        <v>0.11360271567528027</v>
      </c>
      <c r="L650">
        <v>16.698266047182923</v>
      </c>
      <c r="M650">
        <v>12.792389768208032</v>
      </c>
      <c r="N650">
        <v>0.37490267493989671</v>
      </c>
      <c r="O650">
        <v>0.13490420251943128</v>
      </c>
      <c r="P650">
        <v>16.697803354332638</v>
      </c>
      <c r="Q650">
        <v>12.764180399405738</v>
      </c>
      <c r="R650">
        <v>0.3957248165634133</v>
      </c>
      <c r="S650">
        <v>0.14245564084591469</v>
      </c>
      <c r="T650">
        <v>16.697639143184936</v>
      </c>
      <c r="U650">
        <v>1586.2532926333377</v>
      </c>
      <c r="V650">
        <v>9.9465500643788651</v>
      </c>
      <c r="W650">
        <v>1310.9273638053542</v>
      </c>
      <c r="X650">
        <v>7.1247960332144258</v>
      </c>
      <c r="Y650">
        <v>2948.8075889037827</v>
      </c>
      <c r="Z650">
        <v>9.9875218408531126</v>
      </c>
      <c r="AA650">
        <v>2761.8164287287282</v>
      </c>
      <c r="AB650">
        <v>7.1486126088771584</v>
      </c>
      <c r="AC650">
        <v>2237.7921813946496</v>
      </c>
      <c r="AD650">
        <v>9.9725654240863264</v>
      </c>
      <c r="AE650">
        <v>2023.9356601183977</v>
      </c>
      <c r="AF650">
        <v>7.139928239005231</v>
      </c>
      <c r="AG650">
        <v>2182.9983498784713</v>
      </c>
      <c r="AH650">
        <v>9.9672698634811514</v>
      </c>
      <c r="AI650">
        <v>1940.4778031111741</v>
      </c>
      <c r="AJ650">
        <v>7.1368507438010989</v>
      </c>
    </row>
    <row r="651" spans="4:36" x14ac:dyDescent="0.55000000000000004">
      <c r="D651">
        <v>644</v>
      </c>
      <c r="E651">
        <v>12.93573948611092</v>
      </c>
      <c r="F651">
        <v>0.47820443495103121</v>
      </c>
      <c r="G651">
        <v>0.17319037956954397</v>
      </c>
      <c r="H651">
        <v>16.412865699368503</v>
      </c>
      <c r="I651">
        <v>13.171523163833941</v>
      </c>
      <c r="J651">
        <v>0.30722180304021307</v>
      </c>
      <c r="K651">
        <v>0.11088333840673699</v>
      </c>
      <c r="L651">
        <v>16.410371694719114</v>
      </c>
      <c r="M651">
        <v>13.079303442085704</v>
      </c>
      <c r="N651">
        <v>0.37413484459888746</v>
      </c>
      <c r="O651">
        <v>0.13521497149111292</v>
      </c>
      <c r="P651">
        <v>16.411346741824289</v>
      </c>
      <c r="Q651">
        <v>13.046704718964097</v>
      </c>
      <c r="R651">
        <v>0.39777618976691803</v>
      </c>
      <c r="S651">
        <v>0.14382755479164874</v>
      </c>
      <c r="T651">
        <v>16.411691536477317</v>
      </c>
      <c r="U651">
        <v>1566.867766512994</v>
      </c>
      <c r="V651">
        <v>10.239023181070932</v>
      </c>
      <c r="W651">
        <v>1298.2017044716722</v>
      </c>
      <c r="X651">
        <v>7.3031077859042126</v>
      </c>
      <c r="Y651">
        <v>2901.8918246858775</v>
      </c>
      <c r="Z651">
        <v>10.282894745966466</v>
      </c>
      <c r="AA651">
        <v>2729.7016484288138</v>
      </c>
      <c r="AB651">
        <v>7.3282639532387925</v>
      </c>
      <c r="AC651">
        <v>2235.7545749875699</v>
      </c>
      <c r="AD651">
        <v>10.265736769364125</v>
      </c>
      <c r="AE651">
        <v>2023.5661018434607</v>
      </c>
      <c r="AF651">
        <v>7.3184359949994073</v>
      </c>
      <c r="AG651">
        <v>2137.4049854548393</v>
      </c>
      <c r="AH651">
        <v>10.259671272708891</v>
      </c>
      <c r="AI651">
        <v>1908.5193955541727</v>
      </c>
      <c r="AJ651">
        <v>7.3149585113739626</v>
      </c>
    </row>
    <row r="652" spans="4:36" x14ac:dyDescent="0.55000000000000004">
      <c r="D652">
        <v>645</v>
      </c>
      <c r="E652">
        <v>12.864271935362915</v>
      </c>
      <c r="F652">
        <v>0.46106070064413029</v>
      </c>
      <c r="G652">
        <v>0.14242480280261219</v>
      </c>
      <c r="H652">
        <v>16.532242561190323</v>
      </c>
      <c r="I652">
        <v>13.064011247348706</v>
      </c>
      <c r="J652">
        <v>0.31234209890796977</v>
      </c>
      <c r="K652">
        <v>9.6217528666465491E-2</v>
      </c>
      <c r="L652">
        <v>16.527429125076864</v>
      </c>
      <c r="M652">
        <v>12.971937604310575</v>
      </c>
      <c r="N652">
        <v>0.3809240123054089</v>
      </c>
      <c r="O652">
        <v>0.11749382600199355</v>
      </c>
      <c r="P652">
        <v>16.529644557382039</v>
      </c>
      <c r="Q652">
        <v>12.923028817165225</v>
      </c>
      <c r="R652">
        <v>0.41733527271869247</v>
      </c>
      <c r="S652">
        <v>0.12881216443441512</v>
      </c>
      <c r="T652">
        <v>16.530823745681666</v>
      </c>
      <c r="U652">
        <v>1508.9321539728692</v>
      </c>
      <c r="V652">
        <v>10.237381876408085</v>
      </c>
      <c r="W652">
        <v>1262.3959729900014</v>
      </c>
      <c r="X652">
        <v>7.3146113775273847</v>
      </c>
      <c r="Y652">
        <v>2907.4768356648178</v>
      </c>
      <c r="Z652">
        <v>10.278425094594505</v>
      </c>
      <c r="AA652">
        <v>2736.3631982285397</v>
      </c>
      <c r="AB652">
        <v>7.3381138425767061</v>
      </c>
      <c r="AC652">
        <v>2221.6032939205893</v>
      </c>
      <c r="AD652">
        <v>10.259507083721608</v>
      </c>
      <c r="AE652">
        <v>2016.6260054969962</v>
      </c>
      <c r="AF652">
        <v>7.3272894659551717</v>
      </c>
      <c r="AG652">
        <v>2115.2321094383205</v>
      </c>
      <c r="AH652">
        <v>10.249456846773709</v>
      </c>
      <c r="AI652">
        <v>1895.18978489558</v>
      </c>
      <c r="AJ652">
        <v>7.3215330303446375</v>
      </c>
    </row>
    <row r="653" spans="4:36" x14ac:dyDescent="0.55000000000000004">
      <c r="D653">
        <v>646</v>
      </c>
      <c r="E653">
        <v>13.605494375237926</v>
      </c>
      <c r="F653">
        <v>0.47165201412577229</v>
      </c>
      <c r="G653">
        <v>0.16881420810334949</v>
      </c>
      <c r="H653">
        <v>15.75403940253296</v>
      </c>
      <c r="I653">
        <v>13.839497978889302</v>
      </c>
      <c r="J653">
        <v>0.31227737124485777</v>
      </c>
      <c r="K653">
        <v>0.11142541543183322</v>
      </c>
      <c r="L653">
        <v>15.736799234434002</v>
      </c>
      <c r="M653">
        <v>13.729560948585664</v>
      </c>
      <c r="N653">
        <v>0.38719561146847314</v>
      </c>
      <c r="O653">
        <v>0.1383575890937685</v>
      </c>
      <c r="P653">
        <v>15.744885850852075</v>
      </c>
      <c r="Q653">
        <v>13.67539987177175</v>
      </c>
      <c r="R653">
        <v>0.4240768124658762</v>
      </c>
      <c r="S653">
        <v>0.1516451187176725</v>
      </c>
      <c r="T653">
        <v>15.748878197044684</v>
      </c>
      <c r="U653">
        <v>1589.6760728927047</v>
      </c>
      <c r="V653">
        <v>10.789328725222493</v>
      </c>
      <c r="W653">
        <v>1309.6609700197455</v>
      </c>
      <c r="X653">
        <v>7.6254553961748659</v>
      </c>
      <c r="Y653">
        <v>2951.323558000508</v>
      </c>
      <c r="Z653">
        <v>10.842689834242798</v>
      </c>
      <c r="AA653">
        <v>2761.0230700103943</v>
      </c>
      <c r="AB653">
        <v>7.6551797733789257</v>
      </c>
      <c r="AC653">
        <v>2276.8985839149641</v>
      </c>
      <c r="AD653">
        <v>10.817627603648837</v>
      </c>
      <c r="AE653">
        <v>2047.653312005519</v>
      </c>
      <c r="AF653">
        <v>7.6412297433232954</v>
      </c>
      <c r="AG653">
        <v>2169.9525976149494</v>
      </c>
      <c r="AH653">
        <v>10.805275811206927</v>
      </c>
      <c r="AI653">
        <v>1925.1793145714087</v>
      </c>
      <c r="AJ653">
        <v>7.6343475998916883</v>
      </c>
    </row>
    <row r="654" spans="4:36" x14ac:dyDescent="0.55000000000000004">
      <c r="D654">
        <v>647</v>
      </c>
      <c r="E654">
        <v>12.891796311121983</v>
      </c>
      <c r="F654">
        <v>0.46276401213322915</v>
      </c>
      <c r="G654">
        <v>0.17443849743625084</v>
      </c>
      <c r="H654">
        <v>16.471001179308537</v>
      </c>
      <c r="I654">
        <v>13.120229940566723</v>
      </c>
      <c r="J654">
        <v>0.3003781392811341</v>
      </c>
      <c r="K654">
        <v>0.11285958200308352</v>
      </c>
      <c r="L654">
        <v>16.466532338149054</v>
      </c>
      <c r="M654">
        <v>13.011376045287072</v>
      </c>
      <c r="N654">
        <v>0.3777979737564211</v>
      </c>
      <c r="O654">
        <v>0.14216749599543871</v>
      </c>
      <c r="P654">
        <v>16.468658484961061</v>
      </c>
      <c r="Q654">
        <v>12.979886914329706</v>
      </c>
      <c r="R654">
        <v>0.40018062169436275</v>
      </c>
      <c r="S654">
        <v>0.15065779314405553</v>
      </c>
      <c r="T654">
        <v>16.469274670831876</v>
      </c>
      <c r="U654">
        <v>1592.1646296409319</v>
      </c>
      <c r="V654">
        <v>10.220078770581789</v>
      </c>
      <c r="W654">
        <v>1316.4232610059591</v>
      </c>
      <c r="X654">
        <v>7.2967390203024918</v>
      </c>
      <c r="Y654">
        <v>2903.1240101445069</v>
      </c>
      <c r="Z654">
        <v>10.266537367620977</v>
      </c>
      <c r="AA654">
        <v>2730.3601616975157</v>
      </c>
      <c r="AB654">
        <v>7.3233184080189631</v>
      </c>
      <c r="AC654">
        <v>2245.523397703053</v>
      </c>
      <c r="AD654">
        <v>10.244400907684652</v>
      </c>
      <c r="AE654">
        <v>2029.3482430245092</v>
      </c>
      <c r="AF654">
        <v>7.3106650448882737</v>
      </c>
      <c r="AG654">
        <v>2178.7449347325251</v>
      </c>
      <c r="AH654">
        <v>10.237996575850167</v>
      </c>
      <c r="AI654">
        <v>1937.0303379704621</v>
      </c>
      <c r="AJ654">
        <v>7.3070005255108939</v>
      </c>
    </row>
    <row r="655" spans="4:36" x14ac:dyDescent="0.55000000000000004">
      <c r="D655">
        <v>648</v>
      </c>
      <c r="E655">
        <v>13.913934222046166</v>
      </c>
      <c r="F655">
        <v>0.50802012698042087</v>
      </c>
      <c r="G655">
        <v>0.19828912150571765</v>
      </c>
      <c r="H655">
        <v>15.379756529467702</v>
      </c>
      <c r="I655">
        <v>14.174250881416944</v>
      </c>
      <c r="J655">
        <v>0.3239577046858686</v>
      </c>
      <c r="K655">
        <v>0.12598990229307475</v>
      </c>
      <c r="L655">
        <v>15.375801511604099</v>
      </c>
      <c r="M655">
        <v>14.030098432043998</v>
      </c>
      <c r="N655">
        <v>0.42593222132920483</v>
      </c>
      <c r="O655">
        <v>0.16597951890143053</v>
      </c>
      <c r="P655">
        <v>15.37798982772537</v>
      </c>
      <c r="Q655">
        <v>14.037989100855187</v>
      </c>
      <c r="R655">
        <v>0.42035340231494944</v>
      </c>
      <c r="S655">
        <v>0.16378756955904325</v>
      </c>
      <c r="T655">
        <v>15.377869927270835</v>
      </c>
      <c r="U655">
        <v>1626.9829254498252</v>
      </c>
      <c r="V655">
        <v>11.058140038409881</v>
      </c>
      <c r="W655">
        <v>1328.1709394919014</v>
      </c>
      <c r="X655">
        <v>7.7756985129924514</v>
      </c>
      <c r="Y655">
        <v>2974.6685271094357</v>
      </c>
      <c r="Z655">
        <v>11.109977323466998</v>
      </c>
      <c r="AA655">
        <v>2773.2627911432542</v>
      </c>
      <c r="AB655">
        <v>7.8050382360665731</v>
      </c>
      <c r="AC655">
        <v>2322.9300560128981</v>
      </c>
      <c r="AD655">
        <v>11.081273145020424</v>
      </c>
      <c r="AE655">
        <v>2073.0317173665289</v>
      </c>
      <c r="AF655">
        <v>7.7888043302540755</v>
      </c>
      <c r="AG655">
        <v>2170.0813325123877</v>
      </c>
      <c r="AH655">
        <v>11.082844437396817</v>
      </c>
      <c r="AI655">
        <v>1921.1708797870149</v>
      </c>
      <c r="AJ655">
        <v>7.7896937909579611</v>
      </c>
    </row>
    <row r="656" spans="4:36" x14ac:dyDescent="0.55000000000000004">
      <c r="D656">
        <v>649</v>
      </c>
      <c r="E656">
        <v>13.007342606838629</v>
      </c>
      <c r="F656">
        <v>0.45670371093771883</v>
      </c>
      <c r="G656">
        <v>0.15802617838711097</v>
      </c>
      <c r="H656">
        <v>16.377927503836535</v>
      </c>
      <c r="I656">
        <v>13.24806809742692</v>
      </c>
      <c r="J656">
        <v>0.28796153122740281</v>
      </c>
      <c r="K656">
        <v>9.9301743621459285E-2</v>
      </c>
      <c r="L656">
        <v>16.364668627724207</v>
      </c>
      <c r="M656">
        <v>13.139395295842707</v>
      </c>
      <c r="N656">
        <v>0.36418229567442789</v>
      </c>
      <c r="O656">
        <v>0.12577751160079659</v>
      </c>
      <c r="P656">
        <v>16.370644896882059</v>
      </c>
      <c r="Q656">
        <v>13.090077507151381</v>
      </c>
      <c r="R656">
        <v>0.39874890255669937</v>
      </c>
      <c r="S656">
        <v>0.13781151426410862</v>
      </c>
      <c r="T656">
        <v>16.37336207602781</v>
      </c>
      <c r="U656">
        <v>1587.8355779643553</v>
      </c>
      <c r="V656">
        <v>10.229421371973418</v>
      </c>
      <c r="W656">
        <v>1315.6209052975905</v>
      </c>
      <c r="X656">
        <v>7.2949404016631227</v>
      </c>
      <c r="Y656">
        <v>2897.9550851142308</v>
      </c>
      <c r="Z656">
        <v>10.287157055769985</v>
      </c>
      <c r="AA656">
        <v>2728.8149322894737</v>
      </c>
      <c r="AB656">
        <v>7.3277552177495249</v>
      </c>
      <c r="AC656">
        <v>2236.6836907200709</v>
      </c>
      <c r="AD656">
        <v>10.261097242898781</v>
      </c>
      <c r="AE656">
        <v>2025.57137751305</v>
      </c>
      <c r="AF656">
        <v>7.3129575981975314</v>
      </c>
      <c r="AG656">
        <v>2151.7960830400325</v>
      </c>
      <c r="AH656">
        <v>10.249268470825294</v>
      </c>
      <c r="AI656">
        <v>1919.4091527782791</v>
      </c>
      <c r="AJ656">
        <v>7.3062333615090864</v>
      </c>
    </row>
    <row r="657" spans="4:36" x14ac:dyDescent="0.55000000000000004">
      <c r="D657">
        <v>650</v>
      </c>
      <c r="E657">
        <v>12.256258696707267</v>
      </c>
      <c r="F657">
        <v>0.45071495655497401</v>
      </c>
      <c r="G657">
        <v>0.19007511914804223</v>
      </c>
      <c r="H657">
        <v>17.102951227589717</v>
      </c>
      <c r="I657">
        <v>12.461512533308833</v>
      </c>
      <c r="J657">
        <v>0.29975664876479541</v>
      </c>
      <c r="K657">
        <v>0.12603131403414994</v>
      </c>
      <c r="L657">
        <v>17.11269950389222</v>
      </c>
      <c r="M657">
        <v>12.369327386167198</v>
      </c>
      <c r="N657">
        <v>0.36758649375862962</v>
      </c>
      <c r="O657">
        <v>0.15475938022774499</v>
      </c>
      <c r="P657">
        <v>17.108326739846429</v>
      </c>
      <c r="Q657">
        <v>12.345473133002358</v>
      </c>
      <c r="R657">
        <v>0.38513043278248732</v>
      </c>
      <c r="S657">
        <v>0.16220265487000712</v>
      </c>
      <c r="T657">
        <v>17.107193779345138</v>
      </c>
      <c r="U657">
        <v>1559.1698560986638</v>
      </c>
      <c r="V657">
        <v>9.6731523241228441</v>
      </c>
      <c r="W657">
        <v>1298.2825807887325</v>
      </c>
      <c r="X657">
        <v>6.9694225352809216</v>
      </c>
      <c r="Y657">
        <v>2895.5196933030575</v>
      </c>
      <c r="Z657">
        <v>9.7039538944963066</v>
      </c>
      <c r="AA657">
        <v>2727.845245173075</v>
      </c>
      <c r="AB657">
        <v>6.9877860663757705</v>
      </c>
      <c r="AC657">
        <v>2218.2156231127024</v>
      </c>
      <c r="AD657">
        <v>9.6901165716945847</v>
      </c>
      <c r="AE657">
        <v>2014.0900943936956</v>
      </c>
      <c r="AF657">
        <v>6.9795449664556211</v>
      </c>
      <c r="AG657">
        <v>2121.708247013627</v>
      </c>
      <c r="AH657">
        <v>9.6865368860591463</v>
      </c>
      <c r="AI657">
        <v>1901.1482000508927</v>
      </c>
      <c r="AJ657">
        <v>6.9774107515884563</v>
      </c>
    </row>
    <row r="658" spans="4:36" x14ac:dyDescent="0.55000000000000004">
      <c r="D658">
        <v>651</v>
      </c>
      <c r="E658">
        <v>13.302733640566727</v>
      </c>
      <c r="F658">
        <v>0.50546785718927112</v>
      </c>
      <c r="G658">
        <v>0.16643227210572636</v>
      </c>
      <c r="H658">
        <v>16.02536623013826</v>
      </c>
      <c r="I658">
        <v>13.555010113013587</v>
      </c>
      <c r="J658">
        <v>0.32429627674088002</v>
      </c>
      <c r="K658">
        <v>0.10639429551997549</v>
      </c>
      <c r="L658">
        <v>16.014299314725566</v>
      </c>
      <c r="M658">
        <v>13.45821382947063</v>
      </c>
      <c r="N658">
        <v>0.39385382956389164</v>
      </c>
      <c r="O658">
        <v>0.1293927567620754</v>
      </c>
      <c r="P658">
        <v>16.018539584203403</v>
      </c>
      <c r="Q658">
        <v>13.426860116947982</v>
      </c>
      <c r="R658">
        <v>0.41637293537542686</v>
      </c>
      <c r="S658">
        <v>0.13685228115964462</v>
      </c>
      <c r="T658">
        <v>16.019914666516925</v>
      </c>
      <c r="U658">
        <v>1572.7237637372937</v>
      </c>
      <c r="V658">
        <v>10.543923376250987</v>
      </c>
      <c r="W658">
        <v>1301.8727877004242</v>
      </c>
      <c r="X658">
        <v>7.4804818675828963</v>
      </c>
      <c r="Y658">
        <v>2930.9536070036279</v>
      </c>
      <c r="Z658">
        <v>10.59742369258073</v>
      </c>
      <c r="AA658">
        <v>2750.0653708638679</v>
      </c>
      <c r="AB658">
        <v>7.5107571429836391</v>
      </c>
      <c r="AC658">
        <v>2240.106644073087</v>
      </c>
      <c r="AD658">
        <v>10.576899795902962</v>
      </c>
      <c r="AE658">
        <v>2026.3215366857937</v>
      </c>
      <c r="AF658">
        <v>7.499155239132782</v>
      </c>
      <c r="AG658">
        <v>2140.2025680646429</v>
      </c>
      <c r="AH658">
        <v>10.57025082371422</v>
      </c>
      <c r="AI658">
        <v>1910.261511191298</v>
      </c>
      <c r="AJ658">
        <v>7.4953933765986225</v>
      </c>
    </row>
    <row r="659" spans="4:36" x14ac:dyDescent="0.55000000000000004">
      <c r="D659">
        <v>652</v>
      </c>
      <c r="E659">
        <v>12.673553065776549</v>
      </c>
      <c r="F659">
        <v>0.51450832358919119</v>
      </c>
      <c r="G659">
        <v>0.16120503818013401</v>
      </c>
      <c r="H659">
        <v>16.650733572454147</v>
      </c>
      <c r="I659">
        <v>12.902996257167191</v>
      </c>
      <c r="J659">
        <v>0.32905691686195399</v>
      </c>
      <c r="K659">
        <v>0.1027856921656515</v>
      </c>
      <c r="L659">
        <v>16.665161133805213</v>
      </c>
      <c r="M659">
        <v>12.805726345452122</v>
      </c>
      <c r="N659">
        <v>0.4077051911662159</v>
      </c>
      <c r="O659">
        <v>0.12751669209397493</v>
      </c>
      <c r="P659">
        <v>16.659051771287682</v>
      </c>
      <c r="Q659">
        <v>12.753286036358666</v>
      </c>
      <c r="R659">
        <v>0.45008900714510136</v>
      </c>
      <c r="S659">
        <v>0.14087116432682123</v>
      </c>
      <c r="T659">
        <v>16.655753792169399</v>
      </c>
      <c r="U659">
        <v>1561.2343494739273</v>
      </c>
      <c r="V659">
        <v>10.12309796204579</v>
      </c>
      <c r="W659">
        <v>1292.2648910392527</v>
      </c>
      <c r="X659">
        <v>7.2461488710262731</v>
      </c>
      <c r="Y659">
        <v>2899.9031398218794</v>
      </c>
      <c r="Z659">
        <v>10.159794513000344</v>
      </c>
      <c r="AA659">
        <v>2727.2059900649933</v>
      </c>
      <c r="AB659">
        <v>7.2678794658118466</v>
      </c>
      <c r="AC659">
        <v>2263.394747721326</v>
      </c>
      <c r="AD659">
        <v>10.144233074179589</v>
      </c>
      <c r="AE659">
        <v>2041.6265075808076</v>
      </c>
      <c r="AF659">
        <v>7.2586749811900804</v>
      </c>
      <c r="AG659">
        <v>2152.1157668692272</v>
      </c>
      <c r="AH659">
        <v>10.13584621035792</v>
      </c>
      <c r="AI659">
        <v>1915.8773365781312</v>
      </c>
      <c r="AJ659">
        <v>7.2537078019689973</v>
      </c>
    </row>
    <row r="660" spans="4:36" x14ac:dyDescent="0.55000000000000004">
      <c r="D660">
        <v>653</v>
      </c>
      <c r="E660">
        <v>13.235541396952149</v>
      </c>
      <c r="F660">
        <v>0.45282138868793076</v>
      </c>
      <c r="G660">
        <v>0.16944027237299336</v>
      </c>
      <c r="H660">
        <v>16.142196941986917</v>
      </c>
      <c r="I660">
        <v>13.447851806027824</v>
      </c>
      <c r="J660">
        <v>0.31138525136224648</v>
      </c>
      <c r="K660">
        <v>0.11617738793045718</v>
      </c>
      <c r="L660">
        <v>16.124585554679481</v>
      </c>
      <c r="M660">
        <v>13.374742962847012</v>
      </c>
      <c r="N660">
        <v>0.36012197530363732</v>
      </c>
      <c r="O660">
        <v>0.13449535678693697</v>
      </c>
      <c r="P660">
        <v>16.130639705062389</v>
      </c>
      <c r="Q660">
        <v>13.362596290142704</v>
      </c>
      <c r="R660">
        <v>0.36821596169459581</v>
      </c>
      <c r="S660">
        <v>0.13754113177277305</v>
      </c>
      <c r="T660">
        <v>16.131646616389936</v>
      </c>
      <c r="U660">
        <v>1563.28821358658</v>
      </c>
      <c r="V660">
        <v>10.508728479030301</v>
      </c>
      <c r="W660">
        <v>1296.1465283302227</v>
      </c>
      <c r="X660">
        <v>7.4684036769661031</v>
      </c>
      <c r="Y660">
        <v>2934.6384690591076</v>
      </c>
      <c r="Z660">
        <v>10.560419828765411</v>
      </c>
      <c r="AA660">
        <v>2751.829824521611</v>
      </c>
      <c r="AB660">
        <v>7.4974057171302189</v>
      </c>
      <c r="AC660">
        <v>2260.1617498197215</v>
      </c>
      <c r="AD660">
        <v>10.542625391291143</v>
      </c>
      <c r="AE660">
        <v>2040.9208845278615</v>
      </c>
      <c r="AF660">
        <v>7.4874310150816266</v>
      </c>
      <c r="AG660">
        <v>2163.9394251839703</v>
      </c>
      <c r="AH660">
        <v>10.539668384743976</v>
      </c>
      <c r="AI660">
        <v>1928.4354267204599</v>
      </c>
      <c r="AJ660">
        <v>7.4857725415317944</v>
      </c>
    </row>
    <row r="661" spans="4:36" x14ac:dyDescent="0.55000000000000004">
      <c r="D661">
        <v>654</v>
      </c>
      <c r="E661">
        <v>12.179440759459009</v>
      </c>
      <c r="F661">
        <v>0.44050552471497695</v>
      </c>
      <c r="G661">
        <v>0.14532941750852499</v>
      </c>
      <c r="H661">
        <v>17.234724298317481</v>
      </c>
      <c r="I661">
        <v>12.373509697889794</v>
      </c>
      <c r="J661">
        <v>0.29524086561318041</v>
      </c>
      <c r="K661">
        <v>9.7123218087909843E-2</v>
      </c>
      <c r="L661">
        <v>17.234126218409116</v>
      </c>
      <c r="M661">
        <v>12.280472661049021</v>
      </c>
      <c r="N661">
        <v>0.36490742217600219</v>
      </c>
      <c r="O661">
        <v>0.12020684337132839</v>
      </c>
      <c r="P661">
        <v>17.234413073403662</v>
      </c>
      <c r="Q661">
        <v>12.298364702804735</v>
      </c>
      <c r="R661">
        <v>0.35151353786924328</v>
      </c>
      <c r="S661">
        <v>0.11576383229689877</v>
      </c>
      <c r="T661">
        <v>17.234357927029119</v>
      </c>
      <c r="U661">
        <v>1515.979239569657</v>
      </c>
      <c r="V661">
        <v>9.7421370819979778</v>
      </c>
      <c r="W661">
        <v>1272.8732865752825</v>
      </c>
      <c r="X661">
        <v>7.0340581265497146</v>
      </c>
      <c r="Y661">
        <v>2866.5635671419427</v>
      </c>
      <c r="Z661">
        <v>9.779884613430065</v>
      </c>
      <c r="AA661">
        <v>2710.6439122435131</v>
      </c>
      <c r="AB661">
        <v>7.0561488786719408</v>
      </c>
      <c r="AC661">
        <v>2195.7285655486185</v>
      </c>
      <c r="AD661">
        <v>9.7617878036259977</v>
      </c>
      <c r="AE661">
        <v>2002.2064690463951</v>
      </c>
      <c r="AF661">
        <v>7.0455672835708745</v>
      </c>
      <c r="AG661">
        <v>2083.7252334545424</v>
      </c>
      <c r="AH661">
        <v>9.7652679376913607</v>
      </c>
      <c r="AI661">
        <v>1880.4897533568462</v>
      </c>
      <c r="AJ661">
        <v>7.0476034854847471</v>
      </c>
    </row>
    <row r="662" spans="4:36" x14ac:dyDescent="0.55000000000000004">
      <c r="D662">
        <v>655</v>
      </c>
      <c r="E662">
        <v>12.188786540374993</v>
      </c>
      <c r="F662">
        <v>0.52415919706110214</v>
      </c>
      <c r="G662">
        <v>0.17658334978649762</v>
      </c>
      <c r="H662">
        <v>17.110470912777394</v>
      </c>
      <c r="I662">
        <v>12.429260535478482</v>
      </c>
      <c r="J662">
        <v>0.31966971592617932</v>
      </c>
      <c r="K662">
        <v>0.1073209355994517</v>
      </c>
      <c r="L662">
        <v>17.143748812995877</v>
      </c>
      <c r="M662">
        <v>12.35252494865367</v>
      </c>
      <c r="N662">
        <v>0.38494531962625933</v>
      </c>
      <c r="O662">
        <v>0.12937762442074061</v>
      </c>
      <c r="P662">
        <v>17.133152107299335</v>
      </c>
      <c r="Q662">
        <v>12.290258478263882</v>
      </c>
      <c r="R662">
        <v>0.43789708575106878</v>
      </c>
      <c r="S662">
        <v>0.14730625274695505</v>
      </c>
      <c r="T662">
        <v>17.124538183238091</v>
      </c>
      <c r="U662">
        <v>1587.3376673181663</v>
      </c>
      <c r="V662">
        <v>9.6512223377911059</v>
      </c>
      <c r="W662">
        <v>1312.7531116652233</v>
      </c>
      <c r="X662">
        <v>6.9545233649781979</v>
      </c>
      <c r="Y662">
        <v>2898.4527930881832</v>
      </c>
      <c r="Z662">
        <v>9.6772711023417983</v>
      </c>
      <c r="AA662">
        <v>2728.4364409443924</v>
      </c>
      <c r="AB662">
        <v>6.9711568703259141</v>
      </c>
      <c r="AC662">
        <v>2233.2980746321318</v>
      </c>
      <c r="AD662">
        <v>9.6689459701979548</v>
      </c>
      <c r="AE662">
        <v>2023.6933678445037</v>
      </c>
      <c r="AF662">
        <v>6.9658517391687518</v>
      </c>
      <c r="AG662">
        <v>2120.631167316551</v>
      </c>
      <c r="AH662">
        <v>9.6621994840676741</v>
      </c>
      <c r="AI662">
        <v>1896.0764596553011</v>
      </c>
      <c r="AJ662">
        <v>6.9615451232300716</v>
      </c>
    </row>
    <row r="663" spans="4:36" x14ac:dyDescent="0.55000000000000004">
      <c r="D663">
        <v>656</v>
      </c>
      <c r="E663">
        <v>13.495896927586863</v>
      </c>
      <c r="F663">
        <v>0.48617134059277783</v>
      </c>
      <c r="G663">
        <v>0.15352276073412965</v>
      </c>
      <c r="H663">
        <v>15.864408971086206</v>
      </c>
      <c r="I663">
        <v>13.755209623281138</v>
      </c>
      <c r="J663">
        <v>0.30341095715911692</v>
      </c>
      <c r="K663">
        <v>9.5481202398252474E-2</v>
      </c>
      <c r="L663">
        <v>15.845898217161485</v>
      </c>
      <c r="M663">
        <v>13.633973638579466</v>
      </c>
      <c r="N663">
        <v>0.38890626031135139</v>
      </c>
      <c r="O663">
        <v>0.12258246849930429</v>
      </c>
      <c r="P663">
        <v>15.854537632609887</v>
      </c>
      <c r="Q663">
        <v>13.595825532425671</v>
      </c>
      <c r="R663">
        <v>0.41579022390647935</v>
      </c>
      <c r="S663">
        <v>0.1311227475927107</v>
      </c>
      <c r="T663">
        <v>15.857261496075138</v>
      </c>
      <c r="U663">
        <v>1584.5183794953657</v>
      </c>
      <c r="V663">
        <v>10.66051459467749</v>
      </c>
      <c r="W663">
        <v>1310.1417968011335</v>
      </c>
      <c r="X663">
        <v>7.5458659461716557</v>
      </c>
      <c r="Y663">
        <v>2930.8262645126401</v>
      </c>
      <c r="Z663">
        <v>10.718897943228049</v>
      </c>
      <c r="AA663">
        <v>2750.4477192814643</v>
      </c>
      <c r="AB663">
        <v>7.5784711212345321</v>
      </c>
      <c r="AC663">
        <v>2262.985481859665</v>
      </c>
      <c r="AD663">
        <v>10.691610475908149</v>
      </c>
      <c r="AE663">
        <v>2041.8212623647389</v>
      </c>
      <c r="AF663">
        <v>7.5632452085985094</v>
      </c>
      <c r="AG663">
        <v>2143.5205743072197</v>
      </c>
      <c r="AH663">
        <v>10.683021166853408</v>
      </c>
      <c r="AI663">
        <v>1911.4726231678446</v>
      </c>
      <c r="AJ663">
        <v>7.5584477414709559</v>
      </c>
    </row>
    <row r="664" spans="4:36" x14ac:dyDescent="0.55000000000000004">
      <c r="D664">
        <v>657</v>
      </c>
      <c r="E664">
        <v>12.090449683892661</v>
      </c>
      <c r="F664">
        <v>0.44723874161074129</v>
      </c>
      <c r="G664">
        <v>0.17190295160992267</v>
      </c>
      <c r="H664">
        <v>17.290408622886691</v>
      </c>
      <c r="I664">
        <v>12.272154200267874</v>
      </c>
      <c r="J664">
        <v>0.30627106538279925</v>
      </c>
      <c r="K664">
        <v>0.117415617291086</v>
      </c>
      <c r="L664">
        <v>17.304159117058248</v>
      </c>
      <c r="M664">
        <v>12.213410952258387</v>
      </c>
      <c r="N664">
        <v>0.35186307798521288</v>
      </c>
      <c r="O664">
        <v>0.13500675631643874</v>
      </c>
      <c r="P664">
        <v>17.299719213439968</v>
      </c>
      <c r="Q664">
        <v>12.159443931312474</v>
      </c>
      <c r="R664">
        <v>0.39373254583858275</v>
      </c>
      <c r="S664">
        <v>0.15118783328642665</v>
      </c>
      <c r="T664">
        <v>17.295635689562513</v>
      </c>
      <c r="U664">
        <v>1548.7626281122309</v>
      </c>
      <c r="V664">
        <v>9.5163108342945915</v>
      </c>
      <c r="W664">
        <v>1290.7650194448941</v>
      </c>
      <c r="X664">
        <v>6.8784168738761391</v>
      </c>
      <c r="Y664">
        <v>2897.8441840106757</v>
      </c>
      <c r="Z664">
        <v>9.5472424886577514</v>
      </c>
      <c r="AA664">
        <v>2728.7901723678501</v>
      </c>
      <c r="AB664">
        <v>6.8970106130218127</v>
      </c>
      <c r="AC664">
        <v>2243.4951802467745</v>
      </c>
      <c r="AD664">
        <v>9.5372392713395744</v>
      </c>
      <c r="AE664">
        <v>2033.6008738185287</v>
      </c>
      <c r="AF664">
        <v>6.8910044956467349</v>
      </c>
      <c r="AG664">
        <v>2131.6368796932525</v>
      </c>
      <c r="AH664">
        <v>9.5280521759380719</v>
      </c>
      <c r="AI664">
        <v>1907.4217657804529</v>
      </c>
      <c r="AJ664">
        <v>6.8854824772385737</v>
      </c>
    </row>
    <row r="665" spans="4:36" x14ac:dyDescent="0.55000000000000004">
      <c r="D665">
        <v>658</v>
      </c>
      <c r="E665">
        <v>12.460168604409809</v>
      </c>
      <c r="F665">
        <v>0.42853925144044569</v>
      </c>
      <c r="G665">
        <v>0.15850373124610997</v>
      </c>
      <c r="H665">
        <v>16.952788412903637</v>
      </c>
      <c r="I665">
        <v>12.676024864049781</v>
      </c>
      <c r="J665">
        <v>0.27662675697767442</v>
      </c>
      <c r="K665">
        <v>0.10198374164987126</v>
      </c>
      <c r="L665">
        <v>16.945364637322665</v>
      </c>
      <c r="M665">
        <v>12.578012452897543</v>
      </c>
      <c r="N665">
        <v>0.34564077729846243</v>
      </c>
      <c r="O665">
        <v>0.12761462131007059</v>
      </c>
      <c r="P665">
        <v>16.948732148493932</v>
      </c>
      <c r="Q665">
        <v>12.55657976276804</v>
      </c>
      <c r="R665">
        <v>0.36072431593206533</v>
      </c>
      <c r="S665">
        <v>0.13322664734188541</v>
      </c>
      <c r="T665">
        <v>16.949469273958009</v>
      </c>
      <c r="U665">
        <v>1516.996508117689</v>
      </c>
      <c r="V665">
        <v>9.7560117003426363</v>
      </c>
      <c r="W665">
        <v>1274.0918126461991</v>
      </c>
      <c r="X665">
        <v>7.0136135274749254</v>
      </c>
      <c r="Y665">
        <v>2867.5541584840889</v>
      </c>
      <c r="Z665">
        <v>9.7988297107145943</v>
      </c>
      <c r="AA665">
        <v>2712.4883066848402</v>
      </c>
      <c r="AB665">
        <v>7.0382391706679721</v>
      </c>
      <c r="AC665">
        <v>2188.9729043085172</v>
      </c>
      <c r="AD665">
        <v>9.7793896461344278</v>
      </c>
      <c r="AE665">
        <v>1998.4486915346688</v>
      </c>
      <c r="AF665">
        <v>7.0270689331850882</v>
      </c>
      <c r="AG665">
        <v>2100.7417373226972</v>
      </c>
      <c r="AH665">
        <v>9.7751381773464718</v>
      </c>
      <c r="AI665">
        <v>1891.7828924010091</v>
      </c>
      <c r="AJ665">
        <v>7.0246237937896785</v>
      </c>
    </row>
    <row r="666" spans="4:36" x14ac:dyDescent="0.55000000000000004">
      <c r="D666">
        <v>659</v>
      </c>
      <c r="E666">
        <v>11.968625396565198</v>
      </c>
      <c r="F666">
        <v>0.43705757230540487</v>
      </c>
      <c r="G666">
        <v>0.14737199408689641</v>
      </c>
      <c r="H666">
        <v>17.446945037042489</v>
      </c>
      <c r="I666">
        <v>12.170843808542731</v>
      </c>
      <c r="J666">
        <v>0.28347359333080269</v>
      </c>
      <c r="K666">
        <v>9.5291005952918686E-2</v>
      </c>
      <c r="L666">
        <v>17.450391592173524</v>
      </c>
      <c r="M666">
        <v>12.085232331241954</v>
      </c>
      <c r="N666">
        <v>0.34852243819324835</v>
      </c>
      <c r="O666">
        <v>0.11730968210100631</v>
      </c>
      <c r="P666">
        <v>17.448935548463798</v>
      </c>
      <c r="Q666">
        <v>12.082667597817801</v>
      </c>
      <c r="R666">
        <v>0.35047054387153287</v>
      </c>
      <c r="S666">
        <v>0.11796999950031108</v>
      </c>
      <c r="T666">
        <v>17.448891858810356</v>
      </c>
      <c r="U666">
        <v>1504.5645246383438</v>
      </c>
      <c r="V666">
        <v>9.3976341825835839</v>
      </c>
      <c r="W666">
        <v>1264.4933387341812</v>
      </c>
      <c r="X666">
        <v>6.8063610223675832</v>
      </c>
      <c r="Y666">
        <v>2874.9878631242555</v>
      </c>
      <c r="Z666">
        <v>9.430955906465698</v>
      </c>
      <c r="AA666">
        <v>2717.4287005381721</v>
      </c>
      <c r="AB666">
        <v>6.8260774578610954</v>
      </c>
      <c r="AC666">
        <v>2191.7293635037249</v>
      </c>
      <c r="AD666">
        <v>9.4168469359842781</v>
      </c>
      <c r="AE666">
        <v>2000.2442875643362</v>
      </c>
      <c r="AF666">
        <v>6.8177379990627935</v>
      </c>
      <c r="AG666">
        <v>2088.8140433546582</v>
      </c>
      <c r="AH666">
        <v>9.4164243033724251</v>
      </c>
      <c r="AI666">
        <v>1884.1089251698847</v>
      </c>
      <c r="AJ666">
        <v>6.8174879931367549</v>
      </c>
    </row>
    <row r="667" spans="4:36" x14ac:dyDescent="0.55000000000000004">
      <c r="D667">
        <v>660</v>
      </c>
      <c r="E667">
        <v>13.408262669159527</v>
      </c>
      <c r="F667">
        <v>0.45093363086024557</v>
      </c>
      <c r="G667">
        <v>0.17016168048297275</v>
      </c>
      <c r="H667">
        <v>15.97064201949725</v>
      </c>
      <c r="I667">
        <v>13.662793835598158</v>
      </c>
      <c r="J667">
        <v>0.2830135524504836</v>
      </c>
      <c r="K667">
        <v>0.10640772529731353</v>
      </c>
      <c r="L667">
        <v>15.947784886654057</v>
      </c>
      <c r="M667">
        <v>13.550274012445923</v>
      </c>
      <c r="N667">
        <v>0.3572980026630222</v>
      </c>
      <c r="O667">
        <v>0.13455296698968711</v>
      </c>
      <c r="P667">
        <v>15.957875017901353</v>
      </c>
      <c r="Q667">
        <v>13.50848247716957</v>
      </c>
      <c r="R667">
        <v>0.38486722426316372</v>
      </c>
      <c r="S667">
        <v>0.14502192369630298</v>
      </c>
      <c r="T667">
        <v>15.961628374870955</v>
      </c>
      <c r="U667">
        <v>1571.478287592867</v>
      </c>
      <c r="V667">
        <v>10.540197971974784</v>
      </c>
      <c r="W667">
        <v>1299.0551345646118</v>
      </c>
      <c r="X667">
        <v>7.4707108192430631</v>
      </c>
      <c r="Y667">
        <v>2916.803308376423</v>
      </c>
      <c r="Z667">
        <v>10.597235311823148</v>
      </c>
      <c r="AA667">
        <v>2739.2919230208081</v>
      </c>
      <c r="AB667">
        <v>7.5024860181448307</v>
      </c>
      <c r="AC667">
        <v>2272.2634941851402</v>
      </c>
      <c r="AD667">
        <v>10.57202983373592</v>
      </c>
      <c r="AE667">
        <v>2047.2861107003528</v>
      </c>
      <c r="AF667">
        <v>7.4884567546547354</v>
      </c>
      <c r="AG667">
        <v>2153.028201396748</v>
      </c>
      <c r="AH667">
        <v>10.562664586490463</v>
      </c>
      <c r="AI667">
        <v>1916.7858464807337</v>
      </c>
      <c r="AJ667">
        <v>7.4832390439458418</v>
      </c>
    </row>
    <row r="668" spans="4:36" x14ac:dyDescent="0.55000000000000004">
      <c r="D668">
        <v>661</v>
      </c>
      <c r="E668">
        <v>11.51301819631283</v>
      </c>
      <c r="F668">
        <v>0.45643500850275265</v>
      </c>
      <c r="G668">
        <v>0.17920246062599196</v>
      </c>
      <c r="H668">
        <v>17.851344334558426</v>
      </c>
      <c r="I668">
        <v>11.705236744887621</v>
      </c>
      <c r="J668">
        <v>0.29405155373187297</v>
      </c>
      <c r="K668">
        <v>0.11508940936900831</v>
      </c>
      <c r="L668">
        <v>17.885622292011494</v>
      </c>
      <c r="M668">
        <v>11.640474094687569</v>
      </c>
      <c r="N668">
        <v>0.34877807148668299</v>
      </c>
      <c r="O668">
        <v>0.13665165987891958</v>
      </c>
      <c r="P668">
        <v>17.874096173946825</v>
      </c>
      <c r="Q668">
        <v>11.602852118674532</v>
      </c>
      <c r="R668">
        <v>0.38056242431463799</v>
      </c>
      <c r="S668">
        <v>0.1491956806604573</v>
      </c>
      <c r="T668">
        <v>17.867389776350354</v>
      </c>
      <c r="U668">
        <v>1528.2741642581432</v>
      </c>
      <c r="V668">
        <v>9.1213460224694085</v>
      </c>
      <c r="W668">
        <v>1280.6070266168117</v>
      </c>
      <c r="X668">
        <v>6.6461670930269836</v>
      </c>
      <c r="Y668">
        <v>2876.0604211183404</v>
      </c>
      <c r="Z668">
        <v>9.1342128493289234</v>
      </c>
      <c r="AA668">
        <v>2717.6052737510454</v>
      </c>
      <c r="AB668">
        <v>6.65548087332016</v>
      </c>
      <c r="AC668">
        <v>2188.1785297477727</v>
      </c>
      <c r="AD668">
        <v>9.1298644720805413</v>
      </c>
      <c r="AE668">
        <v>1997.9404129042148</v>
      </c>
      <c r="AF668">
        <v>6.6523418731322677</v>
      </c>
      <c r="AG668">
        <v>2093.8974288522386</v>
      </c>
      <c r="AH668">
        <v>9.1273445730400375</v>
      </c>
      <c r="AI668">
        <v>1885.7930847753951</v>
      </c>
      <c r="AJ668">
        <v>6.6505188199033309</v>
      </c>
    </row>
    <row r="669" spans="4:36" x14ac:dyDescent="0.55000000000000004">
      <c r="D669">
        <v>662</v>
      </c>
      <c r="E669">
        <v>12.571737580090746</v>
      </c>
      <c r="F669">
        <v>0.46601029022991886</v>
      </c>
      <c r="G669">
        <v>0.16343541035277079</v>
      </c>
      <c r="H669">
        <v>16.79881671932657</v>
      </c>
      <c r="I669">
        <v>12.794281688500568</v>
      </c>
      <c r="J669">
        <v>0.29934326368628839</v>
      </c>
      <c r="K669">
        <v>0.10464572915032208</v>
      </c>
      <c r="L669">
        <v>16.801729318662826</v>
      </c>
      <c r="M669">
        <v>12.706711356371937</v>
      </c>
      <c r="N669">
        <v>0.36495863574268173</v>
      </c>
      <c r="O669">
        <v>0.12774490674192399</v>
      </c>
      <c r="P669">
        <v>16.800585101143472</v>
      </c>
      <c r="Q669">
        <v>12.671216769334057</v>
      </c>
      <c r="R669">
        <v>0.39154233397416338</v>
      </c>
      <c r="S669">
        <v>0.13712026958872284</v>
      </c>
      <c r="T669">
        <v>16.800120627103055</v>
      </c>
      <c r="U669">
        <v>1561.124869717743</v>
      </c>
      <c r="V669">
        <v>9.9736393540825237</v>
      </c>
      <c r="W669">
        <v>1299.8292898978232</v>
      </c>
      <c r="X669">
        <v>7.1545144983601325</v>
      </c>
      <c r="Y669">
        <v>2895.2557288994067</v>
      </c>
      <c r="Z669">
        <v>10.014539450005211</v>
      </c>
      <c r="AA669">
        <v>2728.6174415618134</v>
      </c>
      <c r="AB669">
        <v>7.1783056553674331</v>
      </c>
      <c r="AC669">
        <v>2227.9382797784842</v>
      </c>
      <c r="AD669">
        <v>9.9984446692533187</v>
      </c>
      <c r="AE669">
        <v>2022.441310415928</v>
      </c>
      <c r="AF669">
        <v>7.1689536922598087</v>
      </c>
      <c r="AG669">
        <v>2137.1873521915541</v>
      </c>
      <c r="AH669">
        <v>9.9919212968260762</v>
      </c>
      <c r="AI669">
        <v>1912.9524131494256</v>
      </c>
      <c r="AJ669">
        <v>7.1651594971859174</v>
      </c>
    </row>
    <row r="670" spans="4:36" x14ac:dyDescent="0.55000000000000004">
      <c r="D670">
        <v>663</v>
      </c>
      <c r="E670">
        <v>12.637912608645507</v>
      </c>
      <c r="F670">
        <v>0.50032758151074808</v>
      </c>
      <c r="G670">
        <v>0.18179621083412525</v>
      </c>
      <c r="H670">
        <v>16.679963599009618</v>
      </c>
      <c r="I670">
        <v>12.917490404712195</v>
      </c>
      <c r="J670">
        <v>0.29425521982843134</v>
      </c>
      <c r="K670">
        <v>0.10647958027811129</v>
      </c>
      <c r="L670">
        <v>16.681774795181269</v>
      </c>
      <c r="M670">
        <v>12.79675244709302</v>
      </c>
      <c r="N670">
        <v>0.38330367085538081</v>
      </c>
      <c r="O670">
        <v>0.13894834611979409</v>
      </c>
      <c r="P670">
        <v>16.680995535931807</v>
      </c>
      <c r="Q670">
        <v>12.778295523283479</v>
      </c>
      <c r="R670">
        <v>0.39690904255101567</v>
      </c>
      <c r="S670">
        <v>0.14391941050125609</v>
      </c>
      <c r="T670">
        <v>16.680876023664247</v>
      </c>
      <c r="U670">
        <v>1565.7095391866505</v>
      </c>
      <c r="V670">
        <v>10.024573395970082</v>
      </c>
      <c r="W670">
        <v>1298.9564523944025</v>
      </c>
      <c r="X670">
        <v>7.1790670263533123</v>
      </c>
      <c r="Y670">
        <v>2886.4899388732379</v>
      </c>
      <c r="Z670">
        <v>10.075531173555015</v>
      </c>
      <c r="AA670">
        <v>2721.6487461304855</v>
      </c>
      <c r="AB670">
        <v>7.2087039699064608</v>
      </c>
      <c r="AC670">
        <v>2214.1016039601327</v>
      </c>
      <c r="AD670">
        <v>10.053522840767355</v>
      </c>
      <c r="AE670">
        <v>2009.8024747446225</v>
      </c>
      <c r="AF670">
        <v>7.1959203545266472</v>
      </c>
      <c r="AG670">
        <v>2131.5056744770659</v>
      </c>
      <c r="AH670">
        <v>10.050158718980265</v>
      </c>
      <c r="AI670">
        <v>1907.0482083382701</v>
      </c>
      <c r="AJ670">
        <v>7.1939641119465296</v>
      </c>
    </row>
    <row r="671" spans="4:36" x14ac:dyDescent="0.55000000000000004">
      <c r="D671">
        <v>664</v>
      </c>
      <c r="E671">
        <v>12.422779184036033</v>
      </c>
      <c r="F671">
        <v>0.41263719701488033</v>
      </c>
      <c r="G671">
        <v>0.16713815115964478</v>
      </c>
      <c r="H671">
        <v>16.997445467789429</v>
      </c>
      <c r="I671">
        <v>12.640033245606423</v>
      </c>
      <c r="J671">
        <v>0.26285148309349643</v>
      </c>
      <c r="K671">
        <v>0.1061218300604449</v>
      </c>
      <c r="L671">
        <v>16.990993441239656</v>
      </c>
      <c r="M671">
        <v>12.543345163435298</v>
      </c>
      <c r="N671">
        <v>0.32955077428899904</v>
      </c>
      <c r="O671">
        <v>0.13324255812619679</v>
      </c>
      <c r="P671">
        <v>16.9938615041495</v>
      </c>
      <c r="Q671">
        <v>12.49988618349988</v>
      </c>
      <c r="R671">
        <v>0.359510847826159</v>
      </c>
      <c r="S671">
        <v>0.14545057415048243</v>
      </c>
      <c r="T671">
        <v>16.995152394523473</v>
      </c>
      <c r="U671">
        <v>1510.1886941501898</v>
      </c>
      <c r="V671">
        <v>9.7601507445969826</v>
      </c>
      <c r="W671">
        <v>1266.8686306189322</v>
      </c>
      <c r="X671">
        <v>7.0209142753818297</v>
      </c>
      <c r="Y671">
        <v>2877.5625668670796</v>
      </c>
      <c r="Z671">
        <v>9.802112044566579</v>
      </c>
      <c r="AA671">
        <v>2718.5357093828807</v>
      </c>
      <c r="AB671">
        <v>7.0450536763530369</v>
      </c>
      <c r="AC671">
        <v>2212.2961083700129</v>
      </c>
      <c r="AD671">
        <v>9.7834394653722558</v>
      </c>
      <c r="AE671">
        <v>2013.7256231570864</v>
      </c>
      <c r="AF671">
        <v>7.0343217899542001</v>
      </c>
      <c r="AG671">
        <v>2104.9178745691079</v>
      </c>
      <c r="AH671">
        <v>9.7750454749449762</v>
      </c>
      <c r="AI671">
        <v>1891.9635458952434</v>
      </c>
      <c r="AJ671">
        <v>7.0294922013343077</v>
      </c>
    </row>
    <row r="672" spans="4:36" x14ac:dyDescent="0.55000000000000004">
      <c r="D672">
        <v>665</v>
      </c>
      <c r="E672">
        <v>12.768593153851608</v>
      </c>
      <c r="F672">
        <v>0.49115418129752986</v>
      </c>
      <c r="G672">
        <v>0.17091093443993025</v>
      </c>
      <c r="H672">
        <v>16.569341730410933</v>
      </c>
      <c r="I672">
        <v>13.015676185953168</v>
      </c>
      <c r="J672">
        <v>0.31002541066353612</v>
      </c>
      <c r="K672">
        <v>0.10751608716504865</v>
      </c>
      <c r="L672">
        <v>16.566782316218248</v>
      </c>
      <c r="M672">
        <v>12.940695221989873</v>
      </c>
      <c r="N672">
        <v>0.36502838817617145</v>
      </c>
      <c r="O672">
        <v>0.12672088776292911</v>
      </c>
      <c r="P672">
        <v>16.567555502071023</v>
      </c>
      <c r="Q672">
        <v>12.8912369906881</v>
      </c>
      <c r="R672">
        <v>0.40129145582356202</v>
      </c>
      <c r="S672">
        <v>0.13940438716585363</v>
      </c>
      <c r="T672">
        <v>16.568067166322471</v>
      </c>
      <c r="U672">
        <v>1592.9198376607774</v>
      </c>
      <c r="V672">
        <v>10.040389933115302</v>
      </c>
      <c r="W672">
        <v>1317.1183230099307</v>
      </c>
      <c r="X672">
        <v>7.1800426057036937</v>
      </c>
      <c r="Y672">
        <v>2927.0480928145998</v>
      </c>
      <c r="Z672">
        <v>10.09091439180507</v>
      </c>
      <c r="AA672">
        <v>2748.2470137546325</v>
      </c>
      <c r="AB672">
        <v>7.2090944496943639</v>
      </c>
      <c r="AC672">
        <v>2246.5224648563994</v>
      </c>
      <c r="AD672">
        <v>10.075583492714108</v>
      </c>
      <c r="AE672">
        <v>2032.8893100319779</v>
      </c>
      <c r="AF672">
        <v>7.2002904749580239</v>
      </c>
      <c r="AG672">
        <v>2157.1536238110916</v>
      </c>
      <c r="AH672">
        <v>10.065470365372294</v>
      </c>
      <c r="AI672">
        <v>1923.4128035513281</v>
      </c>
      <c r="AJ672">
        <v>7.1944774795689055</v>
      </c>
    </row>
    <row r="673" spans="4:36" x14ac:dyDescent="0.55000000000000004">
      <c r="D673">
        <v>666</v>
      </c>
      <c r="E673">
        <v>11.729011651171787</v>
      </c>
      <c r="F673">
        <v>0.40831761905079211</v>
      </c>
      <c r="G673">
        <v>0.1477420322257342</v>
      </c>
      <c r="H673">
        <v>17.71492869755167</v>
      </c>
      <c r="I673">
        <v>11.893727915948169</v>
      </c>
      <c r="J673">
        <v>0.28855095215002491</v>
      </c>
      <c r="K673">
        <v>0.10414801038761284</v>
      </c>
      <c r="L673">
        <v>17.713573121514209</v>
      </c>
      <c r="M673">
        <v>11.833232119909187</v>
      </c>
      <c r="N673">
        <v>0.33255722318403869</v>
      </c>
      <c r="O673">
        <v>0.12014043415506998</v>
      </c>
      <c r="P673">
        <v>17.714070222751705</v>
      </c>
      <c r="Q673">
        <v>11.810931794068479</v>
      </c>
      <c r="R673">
        <v>0.348773464167702</v>
      </c>
      <c r="S673">
        <v>0.12604105131590937</v>
      </c>
      <c r="T673">
        <v>17.714253690447901</v>
      </c>
      <c r="U673">
        <v>1464.1961604413953</v>
      </c>
      <c r="V673">
        <v>9.3620856657043277</v>
      </c>
      <c r="W673">
        <v>1241.9710550686598</v>
      </c>
      <c r="X673">
        <v>6.8116035065799716</v>
      </c>
      <c r="Y673">
        <v>2857.71286572599</v>
      </c>
      <c r="Z673">
        <v>9.3962116712229733</v>
      </c>
      <c r="AA673">
        <v>2707.6234550449917</v>
      </c>
      <c r="AB673">
        <v>6.8316313528964061</v>
      </c>
      <c r="AC673">
        <v>2176.6806836205183</v>
      </c>
      <c r="AD673">
        <v>9.3836784489176956</v>
      </c>
      <c r="AE673">
        <v>1994.3296440404506</v>
      </c>
      <c r="AF673">
        <v>6.8242825914627829</v>
      </c>
      <c r="AG673">
        <v>2052.1966914809909</v>
      </c>
      <c r="AH673">
        <v>9.3790582805805318</v>
      </c>
      <c r="AI673">
        <v>1861.5549034820099</v>
      </c>
      <c r="AJ673">
        <v>6.8215716281355565</v>
      </c>
    </row>
    <row r="674" spans="4:36" x14ac:dyDescent="0.55000000000000004">
      <c r="D674">
        <v>667</v>
      </c>
      <c r="E674">
        <v>12.024039540943077</v>
      </c>
      <c r="F674">
        <v>0.42756755346464859</v>
      </c>
      <c r="G674">
        <v>0.15127536512055778</v>
      </c>
      <c r="H674">
        <v>17.397117540471712</v>
      </c>
      <c r="I674">
        <v>12.224556685216417</v>
      </c>
      <c r="J674">
        <v>0.27338711478620281</v>
      </c>
      <c r="K674">
        <v>9.6432523478464038E-2</v>
      </c>
      <c r="L674">
        <v>17.405623676518939</v>
      </c>
      <c r="M674">
        <v>12.099276148353002</v>
      </c>
      <c r="N674">
        <v>0.3697420040871382</v>
      </c>
      <c r="O674">
        <v>0.13066691802657907</v>
      </c>
      <c r="P674">
        <v>17.400314929533284</v>
      </c>
      <c r="Q674">
        <v>12.079794261713925</v>
      </c>
      <c r="R674">
        <v>0.38471833232445468</v>
      </c>
      <c r="S674">
        <v>0.13599974364418593</v>
      </c>
      <c r="T674">
        <v>17.39948766231743</v>
      </c>
      <c r="U674">
        <v>1533.4139842661332</v>
      </c>
      <c r="V674">
        <v>9.5135824435386933</v>
      </c>
      <c r="W674">
        <v>1284.7603943580687</v>
      </c>
      <c r="X674">
        <v>6.8844442916052184</v>
      </c>
      <c r="Y674">
        <v>2882.4728751534039</v>
      </c>
      <c r="Z674">
        <v>9.5439898546014543</v>
      </c>
      <c r="AA674">
        <v>2722.7296467066794</v>
      </c>
      <c r="AB674">
        <v>6.9025917349655783</v>
      </c>
      <c r="AC674">
        <v>2207.1993036282802</v>
      </c>
      <c r="AD674">
        <v>9.5249887116758156</v>
      </c>
      <c r="AE674">
        <v>2008.5861912126006</v>
      </c>
      <c r="AF674">
        <v>6.8912596864213613</v>
      </c>
      <c r="AG674">
        <v>2107.244615682273</v>
      </c>
      <c r="AH674">
        <v>9.5220348086527764</v>
      </c>
      <c r="AI674">
        <v>1893.5438206514509</v>
      </c>
      <c r="AJ674">
        <v>6.8894956216248886</v>
      </c>
    </row>
    <row r="675" spans="4:36" x14ac:dyDescent="0.55000000000000004">
      <c r="D675">
        <v>668</v>
      </c>
      <c r="E675">
        <v>11.988470165504125</v>
      </c>
      <c r="F675">
        <v>0.45628134860731917</v>
      </c>
      <c r="G675">
        <v>0.17861721877570502</v>
      </c>
      <c r="H675">
        <v>17.37663126711286</v>
      </c>
      <c r="I675">
        <v>12.217885106880406</v>
      </c>
      <c r="J675">
        <v>0.28385189935416283</v>
      </c>
      <c r="K675">
        <v>0.11072811361958573</v>
      </c>
      <c r="L675">
        <v>17.387534880145864</v>
      </c>
      <c r="M675">
        <v>12.145563244528951</v>
      </c>
      <c r="N675">
        <v>0.33824120194568763</v>
      </c>
      <c r="O675">
        <v>0.13209021785329356</v>
      </c>
      <c r="P675">
        <v>17.384105335672071</v>
      </c>
      <c r="Q675">
        <v>12.108190776681571</v>
      </c>
      <c r="R675">
        <v>0.36633555314617267</v>
      </c>
      <c r="S675">
        <v>0.14314334570999593</v>
      </c>
      <c r="T675">
        <v>17.382330324462263</v>
      </c>
      <c r="U675">
        <v>1483.7198771231901</v>
      </c>
      <c r="V675">
        <v>9.5393551751925152</v>
      </c>
      <c r="W675">
        <v>1250.8095836353364</v>
      </c>
      <c r="X675">
        <v>6.9029446341572456</v>
      </c>
      <c r="Y675">
        <v>2846.302232040222</v>
      </c>
      <c r="Z675">
        <v>9.576610640080176</v>
      </c>
      <c r="AA675">
        <v>2698.3791202274724</v>
      </c>
      <c r="AB675">
        <v>6.925292526093231</v>
      </c>
      <c r="AC675">
        <v>2180.4383531700919</v>
      </c>
      <c r="AD675">
        <v>9.564861325474757</v>
      </c>
      <c r="AE675">
        <v>1995.0153856422505</v>
      </c>
      <c r="AF675">
        <v>6.9182552577331746</v>
      </c>
      <c r="AG675">
        <v>2064.9096644342803</v>
      </c>
      <c r="AH675">
        <v>9.5587915396745142</v>
      </c>
      <c r="AI675">
        <v>1867.8406140152515</v>
      </c>
      <c r="AJ675">
        <v>6.9146159417466571</v>
      </c>
    </row>
    <row r="676" spans="4:36" x14ac:dyDescent="0.55000000000000004">
      <c r="D676">
        <v>669</v>
      </c>
      <c r="E676">
        <v>12.501471695822316</v>
      </c>
      <c r="F676">
        <v>0.45787700581619267</v>
      </c>
      <c r="G676">
        <v>0.16765696851729311</v>
      </c>
      <c r="H676">
        <v>16.8729943298442</v>
      </c>
      <c r="I676">
        <v>12.690033898861873</v>
      </c>
      <c r="J676">
        <v>0.31307445425590813</v>
      </c>
      <c r="K676">
        <v>0.114316731401246</v>
      </c>
      <c r="L676">
        <v>16.882574915480976</v>
      </c>
      <c r="M676">
        <v>12.618300007745123</v>
      </c>
      <c r="N676">
        <v>0.36818277717195669</v>
      </c>
      <c r="O676">
        <v>0.13458120245844427</v>
      </c>
      <c r="P676">
        <v>16.878936012624475</v>
      </c>
      <c r="Q676">
        <v>12.569518011921145</v>
      </c>
      <c r="R676">
        <v>0.40564350162106827</v>
      </c>
      <c r="S676">
        <v>0.14838113320072943</v>
      </c>
      <c r="T676">
        <v>16.876457353257063</v>
      </c>
      <c r="U676">
        <v>1546.0619615146704</v>
      </c>
      <c r="V676">
        <v>9.8727668464172318</v>
      </c>
      <c r="W676">
        <v>1285.4648522364375</v>
      </c>
      <c r="X676">
        <v>7.0889971950313591</v>
      </c>
      <c r="Y676">
        <v>2915.2527987086487</v>
      </c>
      <c r="Z676">
        <v>9.9029779336457064</v>
      </c>
      <c r="AA676">
        <v>2739.2512838440975</v>
      </c>
      <c r="AB676">
        <v>7.1069048602492044</v>
      </c>
      <c r="AC676">
        <v>2234.0568717087262</v>
      </c>
      <c r="AD676">
        <v>9.8914819892641663</v>
      </c>
      <c r="AE676">
        <v>2023.382457179498</v>
      </c>
      <c r="AF676">
        <v>7.1000977032068668</v>
      </c>
      <c r="AG676">
        <v>2161.4063643223822</v>
      </c>
      <c r="AH676">
        <v>9.8836662843101024</v>
      </c>
      <c r="AI676">
        <v>1925.8364017738224</v>
      </c>
      <c r="AJ676">
        <v>7.095464796459745</v>
      </c>
    </row>
    <row r="677" spans="4:36" x14ac:dyDescent="0.55000000000000004">
      <c r="D677">
        <v>670</v>
      </c>
      <c r="E677">
        <v>13.405260724408684</v>
      </c>
      <c r="F677">
        <v>0.46757659321916673</v>
      </c>
      <c r="G677">
        <v>0.16739844987781161</v>
      </c>
      <c r="H677">
        <v>15.95976423249434</v>
      </c>
      <c r="I677">
        <v>13.59260206564154</v>
      </c>
      <c r="J677">
        <v>0.32902696738774145</v>
      </c>
      <c r="K677">
        <v>0.11750128166385612</v>
      </c>
      <c r="L677">
        <v>15.960869685306866</v>
      </c>
      <c r="M677">
        <v>13.494584897709039</v>
      </c>
      <c r="N677">
        <v>0.40154005478210714</v>
      </c>
      <c r="O677">
        <v>0.14358445008082485</v>
      </c>
      <c r="P677">
        <v>15.960290597428024</v>
      </c>
      <c r="Q677">
        <v>13.450100763554412</v>
      </c>
      <c r="R677">
        <v>0.43443221269820798</v>
      </c>
      <c r="S677">
        <v>0.15543872423504393</v>
      </c>
      <c r="T677">
        <v>15.960028299512343</v>
      </c>
      <c r="U677">
        <v>1574.2254004543827</v>
      </c>
      <c r="V677">
        <v>10.598010267376251</v>
      </c>
      <c r="W677">
        <v>1301.0477308397008</v>
      </c>
      <c r="X677">
        <v>7.5099842815800635</v>
      </c>
      <c r="Y677">
        <v>2941.637296053108</v>
      </c>
      <c r="Z677">
        <v>10.632058106565726</v>
      </c>
      <c r="AA677">
        <v>2754.3398881686198</v>
      </c>
      <c r="AB677">
        <v>7.5294170642372995</v>
      </c>
      <c r="AC677">
        <v>2288.9085415370714</v>
      </c>
      <c r="AD677">
        <v>10.614244881472146</v>
      </c>
      <c r="AE677">
        <v>2056.893353595126</v>
      </c>
      <c r="AF677">
        <v>7.5192565685731232</v>
      </c>
      <c r="AG677">
        <v>2178.1581544329088</v>
      </c>
      <c r="AH677">
        <v>10.606160063328382</v>
      </c>
      <c r="AI677">
        <v>1932.1200942088817</v>
      </c>
      <c r="AJ677">
        <v>7.5146404460340408</v>
      </c>
    </row>
    <row r="678" spans="4:36" x14ac:dyDescent="0.55000000000000004">
      <c r="D678">
        <v>671</v>
      </c>
      <c r="E678">
        <v>12.412428807247032</v>
      </c>
      <c r="F678">
        <v>0.45932214344571098</v>
      </c>
      <c r="G678">
        <v>0.14584774149892976</v>
      </c>
      <c r="H678">
        <v>16.982401307808324</v>
      </c>
      <c r="I678">
        <v>12.624796974948863</v>
      </c>
      <c r="J678">
        <v>0.29522611395574083</v>
      </c>
      <c r="K678">
        <v>9.3464402357241794E-2</v>
      </c>
      <c r="L678">
        <v>16.986512508738148</v>
      </c>
      <c r="M678">
        <v>12.521467912560148</v>
      </c>
      <c r="N678">
        <v>0.37509690447258726</v>
      </c>
      <c r="O678">
        <v>0.11892161183790902</v>
      </c>
      <c r="P678">
        <v>16.984513571129355</v>
      </c>
      <c r="Q678">
        <v>12.476428743397284</v>
      </c>
      <c r="R678">
        <v>0.40989399586252168</v>
      </c>
      <c r="S678">
        <v>0.1300358133125932</v>
      </c>
      <c r="T678">
        <v>16.983641447427598</v>
      </c>
      <c r="U678">
        <v>1558.0075980504337</v>
      </c>
      <c r="V678">
        <v>9.7982165732570863</v>
      </c>
      <c r="W678">
        <v>1298.5151744916459</v>
      </c>
      <c r="X678">
        <v>7.04754668964289</v>
      </c>
      <c r="Y678">
        <v>2895.821334359609</v>
      </c>
      <c r="Z678">
        <v>9.8358135506786013</v>
      </c>
      <c r="AA678">
        <v>2729.6323248847475</v>
      </c>
      <c r="AB678">
        <v>7.069438114277844</v>
      </c>
      <c r="AC678">
        <v>2232.7105210727395</v>
      </c>
      <c r="AD678">
        <v>9.8175203033562148</v>
      </c>
      <c r="AE678">
        <v>2025.4854302119311</v>
      </c>
      <c r="AF678">
        <v>7.0587960397881631</v>
      </c>
      <c r="AG678">
        <v>2114.6812534999294</v>
      </c>
      <c r="AH678">
        <v>9.8095467456201675</v>
      </c>
      <c r="AI678">
        <v>1895.6946991919106</v>
      </c>
      <c r="AJ678">
        <v>7.0541518424979417</v>
      </c>
    </row>
    <row r="679" spans="4:36" x14ac:dyDescent="0.55000000000000004">
      <c r="D679">
        <v>672</v>
      </c>
      <c r="E679">
        <v>12.655192989502403</v>
      </c>
      <c r="F679">
        <v>0.45612918265265778</v>
      </c>
      <c r="G679">
        <v>0.16429885498343177</v>
      </c>
      <c r="H679">
        <v>16.724378972861505</v>
      </c>
      <c r="I679">
        <v>12.846213644878002</v>
      </c>
      <c r="J679">
        <v>0.31582610568832736</v>
      </c>
      <c r="K679">
        <v>0.11345155394620558</v>
      </c>
      <c r="L679">
        <v>16.724508695487462</v>
      </c>
      <c r="M679">
        <v>12.756587314837338</v>
      </c>
      <c r="N679">
        <v>0.38168190923721623</v>
      </c>
      <c r="O679">
        <v>0.13728333496992676</v>
      </c>
      <c r="P679">
        <v>16.724447440955505</v>
      </c>
      <c r="Q679">
        <v>12.76565516804714</v>
      </c>
      <c r="R679">
        <v>0.37502109760606456</v>
      </c>
      <c r="S679">
        <v>0.1348701271074064</v>
      </c>
      <c r="T679">
        <v>16.724453607239393</v>
      </c>
      <c r="U679">
        <v>1543.2967617469094</v>
      </c>
      <c r="V679">
        <v>9.9625590391553693</v>
      </c>
      <c r="W679">
        <v>1286.363272523469</v>
      </c>
      <c r="X679">
        <v>7.1379822639115975</v>
      </c>
      <c r="Y679">
        <v>2901.1964114620973</v>
      </c>
      <c r="Z679">
        <v>9.9975867579786968</v>
      </c>
      <c r="AA679">
        <v>2730.7837512430247</v>
      </c>
      <c r="AB679">
        <v>7.1582823513675091</v>
      </c>
      <c r="AC679">
        <v>2246.7321774250659</v>
      </c>
      <c r="AD679">
        <v>9.981151792628479</v>
      </c>
      <c r="AE679">
        <v>2033.6846844502313</v>
      </c>
      <c r="AF679">
        <v>7.1487651922294884</v>
      </c>
      <c r="AG679">
        <v>2115.5543410087826</v>
      </c>
      <c r="AH679">
        <v>9.9828145785557894</v>
      </c>
      <c r="AI679">
        <v>1897.4631231742835</v>
      </c>
      <c r="AJ679">
        <v>7.1497286875194517</v>
      </c>
    </row>
    <row r="680" spans="4:36" x14ac:dyDescent="0.55000000000000004">
      <c r="D680">
        <v>673</v>
      </c>
      <c r="E680">
        <v>12.715706983398027</v>
      </c>
      <c r="F680">
        <v>0.48733944657673717</v>
      </c>
      <c r="G680">
        <v>0.15861340630288975</v>
      </c>
      <c r="H680">
        <v>16.63834016372234</v>
      </c>
      <c r="I680">
        <v>12.915828216897486</v>
      </c>
      <c r="J680">
        <v>0.32891963106957739</v>
      </c>
      <c r="K680">
        <v>0.10675126922064759</v>
      </c>
      <c r="L680">
        <v>16.6485008828123</v>
      </c>
      <c r="M680">
        <v>12.82914265435927</v>
      </c>
      <c r="N680">
        <v>0.39756468429259406</v>
      </c>
      <c r="O680">
        <v>0.12918727994038448</v>
      </c>
      <c r="P680">
        <v>16.644105381407762</v>
      </c>
      <c r="Q680">
        <v>12.790158875520476</v>
      </c>
      <c r="R680">
        <v>0.42842390436877203</v>
      </c>
      <c r="S680">
        <v>0.13929142688152446</v>
      </c>
      <c r="T680">
        <v>16.642125793229237</v>
      </c>
      <c r="U680">
        <v>1564.5239390148931</v>
      </c>
      <c r="V680">
        <v>10.086811580553816</v>
      </c>
      <c r="W680">
        <v>1298.5002444506983</v>
      </c>
      <c r="X680">
        <v>7.2170644847733172</v>
      </c>
      <c r="Y680">
        <v>2914.4861080001406</v>
      </c>
      <c r="Z680">
        <v>10.117676583539479</v>
      </c>
      <c r="AA680">
        <v>2738.8449951002522</v>
      </c>
      <c r="AB680">
        <v>7.2353542171534153</v>
      </c>
      <c r="AC680">
        <v>2270.5797978199912</v>
      </c>
      <c r="AD680">
        <v>10.104303354704324</v>
      </c>
      <c r="AE680">
        <v>2048.996052114308</v>
      </c>
      <c r="AF680">
        <v>7.227437484933918</v>
      </c>
      <c r="AG680">
        <v>2116.3013324349045</v>
      </c>
      <c r="AH680">
        <v>10.098290995863879</v>
      </c>
      <c r="AI680">
        <v>1893.3101963008164</v>
      </c>
      <c r="AJ680">
        <v>7.2238743617780887</v>
      </c>
    </row>
    <row r="681" spans="4:36" x14ac:dyDescent="0.55000000000000004">
      <c r="D681">
        <v>674</v>
      </c>
      <c r="E681">
        <v>12.566754937307762</v>
      </c>
      <c r="F681">
        <v>0.46578580736415071</v>
      </c>
      <c r="G681">
        <v>0.17819022038702653</v>
      </c>
      <c r="H681">
        <v>16.789269034941046</v>
      </c>
      <c r="I681">
        <v>12.770294758730531</v>
      </c>
      <c r="J681">
        <v>0.31327028606692198</v>
      </c>
      <c r="K681">
        <v>0.11948518924211901</v>
      </c>
      <c r="L681">
        <v>16.796949765960434</v>
      </c>
      <c r="M681">
        <v>12.721546103275685</v>
      </c>
      <c r="N681">
        <v>0.34981911282195655</v>
      </c>
      <c r="O681">
        <v>0.13352077149680952</v>
      </c>
      <c r="P681">
        <v>16.795114012405559</v>
      </c>
      <c r="Q681">
        <v>12.672733834334309</v>
      </c>
      <c r="R681">
        <v>0.38640261427042993</v>
      </c>
      <c r="S681">
        <v>0.14759008517363936</v>
      </c>
      <c r="T681">
        <v>16.793273466221624</v>
      </c>
      <c r="U681">
        <v>1554.7920199831813</v>
      </c>
      <c r="V681">
        <v>9.9373715148180857</v>
      </c>
      <c r="W681">
        <v>1291.1756144773672</v>
      </c>
      <c r="X681">
        <v>7.1272874512289563</v>
      </c>
      <c r="Y681">
        <v>2907.5468274037939</v>
      </c>
      <c r="Z681">
        <v>9.9728867475276797</v>
      </c>
      <c r="AA681">
        <v>2733.7065204086812</v>
      </c>
      <c r="AB681">
        <v>7.1483110398458694</v>
      </c>
      <c r="AC681">
        <v>2214.7706945124178</v>
      </c>
      <c r="AD681">
        <v>9.9643779588408616</v>
      </c>
      <c r="AE681">
        <v>2011.0133666744837</v>
      </c>
      <c r="AF681">
        <v>7.1432810223869598</v>
      </c>
      <c r="AG681">
        <v>2131.343790405062</v>
      </c>
      <c r="AH681">
        <v>9.9558597882132975</v>
      </c>
      <c r="AI681">
        <v>1905.7361522987803</v>
      </c>
      <c r="AJ681">
        <v>7.1382411623497006</v>
      </c>
    </row>
    <row r="682" spans="4:36" x14ac:dyDescent="0.55000000000000004">
      <c r="D682">
        <v>675</v>
      </c>
      <c r="E682">
        <v>11.792470257024988</v>
      </c>
      <c r="F682">
        <v>0.41468021546442113</v>
      </c>
      <c r="G682">
        <v>0.16981521949451045</v>
      </c>
      <c r="H682">
        <v>17.623034308016091</v>
      </c>
      <c r="I682">
        <v>11.973762365134938</v>
      </c>
      <c r="J682">
        <v>0.27995636725856898</v>
      </c>
      <c r="K682">
        <v>0.11429795150025709</v>
      </c>
      <c r="L682">
        <v>17.631983316106222</v>
      </c>
      <c r="M682">
        <v>11.922261131034352</v>
      </c>
      <c r="N682">
        <v>0.31824794667701689</v>
      </c>
      <c r="O682">
        <v>0.13004259989730055</v>
      </c>
      <c r="P682">
        <v>17.629448322391337</v>
      </c>
      <c r="Q682">
        <v>11.875791762247612</v>
      </c>
      <c r="R682">
        <v>0.35278512342789325</v>
      </c>
      <c r="S682">
        <v>0.14426701160183389</v>
      </c>
      <c r="T682">
        <v>17.627156102722665</v>
      </c>
      <c r="U682">
        <v>1517.4442648136608</v>
      </c>
      <c r="V682">
        <v>9.2513913048637413</v>
      </c>
      <c r="W682">
        <v>1275.149560887786</v>
      </c>
      <c r="X682">
        <v>6.7187836835575183</v>
      </c>
      <c r="Y682">
        <v>2880.0874829756781</v>
      </c>
      <c r="Z682">
        <v>9.279570129276685</v>
      </c>
      <c r="AA682">
        <v>2721.0403837517151</v>
      </c>
      <c r="AB682">
        <v>6.7359342505345268</v>
      </c>
      <c r="AC682">
        <v>2199.7975089074475</v>
      </c>
      <c r="AD682">
        <v>9.2715609478446872</v>
      </c>
      <c r="AE682">
        <v>2008.1638421842995</v>
      </c>
      <c r="AF682">
        <v>6.731066261749878</v>
      </c>
      <c r="AG682">
        <v>2078.2157134649474</v>
      </c>
      <c r="AH682">
        <v>9.2643371270874262</v>
      </c>
      <c r="AI682">
        <v>1875.7723303369135</v>
      </c>
      <c r="AJ682">
        <v>6.726671097526582</v>
      </c>
    </row>
    <row r="683" spans="4:36" x14ac:dyDescent="0.55000000000000004">
      <c r="D683">
        <v>676</v>
      </c>
      <c r="E683">
        <v>12.046421138902422</v>
      </c>
      <c r="F683">
        <v>0.41343642321877122</v>
      </c>
      <c r="G683">
        <v>0.16759687056827319</v>
      </c>
      <c r="H683">
        <v>17.372545567310535</v>
      </c>
      <c r="I683">
        <v>12.243688210958819</v>
      </c>
      <c r="J683">
        <v>0.27033501598299414</v>
      </c>
      <c r="K683">
        <v>0.10927014028595861</v>
      </c>
      <c r="L683">
        <v>17.376706632772219</v>
      </c>
      <c r="M683">
        <v>12.142610610600013</v>
      </c>
      <c r="N683">
        <v>0.34368803873987547</v>
      </c>
      <c r="O683">
        <v>0.13912530678457169</v>
      </c>
      <c r="P683">
        <v>17.374576043875543</v>
      </c>
      <c r="Q683">
        <v>12.126548472959533</v>
      </c>
      <c r="R683">
        <v>0.35533882977143411</v>
      </c>
      <c r="S683">
        <v>0.14387551231030651</v>
      </c>
      <c r="T683">
        <v>17.374237184958719</v>
      </c>
      <c r="U683">
        <v>1526.625841622714</v>
      </c>
      <c r="V683">
        <v>9.4811986151902872</v>
      </c>
      <c r="W683">
        <v>1279.2142686857737</v>
      </c>
      <c r="X683">
        <v>6.8584334908664637</v>
      </c>
      <c r="Y683">
        <v>2876.6243938281018</v>
      </c>
      <c r="Z683">
        <v>9.511724283259305</v>
      </c>
      <c r="AA683">
        <v>2717.5679182602012</v>
      </c>
      <c r="AB683">
        <v>6.8763762038290119</v>
      </c>
      <c r="AC683">
        <v>2215.1411753665811</v>
      </c>
      <c r="AD683">
        <v>9.4960826230033124</v>
      </c>
      <c r="AE683">
        <v>2015.0255168761817</v>
      </c>
      <c r="AF683">
        <v>6.8671898340700492</v>
      </c>
      <c r="AG683">
        <v>2116.8349428827628</v>
      </c>
      <c r="AH683">
        <v>9.4935971435101134</v>
      </c>
      <c r="AI683">
        <v>1901.3870602624668</v>
      </c>
      <c r="AJ683">
        <v>6.8657286322756814</v>
      </c>
    </row>
    <row r="684" spans="4:36" x14ac:dyDescent="0.55000000000000004">
      <c r="D684">
        <v>677</v>
      </c>
      <c r="E684">
        <v>12.018279035437228</v>
      </c>
      <c r="F684">
        <v>0.38358659692418479</v>
      </c>
      <c r="G684">
        <v>0.15235032269217638</v>
      </c>
      <c r="H684">
        <v>17.445784044946411</v>
      </c>
      <c r="I684">
        <v>12.202600178806264</v>
      </c>
      <c r="J684">
        <v>0.25314218172317327</v>
      </c>
      <c r="K684">
        <v>0.10025482011943879</v>
      </c>
      <c r="L684">
        <v>17.44400281935112</v>
      </c>
      <c r="M684">
        <v>12.096319977146019</v>
      </c>
      <c r="N684">
        <v>0.32838310739855708</v>
      </c>
      <c r="O684">
        <v>0.13026694004222752</v>
      </c>
      <c r="P684">
        <v>17.445029975413188</v>
      </c>
      <c r="Q684">
        <v>12.07005081643571</v>
      </c>
      <c r="R684">
        <v>0.34696933379181305</v>
      </c>
      <c r="S684">
        <v>0.13769603285773091</v>
      </c>
      <c r="T684">
        <v>17.445283816914742</v>
      </c>
      <c r="U684">
        <v>1474.7660752742552</v>
      </c>
      <c r="V684">
        <v>9.503180800894615</v>
      </c>
      <c r="W684">
        <v>1244.3048423084811</v>
      </c>
      <c r="X684">
        <v>6.8833452039746188</v>
      </c>
      <c r="Y684">
        <v>2868.6273595716589</v>
      </c>
      <c r="Z684">
        <v>9.5401033821549852</v>
      </c>
      <c r="AA684">
        <v>2713.4720364702143</v>
      </c>
      <c r="AB684">
        <v>6.904976661227419</v>
      </c>
      <c r="AC684">
        <v>2196.1991492231473</v>
      </c>
      <c r="AD684">
        <v>9.5188133814657174</v>
      </c>
      <c r="AE684">
        <v>2002.8469722535442</v>
      </c>
      <c r="AF684">
        <v>6.8925121181644604</v>
      </c>
      <c r="AG684">
        <v>2101.4386995357881</v>
      </c>
      <c r="AH684">
        <v>9.5135512867449439</v>
      </c>
      <c r="AI684">
        <v>1891.2310113787883</v>
      </c>
      <c r="AJ684">
        <v>6.8894278247608023</v>
      </c>
    </row>
    <row r="685" spans="4:36" x14ac:dyDescent="0.55000000000000004">
      <c r="D685">
        <v>678</v>
      </c>
      <c r="E685">
        <v>11.732937201807509</v>
      </c>
      <c r="F685">
        <v>0.44974083699118983</v>
      </c>
      <c r="G685">
        <v>0.14810150053979068</v>
      </c>
      <c r="H685">
        <v>17.669220460661506</v>
      </c>
      <c r="I685">
        <v>11.90521421171411</v>
      </c>
      <c r="J685">
        <v>0.31175143777181191</v>
      </c>
      <c r="K685">
        <v>0.10240030010975933</v>
      </c>
      <c r="L685">
        <v>17.680634050404315</v>
      </c>
      <c r="M685">
        <v>11.841029142170738</v>
      </c>
      <c r="N685">
        <v>0.36317847959542537</v>
      </c>
      <c r="O685">
        <v>0.11940508487265628</v>
      </c>
      <c r="P685">
        <v>17.676387293361181</v>
      </c>
      <c r="Q685">
        <v>11.815262812581008</v>
      </c>
      <c r="R685">
        <v>0.38381776581421795</v>
      </c>
      <c r="S685">
        <v>0.12623880043451022</v>
      </c>
      <c r="T685">
        <v>17.674680621170271</v>
      </c>
      <c r="U685">
        <v>1512.6762654561646</v>
      </c>
      <c r="V685">
        <v>9.3168132624684699</v>
      </c>
      <c r="W685">
        <v>1271.0499091397303</v>
      </c>
      <c r="X685">
        <v>6.7721629869610993</v>
      </c>
      <c r="Y685">
        <v>2863.5114381863837</v>
      </c>
      <c r="Z685">
        <v>9.3423938790274192</v>
      </c>
      <c r="AA685">
        <v>2707.8455782739502</v>
      </c>
      <c r="AB685">
        <v>6.7876477317569055</v>
      </c>
      <c r="AC685">
        <v>2202.2829354869828</v>
      </c>
      <c r="AD685">
        <v>9.3328603341569014</v>
      </c>
      <c r="AE685">
        <v>2008.0877859949528</v>
      </c>
      <c r="AF685">
        <v>6.7818830605710243</v>
      </c>
      <c r="AG685">
        <v>2082.3477528195444</v>
      </c>
      <c r="AH685">
        <v>9.3290342056708067</v>
      </c>
      <c r="AI685">
        <v>1878.1659509811341</v>
      </c>
      <c r="AJ685">
        <v>6.7795674171358637</v>
      </c>
    </row>
    <row r="686" spans="4:36" x14ac:dyDescent="0.55000000000000004">
      <c r="D686">
        <v>679</v>
      </c>
      <c r="E686">
        <v>11.764337691655861</v>
      </c>
      <c r="F686">
        <v>0.4650358460058493</v>
      </c>
      <c r="G686">
        <v>0.15186777232344487</v>
      </c>
      <c r="H686">
        <v>17.61875869001484</v>
      </c>
      <c r="I686">
        <v>11.960603805483139</v>
      </c>
      <c r="J686">
        <v>0.30297124344595711</v>
      </c>
      <c r="K686">
        <v>9.8667560051953374E-2</v>
      </c>
      <c r="L686">
        <v>17.63775739101894</v>
      </c>
      <c r="M686">
        <v>11.881083422100298</v>
      </c>
      <c r="N686">
        <v>0.36865397000961236</v>
      </c>
      <c r="O686">
        <v>0.12019286924360519</v>
      </c>
      <c r="P686">
        <v>17.630069738646473</v>
      </c>
      <c r="Q686">
        <v>11.846908677791284</v>
      </c>
      <c r="R686">
        <v>0.39687363904741974</v>
      </c>
      <c r="S686">
        <v>0.12945595957358136</v>
      </c>
      <c r="T686">
        <v>17.626761723587716</v>
      </c>
      <c r="U686">
        <v>1493.6079382754858</v>
      </c>
      <c r="V686">
        <v>9.4081387163255652</v>
      </c>
      <c r="W686">
        <v>1258.9352002907481</v>
      </c>
      <c r="X686">
        <v>6.8334171603527354</v>
      </c>
      <c r="Y686">
        <v>2870.60043605486</v>
      </c>
      <c r="Z686">
        <v>9.4352033774898292</v>
      </c>
      <c r="AA686">
        <v>2715.7247793720317</v>
      </c>
      <c r="AB686">
        <v>6.8500418957251279</v>
      </c>
      <c r="AC686">
        <v>2193.3548850069155</v>
      </c>
      <c r="AD686">
        <v>9.4242320551134071</v>
      </c>
      <c r="AE686">
        <v>2003.5415252366254</v>
      </c>
      <c r="AF686">
        <v>6.8433110332782583</v>
      </c>
      <c r="AG686">
        <v>2078.1942686739485</v>
      </c>
      <c r="AH686">
        <v>9.4195193632794183</v>
      </c>
      <c r="AI686">
        <v>1876.6980158632909</v>
      </c>
      <c r="AJ686">
        <v>6.8404163234407855</v>
      </c>
    </row>
    <row r="687" spans="4:36" x14ac:dyDescent="0.55000000000000004">
      <c r="D687">
        <v>680</v>
      </c>
      <c r="E687">
        <v>11.447534560710944</v>
      </c>
      <c r="F687">
        <v>0.43003868429732406</v>
      </c>
      <c r="G687">
        <v>0.15929565460420778</v>
      </c>
      <c r="H687">
        <v>17.963131100387546</v>
      </c>
      <c r="I687">
        <v>11.589292824967661</v>
      </c>
      <c r="J687">
        <v>0.30960511028101695</v>
      </c>
      <c r="K687">
        <v>0.1144362607029909</v>
      </c>
      <c r="L687">
        <v>17.986665804048343</v>
      </c>
      <c r="M687">
        <v>11.526640648360122</v>
      </c>
      <c r="N687">
        <v>0.3628418950392327</v>
      </c>
      <c r="O687">
        <v>0.13424176514684549</v>
      </c>
      <c r="P687">
        <v>17.9762756914538</v>
      </c>
      <c r="Q687">
        <v>11.490086404024266</v>
      </c>
      <c r="R687">
        <v>0.39389590780336231</v>
      </c>
      <c r="S687">
        <v>0.14581240695534256</v>
      </c>
      <c r="T687">
        <v>17.970205281217023</v>
      </c>
      <c r="U687">
        <v>1479.0759296382464</v>
      </c>
      <c r="V687">
        <v>9.035753647845052</v>
      </c>
      <c r="W687">
        <v>1250.608591992617</v>
      </c>
      <c r="X687">
        <v>6.5970660512846084</v>
      </c>
      <c r="Y687">
        <v>2879.1614061471137</v>
      </c>
      <c r="Z687">
        <v>9.0488243426287962</v>
      </c>
      <c r="AA687">
        <v>2721.2486506493592</v>
      </c>
      <c r="AB687">
        <v>6.6058414813496391</v>
      </c>
      <c r="AC687">
        <v>2161.4886600956406</v>
      </c>
      <c r="AD687">
        <v>9.043041151096034</v>
      </c>
      <c r="AE687">
        <v>1980.3367502041835</v>
      </c>
      <c r="AF687">
        <v>6.6019636306357974</v>
      </c>
      <c r="AG687">
        <v>2077.5127996103724</v>
      </c>
      <c r="AH687">
        <v>9.0396716405436983</v>
      </c>
      <c r="AI687">
        <v>1876.1187825934667</v>
      </c>
      <c r="AJ687">
        <v>6.5997006850884645</v>
      </c>
    </row>
    <row r="688" spans="4:36" x14ac:dyDescent="0.55000000000000004">
      <c r="D688">
        <v>681</v>
      </c>
      <c r="E688">
        <v>13.508770668953431</v>
      </c>
      <c r="F688">
        <v>0.48423747164057951</v>
      </c>
      <c r="G688">
        <v>0.1466016002316653</v>
      </c>
      <c r="H688">
        <v>15.860390259174332</v>
      </c>
      <c r="I688">
        <v>13.731191871446649</v>
      </c>
      <c r="J688">
        <v>0.32389082857201867</v>
      </c>
      <c r="K688">
        <v>9.7774691356885796E-2</v>
      </c>
      <c r="L688">
        <v>15.84714260862444</v>
      </c>
      <c r="M688">
        <v>13.620366923844456</v>
      </c>
      <c r="N688">
        <v>0.40382135851102563</v>
      </c>
      <c r="O688">
        <v>0.12207845692036749</v>
      </c>
      <c r="P688">
        <v>15.853733260724159</v>
      </c>
      <c r="Q688">
        <v>13.591195472436903</v>
      </c>
      <c r="R688">
        <v>0.42484915042924226</v>
      </c>
      <c r="S688">
        <v>0.128483960009423</v>
      </c>
      <c r="T688">
        <v>15.855471417124434</v>
      </c>
      <c r="U688">
        <v>1576.2486995688241</v>
      </c>
      <c r="V688">
        <v>10.654560849807012</v>
      </c>
      <c r="W688">
        <v>1304.4985604962797</v>
      </c>
      <c r="X688">
        <v>7.540784873477846</v>
      </c>
      <c r="Y688">
        <v>2937.4795951454207</v>
      </c>
      <c r="Z688">
        <v>10.702516197613075</v>
      </c>
      <c r="AA688">
        <v>2753.8946736137641</v>
      </c>
      <c r="AB688">
        <v>7.5675252912754738</v>
      </c>
      <c r="AC688">
        <v>2252.4637211875202</v>
      </c>
      <c r="AD688">
        <v>10.67862808863074</v>
      </c>
      <c r="AE688">
        <v>2033.4632607720825</v>
      </c>
      <c r="AF688">
        <v>7.5542142849365526</v>
      </c>
      <c r="AG688">
        <v>2167.8646551298393</v>
      </c>
      <c r="AH688">
        <v>10.672338125304462</v>
      </c>
      <c r="AI688">
        <v>1928.3170498109205</v>
      </c>
      <c r="AJ688">
        <v>7.550706324730303</v>
      </c>
    </row>
    <row r="689" spans="4:36" x14ac:dyDescent="0.55000000000000004">
      <c r="D689">
        <v>682</v>
      </c>
      <c r="E689">
        <v>12.204790955378403</v>
      </c>
      <c r="F689">
        <v>0.43858720286259884</v>
      </c>
      <c r="G689">
        <v>0.15778892343182244</v>
      </c>
      <c r="H689">
        <v>17.198832918327152</v>
      </c>
      <c r="I689">
        <v>12.412871113691709</v>
      </c>
      <c r="J689">
        <v>0.28310898431219261</v>
      </c>
      <c r="K689">
        <v>0.10153826681448645</v>
      </c>
      <c r="L689">
        <v>17.202481635181613</v>
      </c>
      <c r="M689">
        <v>12.33551039291061</v>
      </c>
      <c r="N689">
        <v>0.34094160928142514</v>
      </c>
      <c r="O689">
        <v>0.12242039567754631</v>
      </c>
      <c r="P689">
        <v>17.201127602130434</v>
      </c>
      <c r="Q689">
        <v>12.259353387058246</v>
      </c>
      <c r="R689">
        <v>0.39784157497151962</v>
      </c>
      <c r="S689">
        <v>0.14301328299322436</v>
      </c>
      <c r="T689">
        <v>17.199791754977021</v>
      </c>
      <c r="U689">
        <v>1541.7206449176672</v>
      </c>
      <c r="V689">
        <v>9.6648781346572399</v>
      </c>
      <c r="W689">
        <v>1288.4253454405703</v>
      </c>
      <c r="X689">
        <v>6.9738618481482835</v>
      </c>
      <c r="Y689">
        <v>2890.9616988388179</v>
      </c>
      <c r="Z689">
        <v>9.7006534868432759</v>
      </c>
      <c r="AA689">
        <v>2727.1176162378229</v>
      </c>
      <c r="AB689">
        <v>6.9948339689804557</v>
      </c>
      <c r="AC689">
        <v>2206.8116667784443</v>
      </c>
      <c r="AD689">
        <v>9.6873518817683681</v>
      </c>
      <c r="AE689">
        <v>2009.4537547401123</v>
      </c>
      <c r="AF689">
        <v>6.9870450441650878</v>
      </c>
      <c r="AG689">
        <v>2124.8149222494762</v>
      </c>
      <c r="AH689">
        <v>9.6742583167606</v>
      </c>
      <c r="AI689">
        <v>1903.9827893569986</v>
      </c>
      <c r="AJ689">
        <v>6.9793679054189735</v>
      </c>
    </row>
    <row r="690" spans="4:36" x14ac:dyDescent="0.55000000000000004">
      <c r="D690">
        <v>683</v>
      </c>
      <c r="E690">
        <v>11.770779907226867</v>
      </c>
      <c r="F690">
        <v>0.43416819634892234</v>
      </c>
      <c r="G690">
        <v>0.14029365269340643</v>
      </c>
      <c r="H690">
        <v>17.654758243730807</v>
      </c>
      <c r="I690">
        <v>11.994130835146525</v>
      </c>
      <c r="J690">
        <v>0.26828323679932581</v>
      </c>
      <c r="K690">
        <v>8.6392840402830018E-2</v>
      </c>
      <c r="L690">
        <v>17.651193087651311</v>
      </c>
      <c r="M690">
        <v>11.922253600384272</v>
      </c>
      <c r="N690">
        <v>0.32169881880267426</v>
      </c>
      <c r="O690">
        <v>0.10370807682341483</v>
      </c>
      <c r="P690">
        <v>17.652339503989637</v>
      </c>
      <c r="Q690">
        <v>11.871659332606489</v>
      </c>
      <c r="R690">
        <v>0.35928001817137223</v>
      </c>
      <c r="S690">
        <v>0.11591367474208207</v>
      </c>
      <c r="T690">
        <v>17.653146974480052</v>
      </c>
      <c r="U690">
        <v>1485.0724943602977</v>
      </c>
      <c r="V690">
        <v>9.3196029649579035</v>
      </c>
      <c r="W690">
        <v>1254.5032261769511</v>
      </c>
      <c r="X690">
        <v>6.7740866427311168</v>
      </c>
      <c r="Y690">
        <v>2857.8057776566534</v>
      </c>
      <c r="Z690">
        <v>9.3646286137717265</v>
      </c>
      <c r="AA690">
        <v>2708.6082053433179</v>
      </c>
      <c r="AB690">
        <v>6.8004348785791517</v>
      </c>
      <c r="AC690">
        <v>2153.3060127634085</v>
      </c>
      <c r="AD690">
        <v>9.3501394874690185</v>
      </c>
      <c r="AE690">
        <v>1977.3387862691682</v>
      </c>
      <c r="AF690">
        <v>6.7919672319151756</v>
      </c>
      <c r="AG690">
        <v>2073.3818581222026</v>
      </c>
      <c r="AH690">
        <v>9.339940210091207</v>
      </c>
      <c r="AI690">
        <v>1875.5203548811833</v>
      </c>
      <c r="AJ690">
        <v>6.7860003236187421</v>
      </c>
    </row>
    <row r="691" spans="4:36" x14ac:dyDescent="0.55000000000000004">
      <c r="D691">
        <v>684</v>
      </c>
      <c r="E691">
        <v>11.558157106719754</v>
      </c>
      <c r="F691">
        <v>0.44768321218314211</v>
      </c>
      <c r="G691">
        <v>0.15995730798011815</v>
      </c>
      <c r="H691">
        <v>17.834202373116995</v>
      </c>
      <c r="I691">
        <v>11.764944413137668</v>
      </c>
      <c r="J691">
        <v>0.28107459097316895</v>
      </c>
      <c r="K691">
        <v>0.10010035944397885</v>
      </c>
      <c r="L691">
        <v>17.85388063644519</v>
      </c>
      <c r="M691">
        <v>11.70914613575386</v>
      </c>
      <c r="N691">
        <v>0.32605100547577898</v>
      </c>
      <c r="O691">
        <v>0.11621991309268603</v>
      </c>
      <c r="P691">
        <v>17.848582945677666</v>
      </c>
      <c r="Q691">
        <v>11.644429331507666</v>
      </c>
      <c r="R691">
        <v>0.37819803896763182</v>
      </c>
      <c r="S691">
        <v>0.1349453629605675</v>
      </c>
      <c r="T691">
        <v>17.842427266564137</v>
      </c>
      <c r="U691">
        <v>1512.9803127192145</v>
      </c>
      <c r="V691">
        <v>9.0992277785587365</v>
      </c>
      <c r="W691">
        <v>1271.8476686229467</v>
      </c>
      <c r="X691">
        <v>6.6313766533333656</v>
      </c>
      <c r="Y691">
        <v>2864.3371605430298</v>
      </c>
      <c r="Z691">
        <v>9.127326435051355</v>
      </c>
      <c r="AA691">
        <v>2711.1901933601657</v>
      </c>
      <c r="AB691">
        <v>6.6488576017440257</v>
      </c>
      <c r="AC691">
        <v>2156.7127326195296</v>
      </c>
      <c r="AD691">
        <v>9.1197378487696437</v>
      </c>
      <c r="AE691">
        <v>1978.0594231916079</v>
      </c>
      <c r="AF691">
        <v>6.6441447759268533</v>
      </c>
      <c r="AG691">
        <v>2086.2610499538018</v>
      </c>
      <c r="AH691">
        <v>9.1109424353566109</v>
      </c>
      <c r="AI691">
        <v>1881.8237720409816</v>
      </c>
      <c r="AJ691">
        <v>6.6386748680142311</v>
      </c>
    </row>
    <row r="692" spans="4:36" x14ac:dyDescent="0.55000000000000004">
      <c r="D692">
        <v>685</v>
      </c>
      <c r="E692">
        <v>11.934236867673631</v>
      </c>
      <c r="F692">
        <v>0.39470157062790495</v>
      </c>
      <c r="G692">
        <v>0.15239418346975442</v>
      </c>
      <c r="H692">
        <v>17.518667378228706</v>
      </c>
      <c r="I692">
        <v>12.132928758948127</v>
      </c>
      <c r="J692">
        <v>0.25551610074592374</v>
      </c>
      <c r="K692">
        <v>9.8363615071630203E-2</v>
      </c>
      <c r="L692">
        <v>17.513191525234312</v>
      </c>
      <c r="M692">
        <v>12.054754411010098</v>
      </c>
      <c r="N692">
        <v>0.31030834186995382</v>
      </c>
      <c r="O692">
        <v>0.1195948736939505</v>
      </c>
      <c r="P692">
        <v>17.515342373426016</v>
      </c>
      <c r="Q692">
        <v>12.004157132800277</v>
      </c>
      <c r="R692">
        <v>0.34575089967140676</v>
      </c>
      <c r="S692">
        <v>0.13335500497033662</v>
      </c>
      <c r="T692">
        <v>17.516736962557964</v>
      </c>
      <c r="U692">
        <v>1502.2453670160785</v>
      </c>
      <c r="V692">
        <v>9.4258231386579912</v>
      </c>
      <c r="W692">
        <v>1264.1430248981694</v>
      </c>
      <c r="X692">
        <v>6.836074431625013</v>
      </c>
      <c r="Y692">
        <v>2869.2732700803349</v>
      </c>
      <c r="Z692">
        <v>9.466644359212129</v>
      </c>
      <c r="AA692">
        <v>2714.192450605974</v>
      </c>
      <c r="AB692">
        <v>6.8596758327780796</v>
      </c>
      <c r="AC692">
        <v>2181.8699368669259</v>
      </c>
      <c r="AD692">
        <v>9.4505860642668242</v>
      </c>
      <c r="AE692">
        <v>1994.5106946251638</v>
      </c>
      <c r="AF692">
        <v>6.8504005537162111</v>
      </c>
      <c r="AG692">
        <v>2102.3672734786996</v>
      </c>
      <c r="AH692">
        <v>9.440190749880518</v>
      </c>
      <c r="AI692">
        <v>1892.6433150286737</v>
      </c>
      <c r="AJ692">
        <v>6.8443899667884178</v>
      </c>
    </row>
    <row r="693" spans="4:36" x14ac:dyDescent="0.55000000000000004">
      <c r="D693">
        <v>686</v>
      </c>
      <c r="E693">
        <v>14.123550555370647</v>
      </c>
      <c r="F693">
        <v>0.4830562379130709</v>
      </c>
      <c r="G693">
        <v>0.21193689395874474</v>
      </c>
      <c r="H693">
        <v>15.181456312757534</v>
      </c>
      <c r="I693">
        <v>14.347583478188934</v>
      </c>
      <c r="J693">
        <v>0.33751487215002107</v>
      </c>
      <c r="K693">
        <v>0.14762183539526713</v>
      </c>
      <c r="L693">
        <v>15.167279814265768</v>
      </c>
      <c r="M693">
        <v>14.303504741417614</v>
      </c>
      <c r="N693">
        <v>0.36617600930735117</v>
      </c>
      <c r="O693">
        <v>0.16025513930284796</v>
      </c>
      <c r="P693">
        <v>15.170064109972177</v>
      </c>
      <c r="Q693">
        <v>14.209388917938302</v>
      </c>
      <c r="R693">
        <v>0.42733052756194412</v>
      </c>
      <c r="S693">
        <v>0.18726339781298115</v>
      </c>
      <c r="T693">
        <v>15.176017156686765</v>
      </c>
      <c r="U693">
        <v>1646.6305384901887</v>
      </c>
      <c r="V693">
        <v>11.117151379837981</v>
      </c>
      <c r="W693">
        <v>1341.3049597161355</v>
      </c>
      <c r="X693">
        <v>7.796480056400628</v>
      </c>
      <c r="Y693">
        <v>2983.0234511150466</v>
      </c>
      <c r="Z693">
        <v>11.16527762195474</v>
      </c>
      <c r="AA693">
        <v>2776.1388048404719</v>
      </c>
      <c r="AB693">
        <v>7.8232015223301943</v>
      </c>
      <c r="AC693">
        <v>2302.8669050169742</v>
      </c>
      <c r="AD693">
        <v>11.155811908148157</v>
      </c>
      <c r="AE693">
        <v>2061.4391903611227</v>
      </c>
      <c r="AF693">
        <v>7.8179514428683445</v>
      </c>
      <c r="AG693">
        <v>2243.5761794777154</v>
      </c>
      <c r="AH693">
        <v>11.135595752041558</v>
      </c>
      <c r="AI693">
        <v>1970.1173864339876</v>
      </c>
      <c r="AJ693">
        <v>7.8067295125934599</v>
      </c>
    </row>
    <row r="694" spans="4:36" x14ac:dyDescent="0.55000000000000004">
      <c r="D694">
        <v>687</v>
      </c>
      <c r="E694">
        <v>11.828390897222139</v>
      </c>
      <c r="F694">
        <v>0.45753534632746423</v>
      </c>
      <c r="G694">
        <v>0.15602250339297583</v>
      </c>
      <c r="H694">
        <v>17.558051253057425</v>
      </c>
      <c r="I694">
        <v>12.010541957648581</v>
      </c>
      <c r="J694">
        <v>0.3033646760483279</v>
      </c>
      <c r="K694">
        <v>0.10317636557321938</v>
      </c>
      <c r="L694">
        <v>17.582917000729861</v>
      </c>
      <c r="M694">
        <v>11.889391334337615</v>
      </c>
      <c r="N694">
        <v>0.40591921838283707</v>
      </c>
      <c r="O694">
        <v>0.13829815476824905</v>
      </c>
      <c r="P694">
        <v>17.566391292511298</v>
      </c>
      <c r="Q694">
        <v>11.872236595560004</v>
      </c>
      <c r="R694">
        <v>0.42043630174191116</v>
      </c>
      <c r="S694">
        <v>0.14327991637884011</v>
      </c>
      <c r="T694">
        <v>17.564047186319247</v>
      </c>
      <c r="U694">
        <v>1497.5742326022748</v>
      </c>
      <c r="V694">
        <v>9.3435636670111641</v>
      </c>
      <c r="W694">
        <v>1260.558162300247</v>
      </c>
      <c r="X694">
        <v>6.7776889143232699</v>
      </c>
      <c r="Y694">
        <v>2878.5635355257532</v>
      </c>
      <c r="Z694">
        <v>9.3620354186867409</v>
      </c>
      <c r="AA694">
        <v>2720.3383747944335</v>
      </c>
      <c r="AB694">
        <v>6.7896554889993315</v>
      </c>
      <c r="AC694">
        <v>2187.3022162465372</v>
      </c>
      <c r="AD694">
        <v>9.3497418504953504</v>
      </c>
      <c r="AE694">
        <v>1994.8650665149482</v>
      </c>
      <c r="AF694">
        <v>6.7816978838088833</v>
      </c>
      <c r="AG694">
        <v>2083.6135186780862</v>
      </c>
      <c r="AH694">
        <v>9.3480036028891735</v>
      </c>
      <c r="AI694">
        <v>1877.3353326076951</v>
      </c>
      <c r="AJ694">
        <v>6.7805706217127204</v>
      </c>
    </row>
    <row r="695" spans="4:36" x14ac:dyDescent="0.55000000000000004">
      <c r="D695">
        <v>688</v>
      </c>
      <c r="E695">
        <v>11.420642046264881</v>
      </c>
      <c r="F695">
        <v>0.39857966727466743</v>
      </c>
      <c r="G695">
        <v>0.16876313605495269</v>
      </c>
      <c r="H695">
        <v>18.012015150405507</v>
      </c>
      <c r="I695">
        <v>11.602582028852472</v>
      </c>
      <c r="J695">
        <v>0.26501424056081979</v>
      </c>
      <c r="K695">
        <v>0.11187456914773615</v>
      </c>
      <c r="L695">
        <v>18.020529161438958</v>
      </c>
      <c r="M695">
        <v>11.529623692262334</v>
      </c>
      <c r="N695">
        <v>0.3185983742841601</v>
      </c>
      <c r="O695">
        <v>0.1346558295182447</v>
      </c>
      <c r="P695">
        <v>18.01712210393525</v>
      </c>
      <c r="Q695">
        <v>11.532584699325614</v>
      </c>
      <c r="R695">
        <v>0.31642429298661273</v>
      </c>
      <c r="S695">
        <v>0.13373044504918116</v>
      </c>
      <c r="T695">
        <v>18.017260562638615</v>
      </c>
      <c r="U695">
        <v>1449.2131148393489</v>
      </c>
      <c r="V695">
        <v>8.9727432347673695</v>
      </c>
      <c r="W695">
        <v>1232.2436064647497</v>
      </c>
      <c r="X695">
        <v>6.5572697203660555</v>
      </c>
      <c r="Y695">
        <v>2848.3769750203601</v>
      </c>
      <c r="Z695">
        <v>9.0005797312530618</v>
      </c>
      <c r="AA695">
        <v>2702.9077306458289</v>
      </c>
      <c r="AB695">
        <v>6.5742538708181115</v>
      </c>
      <c r="AC695">
        <v>2138.3141559662872</v>
      </c>
      <c r="AD695">
        <v>8.9894130103937986</v>
      </c>
      <c r="AE695">
        <v>1967.6829701920117</v>
      </c>
      <c r="AF695">
        <v>6.5674485878694355</v>
      </c>
      <c r="AG695">
        <v>2030.3347025016917</v>
      </c>
      <c r="AH695">
        <v>8.9898661011387002</v>
      </c>
      <c r="AI695">
        <v>1848.469439596829</v>
      </c>
      <c r="AJ695">
        <v>6.5677249195478122</v>
      </c>
    </row>
    <row r="696" spans="4:36" x14ac:dyDescent="0.55000000000000004">
      <c r="D696">
        <v>689</v>
      </c>
      <c r="E696">
        <v>11.871585820997835</v>
      </c>
      <c r="F696">
        <v>0.40591753388239826</v>
      </c>
      <c r="G696">
        <v>0.15303785982113549</v>
      </c>
      <c r="H696">
        <v>17.569458785298622</v>
      </c>
      <c r="I696">
        <v>12.041514084092672</v>
      </c>
      <c r="J696">
        <v>0.28114901594384839</v>
      </c>
      <c r="K696">
        <v>0.1057370341421553</v>
      </c>
      <c r="L696">
        <v>17.57159986582133</v>
      </c>
      <c r="M696">
        <v>11.982211071593465</v>
      </c>
      <c r="N696">
        <v>0.32471127328571919</v>
      </c>
      <c r="O696">
        <v>0.12222503013376211</v>
      </c>
      <c r="P696">
        <v>17.570852624987054</v>
      </c>
      <c r="Q696">
        <v>11.942816052758953</v>
      </c>
      <c r="R696">
        <v>0.35363818789580781</v>
      </c>
      <c r="S696">
        <v>0.13318951079028107</v>
      </c>
      <c r="T696">
        <v>17.570356248554972</v>
      </c>
      <c r="U696">
        <v>1500.6868251734181</v>
      </c>
      <c r="V696">
        <v>9.3543759131991635</v>
      </c>
      <c r="W696">
        <v>1265.5935559523823</v>
      </c>
      <c r="X696">
        <v>6.7893107538391098</v>
      </c>
      <c r="Y696">
        <v>2874.3021472244577</v>
      </c>
      <c r="Z696">
        <v>9.3857873570289492</v>
      </c>
      <c r="AA696">
        <v>2718.0920553928026</v>
      </c>
      <c r="AB696">
        <v>6.8077828226415136</v>
      </c>
      <c r="AC696">
        <v>2177.3832376094483</v>
      </c>
      <c r="AD696">
        <v>9.3748249929870635</v>
      </c>
      <c r="AE696">
        <v>1992.838612083026</v>
      </c>
      <c r="AF696">
        <v>6.8013424318114541</v>
      </c>
      <c r="AG696">
        <v>2060.4484944684</v>
      </c>
      <c r="AH696">
        <v>9.3675427672160989</v>
      </c>
      <c r="AI696">
        <v>1864.4630333756138</v>
      </c>
      <c r="AJ696">
        <v>6.7970604457410415</v>
      </c>
    </row>
    <row r="697" spans="4:36" x14ac:dyDescent="0.55000000000000004">
      <c r="D697">
        <v>690</v>
      </c>
      <c r="E697">
        <v>13.913231158279316</v>
      </c>
      <c r="F697">
        <v>0.47557084017382073</v>
      </c>
      <c r="G697">
        <v>0.17763315019923301</v>
      </c>
      <c r="H697">
        <v>15.433564851347626</v>
      </c>
      <c r="I697">
        <v>14.197346054804088</v>
      </c>
      <c r="J697">
        <v>0.2915976498842181</v>
      </c>
      <c r="K697">
        <v>0.10849778657344797</v>
      </c>
      <c r="L697">
        <v>15.40255850873824</v>
      </c>
      <c r="M697">
        <v>14.076679827238907</v>
      </c>
      <c r="N697">
        <v>0.36979750127856548</v>
      </c>
      <c r="O697">
        <v>0.13781845870720913</v>
      </c>
      <c r="P697">
        <v>15.415704212775301</v>
      </c>
      <c r="Q697">
        <v>14.008552445810787</v>
      </c>
      <c r="R697">
        <v>0.41390655543926647</v>
      </c>
      <c r="S697">
        <v>0.15439987123580559</v>
      </c>
      <c r="T697">
        <v>15.423141127514143</v>
      </c>
      <c r="U697">
        <v>1604.656038034987</v>
      </c>
      <c r="V697">
        <v>10.977026934897472</v>
      </c>
      <c r="W697">
        <v>1321.0273404177119</v>
      </c>
      <c r="X697">
        <v>7.72426603161977</v>
      </c>
      <c r="Y697">
        <v>2916.2234853655887</v>
      </c>
      <c r="Z697">
        <v>11.04462563447639</v>
      </c>
      <c r="AA697">
        <v>2738.2518714680546</v>
      </c>
      <c r="AB697">
        <v>7.7614475066654025</v>
      </c>
      <c r="AC697">
        <v>2251.305509322227</v>
      </c>
      <c r="AD697">
        <v>11.015929822627349</v>
      </c>
      <c r="AE697">
        <v>2031.5519846367524</v>
      </c>
      <c r="AF697">
        <v>7.7456786524645294</v>
      </c>
      <c r="AG697">
        <v>2150.5784450556548</v>
      </c>
      <c r="AH697">
        <v>10.999719262688723</v>
      </c>
      <c r="AI697">
        <v>1913.1293566454617</v>
      </c>
      <c r="AJ697">
        <v>7.7367610667272677</v>
      </c>
    </row>
    <row r="698" spans="4:36" x14ac:dyDescent="0.55000000000000004">
      <c r="D698">
        <v>691</v>
      </c>
      <c r="E698">
        <v>12.297237458060561</v>
      </c>
      <c r="F698">
        <v>0.45093254169175762</v>
      </c>
      <c r="G698">
        <v>0.15933632834732117</v>
      </c>
      <c r="H698">
        <v>17.092493671900357</v>
      </c>
      <c r="I698">
        <v>12.479421728266445</v>
      </c>
      <c r="J698">
        <v>0.30643398861093013</v>
      </c>
      <c r="K698">
        <v>0.10799204294586447</v>
      </c>
      <c r="L698">
        <v>17.106152240176755</v>
      </c>
      <c r="M698">
        <v>12.400523067892451</v>
      </c>
      <c r="N698">
        <v>0.36903149118898121</v>
      </c>
      <c r="O698">
        <v>0.13020087046343343</v>
      </c>
      <c r="P698">
        <v>17.100244570455136</v>
      </c>
      <c r="Q698">
        <v>12.35733455736451</v>
      </c>
      <c r="R698">
        <v>0.403284337899742</v>
      </c>
      <c r="S698">
        <v>0.14237515928721939</v>
      </c>
      <c r="T698">
        <v>17.097005945448529</v>
      </c>
      <c r="U698">
        <v>1551.0202297862945</v>
      </c>
      <c r="V698">
        <v>9.6924036632328914</v>
      </c>
      <c r="W698">
        <v>1292.1440693584375</v>
      </c>
      <c r="X698">
        <v>6.9820407803371873</v>
      </c>
      <c r="Y698">
        <v>2911.4915095648453</v>
      </c>
      <c r="Z698">
        <v>9.7193471192787797</v>
      </c>
      <c r="AA698">
        <v>2738.7807937041421</v>
      </c>
      <c r="AB698">
        <v>6.9982884144094859</v>
      </c>
      <c r="AC698">
        <v>2223.5410454782382</v>
      </c>
      <c r="AD698">
        <v>9.7076744874682959</v>
      </c>
      <c r="AE698">
        <v>2017.7201154585023</v>
      </c>
      <c r="AF698">
        <v>6.9912565346954194</v>
      </c>
      <c r="AG698">
        <v>2109.0866332950463</v>
      </c>
      <c r="AH698">
        <v>9.7012876988591668</v>
      </c>
      <c r="AI698">
        <v>1890.3623023743933</v>
      </c>
      <c r="AJ698">
        <v>6.9874044397752151</v>
      </c>
    </row>
    <row r="699" spans="4:36" x14ac:dyDescent="0.55000000000000004">
      <c r="D699">
        <v>692</v>
      </c>
      <c r="E699">
        <v>12.855625597171489</v>
      </c>
      <c r="F699">
        <v>0.47570541631852953</v>
      </c>
      <c r="G699">
        <v>0.16303648351850605</v>
      </c>
      <c r="H699">
        <v>16.505632502991453</v>
      </c>
      <c r="I699">
        <v>13.087726928825846</v>
      </c>
      <c r="J699">
        <v>0.30168151125220649</v>
      </c>
      <c r="K699">
        <v>0.10306353263111655</v>
      </c>
      <c r="L699">
        <v>16.507528027290832</v>
      </c>
      <c r="M699">
        <v>12.95284581181274</v>
      </c>
      <c r="N699">
        <v>0.4028475521772959</v>
      </c>
      <c r="O699">
        <v>0.13788039889043557</v>
      </c>
      <c r="P699">
        <v>16.50642623711952</v>
      </c>
      <c r="Q699">
        <v>12.92386397558256</v>
      </c>
      <c r="R699">
        <v>0.42457223084514611</v>
      </c>
      <c r="S699">
        <v>0.14537421010929327</v>
      </c>
      <c r="T699">
        <v>16.506189583463001</v>
      </c>
      <c r="U699">
        <v>1576.7878881873262</v>
      </c>
      <c r="V699">
        <v>10.131037694486549</v>
      </c>
      <c r="W699">
        <v>1304.7822306645621</v>
      </c>
      <c r="X699">
        <v>7.2358500059805957</v>
      </c>
      <c r="Y699">
        <v>2913.9378185436181</v>
      </c>
      <c r="Z699">
        <v>10.172888806835982</v>
      </c>
      <c r="AA699">
        <v>2738.3296614115488</v>
      </c>
      <c r="AB699">
        <v>7.2599794703077265</v>
      </c>
      <c r="AC699">
        <v>2259.4395534291061</v>
      </c>
      <c r="AD699">
        <v>10.148568252332483</v>
      </c>
      <c r="AE699">
        <v>2037.7171660149904</v>
      </c>
      <c r="AF699">
        <v>7.2459676976054759</v>
      </c>
      <c r="AG699">
        <v>2158.4470828960666</v>
      </c>
      <c r="AH699">
        <v>10.143342364891197</v>
      </c>
      <c r="AI699">
        <v>1920.9167003322959</v>
      </c>
      <c r="AJ699">
        <v>7.2429531719465592</v>
      </c>
    </row>
    <row r="700" spans="4:36" x14ac:dyDescent="0.55000000000000004">
      <c r="D700">
        <v>693</v>
      </c>
      <c r="E700">
        <v>12.995264821461708</v>
      </c>
      <c r="F700">
        <v>0.43512049149774984</v>
      </c>
      <c r="G700">
        <v>0.15791697094696081</v>
      </c>
      <c r="H700">
        <v>16.411697716093581</v>
      </c>
      <c r="I700">
        <v>13.212989230745421</v>
      </c>
      <c r="J700">
        <v>0.28681628640973078</v>
      </c>
      <c r="K700">
        <v>0.10376667443535512</v>
      </c>
      <c r="L700">
        <v>16.396427808409499</v>
      </c>
      <c r="M700">
        <v>13.097178298956406</v>
      </c>
      <c r="N700">
        <v>0.36573948354626518</v>
      </c>
      <c r="O700">
        <v>0.13254084314787062</v>
      </c>
      <c r="P700">
        <v>16.404541374349478</v>
      </c>
      <c r="Q700">
        <v>13.071329837244443</v>
      </c>
      <c r="R700">
        <v>0.38334303809753062</v>
      </c>
      <c r="S700">
        <v>0.13897213881804138</v>
      </c>
      <c r="T700">
        <v>16.40635498584</v>
      </c>
      <c r="U700">
        <v>1544.3587481840161</v>
      </c>
      <c r="V700">
        <v>10.336407148681655</v>
      </c>
      <c r="W700">
        <v>1288.1784446641855</v>
      </c>
      <c r="X700">
        <v>7.373331521357728</v>
      </c>
      <c r="Y700">
        <v>2910.6345770532871</v>
      </c>
      <c r="Z700">
        <v>10.387638973347796</v>
      </c>
      <c r="AA700">
        <v>2739.3792205998875</v>
      </c>
      <c r="AB700">
        <v>7.4022702870622643</v>
      </c>
      <c r="AC700">
        <v>2218.8690814293059</v>
      </c>
      <c r="AD700">
        <v>10.360393061028683</v>
      </c>
      <c r="AE700">
        <v>2014.5019262525416</v>
      </c>
      <c r="AF700">
        <v>7.3868909939453804</v>
      </c>
      <c r="AG700">
        <v>2150.0732653534815</v>
      </c>
      <c r="AH700">
        <v>10.354310329488122</v>
      </c>
      <c r="AI700">
        <v>1921.2242636807935</v>
      </c>
      <c r="AJ700">
        <v>7.3834541782043352</v>
      </c>
    </row>
    <row r="701" spans="4:36" x14ac:dyDescent="0.55000000000000004">
      <c r="D701">
        <v>694</v>
      </c>
      <c r="E701">
        <v>12.477540922896885</v>
      </c>
      <c r="F701">
        <v>0.41622483697365203</v>
      </c>
      <c r="G701">
        <v>0.16792034587061772</v>
      </c>
      <c r="H701">
        <v>16.93831389425883</v>
      </c>
      <c r="I701">
        <v>12.69557537598102</v>
      </c>
      <c r="J701">
        <v>0.26915880329609526</v>
      </c>
      <c r="K701">
        <v>0.10821724035715775</v>
      </c>
      <c r="L701">
        <v>16.927048580365735</v>
      </c>
      <c r="M701">
        <v>12.572939907897265</v>
      </c>
      <c r="N701">
        <v>0.35191649888546217</v>
      </c>
      <c r="O701">
        <v>0.14176253859726676</v>
      </c>
      <c r="P701">
        <v>16.933381054620014</v>
      </c>
      <c r="Q701">
        <v>12.555905191190721</v>
      </c>
      <c r="R701">
        <v>0.36340405961200378</v>
      </c>
      <c r="S701">
        <v>0.1464293081080722</v>
      </c>
      <c r="T701">
        <v>16.934261441089216</v>
      </c>
      <c r="U701">
        <v>1550.928195777273</v>
      </c>
      <c r="V701">
        <v>9.7999136390638633</v>
      </c>
      <c r="W701">
        <v>1294.2137206083798</v>
      </c>
      <c r="X701">
        <v>7.0439076141076153</v>
      </c>
      <c r="Y701">
        <v>2883.7719289606125</v>
      </c>
      <c r="Z701">
        <v>9.8462923235280844</v>
      </c>
      <c r="AA701">
        <v>2721.3098695673784</v>
      </c>
      <c r="AB701">
        <v>7.0705732691092003</v>
      </c>
      <c r="AC701">
        <v>2248.0920069196432</v>
      </c>
      <c r="AD701">
        <v>9.8202081814134541</v>
      </c>
      <c r="AE701">
        <v>2036.3002929378385</v>
      </c>
      <c r="AF701">
        <v>7.0555872005306552</v>
      </c>
      <c r="AG701">
        <v>2113.9061518750905</v>
      </c>
      <c r="AH701">
        <v>9.8165845554044431</v>
      </c>
      <c r="AI701">
        <v>1896.532365256538</v>
      </c>
      <c r="AJ701">
        <v>7.053503069307542</v>
      </c>
    </row>
    <row r="702" spans="4:36" x14ac:dyDescent="0.55000000000000004">
      <c r="D702">
        <v>695</v>
      </c>
      <c r="E702">
        <v>12.847190796079621</v>
      </c>
      <c r="F702">
        <v>0.45037791715120329</v>
      </c>
      <c r="G702">
        <v>0.1613941921359939</v>
      </c>
      <c r="H702">
        <v>16.541037094633182</v>
      </c>
      <c r="I702">
        <v>13.067548311073754</v>
      </c>
      <c r="J702">
        <v>0.29958075267196732</v>
      </c>
      <c r="K702">
        <v>0.10700639779914883</v>
      </c>
      <c r="L702">
        <v>16.525864538455139</v>
      </c>
      <c r="M702">
        <v>12.975178609760965</v>
      </c>
      <c r="N702">
        <v>0.36283007204171464</v>
      </c>
      <c r="O702">
        <v>0.1297746270572866</v>
      </c>
      <c r="P702">
        <v>16.532216691140025</v>
      </c>
      <c r="Q702">
        <v>12.970798172383372</v>
      </c>
      <c r="R702">
        <v>0.36582818063150563</v>
      </c>
      <c r="S702">
        <v>0.13085543660712762</v>
      </c>
      <c r="T702">
        <v>16.532518210377994</v>
      </c>
      <c r="U702">
        <v>1563.629448780194</v>
      </c>
      <c r="V702">
        <v>10.163698206486073</v>
      </c>
      <c r="W702">
        <v>1298.4423427874235</v>
      </c>
      <c r="X702">
        <v>7.2640173448578969</v>
      </c>
      <c r="Y702">
        <v>2909.3368113511146</v>
      </c>
      <c r="Z702">
        <v>10.214001716312888</v>
      </c>
      <c r="AA702">
        <v>2735.861509178384</v>
      </c>
      <c r="AB702">
        <v>7.2924918335724263</v>
      </c>
      <c r="AC702">
        <v>2242.3633155607795</v>
      </c>
      <c r="AD702">
        <v>10.192920319274586</v>
      </c>
      <c r="AE702">
        <v>2029.5016352262073</v>
      </c>
      <c r="AF702">
        <v>7.2805693683643051</v>
      </c>
      <c r="AG702">
        <v>2147.7113697516975</v>
      </c>
      <c r="AH702">
        <v>10.19192040439483</v>
      </c>
      <c r="AI702">
        <v>1918.7377096874234</v>
      </c>
      <c r="AJ702">
        <v>7.2800034893573082</v>
      </c>
    </row>
    <row r="703" spans="4:36" x14ac:dyDescent="0.55000000000000004">
      <c r="D703">
        <v>696</v>
      </c>
      <c r="E703">
        <v>12.653488540522281</v>
      </c>
      <c r="F703">
        <v>0.46574804958700328</v>
      </c>
      <c r="G703">
        <v>0.16123736575447306</v>
      </c>
      <c r="H703">
        <v>16.719526044136231</v>
      </c>
      <c r="I703">
        <v>12.876074700646678</v>
      </c>
      <c r="J703">
        <v>0.29819311098651852</v>
      </c>
      <c r="K703">
        <v>0.10289831076620498</v>
      </c>
      <c r="L703">
        <v>16.722833877600596</v>
      </c>
      <c r="M703">
        <v>12.766173460034096</v>
      </c>
      <c r="N703">
        <v>0.38095635561211083</v>
      </c>
      <c r="O703">
        <v>0.13166687731568702</v>
      </c>
      <c r="P703">
        <v>16.721203307038106</v>
      </c>
      <c r="Q703">
        <v>12.725065801984259</v>
      </c>
      <c r="R703">
        <v>0.41189651920088638</v>
      </c>
      <c r="S703">
        <v>0.1424456038792152</v>
      </c>
      <c r="T703">
        <v>16.720592074935642</v>
      </c>
      <c r="U703">
        <v>1560.0405872475683</v>
      </c>
      <c r="V703">
        <v>10.029015786460819</v>
      </c>
      <c r="W703">
        <v>1299.0481435596605</v>
      </c>
      <c r="X703">
        <v>7.1856013794664255</v>
      </c>
      <c r="Y703">
        <v>2889.2021808350655</v>
      </c>
      <c r="Z703">
        <v>10.070006309481748</v>
      </c>
      <c r="AA703">
        <v>2724.352232265187</v>
      </c>
      <c r="AB703">
        <v>7.2094687311580596</v>
      </c>
      <c r="AC703">
        <v>2198.1525235583385</v>
      </c>
      <c r="AD703">
        <v>10.049766029814053</v>
      </c>
      <c r="AE703">
        <v>1999.8217516727709</v>
      </c>
      <c r="AF703">
        <v>7.1976942815619909</v>
      </c>
      <c r="AG703">
        <v>2131.8884251463323</v>
      </c>
      <c r="AH703">
        <v>10.042195985550395</v>
      </c>
      <c r="AI703">
        <v>1907.6544080902665</v>
      </c>
      <c r="AJ703">
        <v>7.1932851579852253</v>
      </c>
    </row>
    <row r="704" spans="4:36" x14ac:dyDescent="0.55000000000000004">
      <c r="D704">
        <v>697</v>
      </c>
      <c r="E704">
        <v>11.287891865887989</v>
      </c>
      <c r="F704">
        <v>0.46555251482607657</v>
      </c>
      <c r="G704">
        <v>0.14643789147281477</v>
      </c>
      <c r="H704">
        <v>18.100117727813114</v>
      </c>
      <c r="I704">
        <v>11.471634388053925</v>
      </c>
      <c r="J704">
        <v>0.30021162449140104</v>
      </c>
      <c r="K704">
        <v>9.4177559998506813E-2</v>
      </c>
      <c r="L704">
        <v>18.133976427456169</v>
      </c>
      <c r="M704">
        <v>11.366184948021596</v>
      </c>
      <c r="N704">
        <v>0.39511127471561319</v>
      </c>
      <c r="O704">
        <v>0.12413837498261629</v>
      </c>
      <c r="P704">
        <v>18.114565402280192</v>
      </c>
      <c r="Q704">
        <v>11.358892626709324</v>
      </c>
      <c r="R704">
        <v>0.40167294968655831</v>
      </c>
      <c r="S704">
        <v>0.12621341099876354</v>
      </c>
      <c r="T704">
        <v>18.113221012605358</v>
      </c>
      <c r="U704">
        <v>1478.30184368495</v>
      </c>
      <c r="V704">
        <v>9.0249080408545659</v>
      </c>
      <c r="W704">
        <v>1249.4339076745082</v>
      </c>
      <c r="X704">
        <v>6.6042193685856185</v>
      </c>
      <c r="Y704">
        <v>2844.7212604577207</v>
      </c>
      <c r="Z704">
        <v>9.0403430930817326</v>
      </c>
      <c r="AA704">
        <v>2698.1677108208819</v>
      </c>
      <c r="AB704">
        <v>6.6149168746121898</v>
      </c>
      <c r="AC704">
        <v>2182.3417720507532</v>
      </c>
      <c r="AD704">
        <v>9.0314728808754072</v>
      </c>
      <c r="AE704">
        <v>1994.9108374972418</v>
      </c>
      <c r="AF704">
        <v>6.6087778725709443</v>
      </c>
      <c r="AG704">
        <v>2067.9599643898055</v>
      </c>
      <c r="AH704">
        <v>9.030860662642171</v>
      </c>
      <c r="AI704">
        <v>1870.3867940178038</v>
      </c>
      <c r="AJ704">
        <v>6.6083533049813816</v>
      </c>
    </row>
    <row r="705" spans="4:36" x14ac:dyDescent="0.55000000000000004">
      <c r="D705">
        <v>698</v>
      </c>
      <c r="E705">
        <v>11.776751452779767</v>
      </c>
      <c r="F705">
        <v>0.43130145469730286</v>
      </c>
      <c r="G705">
        <v>0.18689342501321538</v>
      </c>
      <c r="H705">
        <v>17.605053667509704</v>
      </c>
      <c r="I705">
        <v>11.973960684910066</v>
      </c>
      <c r="J705">
        <v>0.28226453901695614</v>
      </c>
      <c r="K705">
        <v>0.12192940630830205</v>
      </c>
      <c r="L705">
        <v>17.621845369764671</v>
      </c>
      <c r="M705">
        <v>11.902913222901969</v>
      </c>
      <c r="N705">
        <v>0.33598227734687869</v>
      </c>
      <c r="O705">
        <v>0.14529701516500654</v>
      </c>
      <c r="P705">
        <v>17.615807484586139</v>
      </c>
      <c r="Q705">
        <v>11.853008586582151</v>
      </c>
      <c r="R705">
        <v>0.37369747858390384</v>
      </c>
      <c r="S705">
        <v>0.16173530136902681</v>
      </c>
      <c r="T705">
        <v>17.61155863346492</v>
      </c>
      <c r="U705">
        <v>1519.2984858794773</v>
      </c>
      <c r="V705">
        <v>9.2970930592403231</v>
      </c>
      <c r="W705">
        <v>1274.3859398670868</v>
      </c>
      <c r="X705">
        <v>6.7510177405820304</v>
      </c>
      <c r="Y705">
        <v>2864.6268861558474</v>
      </c>
      <c r="Z705">
        <v>9.3254990822182577</v>
      </c>
      <c r="AA705">
        <v>2709.0961503703725</v>
      </c>
      <c r="AB705">
        <v>6.7685508447029124</v>
      </c>
      <c r="AC705">
        <v>2205.6402350505232</v>
      </c>
      <c r="AD705">
        <v>9.3152585899145848</v>
      </c>
      <c r="AE705">
        <v>2010.3798756840818</v>
      </c>
      <c r="AF705">
        <v>6.7622389189302599</v>
      </c>
      <c r="AG705">
        <v>2103.7978695949432</v>
      </c>
      <c r="AH705">
        <v>9.3080701123689344</v>
      </c>
      <c r="AI705">
        <v>1892.086486707487</v>
      </c>
      <c r="AJ705">
        <v>6.7578022388053389</v>
      </c>
    </row>
    <row r="706" spans="4:36" x14ac:dyDescent="0.55000000000000004">
      <c r="D706">
        <v>699</v>
      </c>
      <c r="E706">
        <v>12.247071393317034</v>
      </c>
      <c r="F706">
        <v>0.42250322796749762</v>
      </c>
      <c r="G706">
        <v>0.16365281038650253</v>
      </c>
      <c r="H706">
        <v>17.166772568328955</v>
      </c>
      <c r="I706">
        <v>12.462709581493208</v>
      </c>
      <c r="J706">
        <v>0.26992688416510879</v>
      </c>
      <c r="K706">
        <v>0.10420895012549661</v>
      </c>
      <c r="L706">
        <v>17.163154584216191</v>
      </c>
      <c r="M706">
        <v>12.355851874049554</v>
      </c>
      <c r="N706">
        <v>0.34557121246020694</v>
      </c>
      <c r="O706">
        <v>0.13363023856278877</v>
      </c>
      <c r="P706">
        <v>17.164946674927446</v>
      </c>
      <c r="Q706">
        <v>12.3306282965421</v>
      </c>
      <c r="R706">
        <v>0.36341652684207509</v>
      </c>
      <c r="S706">
        <v>0.14058526083659661</v>
      </c>
      <c r="T706">
        <v>17.165369915779234</v>
      </c>
      <c r="U706">
        <v>1484.2475089284219</v>
      </c>
      <c r="V706">
        <v>9.626335426786218</v>
      </c>
      <c r="W706">
        <v>1251.7587859538705</v>
      </c>
      <c r="X706">
        <v>6.9437289548426895</v>
      </c>
      <c r="Y706">
        <v>2884.2296644348339</v>
      </c>
      <c r="Z706">
        <v>9.6698116104691785</v>
      </c>
      <c r="AA706">
        <v>2725.6764246120506</v>
      </c>
      <c r="AB706">
        <v>6.9689911231141179</v>
      </c>
      <c r="AC706">
        <v>2158.2482181073815</v>
      </c>
      <c r="AD706">
        <v>9.6482678506420321</v>
      </c>
      <c r="AE706">
        <v>1976.9542097547146</v>
      </c>
      <c r="AF706">
        <v>6.9564841484306115</v>
      </c>
      <c r="AG706">
        <v>2074.1311879398972</v>
      </c>
      <c r="AH706">
        <v>9.6431823398879946</v>
      </c>
      <c r="AI706">
        <v>1873.1999364562075</v>
      </c>
      <c r="AJ706">
        <v>6.9535286206928744</v>
      </c>
    </row>
    <row r="707" spans="4:36" x14ac:dyDescent="0.55000000000000004">
      <c r="D707">
        <v>700</v>
      </c>
      <c r="E707">
        <v>13.957206225572154</v>
      </c>
      <c r="F707">
        <v>0.53952321856165264</v>
      </c>
      <c r="G707">
        <v>0.15816446122616182</v>
      </c>
      <c r="H707">
        <v>15.345106094640034</v>
      </c>
      <c r="I707">
        <v>14.15749905513478</v>
      </c>
      <c r="J707">
        <v>0.38198113215101048</v>
      </c>
      <c r="K707">
        <v>0.11170421947757601</v>
      </c>
      <c r="L707">
        <v>15.348815593236626</v>
      </c>
      <c r="M707">
        <v>14.091189823057702</v>
      </c>
      <c r="N707">
        <v>0.43415721909182609</v>
      </c>
      <c r="O707">
        <v>0.12706556218931001</v>
      </c>
      <c r="P707">
        <v>15.347587395661153</v>
      </c>
      <c r="Q707">
        <v>14.002454827242683</v>
      </c>
      <c r="R707">
        <v>0.50394835671926608</v>
      </c>
      <c r="S707">
        <v>0.14765280158108912</v>
      </c>
      <c r="T707">
        <v>15.345944014456965</v>
      </c>
      <c r="U707">
        <v>1615.3672711129564</v>
      </c>
      <c r="V707">
        <v>11.019529203339481</v>
      </c>
      <c r="W707">
        <v>1323.0059008202595</v>
      </c>
      <c r="X707">
        <v>7.7444126075944686</v>
      </c>
      <c r="Y707">
        <v>2973.9367290704863</v>
      </c>
      <c r="Z707">
        <v>11.055432282596112</v>
      </c>
      <c r="AA707">
        <v>2772.0415460247682</v>
      </c>
      <c r="AB707">
        <v>7.7648260130154743</v>
      </c>
      <c r="AC707">
        <v>2290.1725060077101</v>
      </c>
      <c r="AD707">
        <v>11.043546261972097</v>
      </c>
      <c r="AE707">
        <v>2053.7186615524288</v>
      </c>
      <c r="AF707">
        <v>7.7580740399311088</v>
      </c>
      <c r="AG707">
        <v>2203.7637568983159</v>
      </c>
      <c r="AH707">
        <v>11.027640232102398</v>
      </c>
      <c r="AI707">
        <v>1943.5471104725043</v>
      </c>
      <c r="AJ707">
        <v>7.7490290954985408</v>
      </c>
    </row>
    <row r="708" spans="4:36" x14ac:dyDescent="0.55000000000000004">
      <c r="D708">
        <v>701</v>
      </c>
      <c r="E708">
        <v>11.945296007584282</v>
      </c>
      <c r="F708">
        <v>0.41458172045222852</v>
      </c>
      <c r="G708">
        <v>0.15469320967028058</v>
      </c>
      <c r="H708">
        <v>17.485429062293207</v>
      </c>
      <c r="I708">
        <v>12.154741265359924</v>
      </c>
      <c r="J708">
        <v>0.2670069910404681</v>
      </c>
      <c r="K708">
        <v>9.9312106559421215E-2</v>
      </c>
      <c r="L708">
        <v>17.478939637040195</v>
      </c>
      <c r="M708">
        <v>12.089826759657278</v>
      </c>
      <c r="N708">
        <v>0.312775595810801</v>
      </c>
      <c r="O708">
        <v>0.11644974610022336</v>
      </c>
      <c r="P708">
        <v>17.480947898431694</v>
      </c>
      <c r="Q708">
        <v>12.045442644916493</v>
      </c>
      <c r="R708">
        <v>0.34405360999785994</v>
      </c>
      <c r="S708">
        <v>0.12818116746052269</v>
      </c>
      <c r="T708">
        <v>17.482322577625116</v>
      </c>
      <c r="U708">
        <v>1479.9707080211488</v>
      </c>
      <c r="V708">
        <v>9.3883472149215859</v>
      </c>
      <c r="W708">
        <v>1249.8206290296353</v>
      </c>
      <c r="X708">
        <v>6.8056858283894988</v>
      </c>
      <c r="Y708">
        <v>2870.1225671125853</v>
      </c>
      <c r="Z708">
        <v>9.4313862158047641</v>
      </c>
      <c r="AA708">
        <v>2716.116743439592</v>
      </c>
      <c r="AB708">
        <v>6.8306290610673601</v>
      </c>
      <c r="AC708">
        <v>2164.8372127251664</v>
      </c>
      <c r="AD708">
        <v>9.4180488919011509</v>
      </c>
      <c r="AE708">
        <v>1984.5793681634536</v>
      </c>
      <c r="AF708">
        <v>6.8229085906043325</v>
      </c>
      <c r="AG708">
        <v>2070.8282017844226</v>
      </c>
      <c r="AH708">
        <v>9.4089287149910881</v>
      </c>
      <c r="AI708">
        <v>1872.7494963393897</v>
      </c>
      <c r="AJ708">
        <v>6.817624548280997</v>
      </c>
    </row>
    <row r="709" spans="4:36" x14ac:dyDescent="0.55000000000000004">
      <c r="D709">
        <v>702</v>
      </c>
      <c r="E709">
        <v>12.717387689890606</v>
      </c>
      <c r="F709">
        <v>0.46135281692169799</v>
      </c>
      <c r="G709">
        <v>0.16011136294226741</v>
      </c>
      <c r="H709">
        <v>16.661148130245429</v>
      </c>
      <c r="I709">
        <v>12.982520776516216</v>
      </c>
      <c r="J709">
        <v>0.27391752600109209</v>
      </c>
      <c r="K709">
        <v>9.4721874839673814E-2</v>
      </c>
      <c r="L709">
        <v>16.648839822642998</v>
      </c>
      <c r="M709">
        <v>12.851758604744814</v>
      </c>
      <c r="N709">
        <v>0.36641342062511245</v>
      </c>
      <c r="O709">
        <v>0.12693085707126128</v>
      </c>
      <c r="P709">
        <v>16.654897117558814</v>
      </c>
      <c r="Q709">
        <v>12.823651792713582</v>
      </c>
      <c r="R709">
        <v>0.3862814152668938</v>
      </c>
      <c r="S709">
        <v>0.13386436972352858</v>
      </c>
      <c r="T709">
        <v>16.656202422295998</v>
      </c>
      <c r="U709">
        <v>1512.7026430939891</v>
      </c>
      <c r="V709">
        <v>10.039069355831769</v>
      </c>
      <c r="W709">
        <v>1264.8821843496362</v>
      </c>
      <c r="X709">
        <v>7.1881586662697208</v>
      </c>
      <c r="Y709">
        <v>2891.5727850640706</v>
      </c>
      <c r="Z709">
        <v>10.097007275991647</v>
      </c>
      <c r="AA709">
        <v>2727.5392947854116</v>
      </c>
      <c r="AB709">
        <v>7.2210588156459456</v>
      </c>
      <c r="AC709">
        <v>2222.6925255927981</v>
      </c>
      <c r="AD709">
        <v>10.068439731469848</v>
      </c>
      <c r="AE709">
        <v>2018.2413434134444</v>
      </c>
      <c r="AF709">
        <v>7.2048521147032574</v>
      </c>
      <c r="AG709">
        <v>2152.6017838278294</v>
      </c>
      <c r="AH709">
        <v>10.062297449934762</v>
      </c>
      <c r="AI709">
        <v>1924.0608498517984</v>
      </c>
      <c r="AJ709">
        <v>7.201363624316949</v>
      </c>
    </row>
    <row r="710" spans="4:36" x14ac:dyDescent="0.55000000000000004">
      <c r="D710">
        <v>703</v>
      </c>
      <c r="E710">
        <v>13.528490981282182</v>
      </c>
      <c r="F710">
        <v>0.51536003060247093</v>
      </c>
      <c r="G710">
        <v>0.17279577388382167</v>
      </c>
      <c r="H710">
        <v>15.78335321423153</v>
      </c>
      <c r="I710">
        <v>13.754807456939787</v>
      </c>
      <c r="J710">
        <v>0.34252206730512474</v>
      </c>
      <c r="K710">
        <v>0.11449561432001699</v>
      </c>
      <c r="L710">
        <v>15.788174861435081</v>
      </c>
      <c r="M710">
        <v>13.63517627487149</v>
      </c>
      <c r="N710">
        <v>0.43391634465396339</v>
      </c>
      <c r="O710">
        <v>0.14527899740482017</v>
      </c>
      <c r="P710">
        <v>15.785628383069728</v>
      </c>
      <c r="Q710">
        <v>13.625687318681322</v>
      </c>
      <c r="R710">
        <v>0.44116254172126423</v>
      </c>
      <c r="S710">
        <v>0.14772395456860257</v>
      </c>
      <c r="T710">
        <v>15.785426185028806</v>
      </c>
      <c r="U710">
        <v>1595.7239663374671</v>
      </c>
      <c r="V710">
        <v>10.66720411364838</v>
      </c>
      <c r="W710">
        <v>1311.6579305954892</v>
      </c>
      <c r="X710">
        <v>7.5403256726115169</v>
      </c>
      <c r="Y710">
        <v>2947.6628180665666</v>
      </c>
      <c r="Z710">
        <v>10.704522892539249</v>
      </c>
      <c r="AA710">
        <v>2756.8450983704411</v>
      </c>
      <c r="AB710">
        <v>7.5618121185070795</v>
      </c>
      <c r="AC710">
        <v>2300.51540946871</v>
      </c>
      <c r="AD710">
        <v>10.684794720607085</v>
      </c>
      <c r="AE710">
        <v>2061.7607297035825</v>
      </c>
      <c r="AF710">
        <v>7.5504624239159961</v>
      </c>
      <c r="AG710">
        <v>2169.9084088021377</v>
      </c>
      <c r="AH710">
        <v>10.683230048830897</v>
      </c>
      <c r="AI710">
        <v>1924.7236429155464</v>
      </c>
      <c r="AJ710">
        <v>7.5495614128442909</v>
      </c>
    </row>
    <row r="711" spans="4:36" x14ac:dyDescent="0.55000000000000004">
      <c r="D711">
        <v>704</v>
      </c>
      <c r="E711">
        <v>11.980724321795174</v>
      </c>
      <c r="F711">
        <v>0.44388842142263329</v>
      </c>
      <c r="G711">
        <v>0.16528681903161843</v>
      </c>
      <c r="H711">
        <v>17.410100437750572</v>
      </c>
      <c r="I711">
        <v>12.179909576892152</v>
      </c>
      <c r="J711">
        <v>0.29291473730310535</v>
      </c>
      <c r="K711">
        <v>0.10875002751138634</v>
      </c>
      <c r="L711">
        <v>17.418425658293355</v>
      </c>
      <c r="M711">
        <v>12.127217012548488</v>
      </c>
      <c r="N711">
        <v>0.33287458833079298</v>
      </c>
      <c r="O711">
        <v>0.12368150649282669</v>
      </c>
      <c r="P711">
        <v>17.416226892627886</v>
      </c>
      <c r="Q711">
        <v>12.085181939855451</v>
      </c>
      <c r="R711">
        <v>0.36474134764778965</v>
      </c>
      <c r="S711">
        <v>0.13560571352559933</v>
      </c>
      <c r="T711">
        <v>17.414470998971169</v>
      </c>
      <c r="U711">
        <v>1538.0251049995807</v>
      </c>
      <c r="V711">
        <v>9.4649266042152789</v>
      </c>
      <c r="W711">
        <v>1288.1417146759404</v>
      </c>
      <c r="X711">
        <v>6.8520259700546484</v>
      </c>
      <c r="Y711">
        <v>2869.7794260541764</v>
      </c>
      <c r="Z711">
        <v>9.4964729095563722</v>
      </c>
      <c r="AA711">
        <v>2712.7400062807283</v>
      </c>
      <c r="AB711">
        <v>6.8707998964066253</v>
      </c>
      <c r="AC711">
        <v>2161.6510822520231</v>
      </c>
      <c r="AD711">
        <v>9.4881256809088104</v>
      </c>
      <c r="AE711">
        <v>1979.3995245890821</v>
      </c>
      <c r="AF711">
        <v>6.8658389624834513</v>
      </c>
      <c r="AG711">
        <v>2109.2076807285853</v>
      </c>
      <c r="AH711">
        <v>9.4814677497835671</v>
      </c>
      <c r="AI711">
        <v>1897.6514923575614</v>
      </c>
      <c r="AJ711">
        <v>6.8618785794226378</v>
      </c>
    </row>
    <row r="712" spans="4:36" x14ac:dyDescent="0.55000000000000004">
      <c r="D712">
        <v>705</v>
      </c>
      <c r="E712">
        <v>11.604183577942054</v>
      </c>
      <c r="F712">
        <v>0.43943373819671544</v>
      </c>
      <c r="G712">
        <v>0.14309637548426221</v>
      </c>
      <c r="H712">
        <v>17.813286308376966</v>
      </c>
      <c r="I712">
        <v>11.819243591038804</v>
      </c>
      <c r="J712">
        <v>0.27452244881922511</v>
      </c>
      <c r="K712">
        <v>8.9104704795544762E-2</v>
      </c>
      <c r="L712">
        <v>17.81712925534643</v>
      </c>
      <c r="M712">
        <v>11.73859773197605</v>
      </c>
      <c r="N712">
        <v>0.33639234564772402</v>
      </c>
      <c r="O712">
        <v>0.10931911965968927</v>
      </c>
      <c r="P712">
        <v>17.815690802716535</v>
      </c>
      <c r="Q712">
        <v>11.69637598782259</v>
      </c>
      <c r="R712">
        <v>0.36876999395384824</v>
      </c>
      <c r="S712">
        <v>0.11991756095269882</v>
      </c>
      <c r="T712">
        <v>17.814936457270871</v>
      </c>
      <c r="U712">
        <v>1500.4760719485805</v>
      </c>
      <c r="V712">
        <v>9.1568804936082966</v>
      </c>
      <c r="W712">
        <v>1264.4965050051112</v>
      </c>
      <c r="X712">
        <v>6.6728148737458337</v>
      </c>
      <c r="Y712">
        <v>2870.6110240378193</v>
      </c>
      <c r="Z712">
        <v>9.197237284764018</v>
      </c>
      <c r="AA712">
        <v>2716.9888943325677</v>
      </c>
      <c r="AB712">
        <v>6.6968075042749238</v>
      </c>
      <c r="AC712">
        <v>2175.6236382456177</v>
      </c>
      <c r="AD712">
        <v>9.1821019710689864</v>
      </c>
      <c r="AE712">
        <v>1991.9091548727117</v>
      </c>
      <c r="AF712">
        <v>6.6878206824620179</v>
      </c>
      <c r="AG712">
        <v>2054.7162422291813</v>
      </c>
      <c r="AH712">
        <v>9.1741788223522711</v>
      </c>
      <c r="AI712">
        <v>1860.4143767582141</v>
      </c>
      <c r="AJ712">
        <v>6.6831108025808916</v>
      </c>
    </row>
    <row r="713" spans="4:36" x14ac:dyDescent="0.55000000000000004">
      <c r="D713">
        <v>706</v>
      </c>
      <c r="E713">
        <v>14.280331709708673</v>
      </c>
      <c r="F713">
        <v>0.54045382400410913</v>
      </c>
      <c r="G713">
        <v>0.18429442604131832</v>
      </c>
      <c r="H713">
        <v>14.994920040245889</v>
      </c>
      <c r="I713">
        <v>14.615807700813466</v>
      </c>
      <c r="J713">
        <v>0.30597263607743369</v>
      </c>
      <c r="K713">
        <v>0.10387737793543947</v>
      </c>
      <c r="L713">
        <v>14.974342285173666</v>
      </c>
      <c r="M713">
        <v>14.482429625238089</v>
      </c>
      <c r="N713">
        <v>0.39927523881284832</v>
      </c>
      <c r="O713">
        <v>0.13578994214913492</v>
      </c>
      <c r="P713">
        <v>14.98250519379992</v>
      </c>
      <c r="Q713">
        <v>14.369340620826732</v>
      </c>
      <c r="R713">
        <v>0.47830461766422439</v>
      </c>
      <c r="S713">
        <v>0.16290944396377313</v>
      </c>
      <c r="T713">
        <v>14.989445317545263</v>
      </c>
      <c r="U713">
        <v>1630.8767988084885</v>
      </c>
      <c r="V713">
        <v>11.217752752679818</v>
      </c>
      <c r="W713">
        <v>1332.2836133605383</v>
      </c>
      <c r="X713">
        <v>7.8489395909528987</v>
      </c>
      <c r="Y713">
        <v>2938.896113834865</v>
      </c>
      <c r="Z713">
        <v>11.290956277749126</v>
      </c>
      <c r="AA713">
        <v>2751.428677872354</v>
      </c>
      <c r="AB713">
        <v>7.8894529469322867</v>
      </c>
      <c r="AC713">
        <v>2288.736939139731</v>
      </c>
      <c r="AD713">
        <v>11.261863547307167</v>
      </c>
      <c r="AE713">
        <v>2053.6766117197049</v>
      </c>
      <c r="AF713">
        <v>7.873370836809082</v>
      </c>
      <c r="AG713">
        <v>2213.3024754019161</v>
      </c>
      <c r="AH713">
        <v>11.237184538584053</v>
      </c>
      <c r="AI713">
        <v>1950.5928564171052</v>
      </c>
      <c r="AJ713">
        <v>7.8597091939330008</v>
      </c>
    </row>
    <row r="714" spans="4:36" x14ac:dyDescent="0.55000000000000004">
      <c r="D714">
        <v>707</v>
      </c>
      <c r="E714">
        <v>12.913710525623125</v>
      </c>
      <c r="F714">
        <v>0.44253580619059857</v>
      </c>
      <c r="G714">
        <v>0.15187345975607405</v>
      </c>
      <c r="H714">
        <v>16.491880208430207</v>
      </c>
      <c r="I714">
        <v>13.099138044682912</v>
      </c>
      <c r="J714">
        <v>0.30743946177589793</v>
      </c>
      <c r="K714">
        <v>0.10523299927930747</v>
      </c>
      <c r="L714">
        <v>16.488189494261892</v>
      </c>
      <c r="M714">
        <v>13.004497547353516</v>
      </c>
      <c r="N714">
        <v>0.37641607628786422</v>
      </c>
      <c r="O714">
        <v>0.12901530276472165</v>
      </c>
      <c r="P714">
        <v>16.490071073593896</v>
      </c>
      <c r="Q714">
        <v>12.95606726606665</v>
      </c>
      <c r="R714">
        <v>0.41169352938496917</v>
      </c>
      <c r="S714">
        <v>0.14120355970933074</v>
      </c>
      <c r="T714">
        <v>16.491035644839048</v>
      </c>
      <c r="U714">
        <v>1516.2536535030524</v>
      </c>
      <c r="V714">
        <v>10.212222518781145</v>
      </c>
      <c r="W714">
        <v>1268.6350181824882</v>
      </c>
      <c r="X714">
        <v>7.2924997442433206</v>
      </c>
      <c r="Y714">
        <v>2909.4247758211695</v>
      </c>
      <c r="Z714">
        <v>10.250717199570243</v>
      </c>
      <c r="AA714">
        <v>2737.8971730842241</v>
      </c>
      <c r="AB714">
        <v>7.3145404015870046</v>
      </c>
      <c r="AC714">
        <v>2214.0169625851872</v>
      </c>
      <c r="AD714">
        <v>10.231071155821031</v>
      </c>
      <c r="AE714">
        <v>2011.2530690869689</v>
      </c>
      <c r="AF714">
        <v>7.3032993158880952</v>
      </c>
      <c r="AG714">
        <v>2124.429973052926</v>
      </c>
      <c r="AH714">
        <v>10.22101667076158</v>
      </c>
      <c r="AI714">
        <v>1901.9317695294678</v>
      </c>
      <c r="AJ714">
        <v>7.2975402764996984</v>
      </c>
    </row>
    <row r="715" spans="4:36" x14ac:dyDescent="0.55000000000000004">
      <c r="D715">
        <v>708</v>
      </c>
      <c r="E715">
        <v>12.636532451617228</v>
      </c>
      <c r="F715">
        <v>0.48462065845136859</v>
      </c>
      <c r="G715">
        <v>0.17745381349231301</v>
      </c>
      <c r="H715">
        <v>16.701393076439093</v>
      </c>
      <c r="I715">
        <v>12.849406463622236</v>
      </c>
      <c r="J715">
        <v>0.31977287332254367</v>
      </c>
      <c r="K715">
        <v>0.11673877599167244</v>
      </c>
      <c r="L715">
        <v>16.714081887063532</v>
      </c>
      <c r="M715">
        <v>12.769991806916682</v>
      </c>
      <c r="N715">
        <v>0.38129755967099171</v>
      </c>
      <c r="O715">
        <v>0.13935549228041325</v>
      </c>
      <c r="P715">
        <v>16.709355141131919</v>
      </c>
      <c r="Q715">
        <v>12.715553637723412</v>
      </c>
      <c r="R715">
        <v>0.42345400404676359</v>
      </c>
      <c r="S715">
        <v>0.15488212087584988</v>
      </c>
      <c r="T715">
        <v>16.706110237353965</v>
      </c>
      <c r="U715">
        <v>1527.4927264082937</v>
      </c>
      <c r="V715">
        <v>9.953265989561503</v>
      </c>
      <c r="W715">
        <v>1273.1861733621204</v>
      </c>
      <c r="X715">
        <v>7.1293530000650831</v>
      </c>
      <c r="Y715">
        <v>2895.1027406576191</v>
      </c>
      <c r="Z715">
        <v>9.9863552582123347</v>
      </c>
      <c r="AA715">
        <v>2726.3672421724418</v>
      </c>
      <c r="AB715">
        <v>7.148936632928149</v>
      </c>
      <c r="AC715">
        <v>2237.451047776533</v>
      </c>
      <c r="AD715">
        <v>9.9740075293484889</v>
      </c>
      <c r="AE715">
        <v>2027.3203182121651</v>
      </c>
      <c r="AF715">
        <v>7.1416372159530139</v>
      </c>
      <c r="AG715">
        <v>2150.4464399058756</v>
      </c>
      <c r="AH715">
        <v>9.9655456266764144</v>
      </c>
      <c r="AI715">
        <v>1919.3193058203562</v>
      </c>
      <c r="AJ715">
        <v>7.1366291066514469</v>
      </c>
    </row>
    <row r="716" spans="4:36" x14ac:dyDescent="0.55000000000000004">
      <c r="D716">
        <v>709</v>
      </c>
      <c r="E716">
        <v>12.523725077876115</v>
      </c>
      <c r="F716">
        <v>0.46895563773910071</v>
      </c>
      <c r="G716">
        <v>0.1752751530889565</v>
      </c>
      <c r="H716">
        <v>16.832044131295845</v>
      </c>
      <c r="I716">
        <v>12.753998648451429</v>
      </c>
      <c r="J716">
        <v>0.29703477853743687</v>
      </c>
      <c r="K716">
        <v>0.11063782063170238</v>
      </c>
      <c r="L716">
        <v>16.838328752379432</v>
      </c>
      <c r="M716">
        <v>12.63802258672999</v>
      </c>
      <c r="N716">
        <v>0.38365860978910543</v>
      </c>
      <c r="O716">
        <v>0.14314955523933784</v>
      </c>
      <c r="P716">
        <v>16.835169248241563</v>
      </c>
      <c r="Q716">
        <v>12.619142995955533</v>
      </c>
      <c r="R716">
        <v>0.3977529453927055</v>
      </c>
      <c r="S716">
        <v>0.14845023464851059</v>
      </c>
      <c r="T716">
        <v>16.834653824003244</v>
      </c>
      <c r="U716">
        <v>1541.9027423489131</v>
      </c>
      <c r="V716">
        <v>9.9587358302170053</v>
      </c>
      <c r="W716">
        <v>1286.2635428769263</v>
      </c>
      <c r="X716">
        <v>7.146844967604955</v>
      </c>
      <c r="Y716">
        <v>2895.6388133393871</v>
      </c>
      <c r="Z716">
        <v>9.9973300065902553</v>
      </c>
      <c r="AA716">
        <v>2729.404634709404</v>
      </c>
      <c r="AB716">
        <v>7.1694073925608315</v>
      </c>
      <c r="AC716">
        <v>2220.4215923601832</v>
      </c>
      <c r="AD716">
        <v>9.9778903721888117</v>
      </c>
      <c r="AE716">
        <v>2016.0680862439783</v>
      </c>
      <c r="AF716">
        <v>7.1580536828932813</v>
      </c>
      <c r="AG716">
        <v>2142.4253225958232</v>
      </c>
      <c r="AH716">
        <v>9.9747261795981359</v>
      </c>
      <c r="AI716">
        <v>1916.7454713201937</v>
      </c>
      <c r="AJ716">
        <v>7.1562035657832137</v>
      </c>
    </row>
    <row r="717" spans="4:36" x14ac:dyDescent="0.55000000000000004">
      <c r="D717">
        <v>710</v>
      </c>
      <c r="E717">
        <v>13.262009416965675</v>
      </c>
      <c r="F717">
        <v>0.4516971950317567</v>
      </c>
      <c r="G717">
        <v>0.15841120149133783</v>
      </c>
      <c r="H717">
        <v>16.12788218651124</v>
      </c>
      <c r="I717">
        <v>13.483972872277796</v>
      </c>
      <c r="J717">
        <v>0.30118915360471965</v>
      </c>
      <c r="K717">
        <v>0.10529955539318539</v>
      </c>
      <c r="L717">
        <v>16.109538418724288</v>
      </c>
      <c r="M717">
        <v>13.414960646825609</v>
      </c>
      <c r="N717">
        <v>0.34801834658042907</v>
      </c>
      <c r="O717">
        <v>0.12178883236861301</v>
      </c>
      <c r="P717">
        <v>16.115232174225351</v>
      </c>
      <c r="Q717">
        <v>13.361896914593787</v>
      </c>
      <c r="R717">
        <v>0.38400487564930769</v>
      </c>
      <c r="S717">
        <v>0.13448219623071828</v>
      </c>
      <c r="T717">
        <v>16.119616013526169</v>
      </c>
      <c r="U717">
        <v>1610.7909803819973</v>
      </c>
      <c r="V717">
        <v>10.523083293794308</v>
      </c>
      <c r="W717">
        <v>1330.9301980505309</v>
      </c>
      <c r="X717">
        <v>7.4759834498397302</v>
      </c>
      <c r="Y717">
        <v>2918.9511153285912</v>
      </c>
      <c r="Z717">
        <v>10.575477334317315</v>
      </c>
      <c r="AA717">
        <v>2741.9108407793719</v>
      </c>
      <c r="AB717">
        <v>7.5053680150974742</v>
      </c>
      <c r="AC717">
        <v>2239.4551885405085</v>
      </c>
      <c r="AD717">
        <v>10.559192442515773</v>
      </c>
      <c r="AE717">
        <v>2027.6039598939794</v>
      </c>
      <c r="AF717">
        <v>7.4962439563120133</v>
      </c>
      <c r="AG717">
        <v>2152.772798263542</v>
      </c>
      <c r="AH717">
        <v>10.546667687909414</v>
      </c>
      <c r="AI717">
        <v>1919.9344704096768</v>
      </c>
      <c r="AJ717">
        <v>7.4892210409831872</v>
      </c>
    </row>
    <row r="718" spans="4:36" x14ac:dyDescent="0.55000000000000004">
      <c r="D718">
        <v>711</v>
      </c>
      <c r="E718">
        <v>12.720899664274651</v>
      </c>
      <c r="F718">
        <v>0.49857086921010912</v>
      </c>
      <c r="G718">
        <v>0.18155173979000516</v>
      </c>
      <c r="H718">
        <v>16.598977726725234</v>
      </c>
      <c r="I718">
        <v>12.985663771834549</v>
      </c>
      <c r="J718">
        <v>0.30103624968013842</v>
      </c>
      <c r="K718">
        <v>0.10919496494170321</v>
      </c>
      <c r="L718">
        <v>16.604105013543609</v>
      </c>
      <c r="M718">
        <v>12.896401193389604</v>
      </c>
      <c r="N718">
        <v>0.36767614076825389</v>
      </c>
      <c r="O718">
        <v>0.1335413214119662</v>
      </c>
      <c r="P718">
        <v>16.602381344430189</v>
      </c>
      <c r="Q718">
        <v>12.827567690011104</v>
      </c>
      <c r="R718">
        <v>0.41903469733521548</v>
      </c>
      <c r="S718">
        <v>0.15234886932268241</v>
      </c>
      <c r="T718">
        <v>16.601048743330992</v>
      </c>
      <c r="U718">
        <v>1540.5963418754052</v>
      </c>
      <c r="V718">
        <v>10.146411294629893</v>
      </c>
      <c r="W718">
        <v>1280.0170978600349</v>
      </c>
      <c r="X718">
        <v>7.2579079588710957</v>
      </c>
      <c r="Y718">
        <v>2888.1253814667848</v>
      </c>
      <c r="Z718">
        <v>10.194849032575103</v>
      </c>
      <c r="AA718">
        <v>2721.7406655606683</v>
      </c>
      <c r="AB718">
        <v>7.2861589210073916</v>
      </c>
      <c r="AC718">
        <v>2246.4750614633881</v>
      </c>
      <c r="AD718">
        <v>10.178516107801929</v>
      </c>
      <c r="AE718">
        <v>2033.5466440073476</v>
      </c>
      <c r="AF718">
        <v>7.2766464636351618</v>
      </c>
      <c r="AG718">
        <v>2144.6303750831689</v>
      </c>
      <c r="AH718">
        <v>10.16592303185663</v>
      </c>
      <c r="AI718">
        <v>1914.0463221709781</v>
      </c>
      <c r="AJ718">
        <v>7.2693027291694419</v>
      </c>
    </row>
    <row r="719" spans="4:36" x14ac:dyDescent="0.55000000000000004">
      <c r="D719">
        <v>712</v>
      </c>
      <c r="E719">
        <v>11.78933694430436</v>
      </c>
      <c r="F719">
        <v>0.43496991609677071</v>
      </c>
      <c r="G719">
        <v>0.16180728100955896</v>
      </c>
      <c r="H719">
        <v>17.613885858589313</v>
      </c>
      <c r="I719">
        <v>12.002743188888795</v>
      </c>
      <c r="J719">
        <v>0.27591252099302593</v>
      </c>
      <c r="K719">
        <v>0.10229979171809933</v>
      </c>
      <c r="L719">
        <v>17.619044498400061</v>
      </c>
      <c r="M719">
        <v>11.92051791375262</v>
      </c>
      <c r="N719">
        <v>0.33722833136936653</v>
      </c>
      <c r="O719">
        <v>0.12519241817778382</v>
      </c>
      <c r="P719">
        <v>17.61706133670021</v>
      </c>
      <c r="Q719">
        <v>11.89588784945299</v>
      </c>
      <c r="R719">
        <v>0.35558753676139326</v>
      </c>
      <c r="S719">
        <v>0.13205840350623052</v>
      </c>
      <c r="T719">
        <v>17.616466210279373</v>
      </c>
      <c r="U719">
        <v>1519.5136824987928</v>
      </c>
      <c r="V719">
        <v>9.3594987958914952</v>
      </c>
      <c r="W719">
        <v>1274.1514124752316</v>
      </c>
      <c r="X719">
        <v>6.7979806062999391</v>
      </c>
      <c r="Y719">
        <v>2885.730856382912</v>
      </c>
      <c r="Z719">
        <v>9.3973350374175197</v>
      </c>
      <c r="AA719">
        <v>2724.9628496204537</v>
      </c>
      <c r="AB719">
        <v>6.8205320163878378</v>
      </c>
      <c r="AC719">
        <v>2205.3472425561777</v>
      </c>
      <c r="AD719">
        <v>9.3827537838310686</v>
      </c>
      <c r="AE719">
        <v>2009.9748800302416</v>
      </c>
      <c r="AF719">
        <v>6.8118519415277836</v>
      </c>
      <c r="AG719">
        <v>2066.2580254841969</v>
      </c>
      <c r="AH719">
        <v>9.3783867839027799</v>
      </c>
      <c r="AI719">
        <v>1866.1124397304839</v>
      </c>
      <c r="AJ719">
        <v>6.8092497032577235</v>
      </c>
    </row>
    <row r="720" spans="4:36" x14ac:dyDescent="0.55000000000000004">
      <c r="D720">
        <v>713</v>
      </c>
      <c r="E720">
        <v>11.250955895744175</v>
      </c>
      <c r="F720">
        <v>0.40105267111579396</v>
      </c>
      <c r="G720">
        <v>0.15042712109660383</v>
      </c>
      <c r="H720">
        <v>18.19756431204344</v>
      </c>
      <c r="I720">
        <v>11.433696319668291</v>
      </c>
      <c r="J720">
        <v>0.25841341176010713</v>
      </c>
      <c r="K720">
        <v>9.6653908417111037E-2</v>
      </c>
      <c r="L720">
        <v>18.211236360154484</v>
      </c>
      <c r="M720">
        <v>11.339074576930926</v>
      </c>
      <c r="N720">
        <v>0.3322929671406552</v>
      </c>
      <c r="O720">
        <v>0.12446736597646553</v>
      </c>
      <c r="P720">
        <v>18.20416508995195</v>
      </c>
      <c r="Q720">
        <v>11.307912342513413</v>
      </c>
      <c r="R720">
        <v>0.35661379424333994</v>
      </c>
      <c r="S720">
        <v>0.13364135178663591</v>
      </c>
      <c r="T720">
        <v>18.201832511456626</v>
      </c>
      <c r="U720">
        <v>1475.1364727961541</v>
      </c>
      <c r="V720">
        <v>8.857912909896827</v>
      </c>
      <c r="W720">
        <v>1250.5450185499494</v>
      </c>
      <c r="X720">
        <v>6.4931466542883225</v>
      </c>
      <c r="Y720">
        <v>2838.195551289823</v>
      </c>
      <c r="Z720">
        <v>8.8838639884856647</v>
      </c>
      <c r="AA720">
        <v>2695.587360257302</v>
      </c>
      <c r="AB720">
        <v>6.5091587474298436</v>
      </c>
      <c r="AC720">
        <v>2165.9677339664172</v>
      </c>
      <c r="AD720">
        <v>8.8704218800741099</v>
      </c>
      <c r="AE720">
        <v>1986.415416552622</v>
      </c>
      <c r="AF720">
        <v>6.5008730072041887</v>
      </c>
      <c r="AG720">
        <v>2060.3735795582247</v>
      </c>
      <c r="AH720">
        <v>8.8659971852152637</v>
      </c>
      <c r="AI720">
        <v>1866.8802117834928</v>
      </c>
      <c r="AJ720">
        <v>6.4981417818114284</v>
      </c>
    </row>
    <row r="721" spans="4:36" x14ac:dyDescent="0.55000000000000004">
      <c r="D721">
        <v>714</v>
      </c>
      <c r="E721">
        <v>11.335533981657269</v>
      </c>
      <c r="F721">
        <v>0.40425853323804978</v>
      </c>
      <c r="G721">
        <v>0.14998048767534347</v>
      </c>
      <c r="H721">
        <v>18.110226997429319</v>
      </c>
      <c r="I721">
        <v>11.52718261838441</v>
      </c>
      <c r="J721">
        <v>0.25645868213158818</v>
      </c>
      <c r="K721">
        <v>9.4857707792245893E-2</v>
      </c>
      <c r="L721">
        <v>18.121500991691761</v>
      </c>
      <c r="M721">
        <v>11.422455205292694</v>
      </c>
      <c r="N721">
        <v>0.33724935123446209</v>
      </c>
      <c r="O721">
        <v>0.12494695526917125</v>
      </c>
      <c r="P721">
        <v>18.11534848820369</v>
      </c>
      <c r="Q721">
        <v>11.422460041433807</v>
      </c>
      <c r="R721">
        <v>0.33724562182038959</v>
      </c>
      <c r="S721">
        <v>0.12494556397335055</v>
      </c>
      <c r="T721">
        <v>18.115348772772457</v>
      </c>
      <c r="U721">
        <v>1428.6261977772938</v>
      </c>
      <c r="V721">
        <v>8.9345589476727412</v>
      </c>
      <c r="W721">
        <v>1217.7767912868928</v>
      </c>
      <c r="X721">
        <v>6.5401360307555034</v>
      </c>
      <c r="Y721">
        <v>2832.9913964883385</v>
      </c>
      <c r="Z721">
        <v>8.9636132169123677</v>
      </c>
      <c r="AA721">
        <v>2693.0527020777986</v>
      </c>
      <c r="AB721">
        <v>6.557878936002882</v>
      </c>
      <c r="AC721">
        <v>2144.3924637377518</v>
      </c>
      <c r="AD721">
        <v>8.9477318150214611</v>
      </c>
      <c r="AE721">
        <v>1971.6355073654431</v>
      </c>
      <c r="AF721">
        <v>6.5481895287835616</v>
      </c>
      <c r="AG721">
        <v>2034.9180345860391</v>
      </c>
      <c r="AH721">
        <v>8.9477325481469201</v>
      </c>
      <c r="AI721">
        <v>1851.2110550314833</v>
      </c>
      <c r="AJ721">
        <v>6.5481899765733349</v>
      </c>
    </row>
    <row r="722" spans="4:36" x14ac:dyDescent="0.55000000000000004">
      <c r="D722">
        <v>715</v>
      </c>
      <c r="E722">
        <v>13.440009215879206</v>
      </c>
      <c r="F722">
        <v>0.47568519726404102</v>
      </c>
      <c r="G722">
        <v>0.15677296928636483</v>
      </c>
      <c r="H722">
        <v>15.927532617570396</v>
      </c>
      <c r="I722">
        <v>13.67174870831591</v>
      </c>
      <c r="J722">
        <v>0.31093577104204706</v>
      </c>
      <c r="K722">
        <v>0.10214749367199293</v>
      </c>
      <c r="L722">
        <v>15.915168026970056</v>
      </c>
      <c r="M722">
        <v>13.545453190892319</v>
      </c>
      <c r="N722">
        <v>0.40076149806516398</v>
      </c>
      <c r="O722">
        <v>0.13188654867660421</v>
      </c>
      <c r="P722">
        <v>15.921898762365894</v>
      </c>
      <c r="Q722">
        <v>13.546692564907056</v>
      </c>
      <c r="R722">
        <v>0.39988046558295481</v>
      </c>
      <c r="S722">
        <v>0.13159434858824207</v>
      </c>
      <c r="T722">
        <v>15.921832620921744</v>
      </c>
      <c r="U722">
        <v>1566.4612472377644</v>
      </c>
      <c r="V722">
        <v>10.613006992293116</v>
      </c>
      <c r="W722">
        <v>1298.7895408427291</v>
      </c>
      <c r="X722">
        <v>7.5183184652925785</v>
      </c>
      <c r="Y722">
        <v>2919.7737508392775</v>
      </c>
      <c r="Z722">
        <v>10.663314129180781</v>
      </c>
      <c r="AA722">
        <v>2742.6389988182491</v>
      </c>
      <c r="AB722">
        <v>7.5466286458645833</v>
      </c>
      <c r="AC722">
        <v>2249.4485161470702</v>
      </c>
      <c r="AD722">
        <v>10.635901790759588</v>
      </c>
      <c r="AE722">
        <v>2032.0825058869038</v>
      </c>
      <c r="AF722">
        <v>7.5312131713131381</v>
      </c>
      <c r="AG722">
        <v>2156.370069308799</v>
      </c>
      <c r="AH722">
        <v>10.636170848128987</v>
      </c>
      <c r="AI722">
        <v>1922.3854001982911</v>
      </c>
      <c r="AJ722">
        <v>7.5313646014787858</v>
      </c>
    </row>
    <row r="723" spans="4:36" x14ac:dyDescent="0.55000000000000004">
      <c r="D723">
        <v>716</v>
      </c>
      <c r="E723">
        <v>12.039539265658641</v>
      </c>
      <c r="F723">
        <v>0.43671167713978837</v>
      </c>
      <c r="G723">
        <v>0.16643272774700757</v>
      </c>
      <c r="H723">
        <v>17.357316329454562</v>
      </c>
      <c r="I723">
        <v>12.279139280270581</v>
      </c>
      <c r="J723">
        <v>0.2632652249263403</v>
      </c>
      <c r="K723">
        <v>9.9954870074632635E-2</v>
      </c>
      <c r="L723">
        <v>17.357640624728447</v>
      </c>
      <c r="M723">
        <v>12.183001680048346</v>
      </c>
      <c r="N723">
        <v>0.33290098993520417</v>
      </c>
      <c r="O723">
        <v>0.12658370086896759</v>
      </c>
      <c r="P723">
        <v>17.357513629147473</v>
      </c>
      <c r="Q723">
        <v>12.1337537557226</v>
      </c>
      <c r="R723">
        <v>0.36855135102285991</v>
      </c>
      <c r="S723">
        <v>0.14024793363670091</v>
      </c>
      <c r="T723">
        <v>17.357446959617825</v>
      </c>
      <c r="U723">
        <v>1520.8440731290743</v>
      </c>
      <c r="V723">
        <v>9.5831736729820847</v>
      </c>
      <c r="W723">
        <v>1276.5786293348099</v>
      </c>
      <c r="X723">
        <v>6.9331661928568673</v>
      </c>
      <c r="Y723">
        <v>2852.4493762793654</v>
      </c>
      <c r="Z723">
        <v>9.6291459372864328</v>
      </c>
      <c r="AA723">
        <v>2702.7087059840578</v>
      </c>
      <c r="AB723">
        <v>6.9600959428513596</v>
      </c>
      <c r="AC723">
        <v>2192.1749336464504</v>
      </c>
      <c r="AD723">
        <v>9.6106990673007378</v>
      </c>
      <c r="AE723">
        <v>2001.8872375184856</v>
      </c>
      <c r="AF723">
        <v>6.9493034840947363</v>
      </c>
      <c r="AG723">
        <v>2097.0804314643747</v>
      </c>
      <c r="AH723">
        <v>9.601249827876785</v>
      </c>
      <c r="AI723">
        <v>1888.8479795511737</v>
      </c>
      <c r="AJ723">
        <v>6.9437682246010093</v>
      </c>
    </row>
    <row r="724" spans="4:36" x14ac:dyDescent="0.55000000000000004">
      <c r="D724">
        <v>717</v>
      </c>
      <c r="E724">
        <v>12.909996332184432</v>
      </c>
      <c r="F724">
        <v>0.48983683033897529</v>
      </c>
      <c r="G724">
        <v>0.18473994114688677</v>
      </c>
      <c r="H724">
        <v>16.415426896329691</v>
      </c>
      <c r="I724">
        <v>13.170593104636996</v>
      </c>
      <c r="J724">
        <v>0.29994372133321157</v>
      </c>
      <c r="K724">
        <v>0.11271079049079934</v>
      </c>
      <c r="L724">
        <v>16.416752383538981</v>
      </c>
      <c r="M724">
        <v>13.067308413677141</v>
      </c>
      <c r="N724">
        <v>0.37525237398637684</v>
      </c>
      <c r="O724">
        <v>0.14121267308356433</v>
      </c>
      <c r="P724">
        <v>16.416226539252929</v>
      </c>
      <c r="Q724">
        <v>13.030498637954901</v>
      </c>
      <c r="R724">
        <v>0.40207700722845963</v>
      </c>
      <c r="S724">
        <v>0.15138506419236059</v>
      </c>
      <c r="T724">
        <v>16.416039290624294</v>
      </c>
      <c r="U724">
        <v>1582.6429111751602</v>
      </c>
      <c r="V724">
        <v>10.199347570534187</v>
      </c>
      <c r="W724">
        <v>1308.0975364579122</v>
      </c>
      <c r="X724">
        <v>7.2761348336874949</v>
      </c>
      <c r="Y724">
        <v>2902.2599368509141</v>
      </c>
      <c r="Z724">
        <v>10.248016299856731</v>
      </c>
      <c r="AA724">
        <v>2730.1947133639155</v>
      </c>
      <c r="AB724">
        <v>7.3042427011360704</v>
      </c>
      <c r="AC724">
        <v>2242.5288740687611</v>
      </c>
      <c r="AD724">
        <v>10.22872664329846</v>
      </c>
      <c r="AE724">
        <v>2027.9122146907591</v>
      </c>
      <c r="AF724">
        <v>7.2931156314089263</v>
      </c>
      <c r="AG724">
        <v>2145.5237238604782</v>
      </c>
      <c r="AH724">
        <v>10.221852082264668</v>
      </c>
      <c r="AI724">
        <v>1913.5594621973819</v>
      </c>
      <c r="AJ724">
        <v>7.2891458802862621</v>
      </c>
    </row>
    <row r="725" spans="4:36" x14ac:dyDescent="0.55000000000000004">
      <c r="D725">
        <v>718</v>
      </c>
      <c r="E725">
        <v>11.737286874998359</v>
      </c>
      <c r="F725">
        <v>0.47890388155310726</v>
      </c>
      <c r="G725">
        <v>0.18379114694913218</v>
      </c>
      <c r="H725">
        <v>17.600018096499404</v>
      </c>
      <c r="I725">
        <v>11.985010659014922</v>
      </c>
      <c r="J725">
        <v>0.27490052797389808</v>
      </c>
      <c r="K725">
        <v>0.10509909860404065</v>
      </c>
      <c r="L725">
        <v>17.634989714407133</v>
      </c>
      <c r="M725">
        <v>11.877625465102776</v>
      </c>
      <c r="N725">
        <v>0.36336567989494234</v>
      </c>
      <c r="O725">
        <v>0.13914908191940611</v>
      </c>
      <c r="P725">
        <v>17.619859773082887</v>
      </c>
      <c r="Q725">
        <v>11.836840525962693</v>
      </c>
      <c r="R725">
        <v>0.39695190779257555</v>
      </c>
      <c r="S725">
        <v>0.15210606039636687</v>
      </c>
      <c r="T725">
        <v>17.614101505848367</v>
      </c>
      <c r="U725">
        <v>1560.4768600634152</v>
      </c>
      <c r="V725">
        <v>9.3216598959504058</v>
      </c>
      <c r="W725">
        <v>1299.2206729296922</v>
      </c>
      <c r="X725">
        <v>6.7672392709795437</v>
      </c>
      <c r="Y725">
        <v>2889.9236452013915</v>
      </c>
      <c r="Z725">
        <v>9.346045129504958</v>
      </c>
      <c r="AA725">
        <v>2727.5185693368239</v>
      </c>
      <c r="AB725">
        <v>6.7831168767179086</v>
      </c>
      <c r="AC725">
        <v>2224.4010708268261</v>
      </c>
      <c r="AD725">
        <v>9.335457908881402</v>
      </c>
      <c r="AE725">
        <v>2020.8137419763616</v>
      </c>
      <c r="AF725">
        <v>6.7762368413220395</v>
      </c>
      <c r="AG725">
        <v>2125.7880275703601</v>
      </c>
      <c r="AH725">
        <v>9.3314434770353145</v>
      </c>
      <c r="AI725">
        <v>1905.1451040714455</v>
      </c>
      <c r="AJ725">
        <v>6.7736227210797866</v>
      </c>
    </row>
    <row r="726" spans="4:36" x14ac:dyDescent="0.55000000000000004">
      <c r="D726">
        <v>719</v>
      </c>
      <c r="E726">
        <v>13.132029762197325</v>
      </c>
      <c r="F726">
        <v>0.4811950714503731</v>
      </c>
      <c r="G726">
        <v>0.16962820581253057</v>
      </c>
      <c r="H726">
        <v>16.217146960539779</v>
      </c>
      <c r="I726">
        <v>13.363559257650602</v>
      </c>
      <c r="J726">
        <v>0.31130211125936952</v>
      </c>
      <c r="K726">
        <v>0.10937813052955478</v>
      </c>
      <c r="L726">
        <v>16.215760500560489</v>
      </c>
      <c r="M726">
        <v>13.253311063064094</v>
      </c>
      <c r="N726">
        <v>0.39223804468224516</v>
      </c>
      <c r="O726">
        <v>0.13803070572658241</v>
      </c>
      <c r="P726">
        <v>16.216420186527085</v>
      </c>
      <c r="Q726">
        <v>13.205966638973411</v>
      </c>
      <c r="R726">
        <v>0.42697393473125689</v>
      </c>
      <c r="S726">
        <v>0.15035566383296578</v>
      </c>
      <c r="T726">
        <v>16.216703762462362</v>
      </c>
      <c r="U726">
        <v>1533.1060844097979</v>
      </c>
      <c r="V726">
        <v>10.344424260472302</v>
      </c>
      <c r="W726">
        <v>1273.5382019713084</v>
      </c>
      <c r="X726">
        <v>7.3573180838371801</v>
      </c>
      <c r="Y726">
        <v>2919.6751265104831</v>
      </c>
      <c r="Z726">
        <v>10.387442439454533</v>
      </c>
      <c r="AA726">
        <v>2741.9566155096022</v>
      </c>
      <c r="AB726">
        <v>7.3820268164264178</v>
      </c>
      <c r="AC726">
        <v>2244.3658608986984</v>
      </c>
      <c r="AD726">
        <v>10.3669584175392</v>
      </c>
      <c r="AE726">
        <v>2028.1905385188352</v>
      </c>
      <c r="AF726">
        <v>7.3702718024457781</v>
      </c>
      <c r="AG726">
        <v>2130.5835979274516</v>
      </c>
      <c r="AH726">
        <v>10.358161811976972</v>
      </c>
      <c r="AI726">
        <v>1901.2564029472337</v>
      </c>
      <c r="AJ726">
        <v>7.3652178780947706</v>
      </c>
    </row>
    <row r="727" spans="4:36" x14ac:dyDescent="0.55000000000000004">
      <c r="D727">
        <v>720</v>
      </c>
      <c r="E727">
        <v>14.54575396453728</v>
      </c>
      <c r="F727">
        <v>0.57300730379869746</v>
      </c>
      <c r="G727">
        <v>0.19479042474760672</v>
      </c>
      <c r="H727">
        <v>14.686448306916422</v>
      </c>
      <c r="I727">
        <v>14.859722056637739</v>
      </c>
      <c r="J727">
        <v>0.35004768465988068</v>
      </c>
      <c r="K727">
        <v>0.11852218295906629</v>
      </c>
      <c r="L727">
        <v>14.671708075743327</v>
      </c>
      <c r="M727">
        <v>14.746247240242216</v>
      </c>
      <c r="N727">
        <v>0.4306932821119091</v>
      </c>
      <c r="O727">
        <v>0.14603733224999474</v>
      </c>
      <c r="P727">
        <v>14.677022145395886</v>
      </c>
      <c r="Q727">
        <v>14.630185981647172</v>
      </c>
      <c r="R727">
        <v>0.51310324467700308</v>
      </c>
      <c r="S727">
        <v>0.17423783043528607</v>
      </c>
      <c r="T727">
        <v>14.682472943240532</v>
      </c>
      <c r="U727">
        <v>1650.6978499668537</v>
      </c>
      <c r="V727">
        <v>11.400466204909456</v>
      </c>
      <c r="W727">
        <v>1340.5380815666419</v>
      </c>
      <c r="X727">
        <v>7.9454615189588811</v>
      </c>
      <c r="Y727">
        <v>3002.0558040001993</v>
      </c>
      <c r="Z727">
        <v>11.466658450836919</v>
      </c>
      <c r="AA727">
        <v>2790.4656478150655</v>
      </c>
      <c r="AB727">
        <v>7.9821574405227738</v>
      </c>
      <c r="AC727">
        <v>2343.145495283236</v>
      </c>
      <c r="AD727">
        <v>11.442742430670441</v>
      </c>
      <c r="AE727">
        <v>2086.9832604600274</v>
      </c>
      <c r="AF727">
        <v>7.9689140366423574</v>
      </c>
      <c r="AG727">
        <v>2247.6393844488666</v>
      </c>
      <c r="AH727">
        <v>11.418272791787203</v>
      </c>
      <c r="AI727">
        <v>1969.2781772339799</v>
      </c>
      <c r="AJ727">
        <v>7.9553462625309184</v>
      </c>
    </row>
    <row r="728" spans="4:36" x14ac:dyDescent="0.55000000000000004">
      <c r="D728">
        <v>721</v>
      </c>
      <c r="E728">
        <v>13.647656480903418</v>
      </c>
      <c r="F728">
        <v>0.43400471343869801</v>
      </c>
      <c r="G728">
        <v>0.16417609013499498</v>
      </c>
      <c r="H728">
        <v>15.754162715522895</v>
      </c>
      <c r="I728">
        <v>13.876065900350305</v>
      </c>
      <c r="J728">
        <v>0.28862291531286882</v>
      </c>
      <c r="K728">
        <v>0.10883228830695096</v>
      </c>
      <c r="L728">
        <v>15.726478896029887</v>
      </c>
      <c r="M728">
        <v>13.768198515361195</v>
      </c>
      <c r="N728">
        <v>0.35732423801395835</v>
      </c>
      <c r="O728">
        <v>0.13494062408602209</v>
      </c>
      <c r="P728">
        <v>15.739536622538818</v>
      </c>
      <c r="Q728">
        <v>13.724590788193131</v>
      </c>
      <c r="R728">
        <v>0.38507588562137124</v>
      </c>
      <c r="S728">
        <v>0.14550968626250169</v>
      </c>
      <c r="T728">
        <v>15.744823639923007</v>
      </c>
      <c r="U728">
        <v>1570.6712465062478</v>
      </c>
      <c r="V728">
        <v>10.771925543998281</v>
      </c>
      <c r="W728">
        <v>1302.2495246049798</v>
      </c>
      <c r="X728">
        <v>7.6134047353679781</v>
      </c>
      <c r="Y728">
        <v>2913.8810572863854</v>
      </c>
      <c r="Z728">
        <v>10.831453625765848</v>
      </c>
      <c r="AA728">
        <v>2738.4131874285208</v>
      </c>
      <c r="AB728">
        <v>7.6463606823657413</v>
      </c>
      <c r="AC728">
        <v>2257.5916325814528</v>
      </c>
      <c r="AD728">
        <v>10.803350545926669</v>
      </c>
      <c r="AE728">
        <v>2038.8764098403828</v>
      </c>
      <c r="AF728">
        <v>7.6308135611358203</v>
      </c>
      <c r="AG728">
        <v>2144.2269640274158</v>
      </c>
      <c r="AH728">
        <v>10.791984541485652</v>
      </c>
      <c r="AI728">
        <v>1912.7382299406295</v>
      </c>
      <c r="AJ728">
        <v>7.6245199583511338</v>
      </c>
    </row>
    <row r="729" spans="4:36" x14ac:dyDescent="0.55000000000000004">
      <c r="D729">
        <v>722</v>
      </c>
      <c r="E729">
        <v>11.720098093261363</v>
      </c>
      <c r="F729">
        <v>0.44331942814813946</v>
      </c>
      <c r="G729">
        <v>0.13816052853017377</v>
      </c>
      <c r="H729">
        <v>17.698421950060339</v>
      </c>
      <c r="I729">
        <v>11.943654568485606</v>
      </c>
      <c r="J729">
        <v>0.26544076358247043</v>
      </c>
      <c r="K729">
        <v>8.2456609162838396E-2</v>
      </c>
      <c r="L729">
        <v>17.708448058769097</v>
      </c>
      <c r="M729">
        <v>11.83511539404061</v>
      </c>
      <c r="N729">
        <v>0.35183310668210216</v>
      </c>
      <c r="O729">
        <v>0.10946522581212996</v>
      </c>
      <c r="P729">
        <v>17.703586273465152</v>
      </c>
      <c r="Q729">
        <v>11.818661664911728</v>
      </c>
      <c r="R729">
        <v>0.36492457550058249</v>
      </c>
      <c r="S729">
        <v>0.11356548188517532</v>
      </c>
      <c r="T729">
        <v>17.702848277702518</v>
      </c>
      <c r="U729">
        <v>1504.6147038604115</v>
      </c>
      <c r="V729">
        <v>9.2514600503942113</v>
      </c>
      <c r="W729">
        <v>1265.7862567701145</v>
      </c>
      <c r="X729">
        <v>6.7284545579411867</v>
      </c>
      <c r="Y729">
        <v>2866.233935425143</v>
      </c>
      <c r="Z729">
        <v>9.2890735267768516</v>
      </c>
      <c r="AA729">
        <v>2713.6467188240081</v>
      </c>
      <c r="AB729">
        <v>6.7509635879100447</v>
      </c>
      <c r="AC729">
        <v>2187.5334777247604</v>
      </c>
      <c r="AD729">
        <v>9.2708081699993699</v>
      </c>
      <c r="AE729">
        <v>1998.3090625305856</v>
      </c>
      <c r="AF729">
        <v>6.7400450520716593</v>
      </c>
      <c r="AG729">
        <v>2093.1719477273446</v>
      </c>
      <c r="AH729">
        <v>9.2680398678692377</v>
      </c>
      <c r="AI729">
        <v>1887.6906730699623</v>
      </c>
      <c r="AJ729">
        <v>6.7383882689018622</v>
      </c>
    </row>
    <row r="730" spans="4:36" x14ac:dyDescent="0.55000000000000004">
      <c r="D730">
        <v>723</v>
      </c>
      <c r="E730">
        <v>12.138454563046139</v>
      </c>
      <c r="F730">
        <v>0.4803511638765014</v>
      </c>
      <c r="G730">
        <v>0.15667956222467228</v>
      </c>
      <c r="H730">
        <v>17.224514710852688</v>
      </c>
      <c r="I730">
        <v>12.379132158521955</v>
      </c>
      <c r="J730">
        <v>0.29221563114642696</v>
      </c>
      <c r="K730">
        <v>9.4972129256679083E-2</v>
      </c>
      <c r="L730">
        <v>17.233680081074926</v>
      </c>
      <c r="M730">
        <v>12.295031028067223</v>
      </c>
      <c r="N730">
        <v>0.35798975476704359</v>
      </c>
      <c r="O730">
        <v>0.11649461705295319</v>
      </c>
      <c r="P730">
        <v>17.230484600112767</v>
      </c>
      <c r="Q730">
        <v>12.239505932169434</v>
      </c>
      <c r="R730">
        <v>0.40139566117646919</v>
      </c>
      <c r="S730">
        <v>0.13072775338623657</v>
      </c>
      <c r="T730">
        <v>17.228370653267845</v>
      </c>
      <c r="U730">
        <v>1572.2670291365523</v>
      </c>
      <c r="V730">
        <v>9.5815375948903032</v>
      </c>
      <c r="W730">
        <v>1305.7624139024331</v>
      </c>
      <c r="X730">
        <v>6.9173910440118096</v>
      </c>
      <c r="Y730">
        <v>2913.3198455902943</v>
      </c>
      <c r="Z730">
        <v>9.6217744494264217</v>
      </c>
      <c r="AA730">
        <v>2741.6709927117085</v>
      </c>
      <c r="AB730">
        <v>6.941321614690656</v>
      </c>
      <c r="AC730">
        <v>2218.6453706519665</v>
      </c>
      <c r="AD730">
        <v>9.6077100332659189</v>
      </c>
      <c r="AE730">
        <v>2015.5301969599313</v>
      </c>
      <c r="AF730">
        <v>6.9329689039721982</v>
      </c>
      <c r="AG730">
        <v>2131.1119172308927</v>
      </c>
      <c r="AH730">
        <v>9.5984269466788632</v>
      </c>
      <c r="AI730">
        <v>1906.9723694267007</v>
      </c>
      <c r="AJ730">
        <v>6.927448748225796</v>
      </c>
    </row>
    <row r="731" spans="4:36" x14ac:dyDescent="0.55000000000000004">
      <c r="D731">
        <v>724</v>
      </c>
      <c r="E731">
        <v>13.738993435412617</v>
      </c>
      <c r="F731">
        <v>0.47801852923250021</v>
      </c>
      <c r="G731">
        <v>0.18340299551390599</v>
      </c>
      <c r="H731">
        <v>15.599585039840992</v>
      </c>
      <c r="I731">
        <v>14.016143244781627</v>
      </c>
      <c r="J731">
        <v>0.30067476094306789</v>
      </c>
      <c r="K731">
        <v>0.11490692471881479</v>
      </c>
      <c r="L731">
        <v>15.568275069556471</v>
      </c>
      <c r="M731">
        <v>13.938783907229491</v>
      </c>
      <c r="N731">
        <v>0.35022760196954139</v>
      </c>
      <c r="O731">
        <v>0.13399069433459257</v>
      </c>
      <c r="P731">
        <v>15.57699779646639</v>
      </c>
      <c r="Q731">
        <v>13.875590795569646</v>
      </c>
      <c r="R731">
        <v>0.39067655994295186</v>
      </c>
      <c r="S731">
        <v>0.1495999191928348</v>
      </c>
      <c r="T731">
        <v>15.584132725294577</v>
      </c>
      <c r="U731">
        <v>1618.4274942024792</v>
      </c>
      <c r="V731">
        <v>10.858374382831684</v>
      </c>
      <c r="W731">
        <v>1329.5061714698161</v>
      </c>
      <c r="X731">
        <v>7.6595230720275822</v>
      </c>
      <c r="Y731">
        <v>2947.5972336429522</v>
      </c>
      <c r="Z731">
        <v>10.92854534582996</v>
      </c>
      <c r="AA731">
        <v>2759.088583077003</v>
      </c>
      <c r="AB731">
        <v>7.6983580668551852</v>
      </c>
      <c r="AC731">
        <v>2239.8857107121485</v>
      </c>
      <c r="AD731">
        <v>10.908969043326906</v>
      </c>
      <c r="AE731">
        <v>2023.9952585880574</v>
      </c>
      <c r="AF731">
        <v>7.6875368393618757</v>
      </c>
      <c r="AG731">
        <v>2178.997307425514</v>
      </c>
      <c r="AH731">
        <v>10.892971798554882</v>
      </c>
      <c r="AI731">
        <v>1933.9085642695734</v>
      </c>
      <c r="AJ731">
        <v>7.6786866059410421</v>
      </c>
    </row>
    <row r="732" spans="4:36" x14ac:dyDescent="0.55000000000000004">
      <c r="D732">
        <v>725</v>
      </c>
      <c r="E732">
        <v>11.319006724538683</v>
      </c>
      <c r="F732">
        <v>0.4029787252961145</v>
      </c>
      <c r="G732">
        <v>0.14341752868375715</v>
      </c>
      <c r="H732">
        <v>18.134597021481447</v>
      </c>
      <c r="I732">
        <v>11.508780050859055</v>
      </c>
      <c r="J732">
        <v>0.25549607892745269</v>
      </c>
      <c r="K732">
        <v>9.0644370620719186E-2</v>
      </c>
      <c r="L732">
        <v>18.145079499592786</v>
      </c>
      <c r="M732">
        <v>11.433340102711909</v>
      </c>
      <c r="N732">
        <v>0.31414722069325057</v>
      </c>
      <c r="O732">
        <v>0.11159112972982026</v>
      </c>
      <c r="P732">
        <v>18.140921546865016</v>
      </c>
      <c r="Q732">
        <v>11.383533642381822</v>
      </c>
      <c r="R732">
        <v>0.35285299177798807</v>
      </c>
      <c r="S732">
        <v>0.12544352471347109</v>
      </c>
      <c r="T732">
        <v>18.138169841126711</v>
      </c>
      <c r="U732">
        <v>1477.9511290192245</v>
      </c>
      <c r="V732">
        <v>9.0005008881615129</v>
      </c>
      <c r="W732">
        <v>1252.4035284541067</v>
      </c>
      <c r="X732">
        <v>6.5915568762794958</v>
      </c>
      <c r="Y732">
        <v>2836.4993923297534</v>
      </c>
      <c r="Z732">
        <v>9.0326255190404368</v>
      </c>
      <c r="AA732">
        <v>2694.5538891502824</v>
      </c>
      <c r="AB732">
        <v>6.6112601208205133</v>
      </c>
      <c r="AC732">
        <v>2124.811089965096</v>
      </c>
      <c r="AD732">
        <v>9.0198494811686327</v>
      </c>
      <c r="AE732">
        <v>1957.577133129143</v>
      </c>
      <c r="AF732">
        <v>6.6034339913875995</v>
      </c>
      <c r="AG732">
        <v>2041.7641078218046</v>
      </c>
      <c r="AH732">
        <v>9.0114186389525948</v>
      </c>
      <c r="AI732">
        <v>1853.4430839404024</v>
      </c>
      <c r="AJ732">
        <v>6.5982624382505897</v>
      </c>
    </row>
    <row r="733" spans="4:36" x14ac:dyDescent="0.55000000000000004">
      <c r="D733">
        <v>726</v>
      </c>
      <c r="E733">
        <v>12.432338705474409</v>
      </c>
      <c r="F733">
        <v>0.45282009404966139</v>
      </c>
      <c r="G733">
        <v>0.17480514339424133</v>
      </c>
      <c r="H733">
        <v>16.940036057081691</v>
      </c>
      <c r="I733">
        <v>12.649551414523604</v>
      </c>
      <c r="J733">
        <v>0.29359390364708882</v>
      </c>
      <c r="K733">
        <v>0.11296289170092358</v>
      </c>
      <c r="L733">
        <v>16.943891790128376</v>
      </c>
      <c r="M733">
        <v>12.588563633554536</v>
      </c>
      <c r="N733">
        <v>0.33832816445268593</v>
      </c>
      <c r="O733">
        <v>0.13029539555287964</v>
      </c>
      <c r="P733">
        <v>16.942812806439907</v>
      </c>
      <c r="Q733">
        <v>12.567147882488854</v>
      </c>
      <c r="R733">
        <v>0.35403143127815973</v>
      </c>
      <c r="S733">
        <v>0.1363874271556145</v>
      </c>
      <c r="T733">
        <v>16.942433259077358</v>
      </c>
      <c r="U733">
        <v>1559.0822544405328</v>
      </c>
      <c r="V733">
        <v>9.8901488858535647</v>
      </c>
      <c r="W733">
        <v>1297.6265565696963</v>
      </c>
      <c r="X733">
        <v>7.10823082110592</v>
      </c>
      <c r="Y733">
        <v>2893.966952110794</v>
      </c>
      <c r="Z733">
        <v>9.9278119248157459</v>
      </c>
      <c r="AA733">
        <v>2726.9987437832219</v>
      </c>
      <c r="AB733">
        <v>7.1304940910711085</v>
      </c>
      <c r="AC733">
        <v>2231.4813901464113</v>
      </c>
      <c r="AD733">
        <v>9.9172340938222128</v>
      </c>
      <c r="AE733">
        <v>2025.7463288243046</v>
      </c>
      <c r="AF733">
        <v>7.1242499687581402</v>
      </c>
      <c r="AG733">
        <v>2086.7368631153795</v>
      </c>
      <c r="AH733">
        <v>9.9135202618386007</v>
      </c>
      <c r="AI733">
        <v>1878.0114570055568</v>
      </c>
      <c r="AJ733">
        <v>7.1220560983407486</v>
      </c>
    </row>
    <row r="734" spans="4:36" x14ac:dyDescent="0.55000000000000004">
      <c r="D734">
        <v>727</v>
      </c>
      <c r="E734">
        <v>12.576841763810531</v>
      </c>
      <c r="F734">
        <v>0.45330465947482596</v>
      </c>
      <c r="G734">
        <v>0.16619589103706428</v>
      </c>
      <c r="H734">
        <v>16.803657685677567</v>
      </c>
      <c r="I734">
        <v>12.782468789849897</v>
      </c>
      <c r="J734">
        <v>0.30145307569476504</v>
      </c>
      <c r="K734">
        <v>0.1101960474192213</v>
      </c>
      <c r="L734">
        <v>16.80588208703611</v>
      </c>
      <c r="M734">
        <v>12.685617755209769</v>
      </c>
      <c r="N734">
        <v>0.3730055900516252</v>
      </c>
      <c r="O734">
        <v>0.1365413430224752</v>
      </c>
      <c r="P734">
        <v>16.804835311716129</v>
      </c>
      <c r="Q734">
        <v>12.636529493652271</v>
      </c>
      <c r="R734">
        <v>0.40925118919444531</v>
      </c>
      <c r="S734">
        <v>0.14991518419666786</v>
      </c>
      <c r="T734">
        <v>16.804304132956638</v>
      </c>
      <c r="U734">
        <v>1556.415148181952</v>
      </c>
      <c r="V734">
        <v>9.9190315588260862</v>
      </c>
      <c r="W734">
        <v>1296.4633228189093</v>
      </c>
      <c r="X734">
        <v>7.1143214243296962</v>
      </c>
      <c r="Y734">
        <v>2888.1440147106423</v>
      </c>
      <c r="Z734">
        <v>9.9542401450684608</v>
      </c>
      <c r="AA734">
        <v>2722.7447433825064</v>
      </c>
      <c r="AB734">
        <v>7.1348742312247424</v>
      </c>
      <c r="AC734">
        <v>2235.1745330909812</v>
      </c>
      <c r="AD734">
        <v>9.9376556280519939</v>
      </c>
      <c r="AE734">
        <v>2026.3395812328783</v>
      </c>
      <c r="AF734">
        <v>7.1252017429722736</v>
      </c>
      <c r="AG734">
        <v>2130.8689886077691</v>
      </c>
      <c r="AH734">
        <v>9.9292506648381877</v>
      </c>
      <c r="AI734">
        <v>1906.3010537107302</v>
      </c>
      <c r="AJ734">
        <v>7.1202939170490236</v>
      </c>
    </row>
    <row r="735" spans="4:36" x14ac:dyDescent="0.55000000000000004">
      <c r="D735">
        <v>728</v>
      </c>
      <c r="E735">
        <v>12.788149592237483</v>
      </c>
      <c r="F735">
        <v>0.4660598365912299</v>
      </c>
      <c r="G735">
        <v>0.15155197000929241</v>
      </c>
      <c r="H735">
        <v>16.59423860116199</v>
      </c>
      <c r="I735">
        <v>12.989345096553878</v>
      </c>
      <c r="J735">
        <v>0.31474279113339854</v>
      </c>
      <c r="K735">
        <v>0.10207076969190879</v>
      </c>
      <c r="L735">
        <v>16.59384134262082</v>
      </c>
      <c r="M735">
        <v>12.904998979711953</v>
      </c>
      <c r="N735">
        <v>0.37820517759679839</v>
      </c>
      <c r="O735">
        <v>0.12279015203838596</v>
      </c>
      <c r="P735">
        <v>16.594005690652857</v>
      </c>
      <c r="Q735">
        <v>12.870802224822384</v>
      </c>
      <c r="R735">
        <v>0.40392407774687916</v>
      </c>
      <c r="S735">
        <v>0.13120047650960495</v>
      </c>
      <c r="T735">
        <v>16.594073220921135</v>
      </c>
      <c r="U735">
        <v>1560.3538615869745</v>
      </c>
      <c r="V735">
        <v>10.061874335817546</v>
      </c>
      <c r="W735">
        <v>1295.5290321704572</v>
      </c>
      <c r="X735">
        <v>7.1951067271321119</v>
      </c>
      <c r="Y735">
        <v>2924.7934980312948</v>
      </c>
      <c r="Z735">
        <v>10.097593685801739</v>
      </c>
      <c r="AA735">
        <v>2746.2618886086339</v>
      </c>
      <c r="AB735">
        <v>7.2155571707988049</v>
      </c>
      <c r="AC735">
        <v>2246.1168745912678</v>
      </c>
      <c r="AD735">
        <v>10.082621042634598</v>
      </c>
      <c r="AE735">
        <v>2031.5757209261794</v>
      </c>
      <c r="AF735">
        <v>7.2069922121115031</v>
      </c>
      <c r="AG735">
        <v>2164.5977699592831</v>
      </c>
      <c r="AH735">
        <v>10.07654989601248</v>
      </c>
      <c r="AI735">
        <v>1928.5555679166491</v>
      </c>
      <c r="AJ735">
        <v>7.2035162593818303</v>
      </c>
    </row>
    <row r="736" spans="4:36" x14ac:dyDescent="0.55000000000000004">
      <c r="D736">
        <v>729</v>
      </c>
      <c r="E736">
        <v>13.443591746550457</v>
      </c>
      <c r="F736">
        <v>0.49876216443850269</v>
      </c>
      <c r="G736">
        <v>0.18258619742890878</v>
      </c>
      <c r="H736">
        <v>15.875059891582143</v>
      </c>
      <c r="I736">
        <v>13.72417598049922</v>
      </c>
      <c r="J736">
        <v>0.30287116510377132</v>
      </c>
      <c r="K736">
        <v>0.11045881525632414</v>
      </c>
      <c r="L736">
        <v>15.862494039140683</v>
      </c>
      <c r="M736">
        <v>13.585843039720453</v>
      </c>
      <c r="N736">
        <v>0.3995083708814014</v>
      </c>
      <c r="O736">
        <v>0.14597194320003629</v>
      </c>
      <c r="P736">
        <v>15.868676646198118</v>
      </c>
      <c r="Q736">
        <v>13.584406788338033</v>
      </c>
      <c r="R736">
        <v>0.40051110921853056</v>
      </c>
      <c r="S736">
        <v>0.14634113728377943</v>
      </c>
      <c r="T736">
        <v>15.868740965159658</v>
      </c>
      <c r="U736">
        <v>1600.3548944612612</v>
      </c>
      <c r="V736">
        <v>10.667417162566123</v>
      </c>
      <c r="W736">
        <v>1319.8094082666075</v>
      </c>
      <c r="X736">
        <v>7.5521043799052689</v>
      </c>
      <c r="Y736">
        <v>2921.7751861140214</v>
      </c>
      <c r="Z736">
        <v>10.725238304642357</v>
      </c>
      <c r="AA736">
        <v>2743.5728904676494</v>
      </c>
      <c r="AB736">
        <v>7.5845458772167786</v>
      </c>
      <c r="AC736">
        <v>2261.6617909120664</v>
      </c>
      <c r="AD736">
        <v>10.696739086233753</v>
      </c>
      <c r="AE736">
        <v>2039.5246171083345</v>
      </c>
      <c r="AF736">
        <v>7.5685705742862561</v>
      </c>
      <c r="AG736">
        <v>2133.0193721102069</v>
      </c>
      <c r="AH736">
        <v>10.69644311383305</v>
      </c>
      <c r="AI736">
        <v>1904.3673784029786</v>
      </c>
      <c r="AJ736">
        <v>7.5684045177231436</v>
      </c>
    </row>
    <row r="737" spans="4:36" x14ac:dyDescent="0.55000000000000004">
      <c r="D737">
        <v>730</v>
      </c>
      <c r="E737">
        <v>13.20301556417296</v>
      </c>
      <c r="F737">
        <v>0.49957223059281025</v>
      </c>
      <c r="G737">
        <v>0.17262501224535276</v>
      </c>
      <c r="H737">
        <v>16.124787192988876</v>
      </c>
      <c r="I737">
        <v>13.426359182212552</v>
      </c>
      <c r="J737">
        <v>0.3355650625996805</v>
      </c>
      <c r="K737">
        <v>0.11559592876571249</v>
      </c>
      <c r="L737">
        <v>16.122479826422055</v>
      </c>
      <c r="M737">
        <v>13.343448782943749</v>
      </c>
      <c r="N737">
        <v>0.39648080921478374</v>
      </c>
      <c r="O737">
        <v>0.1367360616358117</v>
      </c>
      <c r="P737">
        <v>16.12333434620566</v>
      </c>
      <c r="Q737">
        <v>13.290126085251213</v>
      </c>
      <c r="R737">
        <v>0.43563777249992597</v>
      </c>
      <c r="S737">
        <v>0.15035096195248338</v>
      </c>
      <c r="T737">
        <v>16.123885180296362</v>
      </c>
      <c r="U737">
        <v>1591.2720260378524</v>
      </c>
      <c r="V737">
        <v>10.457281673067662</v>
      </c>
      <c r="W737">
        <v>1310.8867593322534</v>
      </c>
      <c r="X737">
        <v>7.4289402751249947</v>
      </c>
      <c r="Y737">
        <v>2922.061476806251</v>
      </c>
      <c r="Z737">
        <v>10.499876689500898</v>
      </c>
      <c r="AA737">
        <v>2739.8850194245711</v>
      </c>
      <c r="AB737">
        <v>7.4531998465204312</v>
      </c>
      <c r="AC737">
        <v>2253.0941447127379</v>
      </c>
      <c r="AD737">
        <v>10.484066191230072</v>
      </c>
      <c r="AE737">
        <v>2031.765973601217</v>
      </c>
      <c r="AF737">
        <v>7.4442040511907459</v>
      </c>
      <c r="AG737">
        <v>2160.095874498109</v>
      </c>
      <c r="AH737">
        <v>10.473896781657313</v>
      </c>
      <c r="AI737">
        <v>1919.1547086639121</v>
      </c>
      <c r="AJ737">
        <v>7.4384123576151735</v>
      </c>
    </row>
    <row r="738" spans="4:36" x14ac:dyDescent="0.55000000000000004">
      <c r="D738">
        <v>731</v>
      </c>
      <c r="E738">
        <v>13.127325185489141</v>
      </c>
      <c r="F738">
        <v>0.47105017437654961</v>
      </c>
      <c r="G738">
        <v>0.18869565555224901</v>
      </c>
      <c r="H738">
        <v>16.21292898458206</v>
      </c>
      <c r="I738">
        <v>13.332686017100434</v>
      </c>
      <c r="J738">
        <v>0.32476938078983408</v>
      </c>
      <c r="K738">
        <v>0.12971134810147789</v>
      </c>
      <c r="L738">
        <v>16.212833254008263</v>
      </c>
      <c r="M738">
        <v>13.230211051995637</v>
      </c>
      <c r="N738">
        <v>0.39779476269329683</v>
      </c>
      <c r="O738">
        <v>0.15911255764160415</v>
      </c>
      <c r="P738">
        <v>16.21288162766945</v>
      </c>
      <c r="Q738">
        <v>13.252696828275647</v>
      </c>
      <c r="R738">
        <v>0.38177634194704374</v>
      </c>
      <c r="S738">
        <v>0.15265571421187776</v>
      </c>
      <c r="T738">
        <v>16.212871115565431</v>
      </c>
      <c r="U738">
        <v>1601.6403138994967</v>
      </c>
      <c r="V738">
        <v>10.378739751378035</v>
      </c>
      <c r="W738">
        <v>1320.5918768298932</v>
      </c>
      <c r="X738">
        <v>7.3820208873476139</v>
      </c>
      <c r="Y738">
        <v>2909.9462882544804</v>
      </c>
      <c r="Z738">
        <v>10.417535328059504</v>
      </c>
      <c r="AA738">
        <v>2732.0766694812896</v>
      </c>
      <c r="AB738">
        <v>7.4043091886512613</v>
      </c>
      <c r="AC738">
        <v>2245.8603167037982</v>
      </c>
      <c r="AD738">
        <v>10.398176384721578</v>
      </c>
      <c r="AE738">
        <v>2026.491995596225</v>
      </c>
      <c r="AF738">
        <v>7.393195870138765</v>
      </c>
      <c r="AG738">
        <v>2130.3981398114579</v>
      </c>
      <c r="AH738">
        <v>10.402424265619807</v>
      </c>
      <c r="AI738">
        <v>1902.1869160685308</v>
      </c>
      <c r="AJ738">
        <v>7.3956358802648108</v>
      </c>
    </row>
    <row r="739" spans="4:36" x14ac:dyDescent="0.55000000000000004">
      <c r="D739">
        <v>732</v>
      </c>
      <c r="E739">
        <v>11.51225260812074</v>
      </c>
      <c r="F739">
        <v>0.40393082177192652</v>
      </c>
      <c r="G739">
        <v>0.16826636398603076</v>
      </c>
      <c r="H739">
        <v>17.91555020612131</v>
      </c>
      <c r="I739">
        <v>11.710299393480254</v>
      </c>
      <c r="J739">
        <v>0.25222616440849122</v>
      </c>
      <c r="K739">
        <v>0.10474785390805506</v>
      </c>
      <c r="L739">
        <v>17.93272658820322</v>
      </c>
      <c r="M739">
        <v>11.590350694152228</v>
      </c>
      <c r="N739">
        <v>0.34413298826691197</v>
      </c>
      <c r="O739">
        <v>0.14318182173560617</v>
      </c>
      <c r="P739">
        <v>17.922334495845249</v>
      </c>
      <c r="Q739">
        <v>11.576560467573383</v>
      </c>
      <c r="R739">
        <v>0.35469427245931195</v>
      </c>
      <c r="S739">
        <v>0.14760766491133787</v>
      </c>
      <c r="T739">
        <v>17.921137595055978</v>
      </c>
      <c r="U739">
        <v>1467.1987776089227</v>
      </c>
      <c r="V739">
        <v>9.1080248184917707</v>
      </c>
      <c r="W739">
        <v>1242.4894587052029</v>
      </c>
      <c r="X739">
        <v>6.6465475415863731</v>
      </c>
      <c r="Y739">
        <v>2821.1128133800148</v>
      </c>
      <c r="Z739">
        <v>9.1371797885059891</v>
      </c>
      <c r="AA739">
        <v>2682.3550093265726</v>
      </c>
      <c r="AB739">
        <v>6.6644986643882511</v>
      </c>
      <c r="AC739">
        <v>2177.7242739475382</v>
      </c>
      <c r="AD739">
        <v>9.1195157520209751</v>
      </c>
      <c r="AE739">
        <v>1992.5198467843747</v>
      </c>
      <c r="AF739">
        <v>6.6536320284686026</v>
      </c>
      <c r="AG739">
        <v>2056.3700881084974</v>
      </c>
      <c r="AH739">
        <v>9.1174861529546476</v>
      </c>
      <c r="AI739">
        <v>1862.4194712846668</v>
      </c>
      <c r="AJ739">
        <v>6.6523816151312474</v>
      </c>
    </row>
    <row r="740" spans="4:36" x14ac:dyDescent="0.55000000000000004">
      <c r="D740">
        <v>733</v>
      </c>
      <c r="E740">
        <v>13.002473403964151</v>
      </c>
      <c r="F740">
        <v>0.48629986051772206</v>
      </c>
      <c r="G740">
        <v>0.17476496899651328</v>
      </c>
      <c r="H740">
        <v>16.336461766521616</v>
      </c>
      <c r="I740">
        <v>13.245817599917006</v>
      </c>
      <c r="J740">
        <v>0.30961727819172058</v>
      </c>
      <c r="K740">
        <v>0.11090420002350504</v>
      </c>
      <c r="L740">
        <v>16.333660921867779</v>
      </c>
      <c r="M740">
        <v>13.160166426075943</v>
      </c>
      <c r="N740">
        <v>0.37184404533637466</v>
      </c>
      <c r="O740">
        <v>0.13334709517042745</v>
      </c>
      <c r="P740">
        <v>16.334642433417251</v>
      </c>
      <c r="Q740">
        <v>13.142948928137924</v>
      </c>
      <c r="R740">
        <v>0.38434772853511451</v>
      </c>
      <c r="S740">
        <v>0.13786304512306799</v>
      </c>
      <c r="T740">
        <v>16.3348402982039</v>
      </c>
      <c r="U740">
        <v>1543.0253421987363</v>
      </c>
      <c r="V740">
        <v>10.381053800357776</v>
      </c>
      <c r="W740">
        <v>1283.682880778148</v>
      </c>
      <c r="X740">
        <v>7.3964883687167369</v>
      </c>
      <c r="Y740">
        <v>2899.5850233992178</v>
      </c>
      <c r="Z740">
        <v>10.42537524829814</v>
      </c>
      <c r="AA740">
        <v>2729.8828039357973</v>
      </c>
      <c r="AB740">
        <v>7.4216375300077049</v>
      </c>
      <c r="AC740">
        <v>2223.6815911311901</v>
      </c>
      <c r="AD740">
        <v>10.409778897114183</v>
      </c>
      <c r="AE740">
        <v>2017.5126124711855</v>
      </c>
      <c r="AF740">
        <v>7.4127974355187627</v>
      </c>
      <c r="AG740">
        <v>2113.4508443040008</v>
      </c>
      <c r="AH740">
        <v>10.406643253519706</v>
      </c>
      <c r="AI740">
        <v>1894.8562087704627</v>
      </c>
      <c r="AJ740">
        <v>7.4110188736278442</v>
      </c>
    </row>
    <row r="741" spans="4:36" x14ac:dyDescent="0.55000000000000004">
      <c r="D741">
        <v>734</v>
      </c>
      <c r="E741">
        <v>12.411266326415545</v>
      </c>
      <c r="F741">
        <v>0.4782659159461653</v>
      </c>
      <c r="G741">
        <v>0.16855033184210419</v>
      </c>
      <c r="H741">
        <v>16.941917425796191</v>
      </c>
      <c r="I741">
        <v>12.64035062947578</v>
      </c>
      <c r="J741">
        <v>0.29945732251734591</v>
      </c>
      <c r="K741">
        <v>0.1051878737757012</v>
      </c>
      <c r="L741">
        <v>16.955004174231156</v>
      </c>
      <c r="M741">
        <v>12.543141144672363</v>
      </c>
      <c r="N741">
        <v>0.37536471946351974</v>
      </c>
      <c r="O741">
        <v>0.13203471348183263</v>
      </c>
      <c r="P741">
        <v>16.949459422382287</v>
      </c>
      <c r="Q741">
        <v>12.51355430803345</v>
      </c>
      <c r="R741">
        <v>0.39845872568664553</v>
      </c>
      <c r="S741">
        <v>0.14021762291199516</v>
      </c>
      <c r="T741">
        <v>16.947769343367931</v>
      </c>
      <c r="U741">
        <v>1573.3475278846256</v>
      </c>
      <c r="V741">
        <v>9.8305135247887456</v>
      </c>
      <c r="W741">
        <v>1304.7995318106482</v>
      </c>
      <c r="X741">
        <v>7.0660969886100231</v>
      </c>
      <c r="Y741">
        <v>2913.8796219407964</v>
      </c>
      <c r="Z741">
        <v>9.8649094532376811</v>
      </c>
      <c r="AA741">
        <v>2740.2387472071268</v>
      </c>
      <c r="AB741">
        <v>7.0864999816041125</v>
      </c>
      <c r="AC741">
        <v>2250.0958139902232</v>
      </c>
      <c r="AD741">
        <v>9.8503100219221515</v>
      </c>
      <c r="AE741">
        <v>2035.3780673541582</v>
      </c>
      <c r="AF741">
        <v>7.077850051089059</v>
      </c>
      <c r="AG741">
        <v>2148.0380525963533</v>
      </c>
      <c r="AH741">
        <v>9.8458676479458944</v>
      </c>
      <c r="AI741">
        <v>1917.8634950041326</v>
      </c>
      <c r="AJ741">
        <v>7.0752150547643078</v>
      </c>
    </row>
    <row r="742" spans="4:36" x14ac:dyDescent="0.55000000000000004">
      <c r="D742">
        <v>735</v>
      </c>
      <c r="E742">
        <v>13.203177664246866</v>
      </c>
      <c r="F742">
        <v>0.51265323905199423</v>
      </c>
      <c r="G742">
        <v>0.15486192640121466</v>
      </c>
      <c r="H742">
        <v>16.129307170299935</v>
      </c>
      <c r="I742">
        <v>13.469754357154656</v>
      </c>
      <c r="J742">
        <v>0.32031580157496048</v>
      </c>
      <c r="K742">
        <v>9.6425303556246289E-2</v>
      </c>
      <c r="L742">
        <v>16.113504537714135</v>
      </c>
      <c r="M742">
        <v>13.382311139544488</v>
      </c>
      <c r="N742">
        <v>0.3834520104531996</v>
      </c>
      <c r="O742">
        <v>0.11556216758167326</v>
      </c>
      <c r="P742">
        <v>16.118674682420657</v>
      </c>
      <c r="Q742">
        <v>13.329540982556466</v>
      </c>
      <c r="R742">
        <v>0.42153215972631453</v>
      </c>
      <c r="S742">
        <v>0.12712576597994144</v>
      </c>
      <c r="T742">
        <v>16.121801091737279</v>
      </c>
      <c r="U742">
        <v>1575.3225687010936</v>
      </c>
      <c r="V742">
        <v>10.453158895301785</v>
      </c>
      <c r="W742">
        <v>1304.4157342726824</v>
      </c>
      <c r="X742">
        <v>7.4285320217816073</v>
      </c>
      <c r="Y742">
        <v>2900.5864323510309</v>
      </c>
      <c r="Z742">
        <v>10.513713125590694</v>
      </c>
      <c r="AA742">
        <v>2729.4262548976631</v>
      </c>
      <c r="AB742">
        <v>7.4625200671420329</v>
      </c>
      <c r="AC742">
        <v>2244.3155192486993</v>
      </c>
      <c r="AD742">
        <v>10.493857810275582</v>
      </c>
      <c r="AE742">
        <v>2030.9026887679611</v>
      </c>
      <c r="AF742">
        <v>7.4513886241068041</v>
      </c>
      <c r="AG742">
        <v>2147.4518851603134</v>
      </c>
      <c r="AH742">
        <v>10.481871852520776</v>
      </c>
      <c r="AI742">
        <v>1916.0587473899943</v>
      </c>
      <c r="AJ742">
        <v>7.4446628529951147</v>
      </c>
    </row>
    <row r="743" spans="4:36" x14ac:dyDescent="0.55000000000000004">
      <c r="D743">
        <v>736</v>
      </c>
      <c r="E743">
        <v>12.326984719026724</v>
      </c>
      <c r="F743">
        <v>0.4623070740833925</v>
      </c>
      <c r="G743">
        <v>0.16521815407235368</v>
      </c>
      <c r="H743">
        <v>17.045490052817531</v>
      </c>
      <c r="I743">
        <v>12.527886690057597</v>
      </c>
      <c r="J743">
        <v>0.30811729934214316</v>
      </c>
      <c r="K743">
        <v>0.1097896233933925</v>
      </c>
      <c r="L743">
        <v>17.054206387206847</v>
      </c>
      <c r="M743">
        <v>12.46033099710008</v>
      </c>
      <c r="N743">
        <v>0.35998903592972326</v>
      </c>
      <c r="O743">
        <v>0.12839960145314067</v>
      </c>
      <c r="P743">
        <v>17.051280365517052</v>
      </c>
      <c r="Q743">
        <v>12.409641673766467</v>
      </c>
      <c r="R743">
        <v>0.39889451542039012</v>
      </c>
      <c r="S743">
        <v>0.14238222141267673</v>
      </c>
      <c r="T743">
        <v>17.049081589400451</v>
      </c>
      <c r="U743">
        <v>1540.2711211854944</v>
      </c>
      <c r="V743">
        <v>9.6611619948557284</v>
      </c>
      <c r="W743">
        <v>1286.0794976478994</v>
      </c>
      <c r="X743">
        <v>6.9551868313930889</v>
      </c>
      <c r="Y743">
        <v>2916.9285594693788</v>
      </c>
      <c r="Z743">
        <v>9.6938337226909201</v>
      </c>
      <c r="AA743">
        <v>2744.3016408883323</v>
      </c>
      <c r="AB743">
        <v>6.9746332810413882</v>
      </c>
      <c r="AC743">
        <v>2203.9393315221232</v>
      </c>
      <c r="AD743">
        <v>9.6828441855380198</v>
      </c>
      <c r="AE743">
        <v>2006.3154206819891</v>
      </c>
      <c r="AF743">
        <v>6.9681001622932959</v>
      </c>
      <c r="AG743">
        <v>2105.4631517183502</v>
      </c>
      <c r="AH743">
        <v>9.6746005375443236</v>
      </c>
      <c r="AI743">
        <v>1890.3857427276967</v>
      </c>
      <c r="AJ743">
        <v>6.9631941774991333</v>
      </c>
    </row>
    <row r="744" spans="4:36" x14ac:dyDescent="0.55000000000000004">
      <c r="D744">
        <v>737</v>
      </c>
      <c r="E744">
        <v>14.052014845233074</v>
      </c>
      <c r="F744">
        <v>0.51103924148294733</v>
      </c>
      <c r="G744">
        <v>0.21298498539018657</v>
      </c>
      <c r="H744">
        <v>15.223960927893797</v>
      </c>
      <c r="I744">
        <v>14.295515218579256</v>
      </c>
      <c r="J744">
        <v>0.34355890534247907</v>
      </c>
      <c r="K744">
        <v>0.14271784334393381</v>
      </c>
      <c r="L744">
        <v>15.218208032734312</v>
      </c>
      <c r="M744">
        <v>14.256025386891183</v>
      </c>
      <c r="N744">
        <v>0.37074434185716681</v>
      </c>
      <c r="O744">
        <v>0.15409199787645667</v>
      </c>
      <c r="P744">
        <v>15.21913827337519</v>
      </c>
      <c r="Q744">
        <v>14.180995698721235</v>
      </c>
      <c r="R744">
        <v>0.42237028503907154</v>
      </c>
      <c r="S744">
        <v>0.17572540226340425</v>
      </c>
      <c r="T744">
        <v>15.220908613976276</v>
      </c>
      <c r="U744">
        <v>1617.5089917625464</v>
      </c>
      <c r="V744">
        <v>11.178152054303737</v>
      </c>
      <c r="W744">
        <v>1322.7890061590231</v>
      </c>
      <c r="X744">
        <v>7.8452215756131238</v>
      </c>
      <c r="Y744">
        <v>2979.6128034089284</v>
      </c>
      <c r="Z744">
        <v>11.228920601797601</v>
      </c>
      <c r="AA744">
        <v>2776.1663232887986</v>
      </c>
      <c r="AB744">
        <v>7.8736572830193161</v>
      </c>
      <c r="AC744">
        <v>2303.2047867657839</v>
      </c>
      <c r="AD744">
        <v>11.220689217679663</v>
      </c>
      <c r="AE744">
        <v>2064.4880757666765</v>
      </c>
      <c r="AF744">
        <v>7.8690526809293608</v>
      </c>
      <c r="AG744">
        <v>2181.7507387565729</v>
      </c>
      <c r="AH744">
        <v>11.2050476312307</v>
      </c>
      <c r="AI744">
        <v>1930.5009044762344</v>
      </c>
      <c r="AJ744">
        <v>7.8602966509580439</v>
      </c>
    </row>
    <row r="745" spans="4:36" x14ac:dyDescent="0.55000000000000004">
      <c r="D745">
        <v>738</v>
      </c>
      <c r="E745">
        <v>12.138753049235516</v>
      </c>
      <c r="F745">
        <v>0.42874851452890178</v>
      </c>
      <c r="G745">
        <v>0.16965687689202394</v>
      </c>
      <c r="H745">
        <v>17.262841559343542</v>
      </c>
      <c r="I745">
        <v>12.297194848617806</v>
      </c>
      <c r="J745">
        <v>0.30489433504281577</v>
      </c>
      <c r="K745">
        <v>0.1203575003304117</v>
      </c>
      <c r="L745">
        <v>17.277553316008959</v>
      </c>
      <c r="M745">
        <v>12.232952461081451</v>
      </c>
      <c r="N745">
        <v>0.35512790132407795</v>
      </c>
      <c r="O745">
        <v>0.14032368387859107</v>
      </c>
      <c r="P745">
        <v>17.271595953715877</v>
      </c>
      <c r="Q745">
        <v>12.177421917571413</v>
      </c>
      <c r="R745">
        <v>0.398532663133225</v>
      </c>
      <c r="S745">
        <v>0.15760742755558255</v>
      </c>
      <c r="T745">
        <v>17.266437991739767</v>
      </c>
      <c r="U745">
        <v>1524.3478054342997</v>
      </c>
      <c r="V745">
        <v>9.5734984417577333</v>
      </c>
      <c r="W745">
        <v>1275.6091732872731</v>
      </c>
      <c r="X745">
        <v>6.9130134951635505</v>
      </c>
      <c r="Y745">
        <v>2907.6916890850448</v>
      </c>
      <c r="Z745">
        <v>9.593649731036658</v>
      </c>
      <c r="AA745">
        <v>2736.8044331178453</v>
      </c>
      <c r="AB745">
        <v>6.9254226315452057</v>
      </c>
      <c r="AC745">
        <v>2186.9830390477036</v>
      </c>
      <c r="AD745">
        <v>9.5854748534576792</v>
      </c>
      <c r="AE745">
        <v>1993.1154397810205</v>
      </c>
      <c r="AF745">
        <v>6.9203936684275105</v>
      </c>
      <c r="AG745">
        <v>2111.7396472047717</v>
      </c>
      <c r="AH745">
        <v>9.5784132401280502</v>
      </c>
      <c r="AI745">
        <v>1893.5044340167399</v>
      </c>
      <c r="AJ745">
        <v>6.9160439461748826</v>
      </c>
    </row>
    <row r="746" spans="4:36" x14ac:dyDescent="0.55000000000000004">
      <c r="D746">
        <v>739</v>
      </c>
      <c r="E746">
        <v>12.080826023110754</v>
      </c>
      <c r="F746">
        <v>0.4368262535584424</v>
      </c>
      <c r="G746">
        <v>0.17187804793337128</v>
      </c>
      <c r="H746">
        <v>17.310469675397439</v>
      </c>
      <c r="I746">
        <v>12.283242716617066</v>
      </c>
      <c r="J746">
        <v>0.28854837751720641</v>
      </c>
      <c r="K746">
        <v>0.11318262400775642</v>
      </c>
      <c r="L746">
        <v>17.315026281857971</v>
      </c>
      <c r="M746">
        <v>12.21003187118969</v>
      </c>
      <c r="N746">
        <v>0.34220603392036703</v>
      </c>
      <c r="O746">
        <v>0.13438015604859746</v>
      </c>
      <c r="P746">
        <v>17.313381938841342</v>
      </c>
      <c r="Q746">
        <v>12.172657556578715</v>
      </c>
      <c r="R746">
        <v>0.36958622885376891</v>
      </c>
      <c r="S746">
        <v>0.14521533042843998</v>
      </c>
      <c r="T746">
        <v>17.312540884139072</v>
      </c>
      <c r="U746">
        <v>1564.2868172651235</v>
      </c>
      <c r="V746">
        <v>9.5170490869413022</v>
      </c>
      <c r="W746">
        <v>1305.0171175482906</v>
      </c>
      <c r="X746">
        <v>6.8791206405637508</v>
      </c>
      <c r="Y746">
        <v>2889.1288191294311</v>
      </c>
      <c r="Z746">
        <v>9.5517264566277493</v>
      </c>
      <c r="AA746">
        <v>2725.319004246528</v>
      </c>
      <c r="AB746">
        <v>6.8997017346221323</v>
      </c>
      <c r="AC746">
        <v>2208.9816672851371</v>
      </c>
      <c r="AD746">
        <v>9.5391815941658606</v>
      </c>
      <c r="AE746">
        <v>2010.9214116442608</v>
      </c>
      <c r="AF746">
        <v>6.8922651050845207</v>
      </c>
      <c r="AG746">
        <v>2095.2733749809213</v>
      </c>
      <c r="AH746">
        <v>9.5327785510167509</v>
      </c>
      <c r="AI746">
        <v>1884.7740532228172</v>
      </c>
      <c r="AJ746">
        <v>6.8884655473850627</v>
      </c>
    </row>
    <row r="747" spans="4:36" x14ac:dyDescent="0.55000000000000004">
      <c r="D747">
        <v>740</v>
      </c>
      <c r="E747">
        <v>12.981425375316217</v>
      </c>
      <c r="F747">
        <v>0.46977257453966126</v>
      </c>
      <c r="G747">
        <v>0.1766919232992244</v>
      </c>
      <c r="H747">
        <v>16.372110126844895</v>
      </c>
      <c r="I747">
        <v>13.221240937677193</v>
      </c>
      <c r="J747">
        <v>0.29595194424293103</v>
      </c>
      <c r="K747">
        <v>0.11093578392746373</v>
      </c>
      <c r="L747">
        <v>16.371871334152409</v>
      </c>
      <c r="M747">
        <v>13.138138038752341</v>
      </c>
      <c r="N747">
        <v>0.35622331958094627</v>
      </c>
      <c r="O747">
        <v>0.13368497722484182</v>
      </c>
      <c r="P747">
        <v>16.371953664441861</v>
      </c>
      <c r="Q747">
        <v>13.06441839962976</v>
      </c>
      <c r="R747">
        <v>0.40965609918526336</v>
      </c>
      <c r="S747">
        <v>0.15389843270657599</v>
      </c>
      <c r="T747">
        <v>16.372027068478385</v>
      </c>
      <c r="U747">
        <v>1575.1454901525287</v>
      </c>
      <c r="V747">
        <v>10.24070832844715</v>
      </c>
      <c r="W747">
        <v>1303.3513620171286</v>
      </c>
      <c r="X747">
        <v>7.3002843823840902</v>
      </c>
      <c r="Y747">
        <v>2905.1061168733381</v>
      </c>
      <c r="Z747">
        <v>10.28560890836264</v>
      </c>
      <c r="AA747">
        <v>2731.9865324265984</v>
      </c>
      <c r="AB747">
        <v>7.3260925085442175</v>
      </c>
      <c r="AC747">
        <v>2228.5237374334592</v>
      </c>
      <c r="AD747">
        <v>10.270050094888916</v>
      </c>
      <c r="AE747">
        <v>2018.6747119098445</v>
      </c>
      <c r="AF747">
        <v>7.3171600100356828</v>
      </c>
      <c r="AG747">
        <v>2153.0915829817177</v>
      </c>
      <c r="AH747">
        <v>10.256247595065144</v>
      </c>
      <c r="AI747">
        <v>1917.6295238526375</v>
      </c>
      <c r="AJ747">
        <v>7.3092265851159919</v>
      </c>
    </row>
    <row r="748" spans="4:36" x14ac:dyDescent="0.55000000000000004">
      <c r="D748">
        <v>741</v>
      </c>
      <c r="E748">
        <v>11.571162483476327</v>
      </c>
      <c r="F748">
        <v>0.45047480699982978</v>
      </c>
      <c r="G748">
        <v>0.14542843193203978</v>
      </c>
      <c r="H748">
        <v>17.832934277591804</v>
      </c>
      <c r="I748">
        <v>11.787970192653706</v>
      </c>
      <c r="J748">
        <v>0.27840375365732356</v>
      </c>
      <c r="K748">
        <v>8.959108187079283E-2</v>
      </c>
      <c r="L748">
        <v>17.844034971818179</v>
      </c>
      <c r="M748">
        <v>11.719484653389094</v>
      </c>
      <c r="N748">
        <v>0.33278280199102073</v>
      </c>
      <c r="O748">
        <v>0.10719811923000268</v>
      </c>
      <c r="P748">
        <v>17.840534425389887</v>
      </c>
      <c r="Q748">
        <v>11.690257971127034</v>
      </c>
      <c r="R748">
        <v>0.35598244710260152</v>
      </c>
      <c r="S748">
        <v>0.11472070635237658</v>
      </c>
      <c r="T748">
        <v>17.83903887541798</v>
      </c>
      <c r="U748">
        <v>1490.6625533033766</v>
      </c>
      <c r="V748">
        <v>9.1360128712538469</v>
      </c>
      <c r="W748">
        <v>1257.1145513069373</v>
      </c>
      <c r="X748">
        <v>6.6586376929486697</v>
      </c>
      <c r="Y748">
        <v>2860.6735317014936</v>
      </c>
      <c r="Z748">
        <v>9.1705611579098942</v>
      </c>
      <c r="AA748">
        <v>2709.8648569133152</v>
      </c>
      <c r="AB748">
        <v>6.6795135896650661</v>
      </c>
      <c r="AC748">
        <v>2185.6816373625898</v>
      </c>
      <c r="AD748">
        <v>9.1596440405070201</v>
      </c>
      <c r="AE748">
        <v>2000.0943959719671</v>
      </c>
      <c r="AF748">
        <v>6.6729266984358881</v>
      </c>
      <c r="AG748">
        <v>2064.9903521476936</v>
      </c>
      <c r="AH748">
        <v>9.1549861909320196</v>
      </c>
      <c r="AI748">
        <v>1869.5089904848178</v>
      </c>
      <c r="AJ748">
        <v>6.6701136240881747</v>
      </c>
    </row>
    <row r="749" spans="4:36" x14ac:dyDescent="0.55000000000000004">
      <c r="D749">
        <v>742</v>
      </c>
      <c r="E749">
        <v>11.546991841666031</v>
      </c>
      <c r="F749">
        <v>0.44494733553863175</v>
      </c>
      <c r="G749">
        <v>0.1830240246204389</v>
      </c>
      <c r="H749">
        <v>17.825036798174892</v>
      </c>
      <c r="I749">
        <v>11.752961720395103</v>
      </c>
      <c r="J749">
        <v>0.27633753964217384</v>
      </c>
      <c r="K749">
        <v>0.11331089583229853</v>
      </c>
      <c r="L749">
        <v>17.857389844130413</v>
      </c>
      <c r="M749">
        <v>11.651653491224669</v>
      </c>
      <c r="N749">
        <v>0.35929331362360495</v>
      </c>
      <c r="O749">
        <v>0.1475540779135053</v>
      </c>
      <c r="P749">
        <v>17.841499117238222</v>
      </c>
      <c r="Q749">
        <v>11.630913013616459</v>
      </c>
      <c r="R749">
        <v>0.37627097643124729</v>
      </c>
      <c r="S749">
        <v>0.15457548060051604</v>
      </c>
      <c r="T749">
        <v>17.838240529351804</v>
      </c>
      <c r="U749">
        <v>1526.217443186443</v>
      </c>
      <c r="V749">
        <v>9.146373317939279</v>
      </c>
      <c r="W749">
        <v>1276.426590361194</v>
      </c>
      <c r="X749">
        <v>6.6643426536174903</v>
      </c>
      <c r="Y749">
        <v>2874.5787328120814</v>
      </c>
      <c r="Z749">
        <v>9.1683925478971044</v>
      </c>
      <c r="AA749">
        <v>2715.8019812264274</v>
      </c>
      <c r="AB749">
        <v>6.6788112295898596</v>
      </c>
      <c r="AC749">
        <v>2226.6076253909241</v>
      </c>
      <c r="AD749">
        <v>9.157548948135581</v>
      </c>
      <c r="AE749">
        <v>2022.2612671879551</v>
      </c>
      <c r="AF749">
        <v>6.6716968183918857</v>
      </c>
      <c r="AG749">
        <v>2095.783615050304</v>
      </c>
      <c r="AH749">
        <v>9.1553321246837598</v>
      </c>
      <c r="AI749">
        <v>1884.4570043485587</v>
      </c>
      <c r="AJ749">
        <v>6.6702398127447777</v>
      </c>
    </row>
    <row r="750" spans="4:36" x14ac:dyDescent="0.55000000000000004">
      <c r="D750">
        <v>743</v>
      </c>
      <c r="E750">
        <v>11.756178233444905</v>
      </c>
      <c r="F750">
        <v>0.44453004658107353</v>
      </c>
      <c r="G750">
        <v>0.18876211418992875</v>
      </c>
      <c r="H750">
        <v>17.610529605784091</v>
      </c>
      <c r="I750">
        <v>11.964697029248248</v>
      </c>
      <c r="J750">
        <v>0.28153740958965562</v>
      </c>
      <c r="K750">
        <v>0.1191517975934457</v>
      </c>
      <c r="L750">
        <v>17.634613763568655</v>
      </c>
      <c r="M750">
        <v>11.876894953301029</v>
      </c>
      <c r="N750">
        <v>0.35019665313666209</v>
      </c>
      <c r="O750">
        <v>0.1484171770905803</v>
      </c>
      <c r="P750">
        <v>17.624491216471736</v>
      </c>
      <c r="Q750">
        <v>11.846965885069251</v>
      </c>
      <c r="R750">
        <v>0.37359153152720337</v>
      </c>
      <c r="S750">
        <v>0.1584080267347858</v>
      </c>
      <c r="T750">
        <v>17.621034556668768</v>
      </c>
      <c r="U750">
        <v>1523.8264808554909</v>
      </c>
      <c r="V750">
        <v>9.2529931844490996</v>
      </c>
      <c r="W750">
        <v>1275.328517263913</v>
      </c>
      <c r="X750">
        <v>6.7187524876472544</v>
      </c>
      <c r="Y750">
        <v>2883.9362746261768</v>
      </c>
      <c r="Z750">
        <v>9.2783113299528228</v>
      </c>
      <c r="AA750">
        <v>2722.4848392242234</v>
      </c>
      <c r="AB750">
        <v>6.7348487950362781</v>
      </c>
      <c r="AC750">
        <v>2208.2788166901933</v>
      </c>
      <c r="AD750">
        <v>9.2676394523552208</v>
      </c>
      <c r="AE750">
        <v>2010.1273125915093</v>
      </c>
      <c r="AF750">
        <v>6.7280743969174113</v>
      </c>
      <c r="AG750">
        <v>2100.7903138239185</v>
      </c>
      <c r="AH750">
        <v>9.2640053873847314</v>
      </c>
      <c r="AI750">
        <v>1888.8596757514688</v>
      </c>
      <c r="AJ750">
        <v>6.7257640995476082</v>
      </c>
    </row>
    <row r="751" spans="4:36" x14ac:dyDescent="0.55000000000000004">
      <c r="D751">
        <v>744</v>
      </c>
      <c r="E751">
        <v>12.544714172153064</v>
      </c>
      <c r="F751">
        <v>0.47144587937626575</v>
      </c>
      <c r="G751">
        <v>0.17296536205192098</v>
      </c>
      <c r="H751">
        <v>16.810874586418734</v>
      </c>
      <c r="I751">
        <v>12.797884090290069</v>
      </c>
      <c r="J751">
        <v>0.28575239927978124</v>
      </c>
      <c r="K751">
        <v>0.10446178039470518</v>
      </c>
      <c r="L751">
        <v>16.811901730035451</v>
      </c>
      <c r="M751">
        <v>12.668037273004579</v>
      </c>
      <c r="N751">
        <v>0.38103777711479486</v>
      </c>
      <c r="O751">
        <v>0.13955080538019951</v>
      </c>
      <c r="P751">
        <v>16.811374144500434</v>
      </c>
      <c r="Q751">
        <v>12.637305819391665</v>
      </c>
      <c r="R751">
        <v>0.40357523856000793</v>
      </c>
      <c r="S751">
        <v>0.14786942484956567</v>
      </c>
      <c r="T751">
        <v>16.811249517198767</v>
      </c>
      <c r="U751">
        <v>1533.3732077796844</v>
      </c>
      <c r="V751">
        <v>9.865181219978675</v>
      </c>
      <c r="W751">
        <v>1279.0093904164753</v>
      </c>
      <c r="X751">
        <v>7.0787001585895144</v>
      </c>
      <c r="Y751">
        <v>2878.316469602476</v>
      </c>
      <c r="Z751">
        <v>9.9127280114371104</v>
      </c>
      <c r="AA751">
        <v>2717.1926889558058</v>
      </c>
      <c r="AB751">
        <v>7.1062508871930969</v>
      </c>
      <c r="AC751">
        <v>2231.7724051778168</v>
      </c>
      <c r="AD751">
        <v>9.8883424029738052</v>
      </c>
      <c r="AE751">
        <v>2023.7097252427161</v>
      </c>
      <c r="AF751">
        <v>7.0921345487051362</v>
      </c>
      <c r="AG751">
        <v>2110.5944444055749</v>
      </c>
      <c r="AH751">
        <v>9.8825708296279782</v>
      </c>
      <c r="AI751">
        <v>1892.5531552506486</v>
      </c>
      <c r="AJ751">
        <v>7.0887892759074562</v>
      </c>
    </row>
    <row r="752" spans="4:36" x14ac:dyDescent="0.55000000000000004">
      <c r="D752">
        <v>745</v>
      </c>
      <c r="E752">
        <v>11.800871050641785</v>
      </c>
      <c r="F752">
        <v>0.48055348845534751</v>
      </c>
      <c r="G752">
        <v>0.15158691066628902</v>
      </c>
      <c r="H752">
        <v>17.566988550236587</v>
      </c>
      <c r="I752">
        <v>12.013878024131195</v>
      </c>
      <c r="J752">
        <v>0.30412293755083541</v>
      </c>
      <c r="K752">
        <v>9.5637617793108837E-2</v>
      </c>
      <c r="L752">
        <v>17.586361420524863</v>
      </c>
      <c r="M752">
        <v>11.908104262110829</v>
      </c>
      <c r="N752">
        <v>0.39175745232937692</v>
      </c>
      <c r="O752">
        <v>0.12338433903051416</v>
      </c>
      <c r="P752">
        <v>17.576753946529287</v>
      </c>
      <c r="Q752">
        <v>11.894051705177764</v>
      </c>
      <c r="R752">
        <v>0.40339662254235897</v>
      </c>
      <c r="S752">
        <v>0.12707598802968167</v>
      </c>
      <c r="T752">
        <v>17.575475684250211</v>
      </c>
      <c r="U752">
        <v>1484.7898897185119</v>
      </c>
      <c r="V752">
        <v>9.375509212407513</v>
      </c>
      <c r="W752">
        <v>1250.7163417177737</v>
      </c>
      <c r="X752">
        <v>6.8044831571082112</v>
      </c>
      <c r="Y752">
        <v>2860.0406478726813</v>
      </c>
      <c r="Z752">
        <v>9.4059887085500993</v>
      </c>
      <c r="AA752">
        <v>2707.5203207944592</v>
      </c>
      <c r="AB752">
        <v>6.8232221473815233</v>
      </c>
      <c r="AC752">
        <v>2192.9631435960923</v>
      </c>
      <c r="AD752">
        <v>9.3908457766546505</v>
      </c>
      <c r="AE752">
        <v>2001.0516782130153</v>
      </c>
      <c r="AF752">
        <v>6.8139229040973763</v>
      </c>
      <c r="AG752">
        <v>2064.9544687168277</v>
      </c>
      <c r="AH752">
        <v>9.388835089154826</v>
      </c>
      <c r="AI752">
        <v>1865.997032812749</v>
      </c>
      <c r="AJ752">
        <v>6.8126865600452318</v>
      </c>
    </row>
    <row r="753" spans="4:36" x14ac:dyDescent="0.55000000000000004">
      <c r="D753">
        <v>746</v>
      </c>
      <c r="E753">
        <v>12.974307386821671</v>
      </c>
      <c r="F753">
        <v>0.45165913237402899</v>
      </c>
      <c r="G753">
        <v>0.17453133219069705</v>
      </c>
      <c r="H753">
        <v>16.399502148613614</v>
      </c>
      <c r="I753">
        <v>13.228254605966143</v>
      </c>
      <c r="J753">
        <v>0.2765055998712081</v>
      </c>
      <c r="K753">
        <v>0.1064683928353522</v>
      </c>
      <c r="L753">
        <v>16.38877140132729</v>
      </c>
      <c r="M753">
        <v>13.111967957666423</v>
      </c>
      <c r="N753">
        <v>0.3567617688973227</v>
      </c>
      <c r="O753">
        <v>0.13759411157403734</v>
      </c>
      <c r="P753">
        <v>16.393676161862224</v>
      </c>
      <c r="Q753">
        <v>13.047587845505188</v>
      </c>
      <c r="R753">
        <v>0.40115765459905972</v>
      </c>
      <c r="S753">
        <v>0.1548563612017643</v>
      </c>
      <c r="T753">
        <v>16.396398138693979</v>
      </c>
      <c r="U753">
        <v>1585.9207074142851</v>
      </c>
      <c r="V753">
        <v>10.200247430241188</v>
      </c>
      <c r="W753">
        <v>1312.9674380236111</v>
      </c>
      <c r="X753">
        <v>7.2759653855692452</v>
      </c>
      <c r="Y753">
        <v>2897.5843531005871</v>
      </c>
      <c r="Z753">
        <v>10.257185573082502</v>
      </c>
      <c r="AA753">
        <v>2728.3993043854393</v>
      </c>
      <c r="AB753">
        <v>7.3083351537677066</v>
      </c>
      <c r="AC753">
        <v>2248.41694938099</v>
      </c>
      <c r="AD753">
        <v>10.231117301501039</v>
      </c>
      <c r="AE753">
        <v>2033.2209809313042</v>
      </c>
      <c r="AF753">
        <v>7.2935295502271096</v>
      </c>
      <c r="AG753">
        <v>2148.9731818025612</v>
      </c>
      <c r="AH753">
        <v>10.216681680661006</v>
      </c>
      <c r="AI753">
        <v>1915.7347936285696</v>
      </c>
      <c r="AJ753">
        <v>7.285320333139178</v>
      </c>
    </row>
    <row r="754" spans="4:36" x14ac:dyDescent="0.55000000000000004">
      <c r="D754">
        <v>747</v>
      </c>
      <c r="E754">
        <v>13.188172141958189</v>
      </c>
      <c r="F754">
        <v>0.45415919115596759</v>
      </c>
      <c r="G754">
        <v>0.18580479504116326</v>
      </c>
      <c r="H754">
        <v>16.171863871844671</v>
      </c>
      <c r="I754">
        <v>13.434890106612926</v>
      </c>
      <c r="J754">
        <v>0.28988736703068207</v>
      </c>
      <c r="K754">
        <v>0.11816968010020976</v>
      </c>
      <c r="L754">
        <v>16.157052846256196</v>
      </c>
      <c r="M754">
        <v>13.360716369752268</v>
      </c>
      <c r="N754">
        <v>0.33931633429206609</v>
      </c>
      <c r="O754">
        <v>0.1384686834837382</v>
      </c>
      <c r="P754">
        <v>16.161498612471934</v>
      </c>
      <c r="Q754">
        <v>13.306370697015975</v>
      </c>
      <c r="R754">
        <v>0.37550916818517049</v>
      </c>
      <c r="S754">
        <v>0.15336036384133678</v>
      </c>
      <c r="T754">
        <v>16.164759770957509</v>
      </c>
      <c r="U754">
        <v>1583.7132704955195</v>
      </c>
      <c r="V754">
        <v>10.46419922979967</v>
      </c>
      <c r="W754">
        <v>1310.9863617288131</v>
      </c>
      <c r="X754">
        <v>7.4390186874435198</v>
      </c>
      <c r="Y754">
        <v>2917.5443722101318</v>
      </c>
      <c r="Z754">
        <v>10.519263935163096</v>
      </c>
      <c r="AA754">
        <v>2741.4606308806242</v>
      </c>
      <c r="AB754">
        <v>7.4701521156545301</v>
      </c>
      <c r="AC754">
        <v>2230.3646969075962</v>
      </c>
      <c r="AD754">
        <v>10.502713176776489</v>
      </c>
      <c r="AE754">
        <v>2021.4379008030355</v>
      </c>
      <c r="AF754">
        <v>7.4608054305931208</v>
      </c>
      <c r="AG754">
        <v>2166.6733411836749</v>
      </c>
      <c r="AH754">
        <v>10.490584582445431</v>
      </c>
      <c r="AI754">
        <v>1930.1413569761492</v>
      </c>
      <c r="AJ754">
        <v>7.4539500592259573</v>
      </c>
    </row>
    <row r="755" spans="4:36" x14ac:dyDescent="0.55000000000000004">
      <c r="D755">
        <v>748</v>
      </c>
      <c r="E755">
        <v>13.144504187590167</v>
      </c>
      <c r="F755">
        <v>0.51292389882280376</v>
      </c>
      <c r="G755">
        <v>0.17543375661351196</v>
      </c>
      <c r="H755">
        <v>16.1671381569735</v>
      </c>
      <c r="I755">
        <v>13.358994377562727</v>
      </c>
      <c r="J755">
        <v>0.34772587257098403</v>
      </c>
      <c r="K755">
        <v>0.11858211999620731</v>
      </c>
      <c r="L755">
        <v>16.174697629870067</v>
      </c>
      <c r="M755">
        <v>13.280705652059352</v>
      </c>
      <c r="N755">
        <v>0.4080495653205905</v>
      </c>
      <c r="O755">
        <v>0.13930271607614689</v>
      </c>
      <c r="P755">
        <v>16.171942066543927</v>
      </c>
      <c r="Q755">
        <v>13.221216556463407</v>
      </c>
      <c r="R755">
        <v>0.45386724631139125</v>
      </c>
      <c r="S755">
        <v>0.15507078371069993</v>
      </c>
      <c r="T755">
        <v>16.169845413514516</v>
      </c>
      <c r="U755">
        <v>1581.866133588409</v>
      </c>
      <c r="V755">
        <v>10.408221930937341</v>
      </c>
      <c r="W755">
        <v>1304.6821978686417</v>
      </c>
      <c r="X755">
        <v>7.3971457722983347</v>
      </c>
      <c r="Y755">
        <v>2951.1262184719726</v>
      </c>
      <c r="Z755">
        <v>10.442428985481182</v>
      </c>
      <c r="AA755">
        <v>2760.7459502832894</v>
      </c>
      <c r="AB755">
        <v>7.4170934274163827</v>
      </c>
      <c r="AC755">
        <v>2261.5086007847372</v>
      </c>
      <c r="AD755">
        <v>10.429941115333067</v>
      </c>
      <c r="AE755">
        <v>2038.1352977363947</v>
      </c>
      <c r="AF755">
        <v>7.409819056353915</v>
      </c>
      <c r="AG755">
        <v>2177.0554797948807</v>
      </c>
      <c r="AH755">
        <v>10.42045376603852</v>
      </c>
      <c r="AI755">
        <v>1931.2519443377946</v>
      </c>
      <c r="AJ755">
        <v>7.4042865121232895</v>
      </c>
    </row>
    <row r="756" spans="4:36" x14ac:dyDescent="0.55000000000000004">
      <c r="D756">
        <v>749</v>
      </c>
      <c r="E756">
        <v>12.646749514013129</v>
      </c>
      <c r="F756">
        <v>0.47878504738567373</v>
      </c>
      <c r="G756">
        <v>0.17310137618423055</v>
      </c>
      <c r="H756">
        <v>16.701364062416975</v>
      </c>
      <c r="I756">
        <v>12.883269785962938</v>
      </c>
      <c r="J756">
        <v>0.30394225959565385</v>
      </c>
      <c r="K756">
        <v>0.10950793116540822</v>
      </c>
      <c r="L756">
        <v>16.70328002327599</v>
      </c>
      <c r="M756">
        <v>12.800690190134357</v>
      </c>
      <c r="N756">
        <v>0.36502337356616127</v>
      </c>
      <c r="O756">
        <v>0.13167342697421794</v>
      </c>
      <c r="P756">
        <v>16.702613009325265</v>
      </c>
      <c r="Q756">
        <v>12.749373151456105</v>
      </c>
      <c r="R756">
        <v>0.40296141902079863</v>
      </c>
      <c r="S756">
        <v>0.1454679590607583</v>
      </c>
      <c r="T756">
        <v>16.702197470462345</v>
      </c>
      <c r="U756">
        <v>1609.5205261565766</v>
      </c>
      <c r="V756">
        <v>10.076693311312441</v>
      </c>
      <c r="W756">
        <v>1328.2841996599334</v>
      </c>
      <c r="X756">
        <v>7.2173737559545028</v>
      </c>
      <c r="Y756">
        <v>2911.6240464247953</v>
      </c>
      <c r="Z756">
        <v>10.117750866562055</v>
      </c>
      <c r="AA756">
        <v>2736.5540708296571</v>
      </c>
      <c r="AB756">
        <v>7.2411816341835573</v>
      </c>
      <c r="AC756">
        <v>2256.7790583528795</v>
      </c>
      <c r="AD756">
        <v>10.103415437070844</v>
      </c>
      <c r="AE756">
        <v>2038.976285386643</v>
      </c>
      <c r="AF756">
        <v>7.232879171050187</v>
      </c>
      <c r="AG756">
        <v>2112.2393276816892</v>
      </c>
      <c r="AH756">
        <v>10.094507275376031</v>
      </c>
      <c r="AI756">
        <v>1889.4714502000829</v>
      </c>
      <c r="AJ756">
        <v>7.2277144800097117</v>
      </c>
    </row>
    <row r="757" spans="4:36" x14ac:dyDescent="0.55000000000000004">
      <c r="D757">
        <v>750</v>
      </c>
      <c r="E757">
        <v>12.668292242483993</v>
      </c>
      <c r="F757">
        <v>0.4407430208306497</v>
      </c>
      <c r="G757">
        <v>0.14632795922817093</v>
      </c>
      <c r="H757">
        <v>16.744636777457195</v>
      </c>
      <c r="I757">
        <v>12.864587172680716</v>
      </c>
      <c r="J757">
        <v>0.29806843978235026</v>
      </c>
      <c r="K757">
        <v>9.8676759890275342E-2</v>
      </c>
      <c r="L757">
        <v>16.738667627646652</v>
      </c>
      <c r="M757">
        <v>12.78062736167543</v>
      </c>
      <c r="N757">
        <v>0.35912114012719459</v>
      </c>
      <c r="O757">
        <v>0.11903359917310341</v>
      </c>
      <c r="P757">
        <v>16.741217899024274</v>
      </c>
      <c r="Q757">
        <v>12.737406775100359</v>
      </c>
      <c r="R757">
        <v>0.39053366430379621</v>
      </c>
      <c r="S757">
        <v>0.12952717173932371</v>
      </c>
      <c r="T757">
        <v>16.742532388856507</v>
      </c>
      <c r="U757">
        <v>1534.2421506474097</v>
      </c>
      <c r="V757">
        <v>9.9628274407335145</v>
      </c>
      <c r="W757">
        <v>1282.3045503914425</v>
      </c>
      <c r="X757">
        <v>7.1408756317404354</v>
      </c>
      <c r="Y757">
        <v>2899.0843578291197</v>
      </c>
      <c r="Z757">
        <v>10.00405722615646</v>
      </c>
      <c r="AA757">
        <v>2731.5058468159446</v>
      </c>
      <c r="AB757">
        <v>7.1645358433822004</v>
      </c>
      <c r="AC757">
        <v>2216.510987691162</v>
      </c>
      <c r="AD757">
        <v>9.9864239485532238</v>
      </c>
      <c r="AE757">
        <v>2014.6866256543162</v>
      </c>
      <c r="AF757">
        <v>7.1544253647020088</v>
      </c>
      <c r="AG757">
        <v>2135.8999694614531</v>
      </c>
      <c r="AH757">
        <v>9.9773457876360485</v>
      </c>
      <c r="AI757">
        <v>1912.1529846363812</v>
      </c>
      <c r="AJ757">
        <v>7.1492151839638973</v>
      </c>
    </row>
    <row r="758" spans="4:36" x14ac:dyDescent="0.55000000000000004">
      <c r="D758">
        <v>751</v>
      </c>
      <c r="E758">
        <v>12.249407003674209</v>
      </c>
      <c r="F758">
        <v>0.45236365682277352</v>
      </c>
      <c r="G758">
        <v>0.1519762206092844</v>
      </c>
      <c r="H758">
        <v>17.146253118893743</v>
      </c>
      <c r="I758">
        <v>12.440412509463478</v>
      </c>
      <c r="J758">
        <v>0.30735849421336331</v>
      </c>
      <c r="K758">
        <v>0.10297562340782844</v>
      </c>
      <c r="L758">
        <v>17.149253372915339</v>
      </c>
      <c r="M758">
        <v>12.352095132915553</v>
      </c>
      <c r="N758">
        <v>0.37443070704346665</v>
      </c>
      <c r="O758">
        <v>0.12560677278546972</v>
      </c>
      <c r="P758">
        <v>17.147867387255513</v>
      </c>
      <c r="Q758">
        <v>12.337834771369229</v>
      </c>
      <c r="R758">
        <v>0.38525672654963933</v>
      </c>
      <c r="S758">
        <v>0.12926511125720319</v>
      </c>
      <c r="T758">
        <v>17.147643390823927</v>
      </c>
      <c r="U758">
        <v>1523.0981968904027</v>
      </c>
      <c r="V758">
        <v>9.6974763607420034</v>
      </c>
      <c r="W758">
        <v>1275.5207916068471</v>
      </c>
      <c r="X758">
        <v>6.9921141079317968</v>
      </c>
      <c r="Y758">
        <v>2900.6614213749062</v>
      </c>
      <c r="Z758">
        <v>9.7306465441388585</v>
      </c>
      <c r="AA758">
        <v>2733.3544069590907</v>
      </c>
      <c r="AB758">
        <v>7.0114930593466722</v>
      </c>
      <c r="AC758">
        <v>2207.3794957157584</v>
      </c>
      <c r="AD758">
        <v>9.7153089674738187</v>
      </c>
      <c r="AE758">
        <v>2008.6178194211459</v>
      </c>
      <c r="AF758">
        <v>7.0025401104948832</v>
      </c>
      <c r="AG758">
        <v>2077.0981200736192</v>
      </c>
      <c r="AH758">
        <v>9.7128325004331462</v>
      </c>
      <c r="AI758">
        <v>1871.8257009169911</v>
      </c>
      <c r="AJ758">
        <v>7.0010932955575438</v>
      </c>
    </row>
    <row r="759" spans="4:36" x14ac:dyDescent="0.55000000000000004">
      <c r="D759">
        <v>752</v>
      </c>
      <c r="E759">
        <v>12.67654152205044</v>
      </c>
      <c r="F759">
        <v>0.40762559786864144</v>
      </c>
      <c r="G759">
        <v>0.15509195643114362</v>
      </c>
      <c r="H759">
        <v>16.760740923649784</v>
      </c>
      <c r="I759">
        <v>12.847973283352843</v>
      </c>
      <c r="J759">
        <v>0.28628890191040629</v>
      </c>
      <c r="K759">
        <v>0.10865074888118449</v>
      </c>
      <c r="L759">
        <v>16.757087065855558</v>
      </c>
      <c r="M759">
        <v>12.750115359400173</v>
      </c>
      <c r="N759">
        <v>0.35557329340926391</v>
      </c>
      <c r="O759">
        <v>0.13513987987055179</v>
      </c>
      <c r="P759">
        <v>16.759171467320023</v>
      </c>
      <c r="Q759">
        <v>12.693821629845674</v>
      </c>
      <c r="R759">
        <v>0.3954032019921746</v>
      </c>
      <c r="S759">
        <v>0.15040303814446693</v>
      </c>
      <c r="T759">
        <v>16.760372130017679</v>
      </c>
      <c r="U759">
        <v>1495.0907071695556</v>
      </c>
      <c r="V759">
        <v>10.024726026356442</v>
      </c>
      <c r="W759">
        <v>1255.4230627692202</v>
      </c>
      <c r="X759">
        <v>7.1851949826723329</v>
      </c>
      <c r="Y759">
        <v>2912.0365107393714</v>
      </c>
      <c r="Z759">
        <v>10.058333152398607</v>
      </c>
      <c r="AA759">
        <v>2740.9814897229453</v>
      </c>
      <c r="AB759">
        <v>7.2045590028700222</v>
      </c>
      <c r="AC759">
        <v>2235.7219927495853</v>
      </c>
      <c r="AD759">
        <v>10.039149900196499</v>
      </c>
      <c r="AE759">
        <v>2027.9151142761737</v>
      </c>
      <c r="AF759">
        <v>7.193512123506232</v>
      </c>
      <c r="AG759">
        <v>2121.7779209642263</v>
      </c>
      <c r="AH759">
        <v>10.028113809484484</v>
      </c>
      <c r="AI759">
        <v>1900.6591117303717</v>
      </c>
      <c r="AJ759">
        <v>7.1871493115937621</v>
      </c>
    </row>
    <row r="760" spans="4:36" x14ac:dyDescent="0.55000000000000004">
      <c r="D760">
        <v>753</v>
      </c>
      <c r="E760">
        <v>12.066510693915001</v>
      </c>
      <c r="F760">
        <v>0.42134248083314318</v>
      </c>
      <c r="G760">
        <v>0.16986525520922158</v>
      </c>
      <c r="H760">
        <v>17.342281570042637</v>
      </c>
      <c r="I760">
        <v>12.251406699087445</v>
      </c>
      <c r="J760">
        <v>0.28649974097746789</v>
      </c>
      <c r="K760">
        <v>0.11517857447929999</v>
      </c>
      <c r="L760">
        <v>17.346914985455793</v>
      </c>
      <c r="M760">
        <v>12.190286211282665</v>
      </c>
      <c r="N760">
        <v>0.33109684519647264</v>
      </c>
      <c r="O760">
        <v>0.13323083072851652</v>
      </c>
      <c r="P760">
        <v>17.345386112792362</v>
      </c>
      <c r="Q760">
        <v>12.145873667228656</v>
      </c>
      <c r="R760">
        <v>0.36348891073317402</v>
      </c>
      <c r="S760">
        <v>0.14636396527575896</v>
      </c>
      <c r="T760">
        <v>17.344273456762394</v>
      </c>
      <c r="U760">
        <v>1546.7269555868008</v>
      </c>
      <c r="V760">
        <v>9.5705267134917822</v>
      </c>
      <c r="W760">
        <v>1293.1770301236156</v>
      </c>
      <c r="X760">
        <v>6.9212159148901504</v>
      </c>
      <c r="Y760">
        <v>2898.0367541778469</v>
      </c>
      <c r="Z760">
        <v>9.6025722374386397</v>
      </c>
      <c r="AA760">
        <v>2731.736487873563</v>
      </c>
      <c r="AB760">
        <v>6.9401618414448771</v>
      </c>
      <c r="AC760">
        <v>2214.902957794664</v>
      </c>
      <c r="AD760">
        <v>9.591977539882226</v>
      </c>
      <c r="AE760">
        <v>2015.8983002063053</v>
      </c>
      <c r="AF760">
        <v>6.9339049916209694</v>
      </c>
      <c r="AG760">
        <v>2098.3949229846371</v>
      </c>
      <c r="AH760">
        <v>9.5842799494687494</v>
      </c>
      <c r="AI760">
        <v>1887.2702571319135</v>
      </c>
      <c r="AJ760">
        <v>6.9293547883566999</v>
      </c>
    </row>
    <row r="761" spans="4:36" x14ac:dyDescent="0.55000000000000004">
      <c r="D761">
        <v>754</v>
      </c>
      <c r="E761">
        <v>14.85518917090941</v>
      </c>
      <c r="F761">
        <v>0.57066841622333808</v>
      </c>
      <c r="G761">
        <v>0.17134034333285533</v>
      </c>
      <c r="H761">
        <v>14.402802069534404</v>
      </c>
      <c r="I761">
        <v>15.084347092030628</v>
      </c>
      <c r="J761">
        <v>0.40073651515028619</v>
      </c>
      <c r="K761">
        <v>0.1199926149725907</v>
      </c>
      <c r="L761">
        <v>14.39492377784649</v>
      </c>
      <c r="M761">
        <v>14.967571408062192</v>
      </c>
      <c r="N761">
        <v>0.48736442954698944</v>
      </c>
      <c r="O761">
        <v>0.14613319814622075</v>
      </c>
      <c r="P761">
        <v>14.398930964244606</v>
      </c>
      <c r="Q761">
        <v>14.927600938038813</v>
      </c>
      <c r="R761">
        <v>0.51700008492859728</v>
      </c>
      <c r="S761">
        <v>0.15509285448478199</v>
      </c>
      <c r="T761">
        <v>14.400306122547821</v>
      </c>
      <c r="U761">
        <v>1676.8099485208202</v>
      </c>
      <c r="V761">
        <v>11.89601084572614</v>
      </c>
      <c r="W761">
        <v>1359.694426656547</v>
      </c>
      <c r="X761">
        <v>8.2609990149913664</v>
      </c>
      <c r="Y761">
        <v>3016.8466707783828</v>
      </c>
      <c r="Z761">
        <v>11.94663415765107</v>
      </c>
      <c r="AA761">
        <v>2797.8699203483111</v>
      </c>
      <c r="AB761">
        <v>8.2890760679481144</v>
      </c>
      <c r="AC761">
        <v>2381.2307511909517</v>
      </c>
      <c r="AD761">
        <v>11.920840782396924</v>
      </c>
      <c r="AE761">
        <v>2110.4209104341389</v>
      </c>
      <c r="AF761">
        <v>8.2747794637159728</v>
      </c>
      <c r="AG761">
        <v>2220.9992040262878</v>
      </c>
      <c r="AH761">
        <v>11.912010423571788</v>
      </c>
      <c r="AI761">
        <v>1951.1141339578719</v>
      </c>
      <c r="AJ761">
        <v>8.2698806921789458</v>
      </c>
    </row>
    <row r="762" spans="4:36" x14ac:dyDescent="0.55000000000000004">
      <c r="D762">
        <v>755</v>
      </c>
      <c r="E762">
        <v>12.087564052010164</v>
      </c>
      <c r="F762">
        <v>0.51452116123753389</v>
      </c>
      <c r="G762">
        <v>0.19250855905103359</v>
      </c>
      <c r="H762">
        <v>17.205406227701282</v>
      </c>
      <c r="I762">
        <v>12.318593540742704</v>
      </c>
      <c r="J762">
        <v>0.31769483896366146</v>
      </c>
      <c r="K762">
        <v>0.11847144164170612</v>
      </c>
      <c r="L762">
        <v>17.24524017865193</v>
      </c>
      <c r="M762">
        <v>12.204226685811832</v>
      </c>
      <c r="N762">
        <v>0.41515412141242819</v>
      </c>
      <c r="O762">
        <v>0.15506884280766156</v>
      </c>
      <c r="P762">
        <v>17.225550349968074</v>
      </c>
      <c r="Q762">
        <v>12.185107433015917</v>
      </c>
      <c r="R762">
        <v>0.43144226784699136</v>
      </c>
      <c r="S762">
        <v>0.16119716130942693</v>
      </c>
      <c r="T762">
        <v>17.222253137827657</v>
      </c>
      <c r="U762">
        <v>1532.9168356642624</v>
      </c>
      <c r="V762">
        <v>9.6655916723825221</v>
      </c>
      <c r="W762">
        <v>1279.4005583680569</v>
      </c>
      <c r="X762">
        <v>6.9737731673563417</v>
      </c>
      <c r="Y762">
        <v>2876.2797470078067</v>
      </c>
      <c r="Z762">
        <v>9.6836863067053276</v>
      </c>
      <c r="AA762">
        <v>2715.8614957585974</v>
      </c>
      <c r="AB762">
        <v>6.9859972908645913</v>
      </c>
      <c r="AC762">
        <v>2229.1521283477223</v>
      </c>
      <c r="AD762">
        <v>9.6747125105552012</v>
      </c>
      <c r="AE762">
        <v>2022.5030420441428</v>
      </c>
      <c r="AF762">
        <v>6.9799461189556968</v>
      </c>
      <c r="AG762">
        <v>2108.2478367327494</v>
      </c>
      <c r="AH762">
        <v>9.6732154401770281</v>
      </c>
      <c r="AI762">
        <v>1892.1577649364715</v>
      </c>
      <c r="AJ762">
        <v>6.9789344872019141</v>
      </c>
    </row>
    <row r="763" spans="4:36" x14ac:dyDescent="0.55000000000000004">
      <c r="D763">
        <v>756</v>
      </c>
      <c r="E763">
        <v>14.44045492797817</v>
      </c>
      <c r="F763">
        <v>0.48854610887595068</v>
      </c>
      <c r="G763">
        <v>0.17514546943677986</v>
      </c>
      <c r="H763">
        <v>14.895853493709094</v>
      </c>
      <c r="I763">
        <v>14.702678029902758</v>
      </c>
      <c r="J763">
        <v>0.31239236252921554</v>
      </c>
      <c r="K763">
        <v>0.11160090017258315</v>
      </c>
      <c r="L763">
        <v>14.873328707395439</v>
      </c>
      <c r="M763">
        <v>14.556248307320958</v>
      </c>
      <c r="N763">
        <v>0.41081135814192166</v>
      </c>
      <c r="O763">
        <v>0.14704794233203292</v>
      </c>
      <c r="P763">
        <v>14.885892392205097</v>
      </c>
      <c r="Q763">
        <v>14.541384967295278</v>
      </c>
      <c r="R763">
        <v>0.42079406862142832</v>
      </c>
      <c r="S763">
        <v>0.15065124853283801</v>
      </c>
      <c r="T763">
        <v>14.887169715550456</v>
      </c>
      <c r="U763">
        <v>1615.2177854087481</v>
      </c>
      <c r="V763">
        <v>11.442067512235104</v>
      </c>
      <c r="W763">
        <v>1324.1103740998071</v>
      </c>
      <c r="X763">
        <v>7.9938237635914255</v>
      </c>
      <c r="Y763">
        <v>2943.5476032764714</v>
      </c>
      <c r="Z763">
        <v>11.503534230300898</v>
      </c>
      <c r="AA763">
        <v>2753.8920235690284</v>
      </c>
      <c r="AB763">
        <v>8.027799011136219</v>
      </c>
      <c r="AC763">
        <v>2311.7829195385907</v>
      </c>
      <c r="AD763">
        <v>11.469217673846778</v>
      </c>
      <c r="AE763">
        <v>2068.6656553782727</v>
      </c>
      <c r="AF763">
        <v>8.0088434016976926</v>
      </c>
      <c r="AG763">
        <v>2194.9626679178641</v>
      </c>
      <c r="AH763">
        <v>11.465733320331191</v>
      </c>
      <c r="AI763">
        <v>1941.0134607128016</v>
      </c>
      <c r="AJ763">
        <v>8.006916957600934</v>
      </c>
    </row>
    <row r="764" spans="4:36" x14ac:dyDescent="0.55000000000000004">
      <c r="D764">
        <v>757</v>
      </c>
      <c r="E764">
        <v>11.793667430919585</v>
      </c>
      <c r="F764">
        <v>0.41472174181338972</v>
      </c>
      <c r="G764">
        <v>0.17008887554832647</v>
      </c>
      <c r="H764">
        <v>17.621521951718716</v>
      </c>
      <c r="I764">
        <v>12.026684616975606</v>
      </c>
      <c r="J764">
        <v>0.24699744380171182</v>
      </c>
      <c r="K764">
        <v>0.10091525845789996</v>
      </c>
      <c r="L764">
        <v>17.625402680764783</v>
      </c>
      <c r="M764">
        <v>11.92114384550549</v>
      </c>
      <c r="N764">
        <v>0.32300666550117091</v>
      </c>
      <c r="O764">
        <v>0.13219713928742047</v>
      </c>
      <c r="P764">
        <v>17.623652349705914</v>
      </c>
      <c r="Q764">
        <v>11.870089390010897</v>
      </c>
      <c r="R764">
        <v>0.35975080860390463</v>
      </c>
      <c r="S764">
        <v>0.1473585237612865</v>
      </c>
      <c r="T764">
        <v>17.62280127762391</v>
      </c>
      <c r="U764">
        <v>1508.8502413906774</v>
      </c>
      <c r="V764">
        <v>9.3543148713105833</v>
      </c>
      <c r="W764">
        <v>1271.50967875321</v>
      </c>
      <c r="X764">
        <v>6.7947735700636933</v>
      </c>
      <c r="Y764">
        <v>2854.1446770560246</v>
      </c>
      <c r="Z764">
        <v>9.3965984118362833</v>
      </c>
      <c r="AA764">
        <v>2706.4386016870467</v>
      </c>
      <c r="AB764">
        <v>6.8199406748195708</v>
      </c>
      <c r="AC764">
        <v>2171.5093996577111</v>
      </c>
      <c r="AD764">
        <v>9.3774429380535622</v>
      </c>
      <c r="AE764">
        <v>1989.1391976078057</v>
      </c>
      <c r="AF764">
        <v>6.8085531192360191</v>
      </c>
      <c r="AG764">
        <v>2094.0650532353579</v>
      </c>
      <c r="AH764">
        <v>9.3681789693263227</v>
      </c>
      <c r="AI764">
        <v>1889.0505015763845</v>
      </c>
      <c r="AJ764">
        <v>6.8030377287101205</v>
      </c>
    </row>
    <row r="765" spans="4:36" x14ac:dyDescent="0.55000000000000004">
      <c r="D765">
        <v>758</v>
      </c>
      <c r="E765">
        <v>12.625372295485548</v>
      </c>
      <c r="F765">
        <v>0.47147265265194771</v>
      </c>
      <c r="G765">
        <v>0.15598158941409379</v>
      </c>
      <c r="H765">
        <v>16.747173462448423</v>
      </c>
      <c r="I765">
        <v>12.852300475759021</v>
      </c>
      <c r="J765">
        <v>0.29595115470078431</v>
      </c>
      <c r="K765">
        <v>9.7601931250825197E-2</v>
      </c>
      <c r="L765">
        <v>16.75414643828935</v>
      </c>
      <c r="M765">
        <v>12.743871819580431</v>
      </c>
      <c r="N765">
        <v>0.37984959869714569</v>
      </c>
      <c r="O765">
        <v>0.1254602523329118</v>
      </c>
      <c r="P765">
        <v>16.75081832938951</v>
      </c>
      <c r="Q765">
        <v>12.69386525632131</v>
      </c>
      <c r="R765">
        <v>0.41852304226595954</v>
      </c>
      <c r="S765">
        <v>0.13833052001763343</v>
      </c>
      <c r="T765">
        <v>16.749281181395109</v>
      </c>
      <c r="U765">
        <v>1543.575614224012</v>
      </c>
      <c r="V765">
        <v>9.9255588704063094</v>
      </c>
      <c r="W765">
        <v>1285.0978924547728</v>
      </c>
      <c r="X765">
        <v>7.1133664107173686</v>
      </c>
      <c r="Y765">
        <v>2900.6440422896617</v>
      </c>
      <c r="Z765">
        <v>9.9625583377047704</v>
      </c>
      <c r="AA765">
        <v>2731.7425424292369</v>
      </c>
      <c r="AB765">
        <v>7.1350078238515167</v>
      </c>
      <c r="AC765">
        <v>2238.1312805139419</v>
      </c>
      <c r="AD765">
        <v>9.944877709719103</v>
      </c>
      <c r="AE765">
        <v>2027.3890137172159</v>
      </c>
      <c r="AF765">
        <v>7.124676312227523</v>
      </c>
      <c r="AG765">
        <v>2140.1016645528457</v>
      </c>
      <c r="AH765">
        <v>9.9367246899835653</v>
      </c>
      <c r="AI765">
        <v>1911.638590126382</v>
      </c>
      <c r="AJ765">
        <v>7.1199059685502064</v>
      </c>
    </row>
    <row r="766" spans="4:36" x14ac:dyDescent="0.55000000000000004">
      <c r="D766">
        <v>759</v>
      </c>
      <c r="E766">
        <v>12.849645529920201</v>
      </c>
      <c r="F766">
        <v>0.48015878540028029</v>
      </c>
      <c r="G766">
        <v>0.16675586248951704</v>
      </c>
      <c r="H766">
        <v>16.503439822190003</v>
      </c>
      <c r="I766">
        <v>13.087672352022043</v>
      </c>
      <c r="J766">
        <v>0.30749080029805353</v>
      </c>
      <c r="K766">
        <v>0.10644634338899234</v>
      </c>
      <c r="L766">
        <v>16.498390504290917</v>
      </c>
      <c r="M766">
        <v>13.001212772541457</v>
      </c>
      <c r="N766">
        <v>0.37024783504334891</v>
      </c>
      <c r="O766">
        <v>0.1283205971924308</v>
      </c>
      <c r="P766">
        <v>16.500218795222768</v>
      </c>
      <c r="Q766">
        <v>12.960346001705176</v>
      </c>
      <c r="R766">
        <v>0.39989609786282726</v>
      </c>
      <c r="S766">
        <v>0.1386726382176334</v>
      </c>
      <c r="T766">
        <v>16.501085262214374</v>
      </c>
      <c r="U766">
        <v>1599.1419473326164</v>
      </c>
      <c r="V766">
        <v>10.156353357477212</v>
      </c>
      <c r="W766">
        <v>1320.486218570119</v>
      </c>
      <c r="X766">
        <v>7.2552537749458565</v>
      </c>
      <c r="Y766">
        <v>2930.099930738852</v>
      </c>
      <c r="Z766">
        <v>10.205036614304166</v>
      </c>
      <c r="AA766">
        <v>2749.3913885622078</v>
      </c>
      <c r="AB766">
        <v>7.2830488904059951</v>
      </c>
      <c r="AC766">
        <v>2277.459358443225</v>
      </c>
      <c r="AD766">
        <v>10.187356267476382</v>
      </c>
      <c r="AE766">
        <v>2053.2023458358526</v>
      </c>
      <c r="AF766">
        <v>7.2729655412319785</v>
      </c>
      <c r="AG766">
        <v>2157.6365267950905</v>
      </c>
      <c r="AH766">
        <v>10.178998090323464</v>
      </c>
      <c r="AI766">
        <v>1922.244781916675</v>
      </c>
      <c r="AJ766">
        <v>7.2681943974631427</v>
      </c>
    </row>
    <row r="767" spans="4:36" x14ac:dyDescent="0.55000000000000004">
      <c r="D767">
        <v>760</v>
      </c>
      <c r="E767">
        <v>11.626725618000892</v>
      </c>
      <c r="F767">
        <v>0.40812455747804144</v>
      </c>
      <c r="G767">
        <v>0.15282372831438887</v>
      </c>
      <c r="H767">
        <v>17.812326096206665</v>
      </c>
      <c r="I767">
        <v>11.82826881879622</v>
      </c>
      <c r="J767">
        <v>0.25442170956375365</v>
      </c>
      <c r="K767">
        <v>9.4979795027665126E-2</v>
      </c>
      <c r="L767">
        <v>17.822329676612352</v>
      </c>
      <c r="M767">
        <v>11.761370874610487</v>
      </c>
      <c r="N767">
        <v>0.30546481052429797</v>
      </c>
      <c r="O767">
        <v>0.11414968803444457</v>
      </c>
      <c r="P767">
        <v>17.819014626830761</v>
      </c>
      <c r="Q767">
        <v>11.714159125045519</v>
      </c>
      <c r="R767">
        <v>0.34147260836447341</v>
      </c>
      <c r="S767">
        <v>0.12769639629267895</v>
      </c>
      <c r="T767">
        <v>17.816671870297327</v>
      </c>
      <c r="U767">
        <v>1486.777480979621</v>
      </c>
      <c r="V767">
        <v>9.157364231351929</v>
      </c>
      <c r="W767">
        <v>1255.9567545959005</v>
      </c>
      <c r="X767">
        <v>6.6707584234365296</v>
      </c>
      <c r="Y767">
        <v>2850.3038385429968</v>
      </c>
      <c r="Z767">
        <v>9.1887732398894713</v>
      </c>
      <c r="AA767">
        <v>2703.1818576823921</v>
      </c>
      <c r="AB767">
        <v>6.6897433765182024</v>
      </c>
      <c r="AC767">
        <v>2166.5480448412804</v>
      </c>
      <c r="AD767">
        <v>9.1783440550259403</v>
      </c>
      <c r="AE767">
        <v>1987.0272964088606</v>
      </c>
      <c r="AF767">
        <v>6.6834480475132017</v>
      </c>
      <c r="AG767">
        <v>2075.8826100845149</v>
      </c>
      <c r="AH767">
        <v>9.1709860561567691</v>
      </c>
      <c r="AI767">
        <v>1877.3100043391796</v>
      </c>
      <c r="AJ767">
        <v>6.6790014955806143</v>
      </c>
    </row>
    <row r="768" spans="4:36" x14ac:dyDescent="0.55000000000000004">
      <c r="D768">
        <v>761</v>
      </c>
      <c r="E768">
        <v>12.612260773829099</v>
      </c>
      <c r="F768">
        <v>0.43174399638636574</v>
      </c>
      <c r="G768">
        <v>0.16708575397497638</v>
      </c>
      <c r="H768">
        <v>16.788909475809568</v>
      </c>
      <c r="I768">
        <v>12.80853270983569</v>
      </c>
      <c r="J768">
        <v>0.29318933777492628</v>
      </c>
      <c r="K768">
        <v>0.1131337597999882</v>
      </c>
      <c r="L768">
        <v>16.785144192589396</v>
      </c>
      <c r="M768">
        <v>12.731276504315158</v>
      </c>
      <c r="N768">
        <v>0.34775538791454269</v>
      </c>
      <c r="O768">
        <v>0.13434314129851588</v>
      </c>
      <c r="P768">
        <v>16.786624966471798</v>
      </c>
      <c r="Q768">
        <v>12.688086475916528</v>
      </c>
      <c r="R768">
        <v>0.3782444677164537</v>
      </c>
      <c r="S768">
        <v>0.14621552466436108</v>
      </c>
      <c r="T768">
        <v>16.78745353170266</v>
      </c>
      <c r="U768">
        <v>1568.4842197089588</v>
      </c>
      <c r="V768">
        <v>9.9863585328113924</v>
      </c>
      <c r="W768">
        <v>1304.5710873139217</v>
      </c>
      <c r="X768">
        <v>7.1621805725354184</v>
      </c>
      <c r="Y768">
        <v>2899.0850624401078</v>
      </c>
      <c r="Z768">
        <v>10.026441675149441</v>
      </c>
      <c r="AA768">
        <v>2729.7445785148711</v>
      </c>
      <c r="AB768">
        <v>7.1853904876866546</v>
      </c>
      <c r="AC768">
        <v>2235.0503594777542</v>
      </c>
      <c r="AD768">
        <v>10.010664276173806</v>
      </c>
      <c r="AE768">
        <v>2026.3657199430947</v>
      </c>
      <c r="AF768">
        <v>7.1762632788871983</v>
      </c>
      <c r="AG768">
        <v>2112.5179872527851</v>
      </c>
      <c r="AH768">
        <v>10.001843900759395</v>
      </c>
      <c r="AI768">
        <v>1893.4544919347841</v>
      </c>
      <c r="AJ768">
        <v>7.1711558502070201</v>
      </c>
    </row>
    <row r="769" spans="4:36" x14ac:dyDescent="0.55000000000000004">
      <c r="D769">
        <v>762</v>
      </c>
      <c r="E769">
        <v>11.339413635236845</v>
      </c>
      <c r="F769">
        <v>0.46043724103271166</v>
      </c>
      <c r="G769">
        <v>0.18305767517308363</v>
      </c>
      <c r="H769">
        <v>18.01709144855737</v>
      </c>
      <c r="I769">
        <v>11.538065900629691</v>
      </c>
      <c r="J769">
        <v>0.28950745307084941</v>
      </c>
      <c r="K769">
        <v>0.1147188621303684</v>
      </c>
      <c r="L769">
        <v>18.057707784169075</v>
      </c>
      <c r="M769">
        <v>11.443667341726609</v>
      </c>
      <c r="N769">
        <v>0.37074991168938998</v>
      </c>
      <c r="O769">
        <v>0.14714279765160662</v>
      </c>
      <c r="P769">
        <v>18.038439948932393</v>
      </c>
      <c r="Q769">
        <v>11.410701298010048</v>
      </c>
      <c r="R769">
        <v>0.39911411983166128</v>
      </c>
      <c r="S769">
        <v>0.15848735122765797</v>
      </c>
      <c r="T769">
        <v>18.031697230930618</v>
      </c>
      <c r="U769">
        <v>1511.8014113263087</v>
      </c>
      <c r="V769">
        <v>9.1340997495614715</v>
      </c>
      <c r="W769">
        <v>1269.5975362294917</v>
      </c>
      <c r="X769">
        <v>6.6753519558443042</v>
      </c>
      <c r="Y769">
        <v>2850.410019600748</v>
      </c>
      <c r="Z769">
        <v>9.1506736293178559</v>
      </c>
      <c r="AA769">
        <v>2700.0988397310502</v>
      </c>
      <c r="AB769">
        <v>6.68726993751946</v>
      </c>
      <c r="AC769">
        <v>2181.7752782536463</v>
      </c>
      <c r="AD769">
        <v>9.1427788536942902</v>
      </c>
      <c r="AE769">
        <v>1992.4337717765011</v>
      </c>
      <c r="AF769">
        <v>6.6816054941813912</v>
      </c>
      <c r="AG769">
        <v>2072.1540677441544</v>
      </c>
      <c r="AH769">
        <v>9.1400298849731811</v>
      </c>
      <c r="AI769">
        <v>1869.4052182838582</v>
      </c>
      <c r="AJ769">
        <v>6.6796278057193765</v>
      </c>
    </row>
    <row r="770" spans="4:36" x14ac:dyDescent="0.55000000000000004">
      <c r="D770">
        <v>763</v>
      </c>
      <c r="E770">
        <v>13.509200280518666</v>
      </c>
      <c r="F770">
        <v>0.46763666544616428</v>
      </c>
      <c r="G770">
        <v>0.174405995089708</v>
      </c>
      <c r="H770">
        <v>15.848757058945447</v>
      </c>
      <c r="I770">
        <v>13.753000399376145</v>
      </c>
      <c r="J770">
        <v>0.30294701611437719</v>
      </c>
      <c r="K770">
        <v>0.11258764149738708</v>
      </c>
      <c r="L770">
        <v>15.83146494301208</v>
      </c>
      <c r="M770">
        <v>13.670327896214387</v>
      </c>
      <c r="N770">
        <v>0.35883541268582209</v>
      </c>
      <c r="O770">
        <v>0.13351655923718939</v>
      </c>
      <c r="P770">
        <v>15.837320131862596</v>
      </c>
      <c r="Q770">
        <v>13.593472540404139</v>
      </c>
      <c r="R770">
        <v>0.41075254805536837</v>
      </c>
      <c r="S770">
        <v>0.15300372757638342</v>
      </c>
      <c r="T770">
        <v>15.842771183964112</v>
      </c>
      <c r="U770">
        <v>1607.7944525859266</v>
      </c>
      <c r="V770">
        <v>10.62861482977393</v>
      </c>
      <c r="W770">
        <v>1322.3866418897544</v>
      </c>
      <c r="X770">
        <v>7.5220228196848362</v>
      </c>
      <c r="Y770">
        <v>2940.9590140303821</v>
      </c>
      <c r="Z770">
        <v>10.685283985896808</v>
      </c>
      <c r="AA770">
        <v>2754.0819997551994</v>
      </c>
      <c r="AB770">
        <v>7.5538635561843561</v>
      </c>
      <c r="AC770">
        <v>2277.50466288901</v>
      </c>
      <c r="AD770">
        <v>10.666072250728444</v>
      </c>
      <c r="AE770">
        <v>2049.8829267109336</v>
      </c>
      <c r="AF770">
        <v>7.5430804313405631</v>
      </c>
      <c r="AG770">
        <v>2176.8052051764416</v>
      </c>
      <c r="AH770">
        <v>10.648207966868858</v>
      </c>
      <c r="AI770">
        <v>1930.6209357711896</v>
      </c>
      <c r="AJ770">
        <v>7.5330431589278932</v>
      </c>
    </row>
    <row r="771" spans="4:36" x14ac:dyDescent="0.55000000000000004">
      <c r="D771">
        <v>764</v>
      </c>
      <c r="E771">
        <v>12.113065979317927</v>
      </c>
      <c r="F771">
        <v>0.4386707162765825</v>
      </c>
      <c r="G771">
        <v>0.16656164888666733</v>
      </c>
      <c r="H771">
        <v>17.281701655518827</v>
      </c>
      <c r="I771">
        <v>12.312005647795544</v>
      </c>
      <c r="J771">
        <v>0.2905136733987761</v>
      </c>
      <c r="K771">
        <v>0.1099763757707178</v>
      </c>
      <c r="L771">
        <v>17.287504303034954</v>
      </c>
      <c r="M771">
        <v>12.237774228860681</v>
      </c>
      <c r="N771">
        <v>0.34582265170430071</v>
      </c>
      <c r="O771">
        <v>0.131060141283285</v>
      </c>
      <c r="P771">
        <v>17.285342978151743</v>
      </c>
      <c r="Q771">
        <v>12.19315348930774</v>
      </c>
      <c r="R771">
        <v>0.37905400140640039</v>
      </c>
      <c r="S771">
        <v>0.14375090747157951</v>
      </c>
      <c r="T771">
        <v>17.284041601814277</v>
      </c>
      <c r="U771">
        <v>1537.3991938504655</v>
      </c>
      <c r="V771">
        <v>9.675457204828156</v>
      </c>
      <c r="W771">
        <v>1284.5023035324639</v>
      </c>
      <c r="X771">
        <v>6.991404582541203</v>
      </c>
      <c r="Y771">
        <v>2885.4713378255819</v>
      </c>
      <c r="Z771">
        <v>9.7112771282097672</v>
      </c>
      <c r="AA771">
        <v>2722.0072762485665</v>
      </c>
      <c r="AB771">
        <v>7.0125835348036327</v>
      </c>
      <c r="AC771">
        <v>2217.2833468018762</v>
      </c>
      <c r="AD771">
        <v>9.6979093731000923</v>
      </c>
      <c r="AE771">
        <v>2016.0520846949971</v>
      </c>
      <c r="AF771">
        <v>7.0046884937303089</v>
      </c>
      <c r="AG771">
        <v>2116.1029993859993</v>
      </c>
      <c r="AH771">
        <v>9.6898751588917555</v>
      </c>
      <c r="AI771">
        <v>1898.4798514875463</v>
      </c>
      <c r="AJ771">
        <v>6.9999384375255094</v>
      </c>
    </row>
    <row r="772" spans="4:36" x14ac:dyDescent="0.55000000000000004">
      <c r="D772">
        <v>765</v>
      </c>
      <c r="E772">
        <v>13.136629206049397</v>
      </c>
      <c r="F772">
        <v>0.48271095606708259</v>
      </c>
      <c r="G772">
        <v>0.1699982094061302</v>
      </c>
      <c r="H772">
        <v>16.210661628477403</v>
      </c>
      <c r="I772">
        <v>13.360688899270198</v>
      </c>
      <c r="J772">
        <v>0.31939318305425418</v>
      </c>
      <c r="K772">
        <v>0.11215782976841356</v>
      </c>
      <c r="L772">
        <v>16.207760087907136</v>
      </c>
      <c r="M772">
        <v>13.238872403383311</v>
      </c>
      <c r="N772">
        <v>0.40822095996393659</v>
      </c>
      <c r="O772">
        <v>0.14357487541626954</v>
      </c>
      <c r="P772">
        <v>16.209331761236495</v>
      </c>
      <c r="Q772">
        <v>13.231455764562423</v>
      </c>
      <c r="R772">
        <v>0.41362641053372662</v>
      </c>
      <c r="S772">
        <v>0.14548992748688891</v>
      </c>
      <c r="T772">
        <v>16.209427897416976</v>
      </c>
      <c r="U772">
        <v>1626.3472688538725</v>
      </c>
      <c r="V772">
        <v>10.428149510705968</v>
      </c>
      <c r="W772">
        <v>1339.6562497736104</v>
      </c>
      <c r="X772">
        <v>7.4173758130971876</v>
      </c>
      <c r="Y772">
        <v>2932.0295299369968</v>
      </c>
      <c r="Z772">
        <v>10.471948164591758</v>
      </c>
      <c r="AA772">
        <v>2749.789973084341</v>
      </c>
      <c r="AB772">
        <v>7.4422619887361732</v>
      </c>
      <c r="AC772">
        <v>2274.2242721610123</v>
      </c>
      <c r="AD772">
        <v>10.448138885617981</v>
      </c>
      <c r="AE772">
        <v>2047.8840571164828</v>
      </c>
      <c r="AF772">
        <v>7.4287432333868662</v>
      </c>
      <c r="AG772">
        <v>2170.0015861673792</v>
      </c>
      <c r="AH772">
        <v>10.446689049713422</v>
      </c>
      <c r="AI772">
        <v>1929.9445261540739</v>
      </c>
      <c r="AJ772">
        <v>7.4279192934133373</v>
      </c>
    </row>
    <row r="773" spans="4:36" x14ac:dyDescent="0.55000000000000004">
      <c r="D773">
        <v>766</v>
      </c>
      <c r="E773">
        <v>12.268704750467684</v>
      </c>
      <c r="F773">
        <v>0.45877228085276645</v>
      </c>
      <c r="G773">
        <v>0.16357257794304442</v>
      </c>
      <c r="H773">
        <v>17.108950390736503</v>
      </c>
      <c r="I773">
        <v>12.498760451498523</v>
      </c>
      <c r="J773">
        <v>0.28618472325625449</v>
      </c>
      <c r="K773">
        <v>0.1016843697114998</v>
      </c>
      <c r="L773">
        <v>17.113370455533737</v>
      </c>
      <c r="M773">
        <v>12.409101695119936</v>
      </c>
      <c r="N773">
        <v>0.35348158166136134</v>
      </c>
      <c r="O773">
        <v>0.12576464253001862</v>
      </c>
      <c r="P773">
        <v>17.111652080688685</v>
      </c>
      <c r="Q773">
        <v>12.377181743843423</v>
      </c>
      <c r="R773">
        <v>0.3774296080348577</v>
      </c>
      <c r="S773">
        <v>0.13434963758666529</v>
      </c>
      <c r="T773">
        <v>17.111039010535066</v>
      </c>
      <c r="U773">
        <v>1525.4150371074359</v>
      </c>
      <c r="V773">
        <v>9.7322729622414688</v>
      </c>
      <c r="W773">
        <v>1276.6812851117741</v>
      </c>
      <c r="X773">
        <v>7.0124497049660279</v>
      </c>
      <c r="Y773">
        <v>2887.451339485503</v>
      </c>
      <c r="Z773">
        <v>9.7699680479026583</v>
      </c>
      <c r="AA773">
        <v>2725.360741089466</v>
      </c>
      <c r="AB773">
        <v>7.0346535819199278</v>
      </c>
      <c r="AC773">
        <v>2201.8325147043515</v>
      </c>
      <c r="AD773">
        <v>9.755274830180003</v>
      </c>
      <c r="AE773">
        <v>2006.1304682269674</v>
      </c>
      <c r="AF773">
        <v>7.0260093111861819</v>
      </c>
      <c r="AG773">
        <v>2102.3422396877995</v>
      </c>
      <c r="AH773">
        <v>9.7500445619189691</v>
      </c>
      <c r="AI773">
        <v>1890.668146047451</v>
      </c>
      <c r="AJ773">
        <v>7.0229290019770243</v>
      </c>
    </row>
    <row r="774" spans="4:36" x14ac:dyDescent="0.55000000000000004">
      <c r="D774">
        <v>767</v>
      </c>
      <c r="E774">
        <v>13.725935378927749</v>
      </c>
      <c r="F774">
        <v>0.4893779104496625</v>
      </c>
      <c r="G774">
        <v>0.15018993456909338</v>
      </c>
      <c r="H774">
        <v>15.634496776053503</v>
      </c>
      <c r="I774">
        <v>13.973059830958871</v>
      </c>
      <c r="J774">
        <v>0.31881890175450756</v>
      </c>
      <c r="K774">
        <v>9.7522313804335695E-2</v>
      </c>
      <c r="L774">
        <v>15.610598953482278</v>
      </c>
      <c r="M774">
        <v>13.879822103665205</v>
      </c>
      <c r="N774">
        <v>0.38321280575673539</v>
      </c>
      <c r="O774">
        <v>0.11736520982719381</v>
      </c>
      <c r="P774">
        <v>15.619599880750854</v>
      </c>
      <c r="Q774">
        <v>13.787369567654768</v>
      </c>
      <c r="R774">
        <v>0.44701236819155443</v>
      </c>
      <c r="S774">
        <v>0.13707455609709229</v>
      </c>
      <c r="T774">
        <v>15.628543508056584</v>
      </c>
      <c r="U774">
        <v>1618.5505172975436</v>
      </c>
      <c r="V774">
        <v>10.89546293440549</v>
      </c>
      <c r="W774">
        <v>1331.5342510388227</v>
      </c>
      <c r="X774">
        <v>7.688666460351798</v>
      </c>
      <c r="Y774">
        <v>2941.2370334368597</v>
      </c>
      <c r="Z774">
        <v>10.95675320887165</v>
      </c>
      <c r="AA774">
        <v>2755.0966106391534</v>
      </c>
      <c r="AB774">
        <v>7.7226858412272206</v>
      </c>
      <c r="AC774">
        <v>2251.8679858882756</v>
      </c>
      <c r="AD774">
        <v>10.933637669002108</v>
      </c>
      <c r="AE774">
        <v>2032.2706742827343</v>
      </c>
      <c r="AF774">
        <v>7.7098674177420401</v>
      </c>
      <c r="AG774">
        <v>2198.5068108680239</v>
      </c>
      <c r="AH774">
        <v>10.910706403592684</v>
      </c>
      <c r="AI774">
        <v>1946.2183178798825</v>
      </c>
      <c r="AJ774">
        <v>7.6971369315240228</v>
      </c>
    </row>
    <row r="775" spans="4:36" x14ac:dyDescent="0.55000000000000004">
      <c r="D775">
        <v>768</v>
      </c>
      <c r="E775">
        <v>11.713933172061941</v>
      </c>
      <c r="F775">
        <v>0.49298667026157211</v>
      </c>
      <c r="G775">
        <v>0.17913436874708538</v>
      </c>
      <c r="H775">
        <v>17.613945788929396</v>
      </c>
      <c r="I775">
        <v>11.927484687340744</v>
      </c>
      <c r="J775">
        <v>0.3103735886682556</v>
      </c>
      <c r="K775">
        <v>0.11243075023438914</v>
      </c>
      <c r="L775">
        <v>17.649710973756626</v>
      </c>
      <c r="M775">
        <v>11.84121739642422</v>
      </c>
      <c r="N775">
        <v>0.38416263595759176</v>
      </c>
      <c r="O775">
        <v>0.13933358619884068</v>
      </c>
      <c r="P775">
        <v>17.635286381419341</v>
      </c>
      <c r="Q775">
        <v>11.819691408822548</v>
      </c>
      <c r="R775">
        <v>0.40257080377170062</v>
      </c>
      <c r="S775">
        <v>0.14605562566117616</v>
      </c>
      <c r="T775">
        <v>17.631682161744568</v>
      </c>
      <c r="U775">
        <v>1566.7915716997718</v>
      </c>
      <c r="V775">
        <v>9.2718293468366557</v>
      </c>
      <c r="W775">
        <v>1302.885261661643</v>
      </c>
      <c r="X775">
        <v>6.7325203810090013</v>
      </c>
      <c r="Y775">
        <v>2882.8821195386827</v>
      </c>
      <c r="Z775">
        <v>9.2894877063071011</v>
      </c>
      <c r="AA775">
        <v>2719.4059817710654</v>
      </c>
      <c r="AB775">
        <v>6.7443567727328402</v>
      </c>
      <c r="AC775">
        <v>2227.9595971641329</v>
      </c>
      <c r="AD775">
        <v>9.2823415647913574</v>
      </c>
      <c r="AE775">
        <v>2021.8052250376454</v>
      </c>
      <c r="AF775">
        <v>6.7395761533715062</v>
      </c>
      <c r="AG775">
        <v>2104.5239150366647</v>
      </c>
      <c r="AH775">
        <v>9.2805611027796289</v>
      </c>
      <c r="AI775">
        <v>1889.3373585653765</v>
      </c>
      <c r="AJ775">
        <v>6.738383080190296</v>
      </c>
    </row>
    <row r="776" spans="4:36" x14ac:dyDescent="0.55000000000000004">
      <c r="D776">
        <v>769</v>
      </c>
      <c r="E776">
        <v>12.333733373271761</v>
      </c>
      <c r="F776">
        <v>0.44124249615083055</v>
      </c>
      <c r="G776">
        <v>0.17095647927096461</v>
      </c>
      <c r="H776">
        <v>17.054067651306443</v>
      </c>
      <c r="I776">
        <v>12.585041200708238</v>
      </c>
      <c r="J776">
        <v>0.2668242657094384</v>
      </c>
      <c r="K776">
        <v>0.10300006592235944</v>
      </c>
      <c r="L776">
        <v>17.04513446765997</v>
      </c>
      <c r="M776">
        <v>12.481162285057096</v>
      </c>
      <c r="N776">
        <v>0.33896987854958399</v>
      </c>
      <c r="O776">
        <v>0.13104783357441463</v>
      </c>
      <c r="P776">
        <v>17.048820002818896</v>
      </c>
      <c r="Q776">
        <v>12.438456360393062</v>
      </c>
      <c r="R776">
        <v>0.36860978296913594</v>
      </c>
      <c r="S776">
        <v>0.14259582409850055</v>
      </c>
      <c r="T776">
        <v>17.050338032539301</v>
      </c>
      <c r="U776">
        <v>1568.7376266933909</v>
      </c>
      <c r="V776">
        <v>9.8201481021321584</v>
      </c>
      <c r="W776">
        <v>1306.9481323181201</v>
      </c>
      <c r="X776">
        <v>7.0725197317718091</v>
      </c>
      <c r="Y776">
        <v>2881.008886199897</v>
      </c>
      <c r="Z776">
        <v>9.8739485027575551</v>
      </c>
      <c r="AA776">
        <v>2720.6118464845458</v>
      </c>
      <c r="AB776">
        <v>7.1034702025355969</v>
      </c>
      <c r="AC776">
        <v>2215.660996363391</v>
      </c>
      <c r="AD776">
        <v>9.8517136319191412</v>
      </c>
      <c r="AE776">
        <v>2015.2947642613492</v>
      </c>
      <c r="AF776">
        <v>7.0906934385827558</v>
      </c>
      <c r="AG776">
        <v>2114.4237870661468</v>
      </c>
      <c r="AH776">
        <v>9.8425710910081161</v>
      </c>
      <c r="AI776">
        <v>1897.9900248307031</v>
      </c>
      <c r="AJ776">
        <v>7.0854339520874259</v>
      </c>
    </row>
    <row r="777" spans="4:36" x14ac:dyDescent="0.55000000000000004">
      <c r="D777">
        <v>770</v>
      </c>
      <c r="E777">
        <v>13.285446902279439</v>
      </c>
      <c r="F777">
        <v>0.50470213501525252</v>
      </c>
      <c r="G777">
        <v>0.19031196522566088</v>
      </c>
      <c r="H777">
        <v>16.019538997479646</v>
      </c>
      <c r="I777">
        <v>13.535932655842139</v>
      </c>
      <c r="J777">
        <v>0.32235137307874057</v>
      </c>
      <c r="K777">
        <v>0.12112810651303606</v>
      </c>
      <c r="L777">
        <v>16.020587864566075</v>
      </c>
      <c r="M777">
        <v>13.442114677725025</v>
      </c>
      <c r="N777">
        <v>0.39069126271832416</v>
      </c>
      <c r="O777">
        <v>0.14699884923877121</v>
      </c>
      <c r="P777">
        <v>16.02019521031789</v>
      </c>
      <c r="Q777">
        <v>13.404405784731075</v>
      </c>
      <c r="R777">
        <v>0.41814563870426941</v>
      </c>
      <c r="S777">
        <v>0.15741125348532431</v>
      </c>
      <c r="T777">
        <v>16.020037323079343</v>
      </c>
      <c r="U777">
        <v>1635.3971160354904</v>
      </c>
      <c r="V777">
        <v>10.546903604222084</v>
      </c>
      <c r="W777">
        <v>1340.8000997524582</v>
      </c>
      <c r="X777">
        <v>7.483036301075729</v>
      </c>
      <c r="Y777">
        <v>2962.3217583247842</v>
      </c>
      <c r="Z777">
        <v>10.598069915137525</v>
      </c>
      <c r="AA777">
        <v>2768.8178407409582</v>
      </c>
      <c r="AB777">
        <v>7.5125130978213059</v>
      </c>
      <c r="AC777">
        <v>2268.3772992427016</v>
      </c>
      <c r="AD777">
        <v>10.578904569246147</v>
      </c>
      <c r="AE777">
        <v>2042.15681319277</v>
      </c>
      <c r="AF777">
        <v>7.5014848344584415</v>
      </c>
      <c r="AG777">
        <v>2176.3224719755476</v>
      </c>
      <c r="AH777">
        <v>10.57120175031068</v>
      </c>
      <c r="AI777">
        <v>1931.0508258084649</v>
      </c>
      <c r="AJ777">
        <v>7.4970481091669452</v>
      </c>
    </row>
    <row r="778" spans="4:36" x14ac:dyDescent="0.55000000000000004">
      <c r="D778">
        <v>771</v>
      </c>
      <c r="E778">
        <v>13.824837110049453</v>
      </c>
      <c r="F778">
        <v>0.50199172847693863</v>
      </c>
      <c r="G778">
        <v>0.20099011596787864</v>
      </c>
      <c r="H778">
        <v>15.472181045505739</v>
      </c>
      <c r="I778">
        <v>14.093587474221845</v>
      </c>
      <c r="J778">
        <v>0.32127169617597034</v>
      </c>
      <c r="K778">
        <v>0.1281418453917065</v>
      </c>
      <c r="L778">
        <v>15.456998984210481</v>
      </c>
      <c r="M778">
        <v>13.96404388272914</v>
      </c>
      <c r="N778">
        <v>0.40843947346747705</v>
      </c>
      <c r="O778">
        <v>0.16320848743020616</v>
      </c>
      <c r="P778">
        <v>15.464308156373164</v>
      </c>
      <c r="Q778">
        <v>13.959295564037044</v>
      </c>
      <c r="R778">
        <v>0.41163254252196652</v>
      </c>
      <c r="S778">
        <v>0.16449551119906722</v>
      </c>
      <c r="T778">
        <v>15.464576382241917</v>
      </c>
      <c r="U778">
        <v>1616.1668248296019</v>
      </c>
      <c r="V778">
        <v>10.960520703602985</v>
      </c>
      <c r="W778">
        <v>1326.720964332201</v>
      </c>
      <c r="X778">
        <v>7.716791915076052</v>
      </c>
      <c r="Y778">
        <v>2943.4511024949716</v>
      </c>
      <c r="Z778">
        <v>11.017900152899729</v>
      </c>
      <c r="AA778">
        <v>2755.0214776780795</v>
      </c>
      <c r="AB778">
        <v>7.7489349217415366</v>
      </c>
      <c r="AC778">
        <v>2291.4863854932205</v>
      </c>
      <c r="AD778">
        <v>10.990247303590065</v>
      </c>
      <c r="AE778">
        <v>2056.7941397589193</v>
      </c>
      <c r="AF778">
        <v>7.7334579591726653</v>
      </c>
      <c r="AG778">
        <v>2171.1677204058765</v>
      </c>
      <c r="AH778">
        <v>10.989233523203724</v>
      </c>
      <c r="AI778">
        <v>1927.2901230040668</v>
      </c>
      <c r="AJ778">
        <v>7.7328900769455942</v>
      </c>
    </row>
    <row r="779" spans="4:36" x14ac:dyDescent="0.55000000000000004">
      <c r="D779">
        <v>772</v>
      </c>
      <c r="E779">
        <v>12.231156646038196</v>
      </c>
      <c r="F779">
        <v>0.44644509666569709</v>
      </c>
      <c r="G779">
        <v>0.16879443350192166</v>
      </c>
      <c r="H779">
        <v>17.153603823794178</v>
      </c>
      <c r="I779">
        <v>12.447530224194809</v>
      </c>
      <c r="J779">
        <v>0.29119443589926708</v>
      </c>
      <c r="K779">
        <v>0.10974025900479623</v>
      </c>
      <c r="L779">
        <v>17.151535080901137</v>
      </c>
      <c r="M779">
        <v>12.398798117290697</v>
      </c>
      <c r="N779">
        <v>0.32618524866432741</v>
      </c>
      <c r="O779">
        <v>0.12301622355537148</v>
      </c>
      <c r="P779">
        <v>17.152000410489595</v>
      </c>
      <c r="Q779">
        <v>12.351872996037894</v>
      </c>
      <c r="R779">
        <v>0.35986496167444421</v>
      </c>
      <c r="S779">
        <v>0.13581322975680676</v>
      </c>
      <c r="T779">
        <v>17.152448812530853</v>
      </c>
      <c r="U779">
        <v>1515.4376878911767</v>
      </c>
      <c r="V779">
        <v>9.648489353290099</v>
      </c>
      <c r="W779">
        <v>1270.9230031122418</v>
      </c>
      <c r="X779">
        <v>6.9589060208282874</v>
      </c>
      <c r="Y779">
        <v>2886.1070283389313</v>
      </c>
      <c r="Z779">
        <v>9.6907609054524624</v>
      </c>
      <c r="AA779">
        <v>2724.3394140856153</v>
      </c>
      <c r="AB779">
        <v>6.9834542994424469</v>
      </c>
      <c r="AC779">
        <v>2183.3958373009436</v>
      </c>
      <c r="AD779">
        <v>9.6812409756894038</v>
      </c>
      <c r="AE779">
        <v>1995.2202526736407</v>
      </c>
      <c r="AF779">
        <v>6.9779333608937018</v>
      </c>
      <c r="AG779">
        <v>2081.3158672369891</v>
      </c>
      <c r="AH779">
        <v>9.6720737398562306</v>
      </c>
      <c r="AI779">
        <v>1877.1841570352001</v>
      </c>
      <c r="AJ779">
        <v>6.9726128361186435</v>
      </c>
    </row>
    <row r="780" spans="4:36" x14ac:dyDescent="0.55000000000000004">
      <c r="D780">
        <v>773</v>
      </c>
      <c r="E780">
        <v>13.01595168072112</v>
      </c>
      <c r="F780">
        <v>0.47206334024997593</v>
      </c>
      <c r="G780">
        <v>0.15400387572847024</v>
      </c>
      <c r="H780">
        <v>16.357981103300439</v>
      </c>
      <c r="I780">
        <v>13.258857219410288</v>
      </c>
      <c r="J780">
        <v>0.29710756388431742</v>
      </c>
      <c r="K780">
        <v>9.6610176242548473E-2</v>
      </c>
      <c r="L780">
        <v>16.347425040462863</v>
      </c>
      <c r="M780">
        <v>13.159857702239902</v>
      </c>
      <c r="N780">
        <v>0.3684548011411965</v>
      </c>
      <c r="O780">
        <v>0.11996937606772425</v>
      </c>
      <c r="P780">
        <v>16.351718120551155</v>
      </c>
      <c r="Q780">
        <v>13.144716762861483</v>
      </c>
      <c r="R780">
        <v>0.37936159209320719</v>
      </c>
      <c r="S780">
        <v>0.12354583384630713</v>
      </c>
      <c r="T780">
        <v>16.352375811198989</v>
      </c>
      <c r="U780">
        <v>1560.8024927886763</v>
      </c>
      <c r="V780">
        <v>10.257547424169541</v>
      </c>
      <c r="W780">
        <v>1297.6953399763843</v>
      </c>
      <c r="X780">
        <v>7.3111098949496149</v>
      </c>
      <c r="Y780">
        <v>2929.1118896339781</v>
      </c>
      <c r="Z780">
        <v>10.308168022192792</v>
      </c>
      <c r="AA780">
        <v>2752.0439901167751</v>
      </c>
      <c r="AB780">
        <v>7.3397522523575152</v>
      </c>
      <c r="AC780">
        <v>2221.0337126013956</v>
      </c>
      <c r="AD780">
        <v>10.287542036732924</v>
      </c>
      <c r="AE780">
        <v>2016.0711296843449</v>
      </c>
      <c r="AF780">
        <v>7.3280930934539201</v>
      </c>
      <c r="AG780">
        <v>2103.8218509002941</v>
      </c>
      <c r="AH780">
        <v>10.284386887914962</v>
      </c>
      <c r="AI780">
        <v>1888.5297718870904</v>
      </c>
      <c r="AJ780">
        <v>7.326308206771631</v>
      </c>
    </row>
    <row r="781" spans="4:36" x14ac:dyDescent="0.55000000000000004">
      <c r="D781">
        <v>774</v>
      </c>
      <c r="E781">
        <v>14.236947952357795</v>
      </c>
      <c r="F781">
        <v>0.501018743793887</v>
      </c>
      <c r="G781">
        <v>0.16848920008682447</v>
      </c>
      <c r="H781">
        <v>15.093544103761513</v>
      </c>
      <c r="I781">
        <v>14.526798219374701</v>
      </c>
      <c r="J781">
        <v>0.3102985770700446</v>
      </c>
      <c r="K781">
        <v>0.10395908420821844</v>
      </c>
      <c r="L781">
        <v>15.058944119347048</v>
      </c>
      <c r="M781">
        <v>14.401442327889095</v>
      </c>
      <c r="N781">
        <v>0.39284756501686113</v>
      </c>
      <c r="O781">
        <v>0.13182887782062949</v>
      </c>
      <c r="P781">
        <v>15.073881229273407</v>
      </c>
      <c r="Q781">
        <v>14.333782136829326</v>
      </c>
      <c r="R781">
        <v>0.43736167802628817</v>
      </c>
      <c r="S781">
        <v>0.14689577189303429</v>
      </c>
      <c r="T781">
        <v>15.081960413251345</v>
      </c>
      <c r="U781">
        <v>1630.1516288004505</v>
      </c>
      <c r="V781">
        <v>11.25397874760993</v>
      </c>
      <c r="W781">
        <v>1337.1408976218283</v>
      </c>
      <c r="X781">
        <v>7.884693717660971</v>
      </c>
      <c r="Y781">
        <v>2957.0024176519573</v>
      </c>
      <c r="Z781">
        <v>11.327949485669192</v>
      </c>
      <c r="AA781">
        <v>2765.5066233279517</v>
      </c>
      <c r="AB781">
        <v>7.9252425758496434</v>
      </c>
      <c r="AC781">
        <v>2286.0340480465557</v>
      </c>
      <c r="AD781">
        <v>11.295973464898829</v>
      </c>
      <c r="AE781">
        <v>2054.3387629188956</v>
      </c>
      <c r="AF781">
        <v>7.907730052247091</v>
      </c>
      <c r="AG781">
        <v>2177.1912178686507</v>
      </c>
      <c r="AH781">
        <v>11.278704971186205</v>
      </c>
      <c r="AI781">
        <v>1930.267636524736</v>
      </c>
      <c r="AJ781">
        <v>7.8982624608896801</v>
      </c>
    </row>
    <row r="782" spans="4:36" x14ac:dyDescent="0.55000000000000004">
      <c r="D782">
        <v>775</v>
      </c>
      <c r="E782">
        <v>12.06608522348893</v>
      </c>
      <c r="F782">
        <v>0.44662936780776341</v>
      </c>
      <c r="G782">
        <v>0.1564688859103659</v>
      </c>
      <c r="H782">
        <v>17.330816522792929</v>
      </c>
      <c r="I782">
        <v>12.256924895896587</v>
      </c>
      <c r="J782">
        <v>0.29994538797475706</v>
      </c>
      <c r="K782">
        <v>0.10479103702608206</v>
      </c>
      <c r="L782">
        <v>17.338338679102588</v>
      </c>
      <c r="M782">
        <v>12.200030870364754</v>
      </c>
      <c r="N782">
        <v>0.34369562786358254</v>
      </c>
      <c r="O782">
        <v>0.12017434169057917</v>
      </c>
      <c r="P782">
        <v>17.336099160081087</v>
      </c>
      <c r="Q782">
        <v>12.12504692432174</v>
      </c>
      <c r="R782">
        <v>0.40133056610647988</v>
      </c>
      <c r="S782">
        <v>0.14047885490636169</v>
      </c>
      <c r="T782">
        <v>17.333143654665427</v>
      </c>
      <c r="U782">
        <v>1508.9374007901631</v>
      </c>
      <c r="V782">
        <v>9.585652440614437</v>
      </c>
      <c r="W782">
        <v>1266.8241839073601</v>
      </c>
      <c r="X782">
        <v>6.9321537664250412</v>
      </c>
      <c r="Y782">
        <v>2884.8712036004863</v>
      </c>
      <c r="Z782">
        <v>9.6195791060329956</v>
      </c>
      <c r="AA782">
        <v>2723.2491980055161</v>
      </c>
      <c r="AB782">
        <v>6.9522349257681251</v>
      </c>
      <c r="AC782">
        <v>2186.5983822597618</v>
      </c>
      <c r="AD782">
        <v>9.6094631503666168</v>
      </c>
      <c r="AE782">
        <v>1996.7904515145378</v>
      </c>
      <c r="AF782">
        <v>6.9462544623765252</v>
      </c>
      <c r="AG782">
        <v>2112.5888803752077</v>
      </c>
      <c r="AH782">
        <v>9.5961327870024693</v>
      </c>
      <c r="AI782">
        <v>1897.3827371163766</v>
      </c>
      <c r="AJ782">
        <v>6.9383644054272153</v>
      </c>
    </row>
    <row r="783" spans="4:36" x14ac:dyDescent="0.55000000000000004">
      <c r="D783">
        <v>776</v>
      </c>
      <c r="E783">
        <v>12.774613798590719</v>
      </c>
      <c r="F783">
        <v>0.4706426783100241</v>
      </c>
      <c r="G783">
        <v>0.16589331661355383</v>
      </c>
      <c r="H783">
        <v>16.58885020648572</v>
      </c>
      <c r="I783">
        <v>12.992383700580604</v>
      </c>
      <c r="J783">
        <v>0.30687429164851837</v>
      </c>
      <c r="K783">
        <v>0.1078297149665744</v>
      </c>
      <c r="L783">
        <v>16.592912292804311</v>
      </c>
      <c r="M783">
        <v>12.886666815177851</v>
      </c>
      <c r="N783">
        <v>0.38640795882593132</v>
      </c>
      <c r="O783">
        <v>0.13598207013996186</v>
      </c>
      <c r="P783">
        <v>16.590943155856234</v>
      </c>
      <c r="Q783">
        <v>12.885739640278935</v>
      </c>
      <c r="R783">
        <v>0.38710523201820379</v>
      </c>
      <c r="S783">
        <v>0.13622926525270818</v>
      </c>
      <c r="T783">
        <v>16.590925862450163</v>
      </c>
      <c r="U783">
        <v>1549.3609847270573</v>
      </c>
      <c r="V783">
        <v>10.059259024504177</v>
      </c>
      <c r="W783">
        <v>1287.1793312597724</v>
      </c>
      <c r="X783">
        <v>7.1927372094887003</v>
      </c>
      <c r="Y783">
        <v>2904.9020556242003</v>
      </c>
      <c r="Z783">
        <v>10.096580755976246</v>
      </c>
      <c r="AA783">
        <v>2732.5513421323035</v>
      </c>
      <c r="AB783">
        <v>7.2144250715640252</v>
      </c>
      <c r="AC783">
        <v>2253.4757283930021</v>
      </c>
      <c r="AD783">
        <v>10.078461704615963</v>
      </c>
      <c r="AE783">
        <v>2036.1672064312336</v>
      </c>
      <c r="AF783">
        <v>7.2039053995796714</v>
      </c>
      <c r="AG783">
        <v>2157.6604648411881</v>
      </c>
      <c r="AH783">
        <v>10.078302803473846</v>
      </c>
      <c r="AI783">
        <v>1924.7967311400303</v>
      </c>
      <c r="AJ783">
        <v>7.203813065638963</v>
      </c>
    </row>
    <row r="784" spans="4:36" x14ac:dyDescent="0.55000000000000004">
      <c r="D784">
        <v>777</v>
      </c>
      <c r="E784">
        <v>12.373271759078936</v>
      </c>
      <c r="F784">
        <v>0.4323701909998845</v>
      </c>
      <c r="G784">
        <v>0.16798111675081939</v>
      </c>
      <c r="H784">
        <v>17.026376933170351</v>
      </c>
      <c r="I784">
        <v>12.580247126564096</v>
      </c>
      <c r="J784">
        <v>0.28023581299571393</v>
      </c>
      <c r="K784">
        <v>0.10854019555045005</v>
      </c>
      <c r="L784">
        <v>17.030976864889727</v>
      </c>
      <c r="M784">
        <v>12.484749191716435</v>
      </c>
      <c r="N784">
        <v>0.35046103646249521</v>
      </c>
      <c r="O784">
        <v>0.13593198773012141</v>
      </c>
      <c r="P784">
        <v>17.028857784090938</v>
      </c>
      <c r="Q784">
        <v>12.447287259590471</v>
      </c>
      <c r="R784">
        <v>0.37799462239662823</v>
      </c>
      <c r="S784">
        <v>0.14669315409560216</v>
      </c>
      <c r="T784">
        <v>17.028024963917275</v>
      </c>
      <c r="U784">
        <v>1529.687918093111</v>
      </c>
      <c r="V784">
        <v>9.7595783261423907</v>
      </c>
      <c r="W784">
        <v>1280.093325140132</v>
      </c>
      <c r="X784">
        <v>7.0236285408322203</v>
      </c>
      <c r="Y784">
        <v>2882.523011557219</v>
      </c>
      <c r="Z784">
        <v>9.7948345064144551</v>
      </c>
      <c r="AA784">
        <v>2721.1910763168744</v>
      </c>
      <c r="AB784">
        <v>7.0442886797690525</v>
      </c>
      <c r="AC784">
        <v>2204.3554475999622</v>
      </c>
      <c r="AD784">
        <v>9.7785659810383141</v>
      </c>
      <c r="AE784">
        <v>2006.8788564218535</v>
      </c>
      <c r="AF784">
        <v>7.0347643138614595</v>
      </c>
      <c r="AG784">
        <v>2110.2405987017</v>
      </c>
      <c r="AH784">
        <v>9.7721848206839148</v>
      </c>
      <c r="AI784">
        <v>1894.9369332832991</v>
      </c>
      <c r="AJ784">
        <v>7.0310242852337694</v>
      </c>
    </row>
    <row r="785" spans="4:36" x14ac:dyDescent="0.55000000000000004">
      <c r="D785">
        <v>778</v>
      </c>
      <c r="E785">
        <v>13.221953320721999</v>
      </c>
      <c r="F785">
        <v>0.48798742370323672</v>
      </c>
      <c r="G785">
        <v>0.19064534597508606</v>
      </c>
      <c r="H785">
        <v>16.099413909599669</v>
      </c>
      <c r="I785">
        <v>13.469363205525067</v>
      </c>
      <c r="J785">
        <v>0.30808433670553514</v>
      </c>
      <c r="K785">
        <v>0.11994295664501951</v>
      </c>
      <c r="L785">
        <v>16.102609501124391</v>
      </c>
      <c r="M785">
        <v>13.361962197581249</v>
      </c>
      <c r="N785">
        <v>0.38622320179710751</v>
      </c>
      <c r="O785">
        <v>0.15059034546033037</v>
      </c>
      <c r="P785">
        <v>16.10122425516132</v>
      </c>
      <c r="Q785">
        <v>13.313278423344752</v>
      </c>
      <c r="R785">
        <v>0.42162125814270046</v>
      </c>
      <c r="S785">
        <v>0.16450497105859929</v>
      </c>
      <c r="T785">
        <v>16.10059534745394</v>
      </c>
      <c r="U785">
        <v>1610.0795201358719</v>
      </c>
      <c r="V785">
        <v>10.511258420233089</v>
      </c>
      <c r="W785">
        <v>1323.1300111827288</v>
      </c>
      <c r="X785">
        <v>7.464466555341482</v>
      </c>
      <c r="Y785">
        <v>2927.967414509043</v>
      </c>
      <c r="Z785">
        <v>10.556531468596308</v>
      </c>
      <c r="AA785">
        <v>2744.9505945148899</v>
      </c>
      <c r="AB785">
        <v>7.4905141018414518</v>
      </c>
      <c r="AC785">
        <v>2275.2510685274847</v>
      </c>
      <c r="AD785">
        <v>10.536877715766821</v>
      </c>
      <c r="AE785">
        <v>2046.7312492273636</v>
      </c>
      <c r="AF785">
        <v>7.4792181926648045</v>
      </c>
      <c r="AG785">
        <v>2175.4963148967572</v>
      </c>
      <c r="AH785">
        <v>10.527969200619802</v>
      </c>
      <c r="AI785">
        <v>1929.4370640984328</v>
      </c>
      <c r="AJ785">
        <v>7.4740921505191578</v>
      </c>
    </row>
    <row r="786" spans="4:36" x14ac:dyDescent="0.55000000000000004">
      <c r="D786">
        <v>779</v>
      </c>
      <c r="E786">
        <v>12.84276452831705</v>
      </c>
      <c r="F786">
        <v>0.48961826235169703</v>
      </c>
      <c r="G786">
        <v>0.17104600337519857</v>
      </c>
      <c r="H786">
        <v>16.496571205956066</v>
      </c>
      <c r="I786">
        <v>13.080962057085829</v>
      </c>
      <c r="J786">
        <v>0.3117944702398705</v>
      </c>
      <c r="K786">
        <v>0.10854720959359937</v>
      </c>
      <c r="L786">
        <v>16.498696263080689</v>
      </c>
      <c r="M786">
        <v>13.001135654548461</v>
      </c>
      <c r="N786">
        <v>0.37142252663715958</v>
      </c>
      <c r="O786">
        <v>0.1294554361490298</v>
      </c>
      <c r="P786">
        <v>16.497986382665339</v>
      </c>
      <c r="Q786">
        <v>12.944168926775609</v>
      </c>
      <c r="R786">
        <v>0.4139538556964738</v>
      </c>
      <c r="S786">
        <v>0.14439882996773853</v>
      </c>
      <c r="T786">
        <v>16.497478387560189</v>
      </c>
      <c r="U786">
        <v>1529.7817471463297</v>
      </c>
      <c r="V786">
        <v>10.184506449693217</v>
      </c>
      <c r="W786">
        <v>1273.2614731106082</v>
      </c>
      <c r="X786">
        <v>7.2733931651725605</v>
      </c>
      <c r="Y786">
        <v>2926.3163150970709</v>
      </c>
      <c r="Z786">
        <v>10.22793371797167</v>
      </c>
      <c r="AA786">
        <v>2748.5255084299074</v>
      </c>
      <c r="AB786">
        <v>7.2985736510142782</v>
      </c>
      <c r="AC786">
        <v>2213.1424848004458</v>
      </c>
      <c r="AD786">
        <v>10.21337892861437</v>
      </c>
      <c r="AE786">
        <v>2009.5464521044678</v>
      </c>
      <c r="AF786">
        <v>7.2901448486733766</v>
      </c>
      <c r="AG786">
        <v>2154.5494912884519</v>
      </c>
      <c r="AH786">
        <v>10.202992856943755</v>
      </c>
      <c r="AI786">
        <v>1921.8168580174195</v>
      </c>
      <c r="AJ786">
        <v>7.2841237328325024</v>
      </c>
    </row>
    <row r="787" spans="4:36" x14ac:dyDescent="0.55000000000000004">
      <c r="D787">
        <v>780</v>
      </c>
      <c r="E787">
        <v>14.209596057783763</v>
      </c>
      <c r="F787">
        <v>0.48303121966331908</v>
      </c>
      <c r="G787">
        <v>0.15309510625281383</v>
      </c>
      <c r="H787">
        <v>15.154277616300103</v>
      </c>
      <c r="I787">
        <v>14.453555232622996</v>
      </c>
      <c r="J787">
        <v>0.31782776208141539</v>
      </c>
      <c r="K787">
        <v>0.10042543741516845</v>
      </c>
      <c r="L787">
        <v>15.128191567880439</v>
      </c>
      <c r="M787">
        <v>14.376843918262715</v>
      </c>
      <c r="N787">
        <v>0.36981402568211713</v>
      </c>
      <c r="O787">
        <v>0.11696413932015043</v>
      </c>
      <c r="P787">
        <v>15.136377916735015</v>
      </c>
      <c r="Q787">
        <v>14.269900129821021</v>
      </c>
      <c r="R787">
        <v>0.44222862728287315</v>
      </c>
      <c r="S787">
        <v>0.1400558823663956</v>
      </c>
      <c r="T787">
        <v>15.147815360529721</v>
      </c>
      <c r="U787">
        <v>1582.1447879526577</v>
      </c>
      <c r="V787">
        <v>11.192936159726075</v>
      </c>
      <c r="W787">
        <v>1304.0147570540285</v>
      </c>
      <c r="X787">
        <v>7.8473665618813406</v>
      </c>
      <c r="Y787">
        <v>2922.4168456000261</v>
      </c>
      <c r="Z787">
        <v>11.254172178518719</v>
      </c>
      <c r="AA787">
        <v>2740.5233143447067</v>
      </c>
      <c r="AB787">
        <v>7.8810203409391919</v>
      </c>
      <c r="AC787">
        <v>2273.6396853830192</v>
      </c>
      <c r="AD787">
        <v>11.23492582285024</v>
      </c>
      <c r="AE787">
        <v>2046.8133423716727</v>
      </c>
      <c r="AF787">
        <v>7.8704528907669005</v>
      </c>
      <c r="AG787">
        <v>2203.2004776013464</v>
      </c>
      <c r="AH787">
        <v>11.208080751471742</v>
      </c>
      <c r="AI787">
        <v>1947.9632606639352</v>
      </c>
      <c r="AJ787">
        <v>7.8556982035258143</v>
      </c>
    </row>
    <row r="788" spans="4:36" x14ac:dyDescent="0.55000000000000004">
      <c r="D788">
        <v>781</v>
      </c>
      <c r="E788">
        <v>12.280027104888996</v>
      </c>
      <c r="F788">
        <v>0.45345626148402796</v>
      </c>
      <c r="G788">
        <v>0.17181498487228994</v>
      </c>
      <c r="H788">
        <v>17.094701648754697</v>
      </c>
      <c r="I788">
        <v>12.491538612455772</v>
      </c>
      <c r="J788">
        <v>0.29761514803512396</v>
      </c>
      <c r="K788">
        <v>0.1124116212080042</v>
      </c>
      <c r="L788">
        <v>17.098434618301109</v>
      </c>
      <c r="M788">
        <v>12.40585093547168</v>
      </c>
      <c r="N788">
        <v>0.36078078296872512</v>
      </c>
      <c r="O788">
        <v>0.13644325040339633</v>
      </c>
      <c r="P788">
        <v>17.096925031156211</v>
      </c>
      <c r="Q788">
        <v>12.405075647447385</v>
      </c>
      <c r="R788">
        <v>0.36135210226163705</v>
      </c>
      <c r="S788">
        <v>0.13666089443107585</v>
      </c>
      <c r="T788">
        <v>17.096911355859909</v>
      </c>
      <c r="U788">
        <v>1511.2123047025764</v>
      </c>
      <c r="V788">
        <v>9.7395205255658652</v>
      </c>
      <c r="W788">
        <v>1265.538459326081</v>
      </c>
      <c r="X788">
        <v>7.0176284488899476</v>
      </c>
      <c r="Y788">
        <v>2889.0681267047157</v>
      </c>
      <c r="Z788">
        <v>9.7776287792734315</v>
      </c>
      <c r="AA788">
        <v>2724.8518335048598</v>
      </c>
      <c r="AB788">
        <v>7.0400118645846161</v>
      </c>
      <c r="AC788">
        <v>2212.5780015116707</v>
      </c>
      <c r="AD788">
        <v>9.7621886887242457</v>
      </c>
      <c r="AE788">
        <v>2012.3889622453853</v>
      </c>
      <c r="AF788">
        <v>7.0309527059715009</v>
      </c>
      <c r="AG788">
        <v>2117.2637365869182</v>
      </c>
      <c r="AH788">
        <v>9.7620489995313307</v>
      </c>
      <c r="AI788">
        <v>1901.6887969616891</v>
      </c>
      <c r="AJ788">
        <v>7.0308706856522818</v>
      </c>
    </row>
    <row r="789" spans="4:36" x14ac:dyDescent="0.55000000000000004">
      <c r="D789">
        <v>782</v>
      </c>
      <c r="E789">
        <v>11.119184246305252</v>
      </c>
      <c r="F789">
        <v>0.41902036364934597</v>
      </c>
      <c r="G789">
        <v>0.15435779461829333</v>
      </c>
      <c r="H789">
        <v>18.307437595427103</v>
      </c>
      <c r="I789">
        <v>11.291947166786565</v>
      </c>
      <c r="J789">
        <v>0.27340735832806945</v>
      </c>
      <c r="K789">
        <v>0.10043956299015774</v>
      </c>
      <c r="L789">
        <v>18.334205911895218</v>
      </c>
      <c r="M789">
        <v>11.207249371652837</v>
      </c>
      <c r="N789">
        <v>0.34480966195120183</v>
      </c>
      <c r="O789">
        <v>0.12684108262511776</v>
      </c>
      <c r="P789">
        <v>18.321099883770835</v>
      </c>
      <c r="Q789">
        <v>11.174134853909562</v>
      </c>
      <c r="R789">
        <v>0.37271824301297724</v>
      </c>
      <c r="S789">
        <v>0.13718012307658833</v>
      </c>
      <c r="T789">
        <v>18.315966780000874</v>
      </c>
      <c r="U789">
        <v>1456.2134442101978</v>
      </c>
      <c r="V789">
        <v>8.8261982690470351</v>
      </c>
      <c r="W789">
        <v>1235.0429348162311</v>
      </c>
      <c r="X789">
        <v>6.48084785032919</v>
      </c>
      <c r="Y789">
        <v>2842.8478707250347</v>
      </c>
      <c r="Z789">
        <v>8.8434579338204173</v>
      </c>
      <c r="AA789">
        <v>2697.7708112073692</v>
      </c>
      <c r="AB789">
        <v>6.4923859707429799</v>
      </c>
      <c r="AC789">
        <v>2160.5850349677285</v>
      </c>
      <c r="AD789">
        <v>8.834986528011525</v>
      </c>
      <c r="AE789">
        <v>1981.3775979978698</v>
      </c>
      <c r="AF789">
        <v>6.4867307395941447</v>
      </c>
      <c r="AG789">
        <v>2040.3488257490487</v>
      </c>
      <c r="AH789">
        <v>8.8316795425659382</v>
      </c>
      <c r="AI789">
        <v>1850.7028721629265</v>
      </c>
      <c r="AJ789">
        <v>6.4845189779359176</v>
      </c>
    </row>
    <row r="790" spans="4:36" x14ac:dyDescent="0.55000000000000004">
      <c r="D790">
        <v>783</v>
      </c>
      <c r="E790">
        <v>12.460415649623714</v>
      </c>
      <c r="F790">
        <v>0.48979627986393987</v>
      </c>
      <c r="G790">
        <v>0.16917415664669969</v>
      </c>
      <c r="H790">
        <v>16.880613913865645</v>
      </c>
      <c r="I790">
        <v>12.720386874782394</v>
      </c>
      <c r="J790">
        <v>0.29295665843948854</v>
      </c>
      <c r="K790">
        <v>0.1008014577031109</v>
      </c>
      <c r="L790">
        <v>16.885855009075001</v>
      </c>
      <c r="M790">
        <v>12.608607659400905</v>
      </c>
      <c r="N790">
        <v>0.37763589352049154</v>
      </c>
      <c r="O790">
        <v>0.13015020983565034</v>
      </c>
      <c r="P790">
        <v>16.883606237242933</v>
      </c>
      <c r="Q790">
        <v>12.556393637358587</v>
      </c>
      <c r="R790">
        <v>0.41716808532698313</v>
      </c>
      <c r="S790">
        <v>0.14388491595805111</v>
      </c>
      <c r="T790">
        <v>16.882553361356369</v>
      </c>
      <c r="U790">
        <v>1565.2004772381317</v>
      </c>
      <c r="V790">
        <v>9.8605471165484744</v>
      </c>
      <c r="W790">
        <v>1301.7755927773471</v>
      </c>
      <c r="X790">
        <v>7.0818010260314344</v>
      </c>
      <c r="Y790">
        <v>2892.3234860006746</v>
      </c>
      <c r="Z790">
        <v>9.9048785353128981</v>
      </c>
      <c r="AA790">
        <v>2727.4322768891652</v>
      </c>
      <c r="AB790">
        <v>7.1077759446656925</v>
      </c>
      <c r="AC790">
        <v>2224.8977901628755</v>
      </c>
      <c r="AD790">
        <v>9.8858148065272839</v>
      </c>
      <c r="AE790">
        <v>2019.8710245306863</v>
      </c>
      <c r="AF790">
        <v>7.0966199359243749</v>
      </c>
      <c r="AG790">
        <v>2074.6500114240671</v>
      </c>
      <c r="AH790">
        <v>9.8769111722522354</v>
      </c>
      <c r="AI790">
        <v>1866.4919328323999</v>
      </c>
      <c r="AJ790">
        <v>7.0914024063972363</v>
      </c>
    </row>
    <row r="791" spans="4:36" x14ac:dyDescent="0.55000000000000004">
      <c r="D791">
        <v>784</v>
      </c>
      <c r="E791">
        <v>13.17611018158046</v>
      </c>
      <c r="F791">
        <v>0.47412777168194853</v>
      </c>
      <c r="G791">
        <v>0.18780711155827026</v>
      </c>
      <c r="H791">
        <v>16.161954935179317</v>
      </c>
      <c r="I791">
        <v>13.408780040662872</v>
      </c>
      <c r="J791">
        <v>0.31373850534822184</v>
      </c>
      <c r="K791">
        <v>0.12385889585590333</v>
      </c>
      <c r="L791">
        <v>16.153622558132998</v>
      </c>
      <c r="M791">
        <v>13.337497258005968</v>
      </c>
      <c r="N791">
        <v>0.36291274211810143</v>
      </c>
      <c r="O791">
        <v>0.14341869446006802</v>
      </c>
      <c r="P791">
        <v>16.156171305415874</v>
      </c>
      <c r="Q791">
        <v>13.293932487334098</v>
      </c>
      <c r="R791">
        <v>0.39295020184993673</v>
      </c>
      <c r="S791">
        <v>0.15538658091677071</v>
      </c>
      <c r="T791">
        <v>16.1577307298992</v>
      </c>
      <c r="U791">
        <v>1599.9005194755284</v>
      </c>
      <c r="V791">
        <v>10.424759609052485</v>
      </c>
      <c r="W791">
        <v>1322.0605346997402</v>
      </c>
      <c r="X791">
        <v>7.4098642677928988</v>
      </c>
      <c r="Y791">
        <v>2911.8675021615022</v>
      </c>
      <c r="Z791">
        <v>10.472735991510437</v>
      </c>
      <c r="AA791">
        <v>2736.2624333657232</v>
      </c>
      <c r="AB791">
        <v>7.437120643852043</v>
      </c>
      <c r="AC791">
        <v>2236.5182878284495</v>
      </c>
      <c r="AD791">
        <v>10.458039909246425</v>
      </c>
      <c r="AE791">
        <v>2024.8183485526422</v>
      </c>
      <c r="AF791">
        <v>7.4287809343994722</v>
      </c>
      <c r="AG791">
        <v>2123.2958683349543</v>
      </c>
      <c r="AH791">
        <v>10.449057304526926</v>
      </c>
      <c r="AI791">
        <v>1898.6468545065409</v>
      </c>
      <c r="AJ791">
        <v>7.4236794161687785</v>
      </c>
    </row>
    <row r="792" spans="4:36" x14ac:dyDescent="0.55000000000000004">
      <c r="D792">
        <v>785</v>
      </c>
      <c r="E792">
        <v>13.154473579909178</v>
      </c>
      <c r="F792">
        <v>0.49983664279911361</v>
      </c>
      <c r="G792">
        <v>0.17971438666434372</v>
      </c>
      <c r="H792">
        <v>16.165975390627359</v>
      </c>
      <c r="I792">
        <v>13.386830305126734</v>
      </c>
      <c r="J792">
        <v>0.32921491273234316</v>
      </c>
      <c r="K792">
        <v>0.11797607512150673</v>
      </c>
      <c r="L792">
        <v>16.165978707019413</v>
      </c>
      <c r="M792">
        <v>13.320506765288915</v>
      </c>
      <c r="N792">
        <v>0.37794762820526129</v>
      </c>
      <c r="O792">
        <v>0.13556731970389807</v>
      </c>
      <c r="P792">
        <v>16.165978286801909</v>
      </c>
      <c r="Q792">
        <v>13.276386703964942</v>
      </c>
      <c r="R792">
        <v>0.41035230411371282</v>
      </c>
      <c r="S792">
        <v>0.14728321613904172</v>
      </c>
      <c r="T792">
        <v>16.165977775782302</v>
      </c>
      <c r="U792">
        <v>1602.0996440438084</v>
      </c>
      <c r="V792">
        <v>10.441794885033559</v>
      </c>
      <c r="W792">
        <v>1321.8552603322137</v>
      </c>
      <c r="X792">
        <v>7.4230136883032465</v>
      </c>
      <c r="Y792">
        <v>2931.9166096800172</v>
      </c>
      <c r="Z792">
        <v>10.487904855144217</v>
      </c>
      <c r="AA792">
        <v>2749.5197229628543</v>
      </c>
      <c r="AB792">
        <v>7.4495619648346754</v>
      </c>
      <c r="AC792">
        <v>2270.8530223168841</v>
      </c>
      <c r="AD792">
        <v>10.474742783837387</v>
      </c>
      <c r="AE792">
        <v>2048.3373069128552</v>
      </c>
      <c r="AF792">
        <v>7.4419931831221309</v>
      </c>
      <c r="AG792">
        <v>2106.4567636981465</v>
      </c>
      <c r="AH792">
        <v>10.465987274068114</v>
      </c>
      <c r="AI792">
        <v>1885.4231388696746</v>
      </c>
      <c r="AJ792">
        <v>7.4369542298076246</v>
      </c>
    </row>
    <row r="793" spans="4:36" x14ac:dyDescent="0.55000000000000004">
      <c r="D793">
        <v>786</v>
      </c>
      <c r="E793">
        <v>12.150862420341728</v>
      </c>
      <c r="F793">
        <v>0.40199426754866746</v>
      </c>
      <c r="G793">
        <v>0.15080571032298851</v>
      </c>
      <c r="H793">
        <v>17.296337601786622</v>
      </c>
      <c r="I793">
        <v>12.31563217286257</v>
      </c>
      <c r="J793">
        <v>0.28062278948591673</v>
      </c>
      <c r="K793">
        <v>0.1050116039736789</v>
      </c>
      <c r="L793">
        <v>17.298733433677846</v>
      </c>
      <c r="M793">
        <v>12.248976741029932</v>
      </c>
      <c r="N793">
        <v>0.3297410532941269</v>
      </c>
      <c r="O793">
        <v>0.12351630270120112</v>
      </c>
      <c r="P793">
        <v>17.297765902974749</v>
      </c>
      <c r="Q793">
        <v>12.199889042050451</v>
      </c>
      <c r="R793">
        <v>0.36589718308739566</v>
      </c>
      <c r="S793">
        <v>0.13716184883973093</v>
      </c>
      <c r="T793">
        <v>17.297051926022412</v>
      </c>
      <c r="U793">
        <v>1541.5509820251868</v>
      </c>
      <c r="V793">
        <v>9.5753547494330071</v>
      </c>
      <c r="W793">
        <v>1290.8850839632232</v>
      </c>
      <c r="X793">
        <v>6.9194934352150259</v>
      </c>
      <c r="Y793">
        <v>2902.2387678398786</v>
      </c>
      <c r="Z793">
        <v>9.6062482240918872</v>
      </c>
      <c r="AA793">
        <v>2735.2403189007382</v>
      </c>
      <c r="AB793">
        <v>6.9377015505470174</v>
      </c>
      <c r="AC793">
        <v>2193.2351468368756</v>
      </c>
      <c r="AD793">
        <v>9.5937494910422476</v>
      </c>
      <c r="AE793">
        <v>2000.2086147299842</v>
      </c>
      <c r="AF793">
        <v>6.930341359113112</v>
      </c>
      <c r="AG793">
        <v>2088.4033694881114</v>
      </c>
      <c r="AH793">
        <v>9.5845459565522546</v>
      </c>
      <c r="AI793">
        <v>1879.7520911687784</v>
      </c>
      <c r="AJ793">
        <v>6.9249161158335424</v>
      </c>
    </row>
    <row r="794" spans="4:36" x14ac:dyDescent="0.55000000000000004">
      <c r="D794">
        <v>787</v>
      </c>
      <c r="E794">
        <v>13.194911199089148</v>
      </c>
      <c r="F794">
        <v>0.48332037572635289</v>
      </c>
      <c r="G794">
        <v>0.17658946992483462</v>
      </c>
      <c r="H794">
        <v>16.145178955259659</v>
      </c>
      <c r="I794">
        <v>13.419415097665746</v>
      </c>
      <c r="J794">
        <v>0.31974890300374126</v>
      </c>
      <c r="K794">
        <v>0.1164556956165631</v>
      </c>
      <c r="L794">
        <v>16.144380303713927</v>
      </c>
      <c r="M794">
        <v>13.308910785501046</v>
      </c>
      <c r="N794">
        <v>0.40029701616589086</v>
      </c>
      <c r="O794">
        <v>0.14601916111920882</v>
      </c>
      <c r="P794">
        <v>16.144773037213845</v>
      </c>
      <c r="Q794">
        <v>13.303505118684862</v>
      </c>
      <c r="R794">
        <v>0.40423551274329234</v>
      </c>
      <c r="S794">
        <v>0.14746710096145738</v>
      </c>
      <c r="T794">
        <v>16.144792267610402</v>
      </c>
      <c r="U794">
        <v>1580.16602115058</v>
      </c>
      <c r="V794">
        <v>10.45036260694347</v>
      </c>
      <c r="W794">
        <v>1302.5279852163414</v>
      </c>
      <c r="X794">
        <v>7.4247293459790624</v>
      </c>
      <c r="Y794">
        <v>2950.8977157251984</v>
      </c>
      <c r="Z794">
        <v>10.49019608030321</v>
      </c>
      <c r="AA794">
        <v>2760.6110376329175</v>
      </c>
      <c r="AB794">
        <v>7.4475064956018864</v>
      </c>
      <c r="AC794">
        <v>2291.2295866885561</v>
      </c>
      <c r="AD794">
        <v>10.470590292431577</v>
      </c>
      <c r="AE794">
        <v>2057.3378812194096</v>
      </c>
      <c r="AF794">
        <v>7.4363049616557095</v>
      </c>
      <c r="AG794">
        <v>2187.0508722438967</v>
      </c>
      <c r="AH794">
        <v>10.469631170518053</v>
      </c>
      <c r="AI794">
        <v>1939.4755507295163</v>
      </c>
      <c r="AJ794">
        <v>7.4357565215107115</v>
      </c>
    </row>
    <row r="795" spans="4:36" x14ac:dyDescent="0.55000000000000004">
      <c r="D795">
        <v>788</v>
      </c>
      <c r="E795">
        <v>13.116665821929841</v>
      </c>
      <c r="F795">
        <v>0.48183976324579686</v>
      </c>
      <c r="G795">
        <v>0.16832125473127599</v>
      </c>
      <c r="H795">
        <v>16.233173160093084</v>
      </c>
      <c r="I795">
        <v>13.365676694039532</v>
      </c>
      <c r="J795">
        <v>0.3070613383097141</v>
      </c>
      <c r="K795">
        <v>0.1069045229704112</v>
      </c>
      <c r="L795">
        <v>16.220357444680346</v>
      </c>
      <c r="M795">
        <v>13.267632804113994</v>
      </c>
      <c r="N795">
        <v>0.37592251153031392</v>
      </c>
      <c r="O795">
        <v>0.13105195751820892</v>
      </c>
      <c r="P795">
        <v>16.225392726837477</v>
      </c>
      <c r="Q795">
        <v>13.229543289721908</v>
      </c>
      <c r="R795">
        <v>0.40265897181294497</v>
      </c>
      <c r="S795">
        <v>0.14044510277573583</v>
      </c>
      <c r="T795">
        <v>16.227352635689396</v>
      </c>
      <c r="U795">
        <v>1569.1867271760873</v>
      </c>
      <c r="V795">
        <v>10.291848765368661</v>
      </c>
      <c r="W795">
        <v>1301.4920110940091</v>
      </c>
      <c r="X795">
        <v>7.323370551095306</v>
      </c>
      <c r="Y795">
        <v>2896.5404574138397</v>
      </c>
      <c r="Z795">
        <v>10.345585112344994</v>
      </c>
      <c r="AA795">
        <v>2727.0646902306153</v>
      </c>
      <c r="AB795">
        <v>7.3537274880976096</v>
      </c>
      <c r="AC795">
        <v>2235.309284299748</v>
      </c>
      <c r="AD795">
        <v>10.324432826484614</v>
      </c>
      <c r="AE795">
        <v>2024.5501593353408</v>
      </c>
      <c r="AF795">
        <v>7.3417902775298307</v>
      </c>
      <c r="AG795">
        <v>2152.3031304321194</v>
      </c>
      <c r="AH795">
        <v>10.316213358629067</v>
      </c>
      <c r="AI795">
        <v>1920.3413799865411</v>
      </c>
      <c r="AJ795">
        <v>7.3371473935848925</v>
      </c>
    </row>
    <row r="796" spans="4:36" x14ac:dyDescent="0.55000000000000004">
      <c r="D796">
        <v>789</v>
      </c>
      <c r="E796">
        <v>11.855398818809267</v>
      </c>
      <c r="F796">
        <v>0.42041131041042451</v>
      </c>
      <c r="G796">
        <v>0.14990843986232591</v>
      </c>
      <c r="H796">
        <v>17.574281430917978</v>
      </c>
      <c r="I796">
        <v>12.011216084393203</v>
      </c>
      <c r="J796">
        <v>0.30064868928535404</v>
      </c>
      <c r="K796">
        <v>0.10695251826474134</v>
      </c>
      <c r="L796">
        <v>17.581182708056701</v>
      </c>
      <c r="M796">
        <v>11.935567890324952</v>
      </c>
      <c r="N796">
        <v>0.35880880873684268</v>
      </c>
      <c r="O796">
        <v>0.12778758260397421</v>
      </c>
      <c r="P796">
        <v>17.577835718334224</v>
      </c>
      <c r="Q796">
        <v>11.918672947003472</v>
      </c>
      <c r="R796">
        <v>0.3717938730518589</v>
      </c>
      <c r="S796">
        <v>0.13244587224910584</v>
      </c>
      <c r="T796">
        <v>17.577087307695557</v>
      </c>
      <c r="U796">
        <v>1495.1275874695434</v>
      </c>
      <c r="V796">
        <v>9.3575609107153408</v>
      </c>
      <c r="W796">
        <v>1259.4415662210333</v>
      </c>
      <c r="X796">
        <v>6.7915828361926263</v>
      </c>
      <c r="Y796">
        <v>2881.7357860060492</v>
      </c>
      <c r="Z796">
        <v>9.3837004231883014</v>
      </c>
      <c r="AA796">
        <v>2721.3138595350888</v>
      </c>
      <c r="AB796">
        <v>6.8072416080110667</v>
      </c>
      <c r="AC796">
        <v>2184.3384134364587</v>
      </c>
      <c r="AD796">
        <v>9.3710077548912896</v>
      </c>
      <c r="AE796">
        <v>1994.4531150891232</v>
      </c>
      <c r="AF796">
        <v>6.799643964888241</v>
      </c>
      <c r="AG796">
        <v>2082.0720123992114</v>
      </c>
      <c r="AH796">
        <v>9.3681735733225313</v>
      </c>
      <c r="AI796">
        <v>1877.9956160402091</v>
      </c>
      <c r="AJ796">
        <v>6.7979459625497523</v>
      </c>
    </row>
    <row r="797" spans="4:36" x14ac:dyDescent="0.55000000000000004">
      <c r="D797">
        <v>790</v>
      </c>
      <c r="E797">
        <v>12.202379093722357</v>
      </c>
      <c r="F797">
        <v>0.44351696810029273</v>
      </c>
      <c r="G797">
        <v>0.15703857750451086</v>
      </c>
      <c r="H797">
        <v>17.197065360672848</v>
      </c>
      <c r="I797">
        <v>12.410669120643009</v>
      </c>
      <c r="J797">
        <v>0.28489597838296982</v>
      </c>
      <c r="K797">
        <v>0.10056082303977053</v>
      </c>
      <c r="L797">
        <v>17.203874077934259</v>
      </c>
      <c r="M797">
        <v>12.307053639495695</v>
      </c>
      <c r="N797">
        <v>0.36383236254291956</v>
      </c>
      <c r="O797">
        <v>0.12862187546343221</v>
      </c>
      <c r="P797">
        <v>17.200492122497959</v>
      </c>
      <c r="Q797">
        <v>12.277131035315005</v>
      </c>
      <c r="R797">
        <v>0.38661730280682205</v>
      </c>
      <c r="S797">
        <v>0.13673806840418437</v>
      </c>
      <c r="T797">
        <v>17.199513593473977</v>
      </c>
      <c r="U797">
        <v>1528.4991142208978</v>
      </c>
      <c r="V797">
        <v>9.6442480242535265</v>
      </c>
      <c r="W797">
        <v>1277.3880647497679</v>
      </c>
      <c r="X797">
        <v>6.9584515984048467</v>
      </c>
      <c r="Y797">
        <v>2889.7951491254671</v>
      </c>
      <c r="Z797">
        <v>9.6789223138461562</v>
      </c>
      <c r="AA797">
        <v>2725.4858363366598</v>
      </c>
      <c r="AB797">
        <v>6.9790578766649656</v>
      </c>
      <c r="AC797">
        <v>2237.5384706892141</v>
      </c>
      <c r="AD797">
        <v>9.6616698463209509</v>
      </c>
      <c r="AE797">
        <v>2029.0766017130013</v>
      </c>
      <c r="AF797">
        <v>6.9688148433431234</v>
      </c>
      <c r="AG797">
        <v>2101.7171919643365</v>
      </c>
      <c r="AH797">
        <v>9.6566888674746565</v>
      </c>
      <c r="AI797">
        <v>1887.2152457829375</v>
      </c>
      <c r="AJ797">
        <v>6.9658539748751647</v>
      </c>
    </row>
    <row r="798" spans="4:36" x14ac:dyDescent="0.55000000000000004">
      <c r="D798">
        <v>791</v>
      </c>
      <c r="E798">
        <v>11.911259776171798</v>
      </c>
      <c r="F798">
        <v>0.46017563723168597</v>
      </c>
      <c r="G798">
        <v>0.1716762202057103</v>
      </c>
      <c r="H798">
        <v>17.456888366390803</v>
      </c>
      <c r="I798">
        <v>12.105144626143543</v>
      </c>
      <c r="J798">
        <v>0.30642941500600146</v>
      </c>
      <c r="K798">
        <v>0.11395253168446619</v>
      </c>
      <c r="L798">
        <v>17.474473427165975</v>
      </c>
      <c r="M798">
        <v>12.020599015222885</v>
      </c>
      <c r="N798">
        <v>0.37349461922986671</v>
      </c>
      <c r="O798">
        <v>0.13908586409085999</v>
      </c>
      <c r="P798">
        <v>17.466820501456404</v>
      </c>
      <c r="Q798">
        <v>12.045553462356178</v>
      </c>
      <c r="R798">
        <v>0.35370327968708087</v>
      </c>
      <c r="S798">
        <v>0.13166148649250123</v>
      </c>
      <c r="T798">
        <v>17.469081771464232</v>
      </c>
      <c r="U798">
        <v>1530.3136765985505</v>
      </c>
      <c r="V798">
        <v>9.3658242737419926</v>
      </c>
      <c r="W798">
        <v>1279.1759894887723</v>
      </c>
      <c r="X798">
        <v>6.7840078961669628</v>
      </c>
      <c r="Y798">
        <v>2884.4275024063886</v>
      </c>
      <c r="Z798">
        <v>9.3904227241739306</v>
      </c>
      <c r="AA798">
        <v>2720.9692580397445</v>
      </c>
      <c r="AB798">
        <v>6.7993060529435878</v>
      </c>
      <c r="AC798">
        <v>2212.3860776273796</v>
      </c>
      <c r="AD798">
        <v>9.3796884884465968</v>
      </c>
      <c r="AE798">
        <v>2011.4753222804288</v>
      </c>
      <c r="AF798">
        <v>6.7926387392807133</v>
      </c>
      <c r="AG798">
        <v>2076.4787451977118</v>
      </c>
      <c r="AH798">
        <v>9.3828555519099268</v>
      </c>
      <c r="AI798">
        <v>1873.1421017756506</v>
      </c>
      <c r="AJ798">
        <v>6.7946072384536622</v>
      </c>
    </row>
    <row r="799" spans="4:36" x14ac:dyDescent="0.55000000000000004">
      <c r="D799">
        <v>792</v>
      </c>
      <c r="E799">
        <v>14.013535841651549</v>
      </c>
      <c r="F799">
        <v>0.51378728732905699</v>
      </c>
      <c r="G799">
        <v>0.16113424091492573</v>
      </c>
      <c r="H799">
        <v>15.311542630104457</v>
      </c>
      <c r="I799">
        <v>14.300833855669561</v>
      </c>
      <c r="J799">
        <v>0.31774471180892344</v>
      </c>
      <c r="K799">
        <v>9.9283185181980205E-2</v>
      </c>
      <c r="L799">
        <v>15.282138247339525</v>
      </c>
      <c r="M799">
        <v>14.166165721498185</v>
      </c>
      <c r="N799">
        <v>0.40970043489243668</v>
      </c>
      <c r="O799">
        <v>0.12823709020748145</v>
      </c>
      <c r="P799">
        <v>15.295896753401903</v>
      </c>
      <c r="Q799">
        <v>14.101045192181315</v>
      </c>
      <c r="R799">
        <v>0.45412726107301865</v>
      </c>
      <c r="S799">
        <v>0.14226222272523797</v>
      </c>
      <c r="T799">
        <v>15.30256532402043</v>
      </c>
      <c r="U799">
        <v>1611.8245932124642</v>
      </c>
      <c r="V799">
        <v>11.044267678730641</v>
      </c>
      <c r="W799">
        <v>1325.0230767410135</v>
      </c>
      <c r="X799">
        <v>7.7614171180799767</v>
      </c>
      <c r="Y799">
        <v>2909.0839702759167</v>
      </c>
      <c r="Z799">
        <v>11.118421948738543</v>
      </c>
      <c r="AA799">
        <v>2732.359342068456</v>
      </c>
      <c r="AB799">
        <v>7.8024065771460442</v>
      </c>
      <c r="AC799">
        <v>2280.7096011702829</v>
      </c>
      <c r="AD799">
        <v>11.08367586100786</v>
      </c>
      <c r="AE799">
        <v>2050.8223917579567</v>
      </c>
      <c r="AF799">
        <v>7.7832174026288454</v>
      </c>
      <c r="AG799">
        <v>2178.6036533334022</v>
      </c>
      <c r="AH799">
        <v>11.066865734649936</v>
      </c>
      <c r="AI799">
        <v>1931.5833595974641</v>
      </c>
      <c r="AJ799">
        <v>7.7739229437653492</v>
      </c>
    </row>
    <row r="800" spans="4:36" x14ac:dyDescent="0.55000000000000004">
      <c r="D800">
        <v>793</v>
      </c>
      <c r="E800">
        <v>11.451818181770903</v>
      </c>
      <c r="F800">
        <v>0.39388944437494672</v>
      </c>
      <c r="G800">
        <v>0.16783366425622268</v>
      </c>
      <c r="H800">
        <v>17.986458709597926</v>
      </c>
      <c r="I800">
        <v>11.632353492939911</v>
      </c>
      <c r="J800">
        <v>0.25761465123471522</v>
      </c>
      <c r="K800">
        <v>0.10943809097218522</v>
      </c>
      <c r="L800">
        <v>18.000593764853182</v>
      </c>
      <c r="M800">
        <v>11.553098518004457</v>
      </c>
      <c r="N800">
        <v>0.31746208909355439</v>
      </c>
      <c r="O800">
        <v>0.13503969893080872</v>
      </c>
      <c r="P800">
        <v>17.994399693971172</v>
      </c>
      <c r="Q800">
        <v>11.512076146200865</v>
      </c>
      <c r="R800">
        <v>0.34842512312492979</v>
      </c>
      <c r="S800">
        <v>0.14831196323944384</v>
      </c>
      <c r="T800">
        <v>17.991186767434758</v>
      </c>
      <c r="U800">
        <v>1482.8430356314977</v>
      </c>
      <c r="V800">
        <v>9.1383512727687943</v>
      </c>
      <c r="W800">
        <v>1252.1509603003281</v>
      </c>
      <c r="X800">
        <v>6.6760355393789821</v>
      </c>
      <c r="Y800">
        <v>2879.2659314482139</v>
      </c>
      <c r="Z800">
        <v>9.1667419811825486</v>
      </c>
      <c r="AA800">
        <v>2722.8029450966628</v>
      </c>
      <c r="AB800">
        <v>6.6936492104679912</v>
      </c>
      <c r="AC800">
        <v>2195.3054111600327</v>
      </c>
      <c r="AD800">
        <v>9.1542716705723617</v>
      </c>
      <c r="AE800">
        <v>2005.491478305182</v>
      </c>
      <c r="AF800">
        <v>6.6859216651828985</v>
      </c>
      <c r="AG800">
        <v>2085.4573138889864</v>
      </c>
      <c r="AH800">
        <v>9.1478212030674388</v>
      </c>
      <c r="AI800">
        <v>1881.9449927357034</v>
      </c>
      <c r="AJ800">
        <v>6.6819189139778414</v>
      </c>
    </row>
    <row r="801" spans="4:36" x14ac:dyDescent="0.55000000000000004">
      <c r="D801">
        <v>794</v>
      </c>
      <c r="E801">
        <v>11.684939408085109</v>
      </c>
      <c r="F801">
        <v>0.46298663273728813</v>
      </c>
      <c r="G801">
        <v>0.16277163741262435</v>
      </c>
      <c r="H801">
        <v>17.689302321764977</v>
      </c>
      <c r="I801">
        <v>11.931620134530046</v>
      </c>
      <c r="J801">
        <v>0.27064331449707446</v>
      </c>
      <c r="K801">
        <v>9.478951501171326E-2</v>
      </c>
      <c r="L801">
        <v>17.702947035961163</v>
      </c>
      <c r="M801">
        <v>11.855239829055241</v>
      </c>
      <c r="N801">
        <v>0.3302325617895282</v>
      </c>
      <c r="O801">
        <v>0.11579504650130291</v>
      </c>
      <c r="P801">
        <v>17.69873256265393</v>
      </c>
      <c r="Q801">
        <v>11.793510088904991</v>
      </c>
      <c r="R801">
        <v>0.37837004750238901</v>
      </c>
      <c r="S801">
        <v>0.13280015896962258</v>
      </c>
      <c r="T801">
        <v>17.695319704622989</v>
      </c>
      <c r="U801">
        <v>1519.1024679438124</v>
      </c>
      <c r="V801">
        <v>9.3151742566644806</v>
      </c>
      <c r="W801">
        <v>1274.6895374343896</v>
      </c>
      <c r="X801">
        <v>6.7742373844821833</v>
      </c>
      <c r="Y801">
        <v>2876.168190334125</v>
      </c>
      <c r="Z801">
        <v>9.3548321886615931</v>
      </c>
      <c r="AA801">
        <v>2720.3643794317209</v>
      </c>
      <c r="AB801">
        <v>6.798206546229113</v>
      </c>
      <c r="AC801">
        <v>2178.4076161069161</v>
      </c>
      <c r="AD801">
        <v>9.3425468768391902</v>
      </c>
      <c r="AE801">
        <v>1993.2226982239883</v>
      </c>
      <c r="AF801">
        <v>6.7907940479181903</v>
      </c>
      <c r="AG801">
        <v>2089.4757788398201</v>
      </c>
      <c r="AH801">
        <v>9.3326218941992369</v>
      </c>
      <c r="AI801">
        <v>1883.7730513443585</v>
      </c>
      <c r="AJ801">
        <v>6.7847973978318121</v>
      </c>
    </row>
    <row r="802" spans="4:36" x14ac:dyDescent="0.55000000000000004">
      <c r="D802">
        <v>795</v>
      </c>
      <c r="E802">
        <v>13.559066180638814</v>
      </c>
      <c r="F802">
        <v>0.49073049101123301</v>
      </c>
      <c r="G802">
        <v>0.15012522473353329</v>
      </c>
      <c r="H802">
        <v>15.80007810361643</v>
      </c>
      <c r="I802">
        <v>13.844168742113826</v>
      </c>
      <c r="J802">
        <v>0.29451489649511953</v>
      </c>
      <c r="K802">
        <v>8.9769999073823173E-2</v>
      </c>
      <c r="L802">
        <v>15.771546362317242</v>
      </c>
      <c r="M802">
        <v>13.703414355901495</v>
      </c>
      <c r="N802">
        <v>0.39144851564449828</v>
      </c>
      <c r="O802">
        <v>0.11953043411727289</v>
      </c>
      <c r="P802">
        <v>15.785606694336744</v>
      </c>
      <c r="Q802">
        <v>13.669529824983865</v>
      </c>
      <c r="R802">
        <v>0.41476571352148028</v>
      </c>
      <c r="S802">
        <v>0.12670549243505144</v>
      </c>
      <c r="T802">
        <v>15.788998969059591</v>
      </c>
      <c r="U802">
        <v>1637.3771688281431</v>
      </c>
      <c r="V802">
        <v>10.716260196699171</v>
      </c>
      <c r="W802">
        <v>1345.0313689049667</v>
      </c>
      <c r="X802">
        <v>7.5803593404156624</v>
      </c>
      <c r="Y802">
        <v>2950.6447385711131</v>
      </c>
      <c r="Z802">
        <v>10.78835954790789</v>
      </c>
      <c r="AA802">
        <v>2763.5856420708628</v>
      </c>
      <c r="AB802">
        <v>7.6203789830926931</v>
      </c>
      <c r="AC802">
        <v>2275.976269754628</v>
      </c>
      <c r="AD802">
        <v>10.752778208016851</v>
      </c>
      <c r="AE802">
        <v>2048.9207323140636</v>
      </c>
      <c r="AF802">
        <v>7.6006464078122447</v>
      </c>
      <c r="AG802">
        <v>2186.2977005075199</v>
      </c>
      <c r="AH802">
        <v>10.74420849057768</v>
      </c>
      <c r="AI802">
        <v>1939.8762843272402</v>
      </c>
      <c r="AJ802">
        <v>7.5958888309595274</v>
      </c>
    </row>
    <row r="803" spans="4:36" x14ac:dyDescent="0.55000000000000004">
      <c r="D803">
        <v>796</v>
      </c>
      <c r="E803">
        <v>11.731874119165694</v>
      </c>
      <c r="F803">
        <v>0.46469238227048421</v>
      </c>
      <c r="G803">
        <v>0.15143023186928178</v>
      </c>
      <c r="H803">
        <v>17.652003266694546</v>
      </c>
      <c r="I803">
        <v>11.926744019962348</v>
      </c>
      <c r="J803">
        <v>0.3022639257640104</v>
      </c>
      <c r="K803">
        <v>9.8220192242300761E-2</v>
      </c>
      <c r="L803">
        <v>17.672771862031347</v>
      </c>
      <c r="M803">
        <v>11.831663575131339</v>
      </c>
      <c r="N803">
        <v>0.38153495124934489</v>
      </c>
      <c r="O803">
        <v>0.12415040839222473</v>
      </c>
      <c r="P803">
        <v>17.662651065227092</v>
      </c>
      <c r="Q803">
        <v>11.807081287913668</v>
      </c>
      <c r="R803">
        <v>0.40202386410494917</v>
      </c>
      <c r="S803">
        <v>0.13086431790178629</v>
      </c>
      <c r="T803">
        <v>17.660030530079599</v>
      </c>
      <c r="U803">
        <v>1521.4234929886004</v>
      </c>
      <c r="V803">
        <v>9.323956209777533</v>
      </c>
      <c r="W803">
        <v>1274.122400734396</v>
      </c>
      <c r="X803">
        <v>6.7752634532655129</v>
      </c>
      <c r="Y803">
        <v>2882.0079769373165</v>
      </c>
      <c r="Z803">
        <v>9.3497617650964422</v>
      </c>
      <c r="AA803">
        <v>2720.7596095734457</v>
      </c>
      <c r="AB803">
        <v>6.7913998670666613</v>
      </c>
      <c r="AC803">
        <v>2212.5184505490843</v>
      </c>
      <c r="AD803">
        <v>9.3371627950786351</v>
      </c>
      <c r="AE803">
        <v>2012.3675042261391</v>
      </c>
      <c r="AF803">
        <v>6.7835307583859494</v>
      </c>
      <c r="AG803">
        <v>2089.7450959903986</v>
      </c>
      <c r="AH803">
        <v>9.3339079011712283</v>
      </c>
      <c r="AI803">
        <v>1880.2877261712679</v>
      </c>
      <c r="AJ803">
        <v>6.7814949880217616</v>
      </c>
    </row>
    <row r="804" spans="4:36" x14ac:dyDescent="0.55000000000000004">
      <c r="D804">
        <v>797</v>
      </c>
      <c r="E804">
        <v>13.536886211187344</v>
      </c>
      <c r="F804">
        <v>0.4583908223020392</v>
      </c>
      <c r="G804">
        <v>0.16275654795344463</v>
      </c>
      <c r="H804">
        <v>15.841966418557188</v>
      </c>
      <c r="I804">
        <v>13.763192903297302</v>
      </c>
      <c r="J804">
        <v>0.3053057660930012</v>
      </c>
      <c r="K804">
        <v>0.10806950254948373</v>
      </c>
      <c r="L804">
        <v>15.823431828060205</v>
      </c>
      <c r="M804">
        <v>13.642178705865819</v>
      </c>
      <c r="N804">
        <v>0.38720608206766399</v>
      </c>
      <c r="O804">
        <v>0.13728451270664074</v>
      </c>
      <c r="P804">
        <v>15.833330699359875</v>
      </c>
      <c r="Q804">
        <v>13.634124453418302</v>
      </c>
      <c r="R804">
        <v>0.39265378230508174</v>
      </c>
      <c r="S804">
        <v>0.13923123879976509</v>
      </c>
      <c r="T804">
        <v>15.833990525476864</v>
      </c>
      <c r="U804">
        <v>1595.9456940326472</v>
      </c>
      <c r="V804">
        <v>10.734569746968752</v>
      </c>
      <c r="W804">
        <v>1315.9853996286124</v>
      </c>
      <c r="X804">
        <v>7.5960200923991783</v>
      </c>
      <c r="Y804">
        <v>2932.6997819188282</v>
      </c>
      <c r="Z804">
        <v>10.787928523402256</v>
      </c>
      <c r="AA804">
        <v>2748.9137834204562</v>
      </c>
      <c r="AB804">
        <v>7.6257256169229004</v>
      </c>
      <c r="AC804">
        <v>2290.6603347712507</v>
      </c>
      <c r="AD804">
        <v>10.75940307558948</v>
      </c>
      <c r="AE804">
        <v>2058.1511417163438</v>
      </c>
      <c r="AF804">
        <v>7.6098555060105202</v>
      </c>
      <c r="AG804">
        <v>2152.1685480725509</v>
      </c>
      <c r="AH804">
        <v>10.757503928619046</v>
      </c>
      <c r="AI804">
        <v>1915.6394414603058</v>
      </c>
      <c r="AJ804">
        <v>7.6087980739593535</v>
      </c>
    </row>
    <row r="805" spans="4:36" x14ac:dyDescent="0.55000000000000004">
      <c r="D805">
        <v>798</v>
      </c>
      <c r="E805">
        <v>14.553928139462386</v>
      </c>
      <c r="F805">
        <v>0.51589490349623535</v>
      </c>
      <c r="G805">
        <v>0.19838665586157536</v>
      </c>
      <c r="H805">
        <v>14.731790301179796</v>
      </c>
      <c r="I805">
        <v>14.808230710268836</v>
      </c>
      <c r="J805">
        <v>0.34212033943973036</v>
      </c>
      <c r="K805">
        <v>0.13111994546969064</v>
      </c>
      <c r="L805">
        <v>14.718529004821724</v>
      </c>
      <c r="M805">
        <v>14.689690058886848</v>
      </c>
      <c r="N805">
        <v>0.42317138419167732</v>
      </c>
      <c r="O805">
        <v>0.16243686507361815</v>
      </c>
      <c r="P805">
        <v>14.724701691847855</v>
      </c>
      <c r="Q805">
        <v>14.589182024969682</v>
      </c>
      <c r="R805">
        <v>0.4918275707332086</v>
      </c>
      <c r="S805">
        <v>0.18904281532131989</v>
      </c>
      <c r="T805">
        <v>14.729947588975779</v>
      </c>
      <c r="U805">
        <v>1643.8331621903153</v>
      </c>
      <c r="V805">
        <v>11.54260671452526</v>
      </c>
      <c r="W805">
        <v>1338.6834203138319</v>
      </c>
      <c r="X805">
        <v>8.0477907024833062</v>
      </c>
      <c r="Y805">
        <v>3000.9228648292592</v>
      </c>
      <c r="Z805">
        <v>11.59691308461869</v>
      </c>
      <c r="AA805">
        <v>2789.6267524362702</v>
      </c>
      <c r="AB805">
        <v>8.0778014482707245</v>
      </c>
      <c r="AC805">
        <v>2316.3497561166464</v>
      </c>
      <c r="AD805">
        <v>11.571604823622952</v>
      </c>
      <c r="AE805">
        <v>2067.9931056904029</v>
      </c>
      <c r="AF805">
        <v>8.0638264134477424</v>
      </c>
      <c r="AG805">
        <v>2248.5882908099752</v>
      </c>
      <c r="AH805">
        <v>11.550138136863252</v>
      </c>
      <c r="AI805">
        <v>1970.5260529537604</v>
      </c>
      <c r="AJ805">
        <v>8.0519579143435429</v>
      </c>
    </row>
    <row r="806" spans="4:36" x14ac:dyDescent="0.55000000000000004">
      <c r="D806">
        <v>799</v>
      </c>
      <c r="E806">
        <v>12.897506767790908</v>
      </c>
      <c r="F806">
        <v>0.46476009564430654</v>
      </c>
      <c r="G806">
        <v>0.16913216834518682</v>
      </c>
      <c r="H806">
        <v>16.468600968219601</v>
      </c>
      <c r="I806">
        <v>13.107218032927689</v>
      </c>
      <c r="J806">
        <v>0.31198692931482391</v>
      </c>
      <c r="K806">
        <v>0.11321170818395122</v>
      </c>
      <c r="L806">
        <v>16.467583329573525</v>
      </c>
      <c r="M806">
        <v>13.01237770080351</v>
      </c>
      <c r="N806">
        <v>0.38110875950766776</v>
      </c>
      <c r="O806">
        <v>0.13847255593419161</v>
      </c>
      <c r="P806">
        <v>16.468040983754612</v>
      </c>
      <c r="Q806">
        <v>12.992152656238316</v>
      </c>
      <c r="R806">
        <v>0.39584257200409151</v>
      </c>
      <c r="S806">
        <v>0.14386564612434052</v>
      </c>
      <c r="T806">
        <v>16.46813912563325</v>
      </c>
      <c r="U806">
        <v>1556.7215603265972</v>
      </c>
      <c r="V806">
        <v>10.156306109404746</v>
      </c>
      <c r="W806">
        <v>1293.4289050685284</v>
      </c>
      <c r="X806">
        <v>7.250887982104385</v>
      </c>
      <c r="Y806">
        <v>2907.950252112048</v>
      </c>
      <c r="Z806">
        <v>10.197958799094224</v>
      </c>
      <c r="AA806">
        <v>2734.6598774300742</v>
      </c>
      <c r="AB806">
        <v>7.274854003234438</v>
      </c>
      <c r="AC806">
        <v>2248.3272222344449</v>
      </c>
      <c r="AD806">
        <v>10.179122463694206</v>
      </c>
      <c r="AE806">
        <v>2033.2713733558521</v>
      </c>
      <c r="AF806">
        <v>7.2640253134671502</v>
      </c>
      <c r="AG806">
        <v>2135.4731181650659</v>
      </c>
      <c r="AH806">
        <v>10.175105381602592</v>
      </c>
      <c r="AI806">
        <v>1908.5618232814256</v>
      </c>
      <c r="AJ806">
        <v>7.2617139799349335</v>
      </c>
    </row>
    <row r="807" spans="4:36" x14ac:dyDescent="0.55000000000000004">
      <c r="D807">
        <v>800</v>
      </c>
      <c r="E807">
        <v>11.893370237247334</v>
      </c>
      <c r="F807">
        <v>0.44057948753390835</v>
      </c>
      <c r="G807">
        <v>0.17406913605725854</v>
      </c>
      <c r="H807">
        <v>17.491981139161481</v>
      </c>
      <c r="I807">
        <v>12.104866644204131</v>
      </c>
      <c r="J807">
        <v>0.27856210426724687</v>
      </c>
      <c r="K807">
        <v>0.10969364045999271</v>
      </c>
      <c r="L807">
        <v>17.506877611068621</v>
      </c>
      <c r="M807">
        <v>12.013208363412927</v>
      </c>
      <c r="N807">
        <v>0.34880667040781949</v>
      </c>
      <c r="O807">
        <v>0.13755135915020231</v>
      </c>
      <c r="P807">
        <v>17.500433607029038</v>
      </c>
      <c r="Q807">
        <v>11.998861340860445</v>
      </c>
      <c r="R807">
        <v>0.35979779419653396</v>
      </c>
      <c r="S807">
        <v>0.1419175506354183</v>
      </c>
      <c r="T807">
        <v>17.499423314307613</v>
      </c>
      <c r="U807">
        <v>1503.8212719102628</v>
      </c>
      <c r="V807">
        <v>9.3513242151225136</v>
      </c>
      <c r="W807">
        <v>1261.5092495753588</v>
      </c>
      <c r="X807">
        <v>6.7773868425084132</v>
      </c>
      <c r="Y807">
        <v>2883.709130546968</v>
      </c>
      <c r="Z807">
        <v>9.3805378375462958</v>
      </c>
      <c r="AA807">
        <v>2722.8287722472232</v>
      </c>
      <c r="AB807">
        <v>6.7952527923556536</v>
      </c>
      <c r="AC807">
        <v>2215.3896292292288</v>
      </c>
      <c r="AD807">
        <v>9.3678704012699185</v>
      </c>
      <c r="AE807">
        <v>2015.7701054163174</v>
      </c>
      <c r="AF807">
        <v>6.7875156960699039</v>
      </c>
      <c r="AG807">
        <v>2105.8463207329269</v>
      </c>
      <c r="AH807">
        <v>9.3658885447426954</v>
      </c>
      <c r="AI807">
        <v>1894.0717400824201</v>
      </c>
      <c r="AJ807">
        <v>6.7863038517354353</v>
      </c>
    </row>
    <row r="808" spans="4:36" x14ac:dyDescent="0.55000000000000004">
      <c r="D808">
        <v>801</v>
      </c>
      <c r="E808">
        <v>12.055290598201598</v>
      </c>
      <c r="F808">
        <v>0.46278523835753604</v>
      </c>
      <c r="G808">
        <v>0.17340232855305071</v>
      </c>
      <c r="H808">
        <v>17.308521834887799</v>
      </c>
      <c r="I808">
        <v>12.28101300103846</v>
      </c>
      <c r="J808">
        <v>0.29301381671784615</v>
      </c>
      <c r="K808">
        <v>0.10941712788467929</v>
      </c>
      <c r="L808">
        <v>17.316556054359015</v>
      </c>
      <c r="M808">
        <v>12.194189872731787</v>
      </c>
      <c r="N808">
        <v>0.35834929400554505</v>
      </c>
      <c r="O808">
        <v>0.13398917329223792</v>
      </c>
      <c r="P808">
        <v>17.313471659970428</v>
      </c>
      <c r="Q808">
        <v>12.16680660573155</v>
      </c>
      <c r="R808">
        <v>0.37894685148861773</v>
      </c>
      <c r="S808">
        <v>0.14174920578065694</v>
      </c>
      <c r="T808">
        <v>17.312497336999179</v>
      </c>
      <c r="U808">
        <v>1571.9950848471904</v>
      </c>
      <c r="V808">
        <v>9.514949200459327</v>
      </c>
      <c r="W808">
        <v>1309.9568807282005</v>
      </c>
      <c r="X808">
        <v>6.8778001056232263</v>
      </c>
      <c r="Y808">
        <v>2876.2645643438414</v>
      </c>
      <c r="Z808">
        <v>9.5516319064972262</v>
      </c>
      <c r="AA808">
        <v>2716.5190360145343</v>
      </c>
      <c r="AB808">
        <v>6.8996548218566343</v>
      </c>
      <c r="AC808">
        <v>2199.5051799048042</v>
      </c>
      <c r="AD808">
        <v>9.5375182655950166</v>
      </c>
      <c r="AE808">
        <v>2003.8078947861356</v>
      </c>
      <c r="AF808">
        <v>6.8912570548244476</v>
      </c>
      <c r="AG808">
        <v>2113.2074499200535</v>
      </c>
      <c r="AH808">
        <v>9.5330679256816389</v>
      </c>
      <c r="AI808">
        <v>1898.217267129369</v>
      </c>
      <c r="AJ808">
        <v>6.8886062655531024</v>
      </c>
    </row>
    <row r="809" spans="4:36" x14ac:dyDescent="0.55000000000000004">
      <c r="D809">
        <v>802</v>
      </c>
      <c r="E809">
        <v>12.739490858786015</v>
      </c>
      <c r="F809">
        <v>0.47563024823062378</v>
      </c>
      <c r="G809">
        <v>0.14046497602975663</v>
      </c>
      <c r="H809">
        <v>16.644413916953621</v>
      </c>
      <c r="I809">
        <v>12.962566209032392</v>
      </c>
      <c r="J809">
        <v>0.30925906162415601</v>
      </c>
      <c r="K809">
        <v>9.106267585259202E-2</v>
      </c>
      <c r="L809">
        <v>16.637112053490874</v>
      </c>
      <c r="M809">
        <v>12.887618750183748</v>
      </c>
      <c r="N809">
        <v>0.36518595279473814</v>
      </c>
      <c r="O809">
        <v>0.10763667474889557</v>
      </c>
      <c r="P809">
        <v>16.639558622272631</v>
      </c>
      <c r="Q809">
        <v>12.819051529470764</v>
      </c>
      <c r="R809">
        <v>0.41632482284576156</v>
      </c>
      <c r="S809">
        <v>0.12282084358925881</v>
      </c>
      <c r="T809">
        <v>16.641802804094226</v>
      </c>
      <c r="U809">
        <v>1570.3289140063762</v>
      </c>
      <c r="V809">
        <v>10.024272102270045</v>
      </c>
      <c r="W809">
        <v>1304.8394638606994</v>
      </c>
      <c r="X809">
        <v>7.1754279920589141</v>
      </c>
      <c r="Y809">
        <v>2906.6421968795439</v>
      </c>
      <c r="Z809">
        <v>10.071930383614321</v>
      </c>
      <c r="AA809">
        <v>2735.483580188918</v>
      </c>
      <c r="AB809">
        <v>7.2026571385417455</v>
      </c>
      <c r="AC809">
        <v>2222.6478283276165</v>
      </c>
      <c r="AD809">
        <v>10.055921490646419</v>
      </c>
      <c r="AE809">
        <v>2017.8839683639462</v>
      </c>
      <c r="AF809">
        <v>7.1935204434393771</v>
      </c>
      <c r="AG809">
        <v>2147.155451068566</v>
      </c>
      <c r="AH809">
        <v>10.041272743234108</v>
      </c>
      <c r="AI809">
        <v>1917.5335937814734</v>
      </c>
      <c r="AJ809">
        <v>7.1851513212862184</v>
      </c>
    </row>
    <row r="810" spans="4:36" x14ac:dyDescent="0.55000000000000004">
      <c r="D810">
        <v>803</v>
      </c>
      <c r="E810">
        <v>12.168735123003653</v>
      </c>
      <c r="F810">
        <v>0.4825186599209495</v>
      </c>
      <c r="G810">
        <v>0.16788516008983684</v>
      </c>
      <c r="H810">
        <v>17.180861056985552</v>
      </c>
      <c r="I810">
        <v>12.411640990519757</v>
      </c>
      <c r="J810">
        <v>0.2932013988214574</v>
      </c>
      <c r="K810">
        <v>0.101642682363164</v>
      </c>
      <c r="L810">
        <v>17.193514928295631</v>
      </c>
      <c r="M810">
        <v>12.326923863053924</v>
      </c>
      <c r="N810">
        <v>0.35926252536373326</v>
      </c>
      <c r="O810">
        <v>0.12470186271388997</v>
      </c>
      <c r="P810">
        <v>17.189111748868445</v>
      </c>
      <c r="Q810">
        <v>12.288957543117217</v>
      </c>
      <c r="R810">
        <v>0.38885637382336097</v>
      </c>
      <c r="S810">
        <v>0.13505111292930191</v>
      </c>
      <c r="T810">
        <v>17.187134970130113</v>
      </c>
      <c r="U810">
        <v>1560.2915341441346</v>
      </c>
      <c r="V810">
        <v>9.6584709335415653</v>
      </c>
      <c r="W810">
        <v>1296.7351611104971</v>
      </c>
      <c r="X810">
        <v>6.9684196048959066</v>
      </c>
      <c r="Y810">
        <v>2889.178136085914</v>
      </c>
      <c r="Z810">
        <v>9.6983774892871377</v>
      </c>
      <c r="AA810">
        <v>2724.0050174377739</v>
      </c>
      <c r="AB810">
        <v>6.9923591723027689</v>
      </c>
      <c r="AC810">
        <v>2223.8298075560601</v>
      </c>
      <c r="AD810">
        <v>9.6844531143253043</v>
      </c>
      <c r="AE810">
        <v>2019.07728157716</v>
      </c>
      <c r="AF810">
        <v>6.9840186587825226</v>
      </c>
      <c r="AG810">
        <v>2127.0358017118338</v>
      </c>
      <c r="AH810">
        <v>9.6782150478100117</v>
      </c>
      <c r="AI810">
        <v>1904.9406927249167</v>
      </c>
      <c r="AJ810">
        <v>6.980277792091278</v>
      </c>
    </row>
    <row r="811" spans="4:36" x14ac:dyDescent="0.55000000000000004">
      <c r="D811">
        <v>804</v>
      </c>
      <c r="E811">
        <v>11.946190326462585</v>
      </c>
      <c r="F811">
        <v>0.42340909263269216</v>
      </c>
      <c r="G811">
        <v>0.13940668520222257</v>
      </c>
      <c r="H811">
        <v>17.490993895702516</v>
      </c>
      <c r="I811">
        <v>12.124280385975725</v>
      </c>
      <c r="J811">
        <v>0.28563552347629295</v>
      </c>
      <c r="K811">
        <v>9.3792831642930299E-2</v>
      </c>
      <c r="L811">
        <v>17.496291258905039</v>
      </c>
      <c r="M811">
        <v>12.040039988290092</v>
      </c>
      <c r="N811">
        <v>0.35082600035283362</v>
      </c>
      <c r="O811">
        <v>0.11534505858203069</v>
      </c>
      <c r="P811">
        <v>17.493788952775034</v>
      </c>
      <c r="Q811">
        <v>11.99820201391281</v>
      </c>
      <c r="R811">
        <v>0.38318909226550513</v>
      </c>
      <c r="S811">
        <v>0.12606501412628698</v>
      </c>
      <c r="T811">
        <v>17.492543879695404</v>
      </c>
      <c r="U811">
        <v>1483.5829666729076</v>
      </c>
      <c r="V811">
        <v>9.3918199741159896</v>
      </c>
      <c r="W811">
        <v>1250.7393290240827</v>
      </c>
      <c r="X811">
        <v>6.8073899909936983</v>
      </c>
      <c r="Y811">
        <v>2862.6902368472038</v>
      </c>
      <c r="Z811">
        <v>9.4225096082728363</v>
      </c>
      <c r="AA811">
        <v>2708.6517949687941</v>
      </c>
      <c r="AB811">
        <v>6.8255927256701296</v>
      </c>
      <c r="AC811">
        <v>2190.3029075714248</v>
      </c>
      <c r="AD811">
        <v>9.40799101782261</v>
      </c>
      <c r="AE811">
        <v>1999.4393326249433</v>
      </c>
      <c r="AF811">
        <v>6.8169888078161582</v>
      </c>
      <c r="AG811">
        <v>2095.9499060636754</v>
      </c>
      <c r="AH811">
        <v>9.4007815207180556</v>
      </c>
      <c r="AI811">
        <v>1887.2114415575381</v>
      </c>
      <c r="AJ811">
        <v>6.8127114388135599</v>
      </c>
    </row>
    <row r="812" spans="4:36" x14ac:dyDescent="0.55000000000000004">
      <c r="D812">
        <v>805</v>
      </c>
      <c r="E812">
        <v>12.955521722937249</v>
      </c>
      <c r="F812">
        <v>0.4520546930372793</v>
      </c>
      <c r="G812">
        <v>0.17580488341712</v>
      </c>
      <c r="H812">
        <v>16.416618700608336</v>
      </c>
      <c r="I812">
        <v>13.191332610213635</v>
      </c>
      <c r="J812">
        <v>0.29233428699125885</v>
      </c>
      <c r="K812">
        <v>0.11330321038319963</v>
      </c>
      <c r="L812">
        <v>16.403029892411915</v>
      </c>
      <c r="M812">
        <v>13.138384782577095</v>
      </c>
      <c r="N812">
        <v>0.32822849229142742</v>
      </c>
      <c r="O812">
        <v>0.12731176851470785</v>
      </c>
      <c r="P812">
        <v>16.406074956616763</v>
      </c>
      <c r="Q812">
        <v>13.06294847128367</v>
      </c>
      <c r="R812">
        <v>0.37933675674165868</v>
      </c>
      <c r="S812">
        <v>0.14729534523371754</v>
      </c>
      <c r="T812">
        <v>16.410419426740965</v>
      </c>
      <c r="U812">
        <v>1569.8405580739741</v>
      </c>
      <c r="V812">
        <v>10.207525153258198</v>
      </c>
      <c r="W812">
        <v>1303.8893415291998</v>
      </c>
      <c r="X812">
        <v>7.282320967352848</v>
      </c>
      <c r="Y812">
        <v>2888.6934399218226</v>
      </c>
      <c r="Z812">
        <v>10.260457748273621</v>
      </c>
      <c r="AA812">
        <v>2722.35633282036</v>
      </c>
      <c r="AB812">
        <v>7.3123927994994062</v>
      </c>
      <c r="AC812">
        <v>2220.1363322499237</v>
      </c>
      <c r="AD812">
        <v>10.248575452193204</v>
      </c>
      <c r="AE812">
        <v>2016.9707315594733</v>
      </c>
      <c r="AF812">
        <v>7.3056509983496625</v>
      </c>
      <c r="AG812">
        <v>2140.591283198065</v>
      </c>
      <c r="AH812">
        <v>10.231643478886488</v>
      </c>
      <c r="AI812">
        <v>1913.4922378970209</v>
      </c>
      <c r="AJ812">
        <v>7.2960354234897133</v>
      </c>
    </row>
    <row r="813" spans="4:36" x14ac:dyDescent="0.55000000000000004">
      <c r="D813">
        <v>806</v>
      </c>
      <c r="E813">
        <v>11.705770525277849</v>
      </c>
      <c r="F813">
        <v>0.47412274420794992</v>
      </c>
      <c r="G813">
        <v>0.16232428035999658</v>
      </c>
      <c r="H813">
        <v>17.657782450154208</v>
      </c>
      <c r="I813">
        <v>11.897476472720205</v>
      </c>
      <c r="J813">
        <v>0.31429066137558886</v>
      </c>
      <c r="K813">
        <v>0.10730319891868338</v>
      </c>
      <c r="L813">
        <v>17.68092966698552</v>
      </c>
      <c r="M813">
        <v>11.838879425603613</v>
      </c>
      <c r="N813">
        <v>0.3631609918699451</v>
      </c>
      <c r="O813">
        <v>0.12409349862659599</v>
      </c>
      <c r="P813">
        <v>17.673866083899853</v>
      </c>
      <c r="Q813">
        <v>11.79025943514174</v>
      </c>
      <c r="R813">
        <v>0.4036998095517898</v>
      </c>
      <c r="S813">
        <v>0.13804331055022981</v>
      </c>
      <c r="T813">
        <v>17.667997444756256</v>
      </c>
      <c r="U813">
        <v>1522.9495813540807</v>
      </c>
      <c r="V813">
        <v>9.2596341750706035</v>
      </c>
      <c r="W813">
        <v>1276.7087509657665</v>
      </c>
      <c r="X813">
        <v>6.7294349207496058</v>
      </c>
      <c r="Y813">
        <v>2876.9963766410792</v>
      </c>
      <c r="Z813">
        <v>9.2828998393809741</v>
      </c>
      <c r="AA813">
        <v>2717.5498562879702</v>
      </c>
      <c r="AB813">
        <v>6.7440768616629381</v>
      </c>
      <c r="AC813">
        <v>2185.1266819298039</v>
      </c>
      <c r="AD813">
        <v>9.2757818264497196</v>
      </c>
      <c r="AE813">
        <v>1995.6042540309961</v>
      </c>
      <c r="AF813">
        <v>6.7396043371455248</v>
      </c>
      <c r="AG813">
        <v>2094.9306270665038</v>
      </c>
      <c r="AH813">
        <v>9.2698801654267182</v>
      </c>
      <c r="AI813">
        <v>1885.848374893932</v>
      </c>
      <c r="AJ813">
        <v>6.7358913691387148</v>
      </c>
    </row>
    <row r="814" spans="4:36" x14ac:dyDescent="0.55000000000000004">
      <c r="D814">
        <v>807</v>
      </c>
      <c r="E814">
        <v>11.593105644348233</v>
      </c>
      <c r="F814">
        <v>0.4014962015378728</v>
      </c>
      <c r="G814">
        <v>0.14504792723837551</v>
      </c>
      <c r="H814">
        <v>17.860350226875514</v>
      </c>
      <c r="I814">
        <v>11.773008870142032</v>
      </c>
      <c r="J814">
        <v>0.26157178411412862</v>
      </c>
      <c r="K814">
        <v>9.4222679516835453E-2</v>
      </c>
      <c r="L814">
        <v>17.871196666227014</v>
      </c>
      <c r="M814">
        <v>11.704754292048921</v>
      </c>
      <c r="N814">
        <v>0.3146784578271023</v>
      </c>
      <c r="O814">
        <v>0.11347752176220928</v>
      </c>
      <c r="P814">
        <v>17.867089728361769</v>
      </c>
      <c r="Q814">
        <v>11.63420408843775</v>
      </c>
      <c r="R814">
        <v>0.36954575278232121</v>
      </c>
      <c r="S814">
        <v>0.13341596294699137</v>
      </c>
      <c r="T814">
        <v>17.862834195832924</v>
      </c>
      <c r="U814">
        <v>1465.8445033527757</v>
      </c>
      <c r="V814">
        <v>9.0968159876710413</v>
      </c>
      <c r="W814">
        <v>1241.8416184513794</v>
      </c>
      <c r="X814">
        <v>6.6302606917185338</v>
      </c>
      <c r="Y814">
        <v>2860.9791076270149</v>
      </c>
      <c r="Z814">
        <v>9.1223694569009233</v>
      </c>
      <c r="AA814">
        <v>2710.8888045265162</v>
      </c>
      <c r="AB814">
        <v>6.6460166567630683</v>
      </c>
      <c r="AC814">
        <v>2155.8058896808047</v>
      </c>
      <c r="AD814">
        <v>9.1126692338389272</v>
      </c>
      <c r="AE814">
        <v>1978.9866562531618</v>
      </c>
      <c r="AF814">
        <v>6.6400430777601436</v>
      </c>
      <c r="AG814">
        <v>2082.4348250945732</v>
      </c>
      <c r="AH814">
        <v>9.1026496063013749</v>
      </c>
      <c r="AI814">
        <v>1880.505306899903</v>
      </c>
      <c r="AJ814">
        <v>6.6338632375011226</v>
      </c>
    </row>
    <row r="815" spans="4:36" x14ac:dyDescent="0.55000000000000004">
      <c r="D815">
        <v>808</v>
      </c>
      <c r="E815">
        <v>12.756297548281095</v>
      </c>
      <c r="F815">
        <v>0.47218269506696309</v>
      </c>
      <c r="G815">
        <v>0.16936136833200804</v>
      </c>
      <c r="H815">
        <v>16.602158388319921</v>
      </c>
      <c r="I815">
        <v>12.98170262616876</v>
      </c>
      <c r="J815">
        <v>0.3069449118479014</v>
      </c>
      <c r="K815">
        <v>0.10973625509135393</v>
      </c>
      <c r="L815">
        <v>16.601616206891979</v>
      </c>
      <c r="M815">
        <v>12.915672063308321</v>
      </c>
      <c r="N815">
        <v>0.35537998979918922</v>
      </c>
      <c r="O815">
        <v>0.1271730011939243</v>
      </c>
      <c r="P815">
        <v>16.601774945698562</v>
      </c>
      <c r="Q815">
        <v>12.847704848081358</v>
      </c>
      <c r="R815">
        <v>0.40520974818542516</v>
      </c>
      <c r="S815">
        <v>0.14514698665344888</v>
      </c>
      <c r="T815">
        <v>16.601938417079769</v>
      </c>
      <c r="U815">
        <v>1576.5861167491214</v>
      </c>
      <c r="V815">
        <v>10.100072550048049</v>
      </c>
      <c r="W815">
        <v>1306.2923830085917</v>
      </c>
      <c r="X815">
        <v>7.2245371130120715</v>
      </c>
      <c r="Y815">
        <v>2902.1519835258755</v>
      </c>
      <c r="Z815">
        <v>10.143898147006192</v>
      </c>
      <c r="AA815">
        <v>2730.2950772256877</v>
      </c>
      <c r="AB815">
        <v>7.2499171664094231</v>
      </c>
      <c r="AC815">
        <v>2234.7599624443646</v>
      </c>
      <c r="AD815">
        <v>10.131059407056902</v>
      </c>
      <c r="AE815">
        <v>2024.8200888445244</v>
      </c>
      <c r="AF815">
        <v>7.2424913385021163</v>
      </c>
      <c r="AG815">
        <v>2144.2967105343223</v>
      </c>
      <c r="AH815">
        <v>10.117844449476774</v>
      </c>
      <c r="AI815">
        <v>1913.4453331442103</v>
      </c>
      <c r="AJ815">
        <v>7.2348399146699585</v>
      </c>
    </row>
    <row r="816" spans="4:36" x14ac:dyDescent="0.55000000000000004">
      <c r="D816">
        <v>809</v>
      </c>
      <c r="E816">
        <v>12.270148890637158</v>
      </c>
      <c r="F816">
        <v>0.44465846544737436</v>
      </c>
      <c r="G816">
        <v>0.1598162225336445</v>
      </c>
      <c r="H816">
        <v>17.125376421381819</v>
      </c>
      <c r="I816">
        <v>12.468080683996229</v>
      </c>
      <c r="J816">
        <v>0.29795507546291305</v>
      </c>
      <c r="K816">
        <v>0.1067705963277041</v>
      </c>
      <c r="L816">
        <v>17.127193644213158</v>
      </c>
      <c r="M816">
        <v>12.413177905269862</v>
      </c>
      <c r="N816">
        <v>0.33867041429869893</v>
      </c>
      <c r="O816">
        <v>0.12146053909808839</v>
      </c>
      <c r="P816">
        <v>17.126691141333346</v>
      </c>
      <c r="Q816">
        <v>12.370007699208749</v>
      </c>
      <c r="R816">
        <v>0.37067295739645773</v>
      </c>
      <c r="S816">
        <v>0.13302416011366197</v>
      </c>
      <c r="T816">
        <v>17.126295183281123</v>
      </c>
      <c r="U816">
        <v>1546.6350853637498</v>
      </c>
      <c r="V816">
        <v>9.6761672395821776</v>
      </c>
      <c r="W816">
        <v>1287.9116572019179</v>
      </c>
      <c r="X816">
        <v>6.974302597952688</v>
      </c>
      <c r="Y816">
        <v>2899.9163037477824</v>
      </c>
      <c r="Z816">
        <v>9.7112908369860307</v>
      </c>
      <c r="AA816">
        <v>2730.0172154276747</v>
      </c>
      <c r="AB816">
        <v>6.99489968066493</v>
      </c>
      <c r="AC816">
        <v>2204.9918633427596</v>
      </c>
      <c r="AD816">
        <v>9.7015471998419418</v>
      </c>
      <c r="AE816">
        <v>2005.5796744888517</v>
      </c>
      <c r="AF816">
        <v>6.9891928218053323</v>
      </c>
      <c r="AG816">
        <v>2114.405979742171</v>
      </c>
      <c r="AH816">
        <v>9.693886273079741</v>
      </c>
      <c r="AI816">
        <v>1895.5872926648526</v>
      </c>
      <c r="AJ816">
        <v>6.9847020647452913</v>
      </c>
    </row>
    <row r="817" spans="4:36" x14ac:dyDescent="0.55000000000000004">
      <c r="D817">
        <v>810</v>
      </c>
      <c r="E817">
        <v>13.441209319736194</v>
      </c>
      <c r="F817">
        <v>0.47041864337007494</v>
      </c>
      <c r="G817">
        <v>0.15494835331929022</v>
      </c>
      <c r="H817">
        <v>15.933423683574444</v>
      </c>
      <c r="I817">
        <v>13.65023867573567</v>
      </c>
      <c r="J817">
        <v>0.32448724254233552</v>
      </c>
      <c r="K817">
        <v>0.10658706632057123</v>
      </c>
      <c r="L817">
        <v>15.918687015401437</v>
      </c>
      <c r="M817">
        <v>13.571807939661177</v>
      </c>
      <c r="N817">
        <v>0.37927375064295227</v>
      </c>
      <c r="O817">
        <v>0.12471148525741688</v>
      </c>
      <c r="P817">
        <v>15.92420682443845</v>
      </c>
      <c r="Q817">
        <v>13.506752886173947</v>
      </c>
      <c r="R817">
        <v>0.4246887015592094</v>
      </c>
      <c r="S817">
        <v>0.13976441241841553</v>
      </c>
      <c r="T817">
        <v>15.928793999848416</v>
      </c>
      <c r="U817">
        <v>1561.8756515486182</v>
      </c>
      <c r="V817">
        <v>10.55814967373629</v>
      </c>
      <c r="W817">
        <v>1297.7629609951318</v>
      </c>
      <c r="X817">
        <v>7.4805692785056639</v>
      </c>
      <c r="Y817">
        <v>2911.7446286050513</v>
      </c>
      <c r="Z817">
        <v>10.605222896095521</v>
      </c>
      <c r="AA817">
        <v>2737.3037104569448</v>
      </c>
      <c r="AB817">
        <v>7.5068473855354796</v>
      </c>
      <c r="AC817">
        <v>2235.8953311759733</v>
      </c>
      <c r="AD817">
        <v>10.587565895916731</v>
      </c>
      <c r="AE817">
        <v>2025.368958796045</v>
      </c>
      <c r="AF817">
        <v>7.4969986511744224</v>
      </c>
      <c r="AG817">
        <v>2131.4083398619305</v>
      </c>
      <c r="AH817">
        <v>10.572915116479404</v>
      </c>
      <c r="AI817">
        <v>1904.6821998845435</v>
      </c>
      <c r="AJ817">
        <v>7.48881937477731</v>
      </c>
    </row>
    <row r="818" spans="4:36" x14ac:dyDescent="0.55000000000000004">
      <c r="D818">
        <v>811</v>
      </c>
      <c r="E818">
        <v>11.858702134513894</v>
      </c>
      <c r="F818">
        <v>0.43016836012800119</v>
      </c>
      <c r="G818">
        <v>0.18577677962263739</v>
      </c>
      <c r="H818">
        <v>17.52535272573547</v>
      </c>
      <c r="I818">
        <v>12.067036944348063</v>
      </c>
      <c r="J818">
        <v>0.27232170039703474</v>
      </c>
      <c r="K818">
        <v>0.11721866852194066</v>
      </c>
      <c r="L818">
        <v>17.54342268673296</v>
      </c>
      <c r="M818">
        <v>11.983653621353245</v>
      </c>
      <c r="N818">
        <v>0.33552659780600347</v>
      </c>
      <c r="O818">
        <v>0.14461546471468265</v>
      </c>
      <c r="P818">
        <v>17.536204316126071</v>
      </c>
      <c r="Q818">
        <v>11.931426746613781</v>
      </c>
      <c r="R818">
        <v>0.37509525279740352</v>
      </c>
      <c r="S818">
        <v>0.16180430616639735</v>
      </c>
      <c r="T818">
        <v>17.531673694422413</v>
      </c>
      <c r="U818">
        <v>1469.9458907206551</v>
      </c>
      <c r="V818">
        <v>9.3750826073528923</v>
      </c>
      <c r="W818">
        <v>1240.09021127552</v>
      </c>
      <c r="X818">
        <v>6.7991446675441276</v>
      </c>
      <c r="Y818">
        <v>2840.8571012275938</v>
      </c>
      <c r="Z818">
        <v>9.4056081222759556</v>
      </c>
      <c r="AA818">
        <v>2693.7020796373008</v>
      </c>
      <c r="AB818">
        <v>6.817965700049089</v>
      </c>
      <c r="AC818">
        <v>2156.3839847979302</v>
      </c>
      <c r="AD818">
        <v>9.3933825328418141</v>
      </c>
      <c r="AE818">
        <v>1975.7817931441855</v>
      </c>
      <c r="AF818">
        <v>6.8104381659460707</v>
      </c>
      <c r="AG818">
        <v>2086.0164695051062</v>
      </c>
      <c r="AH818">
        <v>9.385730594444798</v>
      </c>
      <c r="AI818">
        <v>1880.4555916076783</v>
      </c>
      <c r="AJ818">
        <v>6.8057197018042412</v>
      </c>
    </row>
    <row r="819" spans="4:36" x14ac:dyDescent="0.55000000000000004">
      <c r="D819">
        <v>812</v>
      </c>
      <c r="E819">
        <v>11.996022505714722</v>
      </c>
      <c r="F819">
        <v>0.42547048842360968</v>
      </c>
      <c r="G819">
        <v>0.14976953276876759</v>
      </c>
      <c r="H819">
        <v>17.428737473092887</v>
      </c>
      <c r="I819">
        <v>12.197876445098151</v>
      </c>
      <c r="J819">
        <v>0.27411906976491557</v>
      </c>
      <c r="K819">
        <v>9.6207397933659913E-2</v>
      </c>
      <c r="L819">
        <v>17.431797087203275</v>
      </c>
      <c r="M819">
        <v>12.099490253895722</v>
      </c>
      <c r="N819">
        <v>0.3479183749025434</v>
      </c>
      <c r="O819">
        <v>0.12228428961607567</v>
      </c>
      <c r="P819">
        <v>17.430307081585653</v>
      </c>
      <c r="Q819">
        <v>12.098220227149294</v>
      </c>
      <c r="R819">
        <v>0.34887066435313063</v>
      </c>
      <c r="S819">
        <v>0.12262127676054752</v>
      </c>
      <c r="T819">
        <v>17.430287831737015</v>
      </c>
      <c r="U819">
        <v>1474.6904481391666</v>
      </c>
      <c r="V819">
        <v>9.4429799286144629</v>
      </c>
      <c r="W819">
        <v>1246.1722081578637</v>
      </c>
      <c r="X819">
        <v>6.8379718720842826</v>
      </c>
      <c r="Y819">
        <v>2841.0354312804066</v>
      </c>
      <c r="Z819">
        <v>9.4786221718320789</v>
      </c>
      <c r="AA819">
        <v>2695.1188506386261</v>
      </c>
      <c r="AB819">
        <v>6.8589841270015128</v>
      </c>
      <c r="AC819">
        <v>2172.475251330196</v>
      </c>
      <c r="AD819">
        <v>9.4612484934309204</v>
      </c>
      <c r="AE819">
        <v>1988.3619581547914</v>
      </c>
      <c r="AF819">
        <v>6.8487511238051999</v>
      </c>
      <c r="AG819">
        <v>2050.9695739846989</v>
      </c>
      <c r="AH819">
        <v>9.461024238571083</v>
      </c>
      <c r="AI819">
        <v>1858.766884020715</v>
      </c>
      <c r="AJ819">
        <v>6.8486189233278045</v>
      </c>
    </row>
    <row r="820" spans="4:36" x14ac:dyDescent="0.55000000000000004">
      <c r="D820">
        <v>813</v>
      </c>
      <c r="E820">
        <v>12.479029850873621</v>
      </c>
      <c r="F820">
        <v>0.42869068545956401</v>
      </c>
      <c r="G820">
        <v>0.16249010653922</v>
      </c>
      <c r="H820">
        <v>16.9297893571276</v>
      </c>
      <c r="I820">
        <v>12.67209542762183</v>
      </c>
      <c r="J820">
        <v>0.29028222444414004</v>
      </c>
      <c r="K820">
        <v>0.10970682545405656</v>
      </c>
      <c r="L820">
        <v>16.92791552247996</v>
      </c>
      <c r="M820">
        <v>12.592897892421751</v>
      </c>
      <c r="N820">
        <v>0.34708611447551785</v>
      </c>
      <c r="O820">
        <v>0.13133162501841489</v>
      </c>
      <c r="P820">
        <v>16.928684368084312</v>
      </c>
      <c r="Q820">
        <v>12.562410445023062</v>
      </c>
      <c r="R820">
        <v>0.36894294210633938</v>
      </c>
      <c r="S820">
        <v>0.13966633973236223</v>
      </c>
      <c r="T820">
        <v>16.928980273138226</v>
      </c>
      <c r="U820">
        <v>1536.7629290273628</v>
      </c>
      <c r="V820">
        <v>9.7953257597929166</v>
      </c>
      <c r="W820">
        <v>1283.7083562571752</v>
      </c>
      <c r="X820">
        <v>7.0383295125741476</v>
      </c>
      <c r="Y820">
        <v>2874.8094008280477</v>
      </c>
      <c r="Z820">
        <v>9.8301429953586403</v>
      </c>
      <c r="AA820">
        <v>2713.6616487773731</v>
      </c>
      <c r="AB820">
        <v>7.0586120946192414</v>
      </c>
      <c r="AC820">
        <v>2226.0907873999568</v>
      </c>
      <c r="AD820">
        <v>9.815859949108539</v>
      </c>
      <c r="AE820">
        <v>2021.4155297037742</v>
      </c>
      <c r="AF820">
        <v>7.050299379001669</v>
      </c>
      <c r="AG820">
        <v>2117.7717703415069</v>
      </c>
      <c r="AH820">
        <v>9.8103618658243974</v>
      </c>
      <c r="AI820">
        <v>1899.53725461353</v>
      </c>
      <c r="AJ820">
        <v>7.0470966234648378</v>
      </c>
    </row>
    <row r="821" spans="4:36" x14ac:dyDescent="0.55000000000000004">
      <c r="D821">
        <v>814</v>
      </c>
      <c r="E821">
        <v>13.256157708264929</v>
      </c>
      <c r="F821">
        <v>0.48234663276698864</v>
      </c>
      <c r="G821">
        <v>0.18193575476290824</v>
      </c>
      <c r="H821">
        <v>16.079559904205194</v>
      </c>
      <c r="I821">
        <v>13.512629725326134</v>
      </c>
      <c r="J821">
        <v>0.30363215466356458</v>
      </c>
      <c r="K821">
        <v>0.11411007647795691</v>
      </c>
      <c r="L821">
        <v>16.069628043532362</v>
      </c>
      <c r="M821">
        <v>13.404794047098427</v>
      </c>
      <c r="N821">
        <v>0.37882312948046803</v>
      </c>
      <c r="O821">
        <v>0.14258537978459046</v>
      </c>
      <c r="P821">
        <v>16.073797443636522</v>
      </c>
      <c r="Q821">
        <v>13.369998662031884</v>
      </c>
      <c r="R821">
        <v>0.40306990144616578</v>
      </c>
      <c r="S821">
        <v>0.15178663730572287</v>
      </c>
      <c r="T821">
        <v>16.075144799216215</v>
      </c>
      <c r="U821">
        <v>1562.184680735932</v>
      </c>
      <c r="V821">
        <v>10.463697903984906</v>
      </c>
      <c r="W821">
        <v>1294.924491926578</v>
      </c>
      <c r="X821">
        <v>7.4294936643791063</v>
      </c>
      <c r="Y821">
        <v>2944.8053666316805</v>
      </c>
      <c r="Z821">
        <v>10.51842607613283</v>
      </c>
      <c r="AA821">
        <v>2760.746091484978</v>
      </c>
      <c r="AB821">
        <v>7.4605193225792581</v>
      </c>
      <c r="AC821">
        <v>2218.8615572852359</v>
      </c>
      <c r="AD821">
        <v>10.495418926305492</v>
      </c>
      <c r="AE821">
        <v>2011.4251656847034</v>
      </c>
      <c r="AF821">
        <v>7.4474898356406207</v>
      </c>
      <c r="AG821">
        <v>2132.9335600729314</v>
      </c>
      <c r="AH821">
        <v>10.487994045634149</v>
      </c>
      <c r="AI821">
        <v>1905.1779938648708</v>
      </c>
      <c r="AJ821">
        <v>7.4432808314670416</v>
      </c>
    </row>
    <row r="822" spans="4:36" x14ac:dyDescent="0.55000000000000004">
      <c r="D822">
        <v>815</v>
      </c>
      <c r="E822">
        <v>12.080251626166252</v>
      </c>
      <c r="F822">
        <v>0.41926882952300404</v>
      </c>
      <c r="G822">
        <v>0.16430371519868797</v>
      </c>
      <c r="H822">
        <v>17.336175829112058</v>
      </c>
      <c r="I822">
        <v>12.28183717135899</v>
      </c>
      <c r="J822">
        <v>0.27554698061167426</v>
      </c>
      <c r="K822">
        <v>0.10764231190918813</v>
      </c>
      <c r="L822">
        <v>17.334973536120163</v>
      </c>
      <c r="M822">
        <v>12.213269308078438</v>
      </c>
      <c r="N822">
        <v>0.32446130237843462</v>
      </c>
      <c r="O822">
        <v>0.12688588544471874</v>
      </c>
      <c r="P822">
        <v>17.335383504098413</v>
      </c>
      <c r="Q822">
        <v>12.174232836969615</v>
      </c>
      <c r="R822">
        <v>0.35229576348316932</v>
      </c>
      <c r="S822">
        <v>0.13785496131168862</v>
      </c>
      <c r="T822">
        <v>17.33561643823554</v>
      </c>
      <c r="U822">
        <v>1505.8970874799177</v>
      </c>
      <c r="V822">
        <v>9.4622067710188222</v>
      </c>
      <c r="W822">
        <v>1266.385498589864</v>
      </c>
      <c r="X822">
        <v>6.8418147086390473</v>
      </c>
      <c r="Y822">
        <v>2863.8390185648063</v>
      </c>
      <c r="Z822">
        <v>9.4982415910840832</v>
      </c>
      <c r="AA822">
        <v>2709.6269535082206</v>
      </c>
      <c r="AB822">
        <v>6.8628732518028013</v>
      </c>
      <c r="AC822">
        <v>2195.2890844364201</v>
      </c>
      <c r="AD822">
        <v>9.4859844155775495</v>
      </c>
      <c r="AE822">
        <v>2004.3155878339128</v>
      </c>
      <c r="AF822">
        <v>6.855718356122237</v>
      </c>
      <c r="AG822">
        <v>2087.4882838128628</v>
      </c>
      <c r="AH822">
        <v>9.4790063525357713</v>
      </c>
      <c r="AI822">
        <v>1882.583809673115</v>
      </c>
      <c r="AJ822">
        <v>6.8516413171283768</v>
      </c>
    </row>
    <row r="823" spans="4:36" x14ac:dyDescent="0.55000000000000004">
      <c r="D823">
        <v>816</v>
      </c>
      <c r="E823">
        <v>12.274625784815358</v>
      </c>
      <c r="F823">
        <v>0.48644157259827736</v>
      </c>
      <c r="G823">
        <v>0.17669057633929808</v>
      </c>
      <c r="H823">
        <v>17.062242066247062</v>
      </c>
      <c r="I823">
        <v>12.497722097155501</v>
      </c>
      <c r="J823">
        <v>0.30779996171452217</v>
      </c>
      <c r="K823">
        <v>0.11143653913426162</v>
      </c>
      <c r="L823">
        <v>17.083041401995732</v>
      </c>
      <c r="M823">
        <v>12.411451322462451</v>
      </c>
      <c r="N823">
        <v>0.37690749211641583</v>
      </c>
      <c r="O823">
        <v>0.13662866872996013</v>
      </c>
      <c r="P823">
        <v>17.07501251669116</v>
      </c>
      <c r="Q823">
        <v>12.39052433647802</v>
      </c>
      <c r="R823">
        <v>0.39366597230908063</v>
      </c>
      <c r="S823">
        <v>0.14274744741516382</v>
      </c>
      <c r="T823">
        <v>17.073062243797725</v>
      </c>
      <c r="U823">
        <v>1525.4005479153698</v>
      </c>
      <c r="V823">
        <v>9.7684908898899394</v>
      </c>
      <c r="W823">
        <v>1271.596894413276</v>
      </c>
      <c r="X823">
        <v>7.0334526898378433</v>
      </c>
      <c r="Y823">
        <v>2903.7179846130653</v>
      </c>
      <c r="Z823">
        <v>9.7967958780854634</v>
      </c>
      <c r="AA823">
        <v>2733.6441656503971</v>
      </c>
      <c r="AB823">
        <v>7.0507954323008732</v>
      </c>
      <c r="AC823">
        <v>2227.2877300907139</v>
      </c>
      <c r="AD823">
        <v>9.7858426193920458</v>
      </c>
      <c r="AE823">
        <v>2020.5188813308876</v>
      </c>
      <c r="AF823">
        <v>7.0440938409000449</v>
      </c>
      <c r="AG823">
        <v>2125.5037092732109</v>
      </c>
      <c r="AH823">
        <v>9.7831871254545462</v>
      </c>
      <c r="AI823">
        <v>1903.8275191269727</v>
      </c>
      <c r="AJ823">
        <v>7.0424673064201819</v>
      </c>
    </row>
    <row r="824" spans="4:36" x14ac:dyDescent="0.55000000000000004">
      <c r="D824">
        <v>817</v>
      </c>
      <c r="E824">
        <v>12.163054263738749</v>
      </c>
      <c r="F824">
        <v>0.43196562354010587</v>
      </c>
      <c r="G824">
        <v>0.15289082489039638</v>
      </c>
      <c r="H824">
        <v>17.252089287830749</v>
      </c>
      <c r="I824">
        <v>12.35894873342999</v>
      </c>
      <c r="J824">
        <v>0.28694442129386516</v>
      </c>
      <c r="K824">
        <v>0.10125907798637358</v>
      </c>
      <c r="L824">
        <v>17.252847767289754</v>
      </c>
      <c r="M824">
        <v>12.279321322213804</v>
      </c>
      <c r="N824">
        <v>0.34591944974143574</v>
      </c>
      <c r="O824">
        <v>0.12221821465935659</v>
      </c>
      <c r="P824">
        <v>17.252541013385414</v>
      </c>
      <c r="Q824">
        <v>12.256667262347001</v>
      </c>
      <c r="R824">
        <v>0.36269124586621171</v>
      </c>
      <c r="S824">
        <v>0.1281881371471123</v>
      </c>
      <c r="T824">
        <v>17.252453354639659</v>
      </c>
      <c r="U824">
        <v>1524.3730449609964</v>
      </c>
      <c r="V824">
        <v>9.7110069857553754</v>
      </c>
      <c r="W824">
        <v>1276.7925543756437</v>
      </c>
      <c r="X824">
        <v>7.0135447230524184</v>
      </c>
      <c r="Y824">
        <v>2902.0954376584559</v>
      </c>
      <c r="Z824">
        <v>9.7488523679656787</v>
      </c>
      <c r="AA824">
        <v>2735.1647036400277</v>
      </c>
      <c r="AB824">
        <v>7.0357539196546792</v>
      </c>
      <c r="AC824">
        <v>2177.4951986482274</v>
      </c>
      <c r="AD824">
        <v>9.7334678437307396</v>
      </c>
      <c r="AE824">
        <v>1988.1239724587638</v>
      </c>
      <c r="AF824">
        <v>7.0267347208544395</v>
      </c>
      <c r="AG824">
        <v>2115.9215596676809</v>
      </c>
      <c r="AH824">
        <v>9.7290912061500752</v>
      </c>
      <c r="AI824">
        <v>1900.7131502854393</v>
      </c>
      <c r="AJ824">
        <v>7.0241666536751293</v>
      </c>
    </row>
    <row r="825" spans="4:36" x14ac:dyDescent="0.55000000000000004">
      <c r="D825">
        <v>818</v>
      </c>
      <c r="E825">
        <v>11.193028216410477</v>
      </c>
      <c r="F825">
        <v>0.4401242279415894</v>
      </c>
      <c r="G825">
        <v>0.14789585481264766</v>
      </c>
      <c r="H825">
        <v>18.21895170083528</v>
      </c>
      <c r="I825">
        <v>11.372642660873344</v>
      </c>
      <c r="J825">
        <v>0.28794663182741104</v>
      </c>
      <c r="K825">
        <v>9.6499444345550967E-2</v>
      </c>
      <c r="L825">
        <v>18.242911262953687</v>
      </c>
      <c r="M825">
        <v>11.314626913268148</v>
      </c>
      <c r="N825">
        <v>0.33711390141096964</v>
      </c>
      <c r="O825">
        <v>0.11307461746730643</v>
      </c>
      <c r="P825">
        <v>18.235184567853569</v>
      </c>
      <c r="Q825">
        <v>11.285473089327247</v>
      </c>
      <c r="R825">
        <v>0.36181632090774662</v>
      </c>
      <c r="S825">
        <v>0.12141321514394321</v>
      </c>
      <c r="T825">
        <v>18.231297374621054</v>
      </c>
      <c r="U825">
        <v>1471.8360246629481</v>
      </c>
      <c r="V825">
        <v>8.8494171701713515</v>
      </c>
      <c r="W825">
        <v>1248.0671637952678</v>
      </c>
      <c r="X825">
        <v>6.488856364532305</v>
      </c>
      <c r="Y825">
        <v>2853.1143981449145</v>
      </c>
      <c r="Z825">
        <v>8.8684879900608298</v>
      </c>
      <c r="AA825">
        <v>2706.1956493888561</v>
      </c>
      <c r="AB825">
        <v>6.5012094278788854</v>
      </c>
      <c r="AC825">
        <v>2143.3974175087724</v>
      </c>
      <c r="AD825">
        <v>8.862321148421195</v>
      </c>
      <c r="AE825">
        <v>1971.8319285380544</v>
      </c>
      <c r="AF825">
        <v>6.4972215415653265</v>
      </c>
      <c r="AG825">
        <v>2063.2171748615356</v>
      </c>
      <c r="AH825">
        <v>8.8592247033062748</v>
      </c>
      <c r="AI825">
        <v>1871.1864961742788</v>
      </c>
      <c r="AJ825">
        <v>6.495216787922347</v>
      </c>
    </row>
    <row r="826" spans="4:36" x14ac:dyDescent="0.55000000000000004">
      <c r="D826">
        <v>819</v>
      </c>
      <c r="E826">
        <v>11.414995825985162</v>
      </c>
      <c r="F826">
        <v>0.42376277456457651</v>
      </c>
      <c r="G826">
        <v>0.15612599709037853</v>
      </c>
      <c r="H826">
        <v>18.005115402359881</v>
      </c>
      <c r="I826">
        <v>11.616076415446734</v>
      </c>
      <c r="J826">
        <v>0.26324581351697413</v>
      </c>
      <c r="K826">
        <v>9.6690032481676236E-2</v>
      </c>
      <c r="L826">
        <v>18.023987738554613</v>
      </c>
      <c r="M826">
        <v>11.548366772237571</v>
      </c>
      <c r="N826">
        <v>0.31731846700812211</v>
      </c>
      <c r="O826">
        <v>0.11667078356256703</v>
      </c>
      <c r="P826">
        <v>18.017643977191732</v>
      </c>
      <c r="Q826">
        <v>11.484337467959424</v>
      </c>
      <c r="R826">
        <v>0.36843156305442598</v>
      </c>
      <c r="S826">
        <v>0.13559627850888753</v>
      </c>
      <c r="T826">
        <v>18.011634690477266</v>
      </c>
      <c r="U826">
        <v>1474.4892345150317</v>
      </c>
      <c r="V826">
        <v>8.9772862616300078</v>
      </c>
      <c r="W826">
        <v>1245.2453821418364</v>
      </c>
      <c r="X826">
        <v>6.5601844461268612</v>
      </c>
      <c r="Y826">
        <v>2856.0993409160787</v>
      </c>
      <c r="Z826">
        <v>9.0039624031079502</v>
      </c>
      <c r="AA826">
        <v>2706.5121341570234</v>
      </c>
      <c r="AB826">
        <v>6.576746804509531</v>
      </c>
      <c r="AC826">
        <v>2155.9413844461083</v>
      </c>
      <c r="AD826">
        <v>8.9949736815511585</v>
      </c>
      <c r="AE826">
        <v>1978.0441994184596</v>
      </c>
      <c r="AF826">
        <v>6.5711744930206493</v>
      </c>
      <c r="AG826">
        <v>2091.4104169260959</v>
      </c>
      <c r="AH826">
        <v>8.9864792159201965</v>
      </c>
      <c r="AI826">
        <v>1886.2004782638021</v>
      </c>
      <c r="AJ826">
        <v>6.5659006773465896</v>
      </c>
    </row>
    <row r="827" spans="4:36" x14ac:dyDescent="0.55000000000000004">
      <c r="D827">
        <v>820</v>
      </c>
      <c r="E827">
        <v>12.187899277548254</v>
      </c>
      <c r="F827">
        <v>0.44508566290966622</v>
      </c>
      <c r="G827">
        <v>0.14302025346669223</v>
      </c>
      <c r="H827">
        <v>17.223994806075385</v>
      </c>
      <c r="I827">
        <v>12.379623847145982</v>
      </c>
      <c r="J827">
        <v>0.30197190352717396</v>
      </c>
      <c r="K827">
        <v>9.6769422909952454E-2</v>
      </c>
      <c r="L827">
        <v>17.221634826416881</v>
      </c>
      <c r="M827">
        <v>12.306477771925511</v>
      </c>
      <c r="N827">
        <v>0.3565966441677903</v>
      </c>
      <c r="O827">
        <v>0.11439266809878658</v>
      </c>
      <c r="P827">
        <v>17.222532915807921</v>
      </c>
      <c r="Q827">
        <v>12.283660250571334</v>
      </c>
      <c r="R827">
        <v>0.3736303753156382</v>
      </c>
      <c r="S827">
        <v>0.11989573068332769</v>
      </c>
      <c r="T827">
        <v>17.222813643429692</v>
      </c>
      <c r="U827">
        <v>1525.7337158787232</v>
      </c>
      <c r="V827">
        <v>9.5709132478891465</v>
      </c>
      <c r="W827">
        <v>1279.0686925302496</v>
      </c>
      <c r="X827">
        <v>6.9103919525763606</v>
      </c>
      <c r="Y827">
        <v>2882.3812811466255</v>
      </c>
      <c r="Z827">
        <v>9.6094848871040597</v>
      </c>
      <c r="AA827">
        <v>2721.2262922665159</v>
      </c>
      <c r="AB827">
        <v>6.9327437810213475</v>
      </c>
      <c r="AC827">
        <v>2217.8564394117216</v>
      </c>
      <c r="AD827">
        <v>9.5947704835242913</v>
      </c>
      <c r="AE827">
        <v>2018.4189791973561</v>
      </c>
      <c r="AF827">
        <v>6.9242250876274154</v>
      </c>
      <c r="AG827">
        <v>2097.1879681158953</v>
      </c>
      <c r="AH827">
        <v>9.5901800756444313</v>
      </c>
      <c r="AI827">
        <v>1888.1750454718874</v>
      </c>
      <c r="AJ827">
        <v>6.92156549180564</v>
      </c>
    </row>
    <row r="828" spans="4:36" x14ac:dyDescent="0.55000000000000004">
      <c r="D828">
        <v>821</v>
      </c>
      <c r="E828">
        <v>12.325912351106753</v>
      </c>
      <c r="F828">
        <v>0.44818627304028608</v>
      </c>
      <c r="G828">
        <v>0.15785506006578054</v>
      </c>
      <c r="H828">
        <v>17.068046315787171</v>
      </c>
      <c r="I828">
        <v>12.55247321894956</v>
      </c>
      <c r="J828">
        <v>0.28019678380575053</v>
      </c>
      <c r="K828">
        <v>9.8357094560603819E-2</v>
      </c>
      <c r="L828">
        <v>17.068972902684077</v>
      </c>
      <c r="M828">
        <v>12.458982994883129</v>
      </c>
      <c r="N828">
        <v>0.34955292994741172</v>
      </c>
      <c r="O828">
        <v>0.12287237316330059</v>
      </c>
      <c r="P828">
        <v>17.068591702006163</v>
      </c>
      <c r="Q828">
        <v>12.41762305564737</v>
      </c>
      <c r="R828">
        <v>0.3802201841514069</v>
      </c>
      <c r="S828">
        <v>0.13373421641698766</v>
      </c>
      <c r="T828">
        <v>17.068422543784234</v>
      </c>
      <c r="U828">
        <v>1509.9295548825169</v>
      </c>
      <c r="V828">
        <v>9.7051956257618084</v>
      </c>
      <c r="W828">
        <v>1264.2798835200299</v>
      </c>
      <c r="X828">
        <v>6.9896193545654528</v>
      </c>
      <c r="Y828">
        <v>2881.190694621866</v>
      </c>
      <c r="Z828">
        <v>9.7466290925647456</v>
      </c>
      <c r="AA828">
        <v>2720.0656384064273</v>
      </c>
      <c r="AB828">
        <v>7.0137692510311656</v>
      </c>
      <c r="AC828">
        <v>2185.639631907336</v>
      </c>
      <c r="AD828">
        <v>9.7295311908402109</v>
      </c>
      <c r="AE828">
        <v>1993.1857546884123</v>
      </c>
      <c r="AF828">
        <v>7.0038145333714121</v>
      </c>
      <c r="AG828">
        <v>2104.6008369819779</v>
      </c>
      <c r="AH828">
        <v>9.721967283893191</v>
      </c>
      <c r="AI828">
        <v>1890.4460710900514</v>
      </c>
      <c r="AJ828">
        <v>6.9994057937084353</v>
      </c>
    </row>
    <row r="829" spans="4:36" x14ac:dyDescent="0.55000000000000004">
      <c r="D829">
        <v>822</v>
      </c>
      <c r="E829">
        <v>13.078957842227652</v>
      </c>
      <c r="F829">
        <v>0.51165573317545465</v>
      </c>
      <c r="G829">
        <v>0.18705384268827827</v>
      </c>
      <c r="H829">
        <v>16.22233258190861</v>
      </c>
      <c r="I829">
        <v>13.338897367488229</v>
      </c>
      <c r="J829">
        <v>0.32022819149086862</v>
      </c>
      <c r="K829">
        <v>0.1166537752559184</v>
      </c>
      <c r="L829">
        <v>16.224220665764999</v>
      </c>
      <c r="M829">
        <v>13.240279282836346</v>
      </c>
      <c r="N829">
        <v>0.39289788568798939</v>
      </c>
      <c r="O829">
        <v>0.14331901270203679</v>
      </c>
      <c r="P829">
        <v>16.223503818773633</v>
      </c>
      <c r="Q829">
        <v>13.194569643355756</v>
      </c>
      <c r="R829">
        <v>0.42656212109962061</v>
      </c>
      <c r="S829">
        <v>0.15569645912191807</v>
      </c>
      <c r="T829">
        <v>16.223171776422713</v>
      </c>
      <c r="U829">
        <v>1583.1840979701144</v>
      </c>
      <c r="V829">
        <v>10.36926212976417</v>
      </c>
      <c r="W829">
        <v>1307.582242382789</v>
      </c>
      <c r="X829">
        <v>7.3767982392648701</v>
      </c>
      <c r="Y829">
        <v>2941.614511395007</v>
      </c>
      <c r="Z829">
        <v>10.416311248745581</v>
      </c>
      <c r="AA829">
        <v>2757.1916987388468</v>
      </c>
      <c r="AB829">
        <v>7.4038933252577035</v>
      </c>
      <c r="AC829">
        <v>2246.3692031063756</v>
      </c>
      <c r="AD829">
        <v>10.398461173950654</v>
      </c>
      <c r="AE829">
        <v>2029.857475506828</v>
      </c>
      <c r="AF829">
        <v>7.3936260164424068</v>
      </c>
      <c r="AG829">
        <v>2147.5731800245549</v>
      </c>
      <c r="AH829">
        <v>10.390187709628922</v>
      </c>
      <c r="AI829">
        <v>1913.751747523494</v>
      </c>
      <c r="AJ829">
        <v>7.3888620463744488</v>
      </c>
    </row>
    <row r="830" spans="4:36" x14ac:dyDescent="0.55000000000000004">
      <c r="D830">
        <v>823</v>
      </c>
      <c r="E830">
        <v>12.265145678895532</v>
      </c>
      <c r="F830">
        <v>0.47621921452503596</v>
      </c>
      <c r="G830">
        <v>0.17421112011096362</v>
      </c>
      <c r="H830">
        <v>17.08442398646849</v>
      </c>
      <c r="I830">
        <v>12.521621021240767</v>
      </c>
      <c r="J830">
        <v>0.28359050175472178</v>
      </c>
      <c r="K830">
        <v>0.10335321039934807</v>
      </c>
      <c r="L830">
        <v>17.091435266605156</v>
      </c>
      <c r="M830">
        <v>12.413178406390333</v>
      </c>
      <c r="N830">
        <v>0.36508201197866186</v>
      </c>
      <c r="O830">
        <v>0.13326354196373025</v>
      </c>
      <c r="P830">
        <v>17.088476039667292</v>
      </c>
      <c r="Q830">
        <v>12.373104325088331</v>
      </c>
      <c r="R830">
        <v>0.39518011678252907</v>
      </c>
      <c r="S830">
        <v>0.14433502408075038</v>
      </c>
      <c r="T830">
        <v>17.087380534048389</v>
      </c>
      <c r="U830">
        <v>1534.4043974996614</v>
      </c>
      <c r="V830">
        <v>9.6348427880873988</v>
      </c>
      <c r="W830">
        <v>1279.872513138057</v>
      </c>
      <c r="X830">
        <v>6.9419486187377206</v>
      </c>
      <c r="Y830">
        <v>2893.8987719991374</v>
      </c>
      <c r="Z830">
        <v>9.6806226602319114</v>
      </c>
      <c r="AA830">
        <v>2729.0046649799438</v>
      </c>
      <c r="AB830">
        <v>6.9689627911113812</v>
      </c>
      <c r="AC830">
        <v>2199.4873942546947</v>
      </c>
      <c r="AD830">
        <v>9.6612623634674772</v>
      </c>
      <c r="AE830">
        <v>2001.9973412226148</v>
      </c>
      <c r="AF830">
        <v>6.9575532962022431</v>
      </c>
      <c r="AG830">
        <v>2103.7323546541311</v>
      </c>
      <c r="AH830">
        <v>9.6541092913813635</v>
      </c>
      <c r="AI830">
        <v>1888.6563464758692</v>
      </c>
      <c r="AJ830">
        <v>6.9533323610984672</v>
      </c>
    </row>
    <row r="831" spans="4:36" x14ac:dyDescent="0.55000000000000004">
      <c r="D831">
        <v>824</v>
      </c>
      <c r="E831">
        <v>10.93225186347043</v>
      </c>
      <c r="F831">
        <v>0.42910588770972252</v>
      </c>
      <c r="G831">
        <v>0.1503679531398702</v>
      </c>
      <c r="H831">
        <v>18.488274295679982</v>
      </c>
      <c r="I831">
        <v>11.115810805720599</v>
      </c>
      <c r="J831">
        <v>0.27212223731946589</v>
      </c>
      <c r="K831">
        <v>9.5088130879722357E-2</v>
      </c>
      <c r="L831">
        <v>18.516978826080212</v>
      </c>
      <c r="M831">
        <v>11.060560257263052</v>
      </c>
      <c r="N831">
        <v>0.31938697262759552</v>
      </c>
      <c r="O831">
        <v>0.11169856651412019</v>
      </c>
      <c r="P831">
        <v>18.508354203595239</v>
      </c>
      <c r="Q831">
        <v>11.054643679569566</v>
      </c>
      <c r="R831">
        <v>0.3244477059373696</v>
      </c>
      <c r="S831">
        <v>0.11347876872646405</v>
      </c>
      <c r="T831">
        <v>18.507429845766595</v>
      </c>
      <c r="U831">
        <v>1484.7925283853663</v>
      </c>
      <c r="V831">
        <v>8.6595821246952003</v>
      </c>
      <c r="W831">
        <v>1258.595173392268</v>
      </c>
      <c r="X831">
        <v>6.3778684821707374</v>
      </c>
      <c r="Y831">
        <v>2840.0033869062077</v>
      </c>
      <c r="Z831">
        <v>8.6770973690994371</v>
      </c>
      <c r="AA831">
        <v>2697.8123218171759</v>
      </c>
      <c r="AB831">
        <v>6.3897143964108363</v>
      </c>
      <c r="AC831">
        <v>2130.8416247078426</v>
      </c>
      <c r="AD831">
        <v>8.6718159849589522</v>
      </c>
      <c r="AE831">
        <v>1963.9965567850279</v>
      </c>
      <c r="AF831">
        <v>6.3861500466981536</v>
      </c>
      <c r="AG831">
        <v>2025.686810323178</v>
      </c>
      <c r="AH831">
        <v>8.6712508964889246</v>
      </c>
      <c r="AI831">
        <v>1846.548144536938</v>
      </c>
      <c r="AJ831">
        <v>6.3857682916216145</v>
      </c>
    </row>
    <row r="832" spans="4:36" x14ac:dyDescent="0.55000000000000004">
      <c r="D832">
        <v>825</v>
      </c>
      <c r="E832">
        <v>13.362665521907861</v>
      </c>
      <c r="F832">
        <v>0.4772203116880272</v>
      </c>
      <c r="G832">
        <v>0.18365926441536892</v>
      </c>
      <c r="H832">
        <v>15.976454901988749</v>
      </c>
      <c r="I832">
        <v>13.63798549300609</v>
      </c>
      <c r="J832">
        <v>0.29270093753142862</v>
      </c>
      <c r="K832">
        <v>0.11221210009902594</v>
      </c>
      <c r="L832">
        <v>15.957101469363469</v>
      </c>
      <c r="M832">
        <v>13.516752691021161</v>
      </c>
      <c r="N832">
        <v>0.37401142809325066</v>
      </c>
      <c r="O832">
        <v>0.14362694219516556</v>
      </c>
      <c r="P832">
        <v>15.965608938690414</v>
      </c>
      <c r="Q832">
        <v>13.483992883029879</v>
      </c>
      <c r="R832">
        <v>0.39596712048341232</v>
      </c>
      <c r="S832">
        <v>0.15212824856422977</v>
      </c>
      <c r="T832">
        <v>15.9679117479225</v>
      </c>
      <c r="U832">
        <v>1571.7732541729263</v>
      </c>
      <c r="V832">
        <v>10.55987508706375</v>
      </c>
      <c r="W832">
        <v>1300.1837426325012</v>
      </c>
      <c r="X832">
        <v>7.4881848592626987</v>
      </c>
      <c r="Y832">
        <v>2936.2151459553547</v>
      </c>
      <c r="Z832">
        <v>10.6252004240181</v>
      </c>
      <c r="AA832">
        <v>2754.1210037908559</v>
      </c>
      <c r="AB832">
        <v>7.5248220489358815</v>
      </c>
      <c r="AC832">
        <v>2240.5208576722957</v>
      </c>
      <c r="AD832">
        <v>10.596444081306817</v>
      </c>
      <c r="AE832">
        <v>2025.6678549980984</v>
      </c>
      <c r="AF832">
        <v>7.5087104379520575</v>
      </c>
      <c r="AG832">
        <v>2176.5485587633825</v>
      </c>
      <c r="AH832">
        <v>10.588671153315584</v>
      </c>
      <c r="AI832">
        <v>1935.1149537668136</v>
      </c>
      <c r="AJ832">
        <v>7.5043510804528895</v>
      </c>
    </row>
    <row r="833" spans="4:36" x14ac:dyDescent="0.55000000000000004">
      <c r="D833">
        <v>826</v>
      </c>
      <c r="E833">
        <v>13.364416152850236</v>
      </c>
      <c r="F833">
        <v>0.48439890854160755</v>
      </c>
      <c r="G833">
        <v>0.14926649529886948</v>
      </c>
      <c r="H833">
        <v>16.001918443309297</v>
      </c>
      <c r="I833">
        <v>13.587706527241657</v>
      </c>
      <c r="J833">
        <v>0.32814951776099349</v>
      </c>
      <c r="K833">
        <v>0.10082053524491945</v>
      </c>
      <c r="L833">
        <v>15.983323419752432</v>
      </c>
      <c r="M833">
        <v>13.512655160811754</v>
      </c>
      <c r="N833">
        <v>0.38070103609842215</v>
      </c>
      <c r="O833">
        <v>0.11708201689232403</v>
      </c>
      <c r="P833">
        <v>15.989561786197488</v>
      </c>
      <c r="Q833">
        <v>13.461607456906597</v>
      </c>
      <c r="R833">
        <v>0.41642559872159401</v>
      </c>
      <c r="S833">
        <v>0.12815525664654823</v>
      </c>
      <c r="T833">
        <v>15.993811687725273</v>
      </c>
      <c r="U833">
        <v>1599.7716324901496</v>
      </c>
      <c r="V833">
        <v>10.53792533630698</v>
      </c>
      <c r="W833">
        <v>1319.5966950187678</v>
      </c>
      <c r="X833">
        <v>7.473721313970044</v>
      </c>
      <c r="Y833">
        <v>2930.9328024150009</v>
      </c>
      <c r="Z833">
        <v>10.589241948673939</v>
      </c>
      <c r="AA833">
        <v>2747.7777815027011</v>
      </c>
      <c r="AB833">
        <v>7.5023065029085148</v>
      </c>
      <c r="AC833">
        <v>2262.3710417538496</v>
      </c>
      <c r="AD833">
        <v>10.572000488359519</v>
      </c>
      <c r="AE833">
        <v>2040.7264773825921</v>
      </c>
      <c r="AF833">
        <v>7.4927112870097075</v>
      </c>
      <c r="AG833">
        <v>2148.6861426919627</v>
      </c>
      <c r="AH833">
        <v>10.560269411251374</v>
      </c>
      <c r="AI833">
        <v>1913.7578452840548</v>
      </c>
      <c r="AJ833">
        <v>7.4861775837368913</v>
      </c>
    </row>
    <row r="834" spans="4:36" x14ac:dyDescent="0.55000000000000004">
      <c r="D834">
        <v>827</v>
      </c>
      <c r="E834">
        <v>13.650908822734138</v>
      </c>
      <c r="F834">
        <v>0.49555471222356484</v>
      </c>
      <c r="G834">
        <v>0.1714964225660591</v>
      </c>
      <c r="H834">
        <v>15.682040042476226</v>
      </c>
      <c r="I834">
        <v>13.914090606716861</v>
      </c>
      <c r="J834">
        <v>0.31522881260278729</v>
      </c>
      <c r="K834">
        <v>0.10870155384415633</v>
      </c>
      <c r="L834">
        <v>15.661979026836185</v>
      </c>
      <c r="M834">
        <v>13.825361258331327</v>
      </c>
      <c r="N834">
        <v>0.37607176817697063</v>
      </c>
      <c r="O834">
        <v>0.12983791892189758</v>
      </c>
      <c r="P834">
        <v>15.668729054569795</v>
      </c>
      <c r="Q834">
        <v>13.758718532223872</v>
      </c>
      <c r="R834">
        <v>0.42173781582151382</v>
      </c>
      <c r="S834">
        <v>0.14573589187388586</v>
      </c>
      <c r="T834">
        <v>15.673807760080734</v>
      </c>
      <c r="U834">
        <v>1601.6466867848933</v>
      </c>
      <c r="V834">
        <v>10.789302707893251</v>
      </c>
      <c r="W834">
        <v>1319.7397721893101</v>
      </c>
      <c r="X834">
        <v>7.6186957798908912</v>
      </c>
      <c r="Y834">
        <v>2930.9685271074768</v>
      </c>
      <c r="Z834">
        <v>10.849373413517373</v>
      </c>
      <c r="AA834">
        <v>2748.4575939079505</v>
      </c>
      <c r="AB834">
        <v>7.6520728410518384</v>
      </c>
      <c r="AC834">
        <v>2265.6112022767975</v>
      </c>
      <c r="AD834">
        <v>10.829129719826522</v>
      </c>
      <c r="AE834">
        <v>2042.9663319574076</v>
      </c>
      <c r="AF834">
        <v>7.6408368145819834</v>
      </c>
      <c r="AG834">
        <v>2180.1116199397607</v>
      </c>
      <c r="AH834">
        <v>10.813919382008031</v>
      </c>
      <c r="AI834">
        <v>1935.3859055525611</v>
      </c>
      <c r="AJ834">
        <v>7.6323865226665664</v>
      </c>
    </row>
    <row r="835" spans="4:36" x14ac:dyDescent="0.55000000000000004">
      <c r="D835">
        <v>828</v>
      </c>
      <c r="E835">
        <v>14.839514576708543</v>
      </c>
      <c r="F835">
        <v>0.48686577134659814</v>
      </c>
      <c r="G835">
        <v>0.15341434612839228</v>
      </c>
      <c r="H835">
        <v>14.520205305816464</v>
      </c>
      <c r="I835">
        <v>15.099056305593356</v>
      </c>
      <c r="J835">
        <v>0.32622647077461525</v>
      </c>
      <c r="K835">
        <v>0.10247700338066577</v>
      </c>
      <c r="L835">
        <v>14.472240220251354</v>
      </c>
      <c r="M835">
        <v>15.044865151878833</v>
      </c>
      <c r="N835">
        <v>0.35980391218101793</v>
      </c>
      <c r="O835">
        <v>0.11309755672046662</v>
      </c>
      <c r="P835">
        <v>14.48223337921968</v>
      </c>
      <c r="Q835">
        <v>14.944865580871506</v>
      </c>
      <c r="R835">
        <v>0.4217141129066555</v>
      </c>
      <c r="S835">
        <v>0.13271642266433512</v>
      </c>
      <c r="T835">
        <v>14.50070388355749</v>
      </c>
      <c r="U835">
        <v>1629.0594027426525</v>
      </c>
      <c r="V835">
        <v>11.750045495364027</v>
      </c>
      <c r="W835">
        <v>1329.3054601488188</v>
      </c>
      <c r="X835">
        <v>8.1718461677100116</v>
      </c>
      <c r="Y835">
        <v>2971.5036285990354</v>
      </c>
      <c r="Z835">
        <v>11.825793831691531</v>
      </c>
      <c r="AA835">
        <v>2769.4038569119111</v>
      </c>
      <c r="AB835">
        <v>8.21258523070024</v>
      </c>
      <c r="AC835">
        <v>2311.2011285048743</v>
      </c>
      <c r="AD835">
        <v>11.809990437301289</v>
      </c>
      <c r="AE835">
        <v>2067.8541222217641</v>
      </c>
      <c r="AF835">
        <v>8.204094255595189</v>
      </c>
      <c r="AG835">
        <v>2215.0525936550762</v>
      </c>
      <c r="AH835">
        <v>11.780810962772126</v>
      </c>
      <c r="AI835">
        <v>1950.9662809591766</v>
      </c>
      <c r="AJ835">
        <v>8.1884048404242442</v>
      </c>
    </row>
    <row r="836" spans="4:36" x14ac:dyDescent="0.55000000000000004">
      <c r="D836">
        <v>829</v>
      </c>
      <c r="E836">
        <v>11.350796069233434</v>
      </c>
      <c r="F836">
        <v>0.42737669194725814</v>
      </c>
      <c r="G836">
        <v>0.15537026799375192</v>
      </c>
      <c r="H836">
        <v>18.066456970825541</v>
      </c>
      <c r="I836">
        <v>11.512926825728231</v>
      </c>
      <c r="J836">
        <v>0.29284431909702735</v>
      </c>
      <c r="K836">
        <v>0.10619204181443266</v>
      </c>
      <c r="L836">
        <v>18.088036813360315</v>
      </c>
      <c r="M836">
        <v>11.428899687685442</v>
      </c>
      <c r="N836">
        <v>0.36258199974099131</v>
      </c>
      <c r="O836">
        <v>0.13165305388238729</v>
      </c>
      <c r="P836">
        <v>18.076865258691175</v>
      </c>
      <c r="Q836">
        <v>11.428766041834166</v>
      </c>
      <c r="R836">
        <v>0.36269289435357843</v>
      </c>
      <c r="S836">
        <v>0.13169359506214817</v>
      </c>
      <c r="T836">
        <v>18.07684746875012</v>
      </c>
      <c r="U836">
        <v>1524.6182694308047</v>
      </c>
      <c r="V836">
        <v>9.0620350370086022</v>
      </c>
      <c r="W836">
        <v>1280.9031134123056</v>
      </c>
      <c r="X836">
        <v>6.6267765635347491</v>
      </c>
      <c r="Y836">
        <v>2889.8878697161754</v>
      </c>
      <c r="Z836">
        <v>9.0773837691497583</v>
      </c>
      <c r="AA836">
        <v>2728.0986511717056</v>
      </c>
      <c r="AB836">
        <v>6.6368279781207633</v>
      </c>
      <c r="AC836">
        <v>2205.0052761221118</v>
      </c>
      <c r="AD836">
        <v>9.0694221367507399</v>
      </c>
      <c r="AE836">
        <v>2009.373850609679</v>
      </c>
      <c r="AF836">
        <v>6.6316200466833726</v>
      </c>
      <c r="AG836">
        <v>2102.2386655938194</v>
      </c>
      <c r="AH836">
        <v>9.0694094854617546</v>
      </c>
      <c r="AI836">
        <v>1893.8742316124103</v>
      </c>
      <c r="AJ836">
        <v>6.6316117610511007</v>
      </c>
    </row>
    <row r="837" spans="4:36" x14ac:dyDescent="0.55000000000000004">
      <c r="D837">
        <v>830</v>
      </c>
      <c r="E837">
        <v>11.228756981283588</v>
      </c>
      <c r="F837">
        <v>0.42383462047474796</v>
      </c>
      <c r="G837">
        <v>0.15359086468812383</v>
      </c>
      <c r="H837">
        <v>18.193817533553535</v>
      </c>
      <c r="I837">
        <v>11.413405570827047</v>
      </c>
      <c r="J837">
        <v>0.27105235707480907</v>
      </c>
      <c r="K837">
        <v>9.793605838743083E-2</v>
      </c>
      <c r="L837">
        <v>18.217606013710697</v>
      </c>
      <c r="M837">
        <v>11.334875155565271</v>
      </c>
      <c r="N837">
        <v>0.33604805951548772</v>
      </c>
      <c r="O837">
        <v>0.1215718351110011</v>
      </c>
      <c r="P837">
        <v>18.207504949808236</v>
      </c>
      <c r="Q837">
        <v>11.315499473440687</v>
      </c>
      <c r="R837">
        <v>0.35208027696919592</v>
      </c>
      <c r="S837">
        <v>0.1274111692402341</v>
      </c>
      <c r="T837">
        <v>18.205009080349885</v>
      </c>
      <c r="U837">
        <v>1473.9491824346815</v>
      </c>
      <c r="V837">
        <v>8.8813696067342409</v>
      </c>
      <c r="W837">
        <v>1245.6141979460881</v>
      </c>
      <c r="X837">
        <v>6.5098367356096389</v>
      </c>
      <c r="Y837">
        <v>2859.6552802231399</v>
      </c>
      <c r="Z837">
        <v>8.9031491198515855</v>
      </c>
      <c r="AA837">
        <v>2708.9876688466738</v>
      </c>
      <c r="AB837">
        <v>6.5238628388319642</v>
      </c>
      <c r="AC837">
        <v>2172.6592104096108</v>
      </c>
      <c r="AD837">
        <v>8.8938775211329855</v>
      </c>
      <c r="AE837">
        <v>1989.3488887644507</v>
      </c>
      <c r="AF837">
        <v>6.5179004961818379</v>
      </c>
      <c r="AG837">
        <v>2055.8167901327429</v>
      </c>
      <c r="AH837">
        <v>8.8915919608005325</v>
      </c>
      <c r="AI837">
        <v>1862.1179624202296</v>
      </c>
      <c r="AJ837">
        <v>6.516428757684368</v>
      </c>
    </row>
    <row r="838" spans="4:36" x14ac:dyDescent="0.55000000000000004">
      <c r="D838">
        <v>831</v>
      </c>
      <c r="E838">
        <v>13.323947950891553</v>
      </c>
      <c r="F838">
        <v>0.4273250796194708</v>
      </c>
      <c r="G838">
        <v>0.14238405169656343</v>
      </c>
      <c r="H838">
        <v>16.106342917792404</v>
      </c>
      <c r="I838">
        <v>13.528050394688929</v>
      </c>
      <c r="J838">
        <v>0.28845995859221968</v>
      </c>
      <c r="K838">
        <v>9.5849324643244846E-2</v>
      </c>
      <c r="L838">
        <v>16.087640322075604</v>
      </c>
      <c r="M838">
        <v>13.42755024889032</v>
      </c>
      <c r="N838">
        <v>0.35687019008917287</v>
      </c>
      <c r="O838">
        <v>0.11874149027032992</v>
      </c>
      <c r="P838">
        <v>16.096838070750188</v>
      </c>
      <c r="Q838">
        <v>13.359280819036305</v>
      </c>
      <c r="R838">
        <v>0.40330459656286144</v>
      </c>
      <c r="S838">
        <v>0.1343158928404565</v>
      </c>
      <c r="T838">
        <v>16.103098691560369</v>
      </c>
      <c r="U838">
        <v>1572.7164619827308</v>
      </c>
      <c r="V838">
        <v>10.56111074099673</v>
      </c>
      <c r="W838">
        <v>1309.3023918064432</v>
      </c>
      <c r="X838">
        <v>7.5013563136885582</v>
      </c>
      <c r="Y838">
        <v>2886.6691231191289</v>
      </c>
      <c r="Z838">
        <v>10.614133474743593</v>
      </c>
      <c r="AA838">
        <v>2722.454795218383</v>
      </c>
      <c r="AB838">
        <v>7.5310468368193497</v>
      </c>
      <c r="AC838">
        <v>2242.6047179451448</v>
      </c>
      <c r="AD838">
        <v>10.588031118467018</v>
      </c>
      <c r="AE838">
        <v>2032.4591744901754</v>
      </c>
      <c r="AF838">
        <v>7.5164403773271786</v>
      </c>
      <c r="AG838">
        <v>2120.1706310246004</v>
      </c>
      <c r="AH838">
        <v>10.57029316877974</v>
      </c>
      <c r="AI838">
        <v>1898.961891274497</v>
      </c>
      <c r="AJ838">
        <v>7.5065037055885844</v>
      </c>
    </row>
    <row r="839" spans="4:36" x14ac:dyDescent="0.55000000000000004">
      <c r="D839">
        <v>832</v>
      </c>
      <c r="E839">
        <v>14.278190843506405</v>
      </c>
      <c r="F839">
        <v>0.48054960960851878</v>
      </c>
      <c r="G839">
        <v>0.18308164432814614</v>
      </c>
      <c r="H839">
        <v>15.058177902556936</v>
      </c>
      <c r="I839">
        <v>14.528255039584014</v>
      </c>
      <c r="J839">
        <v>0.32298281018562996</v>
      </c>
      <c r="K839">
        <v>0.12262901730328932</v>
      </c>
      <c r="L839">
        <v>15.026133132927054</v>
      </c>
      <c r="M839">
        <v>14.436832021698125</v>
      </c>
      <c r="N839">
        <v>0.38063723592989346</v>
      </c>
      <c r="O839">
        <v>0.14469990400115501</v>
      </c>
      <c r="P839">
        <v>15.037830838370844</v>
      </c>
      <c r="Q839">
        <v>14.370463390662307</v>
      </c>
      <c r="R839">
        <v>0.42245676029409213</v>
      </c>
      <c r="S839">
        <v>0.16074423324367285</v>
      </c>
      <c r="T839">
        <v>15.046335615799935</v>
      </c>
      <c r="U839">
        <v>1639.5645620835035</v>
      </c>
      <c r="V839">
        <v>11.260821291173304</v>
      </c>
      <c r="W839">
        <v>1340.3069087796296</v>
      </c>
      <c r="X839">
        <v>7.8865492413160521</v>
      </c>
      <c r="Y839">
        <v>2964.6270338547547</v>
      </c>
      <c r="Z839">
        <v>11.328472797902593</v>
      </c>
      <c r="AA839">
        <v>2766.9074728669061</v>
      </c>
      <c r="AB839">
        <v>7.9237512053014747</v>
      </c>
      <c r="AC839">
        <v>2298.334787724214</v>
      </c>
      <c r="AD839">
        <v>11.303749402820179</v>
      </c>
      <c r="AE839">
        <v>2060.020661010009</v>
      </c>
      <c r="AF839">
        <v>7.9101678229733023</v>
      </c>
      <c r="AG839">
        <v>2201.9799517851197</v>
      </c>
      <c r="AH839">
        <v>11.28579432211019</v>
      </c>
      <c r="AI839">
        <v>1944.5075323374565</v>
      </c>
      <c r="AJ839">
        <v>7.9002942999700787</v>
      </c>
    </row>
    <row r="840" spans="4:36" x14ac:dyDescent="0.55000000000000004">
      <c r="D840">
        <v>833</v>
      </c>
      <c r="E840">
        <v>12.551862926742235</v>
      </c>
      <c r="F840">
        <v>0.45424242268031023</v>
      </c>
      <c r="G840">
        <v>0.17764766588944889</v>
      </c>
      <c r="H840">
        <v>16.816246984688025</v>
      </c>
      <c r="I840">
        <v>12.751598387311708</v>
      </c>
      <c r="J840">
        <v>0.30349073425195472</v>
      </c>
      <c r="K840">
        <v>0.11833608351094108</v>
      </c>
      <c r="L840">
        <v>16.826574794925396</v>
      </c>
      <c r="M840">
        <v>12.676537507057605</v>
      </c>
      <c r="N840">
        <v>0.36016871403265804</v>
      </c>
      <c r="O840">
        <v>0.14059319197931661</v>
      </c>
      <c r="P840">
        <v>16.822700586930431</v>
      </c>
      <c r="Q840">
        <v>12.624314152610413</v>
      </c>
      <c r="R840">
        <v>0.39958432309842157</v>
      </c>
      <c r="S840">
        <v>0.15610136082766637</v>
      </c>
      <c r="T840">
        <v>16.82000016346349</v>
      </c>
      <c r="U840">
        <v>1540.5023204543068</v>
      </c>
      <c r="V840">
        <v>9.8306573703090585</v>
      </c>
      <c r="W840">
        <v>1281.2480206939279</v>
      </c>
      <c r="X840">
        <v>7.0511820463191892</v>
      </c>
      <c r="Y840">
        <v>2899.0302618375454</v>
      </c>
      <c r="Z840">
        <v>9.8588199651216613</v>
      </c>
      <c r="AA840">
        <v>2728.0335602805599</v>
      </c>
      <c r="AB840">
        <v>7.0679896739822068</v>
      </c>
      <c r="AC840">
        <v>2231.1634848971698</v>
      </c>
      <c r="AD840">
        <v>9.8482325090918312</v>
      </c>
      <c r="AE840">
        <v>2021.561006437146</v>
      </c>
      <c r="AF840">
        <v>7.0616782457714162</v>
      </c>
      <c r="AG840">
        <v>2144.5074819000733</v>
      </c>
      <c r="AH840">
        <v>9.8408690923460238</v>
      </c>
      <c r="AI840">
        <v>1913.6862086068656</v>
      </c>
      <c r="AJ840">
        <v>7.0572836202517442</v>
      </c>
    </row>
    <row r="841" spans="4:36" x14ac:dyDescent="0.55000000000000004">
      <c r="D841">
        <v>834</v>
      </c>
      <c r="E841">
        <v>13.01413636893391</v>
      </c>
      <c r="F841">
        <v>0.46480132326244616</v>
      </c>
      <c r="G841">
        <v>0.16036746720305139</v>
      </c>
      <c r="H841">
        <v>16.36069484060058</v>
      </c>
      <c r="I841">
        <v>13.256855351662129</v>
      </c>
      <c r="J841">
        <v>0.29519480252592539</v>
      </c>
      <c r="K841">
        <v>0.10149957229031872</v>
      </c>
      <c r="L841">
        <v>16.346450273521622</v>
      </c>
      <c r="M841">
        <v>13.152637504691441</v>
      </c>
      <c r="N841">
        <v>0.36806437137426462</v>
      </c>
      <c r="O841">
        <v>0.1267411638887567</v>
      </c>
      <c r="P841">
        <v>16.352556960045554</v>
      </c>
      <c r="Q841">
        <v>13.115532226273155</v>
      </c>
      <c r="R841">
        <v>0.39399243310398835</v>
      </c>
      <c r="S841">
        <v>0.13574070837010024</v>
      </c>
      <c r="T841">
        <v>16.354734632252764</v>
      </c>
      <c r="U841">
        <v>1579.9328240477359</v>
      </c>
      <c r="V841">
        <v>10.322048312132608</v>
      </c>
      <c r="W841">
        <v>1308.7976949209567</v>
      </c>
      <c r="X841">
        <v>7.3576711094579403</v>
      </c>
      <c r="Y841">
        <v>2936.3511844330596</v>
      </c>
      <c r="Z841">
        <v>10.375790681693259</v>
      </c>
      <c r="AA841">
        <v>2755.3730900637079</v>
      </c>
      <c r="AB841">
        <v>7.3880871797637955</v>
      </c>
      <c r="AC841">
        <v>2258.1616077453386</v>
      </c>
      <c r="AD841">
        <v>10.35272016726775</v>
      </c>
      <c r="AE841">
        <v>2040.221585815859</v>
      </c>
      <c r="AF841">
        <v>7.3750426899048156</v>
      </c>
      <c r="AG841">
        <v>2136.4711172767461</v>
      </c>
      <c r="AH841">
        <v>10.344504357316998</v>
      </c>
      <c r="AI841">
        <v>1908.2928501273454</v>
      </c>
      <c r="AJ841">
        <v>7.3703927946869596</v>
      </c>
    </row>
    <row r="842" spans="4:36" x14ac:dyDescent="0.55000000000000004">
      <c r="D842">
        <v>835</v>
      </c>
      <c r="E842">
        <v>12.89433268620011</v>
      </c>
      <c r="F842">
        <v>0.50616106690890006</v>
      </c>
      <c r="G842">
        <v>0.17291200611733457</v>
      </c>
      <c r="H842">
        <v>16.426594240773653</v>
      </c>
      <c r="I842">
        <v>13.135773946310014</v>
      </c>
      <c r="J842">
        <v>0.31672078221342126</v>
      </c>
      <c r="K842">
        <v>0.10783671833015211</v>
      </c>
      <c r="L842">
        <v>16.439668553146415</v>
      </c>
      <c r="M842">
        <v>13.052329695792379</v>
      </c>
      <c r="N842">
        <v>0.38222451202112417</v>
      </c>
      <c r="O842">
        <v>0.13028846337327507</v>
      </c>
      <c r="P842">
        <v>16.435157328813222</v>
      </c>
      <c r="Q842">
        <v>12.999062474321351</v>
      </c>
      <c r="R842">
        <v>0.42402195462976605</v>
      </c>
      <c r="S842">
        <v>0.14464207223461045</v>
      </c>
      <c r="T842">
        <v>16.432273498814279</v>
      </c>
      <c r="U842">
        <v>1562.4780994032401</v>
      </c>
      <c r="V842">
        <v>10.232296040647636</v>
      </c>
      <c r="W842">
        <v>1294.7106291047053</v>
      </c>
      <c r="X842">
        <v>7.3000409001630082</v>
      </c>
      <c r="Y842">
        <v>2906.7811883333147</v>
      </c>
      <c r="Z842">
        <v>10.271388903783691</v>
      </c>
      <c r="AA842">
        <v>2733.6400531807931</v>
      </c>
      <c r="AB842">
        <v>7.3230853540835188</v>
      </c>
      <c r="AC842">
        <v>2231.4460233848804</v>
      </c>
      <c r="AD842">
        <v>10.257873604846194</v>
      </c>
      <c r="AE842">
        <v>2021.2486978475999</v>
      </c>
      <c r="AF842">
        <v>7.3151289679950695</v>
      </c>
      <c r="AG842">
        <v>2115.8604107475644</v>
      </c>
      <c r="AH842">
        <v>10.249248472019911</v>
      </c>
      <c r="AI842">
        <v>1892.5746760198285</v>
      </c>
      <c r="AJ842">
        <v>7.3100455657924961</v>
      </c>
    </row>
    <row r="843" spans="4:36" x14ac:dyDescent="0.55000000000000004">
      <c r="D843">
        <v>836</v>
      </c>
      <c r="E843">
        <v>13.556752280307592</v>
      </c>
      <c r="F843">
        <v>0.50946780072692366</v>
      </c>
      <c r="G843">
        <v>0.18217242480598717</v>
      </c>
      <c r="H843">
        <v>15.751607494159519</v>
      </c>
      <c r="I843">
        <v>13.841796322362576</v>
      </c>
      <c r="J843">
        <v>0.31065835615777387</v>
      </c>
      <c r="K843">
        <v>0.11066596541832723</v>
      </c>
      <c r="L843">
        <v>15.73687935606131</v>
      </c>
      <c r="M843">
        <v>13.729319041298139</v>
      </c>
      <c r="N843">
        <v>0.38916622853392113</v>
      </c>
      <c r="O843">
        <v>0.1388378473408082</v>
      </c>
      <c r="P843">
        <v>15.742676882827123</v>
      </c>
      <c r="Q843">
        <v>13.685489273550763</v>
      </c>
      <c r="R843">
        <v>0.41973837849871976</v>
      </c>
      <c r="S843">
        <v>0.14983133842914123</v>
      </c>
      <c r="T843">
        <v>15.74494100952138</v>
      </c>
      <c r="U843">
        <v>1614.1505055656105</v>
      </c>
      <c r="V843">
        <v>10.726275220444693</v>
      </c>
      <c r="W843">
        <v>1326.9344768654523</v>
      </c>
      <c r="X843">
        <v>7.5809965465966149</v>
      </c>
      <c r="Y843">
        <v>2923.1933656508327</v>
      </c>
      <c r="Z843">
        <v>10.785984403495341</v>
      </c>
      <c r="AA843">
        <v>2742.825208594566</v>
      </c>
      <c r="AB843">
        <v>7.6144307224969383</v>
      </c>
      <c r="AC843">
        <v>2265.5187352965695</v>
      </c>
      <c r="AD843">
        <v>10.762431178817327</v>
      </c>
      <c r="AE843">
        <v>2041.453316065589</v>
      </c>
      <c r="AF843">
        <v>7.6012564795251265</v>
      </c>
      <c r="AG843">
        <v>2163.6783587260188</v>
      </c>
      <c r="AH843">
        <v>10.753250302179193</v>
      </c>
      <c r="AI843">
        <v>1923.2342456228528</v>
      </c>
      <c r="AJ843">
        <v>7.5961162021201041</v>
      </c>
    </row>
    <row r="844" spans="4:36" x14ac:dyDescent="0.55000000000000004">
      <c r="D844">
        <v>837</v>
      </c>
      <c r="E844">
        <v>11.870275419171021</v>
      </c>
      <c r="F844">
        <v>0.41117054398759922</v>
      </c>
      <c r="G844">
        <v>0.14728898524402093</v>
      </c>
      <c r="H844">
        <v>17.571265051597347</v>
      </c>
      <c r="I844">
        <v>12.037833616074964</v>
      </c>
      <c r="J844">
        <v>0.28574198769726789</v>
      </c>
      <c r="K844">
        <v>0.10210012571066777</v>
      </c>
      <c r="L844">
        <v>17.574324270517113</v>
      </c>
      <c r="M844">
        <v>11.982130974547687</v>
      </c>
      <c r="N844">
        <v>0.32745688507933352</v>
      </c>
      <c r="O844">
        <v>0.11710335655940199</v>
      </c>
      <c r="P844">
        <v>17.57330878381357</v>
      </c>
      <c r="Q844">
        <v>11.916297972769359</v>
      </c>
      <c r="R844">
        <v>0.37673553099168183</v>
      </c>
      <c r="S844">
        <v>0.13485981945118719</v>
      </c>
      <c r="T844">
        <v>17.572106676787772</v>
      </c>
      <c r="U844">
        <v>1480.1837164506239</v>
      </c>
      <c r="V844">
        <v>9.3655760453775017</v>
      </c>
      <c r="W844">
        <v>1249.7137766932731</v>
      </c>
      <c r="X844">
        <v>6.7967320733456758</v>
      </c>
      <c r="Y844">
        <v>2887.2387779549094</v>
      </c>
      <c r="Z844">
        <v>9.3941933661065917</v>
      </c>
      <c r="AA844">
        <v>2726.8320133692832</v>
      </c>
      <c r="AB844">
        <v>6.8135794535313652</v>
      </c>
      <c r="AC844">
        <v>2165.3502980249077</v>
      </c>
      <c r="AD844">
        <v>9.3846795219358423</v>
      </c>
      <c r="AE844">
        <v>1983.4655705838161</v>
      </c>
      <c r="AF844">
        <v>6.8079840790984187</v>
      </c>
      <c r="AG844">
        <v>2089.3921496466514</v>
      </c>
      <c r="AH844">
        <v>9.3734359184672762</v>
      </c>
      <c r="AI844">
        <v>1883.3687088359707</v>
      </c>
      <c r="AJ844">
        <v>6.8013642757768453</v>
      </c>
    </row>
    <row r="845" spans="4:36" x14ac:dyDescent="0.55000000000000004">
      <c r="D845">
        <v>838</v>
      </c>
      <c r="E845">
        <v>11.451307649832088</v>
      </c>
      <c r="F845">
        <v>0.40557864051423342</v>
      </c>
      <c r="G845">
        <v>0.1572962975804538</v>
      </c>
      <c r="H845">
        <v>17.985817412073214</v>
      </c>
      <c r="I845">
        <v>11.617346724990622</v>
      </c>
      <c r="J845">
        <v>0.27752391169429252</v>
      </c>
      <c r="K845">
        <v>0.10734684878378324</v>
      </c>
      <c r="L845">
        <v>17.997782514531288</v>
      </c>
      <c r="M845">
        <v>11.570769356811686</v>
      </c>
      <c r="N845">
        <v>0.31346087260053784</v>
      </c>
      <c r="O845">
        <v>0.12133742069113898</v>
      </c>
      <c r="P845">
        <v>17.994432349896638</v>
      </c>
      <c r="Q845">
        <v>11.522101842654237</v>
      </c>
      <c r="R845">
        <v>0.35099804758001862</v>
      </c>
      <c r="S845">
        <v>0.13597348788195612</v>
      </c>
      <c r="T845">
        <v>17.990926621883766</v>
      </c>
      <c r="U845">
        <v>1479.4422386984625</v>
      </c>
      <c r="V845">
        <v>9.0430582072671939</v>
      </c>
      <c r="W845">
        <v>1252.7669801277998</v>
      </c>
      <c r="X845">
        <v>6.6055333210308831</v>
      </c>
      <c r="Y845">
        <v>2833.1610715475958</v>
      </c>
      <c r="Z845">
        <v>9.0667205416564194</v>
      </c>
      <c r="AA845">
        <v>2689.9885179057392</v>
      </c>
      <c r="AB845">
        <v>6.6201512290006903</v>
      </c>
      <c r="AC845">
        <v>2152.5742795399151</v>
      </c>
      <c r="AD845">
        <v>9.060078993584515</v>
      </c>
      <c r="AE845">
        <v>1977.6714440167218</v>
      </c>
      <c r="AF845">
        <v>6.6160537956383783</v>
      </c>
      <c r="AG845">
        <v>2056.4185698088859</v>
      </c>
      <c r="AH845">
        <v>9.0531425453721432</v>
      </c>
      <c r="AI845">
        <v>1863.9628715183319</v>
      </c>
      <c r="AJ845">
        <v>6.611769843774856</v>
      </c>
    </row>
    <row r="846" spans="4:36" x14ac:dyDescent="0.55000000000000004">
      <c r="D846">
        <v>839</v>
      </c>
      <c r="E846">
        <v>13.812014153232811</v>
      </c>
      <c r="F846">
        <v>0.52949896691928411</v>
      </c>
      <c r="G846">
        <v>0.1818489232333477</v>
      </c>
      <c r="H846">
        <v>15.476637956614569</v>
      </c>
      <c r="I846">
        <v>14.108901560699062</v>
      </c>
      <c r="J846">
        <v>0.31646193948680346</v>
      </c>
      <c r="K846">
        <v>0.10826446768451181</v>
      </c>
      <c r="L846">
        <v>15.466372032129637</v>
      </c>
      <c r="M846">
        <v>14.004754784494599</v>
      </c>
      <c r="N846">
        <v>0.39125105573327579</v>
      </c>
      <c r="O846">
        <v>0.13403131042032723</v>
      </c>
      <c r="P846">
        <v>15.469962849351782</v>
      </c>
      <c r="Q846">
        <v>13.933317689623557</v>
      </c>
      <c r="R846">
        <v>0.4425156659333071</v>
      </c>
      <c r="S846">
        <v>0.15173427385556537</v>
      </c>
      <c r="T846">
        <v>15.472432370587569</v>
      </c>
      <c r="U846">
        <v>1611.4029002588713</v>
      </c>
      <c r="V846">
        <v>10.964138835192612</v>
      </c>
      <c r="W846">
        <v>1323.3934318739703</v>
      </c>
      <c r="X846">
        <v>7.7200038323547808</v>
      </c>
      <c r="Y846">
        <v>2921.3984125224333</v>
      </c>
      <c r="Z846">
        <v>11.023215682414634</v>
      </c>
      <c r="AA846">
        <v>2740.9975371914493</v>
      </c>
      <c r="AB846">
        <v>7.7529873109086083</v>
      </c>
      <c r="AC846">
        <v>2256.7318777901896</v>
      </c>
      <c r="AD846">
        <v>11.002499058509814</v>
      </c>
      <c r="AE846">
        <v>2034.8764859647911</v>
      </c>
      <c r="AF846">
        <v>7.741434634364091</v>
      </c>
      <c r="AG846">
        <v>2164.3168984497838</v>
      </c>
      <c r="AH846">
        <v>10.988284443030546</v>
      </c>
      <c r="AI846">
        <v>1921.9404234298784</v>
      </c>
      <c r="AJ846">
        <v>7.7334992870160812</v>
      </c>
    </row>
    <row r="847" spans="4:36" x14ac:dyDescent="0.55000000000000004">
      <c r="D847">
        <v>840</v>
      </c>
      <c r="E847">
        <v>12.902050650873944</v>
      </c>
      <c r="F847">
        <v>0.47936037740165877</v>
      </c>
      <c r="G847">
        <v>0.18984761509522691</v>
      </c>
      <c r="H847">
        <v>16.428741356629168</v>
      </c>
      <c r="I847">
        <v>13.147247316616872</v>
      </c>
      <c r="J847">
        <v>0.30469023969879638</v>
      </c>
      <c r="K847">
        <v>0.12024286927904698</v>
      </c>
      <c r="L847">
        <v>16.427819574405298</v>
      </c>
      <c r="M847">
        <v>13.05052669040964</v>
      </c>
      <c r="N847">
        <v>0.37363392791540806</v>
      </c>
      <c r="O847">
        <v>0.14765648736094208</v>
      </c>
      <c r="P847">
        <v>16.428182894314006</v>
      </c>
      <c r="Q847">
        <v>13.006671102703288</v>
      </c>
      <c r="R847">
        <v>0.40487633084779423</v>
      </c>
      <c r="S847">
        <v>0.16010481044032482</v>
      </c>
      <c r="T847">
        <v>16.428347756008588</v>
      </c>
      <c r="U847">
        <v>1598.7539234015751</v>
      </c>
      <c r="V847">
        <v>10.269425626278384</v>
      </c>
      <c r="W847">
        <v>1318.9002082707955</v>
      </c>
      <c r="X847">
        <v>7.327396876942494</v>
      </c>
      <c r="Y847">
        <v>2917.7541093499362</v>
      </c>
      <c r="Z847">
        <v>10.316131383400966</v>
      </c>
      <c r="AA847">
        <v>2739.899179536375</v>
      </c>
      <c r="AB847">
        <v>7.3542841946702051</v>
      </c>
      <c r="AC847">
        <v>2251.4798222996633</v>
      </c>
      <c r="AD847">
        <v>10.297708162815228</v>
      </c>
      <c r="AE847">
        <v>2033.21823379271</v>
      </c>
      <c r="AF847">
        <v>7.3436903259239816</v>
      </c>
      <c r="AG847">
        <v>2168.1225840754601</v>
      </c>
      <c r="AH847">
        <v>10.289354436082853</v>
      </c>
      <c r="AI847">
        <v>1928.2219706760211</v>
      </c>
      <c r="AJ847">
        <v>7.338881609462554</v>
      </c>
    </row>
    <row r="848" spans="4:36" x14ac:dyDescent="0.55000000000000004">
      <c r="D848">
        <v>841</v>
      </c>
      <c r="E848">
        <v>13.758357677596139</v>
      </c>
      <c r="F848">
        <v>0.47699865649030898</v>
      </c>
      <c r="G848">
        <v>0.1792397699734137</v>
      </c>
      <c r="H848">
        <v>15.585403895940143</v>
      </c>
      <c r="I848">
        <v>14.001173314648252</v>
      </c>
      <c r="J848">
        <v>0.31352207959453482</v>
      </c>
      <c r="K848">
        <v>0.11743017350927128</v>
      </c>
      <c r="L848">
        <v>15.567874432247935</v>
      </c>
      <c r="M848">
        <v>13.892596330948573</v>
      </c>
      <c r="N848">
        <v>0.38666786916621326</v>
      </c>
      <c r="O848">
        <v>0.14503593715196508</v>
      </c>
      <c r="P848">
        <v>15.575699862733236</v>
      </c>
      <c r="Q848">
        <v>13.875458466641582</v>
      </c>
      <c r="R848">
        <v>0.39820649016446191</v>
      </c>
      <c r="S848">
        <v>0.1493980941958182</v>
      </c>
      <c r="T848">
        <v>15.57693694899813</v>
      </c>
      <c r="U848">
        <v>1622.8423579357657</v>
      </c>
      <c r="V848">
        <v>10.918525145399919</v>
      </c>
      <c r="W848">
        <v>1333.9001837971548</v>
      </c>
      <c r="X848">
        <v>7.7000272329980026</v>
      </c>
      <c r="Y848">
        <v>2937.6002926247365</v>
      </c>
      <c r="Z848">
        <v>10.975610835079113</v>
      </c>
      <c r="AA848">
        <v>2751.8960503652925</v>
      </c>
      <c r="AB848">
        <v>7.7317514577707307</v>
      </c>
      <c r="AC848">
        <v>2273.0591551360749</v>
      </c>
      <c r="AD848">
        <v>10.950092473455586</v>
      </c>
      <c r="AE848">
        <v>2045.8415261162088</v>
      </c>
      <c r="AF848">
        <v>7.7175816786880231</v>
      </c>
      <c r="AG848">
        <v>2154.811113426581</v>
      </c>
      <c r="AH848">
        <v>10.94606346527911</v>
      </c>
      <c r="AI848">
        <v>1917.2434401554674</v>
      </c>
      <c r="AJ848">
        <v>7.7153427628100726</v>
      </c>
    </row>
    <row r="849" spans="4:36" x14ac:dyDescent="0.55000000000000004">
      <c r="D849">
        <v>842</v>
      </c>
      <c r="E849">
        <v>11.740141029373694</v>
      </c>
      <c r="F849">
        <v>0.44872671905473954</v>
      </c>
      <c r="G849">
        <v>0.1736226483089226</v>
      </c>
      <c r="H849">
        <v>17.63750960326265</v>
      </c>
      <c r="I849">
        <v>11.953822933295575</v>
      </c>
      <c r="J849">
        <v>0.28155701537382055</v>
      </c>
      <c r="K849">
        <v>0.10858752381275956</v>
      </c>
      <c r="L849">
        <v>17.656032527517837</v>
      </c>
      <c r="M849">
        <v>11.865115694275708</v>
      </c>
      <c r="N849">
        <v>0.35098362005243544</v>
      </c>
      <c r="O849">
        <v>0.13554504349618071</v>
      </c>
      <c r="P849">
        <v>17.64835564217567</v>
      </c>
      <c r="Q849">
        <v>11.839827459798848</v>
      </c>
      <c r="R849">
        <v>0.37076809390812082</v>
      </c>
      <c r="S849">
        <v>0.14324057357430911</v>
      </c>
      <c r="T849">
        <v>17.646163872718724</v>
      </c>
      <c r="U849">
        <v>1490.3252599184061</v>
      </c>
      <c r="V849">
        <v>9.2156620855322977</v>
      </c>
      <c r="W849">
        <v>1254.6141564025231</v>
      </c>
      <c r="X849">
        <v>6.695402620328796</v>
      </c>
      <c r="Y849">
        <v>2867.7693195595866</v>
      </c>
      <c r="Z849">
        <v>9.2454992765512216</v>
      </c>
      <c r="AA849">
        <v>2713.2823392172254</v>
      </c>
      <c r="AB849">
        <v>6.713792500093331</v>
      </c>
      <c r="AC849">
        <v>2205.3141448497572</v>
      </c>
      <c r="AD849">
        <v>9.2331051441607741</v>
      </c>
      <c r="AE849">
        <v>2011.1440904739134</v>
      </c>
      <c r="AF849">
        <v>6.7061639239979947</v>
      </c>
      <c r="AG849">
        <v>2064.2738552908495</v>
      </c>
      <c r="AH849">
        <v>9.2295738562900134</v>
      </c>
      <c r="AI849">
        <v>1865.8526481023343</v>
      </c>
      <c r="AJ849">
        <v>6.7039877210736787</v>
      </c>
    </row>
    <row r="850" spans="4:36" x14ac:dyDescent="0.55000000000000004">
      <c r="D850">
        <v>843</v>
      </c>
      <c r="E850">
        <v>13.480327088116209</v>
      </c>
      <c r="F850">
        <v>0.46739058350504087</v>
      </c>
      <c r="G850">
        <v>0.1820550219626394</v>
      </c>
      <c r="H850">
        <v>15.870227306416105</v>
      </c>
      <c r="I850">
        <v>13.780348712070639</v>
      </c>
      <c r="J850">
        <v>0.27410796251645059</v>
      </c>
      <c r="K850">
        <v>0.10632561330383528</v>
      </c>
      <c r="L850">
        <v>15.839217712109075</v>
      </c>
      <c r="M850">
        <v>13.66628543228536</v>
      </c>
      <c r="N850">
        <v>0.34766224307464244</v>
      </c>
      <c r="O850">
        <v>0.13506928637659532</v>
      </c>
      <c r="P850">
        <v>15.850983038263388</v>
      </c>
      <c r="Q850">
        <v>13.635464562878703</v>
      </c>
      <c r="R850">
        <v>0.36752228031130818</v>
      </c>
      <c r="S850">
        <v>0.14284600031445754</v>
      </c>
      <c r="T850">
        <v>15.854167156495521</v>
      </c>
      <c r="U850">
        <v>1631.1380377590997</v>
      </c>
      <c r="V850">
        <v>10.717984151574875</v>
      </c>
      <c r="W850">
        <v>1341.6785654551386</v>
      </c>
      <c r="X850">
        <v>7.5890927799612244</v>
      </c>
      <c r="Y850">
        <v>2908.2827439752746</v>
      </c>
      <c r="Z850">
        <v>10.794465495789268</v>
      </c>
      <c r="AA850">
        <v>2734.6479502673897</v>
      </c>
      <c r="AB850">
        <v>7.6316379785916491</v>
      </c>
      <c r="AC850">
        <v>2268.6870590658673</v>
      </c>
      <c r="AD850">
        <v>10.765402205878695</v>
      </c>
      <c r="AE850">
        <v>2046.3947590145422</v>
      </c>
      <c r="AF850">
        <v>7.6154892082392864</v>
      </c>
      <c r="AG850">
        <v>2133.7145436554815</v>
      </c>
      <c r="AH850">
        <v>10.757546198156117</v>
      </c>
      <c r="AI850">
        <v>1905.3561007592405</v>
      </c>
      <c r="AJ850">
        <v>7.6111201907374237</v>
      </c>
    </row>
    <row r="851" spans="4:36" x14ac:dyDescent="0.55000000000000004">
      <c r="D851">
        <v>844</v>
      </c>
      <c r="E851">
        <v>12.992600573850863</v>
      </c>
      <c r="F851">
        <v>0.49791785475416644</v>
      </c>
      <c r="G851">
        <v>0.21055628267596294</v>
      </c>
      <c r="H851">
        <v>16.298925288719019</v>
      </c>
      <c r="I851">
        <v>13.25430597009105</v>
      </c>
      <c r="J851">
        <v>0.30578610131832046</v>
      </c>
      <c r="K851">
        <v>0.12883377626905121</v>
      </c>
      <c r="L851">
        <v>16.31107415232157</v>
      </c>
      <c r="M851">
        <v>13.148618070034184</v>
      </c>
      <c r="N851">
        <v>0.38342354164764714</v>
      </c>
      <c r="O851">
        <v>0.16178307964961863</v>
      </c>
      <c r="P851">
        <v>16.306175308668546</v>
      </c>
      <c r="Q851">
        <v>13.101835833524357</v>
      </c>
      <c r="R851">
        <v>0.41776939687553766</v>
      </c>
      <c r="S851">
        <v>0.17639109531754432</v>
      </c>
      <c r="T851">
        <v>16.304003674282558</v>
      </c>
      <c r="U851">
        <v>1599.9001373824201</v>
      </c>
      <c r="V851">
        <v>10.361141811616365</v>
      </c>
      <c r="W851">
        <v>1314.4812010335925</v>
      </c>
      <c r="X851">
        <v>7.3793546686374816</v>
      </c>
      <c r="Y851">
        <v>2939.3527379240018</v>
      </c>
      <c r="Z851">
        <v>10.405631002502354</v>
      </c>
      <c r="AA851">
        <v>2752.9961577630993</v>
      </c>
      <c r="AB851">
        <v>7.4054563592245302</v>
      </c>
      <c r="AC851">
        <v>2250.7464552431038</v>
      </c>
      <c r="AD851">
        <v>10.387659404994132</v>
      </c>
      <c r="AE851">
        <v>2029.0438304049894</v>
      </c>
      <c r="AF851">
        <v>7.3949259578821218</v>
      </c>
      <c r="AG851">
        <v>2163.2494016081314</v>
      </c>
      <c r="AH851">
        <v>10.379706496855345</v>
      </c>
      <c r="AI851">
        <v>1920.5525517437627</v>
      </c>
      <c r="AJ851">
        <v>7.3902601714562</v>
      </c>
    </row>
    <row r="852" spans="4:36" x14ac:dyDescent="0.55000000000000004">
      <c r="D852">
        <v>845</v>
      </c>
      <c r="E852">
        <v>12.816956506664981</v>
      </c>
      <c r="F852">
        <v>0.44501884605166847</v>
      </c>
      <c r="G852">
        <v>0.16129183484574813</v>
      </c>
      <c r="H852">
        <v>16.576732812437598</v>
      </c>
      <c r="I852">
        <v>13.027089406132072</v>
      </c>
      <c r="J852">
        <v>0.2926607578077845</v>
      </c>
      <c r="K852">
        <v>0.10574136167845979</v>
      </c>
      <c r="L852">
        <v>16.574508474381677</v>
      </c>
      <c r="M852">
        <v>12.921790396863761</v>
      </c>
      <c r="N852">
        <v>0.36904056979786309</v>
      </c>
      <c r="O852">
        <v>0.13354587697844886</v>
      </c>
      <c r="P852">
        <v>16.575623156359942</v>
      </c>
      <c r="Q852">
        <v>12.879327149893747</v>
      </c>
      <c r="R852">
        <v>0.39982352733781745</v>
      </c>
      <c r="S852">
        <v>0.14477668412430689</v>
      </c>
      <c r="T852">
        <v>16.576072638644124</v>
      </c>
      <c r="U852">
        <v>1575.5011236478415</v>
      </c>
      <c r="V852">
        <v>10.128534062283151</v>
      </c>
      <c r="W852">
        <v>1306.5077145494381</v>
      </c>
      <c r="X852">
        <v>7.2408821060368691</v>
      </c>
      <c r="Y852">
        <v>2910.4780976274224</v>
      </c>
      <c r="Z852">
        <v>10.168773824530994</v>
      </c>
      <c r="AA852">
        <v>2736.6967570647253</v>
      </c>
      <c r="AB852">
        <v>7.2640658923174275</v>
      </c>
      <c r="AC852">
        <v>2236.5126425491167</v>
      </c>
      <c r="AD852">
        <v>10.14860973069103</v>
      </c>
      <c r="AE852">
        <v>2024.1076425252174</v>
      </c>
      <c r="AF852">
        <v>7.2524578806604394</v>
      </c>
      <c r="AG852">
        <v>2136.7596232876695</v>
      </c>
      <c r="AH852">
        <v>10.140478104773162</v>
      </c>
      <c r="AI852">
        <v>1907.4725816364312</v>
      </c>
      <c r="AJ852">
        <v>7.2477713863363515</v>
      </c>
    </row>
    <row r="853" spans="4:36" x14ac:dyDescent="0.55000000000000004">
      <c r="D853">
        <v>846</v>
      </c>
      <c r="E853">
        <v>11.840704188423761</v>
      </c>
      <c r="F853">
        <v>0.42321657297749465</v>
      </c>
      <c r="G853">
        <v>0.14646101025761538</v>
      </c>
      <c r="H853">
        <v>17.589618228341141</v>
      </c>
      <c r="I853">
        <v>12.045446103987127</v>
      </c>
      <c r="J853">
        <v>0.27466884940255093</v>
      </c>
      <c r="K853">
        <v>9.4745851454170499E-2</v>
      </c>
      <c r="L853">
        <v>17.585139195156163</v>
      </c>
      <c r="M853">
        <v>11.964979774185652</v>
      </c>
      <c r="N853">
        <v>0.33308055929529379</v>
      </c>
      <c r="O853">
        <v>0.11504064915487243</v>
      </c>
      <c r="P853">
        <v>17.5868990173642</v>
      </c>
      <c r="Q853">
        <v>11.937976145645187</v>
      </c>
      <c r="R853">
        <v>0.35267409009369599</v>
      </c>
      <c r="S853">
        <v>0.12186002453130336</v>
      </c>
      <c r="T853">
        <v>17.587489739729804</v>
      </c>
      <c r="U853">
        <v>1492.6492598719778</v>
      </c>
      <c r="V853">
        <v>9.3336949207249731</v>
      </c>
      <c r="W853">
        <v>1261.7333913015946</v>
      </c>
      <c r="X853">
        <v>6.7763732515006501</v>
      </c>
      <c r="Y853">
        <v>2858.2466923016354</v>
      </c>
      <c r="Z853">
        <v>9.3733612474685142</v>
      </c>
      <c r="AA853">
        <v>2709.0258532312641</v>
      </c>
      <c r="AB853">
        <v>6.7995205874014797</v>
      </c>
      <c r="AC853">
        <v>2164.5266954492599</v>
      </c>
      <c r="AD853">
        <v>9.3577726573479936</v>
      </c>
      <c r="AE853">
        <v>1985.4031034860914</v>
      </c>
      <c r="AF853">
        <v>6.7904335591447813</v>
      </c>
      <c r="AG853">
        <v>2062.8546311720897</v>
      </c>
      <c r="AH853">
        <v>9.3525410604439845</v>
      </c>
      <c r="AI853">
        <v>1869.0438692260384</v>
      </c>
      <c r="AJ853">
        <v>6.7873811086168647</v>
      </c>
    </row>
    <row r="854" spans="4:36" x14ac:dyDescent="0.55000000000000004">
      <c r="D854">
        <v>847</v>
      </c>
      <c r="E854">
        <v>11.965766094686451</v>
      </c>
      <c r="F854">
        <v>0.41476723972023133</v>
      </c>
      <c r="G854">
        <v>0.175743281443629</v>
      </c>
      <c r="H854">
        <v>17.443723384149692</v>
      </c>
      <c r="I854">
        <v>12.180254848977107</v>
      </c>
      <c r="J854">
        <v>0.26087857879414517</v>
      </c>
      <c r="K854">
        <v>0.11017221052202338</v>
      </c>
      <c r="L854">
        <v>17.448694361706725</v>
      </c>
      <c r="M854">
        <v>12.102326354988479</v>
      </c>
      <c r="N854">
        <v>0.31682260028298753</v>
      </c>
      <c r="O854">
        <v>0.13395866512902152</v>
      </c>
      <c r="P854">
        <v>17.446892379599515</v>
      </c>
      <c r="Q854">
        <v>12.055298839573037</v>
      </c>
      <c r="R854">
        <v>0.35056504906370967</v>
      </c>
      <c r="S854">
        <v>0.1483334203126003</v>
      </c>
      <c r="T854">
        <v>17.445802691050663</v>
      </c>
      <c r="U854">
        <v>1517.7832365781617</v>
      </c>
      <c r="V854">
        <v>9.4702810046976929</v>
      </c>
      <c r="W854">
        <v>1274.8223559233747</v>
      </c>
      <c r="X854">
        <v>6.8593502612898369</v>
      </c>
      <c r="Y854">
        <v>2856.5968535000538</v>
      </c>
      <c r="Z854">
        <v>9.5069107075567665</v>
      </c>
      <c r="AA854">
        <v>2705.1597505001919</v>
      </c>
      <c r="AB854">
        <v>6.8810534754784003</v>
      </c>
      <c r="AC854">
        <v>2156.3431686227218</v>
      </c>
      <c r="AD854">
        <v>9.4936000483877159</v>
      </c>
      <c r="AE854">
        <v>1976.1497109454745</v>
      </c>
      <c r="AF854">
        <v>6.8731766606134821</v>
      </c>
      <c r="AG854">
        <v>2089.0560058224019</v>
      </c>
      <c r="AH854">
        <v>9.4855687180163368</v>
      </c>
      <c r="AI854">
        <v>1883.385526117655</v>
      </c>
      <c r="AJ854">
        <v>6.8684185976670546</v>
      </c>
    </row>
    <row r="855" spans="4:36" x14ac:dyDescent="0.55000000000000004">
      <c r="D855">
        <v>848</v>
      </c>
      <c r="E855">
        <v>13.277321228333147</v>
      </c>
      <c r="F855">
        <v>0.48797267109272691</v>
      </c>
      <c r="G855">
        <v>0.18246037427294262</v>
      </c>
      <c r="H855">
        <v>16.052245726301187</v>
      </c>
      <c r="I855">
        <v>13.534403564146581</v>
      </c>
      <c r="J855">
        <v>0.30821499179864337</v>
      </c>
      <c r="K855">
        <v>0.11484053781664551</v>
      </c>
      <c r="L855">
        <v>16.042540906238138</v>
      </c>
      <c r="M855">
        <v>13.441701022988612</v>
      </c>
      <c r="N855">
        <v>0.3730809862059063</v>
      </c>
      <c r="O855">
        <v>0.13918550820739048</v>
      </c>
      <c r="P855">
        <v>16.04603248259809</v>
      </c>
      <c r="Q855">
        <v>13.401863865782776</v>
      </c>
      <c r="R855">
        <v>0.40093993608896639</v>
      </c>
      <c r="S855">
        <v>0.14966054217581304</v>
      </c>
      <c r="T855">
        <v>16.047535655952434</v>
      </c>
      <c r="U855">
        <v>1545.5010314299511</v>
      </c>
      <c r="V855">
        <v>10.458079694925358</v>
      </c>
      <c r="W855">
        <v>1283.6892503643089</v>
      </c>
      <c r="X855">
        <v>7.4223647053841848</v>
      </c>
      <c r="Y855">
        <v>2897.2363278587932</v>
      </c>
      <c r="Z855">
        <v>10.511368247525217</v>
      </c>
      <c r="AA855">
        <v>2727.2045317519369</v>
      </c>
      <c r="AB855">
        <v>7.4525310579409165</v>
      </c>
      <c r="AC855">
        <v>2214.6802572529596</v>
      </c>
      <c r="AD855">
        <v>10.492156691022972</v>
      </c>
      <c r="AE855">
        <v>2009.6625593589438</v>
      </c>
      <c r="AF855">
        <v>7.4416676505357344</v>
      </c>
      <c r="AG855">
        <v>2145.8714277297845</v>
      </c>
      <c r="AH855">
        <v>10.483899504672225</v>
      </c>
      <c r="AI855">
        <v>1915.4314085527242</v>
      </c>
      <c r="AJ855">
        <v>7.436994338011381</v>
      </c>
    </row>
    <row r="856" spans="4:36" x14ac:dyDescent="0.55000000000000004">
      <c r="D856">
        <v>849</v>
      </c>
      <c r="E856">
        <v>12.831769576519259</v>
      </c>
      <c r="F856">
        <v>0.45938096979286985</v>
      </c>
      <c r="G856">
        <v>0.16904671770218732</v>
      </c>
      <c r="H856">
        <v>16.539802735985699</v>
      </c>
      <c r="I856">
        <v>13.028041994049513</v>
      </c>
      <c r="J856">
        <v>0.31593221623627871</v>
      </c>
      <c r="K856">
        <v>0.11592891528770721</v>
      </c>
      <c r="L856">
        <v>16.540096874426489</v>
      </c>
      <c r="M856">
        <v>12.974593313291482</v>
      </c>
      <c r="N856">
        <v>0.35501786979149835</v>
      </c>
      <c r="O856">
        <v>0.13037162268527486</v>
      </c>
      <c r="P856">
        <v>16.540017194231751</v>
      </c>
      <c r="Q856">
        <v>12.871610313188784</v>
      </c>
      <c r="R856">
        <v>0.43028065369010438</v>
      </c>
      <c r="S856">
        <v>0.15824624690721173</v>
      </c>
      <c r="T856">
        <v>16.539862786213906</v>
      </c>
      <c r="U856">
        <v>1561.9590279994434</v>
      </c>
      <c r="V856">
        <v>10.149987115522309</v>
      </c>
      <c r="W856">
        <v>1296.8990413529305</v>
      </c>
      <c r="X856">
        <v>7.2526127833093987</v>
      </c>
      <c r="Y856">
        <v>2910.1952948944599</v>
      </c>
      <c r="Z856">
        <v>10.186041354467756</v>
      </c>
      <c r="AA856">
        <v>2735.4811974695963</v>
      </c>
      <c r="AB856">
        <v>7.2734296455894434</v>
      </c>
      <c r="AC856">
        <v>2226.3601524739697</v>
      </c>
      <c r="AD856">
        <v>10.176223090536123</v>
      </c>
      <c r="AE856">
        <v>2018.9290419944409</v>
      </c>
      <c r="AF856">
        <v>7.2677670528442917</v>
      </c>
      <c r="AG856">
        <v>2145.6223205712772</v>
      </c>
      <c r="AH856">
        <v>10.157305642711369</v>
      </c>
      <c r="AI856">
        <v>1912.616010612815</v>
      </c>
      <c r="AJ856">
        <v>7.2568434458501505</v>
      </c>
    </row>
    <row r="857" spans="4:36" x14ac:dyDescent="0.55000000000000004">
      <c r="D857">
        <v>850</v>
      </c>
      <c r="E857">
        <v>11.925370225985835</v>
      </c>
      <c r="F857">
        <v>0.41405964015342517</v>
      </c>
      <c r="G857">
        <v>0.16065111279035618</v>
      </c>
      <c r="H857">
        <v>17.499919021070376</v>
      </c>
      <c r="I857">
        <v>12.114264628592808</v>
      </c>
      <c r="J857">
        <v>0.27896151056954233</v>
      </c>
      <c r="K857">
        <v>0.10791428971423836</v>
      </c>
      <c r="L857">
        <v>17.498859571123404</v>
      </c>
      <c r="M857">
        <v>12.069928867436996</v>
      </c>
      <c r="N857">
        <v>0.31069061063191677</v>
      </c>
      <c r="O857">
        <v>0.12027163211582567</v>
      </c>
      <c r="P857">
        <v>17.49910888981524</v>
      </c>
      <c r="Q857">
        <v>12.023609581699537</v>
      </c>
      <c r="R857">
        <v>0.34382619724992586</v>
      </c>
      <c r="S857">
        <v>0.1331952834770892</v>
      </c>
      <c r="T857">
        <v>17.499368937573436</v>
      </c>
      <c r="U857">
        <v>1504.2112464727084</v>
      </c>
      <c r="V857">
        <v>9.4672551558311966</v>
      </c>
      <c r="W857">
        <v>1265.6916643647569</v>
      </c>
      <c r="X857">
        <v>6.8631316809579763</v>
      </c>
      <c r="Y857">
        <v>2891.853959614316</v>
      </c>
      <c r="Z857">
        <v>9.5026605323889353</v>
      </c>
      <c r="AA857">
        <v>2729.7918951454394</v>
      </c>
      <c r="AB857">
        <v>6.8839887782544711</v>
      </c>
      <c r="AC857">
        <v>2180.453551001277</v>
      </c>
      <c r="AD857">
        <v>9.4943497251379476</v>
      </c>
      <c r="AE857">
        <v>1994.7400255704608</v>
      </c>
      <c r="AF857">
        <v>6.8790992260520891</v>
      </c>
      <c r="AG857">
        <v>2064.7004887482799</v>
      </c>
      <c r="AH857">
        <v>9.4856675884471127</v>
      </c>
      <c r="AI857">
        <v>1866.7733952477699</v>
      </c>
      <c r="AJ857">
        <v>6.8739871030202586</v>
      </c>
    </row>
    <row r="858" spans="4:36" x14ac:dyDescent="0.55000000000000004">
      <c r="D858">
        <v>851</v>
      </c>
      <c r="E858">
        <v>12.199342614417269</v>
      </c>
      <c r="F858">
        <v>0.43561590588917792</v>
      </c>
      <c r="G858">
        <v>0.15312024265810725</v>
      </c>
      <c r="H858">
        <v>17.211921237035444</v>
      </c>
      <c r="I858">
        <v>12.365570813153667</v>
      </c>
      <c r="J858">
        <v>0.30592064039719791</v>
      </c>
      <c r="K858">
        <v>0.1072737060590796</v>
      </c>
      <c r="L858">
        <v>17.221234840390043</v>
      </c>
      <c r="M858">
        <v>12.283745820178664</v>
      </c>
      <c r="N858">
        <v>0.36977988102414455</v>
      </c>
      <c r="O858">
        <v>0.12981964952958683</v>
      </c>
      <c r="P858">
        <v>17.21665464926761</v>
      </c>
      <c r="Q858">
        <v>12.239386001164894</v>
      </c>
      <c r="R858">
        <v>0.40438583745317908</v>
      </c>
      <c r="S858">
        <v>0.14206012038825278</v>
      </c>
      <c r="T858">
        <v>17.21416804099367</v>
      </c>
      <c r="U858">
        <v>1480.2258784965136</v>
      </c>
      <c r="V858">
        <v>9.6782543110830765</v>
      </c>
      <c r="W858">
        <v>1246.0082967095775</v>
      </c>
      <c r="X858">
        <v>6.9843233092329253</v>
      </c>
      <c r="Y858">
        <v>2876.9783774125463</v>
      </c>
      <c r="Z858">
        <v>9.7039987816233015</v>
      </c>
      <c r="AA858">
        <v>2716.58109468167</v>
      </c>
      <c r="AB858">
        <v>6.9996883871701785</v>
      </c>
      <c r="AC858">
        <v>2215.4270474944042</v>
      </c>
      <c r="AD858">
        <v>9.6913238130573767</v>
      </c>
      <c r="AE858">
        <v>2015.1368275817367</v>
      </c>
      <c r="AF858">
        <v>6.9921294899964508</v>
      </c>
      <c r="AG858">
        <v>2098.9884106286154</v>
      </c>
      <c r="AH858">
        <v>9.6844542551392312</v>
      </c>
      <c r="AI858">
        <v>1886.6034743989217</v>
      </c>
      <c r="AJ858">
        <v>6.988027953946804</v>
      </c>
    </row>
    <row r="859" spans="4:36" x14ac:dyDescent="0.55000000000000004">
      <c r="D859">
        <v>852</v>
      </c>
      <c r="E859">
        <v>12.432549973816069</v>
      </c>
      <c r="F859">
        <v>0.46162472554433631</v>
      </c>
      <c r="G859">
        <v>0.16874609924775211</v>
      </c>
      <c r="H859">
        <v>16.937079201391839</v>
      </c>
      <c r="I859">
        <v>12.661796847043753</v>
      </c>
      <c r="J859">
        <v>0.29101005676374575</v>
      </c>
      <c r="K859">
        <v>0.10601821619439959</v>
      </c>
      <c r="L859">
        <v>16.941174879998098</v>
      </c>
      <c r="M859">
        <v>12.553403254719834</v>
      </c>
      <c r="N859">
        <v>0.37171767210401369</v>
      </c>
      <c r="O859">
        <v>0.13563726181122343</v>
      </c>
      <c r="P859">
        <v>16.939241811364926</v>
      </c>
      <c r="Q859">
        <v>12.524289055362075</v>
      </c>
      <c r="R859">
        <v>0.39338429704608568</v>
      </c>
      <c r="S859">
        <v>0.14360510909552121</v>
      </c>
      <c r="T859">
        <v>16.938721538496321</v>
      </c>
      <c r="U859">
        <v>1538.0271985776201</v>
      </c>
      <c r="V859">
        <v>9.7709810781128876</v>
      </c>
      <c r="W859">
        <v>1282.1847429978113</v>
      </c>
      <c r="X859">
        <v>7.0211740913474658</v>
      </c>
      <c r="Y859">
        <v>2914.3458473870201</v>
      </c>
      <c r="Z859">
        <v>9.8050319087499176</v>
      </c>
      <c r="AA859">
        <v>2742.2380612920056</v>
      </c>
      <c r="AB859">
        <v>7.0410552808626301</v>
      </c>
      <c r="AC859">
        <v>2225.4535935393833</v>
      </c>
      <c r="AD859">
        <v>9.7889307784518866</v>
      </c>
      <c r="AE859">
        <v>2019.1261650617441</v>
      </c>
      <c r="AF859">
        <v>7.031663782728601</v>
      </c>
      <c r="AG859">
        <v>2109.37210252248</v>
      </c>
      <c r="AH859">
        <v>9.7846063834926369</v>
      </c>
      <c r="AI859">
        <v>1891.6605788769159</v>
      </c>
      <c r="AJ859">
        <v>7.0291385701603399</v>
      </c>
    </row>
    <row r="860" spans="4:36" x14ac:dyDescent="0.55000000000000004">
      <c r="D860">
        <v>853</v>
      </c>
      <c r="E860">
        <v>11.824646305968908</v>
      </c>
      <c r="F860">
        <v>0.43302632673362085</v>
      </c>
      <c r="G860">
        <v>0.16876130936700823</v>
      </c>
      <c r="H860">
        <v>17.573566057930474</v>
      </c>
      <c r="I860">
        <v>12.037994681385893</v>
      </c>
      <c r="J860">
        <v>0.27135678383882322</v>
      </c>
      <c r="K860">
        <v>0.10541066668623499</v>
      </c>
      <c r="L860">
        <v>17.585237868089042</v>
      </c>
      <c r="M860">
        <v>11.940647274231454</v>
      </c>
      <c r="N860">
        <v>0.34515524966423156</v>
      </c>
      <c r="O860">
        <v>0.13427690850414539</v>
      </c>
      <c r="P860">
        <v>17.579920567600166</v>
      </c>
      <c r="Q860">
        <v>11.923518182073451</v>
      </c>
      <c r="R860">
        <v>0.35813529800372512</v>
      </c>
      <c r="S860">
        <v>0.13936302133049386</v>
      </c>
      <c r="T860">
        <v>17.578983498592336</v>
      </c>
      <c r="U860">
        <v>1515.0825105098068</v>
      </c>
      <c r="V860">
        <v>9.3582513384011676</v>
      </c>
      <c r="W860">
        <v>1271.7568365770092</v>
      </c>
      <c r="X860">
        <v>6.791882518109114</v>
      </c>
      <c r="Y860">
        <v>2886.1246315961853</v>
      </c>
      <c r="Z860">
        <v>9.390488229124843</v>
      </c>
      <c r="AA860">
        <v>2726.0771730587244</v>
      </c>
      <c r="AB860">
        <v>6.8112609731291078</v>
      </c>
      <c r="AC860">
        <v>2192.6254113900504</v>
      </c>
      <c r="AD860">
        <v>9.3757748470834894</v>
      </c>
      <c r="AE860">
        <v>2000.5695685878675</v>
      </c>
      <c r="AF860">
        <v>6.8024263842550168</v>
      </c>
      <c r="AG860">
        <v>2091.4293967184108</v>
      </c>
      <c r="AH860">
        <v>9.3731866324877853</v>
      </c>
      <c r="AI860">
        <v>1884.8529190319373</v>
      </c>
      <c r="AJ860">
        <v>6.8008705708482422</v>
      </c>
    </row>
    <row r="861" spans="4:36" x14ac:dyDescent="0.55000000000000004">
      <c r="D861">
        <v>854</v>
      </c>
      <c r="E861">
        <v>12.613677517372798</v>
      </c>
      <c r="F861">
        <v>0.44109711132816365</v>
      </c>
      <c r="G861">
        <v>0.15579982043199225</v>
      </c>
      <c r="H861">
        <v>16.789425550867055</v>
      </c>
      <c r="I861">
        <v>12.815396678363506</v>
      </c>
      <c r="J861">
        <v>0.29004571671143969</v>
      </c>
      <c r="K861">
        <v>0.10215659408131554</v>
      </c>
      <c r="L861">
        <v>16.792401010843719</v>
      </c>
      <c r="M861">
        <v>12.718186001938683</v>
      </c>
      <c r="N861">
        <v>0.36286691366604817</v>
      </c>
      <c r="O861">
        <v>0.12797920369875099</v>
      </c>
      <c r="P861">
        <v>16.790967880696495</v>
      </c>
      <c r="Q861">
        <v>12.679974670277758</v>
      </c>
      <c r="R861">
        <v>0.39147712635252929</v>
      </c>
      <c r="S861">
        <v>0.13814404903982949</v>
      </c>
      <c r="T861">
        <v>16.790404154329874</v>
      </c>
      <c r="U861">
        <v>1518.335439731602</v>
      </c>
      <c r="V861">
        <v>9.9126078391014971</v>
      </c>
      <c r="W861">
        <v>1270.9722724720564</v>
      </c>
      <c r="X861">
        <v>7.1091115031576297</v>
      </c>
      <c r="Y861">
        <v>2878.2853749067117</v>
      </c>
      <c r="Z861">
        <v>9.9496930624965234</v>
      </c>
      <c r="AA861">
        <v>2717.2598265317874</v>
      </c>
      <c r="AB861">
        <v>7.1306644374276518</v>
      </c>
      <c r="AC861">
        <v>2227.8933216462142</v>
      </c>
      <c r="AD861">
        <v>9.9318208561165591</v>
      </c>
      <c r="AE861">
        <v>2022.7723918561921</v>
      </c>
      <c r="AF861">
        <v>7.1202862691658506</v>
      </c>
      <c r="AG861">
        <v>2099.8904862203653</v>
      </c>
      <c r="AH861">
        <v>9.9247959125284364</v>
      </c>
      <c r="AI861">
        <v>1886.2780083197681</v>
      </c>
      <c r="AJ861">
        <v>7.1162025655363621</v>
      </c>
    </row>
    <row r="862" spans="4:36" x14ac:dyDescent="0.55000000000000004">
      <c r="D862">
        <v>855</v>
      </c>
      <c r="E862">
        <v>11.684750917937851</v>
      </c>
      <c r="F862">
        <v>0.41441365707276523</v>
      </c>
      <c r="G862">
        <v>0.16244666696644453</v>
      </c>
      <c r="H862">
        <v>17.738388758022925</v>
      </c>
      <c r="I862">
        <v>11.857946976874745</v>
      </c>
      <c r="J862">
        <v>0.28085176033066395</v>
      </c>
      <c r="K862">
        <v>0.10980366390386244</v>
      </c>
      <c r="L862">
        <v>17.751397598890733</v>
      </c>
      <c r="M862">
        <v>11.77033385295003</v>
      </c>
      <c r="N862">
        <v>0.34843550974625281</v>
      </c>
      <c r="O862">
        <v>0.13640667280791491</v>
      </c>
      <c r="P862">
        <v>17.74482396449579</v>
      </c>
      <c r="Q862">
        <v>11.735858942476771</v>
      </c>
      <c r="R862">
        <v>0.3750178513044013</v>
      </c>
      <c r="S862">
        <v>0.14688984120765114</v>
      </c>
      <c r="T862">
        <v>17.742233365011181</v>
      </c>
      <c r="U862">
        <v>1498.8361751747971</v>
      </c>
      <c r="V862">
        <v>9.2629707779829626</v>
      </c>
      <c r="W862">
        <v>1263.9292986945188</v>
      </c>
      <c r="X862">
        <v>6.7390269182227289</v>
      </c>
      <c r="Y862">
        <v>2870.7614543983395</v>
      </c>
      <c r="Z862">
        <v>9.2857766631823626</v>
      </c>
      <c r="AA862">
        <v>2715.7498615351797</v>
      </c>
      <c r="AB862">
        <v>6.7529454604929935</v>
      </c>
      <c r="AC862">
        <v>2187.9846350291245</v>
      </c>
      <c r="AD862">
        <v>9.2742363988469982</v>
      </c>
      <c r="AE862">
        <v>1998.9639041467426</v>
      </c>
      <c r="AF862">
        <v>6.745908701016222</v>
      </c>
      <c r="AG862">
        <v>2075.0842523688002</v>
      </c>
      <c r="AH862">
        <v>9.2696974662047147</v>
      </c>
      <c r="AI862">
        <v>1873.719855817764</v>
      </c>
      <c r="AJ862">
        <v>6.743137516388197</v>
      </c>
    </row>
    <row r="863" spans="4:36" x14ac:dyDescent="0.55000000000000004">
      <c r="D863">
        <v>856</v>
      </c>
      <c r="E863">
        <v>12.084065546391253</v>
      </c>
      <c r="F863">
        <v>0.46342275831195934</v>
      </c>
      <c r="G863">
        <v>0.17752634949276491</v>
      </c>
      <c r="H863">
        <v>17.274985345804037</v>
      </c>
      <c r="I863">
        <v>12.280296650753579</v>
      </c>
      <c r="J863">
        <v>0.31016388393960659</v>
      </c>
      <c r="K863">
        <v>0.11846517587637963</v>
      </c>
      <c r="L863">
        <v>17.291074289430416</v>
      </c>
      <c r="M863">
        <v>12.22665610362492</v>
      </c>
      <c r="N863">
        <v>0.3520770993184581</v>
      </c>
      <c r="O863">
        <v>0.13458203738058758</v>
      </c>
      <c r="P863">
        <v>17.286684759676014</v>
      </c>
      <c r="Q863">
        <v>12.197422407574079</v>
      </c>
      <c r="R863">
        <v>0.3749134011036856</v>
      </c>
      <c r="S863">
        <v>0.1433743557334225</v>
      </c>
      <c r="T863">
        <v>17.284289835588822</v>
      </c>
      <c r="U863">
        <v>1556.2064062061636</v>
      </c>
      <c r="V863">
        <v>9.6515616654602301</v>
      </c>
      <c r="W863">
        <v>1294.3768490886678</v>
      </c>
      <c r="X863">
        <v>6.9738733322606805</v>
      </c>
      <c r="Y863">
        <v>2906.1080169812353</v>
      </c>
      <c r="Z863">
        <v>9.6831914410058619</v>
      </c>
      <c r="AA863">
        <v>2734.1784660135131</v>
      </c>
      <c r="AB863">
        <v>6.9931212519163033</v>
      </c>
      <c r="AC863">
        <v>2207.4767321310655</v>
      </c>
      <c r="AD863">
        <v>9.6745401770018233</v>
      </c>
      <c r="AE863">
        <v>2007.0966580534759</v>
      </c>
      <c r="AF863">
        <v>6.9878642816603556</v>
      </c>
      <c r="AG863">
        <v>2126.0587676865271</v>
      </c>
      <c r="AH863">
        <v>9.6698269236983432</v>
      </c>
      <c r="AI863">
        <v>1904.6600603251884</v>
      </c>
      <c r="AJ863">
        <v>6.984997847342906</v>
      </c>
    </row>
    <row r="864" spans="4:36" x14ac:dyDescent="0.55000000000000004">
      <c r="D864">
        <v>857</v>
      </c>
      <c r="E864">
        <v>13.829222276683764</v>
      </c>
      <c r="F864">
        <v>0.46463176652550203</v>
      </c>
      <c r="G864">
        <v>0.16458226975729703</v>
      </c>
      <c r="H864">
        <v>15.541563687033433</v>
      </c>
      <c r="I864">
        <v>14.026621151101795</v>
      </c>
      <c r="J864">
        <v>0.33462237772860448</v>
      </c>
      <c r="K864">
        <v>0.11820339573038668</v>
      </c>
      <c r="L864">
        <v>15.52055307543921</v>
      </c>
      <c r="M864">
        <v>13.948099962861416</v>
      </c>
      <c r="N864">
        <v>0.38636764091109316</v>
      </c>
      <c r="O864">
        <v>0.13663154415882078</v>
      </c>
      <c r="P864">
        <v>15.528900852068663</v>
      </c>
      <c r="Q864">
        <v>13.897165896789494</v>
      </c>
      <c r="R864">
        <v>0.41991176366513344</v>
      </c>
      <c r="S864">
        <v>0.14859965064428479</v>
      </c>
      <c r="T864">
        <v>15.534322688901097</v>
      </c>
      <c r="U864">
        <v>1615.8547335700546</v>
      </c>
      <c r="V864">
        <v>10.956321458711717</v>
      </c>
      <c r="W864">
        <v>1329.2520494408761</v>
      </c>
      <c r="X864">
        <v>7.7217585179105681</v>
      </c>
      <c r="Y864">
        <v>2962.7318645122996</v>
      </c>
      <c r="Z864">
        <v>11.006995927426965</v>
      </c>
      <c r="AA864">
        <v>2767.8007968301495</v>
      </c>
      <c r="AB864">
        <v>7.7498775607236503</v>
      </c>
      <c r="AC864">
        <v>2272.8841135480202</v>
      </c>
      <c r="AD864">
        <v>10.986844211805126</v>
      </c>
      <c r="AE864">
        <v>2045.3053968089403</v>
      </c>
      <c r="AF864">
        <v>7.7387035014757695</v>
      </c>
      <c r="AG864">
        <v>2190.4578129718484</v>
      </c>
      <c r="AH864">
        <v>10.97376856446126</v>
      </c>
      <c r="AI864">
        <v>1940.5306643550105</v>
      </c>
      <c r="AJ864">
        <v>7.7314474345437718</v>
      </c>
    </row>
    <row r="865" spans="4:36" x14ac:dyDescent="0.55000000000000004">
      <c r="D865">
        <v>858</v>
      </c>
      <c r="E865">
        <v>13.757530592621556</v>
      </c>
      <c r="F865">
        <v>0.51148483310050485</v>
      </c>
      <c r="G865">
        <v>0.19003746016675516</v>
      </c>
      <c r="H865">
        <v>15.540947114111189</v>
      </c>
      <c r="I865">
        <v>14.002875202714909</v>
      </c>
      <c r="J865">
        <v>0.33637406334324343</v>
      </c>
      <c r="K865">
        <v>0.12455936104434183</v>
      </c>
      <c r="L865">
        <v>15.536191372897518</v>
      </c>
      <c r="M865">
        <v>13.917327021797163</v>
      </c>
      <c r="N865">
        <v>0.39747186635495035</v>
      </c>
      <c r="O865">
        <v>0.14735479134836951</v>
      </c>
      <c r="P865">
        <v>15.53784632049952</v>
      </c>
      <c r="Q865">
        <v>13.841031482990468</v>
      </c>
      <c r="R865">
        <v>0.45192623358991318</v>
      </c>
      <c r="S865">
        <v>0.16771702744789244</v>
      </c>
      <c r="T865">
        <v>15.539325255971713</v>
      </c>
      <c r="U865">
        <v>1663.6489402883819</v>
      </c>
      <c r="V865">
        <v>10.860953451574195</v>
      </c>
      <c r="W865">
        <v>1356.3594729547976</v>
      </c>
      <c r="X865">
        <v>7.6540510928966148</v>
      </c>
      <c r="Y865">
        <v>2969.3431150699193</v>
      </c>
      <c r="Z865">
        <v>10.910795743960888</v>
      </c>
      <c r="AA865">
        <v>2770.0952993873302</v>
      </c>
      <c r="AB865">
        <v>7.6823215842900652</v>
      </c>
      <c r="AC865">
        <v>2326.2505262119771</v>
      </c>
      <c r="AD865">
        <v>10.893417578298076</v>
      </c>
      <c r="AE865">
        <v>2079.6074132353579</v>
      </c>
      <c r="AF865">
        <v>7.6724753071717657</v>
      </c>
      <c r="AG865">
        <v>2212.0969102884269</v>
      </c>
      <c r="AH865">
        <v>10.877917963666043</v>
      </c>
      <c r="AI865">
        <v>1950.5023139810958</v>
      </c>
      <c r="AJ865">
        <v>7.6636838566622698</v>
      </c>
    </row>
    <row r="866" spans="4:36" x14ac:dyDescent="0.55000000000000004">
      <c r="D866">
        <v>859</v>
      </c>
      <c r="E866">
        <v>12.586236291586605</v>
      </c>
      <c r="F866">
        <v>0.50100817606835335</v>
      </c>
      <c r="G866">
        <v>0.15161121645532188</v>
      </c>
      <c r="H866">
        <v>16.76114431588972</v>
      </c>
      <c r="I866">
        <v>12.842082477904881</v>
      </c>
      <c r="J866">
        <v>0.3023045805635472</v>
      </c>
      <c r="K866">
        <v>9.1164100382328805E-2</v>
      </c>
      <c r="L866">
        <v>16.764448841149242</v>
      </c>
      <c r="M866">
        <v>12.75882316178699</v>
      </c>
      <c r="N866">
        <v>0.36700402730073284</v>
      </c>
      <c r="O866">
        <v>0.11079949492683402</v>
      </c>
      <c r="P866">
        <v>16.763373315985433</v>
      </c>
      <c r="Q866">
        <v>12.70397152897565</v>
      </c>
      <c r="R866">
        <v>0.40960949270591807</v>
      </c>
      <c r="S866">
        <v>0.12375415078087584</v>
      </c>
      <c r="T866">
        <v>16.762664827537542</v>
      </c>
      <c r="U866">
        <v>1572.4615785382571</v>
      </c>
      <c r="V866">
        <v>9.9128631205438253</v>
      </c>
      <c r="W866">
        <v>1306.4977811485473</v>
      </c>
      <c r="X866">
        <v>7.1060257908000128</v>
      </c>
      <c r="Y866">
        <v>2872.8841930204271</v>
      </c>
      <c r="Z866">
        <v>9.9545787986112728</v>
      </c>
      <c r="AA866">
        <v>2712.9191150753977</v>
      </c>
      <c r="AB866">
        <v>7.130187243747133</v>
      </c>
      <c r="AC866">
        <v>2205.2405693895721</v>
      </c>
      <c r="AD866">
        <v>9.9410037609714514</v>
      </c>
      <c r="AE866">
        <v>2006.6704078190276</v>
      </c>
      <c r="AF866">
        <v>7.1223352756218272</v>
      </c>
      <c r="AG866">
        <v>2143.608991849062</v>
      </c>
      <c r="AH866">
        <v>9.9320602635534616</v>
      </c>
      <c r="AI866">
        <v>1917.0816636449426</v>
      </c>
      <c r="AJ866">
        <v>7.1171566856015955</v>
      </c>
    </row>
    <row r="867" spans="4:36" x14ac:dyDescent="0.55000000000000004">
      <c r="D867">
        <v>860</v>
      </c>
      <c r="E867">
        <v>12.626229473441255</v>
      </c>
      <c r="F867">
        <v>0.48018191542895128</v>
      </c>
      <c r="G867">
        <v>0.16158336091029551</v>
      </c>
      <c r="H867">
        <v>16.732005250219522</v>
      </c>
      <c r="I867">
        <v>12.869089463701712</v>
      </c>
      <c r="J867">
        <v>0.29896771381284304</v>
      </c>
      <c r="K867">
        <v>0.10026384043439621</v>
      </c>
      <c r="L867">
        <v>16.731678982051051</v>
      </c>
      <c r="M867">
        <v>12.784487223075025</v>
      </c>
      <c r="N867">
        <v>0.36213212628031755</v>
      </c>
      <c r="O867">
        <v>0.12158971727347959</v>
      </c>
      <c r="P867">
        <v>16.731790933371187</v>
      </c>
      <c r="Q867">
        <v>12.720035343430039</v>
      </c>
      <c r="R867">
        <v>0.41022574486243135</v>
      </c>
      <c r="S867">
        <v>0.13786147248680461</v>
      </c>
      <c r="T867">
        <v>16.731877439220735</v>
      </c>
      <c r="U867">
        <v>1560.5671970122733</v>
      </c>
      <c r="V867">
        <v>10.022442087597147</v>
      </c>
      <c r="W867">
        <v>1296.4251386958899</v>
      </c>
      <c r="X867">
        <v>7.1826943718060354</v>
      </c>
      <c r="Y867">
        <v>2898.5987788464386</v>
      </c>
      <c r="Z867">
        <v>10.067747086533204</v>
      </c>
      <c r="AA867">
        <v>2729.8213974574523</v>
      </c>
      <c r="AB867">
        <v>7.2088010371756841</v>
      </c>
      <c r="AC867">
        <v>2235.4213952420728</v>
      </c>
      <c r="AD867">
        <v>10.051966111563466</v>
      </c>
      <c r="AE867">
        <v>2026.5337795180947</v>
      </c>
      <c r="AF867">
        <v>7.1997183760884278</v>
      </c>
      <c r="AG867">
        <v>2116.5048484454032</v>
      </c>
      <c r="AH867">
        <v>10.03994282049406</v>
      </c>
      <c r="AI867">
        <v>1894.9889034973364</v>
      </c>
      <c r="AJ867">
        <v>7.1927905670904266</v>
      </c>
    </row>
    <row r="868" spans="4:36" x14ac:dyDescent="0.55000000000000004">
      <c r="D868">
        <v>861</v>
      </c>
      <c r="E868">
        <v>11.10031613986982</v>
      </c>
      <c r="F868">
        <v>0.45401935073378696</v>
      </c>
      <c r="G868">
        <v>0.12765296934917647</v>
      </c>
      <c r="H868">
        <v>18.318011540047213</v>
      </c>
      <c r="I868">
        <v>11.304082823629434</v>
      </c>
      <c r="J868">
        <v>0.27223632307805445</v>
      </c>
      <c r="K868">
        <v>7.6313712338378359E-2</v>
      </c>
      <c r="L868">
        <v>18.347367140954148</v>
      </c>
      <c r="M868">
        <v>11.199336420638826</v>
      </c>
      <c r="N868">
        <v>0.36569675405546315</v>
      </c>
      <c r="O868">
        <v>0.10267001246672663</v>
      </c>
      <c r="P868">
        <v>18.33229681283899</v>
      </c>
      <c r="Q868">
        <v>11.170892088818148</v>
      </c>
      <c r="R868">
        <v>0.39107096295139943</v>
      </c>
      <c r="S868">
        <v>0.10983980912572763</v>
      </c>
      <c r="T868">
        <v>18.328197139104731</v>
      </c>
      <c r="U868">
        <v>1464.5182322065666</v>
      </c>
      <c r="V868">
        <v>8.7215422006154348</v>
      </c>
      <c r="W868">
        <v>1244.8364396997777</v>
      </c>
      <c r="X868">
        <v>6.4054411286693957</v>
      </c>
      <c r="Y868">
        <v>2852.2095753107346</v>
      </c>
      <c r="Z868">
        <v>8.7423842741782831</v>
      </c>
      <c r="AA868">
        <v>2708.7583940846839</v>
      </c>
      <c r="AB868">
        <v>6.4191723060673596</v>
      </c>
      <c r="AC868">
        <v>2150.1251997347749</v>
      </c>
      <c r="AD868">
        <v>8.7316586432554217</v>
      </c>
      <c r="AE868">
        <v>1977.183489248938</v>
      </c>
      <c r="AF868">
        <v>6.4121163871778748</v>
      </c>
      <c r="AG868">
        <v>2028.6288801791741</v>
      </c>
      <c r="AH868">
        <v>8.7287503315927282</v>
      </c>
      <c r="AI868">
        <v>1846.1691199356221</v>
      </c>
      <c r="AJ868">
        <v>6.410199376281188</v>
      </c>
    </row>
    <row r="869" spans="4:36" x14ac:dyDescent="0.55000000000000004">
      <c r="D869">
        <v>862</v>
      </c>
      <c r="E869">
        <v>13.473614713276767</v>
      </c>
      <c r="F869">
        <v>0.45690538096488853</v>
      </c>
      <c r="G869">
        <v>0.18174428216014696</v>
      </c>
      <c r="H869">
        <v>15.887735623598198</v>
      </c>
      <c r="I869">
        <v>13.69846135960867</v>
      </c>
      <c r="J869">
        <v>0.3067387726190805</v>
      </c>
      <c r="K869">
        <v>0.12164447656467511</v>
      </c>
      <c r="L869">
        <v>15.873155391207568</v>
      </c>
      <c r="M869">
        <v>13.602204881665584</v>
      </c>
      <c r="N869">
        <v>0.37106481855299195</v>
      </c>
      <c r="O869">
        <v>0.14734398406780269</v>
      </c>
      <c r="P869">
        <v>15.87938631571361</v>
      </c>
      <c r="Q869">
        <v>13.581126448268677</v>
      </c>
      <c r="R869">
        <v>0.38514310575428773</v>
      </c>
      <c r="S869">
        <v>0.15297751126026529</v>
      </c>
      <c r="T869">
        <v>15.880752934716782</v>
      </c>
      <c r="U869">
        <v>1590.2111767396252</v>
      </c>
      <c r="V869">
        <v>10.635017679302207</v>
      </c>
      <c r="W869">
        <v>1313.1261201389891</v>
      </c>
      <c r="X869">
        <v>7.5306081266697893</v>
      </c>
      <c r="Y869">
        <v>2927.44562268046</v>
      </c>
      <c r="Z869">
        <v>10.685908016113805</v>
      </c>
      <c r="AA869">
        <v>2745.7898446582094</v>
      </c>
      <c r="AB869">
        <v>7.5590885272609309</v>
      </c>
      <c r="AC869">
        <v>2270.7531903882173</v>
      </c>
      <c r="AD869">
        <v>10.66412787126869</v>
      </c>
      <c r="AE869">
        <v>2046.0930752031434</v>
      </c>
      <c r="AF869">
        <v>7.5469093856048728</v>
      </c>
      <c r="AG869">
        <v>2133.6337119909786</v>
      </c>
      <c r="AH869">
        <v>10.65935723332575</v>
      </c>
      <c r="AI869">
        <v>1903.9367217809347</v>
      </c>
      <c r="AJ869">
        <v>7.5442397337504206</v>
      </c>
    </row>
    <row r="870" spans="4:36" x14ac:dyDescent="0.55000000000000004">
      <c r="D870">
        <v>863</v>
      </c>
      <c r="E870">
        <v>12.847839243083698</v>
      </c>
      <c r="F870">
        <v>0.4230774229297502</v>
      </c>
      <c r="G870">
        <v>0.1518161606797015</v>
      </c>
      <c r="H870">
        <v>16.577267173306847</v>
      </c>
      <c r="I870">
        <v>13.034782229513469</v>
      </c>
      <c r="J870">
        <v>0.29694358066429954</v>
      </c>
      <c r="K870">
        <v>0.10626784884358567</v>
      </c>
      <c r="L870">
        <v>16.562006340978652</v>
      </c>
      <c r="M870">
        <v>12.958231712426063</v>
      </c>
      <c r="N870">
        <v>0.34862133837103138</v>
      </c>
      <c r="O870">
        <v>0.12489912660641458</v>
      </c>
      <c r="P870">
        <v>16.56824782259649</v>
      </c>
      <c r="Q870">
        <v>12.919113236740507</v>
      </c>
      <c r="R870">
        <v>0.37501464709321142</v>
      </c>
      <c r="S870">
        <v>0.13443073548081866</v>
      </c>
      <c r="T870">
        <v>16.571441380685457</v>
      </c>
      <c r="U870">
        <v>1547.6674525179017</v>
      </c>
      <c r="V870">
        <v>10.158002231218264</v>
      </c>
      <c r="W870">
        <v>1290.2328024582537</v>
      </c>
      <c r="X870">
        <v>7.2624078759156694</v>
      </c>
      <c r="Y870">
        <v>2917.6377304998941</v>
      </c>
      <c r="Z870">
        <v>10.200380986680722</v>
      </c>
      <c r="AA870">
        <v>2742.8352549422607</v>
      </c>
      <c r="AB870">
        <v>7.2862753785039951</v>
      </c>
      <c r="AC870">
        <v>2248.8776310193489</v>
      </c>
      <c r="AD870">
        <v>10.183032004811359</v>
      </c>
      <c r="AE870">
        <v>2036.2534044630997</v>
      </c>
      <c r="AF870">
        <v>7.2765118973137577</v>
      </c>
      <c r="AG870">
        <v>2145.669358222553</v>
      </c>
      <c r="AH870">
        <v>10.174163997425397</v>
      </c>
      <c r="AI870">
        <v>1917.624433433524</v>
      </c>
      <c r="AJ870">
        <v>7.2715173131781867</v>
      </c>
    </row>
    <row r="871" spans="4:36" x14ac:dyDescent="0.55000000000000004">
      <c r="D871">
        <v>864</v>
      </c>
      <c r="E871">
        <v>13.345120372755906</v>
      </c>
      <c r="F871">
        <v>0.48233728142035159</v>
      </c>
      <c r="G871">
        <v>0.18864351670261784</v>
      </c>
      <c r="H871">
        <v>15.983898829121118</v>
      </c>
      <c r="I871">
        <v>13.58202285682532</v>
      </c>
      <c r="J871">
        <v>0.315538311783089</v>
      </c>
      <c r="K871">
        <v>0.12299106074083554</v>
      </c>
      <c r="L871">
        <v>15.979447770650772</v>
      </c>
      <c r="M871">
        <v>13.512023633514893</v>
      </c>
      <c r="N871">
        <v>0.3648585394058817</v>
      </c>
      <c r="O871">
        <v>0.14235669847828239</v>
      </c>
      <c r="P871">
        <v>15.980761128600948</v>
      </c>
      <c r="Q871">
        <v>13.442798767403646</v>
      </c>
      <c r="R871">
        <v>0.41360441255667857</v>
      </c>
      <c r="S871">
        <v>0.16153535959691853</v>
      </c>
      <c r="T871">
        <v>15.982061460442749</v>
      </c>
      <c r="U871">
        <v>1558.2566242043893</v>
      </c>
      <c r="V871">
        <v>10.566927567571945</v>
      </c>
      <c r="W871">
        <v>1289.0330278600268</v>
      </c>
      <c r="X871">
        <v>7.4923310865194139</v>
      </c>
      <c r="Y871">
        <v>2902.9610770643521</v>
      </c>
      <c r="Z871">
        <v>10.615274834424254</v>
      </c>
      <c r="AA871">
        <v>2728.1181493430367</v>
      </c>
      <c r="AB871">
        <v>7.5198933445931173</v>
      </c>
      <c r="AC871">
        <v>2262.7321997902841</v>
      </c>
      <c r="AD871">
        <v>10.600990371653674</v>
      </c>
      <c r="AE871">
        <v>2041.3438291593593</v>
      </c>
      <c r="AF871">
        <v>7.5117595288775183</v>
      </c>
      <c r="AG871">
        <v>2142.1688245419359</v>
      </c>
      <c r="AH871">
        <v>10.586863073434763</v>
      </c>
      <c r="AI871">
        <v>1908.4107225679859</v>
      </c>
      <c r="AJ871">
        <v>7.5037073171058992</v>
      </c>
    </row>
    <row r="872" spans="4:36" x14ac:dyDescent="0.55000000000000004">
      <c r="D872">
        <v>865</v>
      </c>
      <c r="E872">
        <v>12.14136735329576</v>
      </c>
      <c r="F872">
        <v>0.48380724254266927</v>
      </c>
      <c r="G872">
        <v>0.17366552887933212</v>
      </c>
      <c r="H872">
        <v>17.201159875282254</v>
      </c>
      <c r="I872">
        <v>12.376592731379962</v>
      </c>
      <c r="J872">
        <v>0.29600029410838063</v>
      </c>
      <c r="K872">
        <v>0.10587597925315348</v>
      </c>
      <c r="L872">
        <v>17.221530995258505</v>
      </c>
      <c r="M872">
        <v>12.29313094281671</v>
      </c>
      <c r="N872">
        <v>0.36266698200872366</v>
      </c>
      <c r="O872">
        <v>0.12988395900064209</v>
      </c>
      <c r="P872">
        <v>17.214318116173938</v>
      </c>
      <c r="Q872">
        <v>12.255172206464252</v>
      </c>
      <c r="R872">
        <v>0.39297647194810509</v>
      </c>
      <c r="S872">
        <v>0.14081912844233282</v>
      </c>
      <c r="T872">
        <v>17.211032193145314</v>
      </c>
      <c r="U872">
        <v>1532.4112962028064</v>
      </c>
      <c r="V872">
        <v>9.5939426483427344</v>
      </c>
      <c r="W872">
        <v>1277.7920463281057</v>
      </c>
      <c r="X872">
        <v>6.923112612373334</v>
      </c>
      <c r="Y872">
        <v>2892.4763416242959</v>
      </c>
      <c r="Z872">
        <v>9.6267409247650892</v>
      </c>
      <c r="AA872">
        <v>2727.0626207477876</v>
      </c>
      <c r="AB872">
        <v>6.9432109300523308</v>
      </c>
      <c r="AC872">
        <v>2225.5114247202341</v>
      </c>
      <c r="AD872">
        <v>9.6150946112687041</v>
      </c>
      <c r="AE872">
        <v>2021.1177814085981</v>
      </c>
      <c r="AF872">
        <v>6.9360856247657896</v>
      </c>
      <c r="AG872">
        <v>2094.5797011425748</v>
      </c>
      <c r="AH872">
        <v>9.6098010662785587</v>
      </c>
      <c r="AI872">
        <v>1882.2218887422409</v>
      </c>
      <c r="AJ872">
        <v>6.9328428729557041</v>
      </c>
    </row>
    <row r="873" spans="4:36" x14ac:dyDescent="0.55000000000000004">
      <c r="D873">
        <v>866</v>
      </c>
      <c r="E873">
        <v>13.370064492191302</v>
      </c>
      <c r="F873">
        <v>0.45726755978353778</v>
      </c>
      <c r="G873">
        <v>0.16626831664347055</v>
      </c>
      <c r="H873">
        <v>16.006399631381683</v>
      </c>
      <c r="I873">
        <v>13.626503092378156</v>
      </c>
      <c r="J873">
        <v>0.28930715500404836</v>
      </c>
      <c r="K873">
        <v>0.10482928880666194</v>
      </c>
      <c r="L873">
        <v>15.979360463811126</v>
      </c>
      <c r="M873">
        <v>13.531326421820413</v>
      </c>
      <c r="N873">
        <v>0.35169632033069742</v>
      </c>
      <c r="O873">
        <v>0.12760009814538212</v>
      </c>
      <c r="P873">
        <v>15.98937715970351</v>
      </c>
      <c r="Q873">
        <v>13.498850646188799</v>
      </c>
      <c r="R873">
        <v>0.37297076921644967</v>
      </c>
      <c r="S873">
        <v>0.13537850697613837</v>
      </c>
      <c r="T873">
        <v>15.992800077618622</v>
      </c>
      <c r="U873">
        <v>1584.1013902250179</v>
      </c>
      <c r="V873">
        <v>10.53065233170938</v>
      </c>
      <c r="W873">
        <v>1312.3321301116855</v>
      </c>
      <c r="X873">
        <v>7.4695005956320006</v>
      </c>
      <c r="Y873">
        <v>2910.5405320440227</v>
      </c>
      <c r="Z873">
        <v>10.593026105618726</v>
      </c>
      <c r="AA873">
        <v>2737.3000361821023</v>
      </c>
      <c r="AB873">
        <v>7.5040467709440506</v>
      </c>
      <c r="AC873">
        <v>2228.1568988862005</v>
      </c>
      <c r="AD873">
        <v>10.569887897084822</v>
      </c>
      <c r="AE873">
        <v>2019.9298546397833</v>
      </c>
      <c r="AF873">
        <v>7.4912440914425131</v>
      </c>
      <c r="AG873">
        <v>2114.1693882254231</v>
      </c>
      <c r="AH873">
        <v>10.561989633433503</v>
      </c>
      <c r="AI873">
        <v>1893.8622337352253</v>
      </c>
      <c r="AJ873">
        <v>7.4868704951584819</v>
      </c>
    </row>
    <row r="874" spans="4:36" x14ac:dyDescent="0.55000000000000004">
      <c r="D874">
        <v>867</v>
      </c>
      <c r="E874">
        <v>13.253477653632309</v>
      </c>
      <c r="F874">
        <v>0.48583865447065222</v>
      </c>
      <c r="G874">
        <v>0.1699739762471196</v>
      </c>
      <c r="H874">
        <v>16.090709715649918</v>
      </c>
      <c r="I874">
        <v>13.477132899899754</v>
      </c>
      <c r="J874">
        <v>0.32333715701519045</v>
      </c>
      <c r="K874">
        <v>0.11279216009577639</v>
      </c>
      <c r="L874">
        <v>16.086737782989289</v>
      </c>
      <c r="M874">
        <v>13.415203831546258</v>
      </c>
      <c r="N874">
        <v>0.36836145288841149</v>
      </c>
      <c r="O874">
        <v>0.12860165632068976</v>
      </c>
      <c r="P874">
        <v>16.087833059244648</v>
      </c>
      <c r="Q874">
        <v>13.370830486588554</v>
      </c>
      <c r="R874">
        <v>0.40060888537929351</v>
      </c>
      <c r="S874">
        <v>0.13994065887090448</v>
      </c>
      <c r="T874">
        <v>16.088619969161254</v>
      </c>
      <c r="U874">
        <v>1577.1875710685504</v>
      </c>
      <c r="V874">
        <v>10.481093341174306</v>
      </c>
      <c r="W874">
        <v>1305.358519213006</v>
      </c>
      <c r="X874">
        <v>7.4425281236516918</v>
      </c>
      <c r="Y874">
        <v>2928.0369932549324</v>
      </c>
      <c r="Z874">
        <v>10.525816170629051</v>
      </c>
      <c r="AA874">
        <v>2747.4076971082022</v>
      </c>
      <c r="AB874">
        <v>7.4678994609938547</v>
      </c>
      <c r="AC874">
        <v>2246.8143217074971</v>
      </c>
      <c r="AD874">
        <v>10.513435065682165</v>
      </c>
      <c r="AE874">
        <v>2032.0894462255592</v>
      </c>
      <c r="AF874">
        <v>7.4608833913871173</v>
      </c>
      <c r="AG874">
        <v>2130.2921622343451</v>
      </c>
      <c r="AH874">
        <v>10.504562630862962</v>
      </c>
      <c r="AI874">
        <v>1903.4415865726105</v>
      </c>
      <c r="AJ874">
        <v>7.4558519666875123</v>
      </c>
    </row>
    <row r="875" spans="4:36" x14ac:dyDescent="0.55000000000000004">
      <c r="D875">
        <v>868</v>
      </c>
      <c r="E875">
        <v>12.944489103183809</v>
      </c>
      <c r="F875">
        <v>0.43811208991331385</v>
      </c>
      <c r="G875">
        <v>0.15224325886450682</v>
      </c>
      <c r="H875">
        <v>16.465155548038378</v>
      </c>
      <c r="I875">
        <v>13.182245710080741</v>
      </c>
      <c r="J875">
        <v>0.2759724723486387</v>
      </c>
      <c r="K875">
        <v>9.5595037454570458E-2</v>
      </c>
      <c r="L875">
        <v>16.446186780116047</v>
      </c>
      <c r="M875">
        <v>13.058762269130108</v>
      </c>
      <c r="N875">
        <v>0.36022812828467349</v>
      </c>
      <c r="O875">
        <v>0.12498648393183992</v>
      </c>
      <c r="P875">
        <v>16.456023118653377</v>
      </c>
      <c r="Q875">
        <v>13.032130067129623</v>
      </c>
      <c r="R875">
        <v>0.37838709828808564</v>
      </c>
      <c r="S875">
        <v>0.13133390730550851</v>
      </c>
      <c r="T875">
        <v>16.458148927276785</v>
      </c>
      <c r="U875">
        <v>1524.1230321611392</v>
      </c>
      <c r="V875">
        <v>10.244816854643762</v>
      </c>
      <c r="W875">
        <v>1275.787723320886</v>
      </c>
      <c r="X875">
        <v>7.3139114175970299</v>
      </c>
      <c r="Y875">
        <v>2906.8865294868328</v>
      </c>
      <c r="Z875">
        <v>10.300326518782963</v>
      </c>
      <c r="AA875">
        <v>2738.9305154507442</v>
      </c>
      <c r="AB875">
        <v>7.3449812467071025</v>
      </c>
      <c r="AC875">
        <v>2206.8092776580243</v>
      </c>
      <c r="AD875">
        <v>10.271505941010394</v>
      </c>
      <c r="AE875">
        <v>2008.141317301513</v>
      </c>
      <c r="AF875">
        <v>7.3288618736370754</v>
      </c>
      <c r="AG875">
        <v>2136.9186027176011</v>
      </c>
      <c r="AH875">
        <v>10.26528742164813</v>
      </c>
      <c r="AI875">
        <v>1914.1552551922373</v>
      </c>
      <c r="AJ875">
        <v>7.325380446767574</v>
      </c>
    </row>
    <row r="876" spans="4:36" x14ac:dyDescent="0.55000000000000004">
      <c r="D876">
        <v>869</v>
      </c>
      <c r="E876">
        <v>13.234059550333855</v>
      </c>
      <c r="F876">
        <v>0.46340873672380223</v>
      </c>
      <c r="G876">
        <v>0.1470707614101201</v>
      </c>
      <c r="H876">
        <v>16.15546095153223</v>
      </c>
      <c r="I876">
        <v>13.467345977734622</v>
      </c>
      <c r="J876">
        <v>0.30392612637082328</v>
      </c>
      <c r="K876">
        <v>9.6146106289102043E-2</v>
      </c>
      <c r="L876">
        <v>16.132581789605446</v>
      </c>
      <c r="M876">
        <v>13.409692823012119</v>
      </c>
      <c r="N876">
        <v>0.34337174656654246</v>
      </c>
      <c r="O876">
        <v>0.10871060928877549</v>
      </c>
      <c r="P876">
        <v>16.138224821132578</v>
      </c>
      <c r="Q876">
        <v>13.342971351409703</v>
      </c>
      <c r="R876">
        <v>0.38899572290770318</v>
      </c>
      <c r="S876">
        <v>0.12326833165632253</v>
      </c>
      <c r="T876">
        <v>16.144764594026281</v>
      </c>
      <c r="U876">
        <v>1578.3613624717241</v>
      </c>
      <c r="V876">
        <v>10.430782483486253</v>
      </c>
      <c r="W876">
        <v>1309.4344227401743</v>
      </c>
      <c r="X876">
        <v>7.4139175293801687</v>
      </c>
      <c r="Y876">
        <v>2893.8760273901385</v>
      </c>
      <c r="Z876">
        <v>10.4875550081859</v>
      </c>
      <c r="AA876">
        <v>2725.4736689821571</v>
      </c>
      <c r="AB876">
        <v>7.445602633864592</v>
      </c>
      <c r="AC876">
        <v>2221.6626691314341</v>
      </c>
      <c r="AD876">
        <v>10.473531011774273</v>
      </c>
      <c r="AE876">
        <v>2017.1021074468508</v>
      </c>
      <c r="AF876">
        <v>7.4377845193395302</v>
      </c>
      <c r="AG876">
        <v>2121.9375620944757</v>
      </c>
      <c r="AH876">
        <v>10.457295894678603</v>
      </c>
      <c r="AI876">
        <v>1899.6636591189633</v>
      </c>
      <c r="AJ876">
        <v>7.428726595037471</v>
      </c>
    </row>
    <row r="877" spans="4:36" x14ac:dyDescent="0.55000000000000004">
      <c r="D877">
        <v>870</v>
      </c>
      <c r="E877">
        <v>14.518441683684495</v>
      </c>
      <c r="F877">
        <v>0.53505054918926565</v>
      </c>
      <c r="G877">
        <v>0.16449760366662219</v>
      </c>
      <c r="H877">
        <v>14.782010163459621</v>
      </c>
      <c r="I877">
        <v>14.79116649977149</v>
      </c>
      <c r="J877">
        <v>0.3518199792615353</v>
      </c>
      <c r="K877">
        <v>0.10780381408894092</v>
      </c>
      <c r="L877">
        <v>14.749209706878023</v>
      </c>
      <c r="M877">
        <v>14.675315485267841</v>
      </c>
      <c r="N877">
        <v>0.42971002388363633</v>
      </c>
      <c r="O877">
        <v>0.13185685634486052</v>
      </c>
      <c r="P877">
        <v>14.763117634503645</v>
      </c>
      <c r="Q877">
        <v>14.624347343319698</v>
      </c>
      <c r="R877">
        <v>0.46395159004942144</v>
      </c>
      <c r="S877">
        <v>0.14245285866123622</v>
      </c>
      <c r="T877">
        <v>14.769248207969639</v>
      </c>
      <c r="U877">
        <v>1635.7064801168397</v>
      </c>
      <c r="V877">
        <v>11.370303723563417</v>
      </c>
      <c r="W877">
        <v>1337.5111602318598</v>
      </c>
      <c r="X877">
        <v>7.934807220901642</v>
      </c>
      <c r="Y877">
        <v>2951.5888254556412</v>
      </c>
      <c r="Z877">
        <v>11.439522950646564</v>
      </c>
      <c r="AA877">
        <v>2758.1878968647898</v>
      </c>
      <c r="AB877">
        <v>7.9725250976516424</v>
      </c>
      <c r="AC877">
        <v>2302.0491434450623</v>
      </c>
      <c r="AD877">
        <v>11.410133670610112</v>
      </c>
      <c r="AE877">
        <v>2062.1644078497557</v>
      </c>
      <c r="AF877">
        <v>7.9565239324994845</v>
      </c>
      <c r="AG877">
        <v>2200.128920603529</v>
      </c>
      <c r="AH877">
        <v>11.397197267354434</v>
      </c>
      <c r="AI877">
        <v>1943.5400472638387</v>
      </c>
      <c r="AJ877">
        <v>7.9494744864147826</v>
      </c>
    </row>
    <row r="878" spans="4:36" x14ac:dyDescent="0.55000000000000004">
      <c r="D878">
        <v>871</v>
      </c>
      <c r="E878">
        <v>13.641887537338846</v>
      </c>
      <c r="F878">
        <v>0.50642644349267818</v>
      </c>
      <c r="G878">
        <v>0.18651308079106954</v>
      </c>
      <c r="H878">
        <v>15.665172938377424</v>
      </c>
      <c r="I878">
        <v>13.928469713909537</v>
      </c>
      <c r="J878">
        <v>0.30926468686511882</v>
      </c>
      <c r="K878">
        <v>0.11342499635605992</v>
      </c>
      <c r="L878">
        <v>15.648840602869297</v>
      </c>
      <c r="M878">
        <v>13.80120965329071</v>
      </c>
      <c r="N878">
        <v>0.39687876003653788</v>
      </c>
      <c r="O878">
        <v>0.14582702050909654</v>
      </c>
      <c r="P878">
        <v>15.656084566163649</v>
      </c>
      <c r="Q878">
        <v>13.788228689895453</v>
      </c>
      <c r="R878">
        <v>0.40581014283077604</v>
      </c>
      <c r="S878">
        <v>0.14913692349502938</v>
      </c>
      <c r="T878">
        <v>15.656824243778747</v>
      </c>
      <c r="U878">
        <v>1584.4385992926129</v>
      </c>
      <c r="V878">
        <v>10.794388806281352</v>
      </c>
      <c r="W878">
        <v>1303.8657512232755</v>
      </c>
      <c r="X878">
        <v>7.6203516773602171</v>
      </c>
      <c r="Y878">
        <v>2943.7728027266662</v>
      </c>
      <c r="Z878">
        <v>10.8575692768616</v>
      </c>
      <c r="AA878">
        <v>2756.1834422868478</v>
      </c>
      <c r="AB878">
        <v>7.6558983472492823</v>
      </c>
      <c r="AC878">
        <v>2311.9624701346042</v>
      </c>
      <c r="AD878">
        <v>10.829518473089466</v>
      </c>
      <c r="AE878">
        <v>2072.1860537665852</v>
      </c>
      <c r="AF878">
        <v>7.6401328920662817</v>
      </c>
      <c r="AG878">
        <v>2161.5610926823028</v>
      </c>
      <c r="AH878">
        <v>10.826656729872319</v>
      </c>
      <c r="AI878">
        <v>1920.9622355638874</v>
      </c>
      <c r="AJ878">
        <v>7.6385230261680954</v>
      </c>
    </row>
    <row r="879" spans="4:36" x14ac:dyDescent="0.55000000000000004">
      <c r="D879">
        <v>872</v>
      </c>
      <c r="E879">
        <v>11.966113256486004</v>
      </c>
      <c r="F879">
        <v>0.453356001292542</v>
      </c>
      <c r="G879">
        <v>0.17007077997385289</v>
      </c>
      <c r="H879">
        <v>17.410459962247604</v>
      </c>
      <c r="I879">
        <v>12.150380103425279</v>
      </c>
      <c r="J879">
        <v>0.30334070000991159</v>
      </c>
      <c r="K879">
        <v>0.11348536914695648</v>
      </c>
      <c r="L879">
        <v>17.432793827417846</v>
      </c>
      <c r="M879">
        <v>12.060896441465911</v>
      </c>
      <c r="N879">
        <v>0.37620991151618854</v>
      </c>
      <c r="O879">
        <v>0.14093250689268291</v>
      </c>
      <c r="P879">
        <v>17.421961140125209</v>
      </c>
      <c r="Q879">
        <v>12.027875561506768</v>
      </c>
      <c r="R879">
        <v>0.40309085977554243</v>
      </c>
      <c r="S879">
        <v>0.15107609578901837</v>
      </c>
      <c r="T879">
        <v>17.417957482928671</v>
      </c>
      <c r="U879">
        <v>1499.2468750900978</v>
      </c>
      <c r="V879">
        <v>9.4785698696243035</v>
      </c>
      <c r="W879">
        <v>1258.042949996048</v>
      </c>
      <c r="X879">
        <v>6.8610819292531531</v>
      </c>
      <c r="Y879">
        <v>2875.5975418535754</v>
      </c>
      <c r="Z879">
        <v>9.5004600643939074</v>
      </c>
      <c r="AA879">
        <v>2715.4832712599436</v>
      </c>
      <c r="AB879">
        <v>6.8747947594461207</v>
      </c>
      <c r="AC879">
        <v>2203.6532571979724</v>
      </c>
      <c r="AD879">
        <v>9.4898226967658683</v>
      </c>
      <c r="AE879">
        <v>2005.7121394503986</v>
      </c>
      <c r="AF879">
        <v>6.8681384673528107</v>
      </c>
      <c r="AG879">
        <v>2085.0064853273548</v>
      </c>
      <c r="AH879">
        <v>9.4859006957466292</v>
      </c>
      <c r="AI879">
        <v>1876.0950770227369</v>
      </c>
      <c r="AJ879">
        <v>6.865680797028995</v>
      </c>
    </row>
    <row r="880" spans="4:36" x14ac:dyDescent="0.55000000000000004">
      <c r="D880">
        <v>873</v>
      </c>
      <c r="E880">
        <v>11.335017902880482</v>
      </c>
      <c r="F880">
        <v>0.3883431780753645</v>
      </c>
      <c r="G880">
        <v>0.15176228769442685</v>
      </c>
      <c r="H880">
        <v>18.124876631349728</v>
      </c>
      <c r="I880">
        <v>11.515090496349336</v>
      </c>
      <c r="J880">
        <v>0.25309994297515531</v>
      </c>
      <c r="K880">
        <v>9.8611263940823771E-2</v>
      </c>
      <c r="L880">
        <v>18.13319829673468</v>
      </c>
      <c r="M880">
        <v>11.436688500601328</v>
      </c>
      <c r="N880">
        <v>0.3120066919642388</v>
      </c>
      <c r="O880">
        <v>0.12172178615824686</v>
      </c>
      <c r="P880">
        <v>18.129583021276165</v>
      </c>
      <c r="Q880">
        <v>11.415405344894101</v>
      </c>
      <c r="R880">
        <v>0.32799151318215714</v>
      </c>
      <c r="S880">
        <v>0.12800362569576101</v>
      </c>
      <c r="T880">
        <v>18.128599516227982</v>
      </c>
      <c r="U880">
        <v>1514.8040708839642</v>
      </c>
      <c r="V880">
        <v>8.8698331906545782</v>
      </c>
      <c r="W880">
        <v>1279.2524724294033</v>
      </c>
      <c r="X880">
        <v>6.4938033825257033</v>
      </c>
      <c r="Y880">
        <v>2853.8208700328478</v>
      </c>
      <c r="Z880">
        <v>8.8980284511569625</v>
      </c>
      <c r="AA880">
        <v>2706.4908829546107</v>
      </c>
      <c r="AB880">
        <v>6.5110367957637791</v>
      </c>
      <c r="AC880">
        <v>2158.7747730075703</v>
      </c>
      <c r="AD880">
        <v>8.8857480053234852</v>
      </c>
      <c r="AE880">
        <v>1981.5365757324273</v>
      </c>
      <c r="AF880">
        <v>6.5035391192515144</v>
      </c>
      <c r="AG880">
        <v>2049.429147080451</v>
      </c>
      <c r="AH880">
        <v>8.8824155202948472</v>
      </c>
      <c r="AI880">
        <v>1859.8397496704642</v>
      </c>
      <c r="AJ880">
        <v>6.5015023020110974</v>
      </c>
    </row>
    <row r="881" spans="4:36" x14ac:dyDescent="0.55000000000000004">
      <c r="D881">
        <v>874</v>
      </c>
      <c r="E881">
        <v>11.426469798874683</v>
      </c>
      <c r="F881">
        <v>0.39155260019606192</v>
      </c>
      <c r="G881">
        <v>0.14877236020728671</v>
      </c>
      <c r="H881">
        <v>18.033205240721966</v>
      </c>
      <c r="I881">
        <v>11.598933806941099</v>
      </c>
      <c r="J881">
        <v>0.2615444023721194</v>
      </c>
      <c r="K881">
        <v>9.9102859743478128E-2</v>
      </c>
      <c r="L881">
        <v>18.040418930943318</v>
      </c>
      <c r="M881">
        <v>11.506268441104979</v>
      </c>
      <c r="N881">
        <v>0.33141928687819944</v>
      </c>
      <c r="O881">
        <v>0.12576416289278619</v>
      </c>
      <c r="P881">
        <v>18.036548109124041</v>
      </c>
      <c r="Q881">
        <v>11.491228099935421</v>
      </c>
      <c r="R881">
        <v>0.3427559287241928</v>
      </c>
      <c r="S881">
        <v>0.13009724492426442</v>
      </c>
      <c r="T881">
        <v>18.035918726416121</v>
      </c>
      <c r="U881">
        <v>1463.9566983693421</v>
      </c>
      <c r="V881">
        <v>8.9924897777721462</v>
      </c>
      <c r="W881">
        <v>1241.5654995528721</v>
      </c>
      <c r="X881">
        <v>6.5750464226898835</v>
      </c>
      <c r="Y881">
        <v>2852.4948479091031</v>
      </c>
      <c r="Z881">
        <v>9.0227966501101502</v>
      </c>
      <c r="AA881">
        <v>2704.8484502269798</v>
      </c>
      <c r="AB881">
        <v>6.5933780746870205</v>
      </c>
      <c r="AC881">
        <v>2192.8163636198124</v>
      </c>
      <c r="AD881">
        <v>9.0065095399251138</v>
      </c>
      <c r="AE881">
        <v>2005.0137355846803</v>
      </c>
      <c r="AF881">
        <v>6.5835346035753437</v>
      </c>
      <c r="AG881">
        <v>2052.4498732753909</v>
      </c>
      <c r="AH881">
        <v>9.0038666973714658</v>
      </c>
      <c r="AI881">
        <v>1860.8925383601577</v>
      </c>
      <c r="AJ881">
        <v>6.5819355803497004</v>
      </c>
    </row>
    <row r="882" spans="4:36" x14ac:dyDescent="0.55000000000000004">
      <c r="D882">
        <v>875</v>
      </c>
      <c r="E882">
        <v>12.96539995451425</v>
      </c>
      <c r="F882">
        <v>0.41201369149769163</v>
      </c>
      <c r="G882">
        <v>0.17394379136513802</v>
      </c>
      <c r="H882">
        <v>16.448642562622911</v>
      </c>
      <c r="I882">
        <v>13.15252184590766</v>
      </c>
      <c r="J882">
        <v>0.28905505987167823</v>
      </c>
      <c r="K882">
        <v>0.12168296517139324</v>
      </c>
      <c r="L882">
        <v>16.436740129049259</v>
      </c>
      <c r="M882">
        <v>13.081991238488914</v>
      </c>
      <c r="N882">
        <v>0.33542880440622214</v>
      </c>
      <c r="O882">
        <v>0.14135729051055854</v>
      </c>
      <c r="P882">
        <v>16.441222666594303</v>
      </c>
      <c r="Q882">
        <v>13.02283832527697</v>
      </c>
      <c r="R882">
        <v>0.37429588464039465</v>
      </c>
      <c r="S882">
        <v>0.15788018084855415</v>
      </c>
      <c r="T882">
        <v>16.444985609234077</v>
      </c>
      <c r="U882">
        <v>1546.7494805680553</v>
      </c>
      <c r="V882">
        <v>10.218209199685981</v>
      </c>
      <c r="W882">
        <v>1287.2061431788886</v>
      </c>
      <c r="X882">
        <v>7.2919793194481546</v>
      </c>
      <c r="Y882">
        <v>2902.4641111162769</v>
      </c>
      <c r="Z882">
        <v>10.260525360219765</v>
      </c>
      <c r="AA882">
        <v>2730.3718669141699</v>
      </c>
      <c r="AB882">
        <v>7.3160315088130705</v>
      </c>
      <c r="AC882">
        <v>2260.1037623759553</v>
      </c>
      <c r="AD882">
        <v>10.244577626563046</v>
      </c>
      <c r="AE882">
        <v>2042.6971329564383</v>
      </c>
      <c r="AF882">
        <v>7.3069745193563911</v>
      </c>
      <c r="AG882">
        <v>2150.7204492354826</v>
      </c>
      <c r="AH882">
        <v>10.231200450060536</v>
      </c>
      <c r="AI882">
        <v>1918.4393539842408</v>
      </c>
      <c r="AJ882">
        <v>7.2993703370362386</v>
      </c>
    </row>
    <row r="883" spans="4:36" x14ac:dyDescent="0.55000000000000004">
      <c r="D883">
        <v>876</v>
      </c>
      <c r="E883">
        <v>13.250235263378064</v>
      </c>
      <c r="F883">
        <v>0.43303455929773982</v>
      </c>
      <c r="G883">
        <v>0.13789013264718461</v>
      </c>
      <c r="H883">
        <v>16.178840044677003</v>
      </c>
      <c r="I883">
        <v>13.442319936487326</v>
      </c>
      <c r="J883">
        <v>0.29953527947307174</v>
      </c>
      <c r="K883">
        <v>9.512924138030783E-2</v>
      </c>
      <c r="L883">
        <v>16.163015542659302</v>
      </c>
      <c r="M883">
        <v>13.336603551484169</v>
      </c>
      <c r="N883">
        <v>0.3730365154617114</v>
      </c>
      <c r="O883">
        <v>0.11864395747815633</v>
      </c>
      <c r="P883">
        <v>16.171715975575971</v>
      </c>
      <c r="Q883">
        <v>13.34664267559253</v>
      </c>
      <c r="R883">
        <v>0.36605957946650208</v>
      </c>
      <c r="S883">
        <v>0.11640890875931854</v>
      </c>
      <c r="T883">
        <v>16.170888836181657</v>
      </c>
      <c r="U883">
        <v>1544.0886854460077</v>
      </c>
      <c r="V883">
        <v>10.429854092325874</v>
      </c>
      <c r="W883">
        <v>1287.3923601128527</v>
      </c>
      <c r="X883">
        <v>7.4139053705348701</v>
      </c>
      <c r="Y883">
        <v>2921.0725319532098</v>
      </c>
      <c r="Z883">
        <v>10.47385237833987</v>
      </c>
      <c r="AA883">
        <v>2745.5056571622081</v>
      </c>
      <c r="AB883">
        <v>7.4384778895158368</v>
      </c>
      <c r="AC883">
        <v>2261.9032245106068</v>
      </c>
      <c r="AD883">
        <v>10.449642729659097</v>
      </c>
      <c r="AE883">
        <v>2044.2695279026429</v>
      </c>
      <c r="AF883">
        <v>7.4249645771631201</v>
      </c>
      <c r="AG883">
        <v>2120.2777724984194</v>
      </c>
      <c r="AH883">
        <v>10.451942311807921</v>
      </c>
      <c r="AI883">
        <v>1900.4247152100113</v>
      </c>
      <c r="AJ883">
        <v>7.426248939559752</v>
      </c>
    </row>
    <row r="884" spans="4:36" x14ac:dyDescent="0.55000000000000004">
      <c r="D884">
        <v>877</v>
      </c>
      <c r="E884">
        <v>12.141035564054334</v>
      </c>
      <c r="F884">
        <v>0.42649325991187997</v>
      </c>
      <c r="G884">
        <v>0.15105291675933274</v>
      </c>
      <c r="H884">
        <v>17.28141825927446</v>
      </c>
      <c r="I884">
        <v>12.321744846535873</v>
      </c>
      <c r="J884">
        <v>0.29141163574806817</v>
      </c>
      <c r="K884">
        <v>0.10292750825615674</v>
      </c>
      <c r="L884">
        <v>17.283916009459915</v>
      </c>
      <c r="M884">
        <v>12.257485046251828</v>
      </c>
      <c r="N884">
        <v>0.33946743964225268</v>
      </c>
      <c r="O884">
        <v>0.12001762990583559</v>
      </c>
      <c r="P884">
        <v>17.283029884200076</v>
      </c>
      <c r="Q884">
        <v>12.210715498050483</v>
      </c>
      <c r="R884">
        <v>0.3744288007274415</v>
      </c>
      <c r="S884">
        <v>0.13247218762162788</v>
      </c>
      <c r="T884">
        <v>17.282383513600454</v>
      </c>
      <c r="U884">
        <v>1523.8107238190516</v>
      </c>
      <c r="V884">
        <v>9.6255648977910848</v>
      </c>
      <c r="W884">
        <v>1277.1919275198043</v>
      </c>
      <c r="X884">
        <v>6.9550038175920905</v>
      </c>
      <c r="Y884">
        <v>2880.436378310927</v>
      </c>
      <c r="Z884">
        <v>9.659833426880466</v>
      </c>
      <c r="AA884">
        <v>2719.3506501108677</v>
      </c>
      <c r="AB884">
        <v>6.9751578743832168</v>
      </c>
      <c r="AC884">
        <v>2196.7373129824014</v>
      </c>
      <c r="AD884">
        <v>9.647646521725818</v>
      </c>
      <c r="AE884">
        <v>2002.9110494840684</v>
      </c>
      <c r="AF884">
        <v>6.967997775763231</v>
      </c>
      <c r="AG884">
        <v>2072.6793417355693</v>
      </c>
      <c r="AH884">
        <v>9.6387774102594523</v>
      </c>
      <c r="AI884">
        <v>1868.6880674975439</v>
      </c>
      <c r="AJ884">
        <v>6.9627819247212717</v>
      </c>
    </row>
    <row r="885" spans="4:36" x14ac:dyDescent="0.55000000000000004">
      <c r="D885">
        <v>878</v>
      </c>
      <c r="E885">
        <v>11.995375579399495</v>
      </c>
      <c r="F885">
        <v>0.44721157496410213</v>
      </c>
      <c r="G885">
        <v>0.16308824875425959</v>
      </c>
      <c r="H885">
        <v>17.394324596882154</v>
      </c>
      <c r="I885">
        <v>12.216605387907331</v>
      </c>
      <c r="J885">
        <v>0.27857637712110678</v>
      </c>
      <c r="K885">
        <v>0.10125060223666738</v>
      </c>
      <c r="L885">
        <v>17.403567632734909</v>
      </c>
      <c r="M885">
        <v>12.12026839554396</v>
      </c>
      <c r="N885">
        <v>0.35204302096752782</v>
      </c>
      <c r="O885">
        <v>0.12813877423886663</v>
      </c>
      <c r="P885">
        <v>17.399549809249628</v>
      </c>
      <c r="Q885">
        <v>12.072180950602538</v>
      </c>
      <c r="R885">
        <v>0.38869579145188327</v>
      </c>
      <c r="S885">
        <v>0.14158309983470327</v>
      </c>
      <c r="T885">
        <v>17.397540158110889</v>
      </c>
      <c r="U885">
        <v>1520.7524396917331</v>
      </c>
      <c r="V885">
        <v>9.5443650772898501</v>
      </c>
      <c r="W885">
        <v>1270.5471780695973</v>
      </c>
      <c r="X885">
        <v>6.9075132574921181</v>
      </c>
      <c r="Y885">
        <v>2894.7625894963585</v>
      </c>
      <c r="Z885">
        <v>9.5791408727757243</v>
      </c>
      <c r="AA885">
        <v>2729.1185334834986</v>
      </c>
      <c r="AB885">
        <v>6.9282598629390648</v>
      </c>
      <c r="AC885">
        <v>2223.5390404018731</v>
      </c>
      <c r="AD885">
        <v>9.5639935773475102</v>
      </c>
      <c r="AE885">
        <v>2019.2316232552284</v>
      </c>
      <c r="AF885">
        <v>6.9192338352611262</v>
      </c>
      <c r="AG885">
        <v>2138.7805471679976</v>
      </c>
      <c r="AH885">
        <v>9.5564348522941689</v>
      </c>
      <c r="AI885">
        <v>1913.2267346070205</v>
      </c>
      <c r="AJ885">
        <v>6.9147236348240479</v>
      </c>
    </row>
    <row r="886" spans="4:36" x14ac:dyDescent="0.55000000000000004">
      <c r="D886">
        <v>879</v>
      </c>
      <c r="E886">
        <v>11.437434523803093</v>
      </c>
      <c r="F886">
        <v>0.43360231344698991</v>
      </c>
      <c r="G886">
        <v>0.14670620137098475</v>
      </c>
      <c r="H886">
        <v>17.982256961378926</v>
      </c>
      <c r="I886">
        <v>11.608662487654447</v>
      </c>
      <c r="J886">
        <v>0.28597418558788501</v>
      </c>
      <c r="K886">
        <v>9.6500116648149101E-2</v>
      </c>
      <c r="L886">
        <v>18.008863210109521</v>
      </c>
      <c r="M886">
        <v>11.503195343590264</v>
      </c>
      <c r="N886">
        <v>0.3769172430918214</v>
      </c>
      <c r="O886">
        <v>0.12739645164974819</v>
      </c>
      <c r="P886">
        <v>17.992490961668164</v>
      </c>
      <c r="Q886">
        <v>11.470143974434</v>
      </c>
      <c r="R886">
        <v>0.40540904482270801</v>
      </c>
      <c r="S886">
        <v>0.13709715394538141</v>
      </c>
      <c r="T886">
        <v>17.987349826797924</v>
      </c>
      <c r="U886">
        <v>1501.6372095867821</v>
      </c>
      <c r="V886">
        <v>9.1208413097099257</v>
      </c>
      <c r="W886">
        <v>1263.9849812257964</v>
      </c>
      <c r="X886">
        <v>6.6606482303710219</v>
      </c>
      <c r="Y886">
        <v>2852.0091873729234</v>
      </c>
      <c r="Z886">
        <v>9.1371043569265655</v>
      </c>
      <c r="AA886">
        <v>2701.3184398973021</v>
      </c>
      <c r="AB886">
        <v>6.6715756867093745</v>
      </c>
      <c r="AC886">
        <v>2187.1096622823043</v>
      </c>
      <c r="AD886">
        <v>9.1270777829651593</v>
      </c>
      <c r="AE886">
        <v>1995.482914329451</v>
      </c>
      <c r="AF886">
        <v>6.6648457554417462</v>
      </c>
      <c r="AG886">
        <v>2090.6117850835535</v>
      </c>
      <c r="AH886">
        <v>9.1239418566124755</v>
      </c>
      <c r="AI886">
        <v>1882.0796849407693</v>
      </c>
      <c r="AJ886">
        <v>6.6627362049037497</v>
      </c>
    </row>
    <row r="887" spans="4:36" x14ac:dyDescent="0.55000000000000004">
      <c r="D887">
        <v>880</v>
      </c>
      <c r="E887">
        <v>12.23252551085921</v>
      </c>
      <c r="F887">
        <v>0.4507279179458934</v>
      </c>
      <c r="G887">
        <v>0.14215305273098178</v>
      </c>
      <c r="H887">
        <v>17.174593518463919</v>
      </c>
      <c r="I887">
        <v>12.457014762045519</v>
      </c>
      <c r="J887">
        <v>0.28112410653836095</v>
      </c>
      <c r="K887">
        <v>8.8383668963304865E-2</v>
      </c>
      <c r="L887">
        <v>17.173477462452798</v>
      </c>
      <c r="M887">
        <v>12.37958293636987</v>
      </c>
      <c r="N887">
        <v>0.33965572452326315</v>
      </c>
      <c r="O887">
        <v>0.10690115504403569</v>
      </c>
      <c r="P887">
        <v>17.173860184062839</v>
      </c>
      <c r="Q887">
        <v>12.332050161270612</v>
      </c>
      <c r="R887">
        <v>0.37557012790253064</v>
      </c>
      <c r="S887">
        <v>0.1182834276275687</v>
      </c>
      <c r="T887">
        <v>17.174096283199301</v>
      </c>
      <c r="U887">
        <v>1532.4180981938243</v>
      </c>
      <c r="V887">
        <v>9.6648322205634134</v>
      </c>
      <c r="W887">
        <v>1284.1362458256599</v>
      </c>
      <c r="X887">
        <v>6.9730914338929368</v>
      </c>
      <c r="Y887">
        <v>2889.6056984873435</v>
      </c>
      <c r="Z887">
        <v>9.7098282669911402</v>
      </c>
      <c r="AA887">
        <v>2728.4112823954833</v>
      </c>
      <c r="AB887">
        <v>6.9991695281378439</v>
      </c>
      <c r="AC887">
        <v>2187.8335911144068</v>
      </c>
      <c r="AD887">
        <v>9.6943095121571208</v>
      </c>
      <c r="AE887">
        <v>1998.3618137924045</v>
      </c>
      <c r="AF887">
        <v>6.9901860166092282</v>
      </c>
      <c r="AG887">
        <v>2093.0919838653949</v>
      </c>
      <c r="AH887">
        <v>9.6847823055130391</v>
      </c>
      <c r="AI887">
        <v>1885.5781739608717</v>
      </c>
      <c r="AJ887">
        <v>6.9846653936116425</v>
      </c>
    </row>
    <row r="888" spans="4:36" x14ac:dyDescent="0.55000000000000004">
      <c r="D888">
        <v>881</v>
      </c>
      <c r="E888">
        <v>11.723610315997041</v>
      </c>
      <c r="F888">
        <v>0.45245997561544893</v>
      </c>
      <c r="G888">
        <v>0.18929923528638487</v>
      </c>
      <c r="H888">
        <v>17.634630473101129</v>
      </c>
      <c r="I888">
        <v>11.922166841722801</v>
      </c>
      <c r="J888">
        <v>0.29005492188292598</v>
      </c>
      <c r="K888">
        <v>0.12098691595042697</v>
      </c>
      <c r="L888">
        <v>17.666791320443846</v>
      </c>
      <c r="M888">
        <v>11.827489768401604</v>
      </c>
      <c r="N888">
        <v>0.36751565122892249</v>
      </c>
      <c r="O888">
        <v>0.15351707159932793</v>
      </c>
      <c r="P888">
        <v>17.651477508770142</v>
      </c>
      <c r="Q888">
        <v>11.827216375851226</v>
      </c>
      <c r="R888">
        <v>0.36773927240557486</v>
      </c>
      <c r="S888">
        <v>0.15361111972228705</v>
      </c>
      <c r="T888">
        <v>17.651433232020928</v>
      </c>
      <c r="U888">
        <v>1577.23748710671</v>
      </c>
      <c r="V888">
        <v>9.2601724936409795</v>
      </c>
      <c r="W888">
        <v>1312.475435564472</v>
      </c>
      <c r="X888">
        <v>6.7252844487043424</v>
      </c>
      <c r="Y888">
        <v>2881.1850110806536</v>
      </c>
      <c r="Z888">
        <v>9.2768505077598018</v>
      </c>
      <c r="AA888">
        <v>2718.9371088564367</v>
      </c>
      <c r="AB888">
        <v>6.7365310019642077</v>
      </c>
      <c r="AC888">
        <v>2214.4329359259373</v>
      </c>
      <c r="AD888">
        <v>9.2688856036007294</v>
      </c>
      <c r="AE888">
        <v>2012.0728616050492</v>
      </c>
      <c r="AF888">
        <v>6.7311689171009093</v>
      </c>
      <c r="AG888">
        <v>2104.1613401516006</v>
      </c>
      <c r="AH888">
        <v>9.268862636427782</v>
      </c>
      <c r="AI888">
        <v>1890.8369429433683</v>
      </c>
      <c r="AJ888">
        <v>6.7311534318756481</v>
      </c>
    </row>
    <row r="889" spans="4:36" x14ac:dyDescent="0.55000000000000004">
      <c r="D889">
        <v>882</v>
      </c>
      <c r="E889">
        <v>13.06245035681637</v>
      </c>
      <c r="F889">
        <v>0.49873708123277805</v>
      </c>
      <c r="G889">
        <v>0.15259180444714518</v>
      </c>
      <c r="H889">
        <v>16.286220757503699</v>
      </c>
      <c r="I889">
        <v>13.284262513033777</v>
      </c>
      <c r="J889">
        <v>0.32780874636912471</v>
      </c>
      <c r="K889">
        <v>9.9993041028437979E-2</v>
      </c>
      <c r="L889">
        <v>16.287935699568663</v>
      </c>
      <c r="M889">
        <v>13.221271968812964</v>
      </c>
      <c r="N889">
        <v>0.37637417681365248</v>
      </c>
      <c r="O889">
        <v>0.11490509520611535</v>
      </c>
      <c r="P889">
        <v>16.287448759167255</v>
      </c>
      <c r="Q889">
        <v>13.143804782461475</v>
      </c>
      <c r="R889">
        <v>0.43607397828859812</v>
      </c>
      <c r="S889">
        <v>0.13327140880922889</v>
      </c>
      <c r="T889">
        <v>16.286849830440705</v>
      </c>
      <c r="U889">
        <v>1611.1718963945486</v>
      </c>
      <c r="V889">
        <v>10.355627606964683</v>
      </c>
      <c r="W889">
        <v>1329.1995344577977</v>
      </c>
      <c r="X889">
        <v>7.3729608758094134</v>
      </c>
      <c r="Y889">
        <v>2936.0950078959577</v>
      </c>
      <c r="Z889">
        <v>10.396725793086613</v>
      </c>
      <c r="AA889">
        <v>2753.1337473740864</v>
      </c>
      <c r="AB889">
        <v>7.3966839801545676</v>
      </c>
      <c r="AC889">
        <v>2233.4645711509152</v>
      </c>
      <c r="AD889">
        <v>10.385054190826128</v>
      </c>
      <c r="AE889">
        <v>2022.3407642962645</v>
      </c>
      <c r="AF889">
        <v>7.389954869474912</v>
      </c>
      <c r="AG889">
        <v>2141.7468221726217</v>
      </c>
      <c r="AH889">
        <v>10.37070071178322</v>
      </c>
      <c r="AI889">
        <v>1909.4342451774362</v>
      </c>
      <c r="AJ889">
        <v>7.3816707933748367</v>
      </c>
    </row>
    <row r="890" spans="4:36" x14ac:dyDescent="0.55000000000000004">
      <c r="D890">
        <v>883</v>
      </c>
      <c r="E890">
        <v>12.837463434215847</v>
      </c>
      <c r="F890">
        <v>0.47263806826641386</v>
      </c>
      <c r="G890">
        <v>0.18024068748750766</v>
      </c>
      <c r="H890">
        <v>16.50965781003023</v>
      </c>
      <c r="I890">
        <v>13.035284626873882</v>
      </c>
      <c r="J890">
        <v>0.32008974562050208</v>
      </c>
      <c r="K890">
        <v>0.12170798486598627</v>
      </c>
      <c r="L890">
        <v>16.52291764263963</v>
      </c>
      <c r="M890">
        <v>12.971357354370971</v>
      </c>
      <c r="N890">
        <v>0.36940834002847528</v>
      </c>
      <c r="O890">
        <v>0.14059336053761301</v>
      </c>
      <c r="P890">
        <v>16.518640945062927</v>
      </c>
      <c r="Q890">
        <v>12.87989365974696</v>
      </c>
      <c r="R890">
        <v>0.43993498189372332</v>
      </c>
      <c r="S890">
        <v>0.16766305317457217</v>
      </c>
      <c r="T890">
        <v>16.512508305184745</v>
      </c>
      <c r="U890">
        <v>1567.6694144798473</v>
      </c>
      <c r="V890">
        <v>10.227203320049174</v>
      </c>
      <c r="W890">
        <v>1298.7465559900938</v>
      </c>
      <c r="X890">
        <v>7.3046754136973959</v>
      </c>
      <c r="Y890">
        <v>2921.5595447435508</v>
      </c>
      <c r="Z890">
        <v>10.259119250192532</v>
      </c>
      <c r="AA890">
        <v>2742.5205733235794</v>
      </c>
      <c r="AB890">
        <v>7.3236878388373903</v>
      </c>
      <c r="AC890">
        <v>2252.8677326389907</v>
      </c>
      <c r="AD890">
        <v>10.248800949013365</v>
      </c>
      <c r="AE890">
        <v>2035.9175133295817</v>
      </c>
      <c r="AF890">
        <v>7.3175486089355992</v>
      </c>
      <c r="AG890">
        <v>2165.1958672141855</v>
      </c>
      <c r="AH890">
        <v>10.234045456150634</v>
      </c>
      <c r="AI890">
        <v>1924.8086420872887</v>
      </c>
      <c r="AJ890">
        <v>7.308757032743511</v>
      </c>
    </row>
    <row r="891" spans="4:36" x14ac:dyDescent="0.55000000000000004">
      <c r="D891">
        <v>884</v>
      </c>
      <c r="E891">
        <v>13.547550103886389</v>
      </c>
      <c r="F891">
        <v>0.48277082418577238</v>
      </c>
      <c r="G891">
        <v>0.16487246884213588</v>
      </c>
      <c r="H891">
        <v>15.804806603085687</v>
      </c>
      <c r="I891">
        <v>13.785327239809932</v>
      </c>
      <c r="J891">
        <v>0.32128529637155007</v>
      </c>
      <c r="K891">
        <v>0.10938297883877837</v>
      </c>
      <c r="L891">
        <v>15.784004484979731</v>
      </c>
      <c r="M891">
        <v>13.691824754457228</v>
      </c>
      <c r="N891">
        <v>0.38482959399288491</v>
      </c>
      <c r="O891">
        <v>0.13117624375886358</v>
      </c>
      <c r="P891">
        <v>15.792169407791011</v>
      </c>
      <c r="Q891">
        <v>13.628234326189588</v>
      </c>
      <c r="R891">
        <v>0.42801433967517244</v>
      </c>
      <c r="S891">
        <v>0.14601778299605214</v>
      </c>
      <c r="T891">
        <v>15.797733551139183</v>
      </c>
      <c r="U891">
        <v>1604.3347076867317</v>
      </c>
      <c r="V891">
        <v>10.676439470697229</v>
      </c>
      <c r="W891">
        <v>1320.7496722457106</v>
      </c>
      <c r="X891">
        <v>7.5512914613607043</v>
      </c>
      <c r="Y891">
        <v>2950.1095131356751</v>
      </c>
      <c r="Z891">
        <v>10.731160737454626</v>
      </c>
      <c r="AA891">
        <v>2760.4417466352984</v>
      </c>
      <c r="AB891">
        <v>7.5816492100293926</v>
      </c>
      <c r="AC891">
        <v>2273.8994291187055</v>
      </c>
      <c r="AD891">
        <v>10.709651096591857</v>
      </c>
      <c r="AE891">
        <v>2046.868408969138</v>
      </c>
      <c r="AF891">
        <v>7.5697267109660586</v>
      </c>
      <c r="AG891">
        <v>2177.1203073520232</v>
      </c>
      <c r="AH891">
        <v>10.695016092245679</v>
      </c>
      <c r="AI891">
        <v>1931.2733901437095</v>
      </c>
      <c r="AJ891">
        <v>7.5616070398239668</v>
      </c>
    </row>
    <row r="892" spans="4:36" x14ac:dyDescent="0.55000000000000004">
      <c r="D892">
        <v>885</v>
      </c>
      <c r="E892">
        <v>14.001450003702738</v>
      </c>
      <c r="F892">
        <v>0.42870128666504886</v>
      </c>
      <c r="G892">
        <v>0.14891610644679457</v>
      </c>
      <c r="H892">
        <v>15.420932603185401</v>
      </c>
      <c r="I892">
        <v>14.2304426686048</v>
      </c>
      <c r="J892">
        <v>0.28855383763997727</v>
      </c>
      <c r="K892">
        <v>9.9924714723908584E-2</v>
      </c>
      <c r="L892">
        <v>15.381078779031316</v>
      </c>
      <c r="M892">
        <v>14.121902726474316</v>
      </c>
      <c r="N892">
        <v>0.35502748843199644</v>
      </c>
      <c r="O892">
        <v>0.1231235889833797</v>
      </c>
      <c r="P892">
        <v>15.399946196110303</v>
      </c>
      <c r="Q892">
        <v>14.090007129448018</v>
      </c>
      <c r="R892">
        <v>0.37454597667898015</v>
      </c>
      <c r="S892">
        <v>0.12994850615693596</v>
      </c>
      <c r="T892">
        <v>15.405498387716074</v>
      </c>
      <c r="U892">
        <v>1565.3106776740099</v>
      </c>
      <c r="V892">
        <v>11.049501218335761</v>
      </c>
      <c r="W892">
        <v>1296.080170292305</v>
      </c>
      <c r="X892">
        <v>7.7742876494167037</v>
      </c>
      <c r="Y892">
        <v>2912.2527183969564</v>
      </c>
      <c r="Z892">
        <v>11.115574724555719</v>
      </c>
      <c r="AA892">
        <v>2735.4965632647982</v>
      </c>
      <c r="AB892">
        <v>7.8103834667808192</v>
      </c>
      <c r="AC892">
        <v>2275.958297825051</v>
      </c>
      <c r="AD892">
        <v>11.084269760894802</v>
      </c>
      <c r="AE892">
        <v>2049.7886318934543</v>
      </c>
      <c r="AF892">
        <v>7.7932930329242254</v>
      </c>
      <c r="AG892">
        <v>2165.6137533274746</v>
      </c>
      <c r="AH892">
        <v>11.075065983841135</v>
      </c>
      <c r="AI892">
        <v>1926.2152640139418</v>
      </c>
      <c r="AJ892">
        <v>7.7882644884964201</v>
      </c>
    </row>
    <row r="893" spans="4:36" x14ac:dyDescent="0.55000000000000004">
      <c r="D893">
        <v>886</v>
      </c>
      <c r="E893">
        <v>12.950033858999911</v>
      </c>
      <c r="F893">
        <v>0.47499495102977979</v>
      </c>
      <c r="G893">
        <v>0.18248715041512675</v>
      </c>
      <c r="H893">
        <v>16.392484039555196</v>
      </c>
      <c r="I893">
        <v>13.176794215267154</v>
      </c>
      <c r="J893">
        <v>0.31006414210104799</v>
      </c>
      <c r="K893">
        <v>0.11873043376694266</v>
      </c>
      <c r="L893">
        <v>16.394411208864856</v>
      </c>
      <c r="M893">
        <v>13.084809820530802</v>
      </c>
      <c r="N893">
        <v>0.3770032810083922</v>
      </c>
      <c r="O893">
        <v>0.1445553983035972</v>
      </c>
      <c r="P893">
        <v>16.393631500157209</v>
      </c>
      <c r="Q893">
        <v>13.035088342028937</v>
      </c>
      <c r="R893">
        <v>0.41316653749486859</v>
      </c>
      <c r="S893">
        <v>0.15853624091961291</v>
      </c>
      <c r="T893">
        <v>16.393208879556585</v>
      </c>
      <c r="U893">
        <v>1596.6961520522905</v>
      </c>
      <c r="V893">
        <v>10.237814957193285</v>
      </c>
      <c r="W893">
        <v>1316.0614701356521</v>
      </c>
      <c r="X893">
        <v>7.3000469778859243</v>
      </c>
      <c r="Y893">
        <v>2952.8597898461594</v>
      </c>
      <c r="Z893">
        <v>10.278674269635882</v>
      </c>
      <c r="AA893">
        <v>2763.5159915109857</v>
      </c>
      <c r="AB893">
        <v>7.3237105544719441</v>
      </c>
      <c r="AC893">
        <v>2292.0260995020458</v>
      </c>
      <c r="AD893">
        <v>10.262098691792644</v>
      </c>
      <c r="AE893">
        <v>2060.6880257616344</v>
      </c>
      <c r="AF893">
        <v>7.3141209265478881</v>
      </c>
      <c r="AG893">
        <v>2165.8179280451914</v>
      </c>
      <c r="AH893">
        <v>10.253139548092367</v>
      </c>
      <c r="AI893">
        <v>1924.4343192394579</v>
      </c>
      <c r="AJ893">
        <v>7.3089320010143117</v>
      </c>
    </row>
    <row r="894" spans="4:36" x14ac:dyDescent="0.55000000000000004">
      <c r="D894">
        <v>887</v>
      </c>
      <c r="E894">
        <v>11.416232435018983</v>
      </c>
      <c r="F894">
        <v>0.42827425801025187</v>
      </c>
      <c r="G894">
        <v>0.13752847790181119</v>
      </c>
      <c r="H894">
        <v>18.017964829068962</v>
      </c>
      <c r="I894">
        <v>11.618663873022486</v>
      </c>
      <c r="J894">
        <v>0.26714624014564681</v>
      </c>
      <c r="K894">
        <v>8.5510104722211155E-2</v>
      </c>
      <c r="L894">
        <v>18.028679782109648</v>
      </c>
      <c r="M894">
        <v>11.515827522127035</v>
      </c>
      <c r="N894">
        <v>0.34902538888561596</v>
      </c>
      <c r="O894">
        <v>0.11190134126303497</v>
      </c>
      <c r="P894">
        <v>18.023245747724321</v>
      </c>
      <c r="Q894">
        <v>11.499239350166597</v>
      </c>
      <c r="R894">
        <v>0.36222817386571388</v>
      </c>
      <c r="S894">
        <v>0.11616505090274568</v>
      </c>
      <c r="T894">
        <v>18.022367425064939</v>
      </c>
      <c r="U894">
        <v>1411.6539128488723</v>
      </c>
      <c r="V894">
        <v>8.9236598205838149</v>
      </c>
      <c r="W894">
        <v>1203.4476645119319</v>
      </c>
      <c r="X894">
        <v>6.5225476996018221</v>
      </c>
      <c r="Y894">
        <v>2836.6006598528534</v>
      </c>
      <c r="Z894">
        <v>8.9552590911360603</v>
      </c>
      <c r="AA894">
        <v>2694.8524923341365</v>
      </c>
      <c r="AB894">
        <v>6.54182102046442</v>
      </c>
      <c r="AC894">
        <v>2160.0384479151016</v>
      </c>
      <c r="AD894">
        <v>8.9392010682771339</v>
      </c>
      <c r="AE894">
        <v>1982.2401872510691</v>
      </c>
      <c r="AF894">
        <v>6.5320371943843512</v>
      </c>
      <c r="AG894">
        <v>2070.6181960116041</v>
      </c>
      <c r="AH894">
        <v>8.9366118471953371</v>
      </c>
      <c r="AI894">
        <v>1875.5280807704032</v>
      </c>
      <c r="AJ894">
        <v>6.5304576258451652</v>
      </c>
    </row>
    <row r="895" spans="4:36" x14ac:dyDescent="0.55000000000000004">
      <c r="D895">
        <v>888</v>
      </c>
      <c r="E895">
        <v>12.439240049146898</v>
      </c>
      <c r="F895">
        <v>0.44051492706881001</v>
      </c>
      <c r="G895">
        <v>0.164564220307895</v>
      </c>
      <c r="H895">
        <v>16.955680803476376</v>
      </c>
      <c r="I895">
        <v>12.629427905832637</v>
      </c>
      <c r="J895">
        <v>0.2968623774300076</v>
      </c>
      <c r="K895">
        <v>0.11059021440206634</v>
      </c>
      <c r="L895">
        <v>16.963119502335299</v>
      </c>
      <c r="M895">
        <v>12.562191866837336</v>
      </c>
      <c r="N895">
        <v>0.3476694547139193</v>
      </c>
      <c r="O895">
        <v>0.12964484412876623</v>
      </c>
      <c r="P895">
        <v>16.96049383431998</v>
      </c>
      <c r="Q895">
        <v>12.49721858179487</v>
      </c>
      <c r="R895">
        <v>0.39674344729668193</v>
      </c>
      <c r="S895">
        <v>0.14808568433780364</v>
      </c>
      <c r="T895">
        <v>16.957952286570649</v>
      </c>
      <c r="U895">
        <v>1542.5039003096804</v>
      </c>
      <c r="V895">
        <v>9.8110540287665273</v>
      </c>
      <c r="W895">
        <v>1289.5530285158782</v>
      </c>
      <c r="X895">
        <v>7.0520648458342095</v>
      </c>
      <c r="Y895">
        <v>2883.0625323900713</v>
      </c>
      <c r="Z895">
        <v>9.8397633827427526</v>
      </c>
      <c r="AA895">
        <v>2720.8589392108297</v>
      </c>
      <c r="AB895">
        <v>7.0690088321667686</v>
      </c>
      <c r="AC895">
        <v>2186.6467478655572</v>
      </c>
      <c r="AD895">
        <v>9.8296119708639047</v>
      </c>
      <c r="AE895">
        <v>1994.9425516282365</v>
      </c>
      <c r="AF895">
        <v>7.0630239848961756</v>
      </c>
      <c r="AG895">
        <v>2083.3114076709635</v>
      </c>
      <c r="AH895">
        <v>9.819804221385148</v>
      </c>
      <c r="AI895">
        <v>1874.7709394211336</v>
      </c>
      <c r="AJ895">
        <v>7.0572350957834082</v>
      </c>
    </row>
    <row r="896" spans="4:36" x14ac:dyDescent="0.55000000000000004">
      <c r="D896">
        <v>889</v>
      </c>
      <c r="E896">
        <v>12.001388987395009</v>
      </c>
      <c r="F896">
        <v>0.45347419182233367</v>
      </c>
      <c r="G896">
        <v>0.15837270399950074</v>
      </c>
      <c r="H896">
        <v>17.386764116783141</v>
      </c>
      <c r="I896">
        <v>12.214876933545934</v>
      </c>
      <c r="J896">
        <v>0.28899957226819878</v>
      </c>
      <c r="K896">
        <v>0.10060474223739777</v>
      </c>
      <c r="L896">
        <v>17.395518751948472</v>
      </c>
      <c r="M896">
        <v>12.126816266164292</v>
      </c>
      <c r="N896">
        <v>0.35687202819792657</v>
      </c>
      <c r="O896">
        <v>0.12439744778490433</v>
      </c>
      <c r="P896">
        <v>17.391914257852886</v>
      </c>
      <c r="Q896">
        <v>12.078289830067535</v>
      </c>
      <c r="R896">
        <v>0.39425621639873853</v>
      </c>
      <c r="S896">
        <v>0.13752996392804301</v>
      </c>
      <c r="T896">
        <v>17.389923989605695</v>
      </c>
      <c r="U896">
        <v>1510.5006328559241</v>
      </c>
      <c r="V896">
        <v>9.529972414975358</v>
      </c>
      <c r="W896">
        <v>1267.6820695095864</v>
      </c>
      <c r="X896">
        <v>6.897136897088755</v>
      </c>
      <c r="Y896">
        <v>2882.5363706227481</v>
      </c>
      <c r="Z896">
        <v>9.565801272846711</v>
      </c>
      <c r="AA896">
        <v>2722.5636591328494</v>
      </c>
      <c r="AB896">
        <v>6.9184970584352685</v>
      </c>
      <c r="AC896">
        <v>2203.5642557452097</v>
      </c>
      <c r="AD896">
        <v>9.5510187892481984</v>
      </c>
      <c r="AE896">
        <v>2008.3081106272573</v>
      </c>
      <c r="AF896">
        <v>6.9096944804884339</v>
      </c>
      <c r="AG896">
        <v>2107.2008995084157</v>
      </c>
      <c r="AH896">
        <v>9.5428749544480311</v>
      </c>
      <c r="AI896">
        <v>1894.2082057758016</v>
      </c>
      <c r="AJ896">
        <v>6.9048388709043875</v>
      </c>
    </row>
    <row r="897" spans="4:36" x14ac:dyDescent="0.55000000000000004">
      <c r="D897">
        <v>890</v>
      </c>
      <c r="E897">
        <v>12.89246808728684</v>
      </c>
      <c r="F897">
        <v>0.43790324742485665</v>
      </c>
      <c r="G897">
        <v>0.17495701249018508</v>
      </c>
      <c r="H897">
        <v>16.494671652798107</v>
      </c>
      <c r="I897">
        <v>13.095042228917601</v>
      </c>
      <c r="J897">
        <v>0.29119098386544168</v>
      </c>
      <c r="K897">
        <v>0.11598688615126077</v>
      </c>
      <c r="L897">
        <v>16.497779901065702</v>
      </c>
      <c r="M897">
        <v>12.956365074365737</v>
      </c>
      <c r="N897">
        <v>0.39165230327087874</v>
      </c>
      <c r="O897">
        <v>0.15632733336033872</v>
      </c>
      <c r="P897">
        <v>16.495655289003054</v>
      </c>
      <c r="Q897">
        <v>12.914782878471431</v>
      </c>
      <c r="R897">
        <v>0.42175371562448394</v>
      </c>
      <c r="S897">
        <v>0.16844789756954476</v>
      </c>
      <c r="T897">
        <v>16.495015508334536</v>
      </c>
      <c r="U897">
        <v>1546.1121857379314</v>
      </c>
      <c r="V897">
        <v>10.190109919624343</v>
      </c>
      <c r="W897">
        <v>1284.744050907027</v>
      </c>
      <c r="X897">
        <v>7.276165825982166</v>
      </c>
      <c r="Y897">
        <v>2923.1493960197781</v>
      </c>
      <c r="Z897">
        <v>10.227474818156386</v>
      </c>
      <c r="AA897">
        <v>2745.1327102952055</v>
      </c>
      <c r="AB897">
        <v>7.2979309992333592</v>
      </c>
      <c r="AC897">
        <v>2273.130972598171</v>
      </c>
      <c r="AD897">
        <v>10.20189400819466</v>
      </c>
      <c r="AE897">
        <v>2047.5884868948046</v>
      </c>
      <c r="AF897">
        <v>7.2830378110074729</v>
      </c>
      <c r="AG897">
        <v>2172.6470479584445</v>
      </c>
      <c r="AH897">
        <v>10.194225101553293</v>
      </c>
      <c r="AI897">
        <v>1930.4280728761728</v>
      </c>
      <c r="AJ897">
        <v>7.2785664417793301</v>
      </c>
    </row>
    <row r="898" spans="4:36" x14ac:dyDescent="0.55000000000000004">
      <c r="D898">
        <v>891</v>
      </c>
      <c r="E898">
        <v>12.243749558437273</v>
      </c>
      <c r="F898">
        <v>0.45683868557204199</v>
      </c>
      <c r="G898">
        <v>0.19763284598706832</v>
      </c>
      <c r="H898">
        <v>17.101778910003617</v>
      </c>
      <c r="I898">
        <v>12.478713421207535</v>
      </c>
      <c r="J898">
        <v>0.2838832968333807</v>
      </c>
      <c r="K898">
        <v>0.12235757039360563</v>
      </c>
      <c r="L898">
        <v>17.115045711565468</v>
      </c>
      <c r="M898">
        <v>12.401510101960891</v>
      </c>
      <c r="N898">
        <v>0.34074746943586975</v>
      </c>
      <c r="O898">
        <v>0.14704433118843202</v>
      </c>
      <c r="P898">
        <v>17.110698097414804</v>
      </c>
      <c r="Q898">
        <v>12.348678508279482</v>
      </c>
      <c r="R898">
        <v>0.37964078852123728</v>
      </c>
      <c r="S898">
        <v>0.16396422848079087</v>
      </c>
      <c r="T898">
        <v>17.107716474718501</v>
      </c>
      <c r="U898">
        <v>1552.5666308277657</v>
      </c>
      <c r="V898">
        <v>9.7139093063730542</v>
      </c>
      <c r="W898">
        <v>1291.1607574989785</v>
      </c>
      <c r="X898">
        <v>6.9985275240348424</v>
      </c>
      <c r="Y898">
        <v>2895.1785475792499</v>
      </c>
      <c r="Z898">
        <v>9.7479280797478793</v>
      </c>
      <c r="AA898">
        <v>2727.8108686425821</v>
      </c>
      <c r="AB898">
        <v>7.0189822576473473</v>
      </c>
      <c r="AC898">
        <v>2209.2018231754173</v>
      </c>
      <c r="AD898">
        <v>9.7367443727542007</v>
      </c>
      <c r="AE898">
        <v>2008.4347590983682</v>
      </c>
      <c r="AF898">
        <v>7.0122680207704979</v>
      </c>
      <c r="AG898">
        <v>2117.8348283067353</v>
      </c>
      <c r="AH898">
        <v>9.7290945215475535</v>
      </c>
      <c r="AI898">
        <v>1897.2825988562056</v>
      </c>
      <c r="AJ898">
        <v>7.0076695994342151</v>
      </c>
    </row>
    <row r="899" spans="4:36" x14ac:dyDescent="0.55000000000000004">
      <c r="D899">
        <v>892</v>
      </c>
      <c r="E899">
        <v>13.122336934498211</v>
      </c>
      <c r="F899">
        <v>0.46820005587714325</v>
      </c>
      <c r="G899">
        <v>0.1711937605947226</v>
      </c>
      <c r="H899">
        <v>16.238269249029944</v>
      </c>
      <c r="I899">
        <v>13.345372523845519</v>
      </c>
      <c r="J899">
        <v>0.30960729257379221</v>
      </c>
      <c r="K899">
        <v>0.11284718279644293</v>
      </c>
      <c r="L899">
        <v>16.232173000784247</v>
      </c>
      <c r="M899">
        <v>13.255057620204418</v>
      </c>
      <c r="N899">
        <v>0.37386272677363519</v>
      </c>
      <c r="O899">
        <v>0.1364416364714835</v>
      </c>
      <c r="P899">
        <v>16.234638016550441</v>
      </c>
      <c r="Q899">
        <v>13.210025759645863</v>
      </c>
      <c r="R899">
        <v>0.40588300280416928</v>
      </c>
      <c r="S899">
        <v>0.14822233234430651</v>
      </c>
      <c r="T899">
        <v>16.235868905205656</v>
      </c>
      <c r="U899">
        <v>1545.772483414903</v>
      </c>
      <c r="V899">
        <v>10.374831401739236</v>
      </c>
      <c r="W899">
        <v>1282.1374107342056</v>
      </c>
      <c r="X899">
        <v>7.3823756537821303</v>
      </c>
      <c r="Y899">
        <v>2916.850716990507</v>
      </c>
      <c r="Z899">
        <v>10.42098221162289</v>
      </c>
      <c r="AA899">
        <v>2739.114503867012</v>
      </c>
      <c r="AB899">
        <v>7.4086227257011172</v>
      </c>
      <c r="AC899">
        <v>2257.1712836850102</v>
      </c>
      <c r="AD899">
        <v>10.402296639410212</v>
      </c>
      <c r="AE899">
        <v>2037.5621980330252</v>
      </c>
      <c r="AF899">
        <v>7.3980057469147669</v>
      </c>
      <c r="AG899">
        <v>2129.1912768404277</v>
      </c>
      <c r="AH899">
        <v>10.392978568428214</v>
      </c>
      <c r="AI899">
        <v>1900.5721194526548</v>
      </c>
      <c r="AJ899">
        <v>7.3927062585644707</v>
      </c>
    </row>
    <row r="900" spans="4:36" x14ac:dyDescent="0.55000000000000004">
      <c r="D900">
        <v>893</v>
      </c>
      <c r="E900">
        <v>12.522515441286403</v>
      </c>
      <c r="F900">
        <v>0.4318457400755753</v>
      </c>
      <c r="G900">
        <v>0.16930367369471561</v>
      </c>
      <c r="H900">
        <v>16.876335144943315</v>
      </c>
      <c r="I900">
        <v>12.730505756223762</v>
      </c>
      <c r="J900">
        <v>0.27917627334996675</v>
      </c>
      <c r="K900">
        <v>0.10909814355190864</v>
      </c>
      <c r="L900">
        <v>16.881219826874361</v>
      </c>
      <c r="M900">
        <v>12.622356828552849</v>
      </c>
      <c r="N900">
        <v>0.35859106510349792</v>
      </c>
      <c r="O900">
        <v>0.14036643815648109</v>
      </c>
      <c r="P900">
        <v>16.878685668187188</v>
      </c>
      <c r="Q900">
        <v>12.56290688560895</v>
      </c>
      <c r="R900">
        <v>0.40221707118538663</v>
      </c>
      <c r="S900">
        <v>0.15758869474162862</v>
      </c>
      <c r="T900">
        <v>16.87728734846403</v>
      </c>
      <c r="U900">
        <v>1537.952222948818</v>
      </c>
      <c r="V900">
        <v>9.8817938386876598</v>
      </c>
      <c r="W900">
        <v>1283.7075022878919</v>
      </c>
      <c r="X900">
        <v>7.0951207529363334</v>
      </c>
      <c r="Y900">
        <v>2891.5578237609916</v>
      </c>
      <c r="Z900">
        <v>9.917306536865679</v>
      </c>
      <c r="AA900">
        <v>2726.2625728700318</v>
      </c>
      <c r="AB900">
        <v>7.1160082169375638</v>
      </c>
      <c r="AC900">
        <v>2239.9004479549003</v>
      </c>
      <c r="AD900">
        <v>9.8988381360879121</v>
      </c>
      <c r="AE900">
        <v>2029.9949496277879</v>
      </c>
      <c r="AF900">
        <v>7.1051550592144412</v>
      </c>
      <c r="AG900">
        <v>2137.7218662647383</v>
      </c>
      <c r="AH900">
        <v>9.8886885795800517</v>
      </c>
      <c r="AI900">
        <v>1910.8053582566245</v>
      </c>
      <c r="AJ900">
        <v>7.0991819226106232</v>
      </c>
    </row>
    <row r="901" spans="4:36" x14ac:dyDescent="0.55000000000000004">
      <c r="D901">
        <v>894</v>
      </c>
      <c r="E901">
        <v>13.042535221414322</v>
      </c>
      <c r="F901">
        <v>0.48859845937664859</v>
      </c>
      <c r="G901">
        <v>0.19122854387528088</v>
      </c>
      <c r="H901">
        <v>16.277637775333751</v>
      </c>
      <c r="I901">
        <v>13.316993946916204</v>
      </c>
      <c r="J901">
        <v>0.29483757923407905</v>
      </c>
      <c r="K901">
        <v>0.11494335846932489</v>
      </c>
      <c r="L901">
        <v>16.273225115380388</v>
      </c>
      <c r="M901">
        <v>13.191294974662295</v>
      </c>
      <c r="N901">
        <v>0.38363442427864936</v>
      </c>
      <c r="O901">
        <v>0.14982811243572766</v>
      </c>
      <c r="P901">
        <v>16.275242488623327</v>
      </c>
      <c r="Q901">
        <v>13.157683282593482</v>
      </c>
      <c r="R901">
        <v>0.40736241670889856</v>
      </c>
      <c r="S901">
        <v>0.15917135059439105</v>
      </c>
      <c r="T901">
        <v>16.275782950103242</v>
      </c>
      <c r="U901">
        <v>1577.7379516757389</v>
      </c>
      <c r="V901">
        <v>10.244875905375803</v>
      </c>
      <c r="W901">
        <v>1302.9558499917007</v>
      </c>
      <c r="X901">
        <v>7.2945487638056346</v>
      </c>
      <c r="Y901">
        <v>2920.658624924708</v>
      </c>
      <c r="Z901">
        <v>10.298833570072837</v>
      </c>
      <c r="AA901">
        <v>2742.6666189523999</v>
      </c>
      <c r="AB901">
        <v>7.3254084591627482</v>
      </c>
      <c r="AC901">
        <v>2250.772287134208</v>
      </c>
      <c r="AD901">
        <v>10.274123663578143</v>
      </c>
      <c r="AE901">
        <v>2031.8047054613869</v>
      </c>
      <c r="AF901">
        <v>7.3112915415949002</v>
      </c>
      <c r="AG901">
        <v>2143.6873822435796</v>
      </c>
      <c r="AH901">
        <v>10.26751568060728</v>
      </c>
      <c r="AI901">
        <v>1910.3789568907059</v>
      </c>
      <c r="AJ901">
        <v>7.3075120091918757</v>
      </c>
    </row>
    <row r="902" spans="4:36" x14ac:dyDescent="0.55000000000000004">
      <c r="D902">
        <v>895</v>
      </c>
      <c r="E902">
        <v>11.885245875521644</v>
      </c>
      <c r="F902">
        <v>0.4297546231791175</v>
      </c>
      <c r="G902">
        <v>0.15986537149398677</v>
      </c>
      <c r="H902">
        <v>17.525134129805256</v>
      </c>
      <c r="I902">
        <v>12.072619012007783</v>
      </c>
      <c r="J902">
        <v>0.29117157485366074</v>
      </c>
      <c r="K902">
        <v>0.10802124701308492</v>
      </c>
      <c r="L902">
        <v>17.528188166125478</v>
      </c>
      <c r="M902">
        <v>11.996198435531618</v>
      </c>
      <c r="N902">
        <v>0.34771779011341986</v>
      </c>
      <c r="O902">
        <v>0.12914096700741978</v>
      </c>
      <c r="P902">
        <v>17.526942807347549</v>
      </c>
      <c r="Q902">
        <v>11.982327422322452</v>
      </c>
      <c r="R902">
        <v>0.3579777815674256</v>
      </c>
      <c r="S902">
        <v>0.13297806768510345</v>
      </c>
      <c r="T902">
        <v>17.526716728425026</v>
      </c>
      <c r="U902">
        <v>1516.6112985163561</v>
      </c>
      <c r="V902">
        <v>9.3075603159466649</v>
      </c>
      <c r="W902">
        <v>1273.4798265055929</v>
      </c>
      <c r="X902">
        <v>6.7511122228231777</v>
      </c>
      <c r="Y902">
        <v>2898.6827867925599</v>
      </c>
      <c r="Z902">
        <v>9.340796939425978</v>
      </c>
      <c r="AA902">
        <v>2733.7746200838346</v>
      </c>
      <c r="AB902">
        <v>6.7706317287658413</v>
      </c>
      <c r="AC902">
        <v>2196.111887089804</v>
      </c>
      <c r="AD902">
        <v>9.32724129420785</v>
      </c>
      <c r="AE902">
        <v>2003.167525711091</v>
      </c>
      <c r="AF902">
        <v>6.7626783018829153</v>
      </c>
      <c r="AG902">
        <v>2067.6289318026857</v>
      </c>
      <c r="AH902">
        <v>9.3247808258682028</v>
      </c>
      <c r="AI902">
        <v>1867.7611881080666</v>
      </c>
      <c r="AJ902">
        <v>6.7612335598090958</v>
      </c>
    </row>
    <row r="903" spans="4:36" x14ac:dyDescent="0.55000000000000004">
      <c r="D903">
        <v>896</v>
      </c>
      <c r="E903">
        <v>11.218312156628519</v>
      </c>
      <c r="F903">
        <v>0.37585429060349673</v>
      </c>
      <c r="G903">
        <v>0.13221697550168329</v>
      </c>
      <c r="H903">
        <v>18.273616577266299</v>
      </c>
      <c r="I903">
        <v>11.384896726735276</v>
      </c>
      <c r="J903">
        <v>0.24894408921265851</v>
      </c>
      <c r="K903">
        <v>8.7341260913959398E-2</v>
      </c>
      <c r="L903">
        <v>18.278817923138106</v>
      </c>
      <c r="M903">
        <v>11.283055907661298</v>
      </c>
      <c r="N903">
        <v>0.32654867561494372</v>
      </c>
      <c r="O903">
        <v>0.11475379973431708</v>
      </c>
      <c r="P903">
        <v>18.275641616989457</v>
      </c>
      <c r="Q903">
        <v>11.265008096564683</v>
      </c>
      <c r="R903">
        <v>0.34029536939946237</v>
      </c>
      <c r="S903">
        <v>0.11961896038695762</v>
      </c>
      <c r="T903">
        <v>18.27507757364889</v>
      </c>
      <c r="U903">
        <v>1433.7182973074164</v>
      </c>
      <c r="V903">
        <v>8.8227185736564593</v>
      </c>
      <c r="W903">
        <v>1225.6306646933492</v>
      </c>
      <c r="X903">
        <v>6.4755408512491224</v>
      </c>
      <c r="Y903">
        <v>2830.5434120094719</v>
      </c>
      <c r="Z903">
        <v>8.8515961131523966</v>
      </c>
      <c r="AA903">
        <v>2693.0938323015043</v>
      </c>
      <c r="AB903">
        <v>6.4930436812908887</v>
      </c>
      <c r="AC903">
        <v>2131.4159003375612</v>
      </c>
      <c r="AD903">
        <v>8.8339394100801449</v>
      </c>
      <c r="AE903">
        <v>1964.4816859915554</v>
      </c>
      <c r="AF903">
        <v>6.4823491109378359</v>
      </c>
      <c r="AG903">
        <v>2020.8361349956842</v>
      </c>
      <c r="AH903">
        <v>8.8308111914269656</v>
      </c>
      <c r="AI903">
        <v>1842.2847293784293</v>
      </c>
      <c r="AJ903">
        <v>6.4804519921474064</v>
      </c>
    </row>
    <row r="904" spans="4:36" x14ac:dyDescent="0.55000000000000004">
      <c r="D904">
        <v>897</v>
      </c>
      <c r="E904">
        <v>12.603395397087743</v>
      </c>
      <c r="F904">
        <v>0.44767910744243894</v>
      </c>
      <c r="G904">
        <v>0.15467865292395586</v>
      </c>
      <c r="H904">
        <v>16.794246842545878</v>
      </c>
      <c r="I904">
        <v>12.815012519449789</v>
      </c>
      <c r="J904">
        <v>0.29415052698223532</v>
      </c>
      <c r="K904">
        <v>0.10132971196852296</v>
      </c>
      <c r="L904">
        <v>16.789507241599445</v>
      </c>
      <c r="M904">
        <v>12.705599317223392</v>
      </c>
      <c r="N904">
        <v>0.37356287354359646</v>
      </c>
      <c r="O904">
        <v>0.1288839808510559</v>
      </c>
      <c r="P904">
        <v>16.791953828381953</v>
      </c>
      <c r="Q904">
        <v>12.689475008649559</v>
      </c>
      <c r="R904">
        <v>0.38525999880298051</v>
      </c>
      <c r="S904">
        <v>0.1329498968392207</v>
      </c>
      <c r="T904">
        <v>16.792315095708229</v>
      </c>
      <c r="U904">
        <v>1553.7926757004084</v>
      </c>
      <c r="V904">
        <v>9.9731756082792415</v>
      </c>
      <c r="W904">
        <v>1294.1599164049637</v>
      </c>
      <c r="X904">
        <v>7.1524458887173124</v>
      </c>
      <c r="Y904">
        <v>2896.0860796708143</v>
      </c>
      <c r="Z904">
        <v>10.012718039276134</v>
      </c>
      <c r="AA904">
        <v>2728.4756535392917</v>
      </c>
      <c r="AB904">
        <v>7.1751052559026487</v>
      </c>
      <c r="AC904">
        <v>2226.6255145893888</v>
      </c>
      <c r="AD904">
        <v>9.9922756602634895</v>
      </c>
      <c r="AE904">
        <v>2019.4441248892715</v>
      </c>
      <c r="AF904">
        <v>7.1633999276891407</v>
      </c>
      <c r="AG904">
        <v>2120.7051217380481</v>
      </c>
      <c r="AH904">
        <v>9.9892626192083842</v>
      </c>
      <c r="AI904">
        <v>1900.0568704664763</v>
      </c>
      <c r="AJ904">
        <v>7.1616730419075214</v>
      </c>
    </row>
    <row r="905" spans="4:36" x14ac:dyDescent="0.55000000000000004">
      <c r="D905">
        <v>898</v>
      </c>
      <c r="E905">
        <v>13.187836063966277</v>
      </c>
      <c r="F905">
        <v>0.44124806834601188</v>
      </c>
      <c r="G905">
        <v>0.1627547593465383</v>
      </c>
      <c r="H905">
        <v>16.208161108341162</v>
      </c>
      <c r="I905">
        <v>13.427215173191449</v>
      </c>
      <c r="J905">
        <v>0.27901378047498931</v>
      </c>
      <c r="K905">
        <v>0.10257370433241876</v>
      </c>
      <c r="L905">
        <v>16.191197342001157</v>
      </c>
      <c r="M905">
        <v>13.290839387422675</v>
      </c>
      <c r="N905">
        <v>0.37148471528253985</v>
      </c>
      <c r="O905">
        <v>0.13682622220559709</v>
      </c>
      <c r="P905">
        <v>16.200849675089191</v>
      </c>
      <c r="Q905">
        <v>13.246734107605155</v>
      </c>
      <c r="R905">
        <v>0.40136526068437867</v>
      </c>
      <c r="S905">
        <v>0.14792249361707105</v>
      </c>
      <c r="T905">
        <v>16.203978138093373</v>
      </c>
      <c r="U905">
        <v>1572.0592235401991</v>
      </c>
      <c r="V905">
        <v>10.355228643132296</v>
      </c>
      <c r="W905">
        <v>1305.1950689343221</v>
      </c>
      <c r="X905">
        <v>7.3648449207829882</v>
      </c>
      <c r="Y905">
        <v>2911.630316211731</v>
      </c>
      <c r="Z905">
        <v>10.409338022960039</v>
      </c>
      <c r="AA905">
        <v>2739.0859589971451</v>
      </c>
      <c r="AB905">
        <v>7.3952420737066067</v>
      </c>
      <c r="AC905">
        <v>2248.4679824826935</v>
      </c>
      <c r="AD905">
        <v>10.378518262236048</v>
      </c>
      <c r="AE905">
        <v>2033.3412858803929</v>
      </c>
      <c r="AF905">
        <v>7.3779401662801778</v>
      </c>
      <c r="AG905">
        <v>2136.045521652813</v>
      </c>
      <c r="AH905">
        <v>10.368547061617228</v>
      </c>
      <c r="AI905">
        <v>1907.8111142416869</v>
      </c>
      <c r="AJ905">
        <v>7.3723357735948021</v>
      </c>
    </row>
    <row r="906" spans="4:36" x14ac:dyDescent="0.55000000000000004">
      <c r="D906">
        <v>899</v>
      </c>
      <c r="E906">
        <v>11.672872527787677</v>
      </c>
      <c r="F906">
        <v>0.42913633243636534</v>
      </c>
      <c r="G906">
        <v>0.15912546559245985</v>
      </c>
      <c r="H906">
        <v>17.738865674183504</v>
      </c>
      <c r="I906">
        <v>11.907457777271002</v>
      </c>
      <c r="J906">
        <v>0.25470803023294042</v>
      </c>
      <c r="K906">
        <v>9.4105847016479616E-2</v>
      </c>
      <c r="L906">
        <v>17.743728345479568</v>
      </c>
      <c r="M906">
        <v>11.791442850784319</v>
      </c>
      <c r="N906">
        <v>0.34101222451851809</v>
      </c>
      <c r="O906">
        <v>0.1262168836265104</v>
      </c>
      <c r="P906">
        <v>17.741328041070652</v>
      </c>
      <c r="Q906">
        <v>11.772181251951425</v>
      </c>
      <c r="R906">
        <v>0.35533347715910168</v>
      </c>
      <c r="S906">
        <v>0.1315566023600365</v>
      </c>
      <c r="T906">
        <v>17.740928668529449</v>
      </c>
      <c r="U906">
        <v>1470.573190672304</v>
      </c>
      <c r="V906">
        <v>9.1986275810197675</v>
      </c>
      <c r="W906">
        <v>1240.154090485742</v>
      </c>
      <c r="X906">
        <v>6.6937333839302182</v>
      </c>
      <c r="Y906">
        <v>2862.686658581466</v>
      </c>
      <c r="Z906">
        <v>9.237879485035112</v>
      </c>
      <c r="AA906">
        <v>2710.8363185038961</v>
      </c>
      <c r="AB906">
        <v>6.7170969918362635</v>
      </c>
      <c r="AC906">
        <v>2162.6631352122008</v>
      </c>
      <c r="AD906">
        <v>9.2184645441558235</v>
      </c>
      <c r="AE906">
        <v>1979.5214643490247</v>
      </c>
      <c r="AF906">
        <v>6.7055536790346304</v>
      </c>
      <c r="AG906">
        <v>2065.2954364563661</v>
      </c>
      <c r="AH906">
        <v>9.2152416658926928</v>
      </c>
      <c r="AI906">
        <v>1866.5589455481932</v>
      </c>
      <c r="AJ906">
        <v>6.7036350604592743</v>
      </c>
    </row>
    <row r="907" spans="4:36" x14ac:dyDescent="0.55000000000000004">
      <c r="D907">
        <v>900</v>
      </c>
      <c r="E907">
        <v>12.901793808682749</v>
      </c>
      <c r="F907">
        <v>0.47948914123105019</v>
      </c>
      <c r="G907">
        <v>0.15565778293061019</v>
      </c>
      <c r="H907">
        <v>16.463059267155593</v>
      </c>
      <c r="I907">
        <v>13.130625113324314</v>
      </c>
      <c r="J907">
        <v>0.30940184843449264</v>
      </c>
      <c r="K907">
        <v>0.10012178327305214</v>
      </c>
      <c r="L907">
        <v>16.459851254968136</v>
      </c>
      <c r="M907">
        <v>13.038495516956946</v>
      </c>
      <c r="N907">
        <v>0.37791520938496981</v>
      </c>
      <c r="O907">
        <v>0.12244914985988993</v>
      </c>
      <c r="P907">
        <v>16.461140123798202</v>
      </c>
      <c r="Q907">
        <v>13.007241135897713</v>
      </c>
      <c r="R907">
        <v>0.40114736399902756</v>
      </c>
      <c r="S907">
        <v>0.13003331057154058</v>
      </c>
      <c r="T907">
        <v>16.461578189531711</v>
      </c>
      <c r="U907">
        <v>1540.4083013606682</v>
      </c>
      <c r="V907">
        <v>10.244213419162019</v>
      </c>
      <c r="W907">
        <v>1282.8210002370179</v>
      </c>
      <c r="X907">
        <v>7.3138742427474401</v>
      </c>
      <c r="Y907">
        <v>2899.5512495808257</v>
      </c>
      <c r="Z907">
        <v>10.292972646573824</v>
      </c>
      <c r="AA907">
        <v>2730.2584548855366</v>
      </c>
      <c r="AB907">
        <v>7.3418832242536949</v>
      </c>
      <c r="AC907">
        <v>2245.7476461044471</v>
      </c>
      <c r="AD907">
        <v>10.273342846417826</v>
      </c>
      <c r="AE907">
        <v>2033.3876676884213</v>
      </c>
      <c r="AF907">
        <v>7.3306186912799669</v>
      </c>
      <c r="AG907">
        <v>2124.7675711758211</v>
      </c>
      <c r="AH907">
        <v>10.266683221360964</v>
      </c>
      <c r="AI907">
        <v>1902.3207214194003</v>
      </c>
      <c r="AJ907">
        <v>7.3267935700746145</v>
      </c>
    </row>
    <row r="908" spans="4:36" x14ac:dyDescent="0.55000000000000004">
      <c r="D908">
        <v>901</v>
      </c>
      <c r="E908">
        <v>12.152375720114645</v>
      </c>
      <c r="F908">
        <v>0.45372814157179242</v>
      </c>
      <c r="G908">
        <v>0.16105041196629194</v>
      </c>
      <c r="H908">
        <v>17.232845726347279</v>
      </c>
      <c r="I908">
        <v>12.344921875428723</v>
      </c>
      <c r="J908">
        <v>0.30072138385874475</v>
      </c>
      <c r="K908">
        <v>0.10644218503940228</v>
      </c>
      <c r="L908">
        <v>17.247914555673137</v>
      </c>
      <c r="M908">
        <v>12.261726514779156</v>
      </c>
      <c r="N908">
        <v>0.36685425855260034</v>
      </c>
      <c r="O908">
        <v>0.13000702243153589</v>
      </c>
      <c r="P908">
        <v>17.241412204236713</v>
      </c>
      <c r="Q908">
        <v>12.227744879355219</v>
      </c>
      <c r="R908">
        <v>0.39385714982851616</v>
      </c>
      <c r="S908">
        <v>0.13964543913367886</v>
      </c>
      <c r="T908">
        <v>17.238752531682582</v>
      </c>
      <c r="U908">
        <v>1517.5955313331979</v>
      </c>
      <c r="V908">
        <v>9.6100928053699981</v>
      </c>
      <c r="W908">
        <v>1272.7015398905969</v>
      </c>
      <c r="X908">
        <v>6.9378611243033914</v>
      </c>
      <c r="Y908">
        <v>2874.7164645886551</v>
      </c>
      <c r="Z908">
        <v>9.6385434306720494</v>
      </c>
      <c r="AA908">
        <v>2715.9314373842121</v>
      </c>
      <c r="AB908">
        <v>6.955108158834582</v>
      </c>
      <c r="AC908">
        <v>2194.9680604813698</v>
      </c>
      <c r="AD908">
        <v>9.6262453812608104</v>
      </c>
      <c r="AE908">
        <v>2001.2234380367277</v>
      </c>
      <c r="AF908">
        <v>6.9476610816326563</v>
      </c>
      <c r="AG908">
        <v>2087.6693878395536</v>
      </c>
      <c r="AH908">
        <v>9.6212243965261983</v>
      </c>
      <c r="AI908">
        <v>1879.9468086848519</v>
      </c>
      <c r="AJ908">
        <v>6.9446170889363623</v>
      </c>
    </row>
    <row r="909" spans="4:36" x14ac:dyDescent="0.55000000000000004">
      <c r="D909">
        <v>902</v>
      </c>
      <c r="E909">
        <v>13.456052121204175</v>
      </c>
      <c r="F909">
        <v>0.45909891928048058</v>
      </c>
      <c r="G909">
        <v>0.16912474132610075</v>
      </c>
      <c r="H909">
        <v>15.915724218189245</v>
      </c>
      <c r="I909">
        <v>13.677134100786107</v>
      </c>
      <c r="J909">
        <v>0.30702201485714675</v>
      </c>
      <c r="K909">
        <v>0.11275486632605816</v>
      </c>
      <c r="L909">
        <v>15.903089018030675</v>
      </c>
      <c r="M909">
        <v>13.59990421430075</v>
      </c>
      <c r="N909">
        <v>0.36018094636636538</v>
      </c>
      <c r="O909">
        <v>0.13241915177564315</v>
      </c>
      <c r="P909">
        <v>15.907495687557248</v>
      </c>
      <c r="Q909">
        <v>13.532097810018623</v>
      </c>
      <c r="R909">
        <v>0.4068231498633616</v>
      </c>
      <c r="S909">
        <v>0.14970807033923847</v>
      </c>
      <c r="T909">
        <v>15.911370969778792</v>
      </c>
      <c r="U909">
        <v>1570.9949898834127</v>
      </c>
      <c r="V909">
        <v>10.595312678218971</v>
      </c>
      <c r="W909">
        <v>1298.669904188286</v>
      </c>
      <c r="X909">
        <v>7.5039103124507465</v>
      </c>
      <c r="Y909">
        <v>2953.9200631965173</v>
      </c>
      <c r="Z909">
        <v>10.64188528661893</v>
      </c>
      <c r="AA909">
        <v>2764.2156911301108</v>
      </c>
      <c r="AB909">
        <v>7.5300280880925454</v>
      </c>
      <c r="AC909">
        <v>2252.7313528044388</v>
      </c>
      <c r="AD909">
        <v>10.625620599534816</v>
      </c>
      <c r="AE909">
        <v>2033.6300404123922</v>
      </c>
      <c r="AF909">
        <v>7.5209153845894079</v>
      </c>
      <c r="AG909">
        <v>2160.7097475646183</v>
      </c>
      <c r="AH909">
        <v>10.611336641303778</v>
      </c>
      <c r="AI909">
        <v>1921.1045484783072</v>
      </c>
      <c r="AJ909">
        <v>7.5129049490974422</v>
      </c>
    </row>
    <row r="910" spans="4:36" x14ac:dyDescent="0.55000000000000004">
      <c r="D910">
        <v>903</v>
      </c>
      <c r="E910">
        <v>11.357878307827866</v>
      </c>
      <c r="F910">
        <v>0.42309934805622446</v>
      </c>
      <c r="G910">
        <v>0.15208350359887365</v>
      </c>
      <c r="H910">
        <v>18.066938840517039</v>
      </c>
      <c r="I910">
        <v>11.518444233081329</v>
      </c>
      <c r="J910">
        <v>0.2920076630978698</v>
      </c>
      <c r="K910">
        <v>0.10469084789788419</v>
      </c>
      <c r="L910">
        <v>18.084857255922913</v>
      </c>
      <c r="M910">
        <v>11.462075228106418</v>
      </c>
      <c r="N910">
        <v>0.33804255733627414</v>
      </c>
      <c r="O910">
        <v>0.12130520846395634</v>
      </c>
      <c r="P910">
        <v>18.078577006093361</v>
      </c>
      <c r="Q910">
        <v>11.43297625989077</v>
      </c>
      <c r="R910">
        <v>0.36180122729231051</v>
      </c>
      <c r="S910">
        <v>0.12989184995215031</v>
      </c>
      <c r="T910">
        <v>18.075330662864779</v>
      </c>
      <c r="U910">
        <v>1463.1434578738358</v>
      </c>
      <c r="V910">
        <v>9.0435035542786366</v>
      </c>
      <c r="W910">
        <v>1240.1093432103496</v>
      </c>
      <c r="X910">
        <v>6.6158364139139136</v>
      </c>
      <c r="Y910">
        <v>2859.9915326281621</v>
      </c>
      <c r="Z910">
        <v>9.066346761894776</v>
      </c>
      <c r="AA910">
        <v>2709.0210995373118</v>
      </c>
      <c r="AB910">
        <v>6.6302419974539104</v>
      </c>
      <c r="AC910">
        <v>2160.5810005182716</v>
      </c>
      <c r="AD910">
        <v>9.0583215519837879</v>
      </c>
      <c r="AE910">
        <v>1982.1799871530909</v>
      </c>
      <c r="AF910">
        <v>6.6251876117776485</v>
      </c>
      <c r="AG910">
        <v>2060.6741766289069</v>
      </c>
      <c r="AH910">
        <v>9.0541811902796177</v>
      </c>
      <c r="AI910">
        <v>1866.8756599853241</v>
      </c>
      <c r="AJ910">
        <v>6.6225771977767538</v>
      </c>
    </row>
    <row r="911" spans="4:36" x14ac:dyDescent="0.55000000000000004">
      <c r="D911">
        <v>904</v>
      </c>
      <c r="E911">
        <v>12.765315650862899</v>
      </c>
      <c r="F911">
        <v>0.44702396241545739</v>
      </c>
      <c r="G911">
        <v>0.15761924724551563</v>
      </c>
      <c r="H911">
        <v>16.630041139476127</v>
      </c>
      <c r="I911">
        <v>12.951262626073721</v>
      </c>
      <c r="J911">
        <v>0.31044375946939473</v>
      </c>
      <c r="K911">
        <v>0.10917208871496857</v>
      </c>
      <c r="L911">
        <v>16.629121525741937</v>
      </c>
      <c r="M911">
        <v>12.877057249275676</v>
      </c>
      <c r="N911">
        <v>0.36497205093564006</v>
      </c>
      <c r="O911">
        <v>0.12848294094477813</v>
      </c>
      <c r="P911">
        <v>16.629487758843908</v>
      </c>
      <c r="Q911">
        <v>12.831914269667847</v>
      </c>
      <c r="R911">
        <v>0.39812915131569349</v>
      </c>
      <c r="S911">
        <v>0.14024553256240446</v>
      </c>
      <c r="T911">
        <v>16.629711046454048</v>
      </c>
      <c r="U911">
        <v>1557.7938081665634</v>
      </c>
      <c r="V911">
        <v>10.136737947080874</v>
      </c>
      <c r="W911">
        <v>1294.7612652254231</v>
      </c>
      <c r="X911">
        <v>7.2527919796711737</v>
      </c>
      <c r="Y911">
        <v>2913.9701535578229</v>
      </c>
      <c r="Z911">
        <v>10.172867449241977</v>
      </c>
      <c r="AA911">
        <v>2738.5412182031146</v>
      </c>
      <c r="AB911">
        <v>7.273652407596952</v>
      </c>
      <c r="AC911">
        <v>2239.8665828255089</v>
      </c>
      <c r="AD911">
        <v>10.15844958164225</v>
      </c>
      <c r="AE911">
        <v>2027.7875423465189</v>
      </c>
      <c r="AF911">
        <v>7.2653350029574986</v>
      </c>
      <c r="AG911">
        <v>2141.0771669914734</v>
      </c>
      <c r="AH911">
        <v>10.149678290124031</v>
      </c>
      <c r="AI911">
        <v>1911.7364079779006</v>
      </c>
      <c r="AJ911">
        <v>7.2602703576991487</v>
      </c>
    </row>
    <row r="912" spans="4:36" x14ac:dyDescent="0.55000000000000004">
      <c r="D912">
        <v>905</v>
      </c>
      <c r="E912">
        <v>12.351774138620829</v>
      </c>
      <c r="F912">
        <v>0.43551885791720735</v>
      </c>
      <c r="G912">
        <v>0.17377384982268412</v>
      </c>
      <c r="H912">
        <v>17.038933153639274</v>
      </c>
      <c r="I912">
        <v>12.575823370507811</v>
      </c>
      <c r="J912">
        <v>0.27261133835288587</v>
      </c>
      <c r="K912">
        <v>0.10840228824803706</v>
      </c>
      <c r="L912">
        <v>17.043163002891266</v>
      </c>
      <c r="M912">
        <v>12.467314115384223</v>
      </c>
      <c r="N912">
        <v>0.35154616500449587</v>
      </c>
      <c r="O912">
        <v>0.1400207286179927</v>
      </c>
      <c r="P912">
        <v>17.04111899099329</v>
      </c>
      <c r="Q912">
        <v>12.456963287431178</v>
      </c>
      <c r="R912">
        <v>0.35907222535028666</v>
      </c>
      <c r="S912">
        <v>0.14304092099360344</v>
      </c>
      <c r="T912">
        <v>17.040923566224929</v>
      </c>
      <c r="U912">
        <v>1531.5935697709324</v>
      </c>
      <c r="V912">
        <v>9.7931514985844057</v>
      </c>
      <c r="W912">
        <v>1278.889087322704</v>
      </c>
      <c r="X912">
        <v>7.0500713081744024</v>
      </c>
      <c r="Y912">
        <v>2884.0595688434169</v>
      </c>
      <c r="Z912">
        <v>9.8346557063728532</v>
      </c>
      <c r="AA912">
        <v>2721.4339371161482</v>
      </c>
      <c r="AB912">
        <v>7.0744981616777727</v>
      </c>
      <c r="AC912">
        <v>2219.7628215591844</v>
      </c>
      <c r="AD912">
        <v>9.814551930591362</v>
      </c>
      <c r="AE912">
        <v>2016.0517521746483</v>
      </c>
      <c r="AF912">
        <v>7.0626781622091848</v>
      </c>
      <c r="AG912">
        <v>2114.7861209299999</v>
      </c>
      <c r="AH912">
        <v>9.8126344884643615</v>
      </c>
      <c r="AI912">
        <v>1897.7457943154454</v>
      </c>
      <c r="AJ912">
        <v>7.0615496455802109</v>
      </c>
    </row>
    <row r="913" spans="4:36" x14ac:dyDescent="0.55000000000000004">
      <c r="D913">
        <v>906</v>
      </c>
      <c r="E913">
        <v>12.749208288940148</v>
      </c>
      <c r="F913">
        <v>0.42997120893809365</v>
      </c>
      <c r="G913">
        <v>0.16953578383527668</v>
      </c>
      <c r="H913">
        <v>16.651284718286483</v>
      </c>
      <c r="I913">
        <v>12.941481743435681</v>
      </c>
      <c r="J913">
        <v>0.29421047181570814</v>
      </c>
      <c r="K913">
        <v>0.11569201397461117</v>
      </c>
      <c r="L913">
        <v>16.648615770773986</v>
      </c>
      <c r="M913">
        <v>12.84859913100949</v>
      </c>
      <c r="N913">
        <v>0.35982151722469824</v>
      </c>
      <c r="O913">
        <v>0.14167689502116401</v>
      </c>
      <c r="P913">
        <v>16.649902456744641</v>
      </c>
      <c r="Q913">
        <v>12.825403719559233</v>
      </c>
      <c r="R913">
        <v>0.37619820295558831</v>
      </c>
      <c r="S913">
        <v>0.14817353806807287</v>
      </c>
      <c r="T913">
        <v>16.650224539417099</v>
      </c>
      <c r="U913">
        <v>1528.7461711223261</v>
      </c>
      <c r="V913">
        <v>10.00490796984122</v>
      </c>
      <c r="W913">
        <v>1277.956792174572</v>
      </c>
      <c r="X913">
        <v>7.1606496363759069</v>
      </c>
      <c r="Y913">
        <v>2890.6176716708701</v>
      </c>
      <c r="Z913">
        <v>10.042221137261444</v>
      </c>
      <c r="AA913">
        <v>2724.9222901642097</v>
      </c>
      <c r="AB913">
        <v>7.1820952377381513</v>
      </c>
      <c r="AC913">
        <v>2224.6257119351153</v>
      </c>
      <c r="AD913">
        <v>10.024197253414684</v>
      </c>
      <c r="AE913">
        <v>2019.5323350017259</v>
      </c>
      <c r="AF913">
        <v>7.1717438242347438</v>
      </c>
      <c r="AG913">
        <v>2081.1401434346317</v>
      </c>
      <c r="AH913">
        <v>10.019695832848969</v>
      </c>
      <c r="AI913">
        <v>1872.7430858440503</v>
      </c>
      <c r="AJ913">
        <v>7.1691563330665273</v>
      </c>
    </row>
    <row r="914" spans="4:36" x14ac:dyDescent="0.55000000000000004">
      <c r="D914">
        <v>907</v>
      </c>
      <c r="E914">
        <v>14.130937545424837</v>
      </c>
      <c r="F914">
        <v>0.49609211839526024</v>
      </c>
      <c r="G914">
        <v>0.2100539742655575</v>
      </c>
      <c r="H914">
        <v>15.16291636191435</v>
      </c>
      <c r="I914">
        <v>14.394200635384854</v>
      </c>
      <c r="J914">
        <v>0.32200832767349197</v>
      </c>
      <c r="K914">
        <v>0.1358510562675011</v>
      </c>
      <c r="L914">
        <v>15.147939980674144</v>
      </c>
      <c r="M914">
        <v>14.282364545861773</v>
      </c>
      <c r="N914">
        <v>0.39601407119483234</v>
      </c>
      <c r="O914">
        <v>0.16732912309859099</v>
      </c>
      <c r="P914">
        <v>15.154292259844821</v>
      </c>
      <c r="Q914">
        <v>14.2562590686194</v>
      </c>
      <c r="R914">
        <v>0.41327758720876756</v>
      </c>
      <c r="S914">
        <v>0.17468622133299266</v>
      </c>
      <c r="T914">
        <v>15.155777122838856</v>
      </c>
      <c r="U914">
        <v>1670.5854587727777</v>
      </c>
      <c r="V914">
        <v>11.222946595114596</v>
      </c>
      <c r="W914">
        <v>1358.8617473016591</v>
      </c>
      <c r="X914">
        <v>7.8693410477585957</v>
      </c>
      <c r="Y914">
        <v>2994.1662453916274</v>
      </c>
      <c r="Z914">
        <v>11.280967781373356</v>
      </c>
      <c r="AA914">
        <v>2786.3609818514942</v>
      </c>
      <c r="AB914">
        <v>7.9017110476870975</v>
      </c>
      <c r="AC914">
        <v>2300.8143167087087</v>
      </c>
      <c r="AD914">
        <v>11.256325249494651</v>
      </c>
      <c r="AE914">
        <v>2058.9035706574109</v>
      </c>
      <c r="AF914">
        <v>7.8879756833676149</v>
      </c>
      <c r="AG914">
        <v>2188.6397554166811</v>
      </c>
      <c r="AH914">
        <v>11.250571915363748</v>
      </c>
      <c r="AI914">
        <v>1933.9220558986483</v>
      </c>
      <c r="AJ914">
        <v>7.8847661785287544</v>
      </c>
    </row>
    <row r="915" spans="4:36" x14ac:dyDescent="0.55000000000000004">
      <c r="D915">
        <v>908</v>
      </c>
      <c r="E915">
        <v>13.121229757607153</v>
      </c>
      <c r="F915">
        <v>0.49700686214382045</v>
      </c>
      <c r="G915">
        <v>0.16521711707243322</v>
      </c>
      <c r="H915">
        <v>16.216546263176603</v>
      </c>
      <c r="I915">
        <v>13.371591273264594</v>
      </c>
      <c r="J915">
        <v>0.31773907578257105</v>
      </c>
      <c r="K915">
        <v>0.10524427459499416</v>
      </c>
      <c r="L915">
        <v>16.205425376357837</v>
      </c>
      <c r="M915">
        <v>13.259686113460791</v>
      </c>
      <c r="N915">
        <v>0.39791272811531336</v>
      </c>
      <c r="O915">
        <v>0.13201157488326348</v>
      </c>
      <c r="P915">
        <v>16.210389583540636</v>
      </c>
      <c r="Q915">
        <v>13.265080022457051</v>
      </c>
      <c r="R915">
        <v>0.3940499814255633</v>
      </c>
      <c r="S915">
        <v>0.13071993237296439</v>
      </c>
      <c r="T915">
        <v>16.210150063744422</v>
      </c>
      <c r="U915">
        <v>1622.7434275295129</v>
      </c>
      <c r="V915">
        <v>10.319220598324968</v>
      </c>
      <c r="W915">
        <v>1335.5949090410256</v>
      </c>
      <c r="X915">
        <v>7.341590156852047</v>
      </c>
      <c r="Y915">
        <v>2944.5318488653534</v>
      </c>
      <c r="Z915">
        <v>10.374228035045761</v>
      </c>
      <c r="AA915">
        <v>2758.5450191526488</v>
      </c>
      <c r="AB915">
        <v>7.3728709155612417</v>
      </c>
      <c r="AC915">
        <v>2286.8519986079727</v>
      </c>
      <c r="AD915">
        <v>10.349644431395554</v>
      </c>
      <c r="AE915">
        <v>2057.3192960304036</v>
      </c>
      <c r="AF915">
        <v>7.3589047856206955</v>
      </c>
      <c r="AG915">
        <v>2160.0563084809623</v>
      </c>
      <c r="AH915">
        <v>10.350829500730667</v>
      </c>
      <c r="AI915">
        <v>1923.9152713640619</v>
      </c>
      <c r="AJ915">
        <v>7.359578536592025</v>
      </c>
    </row>
    <row r="916" spans="4:36" x14ac:dyDescent="0.55000000000000004">
      <c r="D916">
        <v>909</v>
      </c>
      <c r="E916">
        <v>12.72486326186349</v>
      </c>
      <c r="F916">
        <v>0.45242264881992228</v>
      </c>
      <c r="G916">
        <v>0.14858750606798171</v>
      </c>
      <c r="H916">
        <v>16.674126583248619</v>
      </c>
      <c r="I916">
        <v>12.927232921670006</v>
      </c>
      <c r="J916">
        <v>0.30537335823592637</v>
      </c>
      <c r="K916">
        <v>0.10000195904888995</v>
      </c>
      <c r="L916">
        <v>16.667391761045163</v>
      </c>
      <c r="M916">
        <v>12.847255452889907</v>
      </c>
      <c r="N916">
        <v>0.36351646416894012</v>
      </c>
      <c r="O916">
        <v>0.11917843205839078</v>
      </c>
      <c r="P916">
        <v>16.670049650882767</v>
      </c>
      <c r="Q916">
        <v>12.792922036429367</v>
      </c>
      <c r="R916">
        <v>0.40299530257378735</v>
      </c>
      <c r="S916">
        <v>0.13222456410379999</v>
      </c>
      <c r="T916">
        <v>16.671858096893054</v>
      </c>
      <c r="U916">
        <v>1521.9088529277069</v>
      </c>
      <c r="V916">
        <v>10.139742791800266</v>
      </c>
      <c r="W916">
        <v>1273.5180810096338</v>
      </c>
      <c r="X916">
        <v>7.2600268875051368</v>
      </c>
      <c r="Y916">
        <v>2886.8480131793813</v>
      </c>
      <c r="Z916">
        <v>10.181827579900901</v>
      </c>
      <c r="AA916">
        <v>2722.8095932803958</v>
      </c>
      <c r="AB916">
        <v>7.2840961541226301</v>
      </c>
      <c r="AC916">
        <v>2220.6204048678419</v>
      </c>
      <c r="AD916">
        <v>10.165197684163713</v>
      </c>
      <c r="AE916">
        <v>2018.0731400356833</v>
      </c>
      <c r="AF916">
        <v>7.2745937412572372</v>
      </c>
      <c r="AG916">
        <v>2145.7436936940308</v>
      </c>
      <c r="AH916">
        <v>10.153898366139696</v>
      </c>
      <c r="AI916">
        <v>1919.1797235298693</v>
      </c>
      <c r="AJ916">
        <v>7.2681308500329749</v>
      </c>
    </row>
    <row r="917" spans="4:36" x14ac:dyDescent="0.55000000000000004">
      <c r="D917">
        <v>910</v>
      </c>
      <c r="E917">
        <v>12.522995374441118</v>
      </c>
      <c r="F917">
        <v>0.51111546543951569</v>
      </c>
      <c r="G917">
        <v>0.19588935378925312</v>
      </c>
      <c r="H917">
        <v>16.769999806330095</v>
      </c>
      <c r="I917">
        <v>12.809975027043841</v>
      </c>
      <c r="J917">
        <v>0.2913360321981962</v>
      </c>
      <c r="K917">
        <v>0.11118649750152881</v>
      </c>
      <c r="L917">
        <v>16.787502443256429</v>
      </c>
      <c r="M917">
        <v>12.698003417197215</v>
      </c>
      <c r="N917">
        <v>0.37713896358070503</v>
      </c>
      <c r="O917">
        <v>0.14416860361670478</v>
      </c>
      <c r="P917">
        <v>16.78068901560539</v>
      </c>
      <c r="Q917">
        <v>12.651797337052193</v>
      </c>
      <c r="R917">
        <v>0.41252737075439899</v>
      </c>
      <c r="S917">
        <v>0.15780369542451333</v>
      </c>
      <c r="T917">
        <v>16.777871596768897</v>
      </c>
      <c r="U917">
        <v>1593.6177503275669</v>
      </c>
      <c r="V917">
        <v>9.9280377286663573</v>
      </c>
      <c r="W917">
        <v>1317.4897567244348</v>
      </c>
      <c r="X917">
        <v>7.1185968965866975</v>
      </c>
      <c r="Y917">
        <v>2868.8586844547522</v>
      </c>
      <c r="Z917">
        <v>9.9701982978043606</v>
      </c>
      <c r="AA917">
        <v>2708.785839005041</v>
      </c>
      <c r="AB917">
        <v>7.1437555906100974</v>
      </c>
      <c r="AC917">
        <v>2230.6265414892723</v>
      </c>
      <c r="AD917">
        <v>9.9537400038591706</v>
      </c>
      <c r="AE917">
        <v>2021.6149825554669</v>
      </c>
      <c r="AF917">
        <v>7.133950053186342</v>
      </c>
      <c r="AG917">
        <v>2147.9570551399793</v>
      </c>
      <c r="AH917">
        <v>9.9469514571356381</v>
      </c>
      <c r="AI917">
        <v>1917.1369607312645</v>
      </c>
      <c r="AJ917">
        <v>7.1298997460839946</v>
      </c>
    </row>
    <row r="918" spans="4:36" x14ac:dyDescent="0.55000000000000004">
      <c r="D918">
        <v>911</v>
      </c>
      <c r="E918">
        <v>11.160483761300124</v>
      </c>
      <c r="F918">
        <v>0.42012369301749442</v>
      </c>
      <c r="G918">
        <v>0.16155592520888151</v>
      </c>
      <c r="H918">
        <v>18.257836620473505</v>
      </c>
      <c r="I918">
        <v>11.35077984874893</v>
      </c>
      <c r="J918">
        <v>0.26585457215106995</v>
      </c>
      <c r="K918">
        <v>0.10192004500110544</v>
      </c>
      <c r="L918">
        <v>18.281445534098889</v>
      </c>
      <c r="M918">
        <v>11.280278287299415</v>
      </c>
      <c r="N918">
        <v>0.32302845331897817</v>
      </c>
      <c r="O918">
        <v>0.12397868004325546</v>
      </c>
      <c r="P918">
        <v>18.272714579338345</v>
      </c>
      <c r="Q918">
        <v>11.240666455148672</v>
      </c>
      <c r="R918">
        <v>0.35514187743312842</v>
      </c>
      <c r="S918">
        <v>0.13639075104508255</v>
      </c>
      <c r="T918">
        <v>18.267800916373137</v>
      </c>
      <c r="U918">
        <v>1444.0870766614557</v>
      </c>
      <c r="V918">
        <v>8.8575057011311369</v>
      </c>
      <c r="W918">
        <v>1229.8121870681944</v>
      </c>
      <c r="X918">
        <v>6.4993408386975977</v>
      </c>
      <c r="Y918">
        <v>2835.5795296345104</v>
      </c>
      <c r="Z918">
        <v>8.8803506348861898</v>
      </c>
      <c r="AA918">
        <v>2695.4353021916777</v>
      </c>
      <c r="AB918">
        <v>6.5140494492772474</v>
      </c>
      <c r="AC918">
        <v>2159.8214187068352</v>
      </c>
      <c r="AD918">
        <v>8.8718780067577185</v>
      </c>
      <c r="AE918">
        <v>1985.5891246334611</v>
      </c>
      <c r="AF918">
        <v>6.5086032645073759</v>
      </c>
      <c r="AG918">
        <v>2051.0391086647223</v>
      </c>
      <c r="AH918">
        <v>8.8671222069116293</v>
      </c>
      <c r="AI918">
        <v>1863.3254082175224</v>
      </c>
      <c r="AJ918">
        <v>6.5055416845405043</v>
      </c>
    </row>
    <row r="919" spans="4:36" x14ac:dyDescent="0.55000000000000004">
      <c r="D919">
        <v>912</v>
      </c>
      <c r="E919">
        <v>12.271749232517807</v>
      </c>
      <c r="F919">
        <v>0.42789145042822324</v>
      </c>
      <c r="G919">
        <v>0.17921170391557151</v>
      </c>
      <c r="H919">
        <v>17.121147613138398</v>
      </c>
      <c r="I919">
        <v>12.481553320657209</v>
      </c>
      <c r="J919">
        <v>0.27700752603409884</v>
      </c>
      <c r="K919">
        <v>0.11565139496569474</v>
      </c>
      <c r="L919">
        <v>17.125787758343009</v>
      </c>
      <c r="M919">
        <v>12.373425733862797</v>
      </c>
      <c r="N919">
        <v>0.35480258164737388</v>
      </c>
      <c r="O919">
        <v>0.1483718566964323</v>
      </c>
      <c r="P919">
        <v>17.123399827793406</v>
      </c>
      <c r="Q919">
        <v>12.363878594699493</v>
      </c>
      <c r="R919">
        <v>0.36166810511174619</v>
      </c>
      <c r="S919">
        <v>0.15126466930449292</v>
      </c>
      <c r="T919">
        <v>17.123188630884261</v>
      </c>
      <c r="U919">
        <v>1529.6774900166076</v>
      </c>
      <c r="V919">
        <v>9.6071736607488081</v>
      </c>
      <c r="W919">
        <v>1280.1533706865052</v>
      </c>
      <c r="X919">
        <v>6.9231373269309167</v>
      </c>
      <c r="Y919">
        <v>2876.7207991717255</v>
      </c>
      <c r="Z919">
        <v>9.6400089360861436</v>
      </c>
      <c r="AA919">
        <v>2717.0432412472846</v>
      </c>
      <c r="AB919">
        <v>6.9424264992402209</v>
      </c>
      <c r="AC919">
        <v>2208.3040767487232</v>
      </c>
      <c r="AD919">
        <v>9.6230849870926729</v>
      </c>
      <c r="AE919">
        <v>2009.1276479883918</v>
      </c>
      <c r="AF919">
        <v>6.9324931878268377</v>
      </c>
      <c r="AG919">
        <v>2093.8085204148615</v>
      </c>
      <c r="AH919">
        <v>9.6215908374775729</v>
      </c>
      <c r="AI919">
        <v>1884.0441450253056</v>
      </c>
      <c r="AJ919">
        <v>6.9316153284444662</v>
      </c>
    </row>
    <row r="920" spans="4:36" x14ac:dyDescent="0.55000000000000004">
      <c r="D920">
        <v>913</v>
      </c>
      <c r="E920">
        <v>11.764768385256964</v>
      </c>
      <c r="F920">
        <v>0.40682202362236225</v>
      </c>
      <c r="G920">
        <v>0.12285598930339529</v>
      </c>
      <c r="H920">
        <v>17.705553601817286</v>
      </c>
      <c r="I920">
        <v>11.945862926822361</v>
      </c>
      <c r="J920">
        <v>0.26922410799455709</v>
      </c>
      <c r="K920">
        <v>8.1089966114749626E-2</v>
      </c>
      <c r="L920">
        <v>17.703822999068326</v>
      </c>
      <c r="M920">
        <v>11.823775847574705</v>
      </c>
      <c r="N920">
        <v>0.36200731408756709</v>
      </c>
      <c r="O920">
        <v>0.10922867819536408</v>
      </c>
      <c r="P920">
        <v>17.704988160142353</v>
      </c>
      <c r="Q920">
        <v>11.812170036554745</v>
      </c>
      <c r="R920">
        <v>0.3708231684113551</v>
      </c>
      <c r="S920">
        <v>0.11190754045997732</v>
      </c>
      <c r="T920">
        <v>17.705099254573931</v>
      </c>
      <c r="U920">
        <v>1469.030966849441</v>
      </c>
      <c r="V920">
        <v>9.2686517574572029</v>
      </c>
      <c r="W920">
        <v>1245.7753102768684</v>
      </c>
      <c r="X920">
        <v>6.7417801799539685</v>
      </c>
      <c r="Y920">
        <v>2853.4774003957868</v>
      </c>
      <c r="Z920">
        <v>9.3052656145790671</v>
      </c>
      <c r="AA920">
        <v>2706.0865941671532</v>
      </c>
      <c r="AB920">
        <v>6.7631916461466988</v>
      </c>
      <c r="AC920">
        <v>2197.06824159605</v>
      </c>
      <c r="AD920">
        <v>9.28058278256119</v>
      </c>
      <c r="AE920">
        <v>2007.2858965152589</v>
      </c>
      <c r="AF920">
        <v>6.7487646745384406</v>
      </c>
      <c r="AG920">
        <v>2077.0985966916533</v>
      </c>
      <c r="AH920">
        <v>9.2782362081952421</v>
      </c>
      <c r="AI920">
        <v>1878.3549782445325</v>
      </c>
      <c r="AJ920">
        <v>6.7473915394521988</v>
      </c>
    </row>
    <row r="921" spans="4:36" x14ac:dyDescent="0.55000000000000004">
      <c r="D921">
        <v>914</v>
      </c>
      <c r="E921">
        <v>11.875470399328359</v>
      </c>
      <c r="F921">
        <v>0.44965807453177908</v>
      </c>
      <c r="G921">
        <v>0.16499249353515644</v>
      </c>
      <c r="H921">
        <v>17.509879032604708</v>
      </c>
      <c r="I921">
        <v>12.084618634600872</v>
      </c>
      <c r="J921">
        <v>0.28919058797090219</v>
      </c>
      <c r="K921">
        <v>0.10577156802028051</v>
      </c>
      <c r="L921">
        <v>17.520419209407933</v>
      </c>
      <c r="M921">
        <v>12.003078948498805</v>
      </c>
      <c r="N921">
        <v>0.3517791895112079</v>
      </c>
      <c r="O921">
        <v>0.12882412940567678</v>
      </c>
      <c r="P921">
        <v>17.516317732584316</v>
      </c>
      <c r="Q921">
        <v>11.97715645178909</v>
      </c>
      <c r="R921">
        <v>0.37166946646163029</v>
      </c>
      <c r="S921">
        <v>0.13616233308988232</v>
      </c>
      <c r="T921">
        <v>17.51501174865939</v>
      </c>
      <c r="U921">
        <v>1494.2428207112628</v>
      </c>
      <c r="V921">
        <v>9.4459660901376932</v>
      </c>
      <c r="W921">
        <v>1253.7371385453228</v>
      </c>
      <c r="X921">
        <v>6.848769091075253</v>
      </c>
      <c r="Y921">
        <v>2893.62590624209</v>
      </c>
      <c r="Z921">
        <v>9.4775849784922368</v>
      </c>
      <c r="AA921">
        <v>2729.1348542787919</v>
      </c>
      <c r="AB921">
        <v>6.8677144711129818</v>
      </c>
      <c r="AC921">
        <v>2219.3998422647751</v>
      </c>
      <c r="AD921">
        <v>9.4652542852832617</v>
      </c>
      <c r="AE921">
        <v>2018.4367165846295</v>
      </c>
      <c r="AF921">
        <v>6.8603352552002441</v>
      </c>
      <c r="AG921">
        <v>2082.4298435919527</v>
      </c>
      <c r="AH921">
        <v>9.4613351560237877</v>
      </c>
      <c r="AI921">
        <v>1875.9842995551678</v>
      </c>
      <c r="AJ921">
        <v>6.8579874620742594</v>
      </c>
    </row>
    <row r="922" spans="4:36" x14ac:dyDescent="0.55000000000000004">
      <c r="D922">
        <v>915</v>
      </c>
      <c r="E922">
        <v>13.58557093109019</v>
      </c>
      <c r="F922">
        <v>0.49385787474250575</v>
      </c>
      <c r="G922">
        <v>0.16906539867338874</v>
      </c>
      <c r="H922">
        <v>15.751505795493925</v>
      </c>
      <c r="I922">
        <v>13.882664568076603</v>
      </c>
      <c r="J922">
        <v>0.29572551799454005</v>
      </c>
      <c r="K922">
        <v>0.10081349593837703</v>
      </c>
      <c r="L922">
        <v>15.720796417990476</v>
      </c>
      <c r="M922">
        <v>13.759186581092012</v>
      </c>
      <c r="N922">
        <v>0.3781421295745917</v>
      </c>
      <c r="O922">
        <v>0.12913336454938912</v>
      </c>
      <c r="P922">
        <v>15.733537924784009</v>
      </c>
      <c r="Q922">
        <v>13.715996753880749</v>
      </c>
      <c r="R922">
        <v>0.40694658020348484</v>
      </c>
      <c r="S922">
        <v>0.13905472151126433</v>
      </c>
      <c r="T922">
        <v>15.738001944404514</v>
      </c>
      <c r="U922">
        <v>1639.4224877198924</v>
      </c>
      <c r="V922">
        <v>10.732754682166421</v>
      </c>
      <c r="W922">
        <v>1342.7634634747792</v>
      </c>
      <c r="X922">
        <v>7.5867290761194583</v>
      </c>
      <c r="Y922">
        <v>2948.5898923613777</v>
      </c>
      <c r="Z922">
        <v>10.806188209458107</v>
      </c>
      <c r="AA922">
        <v>2759.9209506764578</v>
      </c>
      <c r="AB922">
        <v>7.6274879195309051</v>
      </c>
      <c r="AC922">
        <v>2321.4784053624971</v>
      </c>
      <c r="AD922">
        <v>10.775681227697378</v>
      </c>
      <c r="AE922">
        <v>2079.4577964409491</v>
      </c>
      <c r="AF922">
        <v>7.6105732016765284</v>
      </c>
      <c r="AG922">
        <v>2199.8025491192029</v>
      </c>
      <c r="AH922">
        <v>10.765006076542322</v>
      </c>
      <c r="AI922">
        <v>1947.108389671487</v>
      </c>
      <c r="AJ922">
        <v>7.6046483099513091</v>
      </c>
    </row>
    <row r="923" spans="4:36" x14ac:dyDescent="0.55000000000000004">
      <c r="D923">
        <v>916</v>
      </c>
      <c r="E923">
        <v>12.483953019471993</v>
      </c>
      <c r="F923">
        <v>0.4651813375241628</v>
      </c>
      <c r="G923">
        <v>0.17746772707795355</v>
      </c>
      <c r="H923">
        <v>16.873397915925892</v>
      </c>
      <c r="I923">
        <v>12.707056869046419</v>
      </c>
      <c r="J923">
        <v>0.29875523857030417</v>
      </c>
      <c r="K923">
        <v>0.11359223543078216</v>
      </c>
      <c r="L923">
        <v>16.880595656952508</v>
      </c>
      <c r="M923">
        <v>12.602033770282436</v>
      </c>
      <c r="N923">
        <v>0.37713262026932054</v>
      </c>
      <c r="O923">
        <v>0.14361958532459418</v>
      </c>
      <c r="P923">
        <v>16.877214024123639</v>
      </c>
      <c r="Q923">
        <v>12.595576260616109</v>
      </c>
      <c r="R923">
        <v>0.38194977813996511</v>
      </c>
      <c r="S923">
        <v>0.1454682437580285</v>
      </c>
      <c r="T923">
        <v>16.877005717485886</v>
      </c>
      <c r="U923">
        <v>1552.1256479345236</v>
      </c>
      <c r="V923">
        <v>9.8844236111018269</v>
      </c>
      <c r="W923">
        <v>1290.1641008329809</v>
      </c>
      <c r="X923">
        <v>7.0984534859464414</v>
      </c>
      <c r="Y923">
        <v>2894.8915451650455</v>
      </c>
      <c r="Z923">
        <v>9.9236872027989751</v>
      </c>
      <c r="AA923">
        <v>2726.3423934610682</v>
      </c>
      <c r="AB923">
        <v>7.1215952836923044</v>
      </c>
      <c r="AC923">
        <v>2250.9826734859112</v>
      </c>
      <c r="AD923">
        <v>9.9052008906064657</v>
      </c>
      <c r="AE923">
        <v>2035.5732095619435</v>
      </c>
      <c r="AF923">
        <v>7.1107107097968782</v>
      </c>
      <c r="AG923">
        <v>2151.0045962363765</v>
      </c>
      <c r="AH923">
        <v>9.9040644336049546</v>
      </c>
      <c r="AI923">
        <v>1921.0328385500975</v>
      </c>
      <c r="AJ923">
        <v>7.1100409285497834</v>
      </c>
    </row>
    <row r="924" spans="4:36" x14ac:dyDescent="0.55000000000000004">
      <c r="D924">
        <v>917</v>
      </c>
      <c r="E924">
        <v>14.194732894789263</v>
      </c>
      <c r="F924">
        <v>0.54483062702987861</v>
      </c>
      <c r="G924">
        <v>0.19819015494342659</v>
      </c>
      <c r="H924">
        <v>15.062246323237417</v>
      </c>
      <c r="I924">
        <v>14.486458531893478</v>
      </c>
      <c r="J924">
        <v>0.33992477754210837</v>
      </c>
      <c r="K924">
        <v>0.12318901993235842</v>
      </c>
      <c r="L924">
        <v>15.050427670632056</v>
      </c>
      <c r="M924">
        <v>14.381873935223105</v>
      </c>
      <c r="N924">
        <v>0.41344062677292343</v>
      </c>
      <c r="O924">
        <v>0.15003200346025072</v>
      </c>
      <c r="P924">
        <v>15.054653434543724</v>
      </c>
      <c r="Q924">
        <v>14.309528295237859</v>
      </c>
      <c r="R924">
        <v>0.46425792030794949</v>
      </c>
      <c r="S924">
        <v>0.16862987493214643</v>
      </c>
      <c r="T924">
        <v>15.057583909522064</v>
      </c>
      <c r="U924">
        <v>1660.6943228373552</v>
      </c>
      <c r="V924">
        <v>11.285751386701818</v>
      </c>
      <c r="W924">
        <v>1352.6766557962021</v>
      </c>
      <c r="X924">
        <v>7.9034477839112967</v>
      </c>
      <c r="Y924">
        <v>2949.7189584329499</v>
      </c>
      <c r="Z924">
        <v>11.346175857405607</v>
      </c>
      <c r="AA924">
        <v>2756.5277726787299</v>
      </c>
      <c r="AB924">
        <v>7.9370612947390349</v>
      </c>
      <c r="AC924">
        <v>2302.09384079046</v>
      </c>
      <c r="AD924">
        <v>11.324520251962644</v>
      </c>
      <c r="AE924">
        <v>2061.8889395838542</v>
      </c>
      <c r="AF924">
        <v>7.9250278725849617</v>
      </c>
      <c r="AG924">
        <v>2217.0761624138459</v>
      </c>
      <c r="AH924">
        <v>11.309535737775624</v>
      </c>
      <c r="AI924">
        <v>1953.8913997250349</v>
      </c>
      <c r="AJ924">
        <v>7.91669268851944</v>
      </c>
    </row>
    <row r="925" spans="4:36" x14ac:dyDescent="0.55000000000000004">
      <c r="D925">
        <v>918</v>
      </c>
      <c r="E925">
        <v>13.401724500191676</v>
      </c>
      <c r="F925">
        <v>0.44858498745014952</v>
      </c>
      <c r="G925">
        <v>0.16094802183911486</v>
      </c>
      <c r="H925">
        <v>15.988742490519074</v>
      </c>
      <c r="I925">
        <v>13.64637815028078</v>
      </c>
      <c r="J925">
        <v>0.28806090293980297</v>
      </c>
      <c r="K925">
        <v>0.10300978265164176</v>
      </c>
      <c r="L925">
        <v>15.962551164127779</v>
      </c>
      <c r="M925">
        <v>13.538733352843016</v>
      </c>
      <c r="N925">
        <v>0.3587385088392675</v>
      </c>
      <c r="O925">
        <v>0.12847126669136447</v>
      </c>
      <c r="P925">
        <v>15.97405687162636</v>
      </c>
      <c r="Q925">
        <v>13.523010157018167</v>
      </c>
      <c r="R925">
        <v>0.36905567305860137</v>
      </c>
      <c r="S925">
        <v>0.13219433094322469</v>
      </c>
      <c r="T925">
        <v>15.975739838980006</v>
      </c>
      <c r="U925">
        <v>1539.5458093121808</v>
      </c>
      <c r="V925">
        <v>10.506004611200844</v>
      </c>
      <c r="W925">
        <v>1278.9869949438119</v>
      </c>
      <c r="X925">
        <v>7.4495658545823114</v>
      </c>
      <c r="Y925">
        <v>2907.8876371555357</v>
      </c>
      <c r="Z925">
        <v>10.56543120814082</v>
      </c>
      <c r="AA925">
        <v>2734.160200600757</v>
      </c>
      <c r="AB925">
        <v>7.4825249302391104</v>
      </c>
      <c r="AC925">
        <v>2269.2451455681403</v>
      </c>
      <c r="AD925">
        <v>10.539294837369617</v>
      </c>
      <c r="AE925">
        <v>2047.0396335754033</v>
      </c>
      <c r="AF925">
        <v>7.4680413923513589</v>
      </c>
      <c r="AG925">
        <v>2140.2986359093716</v>
      </c>
      <c r="AH925">
        <v>10.535475819668873</v>
      </c>
      <c r="AI925">
        <v>1911.0097201317167</v>
      </c>
      <c r="AJ925">
        <v>7.465923481298093</v>
      </c>
    </row>
    <row r="926" spans="4:36" x14ac:dyDescent="0.55000000000000004">
      <c r="D926">
        <v>919</v>
      </c>
      <c r="E926">
        <v>13.857381821063989</v>
      </c>
      <c r="F926">
        <v>0.47038745262086773</v>
      </c>
      <c r="G926">
        <v>0.16131473842847252</v>
      </c>
      <c r="H926">
        <v>15.510915987886676</v>
      </c>
      <c r="I926">
        <v>14.084993924361125</v>
      </c>
      <c r="J926">
        <v>0.31861831702091326</v>
      </c>
      <c r="K926">
        <v>0.10893878193877417</v>
      </c>
      <c r="L926">
        <v>15.487448976679193</v>
      </c>
      <c r="M926">
        <v>13.979468960725114</v>
      </c>
      <c r="N926">
        <v>0.38902209852165209</v>
      </c>
      <c r="O926">
        <v>0.13319549521328455</v>
      </c>
      <c r="P926">
        <v>15.498313445539967</v>
      </c>
      <c r="Q926">
        <v>13.925043014906681</v>
      </c>
      <c r="R926">
        <v>0.4253062066165692</v>
      </c>
      <c r="S926">
        <v>0.14572355512061011</v>
      </c>
      <c r="T926">
        <v>15.503927223356154</v>
      </c>
      <c r="U926">
        <v>1624.2174008984953</v>
      </c>
      <c r="V926">
        <v>10.864308561193358</v>
      </c>
      <c r="W926">
        <v>1334.4616400684727</v>
      </c>
      <c r="X926">
        <v>7.6527555123436919</v>
      </c>
      <c r="Y926">
        <v>2932.4089856423516</v>
      </c>
      <c r="Z926">
        <v>10.91819057166995</v>
      </c>
      <c r="AA926">
        <v>2747.3096313409146</v>
      </c>
      <c r="AB926">
        <v>7.6824278987021595</v>
      </c>
      <c r="AC926">
        <v>2264.297358282678</v>
      </c>
      <c r="AD926">
        <v>10.89321913011227</v>
      </c>
      <c r="AE926">
        <v>2038.7968303474329</v>
      </c>
      <c r="AF926">
        <v>7.6686860138056714</v>
      </c>
      <c r="AG926">
        <v>2183.9497225265591</v>
      </c>
      <c r="AH926">
        <v>10.880333562951856</v>
      </c>
      <c r="AI926">
        <v>1935.2706202297509</v>
      </c>
      <c r="AJ926">
        <v>7.6615885068725325</v>
      </c>
    </row>
    <row r="927" spans="4:36" x14ac:dyDescent="0.55000000000000004">
      <c r="D927">
        <v>920</v>
      </c>
      <c r="E927">
        <v>13.228919659709687</v>
      </c>
      <c r="F927">
        <v>0.52222334647772772</v>
      </c>
      <c r="G927">
        <v>0.16343510847129278</v>
      </c>
      <c r="H927">
        <v>16.085421885341283</v>
      </c>
      <c r="I927">
        <v>13.452790542321239</v>
      </c>
      <c r="J927">
        <v>0.35135550384655567</v>
      </c>
      <c r="K927">
        <v>0.10964037061148786</v>
      </c>
      <c r="L927">
        <v>16.086213583220704</v>
      </c>
      <c r="M927">
        <v>13.368335006069016</v>
      </c>
      <c r="N927">
        <v>0.41584550758543642</v>
      </c>
      <c r="O927">
        <v>0.12990654213204805</v>
      </c>
      <c r="P927">
        <v>16.085912944213497</v>
      </c>
      <c r="Q927">
        <v>13.32251676991309</v>
      </c>
      <c r="R927">
        <v>0.45081706206133293</v>
      </c>
      <c r="S927">
        <v>0.14091533074406612</v>
      </c>
      <c r="T927">
        <v>16.085750837281502</v>
      </c>
      <c r="U927">
        <v>1590.816694026274</v>
      </c>
      <c r="V927">
        <v>10.42959815819488</v>
      </c>
      <c r="W927">
        <v>1309.3448105747887</v>
      </c>
      <c r="X927">
        <v>7.405150512535938</v>
      </c>
      <c r="Y927">
        <v>2945.6423042345505</v>
      </c>
      <c r="Z927">
        <v>10.470756261404581</v>
      </c>
      <c r="AA927">
        <v>2755.845346504374</v>
      </c>
      <c r="AB927">
        <v>7.4287452592171714</v>
      </c>
      <c r="AC927">
        <v>2282.9775981066</v>
      </c>
      <c r="AD927">
        <v>10.455229855875826</v>
      </c>
      <c r="AE927">
        <v>2052.0314775314787</v>
      </c>
      <c r="AF927">
        <v>7.419853367296934</v>
      </c>
      <c r="AG927">
        <v>2183.8618828646318</v>
      </c>
      <c r="AH927">
        <v>10.446806308395367</v>
      </c>
      <c r="AI927">
        <v>1935.4257897754385</v>
      </c>
      <c r="AJ927">
        <v>7.4150247288260678</v>
      </c>
    </row>
    <row r="928" spans="4:36" x14ac:dyDescent="0.55000000000000004">
      <c r="D928">
        <v>921</v>
      </c>
      <c r="E928">
        <v>12.739017656477733</v>
      </c>
      <c r="F928">
        <v>0.45123791783351325</v>
      </c>
      <c r="G928">
        <v>0.16319834021817706</v>
      </c>
      <c r="H928">
        <v>16.646546085470568</v>
      </c>
      <c r="I928">
        <v>12.98469654121905</v>
      </c>
      <c r="J928">
        <v>0.27489848938066158</v>
      </c>
      <c r="K928">
        <v>9.905910643019504E-2</v>
      </c>
      <c r="L928">
        <v>16.641345862970098</v>
      </c>
      <c r="M928">
        <v>12.867473013605421</v>
      </c>
      <c r="N928">
        <v>0.35908213953136053</v>
      </c>
      <c r="O928">
        <v>0.12961952518105543</v>
      </c>
      <c r="P928">
        <v>16.643825321682176</v>
      </c>
      <c r="Q928">
        <v>12.799838362795766</v>
      </c>
      <c r="R928">
        <v>0.40761657068709778</v>
      </c>
      <c r="S928">
        <v>0.14728768979846402</v>
      </c>
      <c r="T928">
        <v>16.645257376718675</v>
      </c>
      <c r="U928">
        <v>1509.9599991810728</v>
      </c>
      <c r="V928">
        <v>10.038259134529605</v>
      </c>
      <c r="W928">
        <v>1263.1925342256488</v>
      </c>
      <c r="X928">
        <v>7.1841182278147429</v>
      </c>
      <c r="Y928">
        <v>2888.2515567408509</v>
      </c>
      <c r="Z928">
        <v>10.086883247671834</v>
      </c>
      <c r="AA928">
        <v>2724.8486351335177</v>
      </c>
      <c r="AB928">
        <v>7.2121404576446491</v>
      </c>
      <c r="AC928">
        <v>2229.5641464545033</v>
      </c>
      <c r="AD928">
        <v>10.063683342562152</v>
      </c>
      <c r="AE928">
        <v>2023.385514284982</v>
      </c>
      <c r="AF928">
        <v>7.1987835159783469</v>
      </c>
      <c r="AG928">
        <v>2128.7690551197265</v>
      </c>
      <c r="AH928">
        <v>10.050297103950761</v>
      </c>
      <c r="AI928">
        <v>1905.0254020069258</v>
      </c>
      <c r="AJ928">
        <v>7.1910656621443216</v>
      </c>
    </row>
    <row r="929" spans="4:36" x14ac:dyDescent="0.55000000000000004">
      <c r="D929">
        <v>922</v>
      </c>
      <c r="E929">
        <v>13.143551842854386</v>
      </c>
      <c r="F929">
        <v>0.44408225754262332</v>
      </c>
      <c r="G929">
        <v>0.17480026712111874</v>
      </c>
      <c r="H929">
        <v>16.237565632481868</v>
      </c>
      <c r="I929">
        <v>13.372116767387306</v>
      </c>
      <c r="J929">
        <v>0.28797616824279804</v>
      </c>
      <c r="K929">
        <v>0.11299561532421375</v>
      </c>
      <c r="L929">
        <v>16.226911449045687</v>
      </c>
      <c r="M929">
        <v>13.266211295049626</v>
      </c>
      <c r="N929">
        <v>0.36034912418859361</v>
      </c>
      <c r="O929">
        <v>0.14159976296818422</v>
      </c>
      <c r="P929">
        <v>16.231839817793592</v>
      </c>
      <c r="Q929">
        <v>13.199062478661247</v>
      </c>
      <c r="R929">
        <v>0.40619998639183641</v>
      </c>
      <c r="S929">
        <v>0.15976555252690769</v>
      </c>
      <c r="T929">
        <v>16.234971982419992</v>
      </c>
      <c r="U929">
        <v>1584.7711177695774</v>
      </c>
      <c r="V929">
        <v>10.38950769649483</v>
      </c>
      <c r="W929">
        <v>1311.5270469158713</v>
      </c>
      <c r="X929">
        <v>7.3923781128675294</v>
      </c>
      <c r="Y929">
        <v>2907.2810972973912</v>
      </c>
      <c r="Z929">
        <v>10.438648977315371</v>
      </c>
      <c r="AA929">
        <v>2733.6892184910826</v>
      </c>
      <c r="AB929">
        <v>7.4201569455306799</v>
      </c>
      <c r="AC929">
        <v>2245.1019494015145</v>
      </c>
      <c r="AD929">
        <v>10.415883909282714</v>
      </c>
      <c r="AE929">
        <v>2029.6434627925357</v>
      </c>
      <c r="AF929">
        <v>7.407298934179849</v>
      </c>
      <c r="AG929">
        <v>2145.7286460054934</v>
      </c>
      <c r="AH929">
        <v>10.401445795804252</v>
      </c>
      <c r="AI929">
        <v>1912.0266884761545</v>
      </c>
      <c r="AJ929">
        <v>7.399134510234517</v>
      </c>
    </row>
    <row r="930" spans="4:36" x14ac:dyDescent="0.55000000000000004">
      <c r="D930">
        <v>923</v>
      </c>
      <c r="E930">
        <v>12.559995603937621</v>
      </c>
      <c r="F930">
        <v>0.47044912154134372</v>
      </c>
      <c r="G930">
        <v>0.18247381698806389</v>
      </c>
      <c r="H930">
        <v>16.787081457532956</v>
      </c>
      <c r="I930">
        <v>12.782119070467067</v>
      </c>
      <c r="J930">
        <v>0.30524721908775243</v>
      </c>
      <c r="K930">
        <v>0.11800465046447459</v>
      </c>
      <c r="L930">
        <v>16.794629059980721</v>
      </c>
      <c r="M930">
        <v>12.711265945092837</v>
      </c>
      <c r="N930">
        <v>0.35797339098185599</v>
      </c>
      <c r="O930">
        <v>0.13853367373289788</v>
      </c>
      <c r="P930">
        <v>16.792226990192404</v>
      </c>
      <c r="Q930">
        <v>12.653280824255139</v>
      </c>
      <c r="R930">
        <v>0.40110289481334005</v>
      </c>
      <c r="S930">
        <v>0.15535890668563296</v>
      </c>
      <c r="T930">
        <v>16.790257374245886</v>
      </c>
      <c r="U930">
        <v>1584.6083378924347</v>
      </c>
      <c r="V930">
        <v>9.9023618814918812</v>
      </c>
      <c r="W930">
        <v>1310.315874591357</v>
      </c>
      <c r="X930">
        <v>7.1017606629146304</v>
      </c>
      <c r="Y930">
        <v>2913.7108762934913</v>
      </c>
      <c r="Z930">
        <v>9.9396867469591559</v>
      </c>
      <c r="AA930">
        <v>2737.5056539855727</v>
      </c>
      <c r="AB930">
        <v>7.1237633344484959</v>
      </c>
      <c r="AC930">
        <v>2229.8760681701046</v>
      </c>
      <c r="AD930">
        <v>9.9277777455406326</v>
      </c>
      <c r="AE930">
        <v>2019.691343335191</v>
      </c>
      <c r="AF930">
        <v>7.1167522593025865</v>
      </c>
      <c r="AG930">
        <v>2174.4584034158497</v>
      </c>
      <c r="AH930">
        <v>9.9180337420342788</v>
      </c>
      <c r="AI930">
        <v>1933.9172931749267</v>
      </c>
      <c r="AJ930">
        <v>7.111009397859144</v>
      </c>
    </row>
    <row r="931" spans="4:36" x14ac:dyDescent="0.55000000000000004">
      <c r="D931">
        <v>924</v>
      </c>
      <c r="E931">
        <v>12.032054202534631</v>
      </c>
      <c r="F931">
        <v>0.39446834752108872</v>
      </c>
      <c r="G931">
        <v>0.15405369167571276</v>
      </c>
      <c r="H931">
        <v>17.419423758268572</v>
      </c>
      <c r="I931">
        <v>12.240831569503277</v>
      </c>
      <c r="J931">
        <v>0.25187984241670608</v>
      </c>
      <c r="K931">
        <v>9.805862347793097E-2</v>
      </c>
      <c r="L931">
        <v>17.409229964602098</v>
      </c>
      <c r="M931">
        <v>12.136575199795498</v>
      </c>
      <c r="N931">
        <v>0.32312016503314223</v>
      </c>
      <c r="O931">
        <v>0.12599026685440035</v>
      </c>
      <c r="P931">
        <v>17.414314368316962</v>
      </c>
      <c r="Q931">
        <v>12.121514944814271</v>
      </c>
      <c r="R931">
        <v>0.33340512923036469</v>
      </c>
      <c r="S931">
        <v>0.13003010343746613</v>
      </c>
      <c r="T931">
        <v>17.415049822517894</v>
      </c>
      <c r="U931">
        <v>1516.653775245938</v>
      </c>
      <c r="V931">
        <v>9.5041236483348293</v>
      </c>
      <c r="W931">
        <v>1276.8650905836787</v>
      </c>
      <c r="X931">
        <v>6.8819247559254908</v>
      </c>
      <c r="Y931">
        <v>2874.3706595707604</v>
      </c>
      <c r="Z931">
        <v>9.5497258389940214</v>
      </c>
      <c r="AA931">
        <v>2719.5676484493465</v>
      </c>
      <c r="AB931">
        <v>6.90834445795414</v>
      </c>
      <c r="AC931">
        <v>2189.8907724135306</v>
      </c>
      <c r="AD931">
        <v>9.5269559039103253</v>
      </c>
      <c r="AE931">
        <v>2001.0747740071083</v>
      </c>
      <c r="AF931">
        <v>6.8951639027479583</v>
      </c>
      <c r="AG931">
        <v>2070.0451139875045</v>
      </c>
      <c r="AH931">
        <v>9.5236663231961369</v>
      </c>
      <c r="AI931">
        <v>1871.9618422855622</v>
      </c>
      <c r="AJ931">
        <v>6.8932578571814851</v>
      </c>
    </row>
    <row r="932" spans="4:36" x14ac:dyDescent="0.55000000000000004">
      <c r="D932">
        <v>925</v>
      </c>
      <c r="E932">
        <v>12.095454280596469</v>
      </c>
      <c r="F932">
        <v>0.47711877122935287</v>
      </c>
      <c r="G932">
        <v>0.17152396109361548</v>
      </c>
      <c r="H932">
        <v>17.255902987080564</v>
      </c>
      <c r="I932">
        <v>12.322720387572366</v>
      </c>
      <c r="J932">
        <v>0.29345652118781601</v>
      </c>
      <c r="K932">
        <v>0.10515534989466301</v>
      </c>
      <c r="L932">
        <v>17.278667741345146</v>
      </c>
      <c r="M932">
        <v>12.216251045868363</v>
      </c>
      <c r="N932">
        <v>0.37952742763101871</v>
      </c>
      <c r="O932">
        <v>0.13620372906460507</v>
      </c>
      <c r="P932">
        <v>17.268017797436016</v>
      </c>
      <c r="Q932">
        <v>12.206003657442498</v>
      </c>
      <c r="R932">
        <v>0.3878088316063612</v>
      </c>
      <c r="S932">
        <v>0.13919611821261815</v>
      </c>
      <c r="T932">
        <v>17.266991392738515</v>
      </c>
      <c r="U932">
        <v>1585.8117472544968</v>
      </c>
      <c r="V932">
        <v>9.5669100846561683</v>
      </c>
      <c r="W932">
        <v>1317.6281226577821</v>
      </c>
      <c r="X932">
        <v>6.9087425315160047</v>
      </c>
      <c r="Y932">
        <v>2912.5725182870269</v>
      </c>
      <c r="Z932">
        <v>9.5948506221540697</v>
      </c>
      <c r="AA932">
        <v>2742.1281508962225</v>
      </c>
      <c r="AB932">
        <v>6.925928322157251</v>
      </c>
      <c r="AC932">
        <v>2248.2174225851431</v>
      </c>
      <c r="AD932">
        <v>9.5817528837740085</v>
      </c>
      <c r="AE932">
        <v>2036.5852720335483</v>
      </c>
      <c r="AF932">
        <v>6.9178824248200836</v>
      </c>
      <c r="AG932">
        <v>2113.0385657316933</v>
      </c>
      <c r="AH932">
        <v>9.5804930201175846</v>
      </c>
      <c r="AI932">
        <v>1896.4098150184941</v>
      </c>
      <c r="AJ932">
        <v>6.9171075406041886</v>
      </c>
    </row>
    <row r="933" spans="4:36" x14ac:dyDescent="0.55000000000000004">
      <c r="D933">
        <v>926</v>
      </c>
      <c r="E933">
        <v>12.534471908536242</v>
      </c>
      <c r="F933">
        <v>0.45395043827754866</v>
      </c>
      <c r="G933">
        <v>0.18278458662143776</v>
      </c>
      <c r="H933">
        <v>16.828793066564771</v>
      </c>
      <c r="I933">
        <v>12.757835509765833</v>
      </c>
      <c r="J933">
        <v>0.29042868340598138</v>
      </c>
      <c r="K933">
        <v>0.11653969876222731</v>
      </c>
      <c r="L933">
        <v>16.835196108065961</v>
      </c>
      <c r="M933">
        <v>12.689325125715463</v>
      </c>
      <c r="N933">
        <v>0.34061496899467131</v>
      </c>
      <c r="O933">
        <v>0.13682165473410812</v>
      </c>
      <c r="P933">
        <v>16.833238250555766</v>
      </c>
      <c r="Q933">
        <v>12.623289080399093</v>
      </c>
      <c r="R933">
        <v>0.38896310810502494</v>
      </c>
      <c r="S933">
        <v>0.15640178978236202</v>
      </c>
      <c r="T933">
        <v>16.831346021713518</v>
      </c>
      <c r="U933">
        <v>1538.8384422974602</v>
      </c>
      <c r="V933">
        <v>9.9125053955937208</v>
      </c>
      <c r="W933">
        <v>1283.7439841040098</v>
      </c>
      <c r="X933">
        <v>7.1134771847095122</v>
      </c>
      <c r="Y933">
        <v>2891.4101587388004</v>
      </c>
      <c r="Z933">
        <v>9.9519825297348152</v>
      </c>
      <c r="AA933">
        <v>2725.957052918523</v>
      </c>
      <c r="AB933">
        <v>7.1367584996483142</v>
      </c>
      <c r="AC933">
        <v>2216.9977261970057</v>
      </c>
      <c r="AD933">
        <v>9.9398706676156259</v>
      </c>
      <c r="AE933">
        <v>2015.7099841328973</v>
      </c>
      <c r="AF933">
        <v>7.1296252693397388</v>
      </c>
      <c r="AG933">
        <v>2121.6160843011799</v>
      </c>
      <c r="AH933">
        <v>9.9281990621812604</v>
      </c>
      <c r="AI933">
        <v>1901.1719119979016</v>
      </c>
      <c r="AJ933">
        <v>7.1227432878709296</v>
      </c>
    </row>
    <row r="934" spans="4:36" x14ac:dyDescent="0.55000000000000004">
      <c r="D934">
        <v>927</v>
      </c>
      <c r="E934">
        <v>12.213954877612444</v>
      </c>
      <c r="F934">
        <v>0.41487063624667075</v>
      </c>
      <c r="G934">
        <v>0.12847953688604211</v>
      </c>
      <c r="H934">
        <v>17.242694949254844</v>
      </c>
      <c r="I934">
        <v>12.384621220977913</v>
      </c>
      <c r="J934">
        <v>0.29021280661219045</v>
      </c>
      <c r="K934">
        <v>8.9652390295427167E-2</v>
      </c>
      <c r="L934">
        <v>17.235513582114489</v>
      </c>
      <c r="M934">
        <v>12.288892906592542</v>
      </c>
      <c r="N934">
        <v>0.36015574043163079</v>
      </c>
      <c r="O934">
        <v>0.1114134622751969</v>
      </c>
      <c r="P934">
        <v>17.239537890700628</v>
      </c>
      <c r="Q934">
        <v>12.287305292804563</v>
      </c>
      <c r="R934">
        <v>0.36131525883870047</v>
      </c>
      <c r="S934">
        <v>0.11177473488617254</v>
      </c>
      <c r="T934">
        <v>17.239604713470555</v>
      </c>
      <c r="U934">
        <v>1484.767525780615</v>
      </c>
      <c r="V934">
        <v>9.6474011738188743</v>
      </c>
      <c r="W934">
        <v>1252.7269034997262</v>
      </c>
      <c r="X934">
        <v>6.967096004778389</v>
      </c>
      <c r="Y934">
        <v>2882.5847858029479</v>
      </c>
      <c r="Z934">
        <v>9.6853150461048827</v>
      </c>
      <c r="AA934">
        <v>2723.0937819948467</v>
      </c>
      <c r="AB934">
        <v>6.9889141824368703</v>
      </c>
      <c r="AC934">
        <v>2198.4018352681896</v>
      </c>
      <c r="AD934">
        <v>9.664050960690842</v>
      </c>
      <c r="AE934">
        <v>2005.0898746019409</v>
      </c>
      <c r="AF934">
        <v>6.9766845864167673</v>
      </c>
      <c r="AG934">
        <v>2075.7440746022971</v>
      </c>
      <c r="AH934">
        <v>9.6636982585580871</v>
      </c>
      <c r="AI934">
        <v>1874.5793812131928</v>
      </c>
      <c r="AJ934">
        <v>6.9764815830146212</v>
      </c>
    </row>
    <row r="935" spans="4:36" x14ac:dyDescent="0.55000000000000004">
      <c r="D935">
        <v>928</v>
      </c>
      <c r="E935">
        <v>11.258018396869391</v>
      </c>
      <c r="F935">
        <v>0.40628456535768481</v>
      </c>
      <c r="G935">
        <v>0.13802612607102033</v>
      </c>
      <c r="H935">
        <v>18.197670911701906</v>
      </c>
      <c r="I935">
        <v>11.416164891738084</v>
      </c>
      <c r="J935">
        <v>0.28104934621881361</v>
      </c>
      <c r="K935">
        <v>9.5249423607247072E-2</v>
      </c>
      <c r="L935">
        <v>18.207536338435879</v>
      </c>
      <c r="M935">
        <v>11.370080587156732</v>
      </c>
      <c r="N935">
        <v>0.31755621434900883</v>
      </c>
      <c r="O935">
        <v>0.10769747830162527</v>
      </c>
      <c r="P935">
        <v>18.204665720192637</v>
      </c>
      <c r="Q935">
        <v>11.332854712132162</v>
      </c>
      <c r="R935">
        <v>0.34703786776459417</v>
      </c>
      <c r="S935">
        <v>0.11776303187048034</v>
      </c>
      <c r="T935">
        <v>18.202344388232767</v>
      </c>
      <c r="U935">
        <v>1450.697601578283</v>
      </c>
      <c r="V935">
        <v>8.8676840407729891</v>
      </c>
      <c r="W935">
        <v>1233.0667242176908</v>
      </c>
      <c r="X935">
        <v>6.4997387732498764</v>
      </c>
      <c r="Y935">
        <v>2858.1289131596395</v>
      </c>
      <c r="Z935">
        <v>8.8898672027335035</v>
      </c>
      <c r="AA935">
        <v>2709.0500916393544</v>
      </c>
      <c r="AB935">
        <v>6.5133529719671079</v>
      </c>
      <c r="AC935">
        <v>2138.6432984337257</v>
      </c>
      <c r="AD935">
        <v>8.8834004370693158</v>
      </c>
      <c r="AE935">
        <v>1968.2878080199737</v>
      </c>
      <c r="AF935">
        <v>6.5093890669349186</v>
      </c>
      <c r="AG935">
        <v>2033.0501814449458</v>
      </c>
      <c r="AH935">
        <v>8.8781782448824274</v>
      </c>
      <c r="AI935">
        <v>1848.3783014161179</v>
      </c>
      <c r="AJ935">
        <v>6.5061851340454409</v>
      </c>
    </row>
    <row r="936" spans="4:36" x14ac:dyDescent="0.55000000000000004">
      <c r="D936">
        <v>929</v>
      </c>
      <c r="E936">
        <v>12.04691391872036</v>
      </c>
      <c r="F936">
        <v>0.39693987791095076</v>
      </c>
      <c r="G936">
        <v>0.14744221519808814</v>
      </c>
      <c r="H936">
        <v>17.408703988170586</v>
      </c>
      <c r="I936">
        <v>12.222764711272365</v>
      </c>
      <c r="J936">
        <v>0.27603746802793072</v>
      </c>
      <c r="K936">
        <v>0.10226074639039047</v>
      </c>
      <c r="L936">
        <v>17.39893707430933</v>
      </c>
      <c r="M936">
        <v>12.157484456868749</v>
      </c>
      <c r="N936">
        <v>0.32094339538338013</v>
      </c>
      <c r="O936">
        <v>0.11901371167466974</v>
      </c>
      <c r="P936">
        <v>17.402558436073186</v>
      </c>
      <c r="Q936">
        <v>12.129602992112412</v>
      </c>
      <c r="R936">
        <v>0.34011432648377599</v>
      </c>
      <c r="S936">
        <v>0.12617598144867501</v>
      </c>
      <c r="T936">
        <v>17.40410669995514</v>
      </c>
      <c r="U936">
        <v>1487.398782731646</v>
      </c>
      <c r="V936">
        <v>9.4837612268694489</v>
      </c>
      <c r="W936">
        <v>1255.8167377278967</v>
      </c>
      <c r="X936">
        <v>6.8661663116597635</v>
      </c>
      <c r="Y936">
        <v>2875.4710617205278</v>
      </c>
      <c r="Z936">
        <v>9.5226279517212316</v>
      </c>
      <c r="AA936">
        <v>2718.8226850401675</v>
      </c>
      <c r="AB936">
        <v>6.8885917961006573</v>
      </c>
      <c r="AC936">
        <v>2176.4054469566472</v>
      </c>
      <c r="AD936">
        <v>9.5082017589837147</v>
      </c>
      <c r="AE936">
        <v>1991.80691968567</v>
      </c>
      <c r="AF936">
        <v>6.8802754831328148</v>
      </c>
      <c r="AG936">
        <v>2062.5633770881709</v>
      </c>
      <c r="AH936">
        <v>9.5020395133478956</v>
      </c>
      <c r="AI936">
        <v>1866.4040408582887</v>
      </c>
      <c r="AJ936">
        <v>6.8767204716389152</v>
      </c>
    </row>
    <row r="937" spans="4:36" x14ac:dyDescent="0.55000000000000004">
      <c r="D937">
        <v>930</v>
      </c>
      <c r="E937">
        <v>12.407180721323636</v>
      </c>
      <c r="F937">
        <v>0.4276473297637316</v>
      </c>
      <c r="G937">
        <v>0.15543463162452562</v>
      </c>
      <c r="H937">
        <v>17.00973731728811</v>
      </c>
      <c r="I937">
        <v>12.616955449795791</v>
      </c>
      <c r="J937">
        <v>0.27827318395397049</v>
      </c>
      <c r="K937">
        <v>0.10082805436921272</v>
      </c>
      <c r="L937">
        <v>17.003943311881031</v>
      </c>
      <c r="M937">
        <v>12.506202044703219</v>
      </c>
      <c r="N937">
        <v>0.3571709965624334</v>
      </c>
      <c r="O937">
        <v>0.12962766366858747</v>
      </c>
      <c r="P937">
        <v>17.006999295065768</v>
      </c>
      <c r="Q937">
        <v>12.489995664749406</v>
      </c>
      <c r="R937">
        <v>0.36870968940763604</v>
      </c>
      <c r="S937">
        <v>0.13384760457528888</v>
      </c>
      <c r="T937">
        <v>17.00744704126766</v>
      </c>
      <c r="U937">
        <v>1521.0999031688161</v>
      </c>
      <c r="V937">
        <v>9.7318416657221274</v>
      </c>
      <c r="W937">
        <v>1273.4905520158873</v>
      </c>
      <c r="X937">
        <v>7.0020326288257664</v>
      </c>
      <c r="Y937">
        <v>2902.0807113433029</v>
      </c>
      <c r="Z937">
        <v>9.7717963944360928</v>
      </c>
      <c r="AA937">
        <v>2734.9660656610072</v>
      </c>
      <c r="AB937">
        <v>7.024958534396645</v>
      </c>
      <c r="AC937">
        <v>2228.0684003788756</v>
      </c>
      <c r="AD937">
        <v>9.7507043240142366</v>
      </c>
      <c r="AE937">
        <v>2022.897096842021</v>
      </c>
      <c r="AF937">
        <v>7.0128651559517747</v>
      </c>
      <c r="AG937">
        <v>2110.3225993910892</v>
      </c>
      <c r="AH937">
        <v>9.7476174723592113</v>
      </c>
      <c r="AI937">
        <v>1895.0593372074343</v>
      </c>
      <c r="AJ937">
        <v>7.0110935570707467</v>
      </c>
    </row>
    <row r="938" spans="4:36" x14ac:dyDescent="0.55000000000000004">
      <c r="D938">
        <v>931</v>
      </c>
      <c r="E938">
        <v>12.435194954633303</v>
      </c>
      <c r="F938">
        <v>0.48052769726917272</v>
      </c>
      <c r="G938">
        <v>0.1689138007766938</v>
      </c>
      <c r="H938">
        <v>16.915363547320826</v>
      </c>
      <c r="I938">
        <v>12.650292461397045</v>
      </c>
      <c r="J938">
        <v>0.31280882526918691</v>
      </c>
      <c r="K938">
        <v>0.10961410246359569</v>
      </c>
      <c r="L938">
        <v>16.927284610870156</v>
      </c>
      <c r="M938">
        <v>12.571385008141153</v>
      </c>
      <c r="N938">
        <v>0.37436243798454422</v>
      </c>
      <c r="O938">
        <v>0.13133367739515242</v>
      </c>
      <c r="P938">
        <v>16.922918876479141</v>
      </c>
      <c r="Q938">
        <v>12.545030918740673</v>
      </c>
      <c r="R938">
        <v>0.3949136805441309</v>
      </c>
      <c r="S938">
        <v>0.13859653882618253</v>
      </c>
      <c r="T938">
        <v>16.921458861889011</v>
      </c>
      <c r="U938">
        <v>1552.8490034387917</v>
      </c>
      <c r="V938">
        <v>9.8431147366336571</v>
      </c>
      <c r="W938">
        <v>1288.5388038904032</v>
      </c>
      <c r="X938">
        <v>7.0719421659419348</v>
      </c>
      <c r="Y938">
        <v>2909.6931482933869</v>
      </c>
      <c r="Z938">
        <v>9.8758981122888123</v>
      </c>
      <c r="AA938">
        <v>2735.3077435317773</v>
      </c>
      <c r="AB938">
        <v>7.0915698188388658</v>
      </c>
      <c r="AC938">
        <v>2234.5408902148351</v>
      </c>
      <c r="AD938">
        <v>9.8638667537995435</v>
      </c>
      <c r="AE938">
        <v>2023.2629254934275</v>
      </c>
      <c r="AF938">
        <v>7.084375679205686</v>
      </c>
      <c r="AG938">
        <v>2129.2982489475726</v>
      </c>
      <c r="AH938">
        <v>9.8598497023019132</v>
      </c>
      <c r="AI938">
        <v>1903.5918615031715</v>
      </c>
      <c r="AJ938">
        <v>7.0819713442135619</v>
      </c>
    </row>
    <row r="939" spans="4:36" x14ac:dyDescent="0.55000000000000004">
      <c r="D939">
        <v>932</v>
      </c>
      <c r="E939">
        <v>11.532439086714268</v>
      </c>
      <c r="F939">
        <v>0.43992153918582266</v>
      </c>
      <c r="G939">
        <v>0.16952537299844339</v>
      </c>
      <c r="H939">
        <v>17.85811400110147</v>
      </c>
      <c r="I939">
        <v>11.751971359828541</v>
      </c>
      <c r="J939">
        <v>0.26842669121149682</v>
      </c>
      <c r="K939">
        <v>0.10307840397020562</v>
      </c>
      <c r="L939">
        <v>17.876523544989752</v>
      </c>
      <c r="M939">
        <v>11.675585881118232</v>
      </c>
      <c r="N939">
        <v>0.32812599373369389</v>
      </c>
      <c r="O939">
        <v>0.1261560302049497</v>
      </c>
      <c r="P939">
        <v>17.870132094943134</v>
      </c>
      <c r="Q939">
        <v>11.623396072818737</v>
      </c>
      <c r="R939">
        <v>0.36889780418265644</v>
      </c>
      <c r="S939">
        <v>0.14194954920367128</v>
      </c>
      <c r="T939">
        <v>17.86575657379495</v>
      </c>
      <c r="U939">
        <v>1481.4301992343921</v>
      </c>
      <c r="V939">
        <v>9.1060823983944168</v>
      </c>
      <c r="W939">
        <v>1249.6279133716102</v>
      </c>
      <c r="X939">
        <v>6.6392759685499163</v>
      </c>
      <c r="Y939">
        <v>2886.4800261610076</v>
      </c>
      <c r="Z939">
        <v>9.1382386673778839</v>
      </c>
      <c r="AA939">
        <v>2728.6383087674744</v>
      </c>
      <c r="AB939">
        <v>6.6592106473728379</v>
      </c>
      <c r="AC939">
        <v>2177.4397142576058</v>
      </c>
      <c r="AD939">
        <v>9.1270414672125764</v>
      </c>
      <c r="AE939">
        <v>1993.3107068184936</v>
      </c>
      <c r="AF939">
        <v>6.6522804682659507</v>
      </c>
      <c r="AG939">
        <v>2062.2535910623346</v>
      </c>
      <c r="AH939">
        <v>9.1193962843746377</v>
      </c>
      <c r="AI939">
        <v>1865.2377508429402</v>
      </c>
      <c r="AJ939">
        <v>6.6475417973011037</v>
      </c>
    </row>
    <row r="940" spans="4:36" x14ac:dyDescent="0.55000000000000004">
      <c r="D940">
        <v>933</v>
      </c>
      <c r="E940">
        <v>12.704341581115902</v>
      </c>
      <c r="F940">
        <v>0.48959046060276362</v>
      </c>
      <c r="G940">
        <v>0.15686134705905674</v>
      </c>
      <c r="H940">
        <v>16.649206611222297</v>
      </c>
      <c r="I940">
        <v>12.923772561947231</v>
      </c>
      <c r="J940">
        <v>0.31557334436681711</v>
      </c>
      <c r="K940">
        <v>0.10080277395618852</v>
      </c>
      <c r="L940">
        <v>16.659851319729754</v>
      </c>
      <c r="M940">
        <v>12.830006685589233</v>
      </c>
      <c r="N940">
        <v>0.38996076115409456</v>
      </c>
      <c r="O940">
        <v>0.12472426130587358</v>
      </c>
      <c r="P940">
        <v>16.655308291950796</v>
      </c>
      <c r="Q940">
        <v>12.793716391943651</v>
      </c>
      <c r="R940">
        <v>0.41874000886390639</v>
      </c>
      <c r="S940">
        <v>0.13399583674008578</v>
      </c>
      <c r="T940">
        <v>16.653547762452341</v>
      </c>
      <c r="U940">
        <v>1563.9639789817545</v>
      </c>
      <c r="V940">
        <v>10.145286510747296</v>
      </c>
      <c r="W940">
        <v>1297.3989518911601</v>
      </c>
      <c r="X940">
        <v>7.2611241567027145</v>
      </c>
      <c r="Y940">
        <v>2877.7432524271862</v>
      </c>
      <c r="Z940">
        <v>10.181637671654219</v>
      </c>
      <c r="AA940">
        <v>2713.1221428473286</v>
      </c>
      <c r="AB940">
        <v>7.2825343400620888</v>
      </c>
      <c r="AC940">
        <v>2254.5592676504821</v>
      </c>
      <c r="AD940">
        <v>10.166101018454691</v>
      </c>
      <c r="AE940">
        <v>2037.6206480079493</v>
      </c>
      <c r="AF940">
        <v>7.2733932659859732</v>
      </c>
      <c r="AG940">
        <v>2141.3489915011501</v>
      </c>
      <c r="AH940">
        <v>10.160089171859482</v>
      </c>
      <c r="AI940">
        <v>1911.6251229340378</v>
      </c>
      <c r="AJ940">
        <v>7.2698522799092427</v>
      </c>
    </row>
    <row r="941" spans="4:36" x14ac:dyDescent="0.55000000000000004">
      <c r="D941">
        <v>934</v>
      </c>
      <c r="E941">
        <v>12.749064524882611</v>
      </c>
      <c r="F941">
        <v>0.47807111205787378</v>
      </c>
      <c r="G941">
        <v>0.18868355174915721</v>
      </c>
      <c r="H941">
        <v>16.584180811310361</v>
      </c>
      <c r="I941">
        <v>12.953075025731064</v>
      </c>
      <c r="J941">
        <v>0.32295017052396047</v>
      </c>
      <c r="K941">
        <v>0.12708563096944708</v>
      </c>
      <c r="L941">
        <v>16.596889172775537</v>
      </c>
      <c r="M941">
        <v>12.881336743811929</v>
      </c>
      <c r="N941">
        <v>0.37752184835282493</v>
      </c>
      <c r="O941">
        <v>0.1487138429913239</v>
      </c>
      <c r="P941">
        <v>16.592427564843938</v>
      </c>
      <c r="Q941">
        <v>12.828297881846364</v>
      </c>
      <c r="R941">
        <v>0.41785144620187081</v>
      </c>
      <c r="S941">
        <v>0.16472672507919392</v>
      </c>
      <c r="T941">
        <v>16.589123946872576</v>
      </c>
      <c r="U941">
        <v>1574.9435366324201</v>
      </c>
      <c r="V941">
        <v>10.122960773819287</v>
      </c>
      <c r="W941">
        <v>1304.9638074963329</v>
      </c>
      <c r="X941">
        <v>7.2379063567589981</v>
      </c>
      <c r="Y941">
        <v>2909.4021705325986</v>
      </c>
      <c r="Z941">
        <v>10.154324737477717</v>
      </c>
      <c r="AA941">
        <v>2734.4678015149643</v>
      </c>
      <c r="AB941">
        <v>7.2565661701999105</v>
      </c>
      <c r="AC941">
        <v>2226.698183955833</v>
      </c>
      <c r="AD941">
        <v>10.143291761619567</v>
      </c>
      <c r="AE941">
        <v>2017.5520006124186</v>
      </c>
      <c r="AF941">
        <v>7.2500099032604668</v>
      </c>
      <c r="AG941">
        <v>2135.5408680038727</v>
      </c>
      <c r="AH941">
        <v>10.135137543340715</v>
      </c>
      <c r="AI941">
        <v>1906.4428967526549</v>
      </c>
      <c r="AJ941">
        <v>7.2451589403563927</v>
      </c>
    </row>
    <row r="942" spans="4:36" x14ac:dyDescent="0.55000000000000004">
      <c r="D942">
        <v>935</v>
      </c>
      <c r="E942">
        <v>12.759818456567146</v>
      </c>
      <c r="F942">
        <v>0.42379532474200643</v>
      </c>
      <c r="G942">
        <v>0.17631664838471403</v>
      </c>
      <c r="H942">
        <v>16.640069570306139</v>
      </c>
      <c r="I942">
        <v>12.985710146014826</v>
      </c>
      <c r="J942">
        <v>0.27415886701142628</v>
      </c>
      <c r="K942">
        <v>0.11366329835669592</v>
      </c>
      <c r="L942">
        <v>16.626467688617044</v>
      </c>
      <c r="M942">
        <v>12.874079083286411</v>
      </c>
      <c r="N942">
        <v>0.34814919061639649</v>
      </c>
      <c r="O942">
        <v>0.14458768322487889</v>
      </c>
      <c r="P942">
        <v>16.633184042872305</v>
      </c>
      <c r="Q942">
        <v>12.85900303592194</v>
      </c>
      <c r="R942">
        <v>0.35813534078638243</v>
      </c>
      <c r="S942">
        <v>0.14876971117961649</v>
      </c>
      <c r="T942">
        <v>16.634091912112066</v>
      </c>
      <c r="U942">
        <v>1516.9156980938146</v>
      </c>
      <c r="V942">
        <v>10.038582837647741</v>
      </c>
      <c r="W942">
        <v>1267.7466224854795</v>
      </c>
      <c r="X942">
        <v>7.1849436937602338</v>
      </c>
      <c r="Y942">
        <v>2899.0964321399701</v>
      </c>
      <c r="Z942">
        <v>10.090113030843028</v>
      </c>
      <c r="AA942">
        <v>2731.0783353818347</v>
      </c>
      <c r="AB942">
        <v>7.2142921857729068</v>
      </c>
      <c r="AC942">
        <v>2234.492726182948</v>
      </c>
      <c r="AD942">
        <v>10.064651572016643</v>
      </c>
      <c r="AE942">
        <v>2025.706658654211</v>
      </c>
      <c r="AF942">
        <v>7.1998030080801563</v>
      </c>
      <c r="AG942">
        <v>2103.5641368866345</v>
      </c>
      <c r="AH942">
        <v>10.061212385711627</v>
      </c>
      <c r="AI942">
        <v>1888.3730373205196</v>
      </c>
      <c r="AJ942">
        <v>7.1978440848854532</v>
      </c>
    </row>
    <row r="943" spans="4:36" x14ac:dyDescent="0.55000000000000004">
      <c r="D943">
        <v>936</v>
      </c>
      <c r="E943">
        <v>12.27049596241932</v>
      </c>
      <c r="F943">
        <v>0.41112707227023593</v>
      </c>
      <c r="G943">
        <v>0.15627179561257082</v>
      </c>
      <c r="H943">
        <v>17.162105169697877</v>
      </c>
      <c r="I943">
        <v>12.46500544850602</v>
      </c>
      <c r="J943">
        <v>0.27422752315132592</v>
      </c>
      <c r="K943">
        <v>0.1039263088856074</v>
      </c>
      <c r="L943">
        <v>17.156840719457051</v>
      </c>
      <c r="M943">
        <v>12.373522982313295</v>
      </c>
      <c r="N943">
        <v>0.33864440739738727</v>
      </c>
      <c r="O943">
        <v>0.12851772846188142</v>
      </c>
      <c r="P943">
        <v>17.159314881827441</v>
      </c>
      <c r="Q943">
        <v>12.328460686018566</v>
      </c>
      <c r="R943">
        <v>0.37035539887229801</v>
      </c>
      <c r="S943">
        <v>0.14064911833133842</v>
      </c>
      <c r="T943">
        <v>17.160534796777796</v>
      </c>
      <c r="U943">
        <v>1521.8748814068977</v>
      </c>
      <c r="V943">
        <v>9.6279549625593841</v>
      </c>
      <c r="W943">
        <v>1278.3335658746612</v>
      </c>
      <c r="X943">
        <v>6.943914578395801</v>
      </c>
      <c r="Y943">
        <v>2878.5875838876009</v>
      </c>
      <c r="Z943">
        <v>9.6680051006472159</v>
      </c>
      <c r="AA943">
        <v>2720.2693159198629</v>
      </c>
      <c r="AB943">
        <v>6.9671345768171467</v>
      </c>
      <c r="AC943">
        <v>2211.6849885735405</v>
      </c>
      <c r="AD943">
        <v>9.649169374722053</v>
      </c>
      <c r="AE943">
        <v>2014.9260833054118</v>
      </c>
      <c r="AF943">
        <v>6.9562232658945016</v>
      </c>
      <c r="AG943">
        <v>2105.6357808726407</v>
      </c>
      <c r="AH943">
        <v>9.6398907713902329</v>
      </c>
      <c r="AI943">
        <v>1894.1929036399147</v>
      </c>
      <c r="AJ943">
        <v>6.9508423321677375</v>
      </c>
    </row>
    <row r="944" spans="4:36" x14ac:dyDescent="0.55000000000000004">
      <c r="D944">
        <v>937</v>
      </c>
      <c r="E944">
        <v>11.824228341101717</v>
      </c>
      <c r="F944">
        <v>0.44150561387143877</v>
      </c>
      <c r="G944">
        <v>0.14720150463004275</v>
      </c>
      <c r="H944">
        <v>17.587064540396824</v>
      </c>
      <c r="I944">
        <v>12.02679862962912</v>
      </c>
      <c r="J944">
        <v>0.28088977249834746</v>
      </c>
      <c r="K944">
        <v>9.3371918601440534E-2</v>
      </c>
      <c r="L944">
        <v>17.598939679271073</v>
      </c>
      <c r="M944">
        <v>11.925549291053718</v>
      </c>
      <c r="N944">
        <v>0.36119434551078655</v>
      </c>
      <c r="O944">
        <v>0.1202449072396312</v>
      </c>
      <c r="P944">
        <v>17.593011456195878</v>
      </c>
      <c r="Q944">
        <v>11.903454855218545</v>
      </c>
      <c r="R944">
        <v>0.37871162250155133</v>
      </c>
      <c r="S944">
        <v>0.126117630902848</v>
      </c>
      <c r="T944">
        <v>17.591715891377067</v>
      </c>
      <c r="U944">
        <v>1477.3184935891964</v>
      </c>
      <c r="V944">
        <v>9.3162355729789628</v>
      </c>
      <c r="W944">
        <v>1246.7977031342725</v>
      </c>
      <c r="X944">
        <v>6.7625652270156289</v>
      </c>
      <c r="Y944">
        <v>2856.3769239184057</v>
      </c>
      <c r="Z944">
        <v>9.3463215545311762</v>
      </c>
      <c r="AA944">
        <v>2705.7407955295771</v>
      </c>
      <c r="AB944">
        <v>6.7806587888160772</v>
      </c>
      <c r="AC944">
        <v>2180.2603063168799</v>
      </c>
      <c r="AD944">
        <v>9.3312801812890189</v>
      </c>
      <c r="AE944">
        <v>1992.9592480491342</v>
      </c>
      <c r="AF944">
        <v>6.7716219126464319</v>
      </c>
      <c r="AG944">
        <v>2074.1251596445009</v>
      </c>
      <c r="AH944">
        <v>9.3279988617652716</v>
      </c>
      <c r="AI944">
        <v>1873.3965342458716</v>
      </c>
      <c r="AJ944">
        <v>6.7696481285281775</v>
      </c>
    </row>
    <row r="945" spans="4:36" x14ac:dyDescent="0.55000000000000004">
      <c r="D945">
        <v>938</v>
      </c>
      <c r="E945">
        <v>13.734832628451178</v>
      </c>
      <c r="F945">
        <v>0.51684650624781237</v>
      </c>
      <c r="G945">
        <v>0.18290800290927187</v>
      </c>
      <c r="H945">
        <v>15.565412862391728</v>
      </c>
      <c r="I945">
        <v>13.998227905924033</v>
      </c>
      <c r="J945">
        <v>0.33409945223931575</v>
      </c>
      <c r="K945">
        <v>0.11783421272026624</v>
      </c>
      <c r="L945">
        <v>15.54983842911639</v>
      </c>
      <c r="M945">
        <v>13.893663643544926</v>
      </c>
      <c r="N945">
        <v>0.40669754848706746</v>
      </c>
      <c r="O945">
        <v>0.14363163860080849</v>
      </c>
      <c r="P945">
        <v>15.5560071693672</v>
      </c>
      <c r="Q945">
        <v>13.854188781241815</v>
      </c>
      <c r="R945">
        <v>0.43408754837313263</v>
      </c>
      <c r="S945">
        <v>0.15338288944563169</v>
      </c>
      <c r="T945">
        <v>15.558340780939414</v>
      </c>
      <c r="U945">
        <v>1633.2658728751878</v>
      </c>
      <c r="V945">
        <v>10.903788986302828</v>
      </c>
      <c r="W945">
        <v>1339.0667288763775</v>
      </c>
      <c r="X945">
        <v>7.6870223226651255</v>
      </c>
      <c r="Y945">
        <v>2947.8264478266892</v>
      </c>
      <c r="Z945">
        <v>10.959654455079967</v>
      </c>
      <c r="AA945">
        <v>2758.0114569044767</v>
      </c>
      <c r="AB945">
        <v>7.7180769078369869</v>
      </c>
      <c r="AC945">
        <v>2282.4731455255869</v>
      </c>
      <c r="AD945">
        <v>10.937485020199057</v>
      </c>
      <c r="AE945">
        <v>2051.5141157984108</v>
      </c>
      <c r="AF945">
        <v>7.7057651361989068</v>
      </c>
      <c r="AG945">
        <v>2163.3815667392369</v>
      </c>
      <c r="AH945">
        <v>10.929112809993606</v>
      </c>
      <c r="AI945">
        <v>1921.244271743582</v>
      </c>
      <c r="AJ945">
        <v>7.7011116151389896</v>
      </c>
    </row>
    <row r="946" spans="4:36" x14ac:dyDescent="0.55000000000000004">
      <c r="D946">
        <v>939</v>
      </c>
      <c r="E946">
        <v>12.363345734739207</v>
      </c>
      <c r="F946">
        <v>0.43384698138354677</v>
      </c>
      <c r="G946">
        <v>0.15716021269487865</v>
      </c>
      <c r="H946">
        <v>17.045647071182358</v>
      </c>
      <c r="I946">
        <v>12.591154522500469</v>
      </c>
      <c r="J946">
        <v>0.2733293856005839</v>
      </c>
      <c r="K946">
        <v>9.8676540461350146E-2</v>
      </c>
      <c r="L946">
        <v>17.036839551437598</v>
      </c>
      <c r="M946">
        <v>12.471240746085154</v>
      </c>
      <c r="N946">
        <v>0.35786307718304744</v>
      </c>
      <c r="O946">
        <v>0.12942552459892037</v>
      </c>
      <c r="P946">
        <v>17.041470652132887</v>
      </c>
      <c r="Q946">
        <v>12.482442863402452</v>
      </c>
      <c r="R946">
        <v>0.34996990435083786</v>
      </c>
      <c r="S946">
        <v>0.1265496767908314</v>
      </c>
      <c r="T946">
        <v>17.041037555455858</v>
      </c>
      <c r="U946">
        <v>1536.1359030143258</v>
      </c>
      <c r="V946">
        <v>9.7484779718577119</v>
      </c>
      <c r="W946">
        <v>1285.262194836761</v>
      </c>
      <c r="X946">
        <v>7.0192353497989064</v>
      </c>
      <c r="Y946">
        <v>2880.3472819563985</v>
      </c>
      <c r="Z946">
        <v>9.7969807097178894</v>
      </c>
      <c r="AA946">
        <v>2720.4958444752069</v>
      </c>
      <c r="AB946">
        <v>7.0471595112272061</v>
      </c>
      <c r="AC946">
        <v>2191.9142045388749</v>
      </c>
      <c r="AD946">
        <v>9.7714525325524377</v>
      </c>
      <c r="AE946">
        <v>1997.7743785731227</v>
      </c>
      <c r="AF946">
        <v>7.0324747153509666</v>
      </c>
      <c r="AG946">
        <v>2110.918904529924</v>
      </c>
      <c r="AH946">
        <v>9.7738375746589892</v>
      </c>
      <c r="AI946">
        <v>1898.0286436004606</v>
      </c>
      <c r="AJ946">
        <v>7.0338478419870452</v>
      </c>
    </row>
    <row r="947" spans="4:36" x14ac:dyDescent="0.55000000000000004">
      <c r="D947">
        <v>940</v>
      </c>
      <c r="E947">
        <v>13.293630515960842</v>
      </c>
      <c r="F947">
        <v>0.46047193031201972</v>
      </c>
      <c r="G947">
        <v>0.15394441603573744</v>
      </c>
      <c r="H947">
        <v>16.091953137691409</v>
      </c>
      <c r="I947">
        <v>13.519120754149645</v>
      </c>
      <c r="J947">
        <v>0.30382612474331516</v>
      </c>
      <c r="K947">
        <v>0.10125468418471598</v>
      </c>
      <c r="L947">
        <v>16.07579843692233</v>
      </c>
      <c r="M947">
        <v>13.457341384432668</v>
      </c>
      <c r="N947">
        <v>0.3467746640736733</v>
      </c>
      <c r="O947">
        <v>0.11566740600602324</v>
      </c>
      <c r="P947">
        <v>16.080216545487641</v>
      </c>
      <c r="Q947">
        <v>13.395289933112338</v>
      </c>
      <c r="R947">
        <v>0.38988885998280498</v>
      </c>
      <c r="S947">
        <v>0.13016109665035167</v>
      </c>
      <c r="T947">
        <v>16.084660110254511</v>
      </c>
      <c r="U947">
        <v>1593.8336601951057</v>
      </c>
      <c r="V947">
        <v>10.523798056625829</v>
      </c>
      <c r="W947">
        <v>1315.894981841667</v>
      </c>
      <c r="X947">
        <v>7.4730551535856709</v>
      </c>
      <c r="Y947">
        <v>2918.0251263217447</v>
      </c>
      <c r="Z947">
        <v>10.576472665815727</v>
      </c>
      <c r="AA947">
        <v>2739.5946042069268</v>
      </c>
      <c r="AB947">
        <v>7.5026149926320125</v>
      </c>
      <c r="AC947">
        <v>2222.1477301539221</v>
      </c>
      <c r="AD947">
        <v>10.562045747356422</v>
      </c>
      <c r="AE947">
        <v>2013.6548139896122</v>
      </c>
      <c r="AF947">
        <v>7.4945275945687593</v>
      </c>
      <c r="AG947">
        <v>2168.2776049239842</v>
      </c>
      <c r="AH947">
        <v>10.547551683179131</v>
      </c>
      <c r="AI947">
        <v>1928.662294742963</v>
      </c>
      <c r="AJ947">
        <v>7.486395995282888</v>
      </c>
    </row>
    <row r="948" spans="4:36" x14ac:dyDescent="0.55000000000000004">
      <c r="D948">
        <v>941</v>
      </c>
      <c r="E948">
        <v>12.54725794917019</v>
      </c>
      <c r="F948">
        <v>0.46239670459625776</v>
      </c>
      <c r="G948">
        <v>0.2077853779072395</v>
      </c>
      <c r="H948">
        <v>16.782559968326332</v>
      </c>
      <c r="I948">
        <v>12.794302459091201</v>
      </c>
      <c r="J948">
        <v>0.28426541119084542</v>
      </c>
      <c r="K948">
        <v>0.12726185814904872</v>
      </c>
      <c r="L948">
        <v>16.794170271568909</v>
      </c>
      <c r="M948">
        <v>12.697808907823594</v>
      </c>
      <c r="N948">
        <v>0.3538853081982522</v>
      </c>
      <c r="O948">
        <v>0.15866046662059172</v>
      </c>
      <c r="P948">
        <v>16.789645317357554</v>
      </c>
      <c r="Q948">
        <v>12.640628943639925</v>
      </c>
      <c r="R948">
        <v>0.39511444269784768</v>
      </c>
      <c r="S948">
        <v>0.17729867132385821</v>
      </c>
      <c r="T948">
        <v>16.786957942338358</v>
      </c>
      <c r="U948">
        <v>1557.9115515692367</v>
      </c>
      <c r="V948">
        <v>9.9588562573187751</v>
      </c>
      <c r="W948">
        <v>1293.0399957597485</v>
      </c>
      <c r="X948">
        <v>7.1420692471825742</v>
      </c>
      <c r="Y948">
        <v>2918.4854718216347</v>
      </c>
      <c r="Z948">
        <v>9.9992820450057316</v>
      </c>
      <c r="AA948">
        <v>2743.5655213941609</v>
      </c>
      <c r="AB948">
        <v>7.1660519180652722</v>
      </c>
      <c r="AC948">
        <v>2240.1227579375964</v>
      </c>
      <c r="AD948">
        <v>9.9834864406660895</v>
      </c>
      <c r="AE948">
        <v>2028.4270123970373</v>
      </c>
      <c r="AF948">
        <v>7.1566937221086242</v>
      </c>
      <c r="AG948">
        <v>2146.7654365023709</v>
      </c>
      <c r="AH948">
        <v>9.9741297008072376</v>
      </c>
      <c r="AI948">
        <v>1915.5669355253301</v>
      </c>
      <c r="AJ948">
        <v>7.1511426973417649</v>
      </c>
    </row>
    <row r="949" spans="4:36" x14ac:dyDescent="0.55000000000000004">
      <c r="D949">
        <v>942</v>
      </c>
      <c r="E949">
        <v>12.805400677104798</v>
      </c>
      <c r="F949">
        <v>0.45468765592765636</v>
      </c>
      <c r="G949">
        <v>0.17904771445113377</v>
      </c>
      <c r="H949">
        <v>16.560863952516407</v>
      </c>
      <c r="I949">
        <v>13.059437843519856</v>
      </c>
      <c r="J949">
        <v>0.27861686931052509</v>
      </c>
      <c r="K949">
        <v>0.1092934081068927</v>
      </c>
      <c r="L949">
        <v>16.552651879062733</v>
      </c>
      <c r="M949">
        <v>12.959036434296257</v>
      </c>
      <c r="N949">
        <v>0.34825277699521279</v>
      </c>
      <c r="O949">
        <v>0.13681619128031844</v>
      </c>
      <c r="P949">
        <v>16.55589459742821</v>
      </c>
      <c r="Q949">
        <v>12.886647325709466</v>
      </c>
      <c r="R949">
        <v>0.39842073360429769</v>
      </c>
      <c r="S949">
        <v>0.15669701843768702</v>
      </c>
      <c r="T949">
        <v>16.558234922248538</v>
      </c>
      <c r="U949">
        <v>1569.4751161878989</v>
      </c>
      <c r="V949">
        <v>10.135281104550097</v>
      </c>
      <c r="W949">
        <v>1302.4291467382488</v>
      </c>
      <c r="X949">
        <v>7.2447213772234749</v>
      </c>
      <c r="Y949">
        <v>2895.5117202573242</v>
      </c>
      <c r="Z949">
        <v>10.186324949196845</v>
      </c>
      <c r="AA949">
        <v>2727.6788090282012</v>
      </c>
      <c r="AB949">
        <v>7.2740049028837239</v>
      </c>
      <c r="AC949">
        <v>2222.0612655309337</v>
      </c>
      <c r="AD949">
        <v>10.166152839854128</v>
      </c>
      <c r="AE949">
        <v>2016.1455574730344</v>
      </c>
      <c r="AF949">
        <v>7.2624456822952235</v>
      </c>
      <c r="AG949">
        <v>2125.7370343057851</v>
      </c>
      <c r="AH949">
        <v>10.151607509323986</v>
      </c>
      <c r="AI949">
        <v>1900.5326346680524</v>
      </c>
      <c r="AJ949">
        <v>7.2540999572058276</v>
      </c>
    </row>
    <row r="950" spans="4:36" x14ac:dyDescent="0.55000000000000004">
      <c r="D950">
        <v>943</v>
      </c>
      <c r="E950">
        <v>11.25310085155194</v>
      </c>
      <c r="F950">
        <v>0.43667253218663693</v>
      </c>
      <c r="G950">
        <v>0.14696140608932243</v>
      </c>
      <c r="H950">
        <v>18.163265210172103</v>
      </c>
      <c r="I950">
        <v>11.439587256692464</v>
      </c>
      <c r="J950">
        <v>0.28061180289090887</v>
      </c>
      <c r="K950">
        <v>9.4171639928796652E-2</v>
      </c>
      <c r="L950">
        <v>18.185629300487836</v>
      </c>
      <c r="M950">
        <v>11.356576230249072</v>
      </c>
      <c r="N950">
        <v>0.35009698215855334</v>
      </c>
      <c r="O950">
        <v>0.11763851840812037</v>
      </c>
      <c r="P950">
        <v>18.175688269184263</v>
      </c>
      <c r="Q950">
        <v>11.341681891943727</v>
      </c>
      <c r="R950">
        <v>0.36256145601056533</v>
      </c>
      <c r="S950">
        <v>0.12185441991613005</v>
      </c>
      <c r="T950">
        <v>18.173902232129571</v>
      </c>
      <c r="U950">
        <v>1509.1330359901119</v>
      </c>
      <c r="V950">
        <v>8.8995576118285591</v>
      </c>
      <c r="W950">
        <v>1271.7905879794298</v>
      </c>
      <c r="X950">
        <v>6.5196314593995695</v>
      </c>
      <c r="Y950">
        <v>2850.299782167825</v>
      </c>
      <c r="Z950">
        <v>8.9215703270628968</v>
      </c>
      <c r="AA950">
        <v>2702.0852739676561</v>
      </c>
      <c r="AB950">
        <v>6.5337819236104826</v>
      </c>
      <c r="AC950">
        <v>2177.1425873313829</v>
      </c>
      <c r="AD950">
        <v>8.9117630361485993</v>
      </c>
      <c r="AE950">
        <v>1992.4622791294264</v>
      </c>
      <c r="AF950">
        <v>6.5274861873437287</v>
      </c>
      <c r="AG950">
        <v>2073.8346561106669</v>
      </c>
      <c r="AH950">
        <v>8.910004829952376</v>
      </c>
      <c r="AI950">
        <v>1875.5639519253996</v>
      </c>
      <c r="AJ950">
        <v>6.5263560474323254</v>
      </c>
    </row>
    <row r="951" spans="4:36" x14ac:dyDescent="0.55000000000000004">
      <c r="D951">
        <v>944</v>
      </c>
      <c r="E951">
        <v>12.348802745788817</v>
      </c>
      <c r="F951">
        <v>0.47237885737521901</v>
      </c>
      <c r="G951">
        <v>0.1677027608992108</v>
      </c>
      <c r="H951">
        <v>17.011115635936758</v>
      </c>
      <c r="I951">
        <v>12.569813614705808</v>
      </c>
      <c r="J951">
        <v>0.30387621945526649</v>
      </c>
      <c r="K951">
        <v>0.10753167031266297</v>
      </c>
      <c r="L951">
        <v>17.018778495526263</v>
      </c>
      <c r="M951">
        <v>12.508325308300874</v>
      </c>
      <c r="N951">
        <v>0.35078207410436196</v>
      </c>
      <c r="O951">
        <v>0.12424167741730251</v>
      </c>
      <c r="P951">
        <v>17.01665094017746</v>
      </c>
      <c r="Q951">
        <v>12.434943387323269</v>
      </c>
      <c r="R951">
        <v>0.40673465446459628</v>
      </c>
      <c r="S951">
        <v>0.14421448751230598</v>
      </c>
      <c r="T951">
        <v>17.014107470699827</v>
      </c>
      <c r="U951">
        <v>1531.6942010649361</v>
      </c>
      <c r="V951">
        <v>9.7632544910462737</v>
      </c>
      <c r="W951">
        <v>1280.1302932006604</v>
      </c>
      <c r="X951">
        <v>7.0254247757098165</v>
      </c>
      <c r="Y951">
        <v>2879.0635671959508</v>
      </c>
      <c r="Z951">
        <v>9.799733175905855</v>
      </c>
      <c r="AA951">
        <v>2717.9039808824386</v>
      </c>
      <c r="AB951">
        <v>7.04694442610141</v>
      </c>
      <c r="AC951">
        <v>2204.7643577964604</v>
      </c>
      <c r="AD951">
        <v>9.7895820341286477</v>
      </c>
      <c r="AE951">
        <v>2008.3572474318148</v>
      </c>
      <c r="AF951">
        <v>7.0409643485097453</v>
      </c>
      <c r="AG951">
        <v>2111.1100258810993</v>
      </c>
      <c r="AH951">
        <v>9.7774696437771471</v>
      </c>
      <c r="AI951">
        <v>1894.7616063994219</v>
      </c>
      <c r="AJ951">
        <v>7.0338205281960535</v>
      </c>
    </row>
    <row r="952" spans="4:36" x14ac:dyDescent="0.55000000000000004">
      <c r="D952">
        <v>945</v>
      </c>
      <c r="E952">
        <v>12.790366848212667</v>
      </c>
      <c r="F952">
        <v>0.47783881535055517</v>
      </c>
      <c r="G952">
        <v>0.15838016980444003</v>
      </c>
      <c r="H952">
        <v>16.573414166632329</v>
      </c>
      <c r="I952">
        <v>13.009560100610345</v>
      </c>
      <c r="J952">
        <v>0.31090379858709233</v>
      </c>
      <c r="K952">
        <v>0.10274599323521147</v>
      </c>
      <c r="L952">
        <v>16.576790107567348</v>
      </c>
      <c r="M952">
        <v>12.907432587185319</v>
      </c>
      <c r="N952">
        <v>0.38871413328641524</v>
      </c>
      <c r="O952">
        <v>0.12863631609432602</v>
      </c>
      <c r="P952">
        <v>16.575216963433963</v>
      </c>
      <c r="Q952">
        <v>12.847576728439023</v>
      </c>
      <c r="R952">
        <v>0.43429268792970166</v>
      </c>
      <c r="S952">
        <v>0.1438354547419233</v>
      </c>
      <c r="T952">
        <v>16.57429512888935</v>
      </c>
      <c r="U952">
        <v>1566.4263505970616</v>
      </c>
      <c r="V952">
        <v>10.182385369890573</v>
      </c>
      <c r="W952">
        <v>1299.357166826383</v>
      </c>
      <c r="X952">
        <v>7.280480266092729</v>
      </c>
      <c r="Y952">
        <v>2926.6549241866578</v>
      </c>
      <c r="Z952">
        <v>10.223397685889459</v>
      </c>
      <c r="AA952">
        <v>2748.1382297766622</v>
      </c>
      <c r="AB952">
        <v>7.3041717018784595</v>
      </c>
      <c r="AC952">
        <v>2260.3943030361729</v>
      </c>
      <c r="AD952">
        <v>10.204289350542789</v>
      </c>
      <c r="AE952">
        <v>2041.3205879108789</v>
      </c>
      <c r="AF952">
        <v>7.2931433569781134</v>
      </c>
      <c r="AG952">
        <v>2171.346650322294</v>
      </c>
      <c r="AH952">
        <v>10.19308990773912</v>
      </c>
      <c r="AI952">
        <v>1931.4040775486762</v>
      </c>
      <c r="AJ952">
        <v>7.286671610623519</v>
      </c>
    </row>
    <row r="953" spans="4:36" x14ac:dyDescent="0.55000000000000004">
      <c r="D953">
        <v>946</v>
      </c>
      <c r="E953">
        <v>12.742977279451637</v>
      </c>
      <c r="F953">
        <v>0.4614685322146464</v>
      </c>
      <c r="G953">
        <v>0.17146378870583179</v>
      </c>
      <c r="H953">
        <v>16.624090399627899</v>
      </c>
      <c r="I953">
        <v>12.995549129866216</v>
      </c>
      <c r="J953">
        <v>0.28564497599224381</v>
      </c>
      <c r="K953">
        <v>0.10574820993165729</v>
      </c>
      <c r="L953">
        <v>16.613057684209885</v>
      </c>
      <c r="M953">
        <v>12.893315029472317</v>
      </c>
      <c r="N953">
        <v>0.35686177400166202</v>
      </c>
      <c r="O953">
        <v>0.1323075028682707</v>
      </c>
      <c r="P953">
        <v>16.617515693657747</v>
      </c>
      <c r="Q953">
        <v>12.910206935844922</v>
      </c>
      <c r="R953">
        <v>0.34509928760366065</v>
      </c>
      <c r="S953">
        <v>0.12791539000939345</v>
      </c>
      <c r="T953">
        <v>16.616778386542034</v>
      </c>
      <c r="U953">
        <v>1588.6505757276982</v>
      </c>
      <c r="V953">
        <v>10.081778190384183</v>
      </c>
      <c r="W953">
        <v>1315.8958241972455</v>
      </c>
      <c r="X953">
        <v>7.2139420776213425</v>
      </c>
      <c r="Y953">
        <v>2903.5608333312398</v>
      </c>
      <c r="Z953">
        <v>10.134180834616526</v>
      </c>
      <c r="AA953">
        <v>2733.0059489979917</v>
      </c>
      <c r="AB953">
        <v>7.2437553740284679</v>
      </c>
      <c r="AC953">
        <v>2228.6987939223477</v>
      </c>
      <c r="AD953">
        <v>10.112974553614027</v>
      </c>
      <c r="AE953">
        <v>2020.3700964603102</v>
      </c>
      <c r="AF953">
        <v>7.231703595872359</v>
      </c>
      <c r="AG953">
        <v>2132.0002856875394</v>
      </c>
      <c r="AH953">
        <v>10.116478871932383</v>
      </c>
      <c r="AI953">
        <v>1909.3292168476883</v>
      </c>
      <c r="AJ953">
        <v>7.2336963561925085</v>
      </c>
    </row>
    <row r="954" spans="4:36" x14ac:dyDescent="0.55000000000000004">
      <c r="D954">
        <v>947</v>
      </c>
      <c r="E954">
        <v>10.968591197187271</v>
      </c>
      <c r="F954">
        <v>0.43122361785865787</v>
      </c>
      <c r="G954">
        <v>0.13710849441078324</v>
      </c>
      <c r="H954">
        <v>18.463076690543286</v>
      </c>
      <c r="I954">
        <v>11.137809306784385</v>
      </c>
      <c r="J954">
        <v>0.28242140766398494</v>
      </c>
      <c r="K954">
        <v>8.9552957573737227E-2</v>
      </c>
      <c r="L954">
        <v>18.490216327977876</v>
      </c>
      <c r="M954">
        <v>11.058387735963107</v>
      </c>
      <c r="N954">
        <v>0.35227219977663327</v>
      </c>
      <c r="O954">
        <v>0.11184395342550155</v>
      </c>
      <c r="P954">
        <v>18.477496110834768</v>
      </c>
      <c r="Q954">
        <v>11.043315458143857</v>
      </c>
      <c r="R954">
        <v>0.36552592546697199</v>
      </c>
      <c r="S954">
        <v>0.116079999882264</v>
      </c>
      <c r="T954">
        <v>18.475078616506913</v>
      </c>
      <c r="U954">
        <v>1462.6614729053488</v>
      </c>
      <c r="V954">
        <v>8.7204325215307303</v>
      </c>
      <c r="W954">
        <v>1240.2515624888258</v>
      </c>
      <c r="X954">
        <v>6.4193504754768673</v>
      </c>
      <c r="Y954">
        <v>2840.8289001542603</v>
      </c>
      <c r="Z954">
        <v>8.7356248170322157</v>
      </c>
      <c r="AA954">
        <v>2696.4606894183935</v>
      </c>
      <c r="AB954">
        <v>6.4297371108349992</v>
      </c>
      <c r="AC954">
        <v>2157.6085644109439</v>
      </c>
      <c r="AD954">
        <v>8.7284843959482501</v>
      </c>
      <c r="AE954">
        <v>1979.7181684622808</v>
      </c>
      <c r="AF954">
        <v>6.4248630231569539</v>
      </c>
      <c r="AG954">
        <v>2053.3136023919183</v>
      </c>
      <c r="AH954">
        <v>8.7271313091245659</v>
      </c>
      <c r="AI954">
        <v>1862.1875379501357</v>
      </c>
      <c r="AJ954">
        <v>6.4239378770867166</v>
      </c>
    </row>
    <row r="955" spans="4:36" x14ac:dyDescent="0.55000000000000004">
      <c r="D955">
        <v>948</v>
      </c>
      <c r="E955">
        <v>12.287242753559092</v>
      </c>
      <c r="F955">
        <v>0.42956284907475434</v>
      </c>
      <c r="G955">
        <v>0.15377634063099149</v>
      </c>
      <c r="H955">
        <v>17.129418056735151</v>
      </c>
      <c r="I955">
        <v>12.471957400701362</v>
      </c>
      <c r="J955">
        <v>0.29412408191054534</v>
      </c>
      <c r="K955">
        <v>0.10501263581632152</v>
      </c>
      <c r="L955">
        <v>17.128905881571768</v>
      </c>
      <c r="M955">
        <v>12.392395594769194</v>
      </c>
      <c r="N955">
        <v>0.35248581937663964</v>
      </c>
      <c r="O955">
        <v>0.12599318158645237</v>
      </c>
      <c r="P955">
        <v>17.12912540426769</v>
      </c>
      <c r="Q955">
        <v>12.382957125814597</v>
      </c>
      <c r="R955">
        <v>0.35940686477665607</v>
      </c>
      <c r="S955">
        <v>0.1284844545399827</v>
      </c>
      <c r="T955">
        <v>17.129151554868759</v>
      </c>
      <c r="U955">
        <v>1516.2131059343933</v>
      </c>
      <c r="V955">
        <v>9.6726584214286326</v>
      </c>
      <c r="W955">
        <v>1273.4774480639783</v>
      </c>
      <c r="X955">
        <v>6.9728847396332831</v>
      </c>
      <c r="Y955">
        <v>2874.3354594259431</v>
      </c>
      <c r="Z955">
        <v>9.7085186639652505</v>
      </c>
      <c r="AA955">
        <v>2716.1425110048899</v>
      </c>
      <c r="AB955">
        <v>6.9937668209633292</v>
      </c>
      <c r="AC955">
        <v>2175.6797659107656</v>
      </c>
      <c r="AD955">
        <v>9.6930728285016485</v>
      </c>
      <c r="AE955">
        <v>1988.3203252515736</v>
      </c>
      <c r="AF955">
        <v>6.9847801779064493</v>
      </c>
      <c r="AG955">
        <v>2101.0776184793076</v>
      </c>
      <c r="AH955">
        <v>9.6912404608368483</v>
      </c>
      <c r="AI955">
        <v>1892.1883611335556</v>
      </c>
      <c r="AJ955">
        <v>6.9837133011914796</v>
      </c>
    </row>
    <row r="956" spans="4:36" x14ac:dyDescent="0.55000000000000004">
      <c r="D956">
        <v>949</v>
      </c>
      <c r="E956">
        <v>12.277663965351998</v>
      </c>
      <c r="F956">
        <v>0.43244873366760367</v>
      </c>
      <c r="G956">
        <v>0.14096847117269989</v>
      </c>
      <c r="H956">
        <v>17.148918829807705</v>
      </c>
      <c r="I956">
        <v>12.460099401317999</v>
      </c>
      <c r="J956">
        <v>0.29549024783060013</v>
      </c>
      <c r="K956">
        <v>9.6061898038963825E-2</v>
      </c>
      <c r="L956">
        <v>17.148348452812435</v>
      </c>
      <c r="M956">
        <v>12.377148393812945</v>
      </c>
      <c r="N956">
        <v>0.35778637467122326</v>
      </c>
      <c r="O956">
        <v>0.11645718029060179</v>
      </c>
      <c r="P956">
        <v>17.148608051225221</v>
      </c>
      <c r="Q956">
        <v>12.341600674125567</v>
      </c>
      <c r="R956">
        <v>0.38447101939947254</v>
      </c>
      <c r="S956">
        <v>0.12520913704435918</v>
      </c>
      <c r="T956">
        <v>17.148719169430606</v>
      </c>
      <c r="U956">
        <v>1531.0529447360677</v>
      </c>
      <c r="V956">
        <v>9.6329403064079031</v>
      </c>
      <c r="W956">
        <v>1280.4109931644441</v>
      </c>
      <c r="X956">
        <v>6.9449267695142396</v>
      </c>
      <c r="Y956">
        <v>2892.7203157118633</v>
      </c>
      <c r="Z956">
        <v>9.6659846411692278</v>
      </c>
      <c r="AA956">
        <v>2726.9050188352994</v>
      </c>
      <c r="AB956">
        <v>6.9642185275858663</v>
      </c>
      <c r="AC956">
        <v>2223.5356486926817</v>
      </c>
      <c r="AD956">
        <v>9.6509594556054505</v>
      </c>
      <c r="AE956">
        <v>2019.6381970882619</v>
      </c>
      <c r="AF956">
        <v>6.955453911719216</v>
      </c>
      <c r="AG956">
        <v>2134.0040795814875</v>
      </c>
      <c r="AH956">
        <v>9.6445207640350077</v>
      </c>
      <c r="AI956">
        <v>1911.0630652467421</v>
      </c>
      <c r="AJ956">
        <v>6.9516943241290781</v>
      </c>
    </row>
    <row r="957" spans="4:36" x14ac:dyDescent="0.55000000000000004">
      <c r="D957">
        <v>950</v>
      </c>
      <c r="E957">
        <v>12.699327431746779</v>
      </c>
      <c r="F957">
        <v>0.45527776472880704</v>
      </c>
      <c r="G957">
        <v>0.14788031726031003</v>
      </c>
      <c r="H957">
        <v>16.697514486264119</v>
      </c>
      <c r="I957">
        <v>12.920433792807636</v>
      </c>
      <c r="J957">
        <v>0.29457765293237487</v>
      </c>
      <c r="K957">
        <v>9.5375317517185962E-2</v>
      </c>
      <c r="L957">
        <v>16.689613236742819</v>
      </c>
      <c r="M957">
        <v>12.812026616882699</v>
      </c>
      <c r="N957">
        <v>0.37340361162469199</v>
      </c>
      <c r="O957">
        <v>0.12108699500974436</v>
      </c>
      <c r="P957">
        <v>16.693482776482867</v>
      </c>
      <c r="Q957">
        <v>12.779119578804563</v>
      </c>
      <c r="R957">
        <v>0.39731774175928364</v>
      </c>
      <c r="S957">
        <v>0.12890363364689328</v>
      </c>
      <c r="T957">
        <v>16.694659045789262</v>
      </c>
      <c r="U957">
        <v>1495.5538676009812</v>
      </c>
      <c r="V957">
        <v>9.990889441603878</v>
      </c>
      <c r="W957">
        <v>1254.3494400496493</v>
      </c>
      <c r="X957">
        <v>7.1564151939658371</v>
      </c>
      <c r="Y957">
        <v>2890.2093254913834</v>
      </c>
      <c r="Z957">
        <v>10.038006289113392</v>
      </c>
      <c r="AA957">
        <v>2725.9993714695715</v>
      </c>
      <c r="AB957">
        <v>7.1834310454414343</v>
      </c>
      <c r="AC957">
        <v>2222.8075469033774</v>
      </c>
      <c r="AD957">
        <v>10.014907362656954</v>
      </c>
      <c r="AE957">
        <v>2018.9934009345834</v>
      </c>
      <c r="AF957">
        <v>7.1701978044340731</v>
      </c>
      <c r="AG957">
        <v>2131.9502565146777</v>
      </c>
      <c r="AH957">
        <v>10.007894842794133</v>
      </c>
      <c r="AI957">
        <v>1909.6624873524127</v>
      </c>
      <c r="AJ957">
        <v>7.1661761181317667</v>
      </c>
    </row>
    <row r="958" spans="4:36" x14ac:dyDescent="0.55000000000000004">
      <c r="D958">
        <v>951</v>
      </c>
      <c r="E958">
        <v>13.48018995386677</v>
      </c>
      <c r="F958">
        <v>0.48014809804817038</v>
      </c>
      <c r="G958">
        <v>0.16949156176520519</v>
      </c>
      <c r="H958">
        <v>15.870170386319868</v>
      </c>
      <c r="I958">
        <v>13.703414925754684</v>
      </c>
      <c r="J958">
        <v>0.31947004212440266</v>
      </c>
      <c r="K958">
        <v>0.11243464121713281</v>
      </c>
      <c r="L958">
        <v>15.864680390903775</v>
      </c>
      <c r="M958">
        <v>13.584575927911464</v>
      </c>
      <c r="N958">
        <v>0.40504623400660694</v>
      </c>
      <c r="O958">
        <v>0.14277953346637387</v>
      </c>
      <c r="P958">
        <v>15.867598304615557</v>
      </c>
      <c r="Q958">
        <v>13.543245873639902</v>
      </c>
      <c r="R958">
        <v>0.43478918478272566</v>
      </c>
      <c r="S958">
        <v>0.15334927752792055</v>
      </c>
      <c r="T958">
        <v>15.868615664049454</v>
      </c>
      <c r="U958">
        <v>1602.855616813421</v>
      </c>
      <c r="V958">
        <v>10.562499544127379</v>
      </c>
      <c r="W958">
        <v>1322.2871385557858</v>
      </c>
      <c r="X958">
        <v>7.4764677686341869</v>
      </c>
      <c r="Y958">
        <v>2926.4249514722737</v>
      </c>
      <c r="Z958">
        <v>10.606872258285744</v>
      </c>
      <c r="AA958">
        <v>2745.3924637917721</v>
      </c>
      <c r="AB958">
        <v>7.5015539107636</v>
      </c>
      <c r="AC958">
        <v>2261.3560433648036</v>
      </c>
      <c r="AD958">
        <v>10.58325223456621</v>
      </c>
      <c r="AE958">
        <v>2038.489240446911</v>
      </c>
      <c r="AF958">
        <v>7.4882096516453291</v>
      </c>
      <c r="AG958">
        <v>2144.1175267427398</v>
      </c>
      <c r="AH958">
        <v>10.575036115803304</v>
      </c>
      <c r="AI958">
        <v>1909.4460502194013</v>
      </c>
      <c r="AJ958">
        <v>7.4835629424056043</v>
      </c>
    </row>
    <row r="959" spans="4:36" x14ac:dyDescent="0.55000000000000004">
      <c r="D959">
        <v>952</v>
      </c>
      <c r="E959">
        <v>12.327762461838912</v>
      </c>
      <c r="F959">
        <v>0.47872360780370199</v>
      </c>
      <c r="G959">
        <v>0.14541189354034151</v>
      </c>
      <c r="H959">
        <v>17.048102036817056</v>
      </c>
      <c r="I959">
        <v>12.542512725321345</v>
      </c>
      <c r="J959">
        <v>0.31129045607630074</v>
      </c>
      <c r="K959">
        <v>9.4271998843936292E-2</v>
      </c>
      <c r="L959">
        <v>17.051924819758426</v>
      </c>
      <c r="M959">
        <v>12.448888245807812</v>
      </c>
      <c r="N959">
        <v>0.38431457017397896</v>
      </c>
      <c r="O959">
        <v>0.11653797990487479</v>
      </c>
      <c r="P959">
        <v>17.050259204113328</v>
      </c>
      <c r="Q959">
        <v>12.443179290520613</v>
      </c>
      <c r="R959">
        <v>0.38876595783414092</v>
      </c>
      <c r="S959">
        <v>0.11789716195053647</v>
      </c>
      <c r="T959">
        <v>17.050157589694717</v>
      </c>
      <c r="U959">
        <v>1550.79123373829</v>
      </c>
      <c r="V959">
        <v>9.7193566811553715</v>
      </c>
      <c r="W959">
        <v>1295.2530415269714</v>
      </c>
      <c r="X959">
        <v>6.9988863297243995</v>
      </c>
      <c r="Y959">
        <v>2891.0469181195604</v>
      </c>
      <c r="Z959">
        <v>9.7595081830681263</v>
      </c>
      <c r="AA959">
        <v>2727.1360975376456</v>
      </c>
      <c r="AB959">
        <v>7.0223871130517992</v>
      </c>
      <c r="AC959">
        <v>2238.7479593216194</v>
      </c>
      <c r="AD959">
        <v>9.7420023820280122</v>
      </c>
      <c r="AE959">
        <v>2031.8795950164274</v>
      </c>
      <c r="AF959">
        <v>7.0121512953611465</v>
      </c>
      <c r="AG959">
        <v>2071.1793956994115</v>
      </c>
      <c r="AH959">
        <v>9.7409349771269262</v>
      </c>
      <c r="AI959">
        <v>1868.5716473351192</v>
      </c>
      <c r="AJ959">
        <v>7.0115266570006147</v>
      </c>
    </row>
    <row r="960" spans="4:36" x14ac:dyDescent="0.55000000000000004">
      <c r="D960">
        <v>953</v>
      </c>
      <c r="E960">
        <v>13.080571630465796</v>
      </c>
      <c r="F960">
        <v>0.46012410707330509</v>
      </c>
      <c r="G960">
        <v>0.15809533956969543</v>
      </c>
      <c r="H960">
        <v>16.301208922891192</v>
      </c>
      <c r="I960">
        <v>13.306321433094576</v>
      </c>
      <c r="J960">
        <v>0.30253494944945863</v>
      </c>
      <c r="K960">
        <v>0.10362447067655471</v>
      </c>
      <c r="L960">
        <v>16.287519146779413</v>
      </c>
      <c r="M960">
        <v>13.199543613492876</v>
      </c>
      <c r="N960">
        <v>0.37711247516283264</v>
      </c>
      <c r="O960">
        <v>0.1293591798435203</v>
      </c>
      <c r="P960">
        <v>16.293984731500778</v>
      </c>
      <c r="Q960">
        <v>13.19221274399834</v>
      </c>
      <c r="R960">
        <v>0.38223005488863504</v>
      </c>
      <c r="S960">
        <v>0.13112794519100096</v>
      </c>
      <c r="T960">
        <v>16.294429255922019</v>
      </c>
      <c r="U960">
        <v>1561.0873625672482</v>
      </c>
      <c r="V960">
        <v>10.276370551951937</v>
      </c>
      <c r="W960">
        <v>1296.4160106445663</v>
      </c>
      <c r="X960">
        <v>7.3189995909609546</v>
      </c>
      <c r="Y960">
        <v>2902.870166146156</v>
      </c>
      <c r="Z960">
        <v>10.326968590222393</v>
      </c>
      <c r="AA960">
        <v>2731.402353226465</v>
      </c>
      <c r="AB960">
        <v>7.3475903228127386</v>
      </c>
      <c r="AC960">
        <v>2264.7174218774999</v>
      </c>
      <c r="AD960">
        <v>10.3030410600624</v>
      </c>
      <c r="AE960">
        <v>2044.8920952379146</v>
      </c>
      <c r="AF960">
        <v>7.3340809073742355</v>
      </c>
      <c r="AG960">
        <v>2129.3073508285006</v>
      </c>
      <c r="AH960">
        <v>10.301397983633098</v>
      </c>
      <c r="AI960">
        <v>1904.6853209019941</v>
      </c>
      <c r="AJ960">
        <v>7.3331525114889766</v>
      </c>
    </row>
    <row r="961" spans="4:36" x14ac:dyDescent="0.55000000000000004">
      <c r="D961">
        <v>954</v>
      </c>
      <c r="E961">
        <v>12.270747574125341</v>
      </c>
      <c r="F961">
        <v>0.46454866168930226</v>
      </c>
      <c r="G961">
        <v>0.16547030296237256</v>
      </c>
      <c r="H961">
        <v>17.099233461222969</v>
      </c>
      <c r="I961">
        <v>12.504956177675895</v>
      </c>
      <c r="J961">
        <v>0.29117244786423113</v>
      </c>
      <c r="K961">
        <v>0.10336548203892941</v>
      </c>
      <c r="L961">
        <v>17.10050589242093</v>
      </c>
      <c r="M961">
        <v>12.395928852706549</v>
      </c>
      <c r="N961">
        <v>0.37192055089187337</v>
      </c>
      <c r="O961">
        <v>0.13223729480735322</v>
      </c>
      <c r="P961">
        <v>17.099913301594228</v>
      </c>
      <c r="Q961">
        <v>12.35924106755262</v>
      </c>
      <c r="R961">
        <v>0.3990770919955075</v>
      </c>
      <c r="S961">
        <v>0.14196784662603476</v>
      </c>
      <c r="T961">
        <v>17.09971399382583</v>
      </c>
      <c r="U961">
        <v>1506.4507480343857</v>
      </c>
      <c r="V961">
        <v>9.6405703039304722</v>
      </c>
      <c r="W961">
        <v>1261.1592305484319</v>
      </c>
      <c r="X961">
        <v>6.9470017093671403</v>
      </c>
      <c r="Y961">
        <v>2904.0047209197724</v>
      </c>
      <c r="Z961">
        <v>9.6832494299268639</v>
      </c>
      <c r="AA961">
        <v>2736.1131110629758</v>
      </c>
      <c r="AB961">
        <v>6.9719288757522655</v>
      </c>
      <c r="AC961">
        <v>2215.9267939174802</v>
      </c>
      <c r="AD961">
        <v>9.6633812094839087</v>
      </c>
      <c r="AE961">
        <v>2013.8921605890969</v>
      </c>
      <c r="AF961">
        <v>6.9603367198143378</v>
      </c>
      <c r="AG961">
        <v>2138.9762273576835</v>
      </c>
      <c r="AH961">
        <v>9.6566957326438576</v>
      </c>
      <c r="AI961">
        <v>1914.470926419732</v>
      </c>
      <c r="AJ961">
        <v>6.9564313541635387</v>
      </c>
    </row>
    <row r="962" spans="4:36" x14ac:dyDescent="0.55000000000000004">
      <c r="D962">
        <v>955</v>
      </c>
      <c r="E962">
        <v>12.62308475278147</v>
      </c>
      <c r="F962">
        <v>0.48148120775469466</v>
      </c>
      <c r="G962">
        <v>0.18747774638323561</v>
      </c>
      <c r="H962">
        <v>16.707956293080578</v>
      </c>
      <c r="I962">
        <v>12.871417631417041</v>
      </c>
      <c r="J962">
        <v>0.30119575243334273</v>
      </c>
      <c r="K962">
        <v>0.11685194996286666</v>
      </c>
      <c r="L962">
        <v>16.710534666186739</v>
      </c>
      <c r="M962">
        <v>12.801255855373812</v>
      </c>
      <c r="N962">
        <v>0.35216861994881082</v>
      </c>
      <c r="O962">
        <v>0.13676737096159541</v>
      </c>
      <c r="P962">
        <v>16.709808153715773</v>
      </c>
      <c r="Q962">
        <v>12.731988813451187</v>
      </c>
      <c r="R962">
        <v>0.40246328653449842</v>
      </c>
      <c r="S962">
        <v>0.1564585001230796</v>
      </c>
      <c r="T962">
        <v>16.709089399891237</v>
      </c>
      <c r="U962">
        <v>1578.3324099645488</v>
      </c>
      <c r="V962">
        <v>10.036857707303652</v>
      </c>
      <c r="W962">
        <v>1303.9832657953411</v>
      </c>
      <c r="X962">
        <v>7.1922470873469084</v>
      </c>
      <c r="Y962">
        <v>2913.2847054077361</v>
      </c>
      <c r="Z962">
        <v>10.086416643805793</v>
      </c>
      <c r="AA962">
        <v>2736.992425656556</v>
      </c>
      <c r="AB962">
        <v>7.2210842881772797</v>
      </c>
      <c r="AC962">
        <v>2234.3499023363597</v>
      </c>
      <c r="AD962">
        <v>10.072413494614917</v>
      </c>
      <c r="AE962">
        <v>2022.7495799066498</v>
      </c>
      <c r="AF962">
        <v>7.2129478778266476</v>
      </c>
      <c r="AG962">
        <v>2152.0175881066534</v>
      </c>
      <c r="AH962">
        <v>10.058589846965274</v>
      </c>
      <c r="AI962">
        <v>1916.8643447541726</v>
      </c>
      <c r="AJ962">
        <v>7.204906773320813</v>
      </c>
    </row>
    <row r="963" spans="4:36" x14ac:dyDescent="0.55000000000000004">
      <c r="D963">
        <v>956</v>
      </c>
      <c r="E963">
        <v>13.182544859556936</v>
      </c>
      <c r="F963">
        <v>0.4471033814392566</v>
      </c>
      <c r="G963">
        <v>0.16265992377086014</v>
      </c>
      <c r="H963">
        <v>16.207691835232946</v>
      </c>
      <c r="I963">
        <v>13.395870190597794</v>
      </c>
      <c r="J963">
        <v>0.30263069150786071</v>
      </c>
      <c r="K963">
        <v>0.10977741130264573</v>
      </c>
      <c r="L963">
        <v>16.1917217065917</v>
      </c>
      <c r="M963">
        <v>13.345941797689225</v>
      </c>
      <c r="N963">
        <v>0.33647041833080965</v>
      </c>
      <c r="O963">
        <v>0.12213586951072397</v>
      </c>
      <c r="P963">
        <v>16.195451914469238</v>
      </c>
      <c r="Q963">
        <v>13.277147494290011</v>
      </c>
      <c r="R963">
        <v>0.38307069314186609</v>
      </c>
      <c r="S963">
        <v>0.13918264390481702</v>
      </c>
      <c r="T963">
        <v>16.200599168663285</v>
      </c>
      <c r="U963">
        <v>1576.0167816650387</v>
      </c>
      <c r="V963">
        <v>10.452396750530497</v>
      </c>
      <c r="W963">
        <v>1306.8334372089098</v>
      </c>
      <c r="X963">
        <v>7.434211596988944</v>
      </c>
      <c r="Y963">
        <v>2931.1874846356864</v>
      </c>
      <c r="Z963">
        <v>10.501577068659456</v>
      </c>
      <c r="AA963">
        <v>2750.814609114881</v>
      </c>
      <c r="AB963">
        <v>7.4618070330635256</v>
      </c>
      <c r="AC963">
        <v>2232.2471598864686</v>
      </c>
      <c r="AD963">
        <v>10.490070745812151</v>
      </c>
      <c r="AE963">
        <v>2023.6391433711201</v>
      </c>
      <c r="AF963">
        <v>7.4553576556133931</v>
      </c>
      <c r="AG963">
        <v>2151.6658606632332</v>
      </c>
      <c r="AH963">
        <v>10.474212423329247</v>
      </c>
      <c r="AI963">
        <v>1919.5927440589135</v>
      </c>
      <c r="AJ963">
        <v>7.4464620660165064</v>
      </c>
    </row>
    <row r="964" spans="4:36" x14ac:dyDescent="0.55000000000000004">
      <c r="D964">
        <v>957</v>
      </c>
      <c r="E964">
        <v>12.58519869117732</v>
      </c>
      <c r="F964">
        <v>0.49299306372477147</v>
      </c>
      <c r="G964">
        <v>0.17248744732490168</v>
      </c>
      <c r="H964">
        <v>16.749320797773024</v>
      </c>
      <c r="I964">
        <v>12.837408487651249</v>
      </c>
      <c r="J964">
        <v>0.29981111331921767</v>
      </c>
      <c r="K964">
        <v>0.10451157294077869</v>
      </c>
      <c r="L964">
        <v>16.758268826088752</v>
      </c>
      <c r="M964">
        <v>12.73212643248193</v>
      </c>
      <c r="N964">
        <v>0.38049284057652716</v>
      </c>
      <c r="O964">
        <v>0.13283968570135904</v>
      </c>
      <c r="P964">
        <v>16.754541041240177</v>
      </c>
      <c r="Q964">
        <v>12.70321801250943</v>
      </c>
      <c r="R964">
        <v>0.40263645713174262</v>
      </c>
      <c r="S964">
        <v>0.14062993036049221</v>
      </c>
      <c r="T964">
        <v>16.753515599998337</v>
      </c>
      <c r="U964">
        <v>1553.3506385744511</v>
      </c>
      <c r="V964">
        <v>10.010639123614121</v>
      </c>
      <c r="W964">
        <v>1290.2764109669642</v>
      </c>
      <c r="X964">
        <v>7.1764286453804198</v>
      </c>
      <c r="Y964">
        <v>2919.8670957436266</v>
      </c>
      <c r="Z964">
        <v>10.055288274041924</v>
      </c>
      <c r="AA964">
        <v>2745.1116580183234</v>
      </c>
      <c r="AB964">
        <v>7.2027034251750193</v>
      </c>
      <c r="AC964">
        <v>2228.9629811389464</v>
      </c>
      <c r="AD964">
        <v>10.036645713383534</v>
      </c>
      <c r="AE964">
        <v>2020.5232323971609</v>
      </c>
      <c r="AF964">
        <v>7.1917465626720629</v>
      </c>
      <c r="AG964">
        <v>2138.0545117050769</v>
      </c>
      <c r="AH964">
        <v>10.03152789703117</v>
      </c>
      <c r="AI964">
        <v>1911.1485231554248</v>
      </c>
      <c r="AJ964">
        <v>7.1887352167670411</v>
      </c>
    </row>
    <row r="965" spans="4:36" x14ac:dyDescent="0.55000000000000004">
      <c r="D965">
        <v>958</v>
      </c>
      <c r="E965">
        <v>12.222814104334486</v>
      </c>
      <c r="F965">
        <v>0.47627598130444915</v>
      </c>
      <c r="G965">
        <v>0.17724481448027238</v>
      </c>
      <c r="H965">
        <v>17.123665099880778</v>
      </c>
      <c r="I965">
        <v>12.430668854851096</v>
      </c>
      <c r="J965">
        <v>0.31407495283645687</v>
      </c>
      <c r="K965">
        <v>0.11651626261545643</v>
      </c>
      <c r="L965">
        <v>17.138739929696975</v>
      </c>
      <c r="M965">
        <v>12.357377318519735</v>
      </c>
      <c r="N965">
        <v>0.37129334324382746</v>
      </c>
      <c r="O965">
        <v>0.13789494877414749</v>
      </c>
      <c r="P965">
        <v>17.133434389462312</v>
      </c>
      <c r="Q965">
        <v>12.322228075569669</v>
      </c>
      <c r="R965">
        <v>0.39872466415274549</v>
      </c>
      <c r="S965">
        <v>0.14816115211543335</v>
      </c>
      <c r="T965">
        <v>17.130886108162166</v>
      </c>
      <c r="U965">
        <v>1518.6252667631763</v>
      </c>
      <c r="V965">
        <v>9.6553735625892187</v>
      </c>
      <c r="W965">
        <v>1268.5151557537326</v>
      </c>
      <c r="X965">
        <v>6.9589486906717015</v>
      </c>
      <c r="Y965">
        <v>2903.4779863306285</v>
      </c>
      <c r="Z965">
        <v>9.6852052835360958</v>
      </c>
      <c r="AA965">
        <v>2733.6140557858716</v>
      </c>
      <c r="AB965">
        <v>6.9770750035326721</v>
      </c>
      <c r="AC965">
        <v>2205.2407502132678</v>
      </c>
      <c r="AD965">
        <v>9.6746802683896984</v>
      </c>
      <c r="AE965">
        <v>2005.7889139454996</v>
      </c>
      <c r="AF965">
        <v>6.970688495876975</v>
      </c>
      <c r="AG965">
        <v>2132.8783578622451</v>
      </c>
      <c r="AH965">
        <v>9.6696350056196803</v>
      </c>
      <c r="AI965">
        <v>1909.6399824086518</v>
      </c>
      <c r="AJ965">
        <v>6.9676237238989058</v>
      </c>
    </row>
    <row r="966" spans="4:36" x14ac:dyDescent="0.55000000000000004">
      <c r="D966">
        <v>959</v>
      </c>
      <c r="E966">
        <v>13.408303841510113</v>
      </c>
      <c r="F966">
        <v>0.50340759374698207</v>
      </c>
      <c r="G966">
        <v>0.17451277693981851</v>
      </c>
      <c r="H966">
        <v>15.913775787803093</v>
      </c>
      <c r="I966">
        <v>13.66755453550749</v>
      </c>
      <c r="J966">
        <v>0.31725309153813208</v>
      </c>
      <c r="K966">
        <v>0.10959151513642597</v>
      </c>
      <c r="L966">
        <v>15.90560085781796</v>
      </c>
      <c r="M966">
        <v>13.564342394315013</v>
      </c>
      <c r="N966">
        <v>0.39141078827232323</v>
      </c>
      <c r="O966">
        <v>0.13539809217347393</v>
      </c>
      <c r="P966">
        <v>15.908848725239197</v>
      </c>
      <c r="Q966">
        <v>13.520857716724251</v>
      </c>
      <c r="R966">
        <v>0.42263612628718927</v>
      </c>
      <c r="S966">
        <v>0.14628641385506538</v>
      </c>
      <c r="T966">
        <v>15.910219743133501</v>
      </c>
      <c r="U966">
        <v>1592.3459793478319</v>
      </c>
      <c r="V966">
        <v>10.547976213924381</v>
      </c>
      <c r="W966">
        <v>1313.2136344763733</v>
      </c>
      <c r="X966">
        <v>7.4707843132294833</v>
      </c>
      <c r="Y966">
        <v>2930.8057344776512</v>
      </c>
      <c r="Z966">
        <v>10.599204144528178</v>
      </c>
      <c r="AA966">
        <v>2748.6660049211205</v>
      </c>
      <c r="AB966">
        <v>7.4998406381505029</v>
      </c>
      <c r="AC966">
        <v>2268.4229636323075</v>
      </c>
      <c r="AD966">
        <v>10.578812266011514</v>
      </c>
      <c r="AE966">
        <v>2044.4786206661281</v>
      </c>
      <c r="AF966">
        <v>7.4882867483179272</v>
      </c>
      <c r="AG966">
        <v>2199.2987635225268</v>
      </c>
      <c r="AH966">
        <v>10.57021977140945</v>
      </c>
      <c r="AI966">
        <v>1949.6007738655628</v>
      </c>
      <c r="AJ966">
        <v>7.4834134468241471</v>
      </c>
    </row>
    <row r="967" spans="4:36" x14ac:dyDescent="0.55000000000000004">
      <c r="D967">
        <v>960</v>
      </c>
      <c r="E967">
        <v>11.409916453771112</v>
      </c>
      <c r="F967">
        <v>0.42874422660522082</v>
      </c>
      <c r="G967">
        <v>0.15522010410141876</v>
      </c>
      <c r="H967">
        <v>18.006119215522251</v>
      </c>
      <c r="I967">
        <v>11.617016529248673</v>
      </c>
      <c r="J967">
        <v>0.26883378675943825</v>
      </c>
      <c r="K967">
        <v>9.7011829299058924E-2</v>
      </c>
      <c r="L967">
        <v>18.017137854692837</v>
      </c>
      <c r="M967">
        <v>11.532258802785968</v>
      </c>
      <c r="N967">
        <v>0.3343065836606991</v>
      </c>
      <c r="O967">
        <v>0.12079805024220069</v>
      </c>
      <c r="P967">
        <v>18.012636563311123</v>
      </c>
      <c r="Q967">
        <v>11.519741230381268</v>
      </c>
      <c r="R967">
        <v>0.34397277102636448</v>
      </c>
      <c r="S967">
        <v>0.12431517301858881</v>
      </c>
      <c r="T967">
        <v>18.011970825573794</v>
      </c>
      <c r="U967">
        <v>1500.8104502050717</v>
      </c>
      <c r="V967">
        <v>9.012046299693333</v>
      </c>
      <c r="W967">
        <v>1266.489966779855</v>
      </c>
      <c r="X967">
        <v>6.5857493904280062</v>
      </c>
      <c r="Y967">
        <v>2863.847743438243</v>
      </c>
      <c r="Z967">
        <v>9.0424038415827255</v>
      </c>
      <c r="AA967">
        <v>2713.0961361334057</v>
      </c>
      <c r="AB967">
        <v>6.604194874582217</v>
      </c>
      <c r="AC967">
        <v>2173.2430090587545</v>
      </c>
      <c r="AD967">
        <v>9.0299753394655848</v>
      </c>
      <c r="AE967">
        <v>1991.0349523000341</v>
      </c>
      <c r="AF967">
        <v>6.5966528796955384</v>
      </c>
      <c r="AG967">
        <v>2052.3455180386886</v>
      </c>
      <c r="AH967">
        <v>9.0281403295683713</v>
      </c>
      <c r="AI967">
        <v>1861.3804804626882</v>
      </c>
      <c r="AJ967">
        <v>6.5955382116133414</v>
      </c>
    </row>
    <row r="968" spans="4:36" x14ac:dyDescent="0.55000000000000004">
      <c r="D968">
        <v>961</v>
      </c>
      <c r="E968">
        <v>11.951438293969472</v>
      </c>
      <c r="F968">
        <v>0.41504335574201867</v>
      </c>
      <c r="G968">
        <v>0.16252229746820251</v>
      </c>
      <c r="H968">
        <v>17.470996052820308</v>
      </c>
      <c r="I968">
        <v>12.141025698170854</v>
      </c>
      <c r="J968">
        <v>0.27321982242410925</v>
      </c>
      <c r="K968">
        <v>0.10668719577510258</v>
      </c>
      <c r="L968">
        <v>17.479067283629934</v>
      </c>
      <c r="M968">
        <v>12.088225676523496</v>
      </c>
      <c r="N968">
        <v>0.3127381018942566</v>
      </c>
      <c r="O968">
        <v>0.12221343269429012</v>
      </c>
      <c r="P968">
        <v>17.476822788887961</v>
      </c>
      <c r="Q968">
        <v>12.029570065256102</v>
      </c>
      <c r="R968">
        <v>0.35662052655537219</v>
      </c>
      <c r="S968">
        <v>0.13948304604156467</v>
      </c>
      <c r="T968">
        <v>17.474326362146975</v>
      </c>
      <c r="U968">
        <v>1503.5285391223117</v>
      </c>
      <c r="V968">
        <v>9.3773458517122528</v>
      </c>
      <c r="W968">
        <v>1262.8307775884689</v>
      </c>
      <c r="X968">
        <v>6.7947941269901193</v>
      </c>
      <c r="Y968">
        <v>2877.902012798394</v>
      </c>
      <c r="Z968">
        <v>9.4089997189446333</v>
      </c>
      <c r="AA968">
        <v>2718.6505341907532</v>
      </c>
      <c r="AB968">
        <v>6.8137557370064741</v>
      </c>
      <c r="AC968">
        <v>2184.9590272556056</v>
      </c>
      <c r="AD968">
        <v>9.4001814954442242</v>
      </c>
      <c r="AE968">
        <v>1996.1731996919316</v>
      </c>
      <c r="AF968">
        <v>6.8084802053895395</v>
      </c>
      <c r="AG968">
        <v>2087.4210381046973</v>
      </c>
      <c r="AH968">
        <v>9.3903876964210653</v>
      </c>
      <c r="AI968">
        <v>1880.3823838483952</v>
      </c>
      <c r="AJ968">
        <v>6.8026148594638283</v>
      </c>
    </row>
    <row r="969" spans="4:36" x14ac:dyDescent="0.55000000000000004">
      <c r="D969">
        <v>962</v>
      </c>
      <c r="E969">
        <v>12.995481407323139</v>
      </c>
      <c r="F969">
        <v>0.44606868594213672</v>
      </c>
      <c r="G969">
        <v>0.16660099546068141</v>
      </c>
      <c r="H969">
        <v>16.391848911274046</v>
      </c>
      <c r="I969">
        <v>13.21420668871</v>
      </c>
      <c r="J969">
        <v>0.29403169324001149</v>
      </c>
      <c r="K969">
        <v>0.10947247199414248</v>
      </c>
      <c r="L969">
        <v>16.382289146055854</v>
      </c>
      <c r="M969">
        <v>13.115862541714861</v>
      </c>
      <c r="N969">
        <v>0.3624280423578794</v>
      </c>
      <c r="O969">
        <v>0.13512757397903966</v>
      </c>
      <c r="P969">
        <v>16.386581841948221</v>
      </c>
      <c r="Q969">
        <v>13.070979068005942</v>
      </c>
      <c r="R969">
        <v>0.39362362058389494</v>
      </c>
      <c r="S969">
        <v>0.14685328275844495</v>
      </c>
      <c r="T969">
        <v>16.388544028651712</v>
      </c>
      <c r="U969">
        <v>1576.510331818354</v>
      </c>
      <c r="V969">
        <v>10.24065656918923</v>
      </c>
      <c r="W969">
        <v>1309.0717570865652</v>
      </c>
      <c r="X969">
        <v>7.3024972451645453</v>
      </c>
      <c r="Y969">
        <v>2911.4128392996936</v>
      </c>
      <c r="Z969">
        <v>10.287938036168594</v>
      </c>
      <c r="AA969">
        <v>2738.5061963027797</v>
      </c>
      <c r="AB969">
        <v>7.3294466746479356</v>
      </c>
      <c r="AC969">
        <v>2226.0914655293386</v>
      </c>
      <c r="AD969">
        <v>10.266681689279203</v>
      </c>
      <c r="AE969">
        <v>2018.7560993353557</v>
      </c>
      <c r="AF969">
        <v>7.3173414823439655</v>
      </c>
      <c r="AG969">
        <v>2122.3997776468241</v>
      </c>
      <c r="AH969">
        <v>10.256979090108548</v>
      </c>
      <c r="AI969">
        <v>1899.411920655227</v>
      </c>
      <c r="AJ969">
        <v>7.3118103200063951</v>
      </c>
    </row>
    <row r="970" spans="4:36" x14ac:dyDescent="0.55000000000000004">
      <c r="D970">
        <v>963</v>
      </c>
      <c r="E970">
        <v>12.887579021545577</v>
      </c>
      <c r="F970">
        <v>0.4261927478060023</v>
      </c>
      <c r="G970">
        <v>0.17402968343878061</v>
      </c>
      <c r="H970">
        <v>16.512198547209657</v>
      </c>
      <c r="I970">
        <v>13.103229297746024</v>
      </c>
      <c r="J970">
        <v>0.27848030704995919</v>
      </c>
      <c r="K970">
        <v>0.1133433513351248</v>
      </c>
      <c r="L970">
        <v>16.504947043868874</v>
      </c>
      <c r="M970">
        <v>12.996867140893444</v>
      </c>
      <c r="N970">
        <v>0.35137165166893941</v>
      </c>
      <c r="O970">
        <v>0.14323991424771423</v>
      </c>
      <c r="P970">
        <v>16.508521293189915</v>
      </c>
      <c r="Q970">
        <v>12.923921153044244</v>
      </c>
      <c r="R970">
        <v>0.4013206500942566</v>
      </c>
      <c r="S970">
        <v>0.16378299401701768</v>
      </c>
      <c r="T970">
        <v>16.510975202844495</v>
      </c>
      <c r="U970">
        <v>1532.1173844135412</v>
      </c>
      <c r="V970">
        <v>10.138095825811851</v>
      </c>
      <c r="W970">
        <v>1277.9681455903853</v>
      </c>
      <c r="X970">
        <v>7.24105522178378</v>
      </c>
      <c r="Y970">
        <v>2888.4021787173851</v>
      </c>
      <c r="Z970">
        <v>10.182038723046851</v>
      </c>
      <c r="AA970">
        <v>2722.7455834367061</v>
      </c>
      <c r="AB970">
        <v>7.2661975373918199</v>
      </c>
      <c r="AC970">
        <v>2252.6363375067149</v>
      </c>
      <c r="AD970">
        <v>10.160367000272107</v>
      </c>
      <c r="AE970">
        <v>2038.058035526296</v>
      </c>
      <c r="AF970">
        <v>7.253807926088264</v>
      </c>
      <c r="AG970">
        <v>2157.4674555809133</v>
      </c>
      <c r="AH970">
        <v>10.1455021422111</v>
      </c>
      <c r="AI970">
        <v>1923.3676256155393</v>
      </c>
      <c r="AJ970">
        <v>7.2452984672841509</v>
      </c>
    </row>
    <row r="971" spans="4:36" x14ac:dyDescent="0.55000000000000004">
      <c r="D971">
        <v>964</v>
      </c>
      <c r="E971">
        <v>12.366757542391241</v>
      </c>
      <c r="F971">
        <v>0.43561363660500041</v>
      </c>
      <c r="G971">
        <v>0.17711158410255712</v>
      </c>
      <c r="H971">
        <v>17.020517236901192</v>
      </c>
      <c r="I971">
        <v>12.575424007833295</v>
      </c>
      <c r="J971">
        <v>0.28742459452523234</v>
      </c>
      <c r="K971">
        <v>0.11649440016354703</v>
      </c>
      <c r="L971">
        <v>17.020656997477932</v>
      </c>
      <c r="M971">
        <v>12.513815938086097</v>
      </c>
      <c r="N971">
        <v>0.33120491530283597</v>
      </c>
      <c r="O971">
        <v>0.13436271435326663</v>
      </c>
      <c r="P971">
        <v>17.020616432257796</v>
      </c>
      <c r="Q971">
        <v>12.449919765954807</v>
      </c>
      <c r="R971">
        <v>0.37658650749844036</v>
      </c>
      <c r="S971">
        <v>0.15291998176256866</v>
      </c>
      <c r="T971">
        <v>17.020573744784194</v>
      </c>
      <c r="U971">
        <v>1573.5278548806607</v>
      </c>
      <c r="V971">
        <v>9.7162036481317298</v>
      </c>
      <c r="W971">
        <v>1307.9771691974336</v>
      </c>
      <c r="X971">
        <v>6.9927028137572496</v>
      </c>
      <c r="Y971">
        <v>2899.7715517574802</v>
      </c>
      <c r="Z971">
        <v>9.7553678146852967</v>
      </c>
      <c r="AA971">
        <v>2730.6800960162241</v>
      </c>
      <c r="AB971">
        <v>7.0155850111849256</v>
      </c>
      <c r="AC971">
        <v>2213.8082690753627</v>
      </c>
      <c r="AD971">
        <v>9.74380392021998</v>
      </c>
      <c r="AE971">
        <v>2012.4180854642768</v>
      </c>
      <c r="AF971">
        <v>7.0088369348960899</v>
      </c>
      <c r="AG971">
        <v>2157.7498895809954</v>
      </c>
      <c r="AH971">
        <v>9.7318112579050311</v>
      </c>
      <c r="AI971">
        <v>1926.2810755475909</v>
      </c>
      <c r="AJ971">
        <v>7.0018313471586691</v>
      </c>
    </row>
    <row r="972" spans="4:36" x14ac:dyDescent="0.55000000000000004">
      <c r="D972">
        <v>965</v>
      </c>
      <c r="E972">
        <v>12.531563985202464</v>
      </c>
      <c r="F972">
        <v>0.46579049603570055</v>
      </c>
      <c r="G972">
        <v>0.181640912834446</v>
      </c>
      <c r="H972">
        <v>16.821004605927399</v>
      </c>
      <c r="I972">
        <v>12.772846836201893</v>
      </c>
      <c r="J972">
        <v>0.29410139470628432</v>
      </c>
      <c r="K972">
        <v>0.11428083334929282</v>
      </c>
      <c r="L972">
        <v>16.818770935742542</v>
      </c>
      <c r="M972">
        <v>12.691829178369748</v>
      </c>
      <c r="N972">
        <v>0.35179064015950262</v>
      </c>
      <c r="O972">
        <v>0.13686022087431365</v>
      </c>
      <c r="P972">
        <v>16.819519960596434</v>
      </c>
      <c r="Q972">
        <v>12.632872509431571</v>
      </c>
      <c r="R972">
        <v>0.39374605452622929</v>
      </c>
      <c r="S972">
        <v>0.15331577908485769</v>
      </c>
      <c r="T972">
        <v>16.820065656957354</v>
      </c>
      <c r="U972">
        <v>1544.2697688745818</v>
      </c>
      <c r="V972">
        <v>9.9002392939926871</v>
      </c>
      <c r="W972">
        <v>1284.2554395247153</v>
      </c>
      <c r="X972">
        <v>7.1049624227243822</v>
      </c>
      <c r="Y972">
        <v>2915.8585420872205</v>
      </c>
      <c r="Z972">
        <v>9.9471789932345214</v>
      </c>
      <c r="AA972">
        <v>2741.6727248791358</v>
      </c>
      <c r="AB972">
        <v>7.1321305996774473</v>
      </c>
      <c r="AC972">
        <v>2237.4754240679508</v>
      </c>
      <c r="AD972">
        <v>9.9314181070166878</v>
      </c>
      <c r="AE972">
        <v>2027.70215863149</v>
      </c>
      <c r="AF972">
        <v>7.1230199225512587</v>
      </c>
      <c r="AG972">
        <v>2112.5307499396636</v>
      </c>
      <c r="AH972">
        <v>9.9199485903308506</v>
      </c>
      <c r="AI972">
        <v>1892.1031835813267</v>
      </c>
      <c r="AJ972">
        <v>7.1163825925443165</v>
      </c>
    </row>
    <row r="973" spans="4:36" x14ac:dyDescent="0.55000000000000004">
      <c r="D973">
        <v>966</v>
      </c>
      <c r="E973">
        <v>11.234940899952768</v>
      </c>
      <c r="F973">
        <v>0.38491147716929808</v>
      </c>
      <c r="G973">
        <v>0.16297042411130544</v>
      </c>
      <c r="H973">
        <v>18.217177198766624</v>
      </c>
      <c r="I973">
        <v>11.414447604988183</v>
      </c>
      <c r="J973">
        <v>0.25049537603312727</v>
      </c>
      <c r="K973">
        <v>0.1057306754828105</v>
      </c>
      <c r="L973">
        <v>18.229326343495881</v>
      </c>
      <c r="M973">
        <v>11.348022767791401</v>
      </c>
      <c r="N973">
        <v>0.30025680461318843</v>
      </c>
      <c r="O973">
        <v>0.12687920874800954</v>
      </c>
      <c r="P973">
        <v>18.224841218847409</v>
      </c>
      <c r="Q973">
        <v>11.305249825325459</v>
      </c>
      <c r="R973">
        <v>0.33228605898424196</v>
      </c>
      <c r="S973">
        <v>0.14051754533284738</v>
      </c>
      <c r="T973">
        <v>18.22194657035746</v>
      </c>
      <c r="U973">
        <v>1469.2595276630682</v>
      </c>
      <c r="V973">
        <v>8.8963290474747403</v>
      </c>
      <c r="W973">
        <v>1248.5823190155163</v>
      </c>
      <c r="X973">
        <v>6.5229636567910108</v>
      </c>
      <c r="Y973">
        <v>2828.9919302721632</v>
      </c>
      <c r="Z973">
        <v>8.9225403098629545</v>
      </c>
      <c r="AA973">
        <v>2690.1231999946021</v>
      </c>
      <c r="AB973">
        <v>6.5392420912095961</v>
      </c>
      <c r="AC973">
        <v>2134.7254401273021</v>
      </c>
      <c r="AD973">
        <v>8.912835298217848</v>
      </c>
      <c r="AE973">
        <v>1966.8504272652469</v>
      </c>
      <c r="AF973">
        <v>6.5332228793912348</v>
      </c>
      <c r="AG973">
        <v>2037.4016014297579</v>
      </c>
      <c r="AH973">
        <v>8.906589526497072</v>
      </c>
      <c r="AI973">
        <v>1852.8392664939338</v>
      </c>
      <c r="AJ973">
        <v>6.5293441555392473</v>
      </c>
    </row>
    <row r="974" spans="4:36" x14ac:dyDescent="0.55000000000000004">
      <c r="D974">
        <v>967</v>
      </c>
      <c r="E974">
        <v>12.274850344536144</v>
      </c>
      <c r="F974">
        <v>0.46290968506822078</v>
      </c>
      <c r="G974">
        <v>0.16985254652993267</v>
      </c>
      <c r="H974">
        <v>17.092387423865688</v>
      </c>
      <c r="I974">
        <v>12.474383420399137</v>
      </c>
      <c r="J974">
        <v>0.31166079600102453</v>
      </c>
      <c r="K974">
        <v>0.11403500414965437</v>
      </c>
      <c r="L974">
        <v>17.09992077945018</v>
      </c>
      <c r="M974">
        <v>12.399467965063817</v>
      </c>
      <c r="N974">
        <v>0.36847307831714432</v>
      </c>
      <c r="O974">
        <v>0.13496398056790535</v>
      </c>
      <c r="P974">
        <v>17.097094976051132</v>
      </c>
      <c r="Q974">
        <v>12.370269146427091</v>
      </c>
      <c r="R974">
        <v>0.3906078472072233</v>
      </c>
      <c r="S974">
        <v>0.14313025886247815</v>
      </c>
      <c r="T974">
        <v>17.0959927475032</v>
      </c>
      <c r="U974">
        <v>1533.4572551885865</v>
      </c>
      <c r="V974">
        <v>9.7201843302040825</v>
      </c>
      <c r="W974">
        <v>1279.1194049313933</v>
      </c>
      <c r="X974">
        <v>7.0027588997992058</v>
      </c>
      <c r="Y974">
        <v>2911.2810587909089</v>
      </c>
      <c r="Z974">
        <v>9.7518715936212743</v>
      </c>
      <c r="AA974">
        <v>2738.615474751587</v>
      </c>
      <c r="AB974">
        <v>7.021429109562062</v>
      </c>
      <c r="AC974">
        <v>2224.2203632577175</v>
      </c>
      <c r="AD974">
        <v>9.7399730392238837</v>
      </c>
      <c r="AE974">
        <v>2018.7831090512852</v>
      </c>
      <c r="AF974">
        <v>7.0144259782608485</v>
      </c>
      <c r="AG974">
        <v>2126.3880681452633</v>
      </c>
      <c r="AH974">
        <v>9.7353359660898722</v>
      </c>
      <c r="AI974">
        <v>1904.519905646305</v>
      </c>
      <c r="AJ974">
        <v>7.0116942973692664</v>
      </c>
    </row>
    <row r="975" spans="4:36" x14ac:dyDescent="0.55000000000000004">
      <c r="D975">
        <v>968</v>
      </c>
      <c r="E975">
        <v>12.194836897317712</v>
      </c>
      <c r="F975">
        <v>0.43288805050762036</v>
      </c>
      <c r="G975">
        <v>0.16186773964775714</v>
      </c>
      <c r="H975">
        <v>17.210407312526922</v>
      </c>
      <c r="I975">
        <v>12.400297878663675</v>
      </c>
      <c r="J975">
        <v>0.28404601417050096</v>
      </c>
      <c r="K975">
        <v>0.10588358834395126</v>
      </c>
      <c r="L975">
        <v>17.209772518821882</v>
      </c>
      <c r="M975">
        <v>12.343139973291844</v>
      </c>
      <c r="N975">
        <v>0.32547834617907895</v>
      </c>
      <c r="O975">
        <v>0.12143232508815741</v>
      </c>
      <c r="P975">
        <v>17.209949355440926</v>
      </c>
      <c r="Q975">
        <v>12.263151373538765</v>
      </c>
      <c r="R975">
        <v>0.38342722463228007</v>
      </c>
      <c r="S975">
        <v>0.14322488602996761</v>
      </c>
      <c r="T975">
        <v>17.210196515798991</v>
      </c>
      <c r="U975">
        <v>1527.7210226563486</v>
      </c>
      <c r="V975">
        <v>9.6220907194422978</v>
      </c>
      <c r="W975">
        <v>1280.4156298317175</v>
      </c>
      <c r="X975">
        <v>6.9450297473826206</v>
      </c>
      <c r="Y975">
        <v>2848.788300680671</v>
      </c>
      <c r="Z975">
        <v>9.6613362956420783</v>
      </c>
      <c r="AA975">
        <v>2697.573409321385</v>
      </c>
      <c r="AB975">
        <v>6.9679521558081197</v>
      </c>
      <c r="AC975">
        <v>2177.2848183980736</v>
      </c>
      <c r="AD975">
        <v>9.6504181699505036</v>
      </c>
      <c r="AE975">
        <v>1990.5428762752124</v>
      </c>
      <c r="AF975">
        <v>6.9615830806226295</v>
      </c>
      <c r="AG975">
        <v>2094.7531026209731</v>
      </c>
      <c r="AH975">
        <v>9.6351393339707929</v>
      </c>
      <c r="AI975">
        <v>1884.8046791058619</v>
      </c>
      <c r="AJ975">
        <v>6.9526599455743305</v>
      </c>
    </row>
    <row r="976" spans="4:36" x14ac:dyDescent="0.55000000000000004">
      <c r="D976">
        <v>969</v>
      </c>
      <c r="E976">
        <v>13.719687089197373</v>
      </c>
      <c r="F976">
        <v>0.51704285261255789</v>
      </c>
      <c r="G976">
        <v>0.18901304853806167</v>
      </c>
      <c r="H976">
        <v>15.57425700965201</v>
      </c>
      <c r="I976">
        <v>13.973452169404215</v>
      </c>
      <c r="J976">
        <v>0.33202318699773997</v>
      </c>
      <c r="K976">
        <v>0.12094311177408384</v>
      </c>
      <c r="L976">
        <v>15.573581531823969</v>
      </c>
      <c r="M976">
        <v>13.843965563045366</v>
      </c>
      <c r="N976">
        <v>0.42647598465945297</v>
      </c>
      <c r="O976">
        <v>0.15563111177129788</v>
      </c>
      <c r="P976">
        <v>15.573927340523873</v>
      </c>
      <c r="Q976">
        <v>13.791199096945286</v>
      </c>
      <c r="R976">
        <v>0.46493955604149279</v>
      </c>
      <c r="S976">
        <v>0.16979376514750574</v>
      </c>
      <c r="T976">
        <v>15.574067581865714</v>
      </c>
      <c r="U976">
        <v>1616.6607220845356</v>
      </c>
      <c r="V976">
        <v>10.831329363531292</v>
      </c>
      <c r="W976">
        <v>1326.7383695511373</v>
      </c>
      <c r="X976">
        <v>7.6348557617433475</v>
      </c>
      <c r="Y976">
        <v>2929.6720890915799</v>
      </c>
      <c r="Z976">
        <v>10.876594114310791</v>
      </c>
      <c r="AA976">
        <v>2745.0393339292327</v>
      </c>
      <c r="AB976">
        <v>7.6607059708488592</v>
      </c>
      <c r="AC976">
        <v>2290.6018197987114</v>
      </c>
      <c r="AD976">
        <v>10.853496441422831</v>
      </c>
      <c r="AE976">
        <v>2055.5174864914889</v>
      </c>
      <c r="AF976">
        <v>7.6475266818207199</v>
      </c>
      <c r="AG976">
        <v>2219.3963838985565</v>
      </c>
      <c r="AH976">
        <v>10.844084497758031</v>
      </c>
      <c r="AI976">
        <v>1958.4118871081632</v>
      </c>
      <c r="AJ976">
        <v>7.6421494498293407</v>
      </c>
    </row>
    <row r="977" spans="4:36" x14ac:dyDescent="0.55000000000000004">
      <c r="D977">
        <v>970</v>
      </c>
      <c r="E977">
        <v>12.123836043883236</v>
      </c>
      <c r="F977">
        <v>0.46415383598422488</v>
      </c>
      <c r="G977">
        <v>0.14922420571885078</v>
      </c>
      <c r="H977">
        <v>17.262785914413698</v>
      </c>
      <c r="I977">
        <v>12.319078134268302</v>
      </c>
      <c r="J977">
        <v>0.30782405102025839</v>
      </c>
      <c r="K977">
        <v>9.8686647254350571E-2</v>
      </c>
      <c r="L977">
        <v>17.274411167457085</v>
      </c>
      <c r="M977">
        <v>12.221464970418491</v>
      </c>
      <c r="N977">
        <v>0.38600485294759002</v>
      </c>
      <c r="O977">
        <v>0.12392454123618939</v>
      </c>
      <c r="P977">
        <v>17.268605635397716</v>
      </c>
      <c r="Q977">
        <v>12.185280360899931</v>
      </c>
      <c r="R977">
        <v>0.41497474127928846</v>
      </c>
      <c r="S977">
        <v>0.13329469600875701</v>
      </c>
      <c r="T977">
        <v>17.266450201812017</v>
      </c>
      <c r="U977">
        <v>1506.0059362827485</v>
      </c>
      <c r="V977">
        <v>9.5938959996384607</v>
      </c>
      <c r="W977">
        <v>1264.1055791326771</v>
      </c>
      <c r="X977">
        <v>6.9289218851027732</v>
      </c>
      <c r="Y977">
        <v>2886.6937349091836</v>
      </c>
      <c r="Z977">
        <v>9.6225754489163915</v>
      </c>
      <c r="AA977">
        <v>2724.4808032129718</v>
      </c>
      <c r="AB977">
        <v>6.9461327734965765</v>
      </c>
      <c r="AC977">
        <v>2208.0600821622215</v>
      </c>
      <c r="AD977">
        <v>9.6082331088064503</v>
      </c>
      <c r="AE977">
        <v>2009.7960927735819</v>
      </c>
      <c r="AF977">
        <v>6.9375337566952178</v>
      </c>
      <c r="AG977">
        <v>2114.3328672483381</v>
      </c>
      <c r="AH977">
        <v>9.6029184024892107</v>
      </c>
      <c r="AI977">
        <v>1898.2888349605503</v>
      </c>
      <c r="AJ977">
        <v>6.9343432498283981</v>
      </c>
    </row>
    <row r="978" spans="4:36" x14ac:dyDescent="0.55000000000000004">
      <c r="D978">
        <v>971</v>
      </c>
      <c r="E978">
        <v>13.299774498418435</v>
      </c>
      <c r="F978">
        <v>0.45076150824576278</v>
      </c>
      <c r="G978">
        <v>0.17134842836677153</v>
      </c>
      <c r="H978">
        <v>16.078115564969021</v>
      </c>
      <c r="I978">
        <v>13.517975173723913</v>
      </c>
      <c r="J978">
        <v>0.30353970439537026</v>
      </c>
      <c r="K978">
        <v>0.11501823369430567</v>
      </c>
      <c r="L978">
        <v>16.063466888186397</v>
      </c>
      <c r="M978">
        <v>13.447334102214278</v>
      </c>
      <c r="N978">
        <v>0.35123526119178283</v>
      </c>
      <c r="O978">
        <v>0.13322773733113574</v>
      </c>
      <c r="P978">
        <v>16.068202899262808</v>
      </c>
      <c r="Q978">
        <v>13.39445497051471</v>
      </c>
      <c r="R978">
        <v>0.38691739573304412</v>
      </c>
      <c r="S978">
        <v>0.14687554220978208</v>
      </c>
      <c r="T978">
        <v>16.071752091542479</v>
      </c>
      <c r="U978">
        <v>1570.8330226124524</v>
      </c>
      <c r="V978">
        <v>10.581678110316345</v>
      </c>
      <c r="W978">
        <v>1301.5452626886361</v>
      </c>
      <c r="X978">
        <v>7.5123503417030584</v>
      </c>
      <c r="Y978">
        <v>2912.9052229947897</v>
      </c>
      <c r="Z978">
        <v>10.631671319631288</v>
      </c>
      <c r="AA978">
        <v>2736.8528754969966</v>
      </c>
      <c r="AB978">
        <v>7.5404797521697784</v>
      </c>
      <c r="AC978">
        <v>2240.7620389287204</v>
      </c>
      <c r="AD978">
        <v>10.615490413005125</v>
      </c>
      <c r="AE978">
        <v>2027.6220542518158</v>
      </c>
      <c r="AF978">
        <v>7.5313842874408214</v>
      </c>
      <c r="AG978">
        <v>2146.1133483372178</v>
      </c>
      <c r="AH978">
        <v>10.603375476534746</v>
      </c>
      <c r="AI978">
        <v>1914.2208686547037</v>
      </c>
      <c r="AJ978">
        <v>7.5245687580382716</v>
      </c>
    </row>
    <row r="979" spans="4:36" x14ac:dyDescent="0.55000000000000004">
      <c r="D979">
        <v>972</v>
      </c>
      <c r="E979">
        <v>12.600304241057026</v>
      </c>
      <c r="F979">
        <v>0.50056093515963329</v>
      </c>
      <c r="G979">
        <v>0.17848160245350109</v>
      </c>
      <c r="H979">
        <v>16.720653221329844</v>
      </c>
      <c r="I979">
        <v>12.844601558123131</v>
      </c>
      <c r="J979">
        <v>0.31297778582179275</v>
      </c>
      <c r="K979">
        <v>0.11121942913955789</v>
      </c>
      <c r="L979">
        <v>16.731201226915523</v>
      </c>
      <c r="M979">
        <v>12.738178454019016</v>
      </c>
      <c r="N979">
        <v>0.39473238098343483</v>
      </c>
      <c r="O979">
        <v>0.14047762119167015</v>
      </c>
      <c r="P979">
        <v>16.726611543805859</v>
      </c>
      <c r="Q979">
        <v>12.748087463719248</v>
      </c>
      <c r="R979">
        <v>0.38712269942963873</v>
      </c>
      <c r="S979">
        <v>0.13775060325660601</v>
      </c>
      <c r="T979">
        <v>16.727039233594496</v>
      </c>
      <c r="U979">
        <v>1534.8125134142665</v>
      </c>
      <c r="V979">
        <v>9.9816139356560232</v>
      </c>
      <c r="W979">
        <v>1277.8546547715698</v>
      </c>
      <c r="X979">
        <v>7.1518169867597852</v>
      </c>
      <c r="Y979">
        <v>2915.8964341591022</v>
      </c>
      <c r="Z979">
        <v>10.020492882448774</v>
      </c>
      <c r="AA979">
        <v>2742.1788812307736</v>
      </c>
      <c r="AB979">
        <v>7.1747117119120949</v>
      </c>
      <c r="AC979">
        <v>2244.5932752370418</v>
      </c>
      <c r="AD979">
        <v>10.00355259130076</v>
      </c>
      <c r="AE979">
        <v>2031.9003387371292</v>
      </c>
      <c r="AF979">
        <v>7.1647476938832524</v>
      </c>
      <c r="AG979">
        <v>2091.7348419433588</v>
      </c>
      <c r="AH979">
        <v>10.005129668990012</v>
      </c>
      <c r="AI979">
        <v>1880.1193628241117</v>
      </c>
      <c r="AJ979">
        <v>7.1656760605046115</v>
      </c>
    </row>
    <row r="980" spans="4:36" x14ac:dyDescent="0.55000000000000004">
      <c r="D980">
        <v>973</v>
      </c>
      <c r="E980">
        <v>12.152487895150072</v>
      </c>
      <c r="F980">
        <v>0.4137382196713556</v>
      </c>
      <c r="G980">
        <v>0.14804895687053565</v>
      </c>
      <c r="H980">
        <v>17.285724928308035</v>
      </c>
      <c r="I980">
        <v>12.344879955031098</v>
      </c>
      <c r="J980">
        <v>0.27626690248360414</v>
      </c>
      <c r="K980">
        <v>9.8558696793289519E-2</v>
      </c>
      <c r="L980">
        <v>17.280294445692018</v>
      </c>
      <c r="M980">
        <v>12.254990193280218</v>
      </c>
      <c r="N980">
        <v>0.34052497641231033</v>
      </c>
      <c r="O980">
        <v>0.12165408509171964</v>
      </c>
      <c r="P980">
        <v>17.282830745215758</v>
      </c>
      <c r="Q980">
        <v>12.248530534692993</v>
      </c>
      <c r="R980">
        <v>0.34514077348165711</v>
      </c>
      <c r="S980">
        <v>0.12331561952058966</v>
      </c>
      <c r="T980">
        <v>17.283013072304755</v>
      </c>
      <c r="U980">
        <v>1534.1111030276193</v>
      </c>
      <c r="V980">
        <v>9.6101602286054106</v>
      </c>
      <c r="W980">
        <v>1284.5900066162558</v>
      </c>
      <c r="X980">
        <v>6.9445408242957942</v>
      </c>
      <c r="Y980">
        <v>2898.9309609540896</v>
      </c>
      <c r="Z980">
        <v>9.651680358019151</v>
      </c>
      <c r="AA980">
        <v>2733.2284365820501</v>
      </c>
      <c r="AB980">
        <v>6.9687766359948249</v>
      </c>
      <c r="AC980">
        <v>2204.8281312001836</v>
      </c>
      <c r="AD980">
        <v>9.6322810240326611</v>
      </c>
      <c r="AE980">
        <v>2007.7814580659599</v>
      </c>
      <c r="AF980">
        <v>6.9574628314104023</v>
      </c>
      <c r="AG980">
        <v>2088.6963759475116</v>
      </c>
      <c r="AH980">
        <v>9.6308869639909975</v>
      </c>
      <c r="AI980">
        <v>1881.7262340481768</v>
      </c>
      <c r="AJ980">
        <v>6.9566491468499443</v>
      </c>
    </row>
    <row r="981" spans="4:36" x14ac:dyDescent="0.55000000000000004">
      <c r="D981">
        <v>974</v>
      </c>
      <c r="E981">
        <v>12.035802408077082</v>
      </c>
      <c r="F981">
        <v>0.43125751303423249</v>
      </c>
      <c r="G981">
        <v>0.13470265746481738</v>
      </c>
      <c r="H981">
        <v>17.398237421423854</v>
      </c>
      <c r="I981">
        <v>12.25389158117328</v>
      </c>
      <c r="J981">
        <v>0.27006670976630859</v>
      </c>
      <c r="K981">
        <v>8.4093635698389874E-2</v>
      </c>
      <c r="L981">
        <v>17.391948073362006</v>
      </c>
      <c r="M981">
        <v>12.168438477239967</v>
      </c>
      <c r="N981">
        <v>0.3332584233407726</v>
      </c>
      <c r="O981">
        <v>0.10389600899710787</v>
      </c>
      <c r="P981">
        <v>17.394407090422163</v>
      </c>
      <c r="Q981">
        <v>12.105553772271458</v>
      </c>
      <c r="R981">
        <v>0.3797340288108863</v>
      </c>
      <c r="S981">
        <v>0.1184911626239121</v>
      </c>
      <c r="T981">
        <v>17.396221036293756</v>
      </c>
      <c r="U981">
        <v>1482.7008846130468</v>
      </c>
      <c r="V981">
        <v>9.4871153469658118</v>
      </c>
      <c r="W981">
        <v>1251.1950127252235</v>
      </c>
      <c r="X981">
        <v>6.868129088496449</v>
      </c>
      <c r="Y981">
        <v>2853.6908673936323</v>
      </c>
      <c r="Z981">
        <v>9.5329656665005142</v>
      </c>
      <c r="AA981">
        <v>2704.3360586525964</v>
      </c>
      <c r="AB981">
        <v>6.8946725810179315</v>
      </c>
      <c r="AC981">
        <v>2175.460915061929</v>
      </c>
      <c r="AD981">
        <v>9.5150028922673311</v>
      </c>
      <c r="AE981">
        <v>1991.2554746328658</v>
      </c>
      <c r="AF981">
        <v>6.8842847663376414</v>
      </c>
      <c r="AG981">
        <v>2083.8386362405658</v>
      </c>
      <c r="AH981">
        <v>9.5017820082349704</v>
      </c>
      <c r="AI981">
        <v>1880.1268898105507</v>
      </c>
      <c r="AJ981">
        <v>6.8766300445826163</v>
      </c>
    </row>
    <row r="982" spans="4:36" x14ac:dyDescent="0.55000000000000004">
      <c r="D982">
        <v>975</v>
      </c>
      <c r="E982">
        <v>11.599911699080614</v>
      </c>
      <c r="F982">
        <v>0.47280840460052354</v>
      </c>
      <c r="G982">
        <v>0.15325040673807055</v>
      </c>
      <c r="H982">
        <v>17.774029489580787</v>
      </c>
      <c r="I982">
        <v>11.803478750665601</v>
      </c>
      <c r="J982">
        <v>0.29978745400322543</v>
      </c>
      <c r="K982">
        <v>9.6864990952273231E-2</v>
      </c>
      <c r="L982">
        <v>17.799868804378896</v>
      </c>
      <c r="M982">
        <v>11.713126316151408</v>
      </c>
      <c r="N982">
        <v>0.37660125809385758</v>
      </c>
      <c r="O982">
        <v>0.12185343351809322</v>
      </c>
      <c r="P982">
        <v>17.788418992236636</v>
      </c>
      <c r="Q982">
        <v>11.677717862735401</v>
      </c>
      <c r="R982">
        <v>0.40669571694511875</v>
      </c>
      <c r="S982">
        <v>0.13166271111192157</v>
      </c>
      <c r="T982">
        <v>17.783923709207542</v>
      </c>
      <c r="U982">
        <v>1476.148438179174</v>
      </c>
      <c r="V982">
        <v>9.2150090614991047</v>
      </c>
      <c r="W982">
        <v>1245.2733998317754</v>
      </c>
      <c r="X982">
        <v>6.7086848523207978</v>
      </c>
      <c r="Y982">
        <v>2864.0520488941929</v>
      </c>
      <c r="Z982">
        <v>9.2388442475721373</v>
      </c>
      <c r="AA982">
        <v>2711.0399264470016</v>
      </c>
      <c r="AB982">
        <v>6.72396765417019</v>
      </c>
      <c r="AC982">
        <v>2174.9790958217582</v>
      </c>
      <c r="AD982">
        <v>9.2282541194231484</v>
      </c>
      <c r="AE982">
        <v>1989.3046798911109</v>
      </c>
      <c r="AF982">
        <v>6.7171875131437737</v>
      </c>
      <c r="AG982">
        <v>2055.5485770995501</v>
      </c>
      <c r="AH982">
        <v>9.2241086881519685</v>
      </c>
      <c r="AI982">
        <v>1859.1452948052761</v>
      </c>
      <c r="AJ982">
        <v>6.7145290951645711</v>
      </c>
    </row>
    <row r="983" spans="4:36" x14ac:dyDescent="0.55000000000000004">
      <c r="D983">
        <v>976</v>
      </c>
      <c r="E983">
        <v>11.319582479291176</v>
      </c>
      <c r="F983">
        <v>0.42652957810738379</v>
      </c>
      <c r="G983">
        <v>0.13998600534514891</v>
      </c>
      <c r="H983">
        <v>18.113901937256305</v>
      </c>
      <c r="I983">
        <v>11.508219676208565</v>
      </c>
      <c r="J983">
        <v>0.27697840934887441</v>
      </c>
      <c r="K983">
        <v>9.0648094154017284E-2</v>
      </c>
      <c r="L983">
        <v>18.124153820288548</v>
      </c>
      <c r="M983">
        <v>11.429382345299597</v>
      </c>
      <c r="N983">
        <v>0.33950212882843606</v>
      </c>
      <c r="O983">
        <v>0.11124086506151484</v>
      </c>
      <c r="P983">
        <v>18.119874660810442</v>
      </c>
      <c r="Q983">
        <v>11.402593777529068</v>
      </c>
      <c r="R983">
        <v>0.36074035080968764</v>
      </c>
      <c r="S983">
        <v>0.11824701603542742</v>
      </c>
      <c r="T983">
        <v>18.118418855625826</v>
      </c>
      <c r="U983">
        <v>1461.3068335995563</v>
      </c>
      <c r="V983">
        <v>8.8666223694495319</v>
      </c>
      <c r="W983">
        <v>1239.7194003132856</v>
      </c>
      <c r="X983">
        <v>6.4904949859515559</v>
      </c>
      <c r="Y983">
        <v>2853.6698300277021</v>
      </c>
      <c r="Z983">
        <v>8.8932605731721406</v>
      </c>
      <c r="AA983">
        <v>2706.3661072938626</v>
      </c>
      <c r="AB983">
        <v>6.5066878932358208</v>
      </c>
      <c r="AC983">
        <v>2178.0962829127407</v>
      </c>
      <c r="AD983">
        <v>8.8821245069374815</v>
      </c>
      <c r="AE983">
        <v>1995.914348121614</v>
      </c>
      <c r="AF983">
        <v>6.4999262165419642</v>
      </c>
      <c r="AG983">
        <v>2040.6559297555434</v>
      </c>
      <c r="AH983">
        <v>8.8783415437539848</v>
      </c>
      <c r="AI983">
        <v>1853.2464547577047</v>
      </c>
      <c r="AJ983">
        <v>6.4976267285828806</v>
      </c>
    </row>
    <row r="984" spans="4:36" x14ac:dyDescent="0.55000000000000004">
      <c r="D984">
        <v>977</v>
      </c>
      <c r="E984">
        <v>13.324151302716336</v>
      </c>
      <c r="F984">
        <v>0.47130663647241311</v>
      </c>
      <c r="G984">
        <v>0.19078709946705033</v>
      </c>
      <c r="H984">
        <v>16.013754961344201</v>
      </c>
      <c r="I984">
        <v>13.584014732275287</v>
      </c>
      <c r="J984">
        <v>0.29492230319266388</v>
      </c>
      <c r="K984">
        <v>0.11893404004075257</v>
      </c>
      <c r="L984">
        <v>16.002128924491313</v>
      </c>
      <c r="M984">
        <v>13.518013373475251</v>
      </c>
      <c r="N984">
        <v>0.3397618240987022</v>
      </c>
      <c r="O984">
        <v>0.13714780206139701</v>
      </c>
      <c r="P984">
        <v>16.005077000364672</v>
      </c>
      <c r="Q984">
        <v>13.419688890764078</v>
      </c>
      <c r="R984">
        <v>0.40650971429274235</v>
      </c>
      <c r="S984">
        <v>0.16432655147209424</v>
      </c>
      <c r="T984">
        <v>16.009474843471089</v>
      </c>
      <c r="U984">
        <v>1570.6726273962583</v>
      </c>
      <c r="V984">
        <v>10.562822515057601</v>
      </c>
      <c r="W984">
        <v>1299.5576403793259</v>
      </c>
      <c r="X984">
        <v>7.4928773312207255</v>
      </c>
      <c r="Y984">
        <v>2925.9077389255608</v>
      </c>
      <c r="Z984">
        <v>10.619817902574191</v>
      </c>
      <c r="AA984">
        <v>2746.502626053767</v>
      </c>
      <c r="AB984">
        <v>7.525184447601541</v>
      </c>
      <c r="AC984">
        <v>2240.7297720467641</v>
      </c>
      <c r="AD984">
        <v>10.605344618298961</v>
      </c>
      <c r="AE984">
        <v>2028.1303575196741</v>
      </c>
      <c r="AF984">
        <v>7.516991405329688</v>
      </c>
      <c r="AG984">
        <v>2173.9800701288605</v>
      </c>
      <c r="AH984">
        <v>10.583779900758479</v>
      </c>
      <c r="AI984">
        <v>1932.338919622327</v>
      </c>
      <c r="AJ984">
        <v>7.5047702634421842</v>
      </c>
    </row>
    <row r="985" spans="4:36" x14ac:dyDescent="0.55000000000000004">
      <c r="D985">
        <v>978</v>
      </c>
      <c r="E985">
        <v>13.964853045372243</v>
      </c>
      <c r="F985">
        <v>0.52614779667337286</v>
      </c>
      <c r="G985">
        <v>0.18051205162627451</v>
      </c>
      <c r="H985">
        <v>15.328487106328103</v>
      </c>
      <c r="I985">
        <v>14.214924358480946</v>
      </c>
      <c r="J985">
        <v>0.343160232072863</v>
      </c>
      <c r="K985">
        <v>0.11735373103587211</v>
      </c>
      <c r="L985">
        <v>15.324561678410317</v>
      </c>
      <c r="M985">
        <v>14.151828345360501</v>
      </c>
      <c r="N985">
        <v>0.38936201336254239</v>
      </c>
      <c r="O985">
        <v>0.13326140561629007</v>
      </c>
      <c r="P985">
        <v>15.325548235660666</v>
      </c>
      <c r="Q985">
        <v>14.068807471164554</v>
      </c>
      <c r="R985">
        <v>0.45012109611224566</v>
      </c>
      <c r="S985">
        <v>0.15422113046871311</v>
      </c>
      <c r="T985">
        <v>15.326850302254474</v>
      </c>
      <c r="U985">
        <v>1619.2636319948426</v>
      </c>
      <c r="V985">
        <v>11.107349145814574</v>
      </c>
      <c r="W985">
        <v>1323.8472181457344</v>
      </c>
      <c r="X985">
        <v>7.8054294040390939</v>
      </c>
      <c r="Y985">
        <v>2959.6313738907011</v>
      </c>
      <c r="Z985">
        <v>11.157534404144036</v>
      </c>
      <c r="AA985">
        <v>2762.7780451717554</v>
      </c>
      <c r="AB985">
        <v>7.833660486085587</v>
      </c>
      <c r="AC985">
        <v>2291.1311332701716</v>
      </c>
      <c r="AD985">
        <v>11.144874354579107</v>
      </c>
      <c r="AE985">
        <v>2055.3603840052301</v>
      </c>
      <c r="AF985">
        <v>7.8265471840715497</v>
      </c>
      <c r="AG985">
        <v>2199.3155745265158</v>
      </c>
      <c r="AH985">
        <v>11.128214081731555</v>
      </c>
      <c r="AI985">
        <v>1941.6699810607624</v>
      </c>
      <c r="AJ985">
        <v>7.8171776259083625</v>
      </c>
    </row>
    <row r="986" spans="4:36" x14ac:dyDescent="0.55000000000000004">
      <c r="D986">
        <v>979</v>
      </c>
      <c r="E986">
        <v>12.027378212076888</v>
      </c>
      <c r="F986">
        <v>0.48458354623545929</v>
      </c>
      <c r="G986">
        <v>0.16109315836137303</v>
      </c>
      <c r="H986">
        <v>17.326945083326294</v>
      </c>
      <c r="I986">
        <v>12.252823804408001</v>
      </c>
      <c r="J986">
        <v>0.29815740446381617</v>
      </c>
      <c r="K986">
        <v>9.8794233016137545E-2</v>
      </c>
      <c r="L986">
        <v>17.350224558112039</v>
      </c>
      <c r="M986">
        <v>12.163155262730681</v>
      </c>
      <c r="N986">
        <v>0.37233162536696868</v>
      </c>
      <c r="O986">
        <v>0.12353189524204061</v>
      </c>
      <c r="P986">
        <v>17.34098121666031</v>
      </c>
      <c r="Q986">
        <v>12.125072435268963</v>
      </c>
      <c r="R986">
        <v>0.4038238620048834</v>
      </c>
      <c r="S986">
        <v>0.13405449136815442</v>
      </c>
      <c r="T986">
        <v>17.337049211357993</v>
      </c>
      <c r="U986">
        <v>1532.0504975241552</v>
      </c>
      <c r="V986">
        <v>9.5608293742670831</v>
      </c>
      <c r="W986">
        <v>1280.6075462171987</v>
      </c>
      <c r="X986">
        <v>6.9125138481078947</v>
      </c>
      <c r="Y986">
        <v>2875.5667142855204</v>
      </c>
      <c r="Z986">
        <v>9.5904632663544334</v>
      </c>
      <c r="AA986">
        <v>2716.582030219678</v>
      </c>
      <c r="AB986">
        <v>6.9307975694061854</v>
      </c>
      <c r="AC986">
        <v>2209.6753305100874</v>
      </c>
      <c r="AD986">
        <v>9.578667915446891</v>
      </c>
      <c r="AE986">
        <v>2011.2748144497996</v>
      </c>
      <c r="AF986">
        <v>6.9235306971967763</v>
      </c>
      <c r="AG986">
        <v>2087.1120267962756</v>
      </c>
      <c r="AH986">
        <v>9.5736618509373965</v>
      </c>
      <c r="AI986">
        <v>1878.5268039815949</v>
      </c>
      <c r="AJ986">
        <v>6.9204423091340628</v>
      </c>
    </row>
    <row r="987" spans="4:36" x14ac:dyDescent="0.55000000000000004">
      <c r="D987">
        <v>980</v>
      </c>
      <c r="E987">
        <v>12.580528112058353</v>
      </c>
      <c r="F987">
        <v>0.47777607513305798</v>
      </c>
      <c r="G987">
        <v>0.1614677804965613</v>
      </c>
      <c r="H987">
        <v>16.780228032312035</v>
      </c>
      <c r="I987">
        <v>12.825341987548827</v>
      </c>
      <c r="J987">
        <v>0.29679908743741462</v>
      </c>
      <c r="K987">
        <v>9.9948546190155307E-2</v>
      </c>
      <c r="L987">
        <v>16.777910378823588</v>
      </c>
      <c r="M987">
        <v>12.752513957417664</v>
      </c>
      <c r="N987">
        <v>0.35067210013750288</v>
      </c>
      <c r="O987">
        <v>0.11821509161867809</v>
      </c>
      <c r="P987">
        <v>16.77859885082615</v>
      </c>
      <c r="Q987">
        <v>12.700800264135522</v>
      </c>
      <c r="R987">
        <v>0.38890810635059558</v>
      </c>
      <c r="S987">
        <v>0.1312034010938401</v>
      </c>
      <c r="T987">
        <v>16.77908822842004</v>
      </c>
      <c r="U987">
        <v>1562.8420897769422</v>
      </c>
      <c r="V987">
        <v>10.026853046270837</v>
      </c>
      <c r="W987">
        <v>1298.2971587223219</v>
      </c>
      <c r="X987">
        <v>7.1916173958374658</v>
      </c>
      <c r="Y987">
        <v>2910.0874344735248</v>
      </c>
      <c r="Z987">
        <v>10.07599901669334</v>
      </c>
      <c r="AA987">
        <v>2738.2835813853103</v>
      </c>
      <c r="AB987">
        <v>7.220023122283397</v>
      </c>
      <c r="AC987">
        <v>2251.1826372209302</v>
      </c>
      <c r="AD987">
        <v>10.061379518708476</v>
      </c>
      <c r="AE987">
        <v>2038.8142049895987</v>
      </c>
      <c r="AF987">
        <v>7.2115846160556236</v>
      </c>
      <c r="AG987">
        <v>2112.4020762044315</v>
      </c>
      <c r="AH987">
        <v>10.050998202265125</v>
      </c>
      <c r="AI987">
        <v>1893.6921018421929</v>
      </c>
      <c r="AJ987">
        <v>7.2055866117409675</v>
      </c>
    </row>
    <row r="988" spans="4:36" x14ac:dyDescent="0.55000000000000004">
      <c r="D988">
        <v>981</v>
      </c>
      <c r="E988">
        <v>12.848920361069062</v>
      </c>
      <c r="F988">
        <v>0.43732094283787765</v>
      </c>
      <c r="G988">
        <v>0.16138977199252938</v>
      </c>
      <c r="H988">
        <v>16.552368924100541</v>
      </c>
      <c r="I988">
        <v>13.077251715173317</v>
      </c>
      <c r="J988">
        <v>0.28094631211801069</v>
      </c>
      <c r="K988">
        <v>0.10334926856585915</v>
      </c>
      <c r="L988">
        <v>16.538452704142816</v>
      </c>
      <c r="M988">
        <v>12.973799695242025</v>
      </c>
      <c r="N988">
        <v>0.35183772648819495</v>
      </c>
      <c r="O988">
        <v>0.12961477245019701</v>
      </c>
      <c r="P988">
        <v>16.544747805819586</v>
      </c>
      <c r="Q988">
        <v>12.922750527659637</v>
      </c>
      <c r="R988">
        <v>0.38679438982422276</v>
      </c>
      <c r="S988">
        <v>0.14259480118156531</v>
      </c>
      <c r="T988">
        <v>16.547860281334579</v>
      </c>
      <c r="U988">
        <v>1541.7833088935106</v>
      </c>
      <c r="V988">
        <v>10.081764201268266</v>
      </c>
      <c r="W988">
        <v>1284.3824600317364</v>
      </c>
      <c r="X988">
        <v>7.2056428392156926</v>
      </c>
      <c r="Y988">
        <v>2916.5471756934339</v>
      </c>
      <c r="Z988">
        <v>10.130424531937642</v>
      </c>
      <c r="AA988">
        <v>2742.9177599810605</v>
      </c>
      <c r="AB988">
        <v>7.2331019823233822</v>
      </c>
      <c r="AC988">
        <v>2242.0802583192662</v>
      </c>
      <c r="AD988">
        <v>10.108383644914007</v>
      </c>
      <c r="AE988">
        <v>2030.681682129848</v>
      </c>
      <c r="AF988">
        <v>7.2206749186718096</v>
      </c>
      <c r="AG988">
        <v>2132.4585835570761</v>
      </c>
      <c r="AH988">
        <v>10.09750371567976</v>
      </c>
      <c r="AI988">
        <v>1906.7572128384872</v>
      </c>
      <c r="AJ988">
        <v>7.2145341227146789</v>
      </c>
    </row>
    <row r="989" spans="4:36" x14ac:dyDescent="0.55000000000000004">
      <c r="D989">
        <v>982</v>
      </c>
      <c r="E989">
        <v>11.775871792393504</v>
      </c>
      <c r="F989">
        <v>0.43684031470043222</v>
      </c>
      <c r="G989">
        <v>0.16039402955744392</v>
      </c>
      <c r="H989">
        <v>17.626893863348606</v>
      </c>
      <c r="I989">
        <v>11.980920795840431</v>
      </c>
      <c r="J989">
        <v>0.27686390564200791</v>
      </c>
      <c r="K989">
        <v>0.10134979417095161</v>
      </c>
      <c r="L989">
        <v>17.640865504346593</v>
      </c>
      <c r="M989">
        <v>11.906026214935183</v>
      </c>
      <c r="N989">
        <v>0.33532064661974065</v>
      </c>
      <c r="O989">
        <v>0.12288329125693422</v>
      </c>
      <c r="P989">
        <v>17.635769847188133</v>
      </c>
      <c r="Q989">
        <v>11.853422660401243</v>
      </c>
      <c r="R989">
        <v>0.37636162484335717</v>
      </c>
      <c r="S989">
        <v>0.13803004896078402</v>
      </c>
      <c r="T989">
        <v>17.632185665794612</v>
      </c>
      <c r="U989">
        <v>1493.5572727355932</v>
      </c>
      <c r="V989">
        <v>9.2555542527153083</v>
      </c>
      <c r="W989">
        <v>1258.1232442759224</v>
      </c>
      <c r="X989">
        <v>6.7231027771942991</v>
      </c>
      <c r="Y989">
        <v>2867.638140518739</v>
      </c>
      <c r="Z989">
        <v>9.2861774157096555</v>
      </c>
      <c r="AA989">
        <v>2713.6886691835616</v>
      </c>
      <c r="AB989">
        <v>6.7416953458108297</v>
      </c>
      <c r="AC989">
        <v>2173.2394069555098</v>
      </c>
      <c r="AD989">
        <v>9.2749874818226115</v>
      </c>
      <c r="AE989">
        <v>1989.1071655593357</v>
      </c>
      <c r="AF989">
        <v>6.7349104466705914</v>
      </c>
      <c r="AG989">
        <v>2086.6053221722318</v>
      </c>
      <c r="AH989">
        <v>9.2671312955815814</v>
      </c>
      <c r="AI989">
        <v>1881.9141365759472</v>
      </c>
      <c r="AJ989">
        <v>6.7301407874729851</v>
      </c>
    </row>
    <row r="990" spans="4:36" x14ac:dyDescent="0.55000000000000004">
      <c r="D990">
        <v>983</v>
      </c>
      <c r="E990">
        <v>13.680312722052873</v>
      </c>
      <c r="F990">
        <v>0.51201047600639682</v>
      </c>
      <c r="G990">
        <v>0.17191121554129823</v>
      </c>
      <c r="H990">
        <v>15.635765586399437</v>
      </c>
      <c r="I990">
        <v>13.946327779341463</v>
      </c>
      <c r="J990">
        <v>0.32159510495892096</v>
      </c>
      <c r="K990">
        <v>0.10758688563871464</v>
      </c>
      <c r="L990">
        <v>15.6244902300609</v>
      </c>
      <c r="M990">
        <v>13.813094910242961</v>
      </c>
      <c r="N990">
        <v>0.41701471629981779</v>
      </c>
      <c r="O990">
        <v>0.13976135539396514</v>
      </c>
      <c r="P990">
        <v>15.630129018063256</v>
      </c>
      <c r="Q990">
        <v>13.790846676656535</v>
      </c>
      <c r="R990">
        <v>0.43293874419033218</v>
      </c>
      <c r="S990">
        <v>0.145142309506537</v>
      </c>
      <c r="T990">
        <v>15.631072269646612</v>
      </c>
      <c r="U990">
        <v>1647.438765557841</v>
      </c>
      <c r="V990">
        <v>10.800207619497902</v>
      </c>
      <c r="W990">
        <v>1346.4624436933832</v>
      </c>
      <c r="X990">
        <v>7.6215089608594031</v>
      </c>
      <c r="Y990">
        <v>2935.5882303722847</v>
      </c>
      <c r="Z990">
        <v>10.857715220384753</v>
      </c>
      <c r="AA990">
        <v>2748.4032400430146</v>
      </c>
      <c r="AB990">
        <v>7.653855882043243</v>
      </c>
      <c r="AC990">
        <v>2264.5425191834138</v>
      </c>
      <c r="AD990">
        <v>10.828917530998789</v>
      </c>
      <c r="AE990">
        <v>2035.658703975191</v>
      </c>
      <c r="AF990">
        <v>7.6376716957809894</v>
      </c>
      <c r="AG990">
        <v>2182.5384727696205</v>
      </c>
      <c r="AH990">
        <v>10.824107734891388</v>
      </c>
      <c r="AI990">
        <v>1932.396510782015</v>
      </c>
      <c r="AJ990">
        <v>7.6349658924980828</v>
      </c>
    </row>
    <row r="991" spans="4:36" x14ac:dyDescent="0.55000000000000004">
      <c r="D991">
        <v>984</v>
      </c>
      <c r="E991">
        <v>12.06424148654709</v>
      </c>
      <c r="F991">
        <v>0.43323302574126255</v>
      </c>
      <c r="G991">
        <v>0.13091291633514435</v>
      </c>
      <c r="H991">
        <v>17.371612571376506</v>
      </c>
      <c r="I991">
        <v>12.257793874867312</v>
      </c>
      <c r="J991">
        <v>0.28363730596225756</v>
      </c>
      <c r="K991">
        <v>8.5469337896863784E-2</v>
      </c>
      <c r="L991">
        <v>17.373099481273577</v>
      </c>
      <c r="M991">
        <v>12.15095791494932</v>
      </c>
      <c r="N991">
        <v>0.36623442654963456</v>
      </c>
      <c r="O991">
        <v>0.11052850499075363</v>
      </c>
      <c r="P991">
        <v>17.372279153510298</v>
      </c>
      <c r="Q991">
        <v>12.120062193020832</v>
      </c>
      <c r="R991">
        <v>0.39010950338824696</v>
      </c>
      <c r="S991">
        <v>0.11778656675012131</v>
      </c>
      <c r="T991">
        <v>17.372041736840796</v>
      </c>
      <c r="U991">
        <v>1490.4224889606644</v>
      </c>
      <c r="V991">
        <v>9.5750592783692419</v>
      </c>
      <c r="W991">
        <v>1257.0698021293367</v>
      </c>
      <c r="X991">
        <v>6.9281976370502045</v>
      </c>
      <c r="Y991">
        <v>2866.9266807219083</v>
      </c>
      <c r="Z991">
        <v>9.6124704597118509</v>
      </c>
      <c r="AA991">
        <v>2713.2516256877734</v>
      </c>
      <c r="AB991">
        <v>6.9501234531311624</v>
      </c>
      <c r="AC991">
        <v>2196.1614402336072</v>
      </c>
      <c r="AD991">
        <v>9.5918200910560341</v>
      </c>
      <c r="AE991">
        <v>2004.2996943729418</v>
      </c>
      <c r="AF991">
        <v>6.9380297479690922</v>
      </c>
      <c r="AG991">
        <v>2079.4361687752985</v>
      </c>
      <c r="AH991">
        <v>9.5858484064762735</v>
      </c>
      <c r="AI991">
        <v>1876.5527029400598</v>
      </c>
      <c r="AJ991">
        <v>6.9345283650849945</v>
      </c>
    </row>
    <row r="992" spans="4:36" x14ac:dyDescent="0.55000000000000004">
      <c r="D992">
        <v>985</v>
      </c>
      <c r="E992">
        <v>11.155865557175625</v>
      </c>
      <c r="F992">
        <v>0.45433199747956238</v>
      </c>
      <c r="G992">
        <v>0.15703152035876472</v>
      </c>
      <c r="H992">
        <v>18.232770924986038</v>
      </c>
      <c r="I992">
        <v>11.346341843713828</v>
      </c>
      <c r="J992">
        <v>0.29089144930645872</v>
      </c>
      <c r="K992">
        <v>0.10023221860563618</v>
      </c>
      <c r="L992">
        <v>18.262534488374094</v>
      </c>
      <c r="M992">
        <v>11.28356624222865</v>
      </c>
      <c r="N992">
        <v>0.34477141256367488</v>
      </c>
      <c r="O992">
        <v>0.11891764940755284</v>
      </c>
      <c r="P992">
        <v>18.252744695800121</v>
      </c>
      <c r="Q992">
        <v>11.262128721332799</v>
      </c>
      <c r="R992">
        <v>0.3631678532713532</v>
      </c>
      <c r="S992">
        <v>0.12530624664397863</v>
      </c>
      <c r="T992">
        <v>18.24939717875186</v>
      </c>
      <c r="U992">
        <v>1481.4379335839617</v>
      </c>
      <c r="V992">
        <v>8.8735955378624585</v>
      </c>
      <c r="W992">
        <v>1250.1271486924991</v>
      </c>
      <c r="X992">
        <v>6.5087965731746644</v>
      </c>
      <c r="Y992">
        <v>2848.1592790383493</v>
      </c>
      <c r="Z992">
        <v>8.8945013775659874</v>
      </c>
      <c r="AA992">
        <v>2699.8156412671524</v>
      </c>
      <c r="AB992">
        <v>6.5227115892154508</v>
      </c>
      <c r="AC992">
        <v>2145.3239910804355</v>
      </c>
      <c r="AD992">
        <v>8.8876001498501367</v>
      </c>
      <c r="AE992">
        <v>1969.6847402049891</v>
      </c>
      <c r="AF992">
        <v>6.5181272698665866</v>
      </c>
      <c r="AG992">
        <v>2049.7681300180557</v>
      </c>
      <c r="AH992">
        <v>8.8852459413987113</v>
      </c>
      <c r="AI992">
        <v>1858.0237030405174</v>
      </c>
      <c r="AJ992">
        <v>6.5165613751581599</v>
      </c>
    </row>
    <row r="993" spans="4:36" x14ac:dyDescent="0.55000000000000004">
      <c r="D993">
        <v>986</v>
      </c>
      <c r="E993">
        <v>12.85722161011514</v>
      </c>
      <c r="F993">
        <v>0.40255666766425025</v>
      </c>
      <c r="G993">
        <v>0.15841956049263853</v>
      </c>
      <c r="H993">
        <v>16.581802161727982</v>
      </c>
      <c r="I993">
        <v>13.047829720049704</v>
      </c>
      <c r="J993">
        <v>0.27745910472749402</v>
      </c>
      <c r="K993">
        <v>0.10887919611463022</v>
      </c>
      <c r="L993">
        <v>16.565831979108175</v>
      </c>
      <c r="M993">
        <v>12.953981777798983</v>
      </c>
      <c r="N993">
        <v>0.33908309553913435</v>
      </c>
      <c r="O993">
        <v>0.13324737121788291</v>
      </c>
      <c r="P993">
        <v>16.573687755444002</v>
      </c>
      <c r="Q993">
        <v>12.948511938648881</v>
      </c>
      <c r="R993">
        <v>0.34267295117215013</v>
      </c>
      <c r="S993">
        <v>0.13466905200232146</v>
      </c>
      <c r="T993">
        <v>16.574146058176655</v>
      </c>
      <c r="U993">
        <v>1528.6475673053021</v>
      </c>
      <c r="V993">
        <v>10.090938353710834</v>
      </c>
      <c r="W993">
        <v>1279.494731731548</v>
      </c>
      <c r="X993">
        <v>7.2146918958863751</v>
      </c>
      <c r="Y993">
        <v>2898.4831878880605</v>
      </c>
      <c r="Z993">
        <v>10.13465221366341</v>
      </c>
      <c r="AA993">
        <v>2731.5364145921189</v>
      </c>
      <c r="AB993">
        <v>7.2393552256996836</v>
      </c>
      <c r="AC993">
        <v>2223.5792935719605</v>
      </c>
      <c r="AD993">
        <v>10.113133627846825</v>
      </c>
      <c r="AE993">
        <v>2019.9846205056904</v>
      </c>
      <c r="AF993">
        <v>7.2272226029852993</v>
      </c>
      <c r="AG993">
        <v>2097.0911658732066</v>
      </c>
      <c r="AH993">
        <v>10.111879174831802</v>
      </c>
      <c r="AI993">
        <v>1886.3369772045287</v>
      </c>
      <c r="AJ993">
        <v>7.2265148310132208</v>
      </c>
    </row>
    <row r="994" spans="4:36" x14ac:dyDescent="0.55000000000000004">
      <c r="D994">
        <v>987</v>
      </c>
      <c r="E994">
        <v>13.068581296614308</v>
      </c>
      <c r="F994">
        <v>0.55375957262923248</v>
      </c>
      <c r="G994">
        <v>0.1837542117573023</v>
      </c>
      <c r="H994">
        <v>16.193904918999131</v>
      </c>
      <c r="I994">
        <v>13.311829185554624</v>
      </c>
      <c r="J994">
        <v>0.35245307368276718</v>
      </c>
      <c r="K994">
        <v>0.11658334643431155</v>
      </c>
      <c r="L994">
        <v>16.219134394328297</v>
      </c>
      <c r="M994">
        <v>13.211430803460054</v>
      </c>
      <c r="N994">
        <v>0.43556864060324879</v>
      </c>
      <c r="O994">
        <v>0.14426440077104535</v>
      </c>
      <c r="P994">
        <v>16.208736155165642</v>
      </c>
      <c r="Q994">
        <v>13.178874620432419</v>
      </c>
      <c r="R994">
        <v>0.46251207346125711</v>
      </c>
      <c r="S994">
        <v>0.15325349785760192</v>
      </c>
      <c r="T994">
        <v>16.205359808248719</v>
      </c>
      <c r="U994">
        <v>1586.3817657646709</v>
      </c>
      <c r="V994">
        <v>10.348303559544584</v>
      </c>
      <c r="W994">
        <v>1305.1623001094754</v>
      </c>
      <c r="X994">
        <v>7.3573105127521838</v>
      </c>
      <c r="Y994">
        <v>2918.4103125764041</v>
      </c>
      <c r="Z994">
        <v>10.377567268432371</v>
      </c>
      <c r="AA994">
        <v>2737.2891001288772</v>
      </c>
      <c r="AB994">
        <v>7.3750027850469264</v>
      </c>
      <c r="AC994">
        <v>2247.6488290690668</v>
      </c>
      <c r="AD994">
        <v>10.365480699155373</v>
      </c>
      <c r="AE994">
        <v>2026.4184318821278</v>
      </c>
      <c r="AF994">
        <v>7.3677052692941141</v>
      </c>
      <c r="AG994">
        <v>2170.5600751761995</v>
      </c>
      <c r="AH994">
        <v>10.361563863668165</v>
      </c>
      <c r="AI994">
        <v>1926.2605683728764</v>
      </c>
      <c r="AJ994">
        <v>7.3653374599291688</v>
      </c>
    </row>
    <row r="995" spans="4:36" x14ac:dyDescent="0.55000000000000004">
      <c r="D995">
        <v>988</v>
      </c>
      <c r="E995">
        <v>11.427532774949752</v>
      </c>
      <c r="F995">
        <v>0.46868532520371908</v>
      </c>
      <c r="G995">
        <v>0.1595130192591209</v>
      </c>
      <c r="H995">
        <v>17.944268880587408</v>
      </c>
      <c r="I995">
        <v>11.645820480423339</v>
      </c>
      <c r="J995">
        <v>0.28872127696895855</v>
      </c>
      <c r="K995">
        <v>9.7929592925011272E-2</v>
      </c>
      <c r="L995">
        <v>17.967528649682702</v>
      </c>
      <c r="M995">
        <v>11.571454749243541</v>
      </c>
      <c r="N995">
        <v>0.35005413955718118</v>
      </c>
      <c r="O995">
        <v>0.11886990939767811</v>
      </c>
      <c r="P995">
        <v>17.9596212018016</v>
      </c>
      <c r="Q995">
        <v>11.545068722331346</v>
      </c>
      <c r="R995">
        <v>0.37181019592788189</v>
      </c>
      <c r="S995">
        <v>0.12630966706245655</v>
      </c>
      <c r="T995">
        <v>17.956811414678324</v>
      </c>
      <c r="U995">
        <v>1480.0340268951325</v>
      </c>
      <c r="V995">
        <v>9.1127786522097622</v>
      </c>
      <c r="W995">
        <v>1249.5512580263526</v>
      </c>
      <c r="X995">
        <v>6.6528442754858803</v>
      </c>
      <c r="Y995">
        <v>2853.4770040263247</v>
      </c>
      <c r="Z995">
        <v>9.1400227186897105</v>
      </c>
      <c r="AA995">
        <v>2704.847747123526</v>
      </c>
      <c r="AB995">
        <v>6.6700750793944215</v>
      </c>
      <c r="AC995">
        <v>2155.1046498493042</v>
      </c>
      <c r="AD995">
        <v>9.1307315191130325</v>
      </c>
      <c r="AE995">
        <v>1977.6118148191329</v>
      </c>
      <c r="AF995">
        <v>6.6642092844000134</v>
      </c>
      <c r="AG995">
        <v>2040.2975568023705</v>
      </c>
      <c r="AH995">
        <v>9.1274372797720744</v>
      </c>
      <c r="AI995">
        <v>1851.5242504945556</v>
      </c>
      <c r="AJ995">
        <v>6.6621269419002775</v>
      </c>
    </row>
    <row r="996" spans="4:36" x14ac:dyDescent="0.55000000000000004">
      <c r="D996">
        <v>989</v>
      </c>
      <c r="E996">
        <v>12.445470482704762</v>
      </c>
      <c r="F996">
        <v>0.48390553362043992</v>
      </c>
      <c r="G996">
        <v>0.15807257168103916</v>
      </c>
      <c r="H996">
        <v>16.912551411993743</v>
      </c>
      <c r="I996">
        <v>12.659618680032876</v>
      </c>
      <c r="J996">
        <v>0.31875103163586077</v>
      </c>
      <c r="K996">
        <v>0.10380324255804174</v>
      </c>
      <c r="L996">
        <v>16.91782704577323</v>
      </c>
      <c r="M996">
        <v>12.572258882900497</v>
      </c>
      <c r="N996">
        <v>0.38615277013307742</v>
      </c>
      <c r="O996">
        <v>0.12591035945782786</v>
      </c>
      <c r="P996">
        <v>16.915677987508595</v>
      </c>
      <c r="Q996">
        <v>12.537111186775869</v>
      </c>
      <c r="R996">
        <v>0.41325965758984162</v>
      </c>
      <c r="S996">
        <v>0.13481700085023651</v>
      </c>
      <c r="T996">
        <v>16.914812154784052</v>
      </c>
      <c r="U996">
        <v>1524.1420883823193</v>
      </c>
      <c r="V996">
        <v>9.9018149741495556</v>
      </c>
      <c r="W996">
        <v>1273.7056921706842</v>
      </c>
      <c r="X996">
        <v>7.1151420238518392</v>
      </c>
      <c r="Y996">
        <v>2894.1779380021198</v>
      </c>
      <c r="Z996">
        <v>9.9400329750102738</v>
      </c>
      <c r="AA996">
        <v>2727.6515614367954</v>
      </c>
      <c r="AB996">
        <v>7.1375952684935946</v>
      </c>
      <c r="AC996">
        <v>2228.4244674210199</v>
      </c>
      <c r="AD996">
        <v>9.92444011893617</v>
      </c>
      <c r="AE996">
        <v>2022.7747098908494</v>
      </c>
      <c r="AF996">
        <v>7.1284442713239384</v>
      </c>
      <c r="AG996">
        <v>2099.4706238481144</v>
      </c>
      <c r="AH996">
        <v>9.9181674459454943</v>
      </c>
      <c r="AI996">
        <v>1885.7661136867339</v>
      </c>
      <c r="AJ996">
        <v>7.1247591986491852</v>
      </c>
    </row>
    <row r="997" spans="4:36" x14ac:dyDescent="0.55000000000000004">
      <c r="D997">
        <v>990</v>
      </c>
      <c r="E997">
        <v>12.2457359475482</v>
      </c>
      <c r="F997">
        <v>0.43527270490355047</v>
      </c>
      <c r="G997">
        <v>0.13844423777958412</v>
      </c>
      <c r="H997">
        <v>17.180547109768654</v>
      </c>
      <c r="I997">
        <v>12.409882163922576</v>
      </c>
      <c r="J997">
        <v>0.31047162603517703</v>
      </c>
      <c r="K997">
        <v>9.8508065026529881E-2</v>
      </c>
      <c r="L997">
        <v>17.181138145015723</v>
      </c>
      <c r="M997">
        <v>12.359270405664434</v>
      </c>
      <c r="N997">
        <v>0.34896744510681044</v>
      </c>
      <c r="O997">
        <v>0.11080554204332499</v>
      </c>
      <c r="P997">
        <v>17.180956607185429</v>
      </c>
      <c r="Q997">
        <v>12.310801891789502</v>
      </c>
      <c r="R997">
        <v>0.38582018454073658</v>
      </c>
      <c r="S997">
        <v>0.12259574831233333</v>
      </c>
      <c r="T997">
        <v>17.180782175357429</v>
      </c>
      <c r="U997">
        <v>1528.8464673981041</v>
      </c>
      <c r="V997">
        <v>9.5908747994473966</v>
      </c>
      <c r="W997">
        <v>1280.8319635456344</v>
      </c>
      <c r="X997">
        <v>6.9185011048996863</v>
      </c>
      <c r="Y997">
        <v>2897.4864000888774</v>
      </c>
      <c r="Z997">
        <v>9.621105863424555</v>
      </c>
      <c r="AA997">
        <v>2730.715962546044</v>
      </c>
      <c r="AB997">
        <v>6.9361817884253201</v>
      </c>
      <c r="AC997">
        <v>2188.1176481249618</v>
      </c>
      <c r="AD997">
        <v>9.611784240214817</v>
      </c>
      <c r="AE997">
        <v>1996.4699549498412</v>
      </c>
      <c r="AF997">
        <v>6.9307352534935864</v>
      </c>
      <c r="AG997">
        <v>2120.9482298883308</v>
      </c>
      <c r="AH997">
        <v>9.6028576716502148</v>
      </c>
      <c r="AI997">
        <v>1903.4725542652693</v>
      </c>
      <c r="AJ997">
        <v>6.9255151876812837</v>
      </c>
    </row>
    <row r="998" spans="4:36" x14ac:dyDescent="0.55000000000000004">
      <c r="D998">
        <v>991</v>
      </c>
      <c r="E998">
        <v>11.911480418518741</v>
      </c>
      <c r="F998">
        <v>0.43354958275171335</v>
      </c>
      <c r="G998">
        <v>0.17532371142071684</v>
      </c>
      <c r="H998">
        <v>17.479646287308828</v>
      </c>
      <c r="I998">
        <v>12.096464469530746</v>
      </c>
      <c r="J998">
        <v>0.29235735026697834</v>
      </c>
      <c r="K998">
        <v>0.11789807720707912</v>
      </c>
      <c r="L998">
        <v>17.493280102995183</v>
      </c>
      <c r="M998">
        <v>12.025002207382469</v>
      </c>
      <c r="N998">
        <v>0.34692412719651083</v>
      </c>
      <c r="O998">
        <v>0.1400530427742708</v>
      </c>
      <c r="P998">
        <v>17.488020622646747</v>
      </c>
      <c r="Q998">
        <v>11.99974447273974</v>
      </c>
      <c r="R998">
        <v>0.36620369606916331</v>
      </c>
      <c r="S998">
        <v>0.147892371690135</v>
      </c>
      <c r="T998">
        <v>17.486159459500961</v>
      </c>
      <c r="U998">
        <v>1534.6294422741184</v>
      </c>
      <c r="V998">
        <v>9.4598320430465979</v>
      </c>
      <c r="W998">
        <v>1283.9530794842058</v>
      </c>
      <c r="X998">
        <v>6.8543697633838345</v>
      </c>
      <c r="Y998">
        <v>2881.2168438248377</v>
      </c>
      <c r="Z998">
        <v>9.4842017276131134</v>
      </c>
      <c r="AA998">
        <v>2719.4010118609231</v>
      </c>
      <c r="AB998">
        <v>6.8692200848890543</v>
      </c>
      <c r="AC998">
        <v>2207.5648518891549</v>
      </c>
      <c r="AD998">
        <v>9.4747831074953694</v>
      </c>
      <c r="AE998">
        <v>2009.7103724576916</v>
      </c>
      <c r="AF998">
        <v>6.8634873105185266</v>
      </c>
      <c r="AG998">
        <v>2095.7277722874087</v>
      </c>
      <c r="AH998">
        <v>9.4714554436866241</v>
      </c>
      <c r="AI998">
        <v>1885.6094056769157</v>
      </c>
      <c r="AJ998">
        <v>6.8614598688614201</v>
      </c>
    </row>
    <row r="999" spans="4:36" x14ac:dyDescent="0.55000000000000004">
      <c r="D999">
        <v>992</v>
      </c>
      <c r="E999">
        <v>12.332029329878857</v>
      </c>
      <c r="F999">
        <v>0.44256983221257828</v>
      </c>
      <c r="G999">
        <v>0.1648447897967579</v>
      </c>
      <c r="H999">
        <v>17.060556048111813</v>
      </c>
      <c r="I999">
        <v>12.521099001302911</v>
      </c>
      <c r="J999">
        <v>0.29903828600543891</v>
      </c>
      <c r="K999">
        <v>0.11106958074288641</v>
      </c>
      <c r="L999">
        <v>17.068793131948755</v>
      </c>
      <c r="M999">
        <v>12.455315637291442</v>
      </c>
      <c r="N999">
        <v>0.34899930924977052</v>
      </c>
      <c r="O999">
        <v>0.12975299876042096</v>
      </c>
      <c r="P999">
        <v>17.065932054698365</v>
      </c>
      <c r="Q999">
        <v>12.404222298592266</v>
      </c>
      <c r="R999">
        <v>0.38778755360648559</v>
      </c>
      <c r="S999">
        <v>0.14428383870848008</v>
      </c>
      <c r="T999">
        <v>17.063706309092787</v>
      </c>
      <c r="U999">
        <v>1486.2803496675576</v>
      </c>
      <c r="V999">
        <v>9.6374558222537026</v>
      </c>
      <c r="W999">
        <v>1249.0709049366117</v>
      </c>
      <c r="X999">
        <v>6.9387145684632205</v>
      </c>
      <c r="Y999">
        <v>2881.1024142918709</v>
      </c>
      <c r="Z999">
        <v>9.6667763711937162</v>
      </c>
      <c r="AA999">
        <v>2719.5375670604158</v>
      </c>
      <c r="AB999">
        <v>6.9561689018604902</v>
      </c>
      <c r="AC999">
        <v>2175.9269692348071</v>
      </c>
      <c r="AD999">
        <v>9.6565719308256632</v>
      </c>
      <c r="AE999">
        <v>1987.3983954286871</v>
      </c>
      <c r="AF999">
        <v>6.9501011025803825</v>
      </c>
      <c r="AG999">
        <v>2093.3893327733081</v>
      </c>
      <c r="AH999">
        <v>9.6486483546508186</v>
      </c>
      <c r="AI999">
        <v>1883.063706134888</v>
      </c>
      <c r="AJ999">
        <v>6.9453845418651934</v>
      </c>
    </row>
    <row r="1000" spans="4:36" x14ac:dyDescent="0.55000000000000004">
      <c r="D1000">
        <v>993</v>
      </c>
      <c r="E1000">
        <v>12.735212100053632</v>
      </c>
      <c r="F1000">
        <v>0.48013818280010734</v>
      </c>
      <c r="G1000">
        <v>0.18223467612557789</v>
      </c>
      <c r="H1000">
        <v>16.602415041020674</v>
      </c>
      <c r="I1000">
        <v>12.983235333893145</v>
      </c>
      <c r="J1000">
        <v>0.29993992384411594</v>
      </c>
      <c r="K1000">
        <v>0.11344575526087659</v>
      </c>
      <c r="L1000">
        <v>16.60337898700185</v>
      </c>
      <c r="M1000">
        <v>12.881201439900083</v>
      </c>
      <c r="N1000">
        <v>0.37411476512011277</v>
      </c>
      <c r="O1000">
        <v>0.1417024744558486</v>
      </c>
      <c r="P1000">
        <v>16.602981320523945</v>
      </c>
      <c r="Q1000">
        <v>12.83004172719386</v>
      </c>
      <c r="R1000">
        <v>0.41128323586259147</v>
      </c>
      <c r="S1000">
        <v>0.15589252533978168</v>
      </c>
      <c r="T1000">
        <v>16.60278251160376</v>
      </c>
      <c r="U1000">
        <v>1530.8121798479999</v>
      </c>
      <c r="V1000">
        <v>10.111287375295801</v>
      </c>
      <c r="W1000">
        <v>1276.1524059956932</v>
      </c>
      <c r="X1000">
        <v>7.2325531127018534</v>
      </c>
      <c r="Y1000">
        <v>2880.1944358043629</v>
      </c>
      <c r="Z1000">
        <v>10.157088062356053</v>
      </c>
      <c r="AA1000">
        <v>2717.2212907050753</v>
      </c>
      <c r="AB1000">
        <v>7.2590827969268759</v>
      </c>
      <c r="AC1000">
        <v>2246.5879332193313</v>
      </c>
      <c r="AD1000">
        <v>10.138245907289578</v>
      </c>
      <c r="AE1000">
        <v>2034.5275612143796</v>
      </c>
      <c r="AF1000">
        <v>7.2481810447946273</v>
      </c>
      <c r="AG1000">
        <v>2130.9830912630341</v>
      </c>
      <c r="AH1000">
        <v>10.128798614208748</v>
      </c>
      <c r="AI1000">
        <v>1906.3392240527216</v>
      </c>
      <c r="AJ1000">
        <v>7.2427084964079098</v>
      </c>
    </row>
    <row r="1001" spans="4:36" x14ac:dyDescent="0.55000000000000004">
      <c r="D1001">
        <v>994</v>
      </c>
      <c r="E1001">
        <v>12.104147759343132</v>
      </c>
      <c r="F1001">
        <v>0.4347532797875685</v>
      </c>
      <c r="G1001">
        <v>0.15661882611541608</v>
      </c>
      <c r="H1001">
        <v>17.304480134753895</v>
      </c>
      <c r="I1001">
        <v>12.296605995667143</v>
      </c>
      <c r="J1001">
        <v>0.28646541456550623</v>
      </c>
      <c r="K1001">
        <v>0.10290659472335037</v>
      </c>
      <c r="L1001">
        <v>17.314021995044001</v>
      </c>
      <c r="M1001">
        <v>12.202979775778207</v>
      </c>
      <c r="N1001">
        <v>0.35862806678393983</v>
      </c>
      <c r="O1001">
        <v>0.12900653792280956</v>
      </c>
      <c r="P1001">
        <v>17.309385619515041</v>
      </c>
      <c r="Q1001">
        <v>12.163849359234709</v>
      </c>
      <c r="R1001">
        <v>0.3887743609422904</v>
      </c>
      <c r="S1001">
        <v>0.13993148463705662</v>
      </c>
      <c r="T1001">
        <v>17.307444795185958</v>
      </c>
      <c r="U1001">
        <v>1529.9318219197796</v>
      </c>
      <c r="V1001">
        <v>9.5537621925115683</v>
      </c>
      <c r="W1001">
        <v>1280.6790243365538</v>
      </c>
      <c r="X1001">
        <v>6.9050189651396128</v>
      </c>
      <c r="Y1001">
        <v>2895.9749288712087</v>
      </c>
      <c r="Z1001">
        <v>9.5858055066178061</v>
      </c>
      <c r="AA1001">
        <v>2730.8405702184164</v>
      </c>
      <c r="AB1001">
        <v>6.9241875654114615</v>
      </c>
      <c r="AC1001">
        <v>2221.9207191160976</v>
      </c>
      <c r="AD1001">
        <v>9.570213595048882</v>
      </c>
      <c r="AE1001">
        <v>2019.4223322740925</v>
      </c>
      <c r="AF1001">
        <v>6.9148690060980025</v>
      </c>
      <c r="AG1001">
        <v>2118.5868752577126</v>
      </c>
      <c r="AH1001">
        <v>9.5636990956406205</v>
      </c>
      <c r="AI1001">
        <v>1900.6330861168638</v>
      </c>
      <c r="AJ1001">
        <v>6.9109707444595996</v>
      </c>
    </row>
    <row r="1002" spans="4:36" x14ac:dyDescent="0.55000000000000004">
      <c r="D1002">
        <v>995</v>
      </c>
      <c r="E1002">
        <v>13.478155876544797</v>
      </c>
      <c r="F1002">
        <v>0.50276634489081029</v>
      </c>
      <c r="G1002">
        <v>0.19871990193160133</v>
      </c>
      <c r="H1002">
        <v>15.820357876632785</v>
      </c>
      <c r="I1002">
        <v>13.753403408064651</v>
      </c>
      <c r="J1002">
        <v>0.31008356300623074</v>
      </c>
      <c r="K1002">
        <v>0.12209177993659706</v>
      </c>
      <c r="L1002">
        <v>15.814421248992534</v>
      </c>
      <c r="M1002">
        <v>13.621732886910232</v>
      </c>
      <c r="N1002">
        <v>0.40231431037323856</v>
      </c>
      <c r="O1002">
        <v>0.15869646486218253</v>
      </c>
      <c r="P1002">
        <v>15.81725633785434</v>
      </c>
      <c r="Q1002">
        <v>13.597391353725026</v>
      </c>
      <c r="R1002">
        <v>0.41935336143221275</v>
      </c>
      <c r="S1002">
        <v>0.1654738679550399</v>
      </c>
      <c r="T1002">
        <v>15.817781416887716</v>
      </c>
      <c r="U1002">
        <v>1648.3543261484306</v>
      </c>
      <c r="V1002">
        <v>10.601673019603009</v>
      </c>
      <c r="W1002">
        <v>1346.4221332596569</v>
      </c>
      <c r="X1002">
        <v>7.4995032021927219</v>
      </c>
      <c r="Y1002">
        <v>2949.3826985211649</v>
      </c>
      <c r="Z1002">
        <v>10.65454049878967</v>
      </c>
      <c r="AA1002">
        <v>2758.2100158501962</v>
      </c>
      <c r="AB1002">
        <v>7.5294884058336979</v>
      </c>
      <c r="AC1002">
        <v>2292.4239002354561</v>
      </c>
      <c r="AD1002">
        <v>10.629252946686609</v>
      </c>
      <c r="AE1002">
        <v>2055.3962618898167</v>
      </c>
      <c r="AF1002">
        <v>7.5151599554313044</v>
      </c>
      <c r="AG1002">
        <v>2217.8021007700477</v>
      </c>
      <c r="AH1002">
        <v>10.624577566407767</v>
      </c>
      <c r="AI1002">
        <v>1957.3365253900029</v>
      </c>
      <c r="AJ1002">
        <v>7.5125079782573536</v>
      </c>
    </row>
    <row r="1003" spans="4:36" x14ac:dyDescent="0.55000000000000004">
      <c r="D1003">
        <v>996</v>
      </c>
      <c r="E1003">
        <v>11.709882800670897</v>
      </c>
      <c r="F1003">
        <v>0.43801847680158873</v>
      </c>
      <c r="G1003">
        <v>0.16396567722283256</v>
      </c>
      <c r="H1003">
        <v>17.688133045304689</v>
      </c>
      <c r="I1003">
        <v>11.924519491410154</v>
      </c>
      <c r="J1003">
        <v>0.27376517932486094</v>
      </c>
      <c r="K1003">
        <v>0.10214341121602563</v>
      </c>
      <c r="L1003">
        <v>17.699571918048974</v>
      </c>
      <c r="M1003">
        <v>11.852462022402122</v>
      </c>
      <c r="N1003">
        <v>0.32893590398688394</v>
      </c>
      <c r="O1003">
        <v>0.12286286414160545</v>
      </c>
      <c r="P1003">
        <v>17.695739209469387</v>
      </c>
      <c r="Q1003">
        <v>11.790410919394514</v>
      </c>
      <c r="R1003">
        <v>0.37642274881158455</v>
      </c>
      <c r="S1003">
        <v>0.1407336756850687</v>
      </c>
      <c r="T1003">
        <v>17.692432656108831</v>
      </c>
      <c r="U1003">
        <v>1488.4596941913146</v>
      </c>
      <c r="V1003">
        <v>9.2677997306680684</v>
      </c>
      <c r="W1003">
        <v>1255.4239960742345</v>
      </c>
      <c r="X1003">
        <v>6.7390183354997939</v>
      </c>
      <c r="Y1003">
        <v>2887.5812498844143</v>
      </c>
      <c r="Z1003">
        <v>9.3017812286797472</v>
      </c>
      <c r="AA1003">
        <v>2729.1865262890506</v>
      </c>
      <c r="AB1003">
        <v>6.7595002925738044</v>
      </c>
      <c r="AC1003">
        <v>2181.0310283746812</v>
      </c>
      <c r="AD1003">
        <v>9.2903688830223103</v>
      </c>
      <c r="AE1003">
        <v>1996.145305107487</v>
      </c>
      <c r="AF1003">
        <v>6.7526313602975518</v>
      </c>
      <c r="AG1003">
        <v>2077.0907130972787</v>
      </c>
      <c r="AH1003">
        <v>9.2805446670618039</v>
      </c>
      <c r="AI1003">
        <v>1875.9055253268559</v>
      </c>
      <c r="AJ1003">
        <v>6.746710455574247</v>
      </c>
    </row>
    <row r="1004" spans="4:36" x14ac:dyDescent="0.55000000000000004">
      <c r="D1004">
        <v>997</v>
      </c>
      <c r="E1004">
        <v>11.396431832100296</v>
      </c>
      <c r="F1004">
        <v>0.41826283667859632</v>
      </c>
      <c r="G1004">
        <v>0.13602417585890986</v>
      </c>
      <c r="H1004">
        <v>18.049281155362209</v>
      </c>
      <c r="I1004">
        <v>11.578368193853391</v>
      </c>
      <c r="J1004">
        <v>0.27321573359718043</v>
      </c>
      <c r="K1004">
        <v>8.8616997091866448E-2</v>
      </c>
      <c r="L1004">
        <v>18.059799075457565</v>
      </c>
      <c r="M1004">
        <v>11.52222447635077</v>
      </c>
      <c r="N1004">
        <v>0.31799306827319657</v>
      </c>
      <c r="O1004">
        <v>0.10322479677114717</v>
      </c>
      <c r="P1004">
        <v>18.056557658604877</v>
      </c>
      <c r="Q1004">
        <v>11.457492885545255</v>
      </c>
      <c r="R1004">
        <v>0.36960056143922043</v>
      </c>
      <c r="S1004">
        <v>0.12009088680237547</v>
      </c>
      <c r="T1004">
        <v>18.052815666213142</v>
      </c>
      <c r="U1004">
        <v>1458.3058852444697</v>
      </c>
      <c r="V1004">
        <v>8.9929512587733225</v>
      </c>
      <c r="W1004">
        <v>1236.9699720988824</v>
      </c>
      <c r="X1004">
        <v>6.5766940385290678</v>
      </c>
      <c r="Y1004">
        <v>2856.2108178169719</v>
      </c>
      <c r="Z1004">
        <v>9.0209545152115087</v>
      </c>
      <c r="AA1004">
        <v>2707.7719890639328</v>
      </c>
      <c r="AB1004">
        <v>6.5936445870148654</v>
      </c>
      <c r="AC1004">
        <v>2167.2196495581702</v>
      </c>
      <c r="AD1004">
        <v>9.0123105853721164</v>
      </c>
      <c r="AE1004">
        <v>1988.6742793319127</v>
      </c>
      <c r="AF1004">
        <v>6.5884190495789658</v>
      </c>
      <c r="AG1004">
        <v>2082.2654670631127</v>
      </c>
      <c r="AH1004">
        <v>9.002347122689752</v>
      </c>
      <c r="AI1004">
        <v>1882.169226067138</v>
      </c>
      <c r="AJ1004">
        <v>6.5823884263052284</v>
      </c>
    </row>
    <row r="1005" spans="4:36" x14ac:dyDescent="0.55000000000000004">
      <c r="D1005">
        <v>998</v>
      </c>
      <c r="E1005">
        <v>14.521377435107647</v>
      </c>
      <c r="F1005">
        <v>0.47958930720240917</v>
      </c>
      <c r="G1005">
        <v>0.16753423024130737</v>
      </c>
      <c r="H1005">
        <v>14.83149902744865</v>
      </c>
      <c r="I1005">
        <v>14.799044366202642</v>
      </c>
      <c r="J1005">
        <v>0.31066259707247018</v>
      </c>
      <c r="K1005">
        <v>0.10813701596468273</v>
      </c>
      <c r="L1005">
        <v>14.782156020760228</v>
      </c>
      <c r="M1005">
        <v>14.677401266347298</v>
      </c>
      <c r="N1005">
        <v>0.3847322920444825</v>
      </c>
      <c r="O1005">
        <v>0.13412798401803272</v>
      </c>
      <c r="P1005">
        <v>14.803738457590194</v>
      </c>
      <c r="Q1005">
        <v>14.658111588388749</v>
      </c>
      <c r="R1005">
        <v>0.39646875649104735</v>
      </c>
      <c r="S1005">
        <v>0.13825385880258301</v>
      </c>
      <c r="T1005">
        <v>14.807165796317635</v>
      </c>
      <c r="U1005">
        <v>1630.6389307039656</v>
      </c>
      <c r="V1005">
        <v>11.43824486151922</v>
      </c>
      <c r="W1005">
        <v>1338.7343474598479</v>
      </c>
      <c r="X1005">
        <v>7.9869398139151029</v>
      </c>
      <c r="Y1005">
        <v>2950.3293068235826</v>
      </c>
      <c r="Z1005">
        <v>11.518149414071212</v>
      </c>
      <c r="AA1005">
        <v>2760.7018662485193</v>
      </c>
      <c r="AB1005">
        <v>8.0302556749707517</v>
      </c>
      <c r="AC1005">
        <v>2291.0872628151428</v>
      </c>
      <c r="AD1005">
        <v>11.483163194787702</v>
      </c>
      <c r="AE1005">
        <v>2058.3308982707513</v>
      </c>
      <c r="AF1005">
        <v>8.0113050516095914</v>
      </c>
      <c r="AG1005">
        <v>2182.5839742649314</v>
      </c>
      <c r="AH1005">
        <v>11.477612487154193</v>
      </c>
      <c r="AI1005">
        <v>1936.4605659279841</v>
      </c>
      <c r="AJ1005">
        <v>8.0082962870041889</v>
      </c>
    </row>
    <row r="1006" spans="4:36" x14ac:dyDescent="0.55000000000000004">
      <c r="D1006">
        <v>999</v>
      </c>
      <c r="E1006">
        <v>13.492349195667245</v>
      </c>
      <c r="F1006">
        <v>0.53756588659504867</v>
      </c>
      <c r="G1006">
        <v>0.17246384911392762</v>
      </c>
      <c r="H1006">
        <v>15.797621068623776</v>
      </c>
      <c r="I1006">
        <v>13.738869287494037</v>
      </c>
      <c r="J1006">
        <v>0.34840019594630534</v>
      </c>
      <c r="K1006">
        <v>0.11143567170219142</v>
      </c>
      <c r="L1006">
        <v>15.80129484485748</v>
      </c>
      <c r="M1006">
        <v>13.643751193859126</v>
      </c>
      <c r="N1006">
        <v>0.42142406285221784</v>
      </c>
      <c r="O1006">
        <v>0.13494982918944037</v>
      </c>
      <c r="P1006">
        <v>15.799874914099227</v>
      </c>
      <c r="Q1006">
        <v>13.588509567502282</v>
      </c>
      <c r="R1006">
        <v>0.46381359997278049</v>
      </c>
      <c r="S1006">
        <v>0.14862517731867245</v>
      </c>
      <c r="T1006">
        <v>15.799051655206277</v>
      </c>
      <c r="U1006">
        <v>1602.4384917302855</v>
      </c>
      <c r="V1006">
        <v>10.693761953694487</v>
      </c>
      <c r="W1006">
        <v>1316.775772131138</v>
      </c>
      <c r="X1006">
        <v>7.5625905780421681</v>
      </c>
      <c r="Y1006">
        <v>2935.1811501637362</v>
      </c>
      <c r="Z1006">
        <v>10.737590665292503</v>
      </c>
      <c r="AA1006">
        <v>2748.8014826011504</v>
      </c>
      <c r="AB1006">
        <v>7.5875771635373122</v>
      </c>
      <c r="AC1006">
        <v>2281.7105575130618</v>
      </c>
      <c r="AD1006">
        <v>10.72068086720261</v>
      </c>
      <c r="AE1006">
        <v>2050.8607435266849</v>
      </c>
      <c r="AF1006">
        <v>7.5779469854512564</v>
      </c>
      <c r="AG1006">
        <v>2162.7927189054571</v>
      </c>
      <c r="AH1006">
        <v>10.710859489230463</v>
      </c>
      <c r="AI1006">
        <v>1919.6624590439483</v>
      </c>
      <c r="AJ1006">
        <v>7.5723479184931577</v>
      </c>
    </row>
    <row r="1007" spans="4:36" x14ac:dyDescent="0.55000000000000004">
      <c r="D1007">
        <v>1000</v>
      </c>
      <c r="E1007">
        <v>12.77108789102992</v>
      </c>
      <c r="F1007">
        <v>0.47288451014447219</v>
      </c>
      <c r="G1007">
        <v>0.1923979763105336</v>
      </c>
      <c r="H1007">
        <v>16.563629622515066</v>
      </c>
      <c r="I1007">
        <v>12.995499620124255</v>
      </c>
      <c r="J1007">
        <v>0.30937697766042588</v>
      </c>
      <c r="K1007">
        <v>0.12543813200394172</v>
      </c>
      <c r="L1007">
        <v>16.56968527021138</v>
      </c>
      <c r="M1007">
        <v>12.894745926164962</v>
      </c>
      <c r="N1007">
        <v>0.38282266256532832</v>
      </c>
      <c r="O1007">
        <v>0.15545748556313524</v>
      </c>
      <c r="P1007">
        <v>16.56697392570657</v>
      </c>
      <c r="Q1007">
        <v>12.892332417371559</v>
      </c>
      <c r="R1007">
        <v>0.38458130354124787</v>
      </c>
      <c r="S1007">
        <v>0.15617745043819292</v>
      </c>
      <c r="T1007">
        <v>16.566908828649019</v>
      </c>
      <c r="U1007">
        <v>1536.6809442722213</v>
      </c>
      <c r="V1007">
        <v>10.132270782236324</v>
      </c>
      <c r="W1007">
        <v>1279.9038392112491</v>
      </c>
      <c r="X1007">
        <v>7.2430986594639162</v>
      </c>
      <c r="Y1007">
        <v>2899.038723611583</v>
      </c>
      <c r="Z1007">
        <v>10.172194821922091</v>
      </c>
      <c r="AA1007">
        <v>2729.4324425692962</v>
      </c>
      <c r="AB1007">
        <v>7.2665705933167999</v>
      </c>
      <c r="AC1007">
        <v>2232.1005599564855</v>
      </c>
      <c r="AD1007">
        <v>10.154266020419209</v>
      </c>
      <c r="AE1007">
        <v>2022.6927362936165</v>
      </c>
      <c r="AF1007">
        <v>7.2560411080824219</v>
      </c>
      <c r="AG1007">
        <v>2107.0007709563019</v>
      </c>
      <c r="AH1007">
        <v>10.153836627311472</v>
      </c>
      <c r="AI1007">
        <v>1890.1866579432808</v>
      </c>
      <c r="AJ1007">
        <v>7.2557887068943145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640080</xdr:colOff>
                    <xdr:row>3</xdr:row>
                    <xdr:rowOff>3810</xdr:rowOff>
                  </from>
                  <to>
                    <xdr:col>3</xdr:col>
                    <xdr:colOff>1306830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E8:BZ15"/>
  <sheetViews>
    <sheetView tabSelected="1" topLeftCell="E1" workbookViewId="0">
      <selection activeCell="J10" sqref="J10"/>
    </sheetView>
  </sheetViews>
  <sheetFormatPr defaultRowHeight="14.4" x14ac:dyDescent="0.55000000000000004"/>
  <cols>
    <col min="5" max="5" width="24.7890625" customWidth="1"/>
  </cols>
  <sheetData>
    <row r="8" spans="5:78" x14ac:dyDescent="0.55000000000000004">
      <c r="E8" s="7" t="s">
        <v>64</v>
      </c>
      <c r="F8" s="7" t="str">
        <f>IF(Results!F8="","",Results!F8)</f>
        <v>cemented</v>
      </c>
      <c r="G8" s="7" t="str">
        <f>IF(Results!G8="","",Results!G8)</f>
        <v>uncemented</v>
      </c>
      <c r="H8" s="7" t="str">
        <f>IF(Results!H8="","",Results!H8)</f>
        <v>hybrid</v>
      </c>
      <c r="I8" s="7" t="str">
        <f>IF(Results!I8="","",Results!I8)</f>
        <v>reverse_hybrid</v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55000000000000004">
      <c r="E9" t="s">
        <v>65</v>
      </c>
      <c r="F9" t="s">
        <v>167</v>
      </c>
      <c r="G9" t="s">
        <v>171</v>
      </c>
      <c r="H9" t="s">
        <v>177</v>
      </c>
      <c r="I9" t="s">
        <v>183</v>
      </c>
    </row>
    <row r="10" spans="5:78" x14ac:dyDescent="0.55000000000000004">
      <c r="E10" t="s">
        <v>66</v>
      </c>
      <c r="F10" t="s">
        <v>168</v>
      </c>
      <c r="G10" t="s">
        <v>172</v>
      </c>
      <c r="H10" t="s">
        <v>178</v>
      </c>
      <c r="I10" t="s">
        <v>184</v>
      </c>
    </row>
    <row r="11" spans="5:78" x14ac:dyDescent="0.55000000000000004">
      <c r="E11" t="s">
        <v>67</v>
      </c>
      <c r="F11" t="s">
        <v>169</v>
      </c>
      <c r="G11" t="s">
        <v>173</v>
      </c>
      <c r="H11" t="s">
        <v>179</v>
      </c>
      <c r="I11" t="s">
        <v>185</v>
      </c>
    </row>
    <row r="12" spans="5:78" x14ac:dyDescent="0.55000000000000004">
      <c r="E12" t="s">
        <v>68</v>
      </c>
      <c r="F12" t="s">
        <v>170</v>
      </c>
      <c r="G12" t="s">
        <v>174</v>
      </c>
      <c r="H12" t="s">
        <v>180</v>
      </c>
      <c r="I12" t="s">
        <v>186</v>
      </c>
    </row>
    <row r="13" spans="5:78" x14ac:dyDescent="0.55000000000000004">
      <c r="E13" t="s">
        <v>69</v>
      </c>
      <c r="G13" t="s">
        <v>175</v>
      </c>
      <c r="H13" t="s">
        <v>181</v>
      </c>
      <c r="I13" t="s">
        <v>187</v>
      </c>
      <c r="J13" t="str">
        <f t="shared" ref="H13:BS13" si="0">IF(J9&lt;&gt;"",J9-$F$9,"")</f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55000000000000004">
      <c r="E14" t="s">
        <v>70</v>
      </c>
      <c r="G14" t="s">
        <v>176</v>
      </c>
      <c r="H14" t="s">
        <v>182</v>
      </c>
      <c r="I14" t="s">
        <v>188</v>
      </c>
      <c r="J14" t="str">
        <f t="shared" ref="H14:BS14" si="2">IF(J10&lt;&gt;"", J10-$F$10, "")</f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55000000000000004">
      <c r="E15" t="s">
        <v>71</v>
      </c>
      <c r="G15" s="8">
        <v>60016.42</v>
      </c>
      <c r="H15" s="8">
        <v>51885.39</v>
      </c>
      <c r="I15" s="8">
        <v>62205.64</v>
      </c>
      <c r="J15" t="str">
        <f t="shared" ref="H15:BS15" si="4">IF(J13&lt;&gt;"", J13/J14, "")</f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2026-01-31T16:01:08Z</dcterms:modified>
</cp:coreProperties>
</file>