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08" documentId="11_0333441543BEAC6F8EC5A923BA38B861DAE7DD18" xr6:coauthVersionLast="47" xr6:coauthVersionMax="47" xr10:uidLastSave="{51691B22-3ED5-46B0-9AA5-2713A9151E35}"/>
  <bookViews>
    <workbookView xWindow="-98" yWindow="-98" windowWidth="21795" windowHeight="12975" firstSheet="1" activeTab="6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15" i="14" l="1"/>
  <c r="AF15" i="14"/>
  <c r="AD15" i="14"/>
  <c r="AC15" i="14"/>
  <c r="J15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L15" i="14" s="1"/>
  <c r="AK13" i="14"/>
  <c r="AK15" i="14" s="1"/>
  <c r="AJ13" i="14"/>
  <c r="AJ15" i="14" s="1"/>
  <c r="AI13" i="14"/>
  <c r="AI15" i="14" s="1"/>
  <c r="AH13" i="14"/>
  <c r="AH15" i="14" s="1"/>
  <c r="AG13" i="14"/>
  <c r="AG15" i="14" s="1"/>
  <c r="AF13" i="14"/>
  <c r="AE13" i="14"/>
  <c r="AE15" i="14" s="1"/>
  <c r="AD13" i="14"/>
  <c r="AC13" i="14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I13" i="14"/>
  <c r="I15" i="14" s="1"/>
  <c r="H13" i="14"/>
  <c r="H15" i="14" s="1"/>
  <c r="G13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T9" i="11"/>
  <c r="P9" i="11"/>
  <c r="L9" i="11"/>
  <c r="H9" i="11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O30" i="9"/>
  <c r="O29" i="9"/>
  <c r="O28" i="9"/>
  <c r="O27" i="9"/>
  <c r="O26" i="9"/>
  <c r="O25" i="9"/>
  <c r="S9" i="11" s="1"/>
  <c r="O24" i="9"/>
  <c r="J9" i="11" s="1"/>
  <c r="O23" i="9"/>
  <c r="O22" i="9"/>
  <c r="K9" i="10" s="1"/>
  <c r="O21" i="9"/>
  <c r="J9" i="10" s="1"/>
  <c r="O20" i="9"/>
  <c r="Q9" i="10" s="1"/>
  <c r="O19" i="9"/>
  <c r="M9" i="10" s="1"/>
  <c r="O18" i="9"/>
  <c r="I9" i="10" s="1"/>
  <c r="O17" i="9"/>
  <c r="E9" i="10" s="1"/>
  <c r="O16" i="9"/>
  <c r="O15" i="9"/>
  <c r="O14" i="9"/>
  <c r="O13" i="9"/>
  <c r="O12" i="9"/>
  <c r="O11" i="9"/>
  <c r="O10" i="9"/>
  <c r="O9" i="9"/>
  <c r="G15" i="14" l="1"/>
  <c r="J10" i="8"/>
  <c r="T10" i="8"/>
  <c r="O10" i="8"/>
  <c r="I10" i="8"/>
  <c r="K10" i="8"/>
  <c r="P10" i="8"/>
  <c r="Z9" i="8"/>
  <c r="F9" i="10"/>
  <c r="R9" i="10"/>
  <c r="G10" i="8"/>
  <c r="F10" i="8"/>
  <c r="F11" i="8" s="1"/>
  <c r="H10" i="8"/>
  <c r="S10" i="8"/>
  <c r="K9" i="11"/>
  <c r="O9" i="11"/>
  <c r="M10" i="8"/>
  <c r="Q10" i="8"/>
  <c r="Q9" i="11"/>
  <c r="E9" i="11"/>
  <c r="M9" i="11"/>
  <c r="I9" i="11"/>
  <c r="N10" i="8"/>
  <c r="R10" i="8"/>
  <c r="N9" i="10"/>
  <c r="G9" i="10"/>
  <c r="S9" i="10"/>
  <c r="O9" i="10"/>
  <c r="U10" i="8"/>
  <c r="F9" i="11"/>
  <c r="AB9" i="8"/>
  <c r="R9" i="11"/>
  <c r="N9" i="11"/>
  <c r="L10" i="8"/>
  <c r="G9" i="11"/>
  <c r="L11" i="8" l="1"/>
  <c r="K11" i="8"/>
  <c r="J11" i="8"/>
  <c r="J12" i="8" s="1"/>
  <c r="P11" i="8"/>
  <c r="T11" i="8"/>
  <c r="X9" i="8"/>
  <c r="AH9" i="8"/>
  <c r="AE9" i="8"/>
  <c r="AK9" i="8"/>
  <c r="H11" i="8"/>
  <c r="V9" i="8"/>
  <c r="AF9" i="8"/>
  <c r="S11" i="8"/>
  <c r="T12" i="8" s="1"/>
  <c r="X10" i="8"/>
  <c r="AJ9" i="8"/>
  <c r="Q11" i="8"/>
  <c r="AD9" i="8"/>
  <c r="U11" i="8"/>
  <c r="I11" i="8"/>
  <c r="V10" i="8"/>
  <c r="M11" i="8"/>
  <c r="G11" i="8"/>
  <c r="G12" i="8" s="1"/>
  <c r="Y9" i="8"/>
  <c r="W9" i="8"/>
  <c r="AC9" i="8"/>
  <c r="AA9" i="8"/>
  <c r="Z10" i="8"/>
  <c r="AB10" i="8"/>
  <c r="AI9" i="8"/>
  <c r="AJ10" i="8"/>
  <c r="AI10" i="8"/>
  <c r="AH10" i="8"/>
  <c r="AK10" i="8"/>
  <c r="R11" i="8"/>
  <c r="AG9" i="8"/>
  <c r="AA10" i="8"/>
  <c r="N11" i="8"/>
  <c r="AF10" i="8"/>
  <c r="AG10" i="8"/>
  <c r="AE10" i="8"/>
  <c r="AD10" i="8"/>
  <c r="AC10" i="8"/>
  <c r="W10" i="8"/>
  <c r="Y10" i="8"/>
  <c r="F12" i="8"/>
  <c r="O11" i="8"/>
  <c r="L12" i="8" l="1"/>
  <c r="M12" i="8"/>
  <c r="K12" i="8"/>
  <c r="I12" i="8"/>
  <c r="S12" i="8"/>
  <c r="V11" i="8"/>
  <c r="W11" i="8"/>
  <c r="AA11" i="8"/>
  <c r="G13" i="8"/>
  <c r="AC11" i="8"/>
  <c r="X11" i="8"/>
  <c r="AB11" i="8"/>
  <c r="Y11" i="8"/>
  <c r="Z11" i="8"/>
  <c r="Q12" i="8"/>
  <c r="K13" i="8"/>
  <c r="H12" i="8"/>
  <c r="H13" i="8" s="1"/>
  <c r="H14" i="8" s="1"/>
  <c r="J13" i="8"/>
  <c r="N12" i="8"/>
  <c r="AG11" i="8"/>
  <c r="AD11" i="8"/>
  <c r="AF11" i="8"/>
  <c r="AE11" i="8"/>
  <c r="AJ11" i="8"/>
  <c r="AH11" i="8"/>
  <c r="AI11" i="8"/>
  <c r="AK11" i="8"/>
  <c r="R12" i="8"/>
  <c r="O12" i="8"/>
  <c r="P12" i="8"/>
  <c r="U12" i="8"/>
  <c r="F13" i="8"/>
  <c r="T13" i="8"/>
  <c r="AC12" i="8" l="1"/>
  <c r="AB12" i="8"/>
  <c r="AA12" i="8"/>
  <c r="Z12" i="8"/>
  <c r="L13" i="8"/>
  <c r="M13" i="8"/>
  <c r="P13" i="8"/>
  <c r="V12" i="8"/>
  <c r="Y12" i="8"/>
  <c r="W12" i="8"/>
  <c r="X12" i="8"/>
  <c r="K14" i="8"/>
  <c r="Q13" i="8"/>
  <c r="I13" i="8"/>
  <c r="W13" i="8" s="1"/>
  <c r="U13" i="8"/>
  <c r="AK12" i="8"/>
  <c r="AJ12" i="8"/>
  <c r="AI12" i="8"/>
  <c r="AH12" i="8"/>
  <c r="R13" i="8"/>
  <c r="N13" i="8"/>
  <c r="AG12" i="8"/>
  <c r="AF12" i="8"/>
  <c r="AE12" i="8"/>
  <c r="AD12" i="8"/>
  <c r="F14" i="8"/>
  <c r="J14" i="8"/>
  <c r="O13" i="8"/>
  <c r="S13" i="8"/>
  <c r="G14" i="8"/>
  <c r="AC13" i="8" l="1"/>
  <c r="Z13" i="8"/>
  <c r="L14" i="8"/>
  <c r="L15" i="8" s="1"/>
  <c r="M14" i="8"/>
  <c r="AB13" i="8"/>
  <c r="AA13" i="8"/>
  <c r="I14" i="8"/>
  <c r="I15" i="8" s="1"/>
  <c r="V13" i="8"/>
  <c r="X13" i="8"/>
  <c r="Y13" i="8"/>
  <c r="G15" i="8"/>
  <c r="O14" i="8"/>
  <c r="S14" i="8"/>
  <c r="AB14" i="8"/>
  <c r="Z14" i="8"/>
  <c r="J15" i="8"/>
  <c r="AC14" i="8"/>
  <c r="AA14" i="8"/>
  <c r="P14" i="8"/>
  <c r="K15" i="8"/>
  <c r="Q14" i="8"/>
  <c r="F15" i="8"/>
  <c r="R14" i="8"/>
  <c r="AJ13" i="8"/>
  <c r="AI13" i="8"/>
  <c r="AH13" i="8"/>
  <c r="AK13" i="8"/>
  <c r="U14" i="8"/>
  <c r="M15" i="8"/>
  <c r="T14" i="8"/>
  <c r="H15" i="8"/>
  <c r="AF13" i="8"/>
  <c r="AG13" i="8"/>
  <c r="AE13" i="8"/>
  <c r="AD13" i="8"/>
  <c r="N14" i="8"/>
  <c r="S15" i="8" l="1"/>
  <c r="W14" i="8"/>
  <c r="X14" i="8"/>
  <c r="O15" i="8"/>
  <c r="P15" i="8"/>
  <c r="Y14" i="8"/>
  <c r="V14" i="8"/>
  <c r="H16" i="8"/>
  <c r="K16" i="8"/>
  <c r="L16" i="8"/>
  <c r="T15" i="8"/>
  <c r="P16" i="8"/>
  <c r="M16" i="8"/>
  <c r="I16" i="8"/>
  <c r="AG14" i="8"/>
  <c r="AF14" i="8"/>
  <c r="AE14" i="8"/>
  <c r="AD14" i="8"/>
  <c r="N15" i="8"/>
  <c r="O16" i="8" s="1"/>
  <c r="Y15" i="8"/>
  <c r="F16" i="8"/>
  <c r="W15" i="8"/>
  <c r="X15" i="8"/>
  <c r="V15" i="8"/>
  <c r="Q15" i="8"/>
  <c r="G16" i="8"/>
  <c r="U15" i="8"/>
  <c r="AC15" i="8"/>
  <c r="AB15" i="8"/>
  <c r="J16" i="8"/>
  <c r="AA15" i="8"/>
  <c r="Z15" i="8"/>
  <c r="AI14" i="8"/>
  <c r="R15" i="8"/>
  <c r="AH14" i="8"/>
  <c r="AK14" i="8"/>
  <c r="AJ14" i="8"/>
  <c r="S16" i="8" l="1"/>
  <c r="T16" i="8"/>
  <c r="G17" i="8"/>
  <c r="Q16" i="8"/>
  <c r="L17" i="8"/>
  <c r="P17" i="8"/>
  <c r="J17" i="8"/>
  <c r="AB16" i="8"/>
  <c r="AA16" i="8"/>
  <c r="AC16" i="8"/>
  <c r="Z16" i="8"/>
  <c r="R16" i="8"/>
  <c r="AK15" i="8"/>
  <c r="AH15" i="8"/>
  <c r="AJ15" i="8"/>
  <c r="AI15" i="8"/>
  <c r="AD15" i="8"/>
  <c r="AG15" i="8"/>
  <c r="AF15" i="8"/>
  <c r="AE15" i="8"/>
  <c r="N16" i="8"/>
  <c r="Q17" i="8" s="1"/>
  <c r="I17" i="8"/>
  <c r="X16" i="8"/>
  <c r="F17" i="8"/>
  <c r="Y16" i="8"/>
  <c r="W16" i="8"/>
  <c r="V16" i="8"/>
  <c r="U16" i="8"/>
  <c r="H17" i="8"/>
  <c r="M17" i="8"/>
  <c r="K17" i="8"/>
  <c r="T17" i="8" l="1"/>
  <c r="G18" i="8"/>
  <c r="H18" i="8"/>
  <c r="M18" i="8"/>
  <c r="AK16" i="8"/>
  <c r="R17" i="8"/>
  <c r="AJ16" i="8"/>
  <c r="AI16" i="8"/>
  <c r="AH16" i="8"/>
  <c r="U17" i="8"/>
  <c r="AD16" i="8"/>
  <c r="N17" i="8"/>
  <c r="AG16" i="8"/>
  <c r="AF16" i="8"/>
  <c r="AE16" i="8"/>
  <c r="AA17" i="8"/>
  <c r="J18" i="8"/>
  <c r="M19" i="8" s="1"/>
  <c r="AB17" i="8"/>
  <c r="AC17" i="8"/>
  <c r="Z17" i="8"/>
  <c r="I18" i="8"/>
  <c r="F18" i="8"/>
  <c r="Y17" i="8"/>
  <c r="V17" i="8"/>
  <c r="X17" i="8"/>
  <c r="W17" i="8"/>
  <c r="K18" i="8"/>
  <c r="L18" i="8"/>
  <c r="S17" i="8"/>
  <c r="O17" i="8"/>
  <c r="P18" i="8" s="1"/>
  <c r="H19" i="8" l="1"/>
  <c r="S18" i="8"/>
  <c r="L19" i="8"/>
  <c r="T18" i="8"/>
  <c r="U18" i="8"/>
  <c r="I19" i="8"/>
  <c r="AF17" i="8"/>
  <c r="AE17" i="8"/>
  <c r="AD17" i="8"/>
  <c r="N18" i="8"/>
  <c r="AG17" i="8"/>
  <c r="J19" i="8"/>
  <c r="AC18" i="8"/>
  <c r="Z18" i="8"/>
  <c r="AB18" i="8"/>
  <c r="AA18" i="8"/>
  <c r="O18" i="8"/>
  <c r="O19" i="8" s="1"/>
  <c r="K19" i="8"/>
  <c r="Q18" i="8"/>
  <c r="AJ17" i="8"/>
  <c r="R18" i="8"/>
  <c r="S19" i="8" s="1"/>
  <c r="AK17" i="8"/>
  <c r="AI17" i="8"/>
  <c r="AH17" i="8"/>
  <c r="V18" i="8"/>
  <c r="F19" i="8"/>
  <c r="W18" i="8"/>
  <c r="Y18" i="8"/>
  <c r="X18" i="8"/>
  <c r="G19" i="8"/>
  <c r="T19" i="8" l="1"/>
  <c r="T20" i="8" s="1"/>
  <c r="K20" i="8"/>
  <c r="Q19" i="8"/>
  <c r="G20" i="8"/>
  <c r="M20" i="8"/>
  <c r="L20" i="8"/>
  <c r="P19" i="8"/>
  <c r="P20" i="8" s="1"/>
  <c r="U19" i="8"/>
  <c r="AC19" i="8"/>
  <c r="J20" i="8"/>
  <c r="AB19" i="8"/>
  <c r="AA19" i="8"/>
  <c r="Z19" i="8"/>
  <c r="V19" i="8"/>
  <c r="F20" i="8"/>
  <c r="G21" i="8" s="1"/>
  <c r="W19" i="8"/>
  <c r="Y19" i="8"/>
  <c r="X19" i="8"/>
  <c r="H20" i="8"/>
  <c r="H21" i="8" s="1"/>
  <c r="AF18" i="8"/>
  <c r="AD18" i="8"/>
  <c r="N19" i="8"/>
  <c r="AG18" i="8"/>
  <c r="AE18" i="8"/>
  <c r="R19" i="8"/>
  <c r="S20" i="8" s="1"/>
  <c r="AH18" i="8"/>
  <c r="AK18" i="8"/>
  <c r="AI18" i="8"/>
  <c r="AJ18" i="8"/>
  <c r="I20" i="8"/>
  <c r="M21" i="8" l="1"/>
  <c r="K21" i="8"/>
  <c r="L21" i="8"/>
  <c r="Q20" i="8"/>
  <c r="T21" i="8"/>
  <c r="O20" i="8"/>
  <c r="P21" i="8" s="1"/>
  <c r="AH19" i="8"/>
  <c r="R20" i="8"/>
  <c r="AI19" i="8"/>
  <c r="AJ19" i="8"/>
  <c r="AK19" i="8"/>
  <c r="H22" i="8"/>
  <c r="X20" i="8"/>
  <c r="W20" i="8"/>
  <c r="V20" i="8"/>
  <c r="Y20" i="8"/>
  <c r="F21" i="8"/>
  <c r="I21" i="8"/>
  <c r="AB20" i="8"/>
  <c r="J21" i="8"/>
  <c r="AC20" i="8"/>
  <c r="AA20" i="8"/>
  <c r="Z20" i="8"/>
  <c r="AG19" i="8"/>
  <c r="AF19" i="8"/>
  <c r="N20" i="8"/>
  <c r="AE19" i="8"/>
  <c r="AD19" i="8"/>
  <c r="U20" i="8"/>
  <c r="L22" i="8" l="1"/>
  <c r="M22" i="8"/>
  <c r="Q21" i="8"/>
  <c r="U21" i="8"/>
  <c r="I22" i="8"/>
  <c r="AH20" i="8"/>
  <c r="R21" i="8"/>
  <c r="AK20" i="8"/>
  <c r="AJ20" i="8"/>
  <c r="AI20" i="8"/>
  <c r="AA21" i="8"/>
  <c r="Z21" i="8"/>
  <c r="J22" i="8"/>
  <c r="AC21" i="8"/>
  <c r="AB21" i="8"/>
  <c r="X21" i="8"/>
  <c r="V21" i="8"/>
  <c r="Y21" i="8"/>
  <c r="W21" i="8"/>
  <c r="F22" i="8"/>
  <c r="N21" i="8"/>
  <c r="AF20" i="8"/>
  <c r="AE20" i="8"/>
  <c r="AG20" i="8"/>
  <c r="AD20" i="8"/>
  <c r="S21" i="8"/>
  <c r="K22" i="8"/>
  <c r="O21" i="8"/>
  <c r="P22" i="8" s="1"/>
  <c r="G22" i="8"/>
  <c r="I23" i="8" l="1"/>
  <c r="S22" i="8"/>
  <c r="T22" i="8"/>
  <c r="AE21" i="8"/>
  <c r="N22" i="8"/>
  <c r="AG21" i="8"/>
  <c r="AF21" i="8"/>
  <c r="AD21" i="8"/>
  <c r="Z22" i="8"/>
  <c r="AC22" i="8"/>
  <c r="AB22" i="8"/>
  <c r="AA22" i="8"/>
  <c r="J23" i="8"/>
  <c r="G23" i="8"/>
  <c r="K23" i="8"/>
  <c r="L23" i="8"/>
  <c r="O22" i="8"/>
  <c r="O23" i="8" s="1"/>
  <c r="Q22" i="8"/>
  <c r="H23" i="8"/>
  <c r="AJ21" i="8"/>
  <c r="AI21" i="8"/>
  <c r="AH21" i="8"/>
  <c r="R22" i="8"/>
  <c r="AK21" i="8"/>
  <c r="M23" i="8"/>
  <c r="Y22" i="8"/>
  <c r="X22" i="8"/>
  <c r="W22" i="8"/>
  <c r="V22" i="8"/>
  <c r="F23" i="8"/>
  <c r="U22" i="8"/>
  <c r="G24" i="8" l="1"/>
  <c r="T23" i="8"/>
  <c r="Q23" i="8"/>
  <c r="L24" i="8"/>
  <c r="H24" i="8"/>
  <c r="U23" i="8"/>
  <c r="Z23" i="8"/>
  <c r="J24" i="8"/>
  <c r="AC23" i="8"/>
  <c r="AB23" i="8"/>
  <c r="AA23" i="8"/>
  <c r="K24" i="8"/>
  <c r="F24" i="8"/>
  <c r="X23" i="8"/>
  <c r="W23" i="8"/>
  <c r="Y23" i="8"/>
  <c r="V23" i="8"/>
  <c r="L25" i="8"/>
  <c r="N23" i="8"/>
  <c r="AG22" i="8"/>
  <c r="AD22" i="8"/>
  <c r="AF22" i="8"/>
  <c r="AE22" i="8"/>
  <c r="AJ22" i="8"/>
  <c r="AH22" i="8"/>
  <c r="R23" i="8"/>
  <c r="AK22" i="8"/>
  <c r="AI22" i="8"/>
  <c r="P23" i="8"/>
  <c r="P24" i="8" s="1"/>
  <c r="M24" i="8"/>
  <c r="S23" i="8"/>
  <c r="I24" i="8"/>
  <c r="G25" i="8" l="1"/>
  <c r="K25" i="8"/>
  <c r="L26" i="8" s="1"/>
  <c r="H25" i="8"/>
  <c r="T24" i="8"/>
  <c r="I25" i="8"/>
  <c r="M25" i="8"/>
  <c r="S24" i="8"/>
  <c r="AG23" i="8"/>
  <c r="N24" i="8"/>
  <c r="AE23" i="8"/>
  <c r="AD23" i="8"/>
  <c r="AF23" i="8"/>
  <c r="O24" i="8"/>
  <c r="U24" i="8"/>
  <c r="Q24" i="8"/>
  <c r="AK23" i="8"/>
  <c r="AJ23" i="8"/>
  <c r="R24" i="8"/>
  <c r="S25" i="8" s="1"/>
  <c r="AI23" i="8"/>
  <c r="AH23" i="8"/>
  <c r="AB24" i="8"/>
  <c r="AA24" i="8"/>
  <c r="Z24" i="8"/>
  <c r="AC24" i="8"/>
  <c r="J25" i="8"/>
  <c r="W24" i="8"/>
  <c r="F25" i="8"/>
  <c r="Y24" i="8"/>
  <c r="X24" i="8"/>
  <c r="V24" i="8"/>
  <c r="H26" i="8" l="1"/>
  <c r="K26" i="8"/>
  <c r="L27" i="8" s="1"/>
  <c r="T25" i="8"/>
  <c r="T26" i="8" s="1"/>
  <c r="O25" i="8"/>
  <c r="I26" i="8"/>
  <c r="Q25" i="8"/>
  <c r="M26" i="8"/>
  <c r="R25" i="8"/>
  <c r="S26" i="8" s="1"/>
  <c r="AJ24" i="8"/>
  <c r="AI24" i="8"/>
  <c r="AH24" i="8"/>
  <c r="AK24" i="8"/>
  <c r="U25" i="8"/>
  <c r="P25" i="8"/>
  <c r="P26" i="8" s="1"/>
  <c r="AF24" i="8"/>
  <c r="AG24" i="8"/>
  <c r="AE24" i="8"/>
  <c r="AD24" i="8"/>
  <c r="N25" i="8"/>
  <c r="AB25" i="8"/>
  <c r="Z25" i="8"/>
  <c r="AC25" i="8"/>
  <c r="AA25" i="8"/>
  <c r="J26" i="8"/>
  <c r="F26" i="8"/>
  <c r="Y25" i="8"/>
  <c r="V25" i="8"/>
  <c r="X25" i="8"/>
  <c r="W25" i="8"/>
  <c r="G26" i="8"/>
  <c r="U26" i="8" l="1"/>
  <c r="G27" i="8"/>
  <c r="AD25" i="8"/>
  <c r="AG25" i="8"/>
  <c r="AF25" i="8"/>
  <c r="AE25" i="8"/>
  <c r="N26" i="8"/>
  <c r="Y26" i="8"/>
  <c r="F27" i="8"/>
  <c r="X26" i="8"/>
  <c r="W26" i="8"/>
  <c r="V26" i="8"/>
  <c r="AC26" i="8"/>
  <c r="AB26" i="8"/>
  <c r="AA26" i="8"/>
  <c r="Z26" i="8"/>
  <c r="J27" i="8"/>
  <c r="H27" i="8"/>
  <c r="H28" i="8" s="1"/>
  <c r="O26" i="8"/>
  <c r="O27" i="8" s="1"/>
  <c r="AI25" i="8"/>
  <c r="R26" i="8"/>
  <c r="AJ25" i="8"/>
  <c r="AH25" i="8"/>
  <c r="AK25" i="8"/>
  <c r="I27" i="8"/>
  <c r="T27" i="8"/>
  <c r="K27" i="8"/>
  <c r="Q26" i="8"/>
  <c r="M27" i="8"/>
  <c r="U27" i="8" l="1"/>
  <c r="M28" i="8"/>
  <c r="K28" i="8"/>
  <c r="L28" i="8"/>
  <c r="I28" i="8"/>
  <c r="J28" i="8"/>
  <c r="AB27" i="8"/>
  <c r="AA27" i="8"/>
  <c r="AC27" i="8"/>
  <c r="Z27" i="8"/>
  <c r="X27" i="8"/>
  <c r="F28" i="8"/>
  <c r="Y27" i="8"/>
  <c r="W27" i="8"/>
  <c r="V27" i="8"/>
  <c r="Q27" i="8"/>
  <c r="T28" i="8"/>
  <c r="T29" i="8" s="1"/>
  <c r="G28" i="8"/>
  <c r="P27" i="8"/>
  <c r="P28" i="8" s="1"/>
  <c r="AD26" i="8"/>
  <c r="AF26" i="8"/>
  <c r="AG26" i="8"/>
  <c r="AE26" i="8"/>
  <c r="N27" i="8"/>
  <c r="O28" i="8" s="1"/>
  <c r="R27" i="8"/>
  <c r="AK26" i="8"/>
  <c r="AH26" i="8"/>
  <c r="AJ26" i="8"/>
  <c r="AI26" i="8"/>
  <c r="S27" i="8"/>
  <c r="S28" i="8" s="1"/>
  <c r="P29" i="8" l="1"/>
  <c r="L29" i="8"/>
  <c r="G29" i="8"/>
  <c r="H29" i="8"/>
  <c r="I29" i="8"/>
  <c r="K29" i="8"/>
  <c r="Q28" i="8"/>
  <c r="F29" i="8"/>
  <c r="Y28" i="8"/>
  <c r="X28" i="8"/>
  <c r="W28" i="8"/>
  <c r="V28" i="8"/>
  <c r="AK27" i="8"/>
  <c r="R28" i="8"/>
  <c r="AJ27" i="8"/>
  <c r="AH27" i="8"/>
  <c r="AI27" i="8"/>
  <c r="AD27" i="8"/>
  <c r="N28" i="8"/>
  <c r="AG27" i="8"/>
  <c r="AF27" i="8"/>
  <c r="AE27" i="8"/>
  <c r="M29" i="8"/>
  <c r="AA28" i="8"/>
  <c r="J29" i="8"/>
  <c r="AC28" i="8"/>
  <c r="AB28" i="8"/>
  <c r="Z28" i="8"/>
  <c r="U28" i="8"/>
  <c r="L30" i="8" l="1"/>
  <c r="H30" i="8"/>
  <c r="AF28" i="8"/>
  <c r="AE28" i="8"/>
  <c r="AD28" i="8"/>
  <c r="AG28" i="8"/>
  <c r="N29" i="8"/>
  <c r="U29" i="8"/>
  <c r="V29" i="8"/>
  <c r="F30" i="8"/>
  <c r="Y29" i="8"/>
  <c r="X29" i="8"/>
  <c r="W29" i="8"/>
  <c r="I30" i="8"/>
  <c r="O29" i="8"/>
  <c r="Q29" i="8"/>
  <c r="J30" i="8"/>
  <c r="AC29" i="8"/>
  <c r="Z29" i="8"/>
  <c r="AA29" i="8"/>
  <c r="AB29" i="8"/>
  <c r="AJ28" i="8"/>
  <c r="AK28" i="8"/>
  <c r="AI28" i="8"/>
  <c r="AH28" i="8"/>
  <c r="R29" i="8"/>
  <c r="K30" i="8"/>
  <c r="S29" i="8"/>
  <c r="M30" i="8"/>
  <c r="G30" i="8"/>
  <c r="H31" i="8" s="1"/>
  <c r="L31" i="8" l="1"/>
  <c r="I31" i="8"/>
  <c r="Q30" i="8"/>
  <c r="G31" i="8"/>
  <c r="H32" i="8" s="1"/>
  <c r="V30" i="8"/>
  <c r="F31" i="8"/>
  <c r="Y30" i="8"/>
  <c r="X30" i="8"/>
  <c r="W30" i="8"/>
  <c r="U30" i="8"/>
  <c r="AC30" i="8"/>
  <c r="J31" i="8"/>
  <c r="AB30" i="8"/>
  <c r="AA30" i="8"/>
  <c r="Z30" i="8"/>
  <c r="M31" i="8"/>
  <c r="S30" i="8"/>
  <c r="T30" i="8"/>
  <c r="K31" i="8"/>
  <c r="AK29" i="8"/>
  <c r="AJ29" i="8"/>
  <c r="AI29" i="8"/>
  <c r="AH29" i="8"/>
  <c r="R30" i="8"/>
  <c r="O30" i="8"/>
  <c r="P30" i="8"/>
  <c r="AF29" i="8"/>
  <c r="AD29" i="8"/>
  <c r="N30" i="8"/>
  <c r="AG29" i="8"/>
  <c r="AE29" i="8"/>
  <c r="K32" i="8" l="1"/>
  <c r="T31" i="8"/>
  <c r="P31" i="8"/>
  <c r="S31" i="8"/>
  <c r="AG30" i="8"/>
  <c r="AF30" i="8"/>
  <c r="N31" i="8"/>
  <c r="AE30" i="8"/>
  <c r="AD30" i="8"/>
  <c r="X31" i="8"/>
  <c r="W31" i="8"/>
  <c r="V31" i="8"/>
  <c r="F32" i="8"/>
  <c r="Y31" i="8"/>
  <c r="L32" i="8"/>
  <c r="L33" i="8" s="1"/>
  <c r="M32" i="8"/>
  <c r="AB31" i="8"/>
  <c r="J32" i="8"/>
  <c r="AC31" i="8"/>
  <c r="AA31" i="8"/>
  <c r="Z31" i="8"/>
  <c r="U31" i="8"/>
  <c r="G32" i="8"/>
  <c r="O31" i="8"/>
  <c r="Q31" i="8"/>
  <c r="AH30" i="8"/>
  <c r="AK30" i="8"/>
  <c r="AJ30" i="8"/>
  <c r="AI30" i="8"/>
  <c r="R31" i="8"/>
  <c r="I32" i="8"/>
  <c r="U32" i="8" l="1"/>
  <c r="T32" i="8"/>
  <c r="G33" i="8"/>
  <c r="H33" i="8"/>
  <c r="I33" i="8"/>
  <c r="M33" i="8"/>
  <c r="AH31" i="8"/>
  <c r="R32" i="8"/>
  <c r="AK31" i="8"/>
  <c r="AJ31" i="8"/>
  <c r="AI31" i="8"/>
  <c r="Q32" i="8"/>
  <c r="X32" i="8"/>
  <c r="V32" i="8"/>
  <c r="F33" i="8"/>
  <c r="Y32" i="8"/>
  <c r="W32" i="8"/>
  <c r="O32" i="8"/>
  <c r="J33" i="8"/>
  <c r="AC32" i="8"/>
  <c r="Z32" i="8"/>
  <c r="AB32" i="8"/>
  <c r="AA32" i="8"/>
  <c r="N32" i="8"/>
  <c r="AF31" i="8"/>
  <c r="AE31" i="8"/>
  <c r="AG31" i="8"/>
  <c r="AD31" i="8"/>
  <c r="K33" i="8"/>
  <c r="L34" i="8" s="1"/>
  <c r="P32" i="8"/>
  <c r="S32" i="8"/>
  <c r="U33" i="8" l="1"/>
  <c r="H34" i="8"/>
  <c r="O33" i="8"/>
  <c r="AJ32" i="8"/>
  <c r="AI32" i="8"/>
  <c r="AH32" i="8"/>
  <c r="R33" i="8"/>
  <c r="AK32" i="8"/>
  <c r="S33" i="8"/>
  <c r="S34" i="8" s="1"/>
  <c r="T33" i="8"/>
  <c r="P33" i="8"/>
  <c r="P34" i="8" s="1"/>
  <c r="Z33" i="8"/>
  <c r="J34" i="8"/>
  <c r="AA33" i="8"/>
  <c r="AC33" i="8"/>
  <c r="AB33" i="8"/>
  <c r="Y33" i="8"/>
  <c r="X33" i="8"/>
  <c r="V33" i="8"/>
  <c r="F34" i="8"/>
  <c r="W33" i="8"/>
  <c r="K34" i="8"/>
  <c r="K35" i="8" s="1"/>
  <c r="M34" i="8"/>
  <c r="Q33" i="8"/>
  <c r="I34" i="8"/>
  <c r="AE32" i="8"/>
  <c r="N33" i="8"/>
  <c r="AG32" i="8"/>
  <c r="AF32" i="8"/>
  <c r="AD32" i="8"/>
  <c r="G34" i="8"/>
  <c r="T34" i="8" l="1"/>
  <c r="T35" i="8" s="1"/>
  <c r="G35" i="8"/>
  <c r="AJ33" i="8"/>
  <c r="AH33" i="8"/>
  <c r="R34" i="8"/>
  <c r="S35" i="8" s="1"/>
  <c r="AK33" i="8"/>
  <c r="AI33" i="8"/>
  <c r="Q34" i="8"/>
  <c r="F35" i="8"/>
  <c r="X34" i="8"/>
  <c r="W34" i="8"/>
  <c r="Y34" i="8"/>
  <c r="V34" i="8"/>
  <c r="U34" i="8"/>
  <c r="N34" i="8"/>
  <c r="AG33" i="8"/>
  <c r="AD33" i="8"/>
  <c r="AF33" i="8"/>
  <c r="AE33" i="8"/>
  <c r="I35" i="8"/>
  <c r="H35" i="8"/>
  <c r="H36" i="8" s="1"/>
  <c r="O34" i="8"/>
  <c r="P35" i="8" s="1"/>
  <c r="Z34" i="8"/>
  <c r="J35" i="8"/>
  <c r="AA34" i="8"/>
  <c r="AC34" i="8"/>
  <c r="AB34" i="8"/>
  <c r="M35" i="8"/>
  <c r="L35" i="8"/>
  <c r="L36" i="8" s="1"/>
  <c r="U35" i="8" l="1"/>
  <c r="I36" i="8"/>
  <c r="AB35" i="8"/>
  <c r="AA35" i="8"/>
  <c r="Z35" i="8"/>
  <c r="AC35" i="8"/>
  <c r="J36" i="8"/>
  <c r="W35" i="8"/>
  <c r="F36" i="8"/>
  <c r="Y35" i="8"/>
  <c r="X35" i="8"/>
  <c r="V35" i="8"/>
  <c r="T36" i="8"/>
  <c r="AG34" i="8"/>
  <c r="N35" i="8"/>
  <c r="AF34" i="8"/>
  <c r="AE34" i="8"/>
  <c r="AD34" i="8"/>
  <c r="M36" i="8"/>
  <c r="O35" i="8"/>
  <c r="K36" i="8"/>
  <c r="Q35" i="8"/>
  <c r="AK34" i="8"/>
  <c r="AJ34" i="8"/>
  <c r="R35" i="8"/>
  <c r="AI34" i="8"/>
  <c r="AH34" i="8"/>
  <c r="G36" i="8"/>
  <c r="U36" i="8" l="1"/>
  <c r="M37" i="8"/>
  <c r="F37" i="8"/>
  <c r="Y36" i="8"/>
  <c r="V36" i="8"/>
  <c r="W36" i="8"/>
  <c r="X36" i="8"/>
  <c r="AB36" i="8"/>
  <c r="Z36" i="8"/>
  <c r="AC36" i="8"/>
  <c r="AA36" i="8"/>
  <c r="J37" i="8"/>
  <c r="Q36" i="8"/>
  <c r="G37" i="8"/>
  <c r="G38" i="8" s="1"/>
  <c r="I37" i="8"/>
  <c r="R36" i="8"/>
  <c r="AJ35" i="8"/>
  <c r="AI35" i="8"/>
  <c r="AH35" i="8"/>
  <c r="AK35" i="8"/>
  <c r="K37" i="8"/>
  <c r="L37" i="8"/>
  <c r="AF35" i="8"/>
  <c r="N36" i="8"/>
  <c r="AG35" i="8"/>
  <c r="AE35" i="8"/>
  <c r="AD35" i="8"/>
  <c r="H37" i="8"/>
  <c r="S36" i="8"/>
  <c r="O36" i="8"/>
  <c r="P36" i="8"/>
  <c r="K38" i="8" l="1"/>
  <c r="L38" i="8"/>
  <c r="P37" i="8"/>
  <c r="I38" i="8"/>
  <c r="Q37" i="8"/>
  <c r="O37" i="8"/>
  <c r="AI36" i="8"/>
  <c r="R37" i="8"/>
  <c r="AK36" i="8"/>
  <c r="AJ36" i="8"/>
  <c r="AH36" i="8"/>
  <c r="S37" i="8"/>
  <c r="S38" i="8" s="1"/>
  <c r="H38" i="8"/>
  <c r="U37" i="8"/>
  <c r="Q38" i="8"/>
  <c r="O38" i="8"/>
  <c r="T37" i="8"/>
  <c r="Y37" i="8"/>
  <c r="F38" i="8"/>
  <c r="X37" i="8"/>
  <c r="W37" i="8"/>
  <c r="V37" i="8"/>
  <c r="AC37" i="8"/>
  <c r="AB37" i="8"/>
  <c r="AA37" i="8"/>
  <c r="Z37" i="8"/>
  <c r="J38" i="8"/>
  <c r="AE36" i="8"/>
  <c r="AD36" i="8"/>
  <c r="N37" i="8"/>
  <c r="AG36" i="8"/>
  <c r="AF36" i="8"/>
  <c r="M38" i="8"/>
  <c r="P38" i="8" l="1"/>
  <c r="T38" i="8"/>
  <c r="AB38" i="8"/>
  <c r="G9" i="13" s="1"/>
  <c r="AA38" i="8"/>
  <c r="G12" i="13" s="1"/>
  <c r="AC38" i="8"/>
  <c r="G10" i="13" s="1"/>
  <c r="Z38" i="8"/>
  <c r="G11" i="13" s="1"/>
  <c r="X38" i="8"/>
  <c r="F9" i="13" s="1"/>
  <c r="F13" i="13" s="1"/>
  <c r="Y38" i="8"/>
  <c r="F10" i="13" s="1"/>
  <c r="F14" i="13" s="1"/>
  <c r="W38" i="8"/>
  <c r="F12" i="13" s="1"/>
  <c r="V38" i="8"/>
  <c r="F11" i="13" s="1"/>
  <c r="U38" i="8"/>
  <c r="R38" i="8"/>
  <c r="AK37" i="8"/>
  <c r="AH37" i="8"/>
  <c r="AI37" i="8"/>
  <c r="AJ37" i="8"/>
  <c r="AD37" i="8"/>
  <c r="AG37" i="8"/>
  <c r="AF37" i="8"/>
  <c r="AE37" i="8"/>
  <c r="N38" i="8"/>
  <c r="G14" i="13" l="1"/>
  <c r="AD38" i="8"/>
  <c r="H11" i="13" s="1"/>
  <c r="AG38" i="8"/>
  <c r="H10" i="13" s="1"/>
  <c r="H14" i="13" s="1"/>
  <c r="AF38" i="8"/>
  <c r="H9" i="13" s="1"/>
  <c r="H13" i="13" s="1"/>
  <c r="AE38" i="8"/>
  <c r="H12" i="13" s="1"/>
  <c r="AK38" i="8"/>
  <c r="I10" i="13" s="1"/>
  <c r="I14" i="13" s="1"/>
  <c r="AI38" i="8"/>
  <c r="I12" i="13" s="1"/>
  <c r="AH38" i="8"/>
  <c r="I11" i="13" s="1"/>
  <c r="AJ38" i="8"/>
  <c r="I9" i="13" s="1"/>
  <c r="I13" i="13" s="1"/>
  <c r="G13" i="13"/>
  <c r="G15" i="13" l="1"/>
  <c r="I15" i="13"/>
  <c r="H15" i="13"/>
</calcChain>
</file>

<file path=xl/sharedStrings.xml><?xml version="1.0" encoding="utf-8"?>
<sst xmlns="http://schemas.openxmlformats.org/spreadsheetml/2006/main" count="261" uniqueCount="167">
  <si>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</si>
  <si>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</si>
  <si>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</si>
  <si>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</si>
  <si>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</si>
  <si>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</si>
  <si>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</si>
  <si>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</si>
  <si>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</si>
  <si>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</si>
  <si>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</si>
  <si>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</si>
  <si>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</si>
  <si>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</si>
  <si>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</si>
  <si>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</si>
  <si>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</si>
  <si>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</si>
  <si>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</si>
  <si>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</si>
  <si>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</si>
  <si>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</si>
  <si>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</si>
  <si>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N</t>
  </si>
  <si>
    <t>model_settings!F14</t>
  </si>
  <si>
    <t>n_cycles</t>
  </si>
  <si>
    <t>model_settings!F15</t>
  </si>
  <si>
    <t>n_states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</si>
  <si>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</si>
  <si>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</si>
  <si>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</si>
  <si>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</si>
  <si>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</si>
  <si>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</si>
  <si>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</si>
  <si>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</si>
  <si>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</si>
  <si>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</si>
  <si>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</si>
  <si>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</si>
  <si>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</si>
  <si>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</si>
  <si>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</si>
  <si>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</si>
  <si>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transition_probability</t>
  </si>
  <si>
    <t>input_parameters!O9</t>
  </si>
  <si>
    <t>input_parameters!O10</t>
  </si>
  <si>
    <t>input_parameters!O11</t>
  </si>
  <si>
    <t>utility</t>
  </si>
  <si>
    <t>normal</t>
  </si>
  <si>
    <t>input_parameters!O12</t>
  </si>
  <si>
    <t>fixed</t>
  </si>
  <si>
    <t>input_parameters!O13</t>
  </si>
  <si>
    <t>one_off_cost</t>
  </si>
  <si>
    <t>input_parameters!O14</t>
  </si>
  <si>
    <t>cost</t>
  </si>
  <si>
    <t>input_parameters!O15</t>
  </si>
  <si>
    <t>input_parameters!O16</t>
  </si>
  <si>
    <t>cycle</t>
  </si>
  <si>
    <t>setting_names</t>
  </si>
  <si>
    <t>settings</t>
  </si>
  <si>
    <t>n cycles</t>
  </si>
  <si>
    <t>n states</t>
  </si>
  <si>
    <t>n treatments</t>
  </si>
  <si>
    <t>Result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</si>
  <si>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</si>
  <si>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</si>
  <si>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</si>
  <si>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</si>
  <si>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</si>
  <si>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</si>
  <si>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</si>
  <si>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</si>
  <si>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Probability_1st_revision_cemented</t>
  </si>
  <si>
    <t>Probability of 1st revision if using cemented, follows a normal distribution</t>
  </si>
  <si>
    <t>Probability_1st_revision_uncemented</t>
  </si>
  <si>
    <t>Probability of 1st revision if using uncemented, follows a normal distribution</t>
  </si>
  <si>
    <t>Probability_1st_revision_hybrid</t>
  </si>
  <si>
    <t>Probability of 1st revision if using hybrid, follows a normal distribution</t>
  </si>
  <si>
    <t>Probability_1st_revision_reverse_hybrid</t>
  </si>
  <si>
    <t>Probability of 1st revision if using reverse_hybrid, follows a normal distribution</t>
  </si>
  <si>
    <t>Probability_2nd_revision</t>
  </si>
  <si>
    <t>Probability of 2nd revision, follows a normal distribution</t>
  </si>
  <si>
    <t>Probability_death</t>
  </si>
  <si>
    <t>Probability of death, follows a normal distribution</t>
  </si>
  <si>
    <t>cost_1st_revision_cemented</t>
  </si>
  <si>
    <t>Cost of revision of post THR state if using cemented, follows a normal distribution, with fixed revision cost and normally distributed probability</t>
  </si>
  <si>
    <t>input_parameters!O17</t>
  </si>
  <si>
    <t>cost_1st_revision_uncemented</t>
  </si>
  <si>
    <t>Cost of revision of post THR state if using uncemented, follows a normal distribution, with fixed revision cost and normally distributed probability</t>
  </si>
  <si>
    <t>input_parameters!O18</t>
  </si>
  <si>
    <t>cost_1st_revision_hybrid</t>
  </si>
  <si>
    <t>Cost of revision of post THR state if using hybrid, follows a normal distribution, with fixed revision cost and normally distributed probability</t>
  </si>
  <si>
    <t>input_parameters!O19</t>
  </si>
  <si>
    <t>cost_1st_revision_reverse_hybrid</t>
  </si>
  <si>
    <t>Cost of revision of post THR state if using reverse_hybrid, follows a normal distribution, with fixed revision cost and normally distributed probability</t>
  </si>
  <si>
    <t>input_parameters!O20</t>
  </si>
  <si>
    <t>cost_2nd_revision</t>
  </si>
  <si>
    <t>Cost of revision of post 1st revision state, follows a normal distribution, with fixed revision cost and normally distributed probability</t>
  </si>
  <si>
    <t>input_parameters!O21</t>
  </si>
  <si>
    <t>cost_higher_revision</t>
  </si>
  <si>
    <t>Cost of revision of post 2nd revision state, follows a normal distribution, with fixed revision cost and normally distributed probability</t>
  </si>
  <si>
    <t>input_parameters!O22</t>
  </si>
  <si>
    <t>state_utility_post_thr</t>
  </si>
  <si>
    <t xml:space="preserve">Utility of post THR state, follows a normal distribution </t>
  </si>
  <si>
    <t>input_parameters!O23</t>
  </si>
  <si>
    <t>state_utility_post_1st_rev</t>
  </si>
  <si>
    <t xml:space="preserve">Utility of post 1st revision state, follows a normal distribution </t>
  </si>
  <si>
    <t>input_parameters!O24</t>
  </si>
  <si>
    <t>state_utility_post_2nd_rev</t>
  </si>
  <si>
    <t xml:space="preserve">Utility of post 2nd revision state, follows a normal distribution </t>
  </si>
  <si>
    <t>input_parameters!O25</t>
  </si>
  <si>
    <t>state_utility_dead</t>
  </si>
  <si>
    <t>Utility of death, fixed value and model assumes no cost</t>
  </si>
  <si>
    <t>input_parameters!O26</t>
  </si>
  <si>
    <t>implant_cost_cemented</t>
  </si>
  <si>
    <t>Cost ofcemented, fixed value</t>
  </si>
  <si>
    <t>input_parameters!O27</t>
  </si>
  <si>
    <t>implant_cost_uncemented</t>
  </si>
  <si>
    <t>Cost ofuncemented, fixed value</t>
  </si>
  <si>
    <t>input_parameters!O28</t>
  </si>
  <si>
    <t>implant_cost_hybrid</t>
  </si>
  <si>
    <t>Cost ofhybrid, fixed value</t>
  </si>
  <si>
    <t>input_parameters!O29</t>
  </si>
  <si>
    <t>implant_cost_reverse_hybrid</t>
  </si>
  <si>
    <t>Cost ofreverse_hybrid, fixed value</t>
  </si>
  <si>
    <t>input_parameters!O30</t>
  </si>
  <si>
    <t>cemented_post_thr</t>
  </si>
  <si>
    <t>cemented_post_1st_rev</t>
  </si>
  <si>
    <t>cemented_post_2nd_rev</t>
  </si>
  <si>
    <t>cemented_dead</t>
  </si>
  <si>
    <t>uncemented_post_thr</t>
  </si>
  <si>
    <t>uncemented_post_1st_rev</t>
  </si>
  <si>
    <t>uncemented_post_2nd_rev</t>
  </si>
  <si>
    <t>uncemented_dead</t>
  </si>
  <si>
    <t>hybrid_post_thr</t>
  </si>
  <si>
    <t>hybrid_post_1st_rev</t>
  </si>
  <si>
    <t>hybrid_post_2nd_rev</t>
  </si>
  <si>
    <t>hybrid_dead</t>
  </si>
  <si>
    <t>reverse_hybrid_post_thr</t>
  </si>
  <si>
    <t>reverse_hybrid_post_1st_rev</t>
  </si>
  <si>
    <t>reverse_hybrid_post_2nd_rev</t>
  </si>
  <si>
    <t>reverse_hybrid_dead</t>
  </si>
  <si>
    <t>cemented Undiscounted Costs</t>
  </si>
  <si>
    <t>cemented Undiscounted QALYs</t>
  </si>
  <si>
    <t>cemented Discounted Costs</t>
  </si>
  <si>
    <t>cemented Discounted QALYs</t>
  </si>
  <si>
    <t>uncemented Undiscounted Costs</t>
  </si>
  <si>
    <t>uncemented Undiscounted QALYs</t>
  </si>
  <si>
    <t>uncemented Discounted Costs</t>
  </si>
  <si>
    <t>uncemented Discounted QALYs</t>
  </si>
  <si>
    <t>hybrid Undiscounted Costs</t>
  </si>
  <si>
    <t>hybrid Undiscounted QALYs</t>
  </si>
  <si>
    <t>hybrid Discounted Costs</t>
  </si>
  <si>
    <t>hybrid Discounted QALYs</t>
  </si>
  <si>
    <t>reverse_hybrid Undiscounted Costs</t>
  </si>
  <si>
    <t>reverse_hybrid Undiscounted QALYs</t>
  </si>
  <si>
    <t>reverse_hybrid Discounted Costs</t>
  </si>
  <si>
    <t>reverse_hybrid Discounted QALYs</t>
  </si>
  <si>
    <t>1</t>
  </si>
  <si>
    <t>cemented</t>
  </si>
  <si>
    <t>30</t>
  </si>
  <si>
    <t>4</t>
  </si>
  <si>
    <t>22</t>
  </si>
  <si>
    <t>uncemented</t>
  </si>
  <si>
    <t>hybrid</t>
  </si>
  <si>
    <t>reverse_hybrid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</si>
</sst>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638175</xdr:colOff>
      <xdr:row>3</xdr:row>
      <xdr:rowOff>4763</xdr:rowOff>
    </xdr:from>
    <xdr:to>
      <xdr:col>3</xdr:col>
      <xdr:colOff>1304925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3</xdr:row>
          <xdr:rowOff>4763</xdr:rowOff>
        </xdr:from>
        <xdr:to>
          <xdr:col>3</xdr:col>
          <xdr:colOff>1304925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B78740A-AE41-8D79-364C-13FF43F65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30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6" x14ac:dyDescent="0.45">
      <c r="E8" t="s">
        <v>33</v>
      </c>
      <c r="F8" t="s">
        <v>34</v>
      </c>
      <c r="G8" t="s">
        <v>35</v>
      </c>
      <c r="H8" t="s">
        <v>36</v>
      </c>
      <c r="I8" t="s">
        <v>37</v>
      </c>
      <c r="J8" t="s">
        <v>38</v>
      </c>
      <c r="K8" t="s">
        <v>39</v>
      </c>
      <c r="L8" t="s">
        <v>40</v>
      </c>
      <c r="M8" t="s">
        <v>41</v>
      </c>
      <c r="N8" t="s">
        <v>42</v>
      </c>
      <c r="O8" t="s">
        <v>43</v>
      </c>
      <c r="P8" t="s">
        <v>7</v>
      </c>
    </row>
    <row r="9" spans="5:16" x14ac:dyDescent="0.45">
      <c r="E9" t="s">
        <v>73</v>
      </c>
      <c r="F9" t="s">
        <v>74</v>
      </c>
      <c r="G9" t="s">
        <v>44</v>
      </c>
      <c r="H9" t="s">
        <v>49</v>
      </c>
      <c r="I9">
        <v>4.7000000000000002E-3</v>
      </c>
      <c r="J9">
        <v>1.4535706731701799E-4</v>
      </c>
      <c r="K9">
        <v>1</v>
      </c>
      <c r="L9">
        <v>2</v>
      </c>
      <c r="M9">
        <v>1</v>
      </c>
      <c r="N9">
        <v>1</v>
      </c>
      <c r="O9">
        <f t="shared" ref="O9:O25" ca="1" si="0">_xlfn.NORM.INV(RAND(), I9, J9)</f>
        <v>4.9139395160825803E-3</v>
      </c>
      <c r="P9" t="s">
        <v>45</v>
      </c>
    </row>
    <row r="10" spans="5:16" x14ac:dyDescent="0.45">
      <c r="E10" t="s">
        <v>75</v>
      </c>
      <c r="F10" t="s">
        <v>76</v>
      </c>
      <c r="G10" t="s">
        <v>44</v>
      </c>
      <c r="H10" t="s">
        <v>49</v>
      </c>
      <c r="I10">
        <v>3.0000000000000001E-3</v>
      </c>
      <c r="J10">
        <v>9.2860360290372706E-5</v>
      </c>
      <c r="K10">
        <v>1</v>
      </c>
      <c r="L10">
        <v>2</v>
      </c>
      <c r="M10">
        <v>2</v>
      </c>
      <c r="N10">
        <v>1</v>
      </c>
      <c r="O10">
        <f t="shared" ca="1" si="0"/>
        <v>2.9449896314341466E-3</v>
      </c>
      <c r="P10" t="s">
        <v>46</v>
      </c>
    </row>
    <row r="11" spans="5:16" x14ac:dyDescent="0.45">
      <c r="E11" t="s">
        <v>77</v>
      </c>
      <c r="F11" t="s">
        <v>78</v>
      </c>
      <c r="G11" t="s">
        <v>44</v>
      </c>
      <c r="H11" t="s">
        <v>49</v>
      </c>
      <c r="I11">
        <v>3.7000000000000002E-3</v>
      </c>
      <c r="J11">
        <v>1.14487542807599E-4</v>
      </c>
      <c r="K11">
        <v>1</v>
      </c>
      <c r="L11">
        <v>2</v>
      </c>
      <c r="M11">
        <v>3</v>
      </c>
      <c r="N11">
        <v>1</v>
      </c>
      <c r="O11">
        <f t="shared" ca="1" si="0"/>
        <v>3.8755779103846382E-3</v>
      </c>
      <c r="P11" t="s">
        <v>47</v>
      </c>
    </row>
    <row r="12" spans="5:16" x14ac:dyDescent="0.45">
      <c r="E12" t="s">
        <v>79</v>
      </c>
      <c r="F12" t="s">
        <v>80</v>
      </c>
      <c r="G12" t="s">
        <v>44</v>
      </c>
      <c r="H12" t="s">
        <v>49</v>
      </c>
      <c r="I12">
        <v>4.0000000000000001E-3</v>
      </c>
      <c r="J12">
        <v>1.2375166867040899E-4</v>
      </c>
      <c r="K12">
        <v>1</v>
      </c>
      <c r="L12">
        <v>2</v>
      </c>
      <c r="M12">
        <v>4</v>
      </c>
      <c r="N12">
        <v>1</v>
      </c>
      <c r="O12">
        <f t="shared" ca="1" si="0"/>
        <v>3.9859584970583202E-3</v>
      </c>
      <c r="P12" t="s">
        <v>50</v>
      </c>
    </row>
    <row r="13" spans="5:16" x14ac:dyDescent="0.45">
      <c r="E13" t="s">
        <v>81</v>
      </c>
      <c r="F13" t="s">
        <v>82</v>
      </c>
      <c r="G13" t="s">
        <v>44</v>
      </c>
      <c r="H13" t="s">
        <v>49</v>
      </c>
      <c r="I13">
        <v>4.2000000000000003E-2</v>
      </c>
      <c r="J13">
        <v>3.0006931757226101E-3</v>
      </c>
      <c r="K13">
        <v>2</v>
      </c>
      <c r="L13">
        <v>3</v>
      </c>
      <c r="N13">
        <v>2</v>
      </c>
      <c r="O13">
        <f t="shared" ca="1" si="0"/>
        <v>4.1218171157949332E-2</v>
      </c>
      <c r="P13" t="s">
        <v>52</v>
      </c>
    </row>
    <row r="14" spans="5:16" x14ac:dyDescent="0.45">
      <c r="E14" t="s">
        <v>83</v>
      </c>
      <c r="F14" t="s">
        <v>84</v>
      </c>
      <c r="G14" t="s">
        <v>44</v>
      </c>
      <c r="H14" t="s">
        <v>49</v>
      </c>
      <c r="I14">
        <v>6.6000000000000003E-2</v>
      </c>
      <c r="J14">
        <v>6.6E-3</v>
      </c>
      <c r="K14">
        <v>1</v>
      </c>
      <c r="L14">
        <v>4</v>
      </c>
      <c r="N14">
        <v>1</v>
      </c>
      <c r="O14">
        <f t="shared" ca="1" si="0"/>
        <v>7.341322607089118E-2</v>
      </c>
      <c r="P14" t="s">
        <v>54</v>
      </c>
    </row>
    <row r="15" spans="5:16" x14ac:dyDescent="0.45">
      <c r="E15" t="s">
        <v>83</v>
      </c>
      <c r="F15" t="s">
        <v>84</v>
      </c>
      <c r="G15" t="s">
        <v>44</v>
      </c>
      <c r="H15" t="s">
        <v>49</v>
      </c>
      <c r="I15">
        <v>6.6000000000000003E-2</v>
      </c>
      <c r="J15">
        <v>6.6E-3</v>
      </c>
      <c r="K15">
        <v>2</v>
      </c>
      <c r="L15">
        <v>4</v>
      </c>
      <c r="N15">
        <v>2</v>
      </c>
      <c r="O15">
        <f t="shared" ca="1" si="0"/>
        <v>7.3892735976144028E-2</v>
      </c>
      <c r="P15" t="s">
        <v>56</v>
      </c>
    </row>
    <row r="16" spans="5:16" x14ac:dyDescent="0.45">
      <c r="E16" t="s">
        <v>83</v>
      </c>
      <c r="F16" t="s">
        <v>84</v>
      </c>
      <c r="G16" t="s">
        <v>44</v>
      </c>
      <c r="H16" t="s">
        <v>49</v>
      </c>
      <c r="I16">
        <v>6.6000000000000003E-2</v>
      </c>
      <c r="J16">
        <v>6.6E-3</v>
      </c>
      <c r="K16">
        <v>3</v>
      </c>
      <c r="L16">
        <v>4</v>
      </c>
      <c r="N16">
        <v>3</v>
      </c>
      <c r="O16">
        <f t="shared" ca="1" si="0"/>
        <v>6.3116702748960016E-2</v>
      </c>
      <c r="P16" t="s">
        <v>57</v>
      </c>
    </row>
    <row r="17" spans="5:16" x14ac:dyDescent="0.45">
      <c r="E17" t="s">
        <v>85</v>
      </c>
      <c r="F17" t="s">
        <v>86</v>
      </c>
      <c r="G17" t="s">
        <v>55</v>
      </c>
      <c r="H17" t="s">
        <v>49</v>
      </c>
      <c r="I17">
        <v>42.323264999999999</v>
      </c>
      <c r="J17">
        <v>1.3089331233363799</v>
      </c>
      <c r="M17">
        <v>1</v>
      </c>
      <c r="N17">
        <v>1</v>
      </c>
      <c r="O17">
        <f t="shared" ca="1" si="0"/>
        <v>45.069415673030079</v>
      </c>
      <c r="P17" t="s">
        <v>87</v>
      </c>
    </row>
    <row r="18" spans="5:16" x14ac:dyDescent="0.45">
      <c r="E18" t="s">
        <v>88</v>
      </c>
      <c r="F18" t="s">
        <v>89</v>
      </c>
      <c r="G18" t="s">
        <v>55</v>
      </c>
      <c r="H18" t="s">
        <v>49</v>
      </c>
      <c r="I18">
        <v>27.014849999999999</v>
      </c>
      <c r="J18">
        <v>0.83620290139679199</v>
      </c>
      <c r="M18">
        <v>2</v>
      </c>
      <c r="N18">
        <v>1</v>
      </c>
      <c r="O18">
        <f t="shared" ca="1" si="0"/>
        <v>25.542793402624358</v>
      </c>
      <c r="P18" t="s">
        <v>90</v>
      </c>
    </row>
    <row r="19" spans="5:16" x14ac:dyDescent="0.45">
      <c r="E19" t="s">
        <v>91</v>
      </c>
      <c r="F19" t="s">
        <v>92</v>
      </c>
      <c r="G19" t="s">
        <v>55</v>
      </c>
      <c r="H19" t="s">
        <v>49</v>
      </c>
      <c r="I19">
        <v>33.318314999999998</v>
      </c>
      <c r="J19">
        <v>1.0309545986052899</v>
      </c>
      <c r="M19">
        <v>3</v>
      </c>
      <c r="N19">
        <v>1</v>
      </c>
      <c r="O19">
        <f t="shared" ca="1" si="0"/>
        <v>34.766983144994612</v>
      </c>
      <c r="P19" t="s">
        <v>93</v>
      </c>
    </row>
    <row r="20" spans="5:16" x14ac:dyDescent="0.45">
      <c r="E20" t="s">
        <v>94</v>
      </c>
      <c r="F20" t="s">
        <v>95</v>
      </c>
      <c r="G20" t="s">
        <v>55</v>
      </c>
      <c r="H20" t="s">
        <v>49</v>
      </c>
      <c r="I20">
        <v>36.019799999999996</v>
      </c>
      <c r="J20">
        <v>1.1143775887936</v>
      </c>
      <c r="M20">
        <v>4</v>
      </c>
      <c r="N20">
        <v>1</v>
      </c>
      <c r="O20">
        <f t="shared" ca="1" si="0"/>
        <v>35.70245961517692</v>
      </c>
      <c r="P20" t="s">
        <v>96</v>
      </c>
    </row>
    <row r="21" spans="5:16" x14ac:dyDescent="0.45">
      <c r="E21" t="s">
        <v>97</v>
      </c>
      <c r="F21" t="s">
        <v>98</v>
      </c>
      <c r="G21" t="s">
        <v>55</v>
      </c>
      <c r="H21" t="s">
        <v>49</v>
      </c>
      <c r="I21">
        <v>378.2079</v>
      </c>
      <c r="J21">
        <v>27.0210920127234</v>
      </c>
      <c r="N21">
        <v>2</v>
      </c>
      <c r="O21">
        <f t="shared" ca="1" si="0"/>
        <v>356.79799766064087</v>
      </c>
      <c r="P21" t="s">
        <v>99</v>
      </c>
    </row>
    <row r="22" spans="5:16" x14ac:dyDescent="0.45">
      <c r="E22" t="s">
        <v>100</v>
      </c>
      <c r="F22" t="s">
        <v>101</v>
      </c>
      <c r="G22" t="s">
        <v>55</v>
      </c>
      <c r="H22" t="s">
        <v>49</v>
      </c>
      <c r="I22">
        <v>504.27719999999999</v>
      </c>
      <c r="J22">
        <v>25.963970294861898</v>
      </c>
      <c r="N22">
        <v>3</v>
      </c>
      <c r="O22">
        <f t="shared" ca="1" si="0"/>
        <v>527.28010037505453</v>
      </c>
      <c r="P22" t="s">
        <v>102</v>
      </c>
    </row>
    <row r="23" spans="5:16" x14ac:dyDescent="0.45">
      <c r="E23" t="s">
        <v>103</v>
      </c>
      <c r="F23" t="s">
        <v>104</v>
      </c>
      <c r="G23" t="s">
        <v>48</v>
      </c>
      <c r="H23" t="s">
        <v>49</v>
      </c>
      <c r="I23">
        <v>0.76200000000000001</v>
      </c>
      <c r="J23">
        <v>4.0000000000000001E-3</v>
      </c>
      <c r="N23">
        <v>1</v>
      </c>
      <c r="O23">
        <f t="shared" ca="1" si="0"/>
        <v>0.76282265807941652</v>
      </c>
      <c r="P23" t="s">
        <v>105</v>
      </c>
    </row>
    <row r="24" spans="5:16" x14ac:dyDescent="0.45">
      <c r="E24" t="s">
        <v>106</v>
      </c>
      <c r="F24" t="s">
        <v>107</v>
      </c>
      <c r="G24" t="s">
        <v>48</v>
      </c>
      <c r="H24" t="s">
        <v>49</v>
      </c>
      <c r="I24">
        <v>0.57499999999999996</v>
      </c>
      <c r="J24">
        <v>8.9999999999999993E-3</v>
      </c>
      <c r="N24">
        <v>2</v>
      </c>
      <c r="O24">
        <f t="shared" ca="1" si="0"/>
        <v>0.5751891427681739</v>
      </c>
      <c r="P24" t="s">
        <v>108</v>
      </c>
    </row>
    <row r="25" spans="5:16" x14ac:dyDescent="0.45">
      <c r="E25" t="s">
        <v>109</v>
      </c>
      <c r="F25" t="s">
        <v>110</v>
      </c>
      <c r="G25" t="s">
        <v>48</v>
      </c>
      <c r="H25" t="s">
        <v>49</v>
      </c>
      <c r="I25">
        <v>0.57499999999999996</v>
      </c>
      <c r="J25">
        <v>8.9999999999999993E-3</v>
      </c>
      <c r="N25">
        <v>3</v>
      </c>
      <c r="O25">
        <f t="shared" ca="1" si="0"/>
        <v>0.56783660003815128</v>
      </c>
      <c r="P25" t="s">
        <v>111</v>
      </c>
    </row>
    <row r="26" spans="5:16" x14ac:dyDescent="0.45">
      <c r="E26" t="s">
        <v>112</v>
      </c>
      <c r="F26" t="s">
        <v>113</v>
      </c>
      <c r="G26" t="s">
        <v>48</v>
      </c>
      <c r="H26" t="s">
        <v>51</v>
      </c>
      <c r="I26">
        <v>0</v>
      </c>
      <c r="N26">
        <v>4</v>
      </c>
      <c r="O26">
        <f>I26</f>
        <v>0</v>
      </c>
      <c r="P26" t="s">
        <v>114</v>
      </c>
    </row>
    <row r="27" spans="5:16" x14ac:dyDescent="0.45">
      <c r="E27" t="s">
        <v>115</v>
      </c>
      <c r="F27" t="s">
        <v>116</v>
      </c>
      <c r="G27" t="s">
        <v>53</v>
      </c>
      <c r="H27" t="s">
        <v>51</v>
      </c>
      <c r="I27">
        <v>756</v>
      </c>
      <c r="M27">
        <v>1</v>
      </c>
      <c r="O27">
        <f>I27</f>
        <v>756</v>
      </c>
      <c r="P27" t="s">
        <v>117</v>
      </c>
    </row>
    <row r="28" spans="5:16" x14ac:dyDescent="0.45">
      <c r="E28" t="s">
        <v>118</v>
      </c>
      <c r="F28" t="s">
        <v>119</v>
      </c>
      <c r="G28" t="s">
        <v>53</v>
      </c>
      <c r="H28" t="s">
        <v>51</v>
      </c>
      <c r="I28">
        <v>2386</v>
      </c>
      <c r="M28">
        <v>2</v>
      </c>
      <c r="O28">
        <f>I28</f>
        <v>2386</v>
      </c>
      <c r="P28" t="s">
        <v>120</v>
      </c>
    </row>
    <row r="29" spans="5:16" x14ac:dyDescent="0.45">
      <c r="E29" t="s">
        <v>121</v>
      </c>
      <c r="F29" t="s">
        <v>122</v>
      </c>
      <c r="G29" t="s">
        <v>53</v>
      </c>
      <c r="H29" t="s">
        <v>51</v>
      </c>
      <c r="I29">
        <v>1597</v>
      </c>
      <c r="M29">
        <v>3</v>
      </c>
      <c r="O29">
        <f>I29</f>
        <v>1597</v>
      </c>
      <c r="P29" t="s">
        <v>123</v>
      </c>
    </row>
    <row r="30" spans="5:16" x14ac:dyDescent="0.45">
      <c r="E30" t="s">
        <v>124</v>
      </c>
      <c r="F30" t="s">
        <v>125</v>
      </c>
      <c r="G30" t="s">
        <v>53</v>
      </c>
      <c r="H30" t="s">
        <v>51</v>
      </c>
      <c r="I30">
        <v>1446</v>
      </c>
      <c r="M30">
        <v>4</v>
      </c>
      <c r="O30">
        <f>I30</f>
        <v>1446</v>
      </c>
      <c r="P30" t="s">
        <v>126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AK38"/>
  <sheetViews>
    <sheetView workbookViewId="0">
      <selection activeCell="F9" sqref="F9"/>
    </sheetView>
  </sheetViews>
  <sheetFormatPr defaultColWidth="10.9296875" defaultRowHeight="14.25" x14ac:dyDescent="0.45"/>
  <sheetData>
    <row r="8" spans="5:37" x14ac:dyDescent="0.45">
      <c r="E8" t="s">
        <v>58</v>
      </c>
      <c r="F8" t="s">
        <v>127</v>
      </c>
      <c r="G8" t="s">
        <v>128</v>
      </c>
      <c r="H8" t="s">
        <v>129</v>
      </c>
      <c r="I8" t="s">
        <v>130</v>
      </c>
      <c r="J8" t="s">
        <v>131</v>
      </c>
      <c r="K8" t="s">
        <v>132</v>
      </c>
      <c r="L8" t="s">
        <v>133</v>
      </c>
      <c r="M8" t="s">
        <v>134</v>
      </c>
      <c r="N8" t="s">
        <v>135</v>
      </c>
      <c r="O8" t="s">
        <v>136</v>
      </c>
      <c r="P8" t="s">
        <v>137</v>
      </c>
      <c r="Q8" t="s">
        <v>138</v>
      </c>
      <c r="R8" t="s">
        <v>139</v>
      </c>
      <c r="S8" t="s">
        <v>140</v>
      </c>
      <c r="T8" t="s">
        <v>141</v>
      </c>
      <c r="U8" t="s">
        <v>142</v>
      </c>
      <c r="V8" t="s">
        <v>143</v>
      </c>
      <c r="W8" t="s">
        <v>144</v>
      </c>
      <c r="X8" t="s">
        <v>145</v>
      </c>
      <c r="Y8" t="s">
        <v>146</v>
      </c>
      <c r="Z8" t="s">
        <v>147</v>
      </c>
      <c r="AA8" t="s">
        <v>148</v>
      </c>
      <c r="AB8" t="s">
        <v>149</v>
      </c>
      <c r="AC8" t="s">
        <v>150</v>
      </c>
      <c r="AD8" t="s">
        <v>151</v>
      </c>
      <c r="AE8" t="s">
        <v>152</v>
      </c>
      <c r="AF8" t="s">
        <v>153</v>
      </c>
      <c r="AG8" t="s">
        <v>154</v>
      </c>
      <c r="AH8" t="s">
        <v>155</v>
      </c>
      <c r="AI8" t="s">
        <v>156</v>
      </c>
      <c r="AJ8" t="s">
        <v>157</v>
      </c>
      <c r="AK8" t="s">
        <v>158</v>
      </c>
    </row>
    <row r="9" spans="5:37" x14ac:dyDescent="0.45">
      <c r="E9">
        <v>1</v>
      </c>
      <c r="F9">
        <f>1</f>
        <v>1</v>
      </c>
      <c r="G9">
        <f>0</f>
        <v>0</v>
      </c>
      <c r="H9">
        <f>0</f>
        <v>0</v>
      </c>
      <c r="I9">
        <f>0</f>
        <v>0</v>
      </c>
      <c r="J9">
        <f>1</f>
        <v>1</v>
      </c>
      <c r="K9">
        <f>0</f>
        <v>0</v>
      </c>
      <c r="L9">
        <f>0</f>
        <v>0</v>
      </c>
      <c r="M9">
        <f>0</f>
        <v>0</v>
      </c>
      <c r="N9">
        <f>1</f>
        <v>1</v>
      </c>
      <c r="O9">
        <f>0</f>
        <v>0</v>
      </c>
      <c r="P9">
        <f>0</f>
        <v>0</v>
      </c>
      <c r="Q9">
        <f>0</f>
        <v>0</v>
      </c>
      <c r="R9">
        <f>1</f>
        <v>1</v>
      </c>
      <c r="S9">
        <f>0</f>
        <v>0</v>
      </c>
      <c r="T9">
        <f>0</f>
        <v>0</v>
      </c>
      <c r="U9">
        <f>0</f>
        <v>0</v>
      </c>
      <c r="V9">
        <f ca="1">input_parameters!O27+F9 * state_costs!E9 + G9 * state_costs!F9 + H9 * state_costs!G9 + I9 * state_costs!H9</f>
        <v>801.06941567303011</v>
      </c>
      <c r="W9">
        <f ca="1">F9 * state_qalys!E9 + G9 * state_qalys!F9 + H9 * state_qalys!G9 + I9 * state_qalys!H9</f>
        <v>0.76282265807941652</v>
      </c>
      <c r="X9">
        <f ca="1">input_parameters!O27+(F9 * state_costs!E9 + G9 * state_costs!F9 + H9 * state_costs!G9 + I9 * state_costs!H9) * (1 / (1 + model_settings!F10)^(1 * model_settings!F9))</f>
        <v>799.54532915268612</v>
      </c>
      <c r="Y9">
        <f ca="1">(F9 * state_qalys!E9 + G9 * state_qalys!F9 + H9 * state_qalys!G9 + I9 * state_qalys!H9) * (1 / (1 + model_settings!F11)^(1 * model_settings!F9))</f>
        <v>0.73702672278204495</v>
      </c>
      <c r="Z9">
        <f ca="1">input_parameters!O28+J9 * state_costs!I9 + K9 * state_costs!J9 + L9 * state_costs!K9 + M9 * state_costs!L9</f>
        <v>2411.5427934026243</v>
      </c>
      <c r="AA9">
        <f ca="1">J9 * state_qalys!I9 + K9 * state_qalys!J9 + L9 * state_qalys!K9 + M9 * state_qalys!L9</f>
        <v>0.76282265807941652</v>
      </c>
      <c r="AB9">
        <f ca="1">input_parameters!O28+(J9 * state_costs!I9 + K9 * state_costs!J9 + L9 * state_costs!K9 + M9 * state_costs!L9) * (1 / (1 + model_settings!F10)^(1 * model_settings!F9))</f>
        <v>2410.6790274421492</v>
      </c>
      <c r="AC9">
        <f ca="1">(J9 * state_qalys!I9 + K9 * state_qalys!J9 + L9 * state_qalys!K9 + M9 * state_qalys!L9) * (1 / (1 + model_settings!F11)^(1 * model_settings!F9))</f>
        <v>0.73702672278204495</v>
      </c>
      <c r="AD9">
        <f ca="1">input_parameters!O29+N9 * state_costs!M9 + O9 * state_costs!N9 + P9 * state_costs!O9 + Q9 * state_costs!P9</f>
        <v>1631.7669831449946</v>
      </c>
      <c r="AE9">
        <f ca="1">N9 * state_qalys!M9 + O9 * state_qalys!N9 + P9 * state_qalys!O9 + Q9 * state_qalys!P9</f>
        <v>0.76282265807941652</v>
      </c>
      <c r="AF9">
        <f ca="1">input_parameters!O29+(N9 * state_costs!M9 + O9 * state_costs!N9 + P9 * state_costs!O9 + Q9 * state_costs!P9) * (1 / (1 + model_settings!F10)^(1 * model_settings!F9))</f>
        <v>1630.5912880627968</v>
      </c>
      <c r="AG9">
        <f ca="1">(N9 * state_qalys!M9 + O9 * state_qalys!N9 + P9 * state_qalys!O9 + Q9 * state_qalys!P9) * (1 / (1 + model_settings!F11)^(1 * model_settings!F9))</f>
        <v>0.73702672278204495</v>
      </c>
      <c r="AH9">
        <f ca="1">input_parameters!O30+R9 * state_costs!Q9 + S9 * state_costs!R9 + T9 * state_costs!S9 + U9 * state_costs!T9</f>
        <v>1481.7024596151768</v>
      </c>
      <c r="AI9">
        <f ca="1">R9 * state_qalys!Q9 + S9 * state_qalys!R9 + T9 * state_qalys!S9 + U9 * state_qalys!T9</f>
        <v>0.76282265807941652</v>
      </c>
      <c r="AJ9">
        <f ca="1">input_parameters!O30+(R9 * state_costs!Q9 + S9 * state_costs!R9 + T9 * state_costs!S9 + U9 * state_costs!T9) * (1 / (1 + model_settings!F10)^(1 * model_settings!F9))</f>
        <v>1480.495130062973</v>
      </c>
      <c r="AK9">
        <f ca="1">(R9 * state_qalys!Q9 + S9 * state_qalys!R9 + T9 * state_qalys!S9 + U9 * state_qalys!T9) * (1 / (1 + model_settings!F11)^(1 * model_settings!F9))</f>
        <v>0.73702672278204495</v>
      </c>
    </row>
    <row r="10" spans="5:37" x14ac:dyDescent="0.45">
      <c r="E10">
        <v>2</v>
      </c>
      <c r="F10">
        <f ca="1">F9 * (1 - (input_parameters!O9+input_parameters!O14))</f>
        <v>0.92167283441302628</v>
      </c>
      <c r="G10">
        <f ca="1">G9 * (1 - (input_parameters!O13+input_parameters!O15)) + F9 * input_parameters!O9</f>
        <v>4.9139395160825803E-3</v>
      </c>
      <c r="H10">
        <f ca="1">H9 * (1 - (input_parameters!O16)) + G9 * input_parameters!O13</f>
        <v>0</v>
      </c>
      <c r="I10">
        <f ca="1">I9 * (1 - (0)) + F9 * input_parameters!O14+G9 * input_parameters!O15+H9 * input_parameters!O16</f>
        <v>7.341322607089118E-2</v>
      </c>
      <c r="J10">
        <f ca="1">J9 * (1 - (input_parameters!O10+input_parameters!O14))</f>
        <v>0.92364178429767463</v>
      </c>
      <c r="K10">
        <f ca="1">K9 * (1 - (input_parameters!O13+input_parameters!O15)) + J9 * input_parameters!O10</f>
        <v>2.9449896314341466E-3</v>
      </c>
      <c r="L10">
        <f ca="1">L9 * (1 - (input_parameters!O16)) + K9 * input_parameters!O13</f>
        <v>0</v>
      </c>
      <c r="M10">
        <f ca="1">M9 * (1 - (0)) + J9 * input_parameters!O14+K9 * input_parameters!O15+L9 * input_parameters!O16</f>
        <v>7.341322607089118E-2</v>
      </c>
      <c r="N10">
        <f ca="1">N9 * (1 - (input_parameters!O11+input_parameters!O14))</f>
        <v>0.9227111960187242</v>
      </c>
      <c r="O10">
        <f ca="1">O9 * (1 - (input_parameters!O13+input_parameters!O15)) + N9 * input_parameters!O11</f>
        <v>3.8755779103846382E-3</v>
      </c>
      <c r="P10">
        <f ca="1">P9 * (1 - (input_parameters!O16)) + O9 * input_parameters!O13</f>
        <v>0</v>
      </c>
      <c r="Q10">
        <f ca="1">Q9 * (1 - (0)) + N9 * input_parameters!O14+O9 * input_parameters!O15+P9 * input_parameters!O16</f>
        <v>7.341322607089118E-2</v>
      </c>
      <c r="R10">
        <f ca="1">R9 * (1 - (input_parameters!O12+input_parameters!O14))</f>
        <v>0.92260081543205053</v>
      </c>
      <c r="S10">
        <f ca="1">S9 * (1 - (input_parameters!O13+input_parameters!O15)) + R9 * input_parameters!O12</f>
        <v>3.9859584970583202E-3</v>
      </c>
      <c r="T10">
        <f ca="1">T9 * (1 - (input_parameters!O16)) + S9 * input_parameters!O13</f>
        <v>0</v>
      </c>
      <c r="U10">
        <f ca="1">U9 * (1 - (0)) + R9 * input_parameters!O14+S9 * input_parameters!O15+T9 * input_parameters!O16</f>
        <v>7.341322607089118E-2</v>
      </c>
      <c r="V10">
        <f ca="1">F10 * state_costs!E9 + G10 * state_costs!F9 + H10 * state_costs!G9 + I10 * state_costs!H9</f>
        <v>43.292539868664271</v>
      </c>
      <c r="W10">
        <f ca="1">F10 * state_qalys!E9 + G10 * state_qalys!F9 + H10 * state_qalys!G9 + I10 * state_qalys!H9</f>
        <v>0.70589936608440484</v>
      </c>
      <c r="X10">
        <f ca="1">(F10 * state_costs!E9 + G10 * state_costs!F9 + H10 * state_costs!G9 + I10 * state_costs!H9) * (1 / (1 + model_settings!F10)^(2 * model_settings!F9))</f>
        <v>40.41404921343721</v>
      </c>
      <c r="Y10">
        <f ca="1">(F10 * state_qalys!E9 + G10 * state_qalys!F9 + H10 * state_qalys!G9 + I10 * state_qalys!H9) * (1 / (1 + model_settings!F11)^(2 * model_settings!F9))</f>
        <v>0.65896461162165265</v>
      </c>
      <c r="Z10">
        <f ca="1">J10 * state_costs!I9 + K10 * state_costs!J9 + L10 * state_costs!K9 + M10 * state_costs!L9</f>
        <v>24.643157677973885</v>
      </c>
      <c r="AA10">
        <f ca="1">J10 * state_qalys!I9 + K10 * state_qalys!J9 + L10 * state_qalys!K9 + M10 * state_qalys!L9</f>
        <v>0.7062688070727331</v>
      </c>
      <c r="AB10">
        <f ca="1">(J10 * state_costs!I9 + K10 * state_costs!J9 + L10 * state_costs!K9 + M10 * state_costs!L9) * (1 / (1 + model_settings!F10)^(2 * model_settings!F9))</f>
        <v>23.004651383205104</v>
      </c>
      <c r="AC10">
        <f ca="1">(J10 * state_qalys!I9 + K10 * state_qalys!J9 + L10 * state_qalys!K9 + M10 * state_qalys!L9) * (1 / (1 + model_settings!F11)^(2 * model_settings!F9))</f>
        <v>0.65930948873741102</v>
      </c>
      <c r="AD10">
        <f ca="1">N10 * state_costs!M9 + O10 * state_costs!N9 + P10 * state_costs!O9 + Q10 * state_costs!P9</f>
        <v>33.462683037883849</v>
      </c>
      <c r="AE10">
        <f ca="1">N10 * state_qalys!M9 + O10 * state_qalys!N9 + P10 * state_qalys!O9 + Q10 * state_qalys!P9</f>
        <v>0.70609419752264613</v>
      </c>
      <c r="AF10">
        <f ca="1">(N10 * state_costs!M9 + O10 * state_costs!N9 + P10 * state_costs!O9 + Q10 * state_costs!P9) * (1 / (1 + model_settings!F10)^(2 * model_settings!F9))</f>
        <v>31.237772678833906</v>
      </c>
      <c r="AG10">
        <f ca="1">(N10 * state_qalys!M9 + O10 * state_qalys!N9 + P10 * state_qalys!O9 + Q10 * state_qalys!P9) * (1 / (1 + model_settings!F11)^(2 * model_settings!F9))</f>
        <v>0.65914648885401872</v>
      </c>
      <c r="AH10">
        <f ca="1">R10 * state_costs!Q9 + S10 * state_costs!R9 + T10 * state_costs!S9 + U10 * state_costs!T9</f>
        <v>34.361300364400904</v>
      </c>
      <c r="AI10">
        <f ca="1">R10 * state_qalys!Q9 + S10 * state_qalys!R9 + T10 * state_qalys!S9 + U10 * state_qalys!T9</f>
        <v>0.70607348642514633</v>
      </c>
      <c r="AJ10">
        <f ca="1">(R10 * state_costs!Q9 + S10 * state_costs!R9 + T10 * state_costs!S9 + U10 * state_costs!T9) * (1 / (1 + model_settings!F10)^(2 * model_settings!F9))</f>
        <v>32.07664156867223</v>
      </c>
      <c r="AK10">
        <f ca="1">(R10 * state_qalys!Q9 + S10 * state_qalys!R9 + T10 * state_qalys!S9 + U10 * state_qalys!T9) * (1 / (1 + model_settings!F11)^(2 * model_settings!F9))</f>
        <v>0.65912715482288631</v>
      </c>
    </row>
    <row r="11" spans="5:37" x14ac:dyDescent="0.45">
      <c r="E11">
        <v>3</v>
      </c>
      <c r="F11">
        <f ca="1">F10 * (1 - (input_parameters!O9+input_parameters!O14))</f>
        <v>0.84948081369494177</v>
      </c>
      <c r="G11">
        <f ca="1">G10 * (1 - (input_parameters!O13+input_parameters!O15)) + F10 * input_parameters!O9</f>
        <v>8.8773360427062548E-3</v>
      </c>
      <c r="H11">
        <f ca="1">H10 * (1 - (input_parameters!O16)) + G10 * input_parameters!O13</f>
        <v>2.0254360003370251E-4</v>
      </c>
      <c r="I11">
        <f ca="1">I10 * (1 - (0)) + F10 * input_parameters!O14+G10 * input_parameters!O15+H10 * input_parameters!O16</f>
        <v>0.14143930666231838</v>
      </c>
      <c r="J11">
        <f ca="1">J10 * (1 - (input_parameters!O10+input_parameters!O14))</f>
        <v>0.85311414570059207</v>
      </c>
      <c r="K11">
        <f ca="1">K10 * (1 - (input_parameters!O13+input_parameters!O15)) + J10 * input_parameters!O10</f>
        <v>5.3261046813752495E-3</v>
      </c>
      <c r="L11">
        <f ca="1">L10 * (1 - (input_parameters!O16)) + K10 * input_parameters!O13</f>
        <v>1.2138708668683877E-4</v>
      </c>
      <c r="M11">
        <f ca="1">M10 * (1 - (0)) + J10 * input_parameters!O14+K10 * input_parameters!O15+L10 * input_parameters!O16</f>
        <v>0.14143836253134573</v>
      </c>
      <c r="N11">
        <f ca="1">N10 * (1 - (input_parameters!O11+input_parameters!O14))</f>
        <v>0.85139595125830447</v>
      </c>
      <c r="O11">
        <f ca="1">O10 * (1 - (input_parameters!O13+input_parameters!O15)) + N10 * input_parameters!O11</f>
        <v>7.0054957504061665E-3</v>
      </c>
      <c r="P11">
        <f ca="1">P10 * (1 - (input_parameters!O16)) + O10 * input_parameters!O13</f>
        <v>1.5974423364620164E-4</v>
      </c>
      <c r="Q11">
        <f ca="1">Q10 * (1 - (0)) + N10 * input_parameters!O14+O10 * input_parameters!O15+P10 * input_parameters!O16</f>
        <v>0.1414388087576432</v>
      </c>
      <c r="R11">
        <f ca="1">R10 * (1 - (input_parameters!O12+input_parameters!O14))</f>
        <v>0.8511922646358846</v>
      </c>
      <c r="S11">
        <f ca="1">S10 * (1 - (input_parameters!O13+input_parameters!O15)) + R10 * input_parameters!O12</f>
        <v>7.204579758327407E-3</v>
      </c>
      <c r="T11">
        <f ca="1">T10 * (1 - (input_parameters!O16)) + S10 * input_parameters!O13</f>
        <v>1.6429391956023233E-4</v>
      </c>
      <c r="U11">
        <f ca="1">U10 * (1 - (0)) + R10 * input_parameters!O14+S10 * input_parameters!O15+T10 * input_parameters!O16</f>
        <v>0.14143886168622785</v>
      </c>
      <c r="V11">
        <f ca="1">F11 * state_costs!E9 + G11 * state_costs!F9 + H11 * state_costs!G9 + I11 * state_costs!H9</f>
        <v>41.559816833035477</v>
      </c>
      <c r="W11">
        <f ca="1">F11 * state_qalys!E9 + G11 * state_qalys!F9 + H11 * state_qalys!G9 + I11 * state_qalys!H9</f>
        <v>0.65322437126791288</v>
      </c>
      <c r="X11">
        <f ca="1">(F11 * state_costs!E9 + G11 * state_costs!F9 + H11 * state_costs!G9 + I11 * state_costs!H9) * (1 / (1 + model_settings!F10)^(3 * model_settings!F9))</f>
        <v>37.484573641455441</v>
      </c>
      <c r="Y11">
        <f ca="1">(F11 * state_qalys!E9 + G11 * state_qalys!F9 + H11 * state_qalys!G9 + I11 * state_qalys!H9) * (1 / (1 + model_settings!F11)^(3 * model_settings!F9))</f>
        <v>0.58917095682967413</v>
      </c>
      <c r="Z11">
        <f ca="1">J11 * state_costs!I9 + K11 * state_costs!J9 + L11 * state_costs!K9 + M11 * state_costs!L9</f>
        <v>23.755266853384722</v>
      </c>
      <c r="AA11">
        <f ca="1">J11 * state_qalys!I9 + K11 * state_qalys!J9 + L11 * state_qalys!K9 + M11 * state_qalys!L9</f>
        <v>0.65390724588504279</v>
      </c>
      <c r="AB11">
        <f ca="1">(J11 * state_costs!I9 + K11 * state_costs!J9 + L11 * state_costs!K9 + M11 * state_costs!L9) * (1 / (1 + model_settings!F10)^(3 * model_settings!F9))</f>
        <v>21.425889659607705</v>
      </c>
      <c r="AC11">
        <f ca="1">(J11 * state_qalys!I9 + K11 * state_qalys!J9 + L11 * state_qalys!K9 + M11 * state_qalys!L9) * (1 / (1 + model_settings!F11)^(3 * model_settings!F9))</f>
        <v>0.58978687060948032</v>
      </c>
      <c r="AD11">
        <f ca="1">N11 * state_costs!M9 + O11 * state_costs!N9 + P11 * state_costs!O9 + Q11 * state_costs!P9</f>
        <v>32.184245499030482</v>
      </c>
      <c r="AE11">
        <f ca="1">N11 * state_qalys!M9 + O11 * state_qalys!N9 + P11 * state_qalys!O9 + Q11 * state_qalys!P9</f>
        <v>0.65358431633476466</v>
      </c>
      <c r="AF11">
        <f ca="1">(N11 * state_costs!M9 + O11 * state_costs!N9 + P11 * state_costs!O9 + Q11 * state_costs!P9) * (1 / (1 + model_settings!F10)^(3 * model_settings!F9))</f>
        <v>29.028345465279422</v>
      </c>
      <c r="AG11">
        <f ca="1">(N11 * state_qalys!M9 + O11 * state_qalys!N9 + P11 * state_qalys!O9 + Q11 * state_qalys!P9) * (1 / (1 + model_settings!F11)^(3 * model_settings!F9))</f>
        <v>0.58949560665716227</v>
      </c>
      <c r="AH11">
        <f ca="1">R11 * state_costs!Q9 + S11 * state_costs!R9 + T11 * state_costs!S9 + U11 * state_costs!T9</f>
        <v>33.04686599906799</v>
      </c>
      <c r="AI11">
        <f ca="1">R11 * state_qalys!Q9 + S11 * state_qalys!R9 + T11 * state_qalys!S9 + U11 * state_qalys!T9</f>
        <v>0.6535460340020709</v>
      </c>
      <c r="AJ11">
        <f ca="1">(R11 * state_costs!Q9 + S11 * state_costs!R9 + T11 * state_costs!S9 + U11 * state_costs!T9) * (1 / (1 + model_settings!F10)^(3 * model_settings!F9))</f>
        <v>29.806379733047955</v>
      </c>
      <c r="AK11">
        <f ca="1">(R11 * state_qalys!Q9 + S11 * state_qalys!R9 + T11 * state_qalys!S9 + U11 * state_qalys!T9) * (1 / (1 + model_settings!F11)^(3 * model_settings!F9))</f>
        <v>0.58946107818643312</v>
      </c>
    </row>
    <row r="12" spans="5:37" x14ac:dyDescent="0.45">
      <c r="E12">
        <v>4</v>
      </c>
      <c r="F12">
        <f ca="1">F11 * (1 - (input_parameters!O9+input_parameters!O14))</f>
        <v>0.78294338933770091</v>
      </c>
      <c r="G12">
        <f ca="1">G11 * (1 - (input_parameters!O13+input_parameters!O15)) + F11 * input_parameters!O9</f>
        <v>1.2029755176465713E-2</v>
      </c>
      <c r="H12">
        <f ca="1">H11 * (1 - (input_parameters!O16)) + G11 * input_parameters!O13</f>
        <v>5.5566727227157012E-4</v>
      </c>
      <c r="I12">
        <f ca="1">I11 * (1 - (0)) + F11 * input_parameters!O14+G11 * input_parameters!O15+H11 * input_parameters!O16</f>
        <v>0.20447118821356197</v>
      </c>
      <c r="J12">
        <f ca="1">J11 * (1 - (input_parameters!O10+input_parameters!O14))</f>
        <v>0.78797187174448124</v>
      </c>
      <c r="K12">
        <f ca="1">K11 * (1 - (input_parameters!O13+input_parameters!O15)) + J11 * input_parameters!O10</f>
        <v>7.225424253529047E-3</v>
      </c>
      <c r="L12">
        <f ca="1">L11 * (1 - (input_parameters!O16)) + K11 * input_parameters!O13</f>
        <v>3.3325782838094354E-4</v>
      </c>
      <c r="M12">
        <f ca="1">M11 * (1 - (0)) + J11 * input_parameters!O14+K11 * input_parameters!O15+L11 * input_parameters!O16</f>
        <v>0.20446944617360865</v>
      </c>
      <c r="N12">
        <f ca="1">N11 * (1 - (input_parameters!O11+input_parameters!O14))</f>
        <v>0.78559257647104952</v>
      </c>
      <c r="O12">
        <f ca="1">O11 * (1 - (input_parameters!O13+input_parameters!O15)) + N11 * input_parameters!O11</f>
        <v>9.4987381213404772E-3</v>
      </c>
      <c r="P12">
        <f ca="1">P11 * (1 - (input_parameters!O16)) + O11 * input_parameters!O13</f>
        <v>4.3841542722182199E-4</v>
      </c>
      <c r="Q12">
        <f ca="1">Q11 * (1 - (0)) + N11 * input_parameters!O14+O11 * input_parameters!O15+P11 * input_parameters!O16</f>
        <v>0.20447026998038823</v>
      </c>
      <c r="R12">
        <f ca="1">R11 * (1 - (input_parameters!O12+input_parameters!O14))</f>
        <v>0.78531067744252092</v>
      </c>
      <c r="S12">
        <f ca="1">S11 * (1 - (input_parameters!O13+input_parameters!O15)) + R11 * input_parameters!O12</f>
        <v>9.7680710866821299E-3</v>
      </c>
      <c r="T12">
        <f ca="1">T11 * (1 - (input_parameters!O16)) + S11 * input_parameters!O13</f>
        <v>4.5088383067572391E-4</v>
      </c>
      <c r="U12">
        <f ca="1">U11 * (1 - (0)) + R11 * input_parameters!O14+S11 * input_parameters!O15+T11 * input_parameters!O16</f>
        <v>0.20447036764012139</v>
      </c>
      <c r="V12">
        <f ca="1">F12 * state_costs!E9 + G12 * state_costs!F9 + H12 * state_costs!G9 + I12 * state_costs!H9</f>
        <v>39.871985916921048</v>
      </c>
      <c r="W12">
        <f ca="1">F12 * state_qalys!E9 + G12 * state_qalys!F9 + H12 * state_qalys!G9 + I12 * state_qalys!H9</f>
        <v>0.60448187016259403</v>
      </c>
      <c r="X12">
        <f ca="1">(F12 * state_costs!E9 + G12 * state_costs!F9 + H12 * state_costs!G9 + I12 * state_costs!H9) * (1 / (1 + model_settings!F10)^(4 * model_settings!F9))</f>
        <v>34.746132230207785</v>
      </c>
      <c r="Y12">
        <f ca="1">(F12 * state_qalys!E9 + G12 * state_qalys!F9 + H12 * state_qalys!G9 + I12 * state_qalys!H9) * (1 / (1 + model_settings!F11)^(4 * model_settings!F9))</f>
        <v>0.52677102753789018</v>
      </c>
      <c r="Z12">
        <f ca="1">J12 * state_costs!I9 + K12 * state_costs!J9 + L12 * state_costs!K9 + M12 * state_costs!L9</f>
        <v>22.880739854155774</v>
      </c>
      <c r="AA12">
        <f ca="1">J12 * state_qalys!I9 + K12 * state_qalys!J9 + L12 * state_qalys!K9 + M12 * state_qalys!L9</f>
        <v>0.60542801927066592</v>
      </c>
      <c r="AB12">
        <f ca="1">(J12 * state_costs!I9 + K12 * state_costs!J9 + L12 * state_costs!K9 + M12 * state_costs!L9) * (1 / (1 + model_settings!F10)^(4 * model_settings!F9))</f>
        <v>19.939242909897015</v>
      </c>
      <c r="AC12">
        <f ca="1">(J12 * state_qalys!I9 + K12 * state_qalys!J9 + L12 * state_qalys!K9 + M12 * state_qalys!L9) * (1 / (1 + model_settings!F11)^(4 * model_settings!F9))</f>
        <v>0.5275955418243633</v>
      </c>
      <c r="AD12">
        <f ca="1">N12 * state_costs!M9 + O12 * state_costs!N9 + P12 * state_costs!O9 + Q12 * state_costs!P9</f>
        <v>30.932982337470442</v>
      </c>
      <c r="AE12">
        <f ca="1">N12 * state_qalys!M9 + O12 * state_qalys!N9 + P12 * state_qalys!O9 + Q12 * state_qalys!P9</f>
        <v>0.60498033671409446</v>
      </c>
      <c r="AF12">
        <f ca="1">(N12 * state_costs!M9 + O12 * state_costs!N9 + P12 * state_costs!O9 + Q12 * state_costs!P9) * (1 / (1 + model_settings!F10)^(4 * model_settings!F9))</f>
        <v>26.956307037525836</v>
      </c>
      <c r="AG12">
        <f ca="1">(N12 * state_qalys!M9 + O12 * state_qalys!N9 + P12 * state_qalys!O9 + Q12 * state_qalys!P9) * (1 / (1 + model_settings!F11)^(4 * model_settings!F9))</f>
        <v>0.52720541233996288</v>
      </c>
      <c r="AH12">
        <f ca="1">R12 * state_costs!Q9 + S12 * state_costs!R9 + T12 * state_costs!S9 + U12 * state_costs!T9</f>
        <v>31.760493022990001</v>
      </c>
      <c r="AI12">
        <f ca="1">R12 * state_qalys!Q9 + S12 * state_qalys!R9 + T12 * state_qalys!S9 + U12 * state_qalys!T9</f>
        <v>0.60492729516112143</v>
      </c>
      <c r="AJ12">
        <f ca="1">(R12 * state_costs!Q9 + S12 * state_costs!R9 + T12 * state_costs!S9 + U12 * state_costs!T9) * (1 / (1 + model_settings!F10)^(4 * model_settings!F9))</f>
        <v>27.677434792759371</v>
      </c>
      <c r="AK12">
        <f ca="1">(R12 * state_qalys!Q9 + S12 * state_qalys!R9 + T12 * state_qalys!S9 + U12 * state_qalys!T9) * (1 / (1 + model_settings!F11)^(4 * model_settings!F9))</f>
        <v>0.52715918969087949</v>
      </c>
    </row>
    <row r="13" spans="5:37" x14ac:dyDescent="0.45">
      <c r="E13">
        <v>5</v>
      </c>
      <c r="F13">
        <f ca="1">F12 * (1 - (input_parameters!O9+input_parameters!O14))</f>
        <v>0.72161765283582036</v>
      </c>
      <c r="G13">
        <f ca="1">G12 * (1 - (input_parameters!O13+input_parameters!O15)) + F12 * input_parameters!O9</f>
        <v>1.4492335605223847E-2</v>
      </c>
      <c r="H13">
        <f ca="1">H12 * (1 - (input_parameters!O16)) + G12 * input_parameters!O13</f>
        <v>1.0164398940720708E-3</v>
      </c>
      <c r="I13">
        <f ca="1">I12 * (1 - (0)) + F12 * input_parameters!O14+G12 * input_parameters!O15+H12 * input_parameters!O16</f>
        <v>0.2628735716648839</v>
      </c>
      <c r="J13">
        <f ca="1">J12 * (1 - (input_parameters!O10+input_parameters!O14))</f>
        <v>0.72780374559445105</v>
      </c>
      <c r="K13">
        <f ca="1">K12 * (1 - (input_parameters!O13+input_parameters!O15)) + J12 * input_parameters!O10</f>
        <v>8.7142681054258944E-3</v>
      </c>
      <c r="L13">
        <f ca="1">L12 * (1 - (input_parameters!O16)) + K12 * input_parameters!O13</f>
        <v>6.1004246665901816E-4</v>
      </c>
      <c r="M13">
        <f ca="1">M12 * (1 - (0)) + J12 * input_parameters!O14+K12 * input_parameters!O15+L12 * input_parameters!O16</f>
        <v>0.26287194383346391</v>
      </c>
      <c r="N13">
        <f ca="1">N12 * (1 - (input_parameters!O11+input_parameters!O14))</f>
        <v>0.72487506581903316</v>
      </c>
      <c r="O13">
        <f ca="1">O12 * (1 - (input_parameters!O13+input_parameters!O15)) + N12 * input_parameters!O11</f>
        <v>1.1449954995497134E-2</v>
      </c>
      <c r="P13">
        <f ca="1">P12 * (1 - (input_parameters!O16)) + O12 * input_parameters!O13</f>
        <v>8.0226470469125382E-4</v>
      </c>
      <c r="Q13">
        <f ca="1">Q12 * (1 - (0)) + N12 * input_parameters!O14+O12 * input_parameters!O15+P12 * input_parameters!O16</f>
        <v>0.26287271448077854</v>
      </c>
      <c r="R13">
        <f ca="1">R12 * (1 - (input_parameters!O12+input_parameters!O14))</f>
        <v>0.72452827137596576</v>
      </c>
      <c r="S13">
        <f ca="1">S12 * (1 - (input_parameters!O13+input_parameters!O15)) + R12 * input_parameters!O12</f>
        <v>1.1773875330526483E-2</v>
      </c>
      <c r="T13">
        <f ca="1">T12 * (1 - (input_parameters!O16)) + S12 * input_parameters!O13</f>
        <v>8.2504755589453199E-4</v>
      </c>
      <c r="U13">
        <f ca="1">U12 * (1 - (0)) + R12 * input_parameters!O14+S12 * input_parameters!O15+T12 * input_parameters!O16</f>
        <v>0.26287280573761335</v>
      </c>
      <c r="V13">
        <f ca="1">F13 * state_costs!E9 + G13 * state_costs!F9 + H13 * state_costs!G9 + I13 * state_costs!H9</f>
        <v>38.229670807395316</v>
      </c>
      <c r="W13">
        <f ca="1">F13 * state_qalys!E9 + G13 * state_qalys!F9 + H13 * state_qalys!G9 + I13 * state_qalys!H9</f>
        <v>0.55937930192032048</v>
      </c>
      <c r="X13">
        <f ca="1">(F13 * state_costs!E9 + G13 * state_costs!F9 + H13 * state_costs!G9 + I13 * state_costs!H9) * (1 / (1 + model_settings!F10)^(5 * model_settings!F9))</f>
        <v>32.188356997661508</v>
      </c>
      <c r="Y13">
        <f ca="1">(F13 * state_qalys!E9 + G13 * state_qalys!F9 + H13 * state_qalys!G9 + I13 * state_qalys!H9) * (1 / (1 + model_settings!F11)^(5 * model_settings!F9))</f>
        <v>0.47098236231296275</v>
      </c>
      <c r="Z13">
        <f ca="1">J13 * state_costs!I9 + K13 * state_costs!J9 + L13 * state_costs!K9 + M13 * state_costs!L9</f>
        <v>22.021037375522202</v>
      </c>
      <c r="AA13">
        <f ca="1">J13 * state_qalys!I9 + K13 * state_qalys!J9 + L13 * state_qalys!K9 + M13 * state_qalys!L9</f>
        <v>0.56054394461607304</v>
      </c>
      <c r="AB13">
        <f ca="1">(J13 * state_costs!I9 + K13 * state_costs!J9 + L13 * state_costs!K9 + M13 * state_costs!L9) * (1 / (1 + model_settings!F10)^(5 * model_settings!F9))</f>
        <v>18.541122576578353</v>
      </c>
      <c r="AC13">
        <f ca="1">(J13 * state_qalys!I9 + K13 * state_qalys!J9 + L13 * state_qalys!K9 + M13 * state_qalys!L9) * (1 / (1 + model_settings!F11)^(5 * model_settings!F9))</f>
        <v>0.4719629602117642</v>
      </c>
      <c r="AD13">
        <f ca="1">N13 * state_costs!M9 + O13 * state_costs!N9 + P13 * state_costs!O9 + Q13 * state_costs!P9</f>
        <v>29.710058425271981</v>
      </c>
      <c r="AE13">
        <f ca="1">N13 * state_qalys!M9 + O13 * state_qalys!N9 + P13 * state_qalys!O9 + Q13 * state_qalys!P9</f>
        <v>0.55999256954440357</v>
      </c>
      <c r="AF13">
        <f ca="1">(N13 * state_costs!M9 + O13 * state_costs!N9 + P13 * state_costs!O9 + Q13 * state_costs!P9) * (1 / (1 + model_settings!F10)^(5 * model_settings!F9))</f>
        <v>25.01507197987803</v>
      </c>
      <c r="AG13">
        <f ca="1">(N13 * state_qalys!M9 + O13 * state_qalys!N9 + P13 * state_qalys!O9 + Q13 * state_qalys!P9) * (1 / (1 + model_settings!F11)^(5 * model_settings!F9))</f>
        <v>0.47149871719654385</v>
      </c>
      <c r="AH13">
        <f ca="1">R13 * state_costs!Q9 + S13 * state_costs!R9 + T13 * state_costs!S9 + U13 * state_costs!T9</f>
        <v>30.503367649578486</v>
      </c>
      <c r="AI13">
        <f ca="1">R13 * state_qalys!Q9 + S13 * state_qalys!R9 + T13 * state_qalys!S9 + U13 * state_qalys!T9</f>
        <v>0.55992727928213282</v>
      </c>
      <c r="AJ13">
        <f ca="1">(R13 * state_costs!Q9 + S13 * state_costs!R9 + T13 * state_costs!S9 + U13 * state_costs!T9) * (1 / (1 + model_settings!F10)^(5 * model_settings!F9))</f>
        <v>25.683017059765454</v>
      </c>
      <c r="AK13">
        <f ca="1">(R13 * state_qalys!Q9 + S13 * state_qalys!R9 + T13 * state_qalys!S9 + U13 * state_qalys!T9) * (1 / (1 + model_settings!F11)^(5 * model_settings!F9))</f>
        <v>0.4714437445476547</v>
      </c>
    </row>
    <row r="14" spans="5:37" x14ac:dyDescent="0.45">
      <c r="E14">
        <v>6</v>
      </c>
      <c r="F14">
        <f ca="1">F13 * (1 - (input_parameters!O9+input_parameters!O14))</f>
        <v>0.66509538745166574</v>
      </c>
      <c r="G14">
        <f ca="1">G13 * (1 - (input_parameters!O13+input_parameters!O15)) + F13 * input_parameters!O9</f>
        <v>1.6370095206987512E-2</v>
      </c>
      <c r="H14">
        <f ca="1">H13 * (1 - (input_parameters!O16)) + G13 * input_parameters!O13</f>
        <v>1.5496331288702993E-3</v>
      </c>
      <c r="I14">
        <f ca="1">I13 * (1 - (0)) + F13 * input_parameters!O14+G13 * input_parameters!O15+H13 * input_parameters!O16</f>
        <v>0.31698488421247667</v>
      </c>
      <c r="J14">
        <f ca="1">J13 * (1 - (input_parameters!O10+input_parameters!O14))</f>
        <v>0.67222995019938958</v>
      </c>
      <c r="K14">
        <f ca="1">K13 * (1 - (input_parameters!O13+input_parameters!O15)) + J13 * input_parameters!O10</f>
        <v>9.8545352832952165E-3</v>
      </c>
      <c r="L14">
        <f ca="1">L13 * (1 - (input_parameters!O16)) + K13 * input_parameters!O13</f>
        <v>9.3072479191236193E-4</v>
      </c>
      <c r="M14">
        <f ca="1">M13 * (1 - (0)) + J13 * input_parameters!O14+K13 * input_parameters!O15+L13 * input_parameters!O16</f>
        <v>0.31698478972540267</v>
      </c>
      <c r="N14">
        <f ca="1">N13 * (1 - (input_parameters!O11+input_parameters!O14))</f>
        <v>0.66885033894603152</v>
      </c>
      <c r="O14">
        <f ca="1">O13 * (1 - (input_parameters!O13+input_parameters!O15)) + N13 * input_parameters!O11</f>
        <v>1.2941250082197771E-2</v>
      </c>
      <c r="P14">
        <f ca="1">P13 * (1 - (input_parameters!O16)) + O13 * input_parameters!O13</f>
        <v>1.2235746065544918E-3</v>
      </c>
      <c r="Q14">
        <f ca="1">Q13 * (1 - (0)) + N13 * input_parameters!O14+O13 * input_parameters!O15+P13 * input_parameters!O16</f>
        <v>0.31698483636521629</v>
      </c>
      <c r="R14">
        <f ca="1">R13 * (1 - (input_parameters!O12+input_parameters!O14))</f>
        <v>0.66845037397504004</v>
      </c>
      <c r="S14">
        <f ca="1">S13 * (1 - (input_parameters!O13+input_parameters!O15)) + R13 * input_parameters!O12</f>
        <v>1.3306513480395864E-2</v>
      </c>
      <c r="T14">
        <f ca="1">T13 * (1 - (input_parameters!O16)) + S13 * input_parameters!O13</f>
        <v>1.2582708831213787E-3</v>
      </c>
      <c r="U14">
        <f ca="1">U13 * (1 - (0)) + R13 * input_parameters!O14+S13 * input_parameters!O15+T13 * input_parameters!O16</f>
        <v>0.31698484166144286</v>
      </c>
      <c r="V14">
        <f ca="1">F14 * state_costs!E9 + G14 * state_costs!F9 + H14 * state_costs!G9 + I14 * state_costs!H9</f>
        <v>36.633368382376553</v>
      </c>
      <c r="W14">
        <f ca="1">F14 * state_qalys!E9 + G14 * state_qalys!F9 + H14 * state_qalys!G9 + I14 * state_qalys!H9</f>
        <v>0.51764567076858392</v>
      </c>
      <c r="X14">
        <f ca="1">(F14 * state_costs!E9 + G14 * state_costs!F9 + H14 * state_costs!G9 + I14 * state_costs!H9) * (1 / (1 + model_settings!F10)^(6 * model_settings!F9))</f>
        <v>29.801268782226586</v>
      </c>
      <c r="Y14">
        <f ca="1">(F14 * state_qalys!E9 + G14 * state_qalys!F9 + H14 * state_qalys!G9 + I14 * state_qalys!H9) * (1 / (1 + model_settings!F11)^(6 * model_settings!F9))</f>
        <v>0.42110508669336189</v>
      </c>
      <c r="Z14">
        <f ca="1">J14 * state_costs!I9 + K14 * state_costs!J9 + L14 * state_costs!K9 + M14 * state_costs!L9</f>
        <v>21.177461855656443</v>
      </c>
      <c r="AA14">
        <f ca="1">J14 * state_qalys!I9 + K14 * state_qalys!J9 + L14 * state_qalys!K9 + M14 * state_qalys!L9</f>
        <v>0.51898895875508022</v>
      </c>
      <c r="AB14">
        <f ca="1">(J14 * state_costs!I9 + K14 * state_costs!J9 + L14 * state_costs!K9 + M14 * state_costs!L9) * (1 / (1 + model_settings!F10)^(6 * model_settings!F9))</f>
        <v>17.227878864379374</v>
      </c>
      <c r="AC14">
        <f ca="1">(J14 * state_qalys!I9 + K14 * state_qalys!J9 + L14 * state_qalys!K9 + M14 * state_qalys!L9) * (1 / (1 + model_settings!F11)^(6 * model_settings!F9))</f>
        <v>0.42219785233586749</v>
      </c>
      <c r="AD14">
        <f ca="1">N14 * state_costs!M9 + O14 * state_costs!N9 + P14 * state_costs!O9 + Q14 * state_costs!P9</f>
        <v>28.516487118574801</v>
      </c>
      <c r="AE14">
        <f ca="1">N14 * state_qalys!M9 + O14 * state_qalys!N9 + P14 * state_qalys!O9 + Q14 * state_qalys!P9</f>
        <v>0.51835265039773737</v>
      </c>
      <c r="AF14">
        <f ca="1">(N14 * state_costs!M9 + O14 * state_costs!N9 + P14 * state_costs!O9 + Q14 * state_costs!P9) * (1 / (1 + model_settings!F10)^(6 * model_settings!F9))</f>
        <v>23.198180644354334</v>
      </c>
      <c r="AG14">
        <f ca="1">(N14 * state_qalys!M9 + O14 * state_qalys!N9 + P14 * state_qalys!O9 + Q14 * state_qalys!P9) * (1 / (1 + model_settings!F11)^(6 * model_settings!F9))</f>
        <v>0.42168021507719067</v>
      </c>
      <c r="AH14">
        <f ca="1">R14 * state_costs!Q9 + S14 * state_costs!R9 + T14 * state_costs!S9 + U14 * state_costs!T9</f>
        <v>29.276521044794595</v>
      </c>
      <c r="AI14">
        <f ca="1">R14 * state_qalys!Q9 + S14 * state_qalys!R9 + T14 * state_qalys!S9 + U14 * state_qalys!T9</f>
        <v>0.51827734541204074</v>
      </c>
      <c r="AJ14">
        <f ca="1">(R14 * state_costs!Q9 + S14 * state_costs!R9 + T14 * state_costs!S9 + U14 * state_costs!T9) * (1 / (1 + model_settings!F10)^(6 * model_settings!F9))</f>
        <v>23.81646873302989</v>
      </c>
      <c r="AK14">
        <f ca="1">(R14 * state_qalys!Q9 + S14 * state_qalys!R9 + T14 * state_qalys!S9 + U14 * state_qalys!T9) * (1 / (1 + model_settings!F11)^(6 * model_settings!F9))</f>
        <v>0.42161895442280689</v>
      </c>
    </row>
    <row r="15" spans="5:37" x14ac:dyDescent="0.45">
      <c r="E15">
        <v>7</v>
      </c>
      <c r="F15">
        <f ca="1">F14 * (1 - (input_parameters!O9+input_parameters!O14))</f>
        <v>0.61300035090760663</v>
      </c>
      <c r="G15">
        <f ca="1">G14 * (1 - (input_parameters!O13+input_parameters!O15)) + F14 * input_parameters!O9</f>
        <v>1.7753957204202701E-2</v>
      </c>
      <c r="H15">
        <f ca="1">H14 * (1 - (input_parameters!O16)) + G14 * input_parameters!O13</f>
        <v>2.1265707814189889E-3</v>
      </c>
      <c r="I15">
        <f ca="1">I14 * (1 - (0)) + F14 * input_parameters!O14+G14 * input_parameters!O15+H14 * input_parameters!O16</f>
        <v>0.36711912110677192</v>
      </c>
      <c r="J15">
        <f ca="1">J14 * (1 - (input_parameters!O10+input_parameters!O14))</f>
        <v>0.62089967066050111</v>
      </c>
      <c r="K15">
        <f ca="1">K14 * (1 - (input_parameters!O13+input_parameters!O15)) + J14 * input_parameters!O10</f>
        <v>1.0699881020726871E-2</v>
      </c>
      <c r="L15">
        <f ca="1">L14 * (1 - (input_parameters!O16)) + K14 * input_parameters!O13</f>
        <v>1.2781664338690547E-3</v>
      </c>
      <c r="M15">
        <f ca="1">M14 * (1 - (0)) + J14 * input_parameters!O14+K14 * input_parameters!O15+L14 * input_parameters!O16</f>
        <v>0.36712228188490276</v>
      </c>
      <c r="N15">
        <f ca="1">N14 * (1 - (input_parameters!O11+input_parameters!O14))</f>
        <v>0.61715569620642186</v>
      </c>
      <c r="O15">
        <f ca="1">O14 * (1 - (input_parameters!O13+input_parameters!O15)) + N14 * input_parameters!O11</f>
        <v>1.4043752644759343E-2</v>
      </c>
      <c r="P15">
        <f ca="1">P14 * (1 - (input_parameters!O16)) + O14 * input_parameters!O13</f>
        <v>1.6797612727072701E-3</v>
      </c>
      <c r="Q15">
        <f ca="1">Q14 * (1 - (0)) + N14 * input_parameters!O14+O14 * input_parameters!O15+P14 * input_parameters!O16</f>
        <v>0.36712078987611169</v>
      </c>
      <c r="R15">
        <f ca="1">R14 * (1 - (input_parameters!O12+input_parameters!O14))</f>
        <v>0.61671286010523108</v>
      </c>
      <c r="S15">
        <f ca="1">S14 * (1 - (input_parameters!O13+input_parameters!O15)) + R14 * input_parameters!O12</f>
        <v>1.4439204090883078E-2</v>
      </c>
      <c r="T15">
        <f ca="1">T14 * (1 - (input_parameters!O16)) + S14 * input_parameters!O13</f>
        <v>1.7273231239642523E-3</v>
      </c>
      <c r="U15">
        <f ca="1">U14 * (1 - (0)) + R14 * input_parameters!O14+S14 * input_parameters!O15+T14 * input_parameters!O16</f>
        <v>0.36712061267992174</v>
      </c>
      <c r="V15">
        <f ca="1">F15 * state_costs!E9 + G15 * state_costs!F9 + H15 * state_costs!G9 + I15 * state_costs!H9</f>
        <v>35.083442458861718</v>
      </c>
      <c r="W15">
        <f ca="1">F15 * state_qalys!E9 + G15 * state_qalys!F9 + H15 * state_qalys!G9 + I15 * state_qalys!H9</f>
        <v>0.4790299852302452</v>
      </c>
      <c r="X15">
        <f ca="1">(F15 * state_costs!E9 + G15 * state_costs!F9 + H15 * state_costs!G9 + I15 * state_costs!H9) * (1 / (1 + model_settings!F10)^(7 * model_settings!F9))</f>
        <v>27.575268642336212</v>
      </c>
      <c r="Y15">
        <f ca="1">(F15 * state_qalys!E9 + G15 * state_qalys!F9 + H15 * state_qalys!G9 + I15 * state_qalys!H9) * (1 / (1 + model_settings!F11)^(7 * model_settings!F9))</f>
        <v>0.37651323828747613</v>
      </c>
      <c r="Z15">
        <f ca="1">J15 * state_costs!I9 + K15 * state_costs!J9 + L15 * state_costs!K9 + M15 * state_costs!L9</f>
        <v>20.351159860387629</v>
      </c>
      <c r="AA15">
        <f ca="1">J15 * state_qalys!I9 + K15 * state_qalys!J9 + L15 * state_qalys!K9 + M15 * state_qalys!L9</f>
        <v>0.4805165822480022</v>
      </c>
      <c r="AB15">
        <f ca="1">(J15 * state_costs!I9 + K15 * state_costs!J9 + L15 * state_costs!K9 + M15 * state_costs!L9) * (1 / (1 + model_settings!F10)^(7 * model_settings!F9))</f>
        <v>15.99582768969605</v>
      </c>
      <c r="AC15">
        <f ca="1">(J15 * state_qalys!I9 + K15 * state_qalys!J9 + L15 * state_qalys!K9 + M15 * state_qalys!L9) * (1 / (1 + model_settings!F11)^(7 * model_settings!F9))</f>
        <v>0.37768169010561264</v>
      </c>
      <c r="AD15">
        <f ca="1">N15 * state_costs!M9 + O15 * state_costs!N9 + P15 * state_costs!O9 + Q15 * state_costs!P9</f>
        <v>27.353129203616767</v>
      </c>
      <c r="AE15">
        <f ca="1">N15 * state_qalys!M9 + O15 * state_qalys!N9 + P15 * state_qalys!O9 + Q15 * state_qalys!P9</f>
        <v>0.47981199260399288</v>
      </c>
      <c r="AF15">
        <f ca="1">(N15 * state_costs!M9 + O15 * state_costs!N9 + P15 * state_costs!O9 + Q15 * state_costs!P9) * (1 / (1 + model_settings!F10)^(7 * model_settings!F9))</f>
        <v>21.499312300459373</v>
      </c>
      <c r="AG15">
        <f ca="1">(N15 * state_qalys!M9 + O15 * state_qalys!N9 + P15 * state_qalys!O9 + Q15 * state_qalys!P9) * (1 / (1 + model_settings!F11)^(7 * model_settings!F9))</f>
        <v>0.3771278890144299</v>
      </c>
      <c r="AH15">
        <f ca="1">R15 * state_costs!Q9 + S15 * state_costs!R9 + T15 * state_costs!S9 + U15 * state_costs!T9</f>
        <v>28.080828199691705</v>
      </c>
      <c r="AI15">
        <f ca="1">R15 * state_qalys!Q9 + S15 * state_qalys!R9 + T15 * state_qalys!S9 + U15 * state_qalys!T9</f>
        <v>0.47972865393040059</v>
      </c>
      <c r="AJ15">
        <f ca="1">(R15 * state_costs!Q9 + S15 * state_costs!R9 + T15 * state_costs!S9 + U15 * state_costs!T9) * (1 / (1 + model_settings!F10)^(7 * model_settings!F9))</f>
        <v>22.071277133472961</v>
      </c>
      <c r="AK15">
        <f ca="1">(R15 * state_qalys!Q9 + S15 * state_qalys!R9 + T15 * state_qalys!S9 + U15 * state_qalys!T9) * (1 / (1 + model_settings!F11)^(7 * model_settings!F9))</f>
        <v>0.37706238557031097</v>
      </c>
    </row>
    <row r="16" spans="5:37" x14ac:dyDescent="0.45">
      <c r="E16">
        <v>8</v>
      </c>
      <c r="F16">
        <f ca="1">F15 * (1 - (input_parameters!O9+input_parameters!O14))</f>
        <v>0.56498577091719349</v>
      </c>
      <c r="G16">
        <f ca="1">G15 * (1 - (input_parameters!O13+input_parameters!O15)) + F15 * input_parameters!O9</f>
        <v>1.8722529732904433E-2</v>
      </c>
      <c r="H16">
        <f ca="1">H15 * (1 - (input_parameters!O16)) + G15 * input_parameters!O13</f>
        <v>2.7241342923072774E-3</v>
      </c>
      <c r="I16">
        <f ca="1">I15 * (1 - (0)) + F15 * input_parameters!O14+G15 * input_parameters!O15+H15 * input_parameters!O16</f>
        <v>0.41356756505759501</v>
      </c>
      <c r="J16">
        <f ca="1">J15 * (1 - (input_parameters!O10+input_parameters!O14))</f>
        <v>0.57348887967870377</v>
      </c>
      <c r="K16">
        <f ca="1">K15 * (1 - (input_parameters!O13+input_parameters!O15)) + J15 * input_parameters!O10</f>
        <v>1.1296751102460185E-2</v>
      </c>
      <c r="L16">
        <f ca="1">L15 * (1 - (input_parameters!O16)) + K15 * input_parameters!O13</f>
        <v>1.6385223102808571E-3</v>
      </c>
      <c r="M16">
        <f ca="1">M15 * (1 - (0)) + J15 * input_parameters!O14+K15 * input_parameters!O15+L15 * input_parameters!O16</f>
        <v>0.41357584690855492</v>
      </c>
      <c r="N16">
        <f ca="1">N15 * (1 - (input_parameters!O11+input_parameters!O14))</f>
        <v>0.56945647057639592</v>
      </c>
      <c r="O16">
        <f ca="1">O15 * (1 - (input_parameters!O13+input_parameters!O15)) + N15 * input_parameters!O11</f>
        <v>1.4818998521739934E-2</v>
      </c>
      <c r="P16">
        <f ca="1">P15 * (1 - (input_parameters!O16)) + O15 * input_parameters!O13</f>
        <v>2.1525980799801847E-3</v>
      </c>
      <c r="Q16">
        <f ca="1">Q15 * (1 - (0)) + N15 * input_parameters!O14+O15 * input_parameters!O15+P15 * input_parameters!O16</f>
        <v>0.41357193282188409</v>
      </c>
      <c r="R16">
        <f ca="1">R15 * (1 - (input_parameters!O12+input_parameters!O14))</f>
        <v>0.56897978762051826</v>
      </c>
      <c r="S16">
        <f ca="1">S15 * (1 - (input_parameters!O13+input_parameters!O15)) + R15 * input_parameters!O12</f>
        <v>1.52352860746688E-2</v>
      </c>
      <c r="T16">
        <f ca="1">T15 * (1 - (input_parameters!O16)) + S15 * input_parameters!O13</f>
        <v>2.2134577694001767E-3</v>
      </c>
      <c r="U16">
        <f ca="1">U15 * (1 - (0)) + R15 * input_parameters!O14+S15 * input_parameters!O15+T15 * input_parameters!O16</f>
        <v>0.41357146853541293</v>
      </c>
      <c r="V16">
        <f ca="1">F16 * state_costs!E9 + G16 * state_costs!F9 + H16 * state_costs!G9 + I16 * state_costs!H9</f>
        <v>33.580121481739369</v>
      </c>
      <c r="W16">
        <f ca="1">F16 * state_qalys!E9 + G16 * state_qalys!F9 + H16 * state_qalys!G9 + I16 * state_qalys!H9</f>
        <v>0.44329980653021389</v>
      </c>
      <c r="X16">
        <f ca="1">(F16 * state_costs!E9 + G16 * state_costs!F9 + H16 * state_costs!G9 + I16 * state_costs!H9) * (1 / (1 + model_settings!F10)^(8 * model_settings!F9))</f>
        <v>25.501132312378438</v>
      </c>
      <c r="Y16">
        <f ca="1">(F16 * state_qalys!E9 + G16 * state_qalys!F9 + H16 * state_qalys!G9 + I16 * state_qalys!H9) * (1 / (1 + model_settings!F11)^(8 * model_settings!F9))</f>
        <v>0.33664699594747255</v>
      </c>
      <c r="Z16">
        <f ca="1">J16 * state_costs!I9 + K16 * state_costs!J9 + L16 * state_costs!K9 + M16 * state_costs!L9</f>
        <v>19.543126353995717</v>
      </c>
      <c r="AA16">
        <f ca="1">J16 * state_qalys!I9 + K16 * state_qalys!J9 + L16 * state_qalys!K9 + M16 * state_qalys!L9</f>
        <v>0.44489849309594154</v>
      </c>
      <c r="AB16">
        <f ca="1">(J16 * state_costs!I9 + K16 * state_costs!J9 + L16 * state_costs!K9 + M16 * state_costs!L9) * (1 / (1 + model_settings!F10)^(8 * model_settings!F9))</f>
        <v>14.841275997818707</v>
      </c>
      <c r="AC16">
        <f ca="1">(J16 * state_qalys!I9 + K16 * state_qalys!J9 + L16 * state_qalys!K9 + M16 * state_qalys!L9) * (1 / (1 + model_settings!F11)^(8 * model_settings!F9))</f>
        <v>0.33786105700025376</v>
      </c>
      <c r="AD16">
        <f ca="1">N16 * state_costs!M9 + O16 * state_costs!N9 + P16 * state_costs!O9 + Q16 * state_costs!P9</f>
        <v>26.220694645909582</v>
      </c>
      <c r="AE16">
        <f ca="1">N16 * state_qalys!M9 + O16 * state_qalys!N9 + P16 * state_qalys!O9 + Q16 * state_qalys!P9</f>
        <v>0.44414034957699644</v>
      </c>
      <c r="AF16">
        <f ca="1">(N16 * state_costs!M9 + O16 * state_costs!N9 + P16 * state_costs!O9 + Q16 * state_costs!P9) * (1 / (1 + model_settings!F10)^(8 * model_settings!F9))</f>
        <v>19.912298526121305</v>
      </c>
      <c r="AG16">
        <f ca="1">(N16 * state_qalys!M9 + O16 * state_qalys!N9 + P16 * state_qalys!O9 + Q16 * state_qalys!P9) * (1 / (1 + model_settings!F11)^(8 * model_settings!F9))</f>
        <v>0.33728531405069639</v>
      </c>
      <c r="AH16">
        <f ca="1">R16 * state_costs!Q9 + S16 * state_costs!R9 + T16 * state_costs!S9 + U16 * state_costs!T9</f>
        <v>26.917009689427633</v>
      </c>
      <c r="AI16">
        <f ca="1">R16 * state_qalys!Q9 + S16 * state_qalys!R9 + T16 * state_qalys!S9 + U16 * state_qalys!T9</f>
        <v>0.44405072745736651</v>
      </c>
      <c r="AJ16">
        <f ca="1">(R16 * state_costs!Q9 + S16 * state_costs!R9 + T16 * state_costs!S9 + U16 * state_costs!T9) * (1 / (1 + model_settings!F10)^(8 * model_settings!F9))</f>
        <v>20.441088216936134</v>
      </c>
      <c r="AK16">
        <f ca="1">(R16 * state_qalys!Q9 + S16 * state_qalys!R9 + T16 * state_qalys!S9 + U16 * state_qalys!T9) * (1 / (1 + model_settings!F11)^(8 * model_settings!F9))</f>
        <v>0.33721725397735686</v>
      </c>
    </row>
    <row r="17" spans="5:37" x14ac:dyDescent="0.45">
      <c r="E17">
        <v>9</v>
      </c>
      <c r="F17">
        <f ca="1">F16 * (1 - (input_parameters!O9+input_parameters!O14))</f>
        <v>0.52073203688427849</v>
      </c>
      <c r="G17">
        <f ca="1">G16 * (1 - (input_parameters!O13+input_parameters!O15)) + F16 * input_parameters!O9</f>
        <v>1.9343668257239145E-2</v>
      </c>
      <c r="H17">
        <f ca="1">H16 * (1 - (input_parameters!O16)) + G16 * input_parameters!O13</f>
        <v>3.3239043529721211E-3</v>
      </c>
      <c r="I17">
        <f ca="1">I16 * (1 - (0)) + F16 * input_parameters!O14+G16 * input_parameters!O15+H16 * input_parameters!O16</f>
        <v>0.45660039050551043</v>
      </c>
      <c r="J17">
        <f ca="1">J16 * (1 - (input_parameters!O10+input_parameters!O14))</f>
        <v>0.52969829210131236</v>
      </c>
      <c r="K17">
        <f ca="1">K16 * (1 - (input_parameters!O13+input_parameters!O15)) + J16 * input_parameters!O10</f>
        <v>1.1685290639784492E-2</v>
      </c>
      <c r="L17">
        <f ca="1">L16 * (1 - (input_parameters!O16)) + K16 * input_parameters!O13</f>
        <v>2.0007356051452777E-3</v>
      </c>
      <c r="M17">
        <f ca="1">M16 * (1 - (0)) + J16 * input_parameters!O14+K16 * input_parameters!O15+L16 * input_parameters!O16</f>
        <v>0.45661568165375754</v>
      </c>
      <c r="N17">
        <f ca="1">N16 * (1 - (input_parameters!O11+input_parameters!O14))</f>
        <v>0.52544386104614771</v>
      </c>
      <c r="O17">
        <f ca="1">O16 * (1 - (input_parameters!O13+input_parameters!O15)) + N16 * input_parameters!O11</f>
        <v>1.5320143077375141E-2</v>
      </c>
      <c r="P17">
        <f ca="1">P16 * (1 - (input_parameters!O16)) + O16 * input_parameters!O13</f>
        <v>2.6275452042865684E-3</v>
      </c>
      <c r="Q17">
        <f ca="1">Q16 * (1 - (0)) + N16 * input_parameters!O14+O16 * input_parameters!O15+P16 * input_parameters!O16</f>
        <v>0.45660845067219075</v>
      </c>
      <c r="R17">
        <f ca="1">R16 * (1 - (input_parameters!O12+input_parameters!O14))</f>
        <v>0.52494121602304511</v>
      </c>
      <c r="S17">
        <f ca="1">S16 * (1 - (input_parameters!O13+input_parameters!O15)) + R16 * input_parameters!O12</f>
        <v>1.5749468293286696E-2</v>
      </c>
      <c r="T17">
        <f ca="1">T16 * (1 - (input_parameters!O16)) + S16 * input_parameters!O13</f>
        <v>2.7017222423875902E-3</v>
      </c>
      <c r="U17">
        <f ca="1">U16 * (1 - (0)) + R16 * input_parameters!O14+S16 * input_parameters!O15+T16 * input_parameters!O16</f>
        <v>0.45660759344128082</v>
      </c>
      <c r="V17">
        <f ca="1">F17 * state_costs!E9 + G17 * state_costs!F9 + H17 * state_costs!G9 + I17 * state_costs!H9</f>
        <v>32.123499347068027</v>
      </c>
      <c r="W17">
        <f ca="1">F17 * state_qalys!E9 + G17 * state_qalys!F9 + H17 * state_qalys!G9 + I17 * state_qalys!H9</f>
        <v>0.41023989903269109</v>
      </c>
      <c r="X17">
        <f ca="1">(F17 * state_costs!E9 + G17 * state_costs!F9 + H17 * state_costs!G9 + I17 * state_costs!H9) * (1 / (1 + model_settings!F10)^(9 * model_settings!F9))</f>
        <v>23.57000640605666</v>
      </c>
      <c r="Y17">
        <f ca="1">(F17 * state_qalys!E9 + G17 * state_qalys!F9 + H17 * state_qalys!G9 + I17 * state_qalys!H9) * (1 / (1 + model_settings!F11)^(9 * model_settings!F9))</f>
        <v>0.30100571994822556</v>
      </c>
      <c r="Z17">
        <f ca="1">J17 * state_costs!I9 + K17 * state_costs!J9 + L17 * state_costs!K9 + M17 * state_costs!L9</f>
        <v>18.754210413929478</v>
      </c>
      <c r="AA17">
        <f ca="1">J17 * state_qalys!I9 + K17 * state_qalys!J9 + L17 * state_qalys!K9 + M17 * state_qalys!L9</f>
        <v>0.41192320237054586</v>
      </c>
      <c r="AB17">
        <f ca="1">(J17 * state_costs!I9 + K17 * state_costs!J9 + L17 * state_costs!K9 + M17 * state_costs!L9) * (1 / (1 + model_settings!F10)^(9 * model_settings!F9))</f>
        <v>13.760545039661062</v>
      </c>
      <c r="AC17">
        <f ca="1">(J17 * state_qalys!I9 + K17 * state_qalys!J9 + L17 * state_qalys!K9 + M17 * state_qalys!L9) * (1 / (1 + model_settings!F11)^(9 * model_settings!F9))</f>
        <v>0.30224081174279976</v>
      </c>
      <c r="AD17">
        <f ca="1">N17 * state_costs!M9 + O17 * state_costs!N9 + P17 * state_costs!O9 + Q17 * state_costs!P9</f>
        <v>25.119746533570503</v>
      </c>
      <c r="AE17">
        <f ca="1">N17 * state_qalys!M9 + O17 * state_qalys!N9 + P17 * state_qalys!O9 + Q17 * state_qalys!P9</f>
        <v>0.41112447905374383</v>
      </c>
      <c r="AF17">
        <f ca="1">(N17 * state_costs!M9 + O17 * state_costs!N9 + P17 * state_costs!O9 + Q17 * state_costs!P9) * (1 / (1 + model_settings!F10)^(9 * model_settings!F9))</f>
        <v>18.431136045233373</v>
      </c>
      <c r="AG17">
        <f ca="1">(N17 * state_qalys!M9 + O17 * state_qalys!N9 + P17 * state_qalys!O9 + Q17 * state_qalys!P9) * (1 / (1 + model_settings!F11)^(9 * model_settings!F9))</f>
        <v>0.30165476370705213</v>
      </c>
      <c r="AH17">
        <f ca="1">R17 * state_costs!Q9 + S17 * state_costs!R9 + T17 * state_costs!S9 + U17 * state_costs!T9</f>
        <v>25.785635691820723</v>
      </c>
      <c r="AI17">
        <f ca="1">R17 * state_qalys!Q9 + S17 * state_qalys!R9 + T17 * state_qalys!S9 + U17 * state_qalys!T9</f>
        <v>0.41103011368117537</v>
      </c>
      <c r="AJ17">
        <f ca="1">(R17 * state_costs!Q9 + S17 * state_costs!R9 + T17 * state_costs!S9 + U17 * state_costs!T9) * (1 / (1 + model_settings!F10)^(9 * model_settings!F9))</f>
        <v>18.919719544686831</v>
      </c>
      <c r="AK17">
        <f ca="1">(R17 * state_qalys!Q9 + S17 * state_qalys!R9 + T17 * state_qalys!S9 + U17 * state_qalys!T9) * (1 / (1 + model_settings!F11)^(9 * model_settings!F9))</f>
        <v>0.30158552491049645</v>
      </c>
    </row>
    <row r="18" spans="5:37" x14ac:dyDescent="0.45">
      <c r="E18">
        <v>10</v>
      </c>
      <c r="F18">
        <f ca="1">F17 * (1 - (input_parameters!O9+input_parameters!O14))</f>
        <v>0.47994457240480148</v>
      </c>
      <c r="G18">
        <f ca="1">G17 * (1 - (input_parameters!O13+input_parameters!O15)) + F17 * input_parameters!O9</f>
        <v>1.9675846790183207E-2</v>
      </c>
      <c r="H18">
        <f ca="1">H17 * (1 - (input_parameters!O16)) + G17 * input_parameters!O13</f>
        <v>3.9114210990090804E-3</v>
      </c>
      <c r="I18">
        <f ca="1">I17 * (1 - (0)) + F17 * input_parameters!O14+G17 * input_parameters!O15+H17 * input_parameters!O16</f>
        <v>0.49646815970600644</v>
      </c>
      <c r="J18">
        <f ca="1">J17 * (1 - (input_parameters!O10+input_parameters!O14))</f>
        <v>0.489251475655887</v>
      </c>
      <c r="K18">
        <f ca="1">K17 * (1 - (input_parameters!O13+input_parameters!O15)) + J17 * input_parameters!O10</f>
        <v>1.190014221214011E-2</v>
      </c>
      <c r="L18">
        <f ca="1">L17 * (1 - (input_parameters!O16)) + K17 * input_parameters!O13</f>
        <v>2.3561020802970829E-3</v>
      </c>
      <c r="M18">
        <f ca="1">M17 * (1 - (0)) + J17 * input_parameters!O14+K17 * input_parameters!O15+L17 * input_parameters!O16</f>
        <v>0.49649228005167545</v>
      </c>
      <c r="N18">
        <f ca="1">N17 * (1 - (input_parameters!O11+input_parameters!O14))</f>
        <v>0.48483293346658729</v>
      </c>
      <c r="O18">
        <f ca="1">O17 * (1 - (input_parameters!O13+input_parameters!O15)) + N17 * input_parameters!O11</f>
        <v>1.5593026131332052E-2</v>
      </c>
      <c r="P18">
        <f ca="1">P17 * (1 - (input_parameters!O16)) + O17 * input_parameters!O13</f>
        <v>3.0931714941956788E-3</v>
      </c>
      <c r="Q18">
        <f ca="1">Q17 * (1 - (0)) + N17 * input_parameters!O14+O17 * input_parameters!O15+P17 * input_parameters!O16</f>
        <v>0.49648086890788518</v>
      </c>
      <c r="R18">
        <f ca="1">R17 * (1 - (input_parameters!O12+input_parameters!O14))</f>
        <v>0.48431119395675359</v>
      </c>
      <c r="S18">
        <f ca="1">S17 * (1 - (input_parameters!O13+input_parameters!O15)) + R17 * input_parameters!O12</f>
        <v>1.6028926611630006E-2</v>
      </c>
      <c r="T18">
        <f ca="1">T17 * (1 - (input_parameters!O16)) + S17 * input_parameters!O13</f>
        <v>3.1803627224639463E-3</v>
      </c>
      <c r="U18">
        <f ca="1">U17 * (1 - (0)) + R17 * input_parameters!O14+S17 * input_parameters!O15+T17 * input_parameters!O16</f>
        <v>0.49647951670915269</v>
      </c>
      <c r="V18">
        <f ca="1">F18 * state_costs!E9 + G18 * state_costs!F9 + H18 * state_costs!G9 + I18 * state_costs!H9</f>
        <v>30.713538680436208</v>
      </c>
      <c r="W18">
        <f ca="1">F18 * state_qalys!E9 + G18 * state_qalys!F9 + H18 * state_qalys!G9 + I18 * state_qalys!H9</f>
        <v>0.37965097595928182</v>
      </c>
      <c r="X18">
        <f ca="1">(F18 * state_costs!E9 + G18 * state_costs!F9 + H18 * state_costs!G9 + I18 * state_costs!H9) * (1 / (1 + model_settings!F10)^(10 * model_settings!F9))</f>
        <v>21.773405406164038</v>
      </c>
      <c r="Y18">
        <f ca="1">(F18 * state_qalys!E9 + G18 * state_qalys!F9 + H18 * state_qalys!G9 + I18 * state_qalys!H9) * (1 / (1 + model_settings!F11)^(10 * model_settings!F9))</f>
        <v>0.26914171950081128</v>
      </c>
      <c r="Z18">
        <f ca="1">J18 * state_costs!I9 + K18 * state_costs!J9 + L18 * state_costs!K9 + M18 * state_costs!L9</f>
        <v>17.985122019168806</v>
      </c>
      <c r="AA18">
        <f ca="1">J18 * state_qalys!I9 + K18 * state_qalys!J9 + L18 * state_qalys!K9 + M18 * state_qalys!L9</f>
        <v>0.38139482472153963</v>
      </c>
      <c r="AB18">
        <f ca="1">(J18 * state_costs!I9 + K18 * state_costs!J9 + L18 * state_costs!K9 + M18 * state_costs!L9) * (1 / (1 + model_settings!F10)^(10 * model_settings!F9))</f>
        <v>12.749991366254651</v>
      </c>
      <c r="AC18">
        <f ca="1">(J18 * state_qalys!I9 + K18 * state_qalys!J9 + L18 * state_qalys!K9 + M18 * state_qalys!L9) * (1 / (1 + model_settings!F11)^(10 * model_settings!F9))</f>
        <v>0.27037796669664038</v>
      </c>
      <c r="AD18">
        <f ca="1">N18 * state_costs!M9 + O18 * state_costs!N9 + P18 * state_costs!O9 + Q18 * state_costs!P9</f>
        <v>24.050706703037214</v>
      </c>
      <c r="AE18">
        <f ca="1">N18 * state_qalys!M9 + O18 * state_qalys!N9 + P18 * state_qalys!O9 + Q18 * state_qalys!P9</f>
        <v>0.38056690234966467</v>
      </c>
      <c r="AF18">
        <f ca="1">(N18 * state_costs!M9 + O18 * state_costs!N9 + P18 * state_costs!O9 + Q18 * state_costs!P9) * (1 / (1 + model_settings!F10)^(10 * model_settings!F9))</f>
        <v>17.049998464798808</v>
      </c>
      <c r="AG18">
        <f ca="1">(N18 * state_qalys!M9 + O18 * state_qalys!N9 + P18 * state_qalys!O9 + Q18 * state_qalys!P9) * (1 / (1 + model_settings!F11)^(10 * model_settings!F9))</f>
        <v>0.26979103695092699</v>
      </c>
      <c r="AH18">
        <f ca="1">R18 * state_costs!Q9 + S18 * state_costs!R9 + T18 * state_costs!S9 + U18 * state_costs!T9</f>
        <v>24.687131738627933</v>
      </c>
      <c r="AI18">
        <f ca="1">R18 * state_qalys!Q9 + S18 * state_qalys!R9 + T18 * state_qalys!S9 + U18 * state_qalys!T9</f>
        <v>0.38046914322415604</v>
      </c>
      <c r="AJ18">
        <f ca="1">(R18 * state_costs!Q9 + S18 * state_costs!R9 + T18 * state_costs!S9 + U18 * state_costs!T9) * (1 / (1 + model_settings!F10)^(10 * model_settings!F9))</f>
        <v>17.501172146044979</v>
      </c>
      <c r="AK18">
        <f ca="1">(R18 * state_qalys!Q9 + S18 * state_qalys!R9 + T18 * state_qalys!S9 + U18 * state_qalys!T9) * (1 / (1 + model_settings!F11)^(10 * model_settings!F9))</f>
        <v>0.26972173366764207</v>
      </c>
    </row>
    <row r="19" spans="5:37" x14ac:dyDescent="0.45">
      <c r="E19">
        <v>11</v>
      </c>
      <c r="F19">
        <f ca="1">F18 * (1 - (input_parameters!O9+input_parameters!O14))</f>
        <v>0.44235187440948132</v>
      </c>
      <c r="G19">
        <f ca="1">G18 * (1 - (input_parameters!O13+input_parameters!O15)) + F18 * input_parameters!O9</f>
        <v>1.9769360817403093E-2</v>
      </c>
      <c r="H19">
        <f ca="1">H18 * (1 - (input_parameters!O16)) + G18 * input_parameters!O13</f>
        <v>4.4755475168522735E-3</v>
      </c>
      <c r="I19">
        <f ca="1">I18 * (1 - (0)) + F18 * input_parameters!O14+G18 * input_parameters!O15+H18 * input_parameters!O16</f>
        <v>0.5334032172562635</v>
      </c>
      <c r="J19">
        <f ca="1">J18 * (1 - (input_parameters!O10+input_parameters!O14))</f>
        <v>0.45189310594507381</v>
      </c>
      <c r="K19">
        <f ca="1">K18 * (1 - (input_parameters!O13+input_parameters!O15)) + J18 * input_parameters!O10</f>
        <v>1.1971146570046389E-2</v>
      </c>
      <c r="L19">
        <f ca="1">L18 * (1 - (input_parameters!O16)) + K18 * input_parameters!O13</f>
        <v>2.6978947841526943E-3</v>
      </c>
      <c r="M19">
        <f ca="1">M18 * (1 - (0)) + J18 * input_parameters!O14+K18 * input_parameters!O15+L18 * input_parameters!O16</f>
        <v>0.53343785270072674</v>
      </c>
      <c r="N19">
        <f ca="1">N18 * (1 - (input_parameters!O11+input_parameters!O14))</f>
        <v>0.44736077590822132</v>
      </c>
      <c r="O19">
        <f ca="1">O18 * (1 - (input_parameters!O13+input_parameters!O15)) + N18 * input_parameters!O11</f>
        <v>1.5677106555558887E-2</v>
      </c>
      <c r="P19">
        <f ca="1">P18 * (1 - (input_parameters!O16)) + O18 * input_parameters!O13</f>
        <v>3.5406567283965944E-3</v>
      </c>
      <c r="Q19">
        <f ca="1">Q18 * (1 - (0)) + N18 * input_parameters!O14+O18 * input_parameters!O15+P18 * input_parameters!O16</f>
        <v>0.53342146080782338</v>
      </c>
      <c r="R19">
        <f ca="1">R18 * (1 - (input_parameters!O12+input_parameters!O14))</f>
        <v>0.44682590246737086</v>
      </c>
      <c r="S19">
        <f ca="1">S18 * (1 - (input_parameters!O13+input_parameters!O15)) + R18 * input_parameters!O12</f>
        <v>1.6114266647751851E-2</v>
      </c>
      <c r="T19">
        <f ca="1">T18 * (1 - (input_parameters!O16)) + S18 * input_parameters!O13</f>
        <v>3.640311754432691E-3</v>
      </c>
      <c r="U19">
        <f ca="1">U18 * (1 - (0)) + R18 * input_parameters!O14+S18 * input_parameters!O15+T18 * input_parameters!O16</f>
        <v>0.53341951913044494</v>
      </c>
      <c r="V19">
        <f ca="1">F19 * state_costs!E9 + G19 * state_costs!F9 + H19 * state_costs!G9 + I19 * state_costs!H9</f>
        <v>29.350076000104256</v>
      </c>
      <c r="W19">
        <f ca="1">F19 * state_qalys!E9 + G19 * state_qalys!F9 + H19 * state_qalys!G9 + I19 * state_qalys!H9</f>
        <v>0.35134853403036814</v>
      </c>
      <c r="X19">
        <f ca="1">(F19 * state_costs!E9 + G19 * state_costs!F9 + H19 * state_costs!G9 + I19 * state_costs!H9) * (1 / (1 + model_settings!F10)^(11 * model_settings!F9))</f>
        <v>20.103208753899096</v>
      </c>
      <c r="Y19">
        <f ca="1">(F19 * state_qalys!E9 + G19 * state_qalys!F9 + H19 * state_qalys!G9 + I19 * state_qalys!H9) * (1 / (1 + model_settings!F11)^(11 * model_settings!F9))</f>
        <v>0.24065467240915567</v>
      </c>
      <c r="Z19">
        <f ca="1">J19 * state_costs!I9 + K19 * state_costs!J9 + L19 * state_costs!K9 + M19 * state_costs!L9</f>
        <v>17.236439603709233</v>
      </c>
      <c r="AA19">
        <f ca="1">J19 * state_qalys!I9 + K19 * state_qalys!J9 + L19 * state_qalys!K9 + M19 * state_qalys!L9</f>
        <v>0.35313193717985569</v>
      </c>
      <c r="AB19">
        <f ca="1">(J19 * state_costs!I9 + K19 * state_costs!J9 + L19 * state_costs!K9 + M19 * state_costs!L9) * (1 / (1 + model_settings!F10)^(11 * model_settings!F9))</f>
        <v>11.806025426513706</v>
      </c>
      <c r="AC19">
        <f ca="1">(J19 * state_qalys!I9 + K19 * state_qalys!J9 + L19 * state_qalys!K9 + M19 * state_qalys!L9) * (1 / (1 + model_settings!F11)^(11 * model_settings!F9))</f>
        <v>0.24187620675224841</v>
      </c>
      <c r="AD19">
        <f ca="1">N19 * state_costs!M9 + O19 * state_costs!N9 + P19 * state_costs!O9 + Q19 * state_costs!P9</f>
        <v>23.013862619011331</v>
      </c>
      <c r="AE19">
        <f ca="1">N19 * state_qalys!M9 + O19 * state_qalys!N9 + P19 * state_qalys!O9 + Q19 * state_qalys!P9</f>
        <v>0.35228475215811172</v>
      </c>
      <c r="AF19">
        <f ca="1">(N19 * state_costs!M9 + O19 * state_costs!N9 + P19 * state_costs!O9 + Q19 * state_costs!P9) * (1 / (1 + model_settings!F10)^(11 * model_settings!F9))</f>
        <v>15.763246557245589</v>
      </c>
      <c r="AG19">
        <f ca="1">(N19 * state_qalys!M9 + O19 * state_qalys!N9 + P19 * state_qalys!O9 + Q19 * state_qalys!P9) * (1 / (1 + model_settings!F11)^(11 * model_settings!F9))</f>
        <v>0.24129593100286925</v>
      </c>
      <c r="AH19">
        <f ca="1">R19 * state_costs!Q9 + S19 * state_costs!R9 + T19 * state_costs!S9 + U19 * state_costs!T9</f>
        <v>23.621785758817559</v>
      </c>
      <c r="AI19">
        <f ca="1">R19 * state_qalys!Q9 + S19 * state_qalys!R9 + T19 * state_qalys!S9 + U19 * state_qalys!T9</f>
        <v>0.35218477608806803</v>
      </c>
      <c r="AJ19">
        <f ca="1">(R19 * state_costs!Q9 + S19 * state_costs!R9 + T19 * state_costs!S9 + U19 * state_costs!T9) * (1 / (1 + model_settings!F10)^(11 * model_settings!F9))</f>
        <v>16.17964090613269</v>
      </c>
      <c r="AK19">
        <f ca="1">(R19 * state_qalys!Q9 + S19 * state_qalys!R9 + T19 * state_qalys!S9 + U19 * state_qalys!T9) * (1 / (1 + model_settings!F11)^(11 * model_settings!F9))</f>
        <v>0.24122745282221733</v>
      </c>
    </row>
    <row r="20" spans="5:37" x14ac:dyDescent="0.45">
      <c r="E20">
        <v>12</v>
      </c>
      <c r="F20">
        <f ca="1">F19 * (1 - (input_parameters!O9+input_parameters!O14))</f>
        <v>0.40770370589490168</v>
      </c>
      <c r="G20">
        <f ca="1">G19 * (1 - (input_parameters!O13+input_parameters!O15)) + F19 * input_parameters!O9</f>
        <v>1.9667382115924569E-2</v>
      </c>
      <c r="H20">
        <f ca="1">H19 * (1 - (input_parameters!O16)) + G19 * input_parameters!O13</f>
        <v>5.0079226124472402E-3</v>
      </c>
      <c r="I20">
        <f ca="1">I19 * (1 - (0)) + F19 * input_parameters!O14+G19 * input_parameters!O15+H19 * input_parameters!O16</f>
        <v>0.56762098937672667</v>
      </c>
      <c r="J20">
        <f ca="1">J19 * (1 - (input_parameters!O10+input_parameters!O14))</f>
        <v>0.41738735468692612</v>
      </c>
      <c r="K20">
        <f ca="1">K19 * (1 - (input_parameters!O13+input_parameters!O15)) + J19 * input_parameters!O10</f>
        <v>1.1923957540457972E-2</v>
      </c>
      <c r="L20">
        <f ca="1">L19 * (1 - (input_parameters!O16)) + K19 * input_parameters!O13</f>
        <v>3.0210413292944293E-3</v>
      </c>
      <c r="M20">
        <f ca="1">M19 * (1 - (0)) + J19 * input_parameters!O14+K19 * input_parameters!O15+L19 * input_parameters!O16</f>
        <v>0.56766764644332113</v>
      </c>
      <c r="N20">
        <f ca="1">N19 * (1 - (input_parameters!O11+input_parameters!O14))</f>
        <v>0.41278479659013934</v>
      </c>
      <c r="O20">
        <f ca="1">O19 * (1 - (input_parameters!O13+input_parameters!O15)) + N19 * input_parameters!O11</f>
        <v>1.5606282139793096E-2</v>
      </c>
      <c r="P20">
        <f ca="1">P19 * (1 - (input_parameters!O16)) + O19 * input_parameters!O13</f>
        <v>3.9633638114027168E-3</v>
      </c>
      <c r="Q20">
        <f ca="1">Q19 * (1 - (0)) + N19 * input_parameters!O14+O19 * input_parameters!O15+P19 * input_parameters!O16</f>
        <v>0.56764555745866496</v>
      </c>
      <c r="R20">
        <f ca="1">R19 * (1 - (input_parameters!O12+input_parameters!O14))</f>
        <v>0.41224194197255826</v>
      </c>
      <c r="S20">
        <f ca="1">S19 * (1 - (input_parameters!O13+input_parameters!O15)) + R19 * input_parameters!O12</f>
        <v>1.604036829877404E-2</v>
      </c>
      <c r="T20">
        <f ca="1">T19 * (1 - (input_parameters!O16)) + S19 * input_parameters!O13</f>
        <v>4.0747478802864879E-3</v>
      </c>
      <c r="U20">
        <f ca="1">U19 * (1 - (0)) + R19 * input_parameters!O14+S19 * input_parameters!O15+T19 * input_parameters!O16</f>
        <v>0.5676429418483816</v>
      </c>
      <c r="V20">
        <f ca="1">F20 * state_costs!E9 + G20 * state_costs!F9 + H20 * state_costs!G9 + I20 * state_costs!H9</f>
        <v>28.032828288362399</v>
      </c>
      <c r="W20">
        <f ca="1">F20 * state_qalys!E9 + G20 * state_qalys!F9 + H20 * state_qalys!G9 + I20 * state_qalys!H9</f>
        <v>0.32516177104883659</v>
      </c>
      <c r="X20">
        <f ca="1">(F20 * state_costs!E9 + G20 * state_costs!F9 + H20 * state_costs!G9 + I20 * state_costs!H9) * (1 / (1 + model_settings!F10)^(12 * model_settings!F9))</f>
        <v>18.551657565045264</v>
      </c>
      <c r="Y20">
        <f ca="1">(F20 * state_qalys!E9 + G20 * state_qalys!F9 + H20 * state_qalys!G9 + I20 * state_qalys!H9) * (1 / (1 + model_settings!F11)^(12 * model_settings!F9))</f>
        <v>0.21518662932223367</v>
      </c>
      <c r="Z20">
        <f ca="1">J20 * state_costs!I9 + K20 * state_costs!J9 + L20 * state_costs!K9 + M20 * state_costs!L9</f>
        <v>16.508618119609508</v>
      </c>
      <c r="AA20">
        <f ca="1">J20 * state_qalys!I9 + K20 * state_qalys!J9 + L20 * state_qalys!K9 + M20 * state_qalys!L9</f>
        <v>0.32696652010411859</v>
      </c>
      <c r="AB20">
        <f ca="1">(J20 * state_costs!I9 + K20 * state_costs!J9 + L20 * state_costs!K9 + M20 * state_costs!L9) * (1 / (1 + model_settings!F10)^(12 * model_settings!F9))</f>
        <v>10.925127749390859</v>
      </c>
      <c r="AC20">
        <f ca="1">(J20 * state_qalys!I9 + K20 * state_qalys!J9 + L20 * state_qalys!K9 + M20 * state_qalys!L9) * (1 / (1 + model_settings!F11)^(12 * model_settings!F9))</f>
        <v>0.21638098210462239</v>
      </c>
      <c r="AD20">
        <f ca="1">N20 * state_costs!M9 + O20 * state_costs!N9 + P20 * state_costs!O9 + Q20 * state_costs!P9</f>
        <v>22.009375152263885</v>
      </c>
      <c r="AE20">
        <f ca="1">N20 * state_qalys!M9 + O20 * state_qalys!N9 + P20 * state_qalys!O9 + Q20 * state_qalys!P9</f>
        <v>0.32610870282682836</v>
      </c>
      <c r="AF20">
        <f ca="1">(N20 * state_costs!M9 + O20 * state_costs!N9 + P20 * state_costs!O9 + Q20 * state_costs!P9) * (1 / (1 + model_settings!F10)^(12 * model_settings!F9))</f>
        <v>14.565436881547994</v>
      </c>
      <c r="AG20">
        <f ca="1">(N20 * state_qalys!M9 + O20 * state_qalys!N9 + P20 * state_qalys!O9 + Q20 * state_qalys!P9) * (1 / (1 + model_settings!F11)^(12 * model_settings!F9))</f>
        <v>0.21581329295752785</v>
      </c>
      <c r="AH20">
        <f ca="1">R20 * state_costs!Q9 + S20 * state_costs!R9 + T20 * state_costs!S9 + U20 * state_costs!T9</f>
        <v>22.589756047019666</v>
      </c>
      <c r="AI20">
        <f ca="1">R20 * state_qalys!Q9 + S20 * state_qalys!R9 + T20 * state_qalys!S9 + U20 * state_qalys!T9</f>
        <v>0.32600753062113969</v>
      </c>
      <c r="AJ20">
        <f ca="1">(R20 * state_costs!Q9 + S20 * state_costs!R9 + T20 * state_costs!S9 + U20 * state_costs!T9) * (1 / (1 + model_settings!F10)^(12 * model_settings!F9))</f>
        <v>14.949523264343471</v>
      </c>
      <c r="AK20">
        <f ca="1">(R20 * state_qalys!Q9 + S20 * state_qalys!R9 + T20 * state_qalys!S9 + U20 * state_qalys!T9) * (1 / (1 + model_settings!F11)^(12 * model_settings!F9))</f>
        <v>0.21574633888155204</v>
      </c>
    </row>
    <row r="21" spans="5:37" x14ac:dyDescent="0.45">
      <c r="E21">
        <v>13</v>
      </c>
      <c r="F21">
        <f ca="1">F20 * (1 - (input_parameters!O9+input_parameters!O14))</f>
        <v>0.37576943021284887</v>
      </c>
      <c r="G21">
        <f ca="1">G20 * (1 - (input_parameters!O13+input_parameters!O15)) + F20 * input_parameters!O9</f>
        <v>1.9406883270857916E-2</v>
      </c>
      <c r="H21">
        <f ca="1">H20 * (1 - (input_parameters!O16)) + G20 * input_parameters!O13</f>
        <v>5.5024925718105836E-3</v>
      </c>
      <c r="I21">
        <f ca="1">I20 * (1 - (0)) + F20 * input_parameters!O14+G20 * input_parameters!O15+H20 * input_parameters!O16</f>
        <v>0.5993211939444828</v>
      </c>
      <c r="J21">
        <f ca="1">J20 * (1 - (input_parameters!O10+input_parameters!O14))</f>
        <v>0.38551640102631884</v>
      </c>
      <c r="K21">
        <f ca="1">K20 * (1 - (input_parameters!O13+input_parameters!O15)) + J20 * input_parameters!O10</f>
        <v>1.1780581403192167E-2</v>
      </c>
      <c r="L21">
        <f ca="1">L20 * (1 - (input_parameters!O16)) + K20 * input_parameters!O13</f>
        <v>3.3218468845037474E-3</v>
      </c>
      <c r="M21">
        <f ca="1">M20 * (1 - (0)) + J20 * input_parameters!O14+K20 * input_parameters!O15+L20 * input_parameters!O16</f>
        <v>0.59938117068598495</v>
      </c>
      <c r="N21">
        <f ca="1">N20 * (1 - (input_parameters!O11+input_parameters!O14))</f>
        <v>0.38088115336003325</v>
      </c>
      <c r="O21">
        <f ca="1">O20 * (1 - (input_parameters!O13+input_parameters!O15)) + N20 * input_parameters!O11</f>
        <v>1.5409608485098274E-2</v>
      </c>
      <c r="P21">
        <f ca="1">P20 * (1 - (input_parameters!O16)) + O20 * input_parameters!O13</f>
        <v>4.3564717642096658E-3</v>
      </c>
      <c r="Q21">
        <f ca="1">Q20 * (1 - (0)) + N20 * input_parameters!O14+O20 * input_parameters!O15+P20 * input_parameters!O16</f>
        <v>0.59935276639065893</v>
      </c>
      <c r="R21">
        <f ca="1">R20 * (1 - (input_parameters!O12+input_parameters!O14))</f>
        <v>0.38033475181917431</v>
      </c>
      <c r="S21">
        <f ca="1">S20 * (1 - (input_parameters!O13+input_parameters!O15)) + R20 * input_parameters!O12</f>
        <v>1.5837126224586547E-2</v>
      </c>
      <c r="T21">
        <f ca="1">T20 * (1 - (input_parameters!O16)) + S20 * input_parameters!O13</f>
        <v>4.4787178755249036E-3</v>
      </c>
      <c r="U21">
        <f ca="1">U20 * (1 - (0)) + R20 * input_parameters!O14+S20 * input_parameters!O15+T20 * input_parameters!O16</f>
        <v>0.59934940408071469</v>
      </c>
      <c r="V21">
        <f ca="1">F21 * state_costs!E9 + G21 * state_costs!F9 + H21 * state_costs!G9 + I21 * state_costs!H9</f>
        <v>26.76140057493372</v>
      </c>
      <c r="W21">
        <f ca="1">F21 * state_qalys!E9 + G21 * state_qalys!F9 + H21 * state_qalys!G9 + I21 * state_qalys!H9</f>
        <v>0.30093258080603208</v>
      </c>
      <c r="X21">
        <f ca="1">(F21 * state_costs!E9 + G21 * state_costs!F9 + H21 * state_costs!G9 + I21 * state_costs!H9) * (1 / (1 + model_settings!F10)^(13 * model_settings!F9))</f>
        <v>17.111350666006025</v>
      </c>
      <c r="Y21">
        <f ca="1">(F21 * state_qalys!E9 + G21 * state_qalys!F9 + H21 * state_qalys!G9 + I21 * state_qalys!H9) * (1 / (1 + model_settings!F11)^(13 * model_settings!F9))</f>
        <v>0.19241754192123264</v>
      </c>
      <c r="Z21">
        <f ca="1">J21 * state_costs!I9 + K21 * state_costs!J9 + L21 * state_costs!K9 + M21 * state_costs!L9</f>
        <v>15.801997399367389</v>
      </c>
      <c r="AA21">
        <f ca="1">J21 * state_qalys!I9 + K21 * state_qalys!J9 + L21 * state_qalys!K9 + M21 * state_qalys!L9</f>
        <v>0.3027429745234636</v>
      </c>
      <c r="AB21">
        <f ca="1">(J21 * state_costs!I9 + K21 * state_costs!J9 + L21 * state_costs!K9 + M21 * state_costs!L9) * (1 / (1 + model_settings!F10)^(13 * model_settings!F9))</f>
        <v>10.103862761845017</v>
      </c>
      <c r="AC21">
        <f ca="1">(J21 * state_qalys!I9 + K21 * state_qalys!J9 + L21 * state_qalys!K9 + M21 * state_qalys!L9) * (1 / (1 + model_settings!F11)^(13 * model_settings!F9))</f>
        <v>0.19357511518260825</v>
      </c>
      <c r="AD21">
        <f ca="1">N21 * state_costs!M9 + O21 * state_costs!N9 + P21 * state_costs!O9 + Q21 * state_costs!P9</f>
        <v>21.037286960445435</v>
      </c>
      <c r="AE21">
        <f ca="1">N21 * state_qalys!M9 + O21 * state_qalys!N9 + P21 * state_qalys!O9 + Q21 * state_qalys!P9</f>
        <v>0.30188197742814232</v>
      </c>
      <c r="AF21">
        <f ca="1">(N21 * state_costs!M9 + O21 * state_costs!N9 + P21 * state_costs!O9 + Q21 * state_costs!P9) * (1 / (1 + model_settings!F10)^(13 * model_settings!F9))</f>
        <v>13.451328649022674</v>
      </c>
      <c r="AG21">
        <f ca="1">(N21 * state_qalys!M9 + O21 * state_qalys!N9 + P21 * state_qalys!O9 + Q21 * state_qalys!P9) * (1 / (1 + model_settings!F11)^(13 * model_settings!F9))</f>
        <v>0.19302459006419367</v>
      </c>
      <c r="AH21">
        <f ca="1">R21 * state_costs!Q9 + S21 * state_costs!R9 + T21 * state_costs!S9 + U21 * state_costs!T9</f>
        <v>21.591079853662034</v>
      </c>
      <c r="AI21">
        <f ca="1">R21 * state_qalys!Q9 + S21 * state_qalys!R9 + T21 * state_qalys!S9 + U21 * state_qalys!T9</f>
        <v>0.30178048933067719</v>
      </c>
      <c r="AJ21">
        <f ca="1">(R21 * state_costs!Q9 + S21 * state_costs!R9 + T21 * state_costs!S9 + U21 * state_costs!T9) * (1 / (1 + model_settings!F10)^(13 * model_settings!F9))</f>
        <v>13.805426124812008</v>
      </c>
      <c r="AK21">
        <f ca="1">(R21 * state_qalys!Q9 + S21 * state_qalys!R9 + T21 * state_qalys!S9 + U21 * state_qalys!T9) * (1 / (1 + model_settings!F11)^(13 * model_settings!F9))</f>
        <v>0.19295969815320088</v>
      </c>
    </row>
    <row r="22" spans="5:37" x14ac:dyDescent="0.45">
      <c r="E22">
        <v>14</v>
      </c>
      <c r="F22">
        <f ca="1">F21 * (1 - (input_parameters!O9+input_parameters!O14))</f>
        <v>0.34633647583004429</v>
      </c>
      <c r="G22">
        <f ca="1">G21 * (1 - (input_parameters!O13+input_parameters!O15)) + F21 * input_parameters!O9</f>
        <v>1.9019447584962754E-2</v>
      </c>
      <c r="H22">
        <f ca="1">H21 * (1 - (input_parameters!O16)) + G21 * input_parameters!O13</f>
        <v>5.9551096200778199E-3</v>
      </c>
      <c r="I22">
        <f ca="1">I21 * (1 - (0)) + F21 * input_parameters!O14+G21 * input_parameters!O15+H21 * input_parameters!O16</f>
        <v>0.62868896696491527</v>
      </c>
      <c r="J22">
        <f ca="1">J21 * (1 - (input_parameters!O10+input_parameters!O14))</f>
        <v>0.35607905651996702</v>
      </c>
      <c r="K22">
        <f ca="1">K21 * (1 - (input_parameters!O13+input_parameters!O15)) + J21 * input_parameters!O10</f>
        <v>1.1559849795074004E-2</v>
      </c>
      <c r="L22">
        <f ca="1">L21 * (1 - (input_parameters!O16)) + K21 * input_parameters!O13</f>
        <v>3.5977568827338952E-3</v>
      </c>
      <c r="M22">
        <f ca="1">M21 * (1 - (0)) + J21 * input_parameters!O14+K21 * input_parameters!O15+L21 * input_parameters!O16</f>
        <v>0.62876333680222485</v>
      </c>
      <c r="N22">
        <f ca="1">N21 * (1 - (input_parameters!O11+input_parameters!O14))</f>
        <v>0.35144330455782741</v>
      </c>
      <c r="O22">
        <f ca="1">O21 * (1 - (input_parameters!O13+input_parameters!O15)) + N21 * input_parameters!O11</f>
        <v>1.5111929058241359E-2</v>
      </c>
      <c r="P22">
        <f ca="1">P21 * (1 - (input_parameters!O16)) + O21 * input_parameters!O13</f>
        <v>4.7166615108495758E-3</v>
      </c>
      <c r="Q22">
        <f ca="1">Q21 * (1 - (0)) + N21 * input_parameters!O14+O21 * input_parameters!O15+P21 * input_parameters!O16</f>
        <v>0.62872810487308184</v>
      </c>
      <c r="R22">
        <f ca="1">R21 * (1 - (input_parameters!O12+input_parameters!O14))</f>
        <v>0.35089715216551676</v>
      </c>
      <c r="S22">
        <f ca="1">S21 * (1 - (input_parameters!O13+input_parameters!O15)) + R21 * input_parameters!O12</f>
        <v>1.5530098794217457E-2</v>
      </c>
      <c r="T22">
        <f ca="1">T21 * (1 - (input_parameters!O16)) + S21 * input_parameters!O13</f>
        <v>4.848813350054001E-3</v>
      </c>
      <c r="U22">
        <f ca="1">U21 * (1 - (0)) + R21 * input_parameters!O14+S21 * input_parameters!O15+T21 * input_parameters!O16</f>
        <v>0.62872393569021212</v>
      </c>
      <c r="V22">
        <f ca="1">F22 * state_costs!E9 + G22 * state_costs!F9 + H22 * state_costs!G9 + I22 * state_costs!H9</f>
        <v>25.535294205061909</v>
      </c>
      <c r="W22">
        <f ca="1">F22 * state_qalys!E9 + G22 * state_qalys!F9 + H22 * state_qalys!G9 + I22 * state_qalys!H9</f>
        <v>0.27851462003437039</v>
      </c>
      <c r="X22">
        <f ca="1">(F22 * state_costs!E9 + G22 * state_costs!F9 + H22 * state_costs!G9 + I22 * state_costs!H9) * (1 / (1 + model_settings!F10)^(14 * model_settings!F9))</f>
        <v>15.775239769244701</v>
      </c>
      <c r="Y22">
        <f ca="1">(F22 * state_qalys!E9 + G22 * state_qalys!F9 + H22 * state_qalys!G9 + I22 * state_qalys!H9) * (1 / (1 + model_settings!F11)^(14 * model_settings!F9))</f>
        <v>0.17206126058306068</v>
      </c>
      <c r="Z22">
        <f ca="1">J22 * state_costs!I9 + K22 * state_costs!J9 + L22 * state_costs!K9 + M22 * state_costs!L9</f>
        <v>15.116810646084065</v>
      </c>
      <c r="AA22">
        <f ca="1">J22 * state_qalys!I9 + K22 * state_qalys!J9 + L22 * state_qalys!K9 + M22 * state_qalys!L9</f>
        <v>0.28031721051118497</v>
      </c>
      <c r="AB22">
        <f ca="1">(J22 * state_costs!I9 + K22 * state_costs!J9 + L22 * state_costs!K9 + M22 * state_costs!L9) * (1 / (1 + model_settings!F10)^(14 * model_settings!F9))</f>
        <v>9.3388903442112845</v>
      </c>
      <c r="AC22">
        <f ca="1">(J22 * state_qalys!I9 + K22 * state_qalys!J9 + L22 * state_qalys!K9 + M22 * state_qalys!L9) * (1 / (1 + model_settings!F11)^(14 * model_settings!F9))</f>
        <v>0.17317486815496286</v>
      </c>
      <c r="AD22">
        <f ca="1">N22 * state_costs!M9 + O22 * state_costs!N9 + P22 * state_costs!O9 + Q22 * state_costs!P9</f>
        <v>20.097531229629283</v>
      </c>
      <c r="AE22">
        <f ca="1">N22 * state_qalys!M9 + O22 * state_qalys!N9 + P22 * state_qalys!O9 + Q22 * state_qalys!P9</f>
        <v>0.27945942630345078</v>
      </c>
      <c r="AF22">
        <f ca="1">(N22 * state_costs!M9 + O22 * state_costs!N9 + P22 * state_costs!O9 + Q22 * state_costs!P9) * (1 / (1 + model_settings!F10)^(14 * model_settings!F9))</f>
        <v>12.415888823181724</v>
      </c>
      <c r="AG22">
        <f ca="1">(N22 * state_qalys!M9 + O22 * state_qalys!N9 + P22 * state_qalys!O9 + Q22 * state_qalys!P9) * (1 / (1 + model_settings!F11)^(14 * model_settings!F9))</f>
        <v>0.17264494469143779</v>
      </c>
      <c r="AH22">
        <f ca="1">R22 * state_costs!Q9 + S22 * state_costs!R9 + T22 * state_costs!S9 + U22 * state_costs!T9</f>
        <v>20.625682347435053</v>
      </c>
      <c r="AI22">
        <f ca="1">R22 * state_qalys!Q9 + S22 * state_qalys!R9 + T22 * state_qalys!S9 + U22 * state_qalys!T9</f>
        <v>0.27935837622686222</v>
      </c>
      <c r="AJ22">
        <f ca="1">(R22 * state_costs!Q9 + S22 * state_costs!R9 + T22 * state_costs!S9 + U22 * state_costs!T9) * (1 / (1 + model_settings!F10)^(14 * model_settings!F9))</f>
        <v>12.742170966276399</v>
      </c>
      <c r="AK22">
        <f ca="1">(R22 * state_qalys!Q9 + S22 * state_qalys!R9 + T22 * state_qalys!S9 + U22 * state_qalys!T9) * (1 / (1 + model_settings!F11)^(14 * model_settings!F9))</f>
        <v>0.17258251779421532</v>
      </c>
    </row>
    <row r="23" spans="5:37" x14ac:dyDescent="0.45">
      <c r="E23">
        <v>15</v>
      </c>
      <c r="F23">
        <f ca="1">F22 * (1 - (input_parameters!O9+input_parameters!O14))</f>
        <v>0.3192089213388955</v>
      </c>
      <c r="G23">
        <f ca="1">G22 * (1 - (input_parameters!O13+input_parameters!O15)) + F22 * input_parameters!O9</f>
        <v>1.8531978214710386E-2</v>
      </c>
      <c r="H23">
        <f ca="1">H22 * (1 - (input_parameters!O16)) + G22 * input_parameters!O13</f>
        <v>6.3631895822365368E-3</v>
      </c>
      <c r="I23">
        <f ca="1">I22 * (1 - (0)) + F22 * input_parameters!O14+G22 * input_parameters!O15+H22 * input_parameters!O16</f>
        <v>0.65589591086415777</v>
      </c>
      <c r="J23">
        <f ca="1">J22 * (1 - (input_parameters!O10+input_parameters!O14))</f>
        <v>0.32888949511513488</v>
      </c>
      <c r="K23">
        <f ca="1">K22 * (1 - (input_parameters!O13+input_parameters!O15)) + J22 * input_parameters!O10</f>
        <v>1.1277834128251328E-2</v>
      </c>
      <c r="L23">
        <f ca="1">L22 * (1 - (input_parameters!O16)) + K22 * input_parameters!O13</f>
        <v>3.8471541984169012E-3</v>
      </c>
      <c r="M23">
        <f ca="1">M22 * (1 - (0)) + J22 * input_parameters!O14+K22 * input_parameters!O15+L22 * input_parameters!O16</f>
        <v>0.65598551655819659</v>
      </c>
      <c r="N23">
        <f ca="1">N22 * (1 - (input_parameters!O11+input_parameters!O14))</f>
        <v>0.3242806718813257</v>
      </c>
      <c r="O23">
        <f ca="1">O22 * (1 - (input_parameters!O13+input_parameters!O15)) + N22 * input_parameters!O11</f>
        <v>1.4734427103698027E-2</v>
      </c>
      <c r="P23">
        <f ca="1">P22 * (1 - (input_parameters!O16)) + O22 * input_parameters!O13</f>
        <v>5.0418474667512031E-3</v>
      </c>
      <c r="Q23">
        <f ca="1">Q22 * (1 - (0)) + N22 * input_parameters!O14+O22 * input_parameters!O15+P22 * input_parameters!O16</f>
        <v>0.65594305354822524</v>
      </c>
      <c r="R23">
        <f ca="1">R22 * (1 - (input_parameters!O12+input_parameters!O14))</f>
        <v>0.32373799872069009</v>
      </c>
      <c r="S23">
        <f ca="1">S22 * (1 - (input_parameters!O13+input_parameters!O15)) + R22 * input_parameters!O12</f>
        <v>1.5141076519400703E-2</v>
      </c>
      <c r="T23">
        <f ca="1">T22 * (1 - (input_parameters!O16)) + S22 * input_parameters!O13</f>
        <v>5.1828945093533715E-3</v>
      </c>
      <c r="U23">
        <f ca="1">U22 * (1 - (0)) + R22 * input_parameters!O14+S22 * input_parameters!O15+T22 * input_parameters!O16</f>
        <v>0.6559380302505563</v>
      </c>
      <c r="V23">
        <f ca="1">F23 * state_costs!E9 + G23 * state_costs!F9 + H23 * state_costs!G9 + I23 * state_costs!H9</f>
        <v>24.353915523688705</v>
      </c>
      <c r="W23">
        <f ca="1">F23 * state_qalys!E9 + G23 * state_qalys!F9 + H23 * state_qalys!G9 + I23 * state_qalys!H9</f>
        <v>0.25777244245929276</v>
      </c>
      <c r="X23">
        <f ca="1">(F23 * state_costs!E9 + G23 * state_costs!F9 + H23 * state_costs!G9 + I23 * state_costs!H9) * (1 / (1 + model_settings!F10)^(15 * model_settings!F9))</f>
        <v>14.536623702870793</v>
      </c>
      <c r="Y23">
        <f ca="1">(F23 * state_qalys!E9 + G23 * state_qalys!F9 + H23 * state_qalys!G9 + I23 * state_qalys!H9) * (1 / (1 + model_settings!F11)^(15 * model_settings!F9))</f>
        <v>0.15386195264395419</v>
      </c>
      <c r="Z23">
        <f ca="1">J23 * state_costs!I9 + K23 * state_costs!J9 + L23 * state_costs!K9 + M23 * state_costs!L9</f>
        <v>14.453192912827813</v>
      </c>
      <c r="AA23">
        <f ca="1">J23 * state_qalys!I9 + K23 * state_qalys!J9 + L23 * state_qalys!K9 + M23 * state_qalys!L9</f>
        <v>0.25955580158248653</v>
      </c>
      <c r="AB23">
        <f ca="1">(J23 * state_costs!I9 + K23 * state_costs!J9 + L23 * state_costs!K9 + M23 * state_costs!L9) * (1 / (1 + model_settings!F10)^(15 * model_settings!F9))</f>
        <v>8.6269752588414406</v>
      </c>
      <c r="AC23">
        <f ca="1">(J23 * state_qalys!I9 + K23 * state_qalys!J9 + L23 * state_qalys!K9 + M23 * state_qalys!L9) * (1 / (1 + model_settings!F11)^(15 * model_settings!F9))</f>
        <v>0.15492642297422751</v>
      </c>
      <c r="AD23">
        <f ca="1">N23 * state_costs!M9 + O23 * state_costs!N9 + P23 * state_costs!O9 + Q23 * state_costs!P9</f>
        <v>19.189940579165999</v>
      </c>
      <c r="AE23">
        <f ca="1">N23 * state_qalys!M9 + O23 * state_qalys!N9 + P23 * state_qalys!O9 + Q23 * state_qalys!P9</f>
        <v>0.25870667210667919</v>
      </c>
      <c r="AF23">
        <f ca="1">(N23 * state_costs!M9 + O23 * state_costs!N9 + P23 * state_costs!O9 + Q23 * state_costs!P9) * (1 / (1 + model_settings!F10)^(15 * model_settings!F9))</f>
        <v>11.454295503671641</v>
      </c>
      <c r="AG23">
        <f ca="1">(N23 * state_qalys!M9 + O23 * state_qalys!N9 + P23 * state_qalys!O9 + Q23 * state_qalys!P9) * (1 / (1 + model_settings!F11)^(15 * model_settings!F9))</f>
        <v>0.15441958555612031</v>
      </c>
      <c r="AH23">
        <f ca="1">R23 * state_costs!Q9 + S23 * state_costs!R9 + T23 * state_costs!S9 + U23 * state_costs!T9</f>
        <v>19.693385746897519</v>
      </c>
      <c r="AI23">
        <f ca="1">R23 * state_qalys!Q9 + S23 * state_qalys!R9 + T23 * state_qalys!S9 + U23 * state_qalys!T9</f>
        <v>0.25860670072575664</v>
      </c>
      <c r="AJ23">
        <f ca="1">(R23 * state_costs!Q9 + S23 * state_costs!R9 + T23 * state_costs!S9 + U23 * state_costs!T9) * (1 / (1 + model_settings!F10)^(15 * model_settings!F9))</f>
        <v>11.754797201282576</v>
      </c>
      <c r="AK23">
        <f ca="1">(R23 * state_qalys!Q9 + S23 * state_qalys!R9 + T23 * state_qalys!S9 + U23 * state_qalys!T9) * (1 / (1 + model_settings!F11)^(15 * model_settings!F9))</f>
        <v>0.15435991357671669</v>
      </c>
    </row>
    <row r="24" spans="5:37" x14ac:dyDescent="0.45">
      <c r="E24">
        <v>16</v>
      </c>
      <c r="F24">
        <f ca="1">F23 * (1 - (input_parameters!O9+input_parameters!O14))</f>
        <v>0.29420619130034459</v>
      </c>
      <c r="G24">
        <f ca="1">G23 * (1 - (input_parameters!O13+input_parameters!O15)) + F23 * input_parameters!O9</f>
        <v>1.7967318723879112E-2</v>
      </c>
      <c r="H24">
        <f ca="1">H23 * (1 - (input_parameters!O16)) + G23 * input_parameters!O13</f>
        <v>6.7254202867885558E-3</v>
      </c>
      <c r="I24">
        <f ca="1">I23 * (1 - (0)) + F23 * input_parameters!O14+G23 * input_parameters!O15+H23 * input_parameters!O16</f>
        <v>0.68110106968898798</v>
      </c>
      <c r="J24">
        <f ca="1">J23 * (1 - (input_parameters!O10+input_parameters!O14))</f>
        <v>0.30377608010490453</v>
      </c>
      <c r="K24">
        <f ca="1">K23 * (1 - (input_parameters!O13+input_parameters!O15)) + J23 * input_parameters!O10</f>
        <v>1.0948208564242164E-2</v>
      </c>
      <c r="L24">
        <f ca="1">L23 * (1 - (input_parameters!O16)) + K23 * input_parameters!O13</f>
        <v>4.0691862078352341E-3</v>
      </c>
      <c r="M24">
        <f ca="1">M23 * (1 - (0)) + J23 * input_parameters!O14+K23 * input_parameters!O15+L23 * input_parameters!O16</f>
        <v>0.68120652512301771</v>
      </c>
      <c r="N24">
        <f ca="1">N23 * (1 - (input_parameters!O11+input_parameters!O14))</f>
        <v>0.2992174065973735</v>
      </c>
      <c r="O24">
        <f ca="1">O23 * (1 - (input_parameters!O13+input_parameters!O15)) + N23 * input_parameters!O11</f>
        <v>1.4295108842398129E-2</v>
      </c>
      <c r="P24">
        <f ca="1">P23 * (1 - (input_parameters!O16)) + O23 * input_parameters!O13</f>
        <v>5.3309488171612235E-3</v>
      </c>
      <c r="Q24">
        <f ca="1">Q23 * (1 - (0)) + N23 * input_parameters!O14+O23 * input_parameters!O15+P23 * input_parameters!O16</f>
        <v>0.68115653574306745</v>
      </c>
      <c r="R24">
        <f ca="1">R23 * (1 - (input_parameters!O12+input_parameters!O14))</f>
        <v>0.2986809416060488</v>
      </c>
      <c r="S24">
        <f ca="1">S23 * (1 - (input_parameters!O13+input_parameters!O15)) + R23 * input_parameters!O12</f>
        <v>1.4688579693087157E-2</v>
      </c>
      <c r="T24">
        <f ca="1">T23 * (1 - (input_parameters!O16)) + S23 * input_parameters!O13</f>
        <v>5.4798547807195638E-3</v>
      </c>
      <c r="U24">
        <f ca="1">U23 * (1 - (0)) + R23 * input_parameters!O14+S23 * input_parameters!O15+T23 * input_parameters!O16</f>
        <v>0.68115062392014492</v>
      </c>
      <c r="V24">
        <f ca="1">F24 * state_costs!E9 + G24 * state_costs!F9 + H24 * state_costs!G9 + I24 * state_costs!H9</f>
        <v>23.216584757187139</v>
      </c>
      <c r="W24">
        <f ca="1">F24 * state_qalys!E9 + G24 * state_qalys!F9 + H24 * state_qalys!G9 + I24 * state_qalys!H9</f>
        <v>0.23858069531525838</v>
      </c>
      <c r="X24">
        <f ca="1">(F24 * state_costs!E9 + G24 * state_costs!F9 + H24 * state_costs!G9 + I24 * state_costs!H9) * (1 / (1 + model_settings!F10)^(16 * model_settings!F9))</f>
        <v>13.389141679297246</v>
      </c>
      <c r="Y24">
        <f ca="1">(F24 * state_qalys!E9 + G24 * state_qalys!F9 + H24 * state_qalys!G9 + I24 * state_qalys!H9) * (1 / (1 + model_settings!F11)^(16 * model_settings!F9))</f>
        <v>0.137590897409334</v>
      </c>
      <c r="Z24">
        <f ca="1">J24 * state_costs!I9 + K24 * state_costs!J9 + L24 * state_costs!K9 + M24 * state_costs!L9</f>
        <v>13.811189460583478</v>
      </c>
      <c r="AA24">
        <f ca="1">J24 * state_qalys!I9 + K24 * state_qalys!J9 + L24 * state_qalys!K9 + M24 * state_qalys!L9</f>
        <v>0.24033520044666196</v>
      </c>
      <c r="AB24">
        <f ca="1">(J24 * state_costs!I9 + K24 * state_costs!J9 + L24 * state_costs!K9 + M24 * state_costs!L9) * (1 / (1 + model_settings!F10)^(16 * model_settings!F9))</f>
        <v>7.9649946097314581</v>
      </c>
      <c r="AC24">
        <f ca="1">(J24 * state_qalys!I9 + K24 * state_qalys!J9 + L24 * state_qalys!K9 + M24 * state_qalys!L9) * (1 / (1 + model_settings!F11)^(16 * model_settings!F9))</f>
        <v>0.13860273089074837</v>
      </c>
      <c r="AD24">
        <f ca="1">N24 * state_costs!M9 + O24 * state_costs!N9 + P24 * state_costs!O9 + Q24 * state_costs!P9</f>
        <v>18.314255970575509</v>
      </c>
      <c r="AE24">
        <f ca="1">N24 * state_qalys!M9 + O24 * state_qalys!N9 + P24 * state_qalys!O9 + Q24 * state_qalys!P9</f>
        <v>0.23949931669638896</v>
      </c>
      <c r="AF24">
        <f ca="1">(N24 * state_costs!M9 + O24 * state_costs!N9 + P24 * state_costs!O9 + Q24 * state_costs!P9) * (1 / (1 + model_settings!F10)^(16 * model_settings!F9))</f>
        <v>10.561939686888739</v>
      </c>
      <c r="AG24">
        <f ca="1">(N24 * state_qalys!M9 + O24 * state_qalys!N9 + P24 * state_qalys!O9 + Q24 * state_qalys!P9) * (1 / (1 + model_settings!F11)^(16 * model_settings!F9))</f>
        <v>0.13812067179045961</v>
      </c>
      <c r="AH24">
        <f ca="1">R24 * state_costs!Q9 + S24 * state_costs!R9 + T24 * state_costs!S9 + U24 * state_costs!T9</f>
        <v>18.793918457303757</v>
      </c>
      <c r="AI24">
        <f ca="1">R24 * state_qalys!Q9 + S24 * state_qalys!R9 + T24 * state_qalys!S9 + U24 * state_qalys!T9</f>
        <v>0.23940096346312453</v>
      </c>
      <c r="AJ24">
        <f ca="1">(R24 * state_costs!Q9 + S24 * state_costs!R9 + T24 * state_costs!S9 + U24 * state_costs!T9) * (1 / (1 + model_settings!F10)^(16 * model_settings!F9))</f>
        <v>10.838563878612735</v>
      </c>
      <c r="AK24">
        <f ca="1">(R24 * state_qalys!Q9 + S24 * state_qalys!R9 + T24 * state_qalys!S9 + U24 * state_qalys!T9) * (1 / (1 + model_settings!F11)^(16 * model_settings!F9))</f>
        <v>0.13806395089939977</v>
      </c>
    </row>
    <row r="25" spans="5:37" x14ac:dyDescent="0.45">
      <c r="E25">
        <v>17</v>
      </c>
      <c r="F25">
        <f ca="1">F24 * (1 - (input_parameters!O9+input_parameters!O14))</f>
        <v>0.2711618542376496</v>
      </c>
      <c r="G25">
        <f ca="1">G24 * (1 - (input_parameters!O13+input_parameters!O15)) + F24 * input_parameters!O9</f>
        <v>1.7344795796112922E-2</v>
      </c>
      <c r="H25">
        <f ca="1">H24 * (1 - (input_parameters!O16)) + G24 * input_parameters!O13</f>
        <v>7.0415139520957747E-3</v>
      </c>
      <c r="I25">
        <f ca="1">I24 * (1 - (0)) + F24 * input_parameters!O14+G24 * input_parameters!O15+H24 * input_parameters!O16</f>
        <v>0.70445183601414196</v>
      </c>
      <c r="J25">
        <f ca="1">J24 * (1 - (input_parameters!O10+input_parameters!O14))</f>
        <v>0.28058028065504736</v>
      </c>
      <c r="K25">
        <f ca="1">K24 * (1 - (input_parameters!O13+input_parameters!O15)) + J24 * input_parameters!O10</f>
        <v>1.0582567751105651E-2</v>
      </c>
      <c r="L25">
        <f ca="1">L24 * (1 - (input_parameters!O16)) + K24 * input_parameters!O13</f>
        <v>4.26361772599899E-3</v>
      </c>
      <c r="M25">
        <f ca="1">M24 * (1 - (0)) + J24 * input_parameters!O14+K24 * input_parameters!O15+L24 * input_parameters!O16</f>
        <v>0.7045735338678476</v>
      </c>
      <c r="N25">
        <f ca="1">N24 * (1 - (input_parameters!O11+input_parameters!O14))</f>
        <v>0.2760912511110834</v>
      </c>
      <c r="O25">
        <f ca="1">O24 * (1 - (input_parameters!O13+input_parameters!O15)) + N24 * input_parameters!O11</f>
        <v>1.3809226267380442E-2</v>
      </c>
      <c r="P25">
        <f ca="1">P24 * (1 - (input_parameters!O16)) + O24 * input_parameters!O13</f>
        <v>5.5836951482860194E-3</v>
      </c>
      <c r="Q25">
        <f ca="1">Q24 * (1 - (0)) + N24 * input_parameters!O14+O24 * input_parameters!O15+P24 * input_parameters!O16</f>
        <v>0.70451582747325048</v>
      </c>
      <c r="R25">
        <f ca="1">R24 * (1 - (input_parameters!O12+input_parameters!O14))</f>
        <v>0.2755632802797533</v>
      </c>
      <c r="S25">
        <f ca="1">S24 * (1 - (input_parameters!O13+input_parameters!O15)) + R24 * input_parameters!O12</f>
        <v>1.4188293797208483E-2</v>
      </c>
      <c r="T25">
        <f ca="1">T24 * (1 - (input_parameters!O16)) + S24 * input_parameters!O13</f>
        <v>5.7394208072742651E-3</v>
      </c>
      <c r="U25">
        <f ca="1">U24 * (1 - (0)) + R24 * input_parameters!O14+S24 * input_parameters!O15+T24 * input_parameters!O16</f>
        <v>0.70450900511576431</v>
      </c>
      <c r="V25">
        <f ca="1">F25 * state_costs!E9 + G25 * state_costs!F9 + H25 * state_costs!G9 + I25 * state_costs!H9</f>
        <v>22.122544916645424</v>
      </c>
      <c r="W25">
        <f ca="1">F25 * state_qalys!E9 + G25 * state_qalys!F9 + H25 * state_qalys!G9 + I25 * state_qalys!H9</f>
        <v>0.22082337398644164</v>
      </c>
      <c r="X25">
        <f ca="1">(F25 * state_costs!E9 + G25 * state_costs!F9 + H25 * state_costs!G9 + I25 * state_costs!H9) * (1 / (1 + model_settings!F10)^(17 * model_settings!F9))</f>
        <v>12.326765638266027</v>
      </c>
      <c r="Y25">
        <f ca="1">(F25 * state_qalys!E9 + G25 * state_qalys!F9 + H25 * state_qalys!G9 + I25 * state_qalys!H9) * (1 / (1 + model_settings!F11)^(17 * model_settings!F9))</f>
        <v>0.1230436185727404</v>
      </c>
      <c r="Z25">
        <f ca="1">J25 * state_costs!I9 + K25 * state_costs!J9 + L25 * state_costs!K9 + M25 * state_costs!L9</f>
        <v>13.190763907850412</v>
      </c>
      <c r="AA25">
        <f ca="1">J25 * state_qalys!I9 + K25 * state_qalys!J9 + L25 * state_qalys!K9 + M25 * state_qalys!L9</f>
        <v>0.22254101176039015</v>
      </c>
      <c r="AB25">
        <f ca="1">(J25 * state_costs!I9 + K25 * state_costs!J9 + L25 * state_costs!K9 + M25 * state_costs!L9) * (1 / (1 + model_settings!F10)^(17 * model_settings!F9))</f>
        <v>7.3499435030834643</v>
      </c>
      <c r="AC25">
        <f ca="1">(J25 * state_qalys!I9 + K25 * state_qalys!J9 + L25 * state_qalys!K9 + M25 * state_qalys!L9) * (1 / (1 + model_settings!F11)^(17 * model_settings!F9))</f>
        <v>0.12400069283208412</v>
      </c>
      <c r="AD25">
        <f ca="1">N25 * state_costs!M9 + O25 * state_costs!N9 + P25 * state_costs!O9 + Q25 * state_costs!P9</f>
        <v>17.470135493555539</v>
      </c>
      <c r="AE25">
        <f ca="1">N25 * state_qalys!M9 + O25 * state_qalys!N9 + P25 * state_qalys!O9 + Q25 * state_qalys!P9</f>
        <v>0.22172220553270686</v>
      </c>
      <c r="AF25">
        <f ca="1">(N25 * state_costs!M9 + O25 * state_costs!N9 + P25 * state_costs!O9 + Q25 * state_costs!P9) * (1 / (1 + model_settings!F10)^(17 * model_settings!F9))</f>
        <v>9.7344255242433011</v>
      </c>
      <c r="AG25">
        <f ca="1">(N25 * state_qalys!M9 + O25 * state_qalys!N9 + P25 * state_qalys!O9 + Q25 * state_qalys!P9) * (1 / (1 + model_settings!F11)^(17 * model_settings!F9))</f>
        <v>0.12354445090739441</v>
      </c>
      <c r="AH25">
        <f ca="1">R25 * state_costs!Q9 + S25 * state_costs!R9 + T25 * state_costs!S9 + U25 * state_costs!T9</f>
        <v>17.926924082032698</v>
      </c>
      <c r="AI25">
        <f ca="1">R25 * state_qalys!Q9 + S25 * state_qalys!R9 + T25 * state_qalys!S9 + U25 * state_qalys!T9</f>
        <v>0.22162591967603487</v>
      </c>
      <c r="AJ25">
        <f ca="1">(R25 * state_costs!Q9 + S25 * state_costs!R9 + T25 * state_costs!S9 + U25 * state_costs!T9) * (1 / (1 + model_settings!F10)^(17 * model_settings!F9))</f>
        <v>9.9889498521453604</v>
      </c>
      <c r="AK25">
        <f ca="1">(R25 * state_qalys!Q9 + S25 * state_qalys!R9 + T25 * state_qalys!S9 + U25 * state_qalys!T9) * (1 / (1 + model_settings!F11)^(17 * model_settings!F9))</f>
        <v>0.12349080006415068</v>
      </c>
    </row>
    <row r="26" spans="5:37" x14ac:dyDescent="0.45">
      <c r="E26">
        <v>18</v>
      </c>
      <c r="F26">
        <f ca="1">F25 * (1 - (input_parameters!O9+input_parameters!O14))</f>
        <v>0.2499225147799064</v>
      </c>
      <c r="G26">
        <f ca="1">G25 * (1 - (input_parameters!O13+input_parameters!O15)) + F25 * input_parameters!O9</f>
        <v>1.6680693568759366E-2</v>
      </c>
      <c r="H26">
        <f ca="1">H25 * (1 - (input_parameters!O16)) + G25 * input_parameters!O13</f>
        <v>7.3119975709025542E-3</v>
      </c>
      <c r="I26">
        <f ca="1">I25 * (1 - (0)) + F25 * input_parameters!O14+G25 * input_parameters!O15+H25 * input_parameters!O16</f>
        <v>0.72608479408043203</v>
      </c>
      <c r="J26">
        <f ca="1">J25 * (1 - (input_parameters!O10+input_parameters!O14))</f>
        <v>0.25915567106297027</v>
      </c>
      <c r="K26">
        <f ca="1">K25 * (1 - (input_parameters!O13+input_parameters!O15)) + J25 * input_parameters!O10</f>
        <v>1.0190704794781876E-2</v>
      </c>
      <c r="L26">
        <f ca="1">L25 * (1 - (input_parameters!O16)) + K25 * input_parameters!O13</f>
        <v>4.4307063222075831E-3</v>
      </c>
      <c r="M26">
        <f ca="1">M25 * (1 - (0)) + J25 * input_parameters!O14+K25 * input_parameters!O15+L25 * input_parameters!O16</f>
        <v>0.72622291782003989</v>
      </c>
      <c r="N26">
        <f ca="1">N25 * (1 - (input_parameters!O11+input_parameters!O14))</f>
        <v>0.25475248852301369</v>
      </c>
      <c r="O26">
        <f ca="1">O25 * (1 - (input_parameters!O13+input_parameters!O15)) + N25 * input_parameters!O11</f>
        <v>1.3289646858978902E-2</v>
      </c>
      <c r="P26">
        <f ca="1">P25 * (1 - (input_parameters!O16)) + O25 * input_parameters!O13</f>
        <v>5.8004617732185775E-3</v>
      </c>
      <c r="Q26">
        <f ca="1">Q25 * (1 - (0)) + N25 * input_parameters!O14+O25 * input_parameters!O15+P25 * input_parameters!O16</f>
        <v>0.72615740284478913</v>
      </c>
      <c r="R26">
        <f ca="1">R25 * (1 - (input_parameters!O12+input_parameters!O14))</f>
        <v>0.25423490708923108</v>
      </c>
      <c r="S26">
        <f ca="1">S25 * (1 - (input_parameters!O13+input_parameters!O15)) + R25 * input_parameters!O12</f>
        <v>1.3653450226035131E-2</v>
      </c>
      <c r="T26">
        <f ca="1">T25 * (1 - (input_parameters!O16)) + S25 * input_parameters!O13</f>
        <v>5.961983012402949E-3</v>
      </c>
      <c r="U26">
        <f ca="1">U25 * (1 - (0)) + R25 * input_parameters!O14+S25 * input_parameters!O15+T25 * input_parameters!O16</f>
        <v>0.72614965967233125</v>
      </c>
      <c r="V26">
        <f ca="1">F26 * state_costs!E9 + G26 * state_costs!F9 + H26 * state_costs!G9 + I26 * state_costs!H9</f>
        <v>21.070970582716328</v>
      </c>
      <c r="W26">
        <f ca="1">F26 * state_qalys!E9 + G26 * state_qalys!F9 + H26 * state_qalys!G9 + I26 * state_qalys!H9</f>
        <v>0.20439313071304227</v>
      </c>
      <c r="X26">
        <f ca="1">(F26 * state_costs!E9 + G26 * state_costs!F9 + H26 * state_costs!G9 + I26 * state_costs!H9) * (1 / (1 + model_settings!F10)^(18 * model_settings!F9))</f>
        <v>11.343791734342354</v>
      </c>
      <c r="Y26">
        <f ca="1">(F26 * state_qalys!E9 + G26 * state_qalys!F9 + H26 * state_qalys!G9 + I26 * state_qalys!H9) * (1 / (1 + model_settings!F11)^(18 * model_settings!F9))</f>
        <v>0.11003731876693018</v>
      </c>
      <c r="Z26">
        <f ca="1">J26 * state_costs!I9 + K26 * state_costs!J9 + L26 * state_costs!K9 + M26 * state_costs!L9</f>
        <v>12.591806104914795</v>
      </c>
      <c r="AA26">
        <f ca="1">J26 * state_qalys!I9 + K26 * state_qalys!J9 + L26 * state_qalys!K9 + M26 * state_qalys!L9</f>
        <v>0.20606731782549392</v>
      </c>
      <c r="AB26">
        <f ca="1">(J26 * state_costs!I9 + K26 * state_costs!J9 + L26 * state_costs!K9 + M26 * state_costs!L9) * (1 / (1 + model_settings!F10)^(18 * model_settings!F9))</f>
        <v>6.7789390836385586</v>
      </c>
      <c r="AC26">
        <f ca="1">(J26 * state_qalys!I9 + K26 * state_qalys!J9 + L26 * state_qalys!K9 + M26 * state_qalys!L9) * (1 / (1 + model_settings!F11)^(18 * model_settings!F9))</f>
        <v>0.11093863604861011</v>
      </c>
      <c r="AD26">
        <f ca="1">N26 * state_costs!M9 + O26 * state_costs!N9 + P26 * state_costs!O9 + Q26 * state_costs!P9</f>
        <v>16.657162929530106</v>
      </c>
      <c r="AE26">
        <f ca="1">N26 * state_qalys!M9 + O26 * state_qalys!N9 + P26 * state_qalys!O9 + Q26 * state_qalys!P9</f>
        <v>0.2052687455239349</v>
      </c>
      <c r="AF26">
        <f ca="1">(N26 * state_costs!M9 + O26 * state_costs!N9 + P26 * state_costs!O9 + Q26 * state_costs!P9) * (1 / (1 + model_settings!F10)^(18 * model_settings!F9))</f>
        <v>8.9675692164171128</v>
      </c>
      <c r="AG26">
        <f ca="1">(N26 * state_qalys!M9 + O26 * state_qalys!N9 + P26 * state_qalys!O9 + Q26 * state_qalys!P9) * (1 / (1 + model_settings!F11)^(18 * model_settings!F9))</f>
        <v>0.11050871575432948</v>
      </c>
      <c r="AH26">
        <f ca="1">R26 * state_costs!Q9 + S26 * state_costs!R9 + T26 * state_costs!S9 + U26 * state_costs!T9</f>
        <v>17.091970206144286</v>
      </c>
      <c r="AI26">
        <f ca="1">R26 * state_qalys!Q9 + S26 * state_qalys!R9 + T26 * state_qalys!S9 + U26 * state_qalys!T9</f>
        <v>0.2051748960969699</v>
      </c>
      <c r="AJ26">
        <f ca="1">(R26 * state_costs!Q9 + S26 * state_costs!R9 + T26 * state_costs!S9 + U26 * state_costs!T9) * (1 / (1 + model_settings!F10)^(18 * model_settings!F9))</f>
        <v>9.2016525573398926</v>
      </c>
      <c r="AK26">
        <f ca="1">(R26 * state_qalys!Q9 + S26 * state_qalys!R9 + T26 * state_qalys!S9 + U26 * state_qalys!T9) * (1 / (1 + model_settings!F11)^(18 * model_settings!F9))</f>
        <v>0.11045819086988246</v>
      </c>
    </row>
    <row r="27" spans="5:37" x14ac:dyDescent="0.45">
      <c r="E27">
        <v>19</v>
      </c>
      <c r="F27">
        <f ca="1">F26 * (1 - (input_parameters!O9+input_parameters!O14))</f>
        <v>0.2303467925808278</v>
      </c>
      <c r="G27">
        <f ca="1">G26 * (1 - (input_parameters!O13+input_parameters!O15)) + F26 * input_parameters!O9</f>
        <v>1.5988667921769353E-2</v>
      </c>
      <c r="H27">
        <f ca="1">H26 * (1 - (input_parameters!O16)) + G26 * input_parameters!O13</f>
        <v>7.5380360762692077E-3</v>
      </c>
      <c r="I27">
        <f ca="1">I26 * (1 - (0)) + F26 * input_parameters!O14+G26 * input_parameters!O15+H26 * input_parameters!O16</f>
        <v>0.74612650342113396</v>
      </c>
      <c r="J27">
        <f ca="1">J26 * (1 - (input_parameters!O10+input_parameters!O14))</f>
        <v>0.23936700643146311</v>
      </c>
      <c r="K27">
        <f ca="1">K26 * (1 - (input_parameters!O13+input_parameters!O15)) + J26 * input_parameters!O10</f>
        <v>9.780854285726585E-3</v>
      </c>
      <c r="L27">
        <f ca="1">L26 * (1 - (input_parameters!O16)) + K26 * input_parameters!O13</f>
        <v>4.5710969627523242E-3</v>
      </c>
      <c r="M27">
        <f ca="1">M26 * (1 - (0)) + J26 * input_parameters!O14+K26 * input_parameters!O15+L26 * input_parameters!O16</f>
        <v>0.74628104232005765</v>
      </c>
      <c r="N27">
        <f ca="1">N26 * (1 - (input_parameters!O11+input_parameters!O14))</f>
        <v>0.23506297337381626</v>
      </c>
      <c r="O27">
        <f ca="1">O26 * (1 - (input_parameters!O13+input_parameters!O15)) + N26 * input_parameters!O11</f>
        <v>1.2747176670685395E-2</v>
      </c>
      <c r="P27">
        <f ca="1">P26 * (1 - (input_parameters!O16)) + O26 * input_parameters!O13</f>
        <v>5.9821306905337313E-3</v>
      </c>
      <c r="Q27">
        <f ca="1">Q26 * (1 - (0)) + N26 * input_parameters!O14+O26 * input_parameters!O15+P26 * input_parameters!O16</f>
        <v>0.74620771926496487</v>
      </c>
      <c r="R27">
        <f ca="1">R26 * (1 - (input_parameters!O12+input_parameters!O14))</f>
        <v>0.23455733259181619</v>
      </c>
      <c r="S27">
        <f ca="1">S26 * (1 - (input_parameters!O13+input_parameters!O15)) + R26 * input_parameters!O12</f>
        <v>1.3095158973167188E-2</v>
      </c>
      <c r="T27">
        <f ca="1">T26 * (1 - (input_parameters!O16)) + S26 * input_parameters!O13</f>
        <v>6.1484525511280213E-3</v>
      </c>
      <c r="U27">
        <f ca="1">U26 * (1 - (0)) + R26 * input_parameters!O14+S26 * input_parameters!O15+T26 * input_parameters!O16</f>
        <v>0.74619905588388902</v>
      </c>
      <c r="V27">
        <f ca="1">F27 * state_costs!E9 + G27 * state_costs!F9 + H27 * state_costs!G9 + I27 * state_costs!H9</f>
        <v>20.060976462448803</v>
      </c>
      <c r="W27">
        <f ca="1">F27 * state_qalys!E9 + G27 * state_qalys!F9 + H27 * state_qalys!G9 + I27 * state_qalys!H9</f>
        <v>0.18919063356901622</v>
      </c>
      <c r="X27">
        <f ca="1">(F27 * state_costs!E9 + G27 * state_costs!F9 + H27 * state_costs!G9 + I27 * state_costs!H9) * (1 / (1 + model_settings!F10)^(19 * model_settings!F9))</f>
        <v>10.434831061657983</v>
      </c>
      <c r="Y27">
        <f ca="1">(F27 * state_qalys!E9 + G27 * state_qalys!F9 + H27 * state_qalys!G9 + I27 * state_qalys!H9) * (1 / (1 + model_settings!F11)^(19 * model_settings!F9))</f>
        <v>9.8408584618803779E-2</v>
      </c>
      <c r="Z27">
        <f ca="1">J27 * state_costs!I9 + K27 * state_costs!J9 + L27 * state_costs!K9 + M27 * state_costs!L9</f>
        <v>12.014139682585414</v>
      </c>
      <c r="AA27">
        <f ca="1">J27 * state_qalys!I9 + K27 * state_qalys!J9 + L27 * state_qalys!K9 + M27 * state_qalys!L9</f>
        <v>0.19081605345248295</v>
      </c>
      <c r="AB27">
        <f ca="1">(J27 * state_costs!I9 + K27 * state_costs!J9 + L27 * state_costs!K9 + M27 * state_costs!L9) * (1 / (1 + model_settings!F10)^(19 * model_settings!F9))</f>
        <v>6.2492231209984155</v>
      </c>
      <c r="AC27">
        <f ca="1">(J27 * state_qalys!I9 + K27 * state_qalys!J9 + L27 * state_qalys!K9 + M27 * state_qalys!L9) * (1 / (1 + model_settings!F11)^(19 * model_settings!F9))</f>
        <v>9.925405602045681E-2</v>
      </c>
      <c r="AD27">
        <f ca="1">N27 * state_costs!M9 + O27 * state_costs!N9 + P27 * state_costs!O9 + Q27 * state_costs!P9</f>
        <v>15.87485601618809</v>
      </c>
      <c r="AE27">
        <f ca="1">N27 * state_qalys!M9 + O27 * state_qalys!N9 + P27 * state_qalys!O9 + Q27 * state_qalys!P9</f>
        <v>0.19004027253928818</v>
      </c>
      <c r="AF27">
        <f ca="1">(N27 * state_costs!M9 + O27 * state_costs!N9 + P27 * state_costs!O9 + Q27 * state_costs!P9) * (1 / (1 + model_settings!F10)^(19 * model_settings!F9))</f>
        <v>8.2573966908910297</v>
      </c>
      <c r="AG27">
        <f ca="1">(N27 * state_qalys!M9 + O27 * state_qalys!N9 + P27 * state_qalys!O9 + Q27 * state_qalys!P9) * (1 / (1 + model_settings!F11)^(19 * model_settings!F9))</f>
        <v>9.8850529163965098E-2</v>
      </c>
      <c r="AH27">
        <f ca="1">R27 * state_costs!Q9 + S27 * state_costs!R9 + T27 * state_costs!S9 + U27 * state_costs!T9</f>
        <v>16.288556873286808</v>
      </c>
      <c r="AI27">
        <f ca="1">R27 * state_qalys!Q9 + S27 * state_qalys!R9 + T27 * state_qalys!S9 + U27 * state_qalys!T9</f>
        <v>0.1899491575760244</v>
      </c>
      <c r="AJ27">
        <f ca="1">(R27 * state_costs!Q9 + S27 * state_costs!R9 + T27 * state_costs!S9 + U27 * state_costs!T9) * (1 / (1 + model_settings!F10)^(19 * model_settings!F9))</f>
        <v>8.4725855458288155</v>
      </c>
      <c r="AK27">
        <f ca="1">(R27 * state_qalys!Q9 + S27 * state_qalys!R9 + T27 * state_qalys!S9 + U27 * state_qalys!T9) * (1 / (1 + model_settings!F11)^(19 * model_settings!F9))</f>
        <v>9.8803135197344072E-2</v>
      </c>
    </row>
    <row r="28" spans="5:37" x14ac:dyDescent="0.45">
      <c r="E28">
        <v>20</v>
      </c>
      <c r="F28">
        <f ca="1">F27 * (1 - (input_parameters!O9+input_parameters!O14))</f>
        <v>0.21230438121592102</v>
      </c>
      <c r="G28">
        <f ca="1">G27 * (1 - (input_parameters!O13+input_parameters!O15)) + F27 * input_parameters!O9</f>
        <v>1.5280108059894512E-2</v>
      </c>
      <c r="H28">
        <f ca="1">H27 * (1 - (input_parameters!O16)) + G27 * input_parameters!O13</f>
        <v>7.7212837449194913E-3</v>
      </c>
      <c r="I28">
        <f ca="1">I27 * (1 - (0)) + F27 * input_parameters!O14+G27 * input_parameters!O15+H27 * input_parameters!O16</f>
        <v>0.76469422697926526</v>
      </c>
      <c r="J28">
        <f ca="1">J27 * (1 - (input_parameters!O10+input_parameters!O14))</f>
        <v>0.22108936892234954</v>
      </c>
      <c r="K28">
        <f ca="1">K27 * (1 - (input_parameters!O13+input_parameters!O15)) + J27 * input_parameters!O10</f>
        <v>9.3599046283983026E-3</v>
      </c>
      <c r="L28">
        <f ca="1">L27 * (1 - (input_parameters!O16)) + K27 * input_parameters!O13</f>
        <v>4.6857333205376529E-3</v>
      </c>
      <c r="M28">
        <f ca="1">M27 * (1 - (0)) + J27 * input_parameters!O14+K27 * input_parameters!O15+L27 * input_parameters!O16</f>
        <v>0.76486499312871414</v>
      </c>
      <c r="N28">
        <f ca="1">N27 * (1 - (input_parameters!O11+input_parameters!O14))</f>
        <v>0.21689523730147153</v>
      </c>
      <c r="O28">
        <f ca="1">O27 * (1 - (input_parameters!O13+input_parameters!O15)) + N27 * input_parameters!O11</f>
        <v>1.2190842467881142E-2</v>
      </c>
      <c r="P28">
        <f ca="1">P27 * (1 - (input_parameters!O16)) + O27 * input_parameters!O13</f>
        <v>6.1299736357268127E-3</v>
      </c>
      <c r="Q28">
        <f ca="1">Q27 * (1 - (0)) + N27 * input_parameters!O14+O27 * input_parameters!O15+P27 * input_parameters!O16</f>
        <v>0.76478394659492088</v>
      </c>
      <c r="R28">
        <f ca="1">R27 * (1 - (input_parameters!O12+input_parameters!O14))</f>
        <v>0.2164027863147763</v>
      </c>
      <c r="S28">
        <f ca="1">S27 * (1 - (input_parameters!O13+input_parameters!O15)) + R27 * input_parameters!O12</f>
        <v>1.2522699137592436E-2</v>
      </c>
      <c r="T28">
        <f ca="1">T27 * (1 - (input_parameters!O16)) + S27 * input_parameters!O13</f>
        <v>6.3001410029889507E-3</v>
      </c>
      <c r="U28">
        <f ca="1">U27 * (1 - (0)) + R27 * input_parameters!O14+S27 * input_parameters!O15+T27 * input_parameters!O16</f>
        <v>0.76477437354464284</v>
      </c>
      <c r="V28">
        <f ca="1">F28 * state_costs!E9 + G28 * state_costs!F9 + H28 * state_costs!G9 + I28 * state_costs!H9</f>
        <v>19.09162563407979</v>
      </c>
      <c r="W28">
        <f ca="1">F28 * state_qalys!E9 + G28 * state_qalys!F9 + H28 * state_qalys!G9 + I28 * state_qalys!H9</f>
        <v>0.17512397216705536</v>
      </c>
      <c r="X28">
        <f ca="1">(F28 * state_costs!E9 + G28 * state_costs!F9 + H28 * state_costs!G9 + I28 * state_costs!H9) * (1 / (1 + model_settings!F10)^(20 * model_settings!F9))</f>
        <v>9.5947997220296646</v>
      </c>
      <c r="Y28">
        <f ca="1">(F28 * state_qalys!E9 + G28 * state_qalys!F9 + H28 * state_qalys!G9 + I28 * state_qalys!H9) * (1 / (1 + model_settings!F11)^(20 * model_settings!F9))</f>
        <v>8.801133395732344E-2</v>
      </c>
      <c r="Z28">
        <f ca="1">J28 * state_costs!I9 + K28 * state_costs!J9 + L28 * state_costs!K9 + M28 * state_costs!L9</f>
        <v>11.457529239191082</v>
      </c>
      <c r="AA28">
        <f ca="1">J28 * state_qalys!I9 + K28 * state_qalys!J9 + L28 * state_qalys!K9 + M28 * state_qalys!L9</f>
        <v>0.1766964264714673</v>
      </c>
      <c r="AB28">
        <f ca="1">(J28 * state_costs!I9 + K28 * state_costs!J9 + L28 * state_costs!K9 + M28 * state_costs!L9) * (1 / (1 + model_settings!F10)^(20 * model_settings!F9))</f>
        <v>5.7581633154957919</v>
      </c>
      <c r="AC28">
        <f ca="1">(J28 * state_qalys!I9 + K28 * state_qalys!J9 + L28 * state_qalys!K9 + M28 * state_qalys!L9) * (1 / (1 + model_settings!F11)^(20 * model_settings!F9))</f>
        <v>8.8801595845548614E-2</v>
      </c>
      <c r="AD28">
        <f ca="1">N28 * state_costs!M9 + O28 * state_costs!N9 + P28 * state_costs!O9 + Q28 * state_costs!P9</f>
        <v>15.122674355768636</v>
      </c>
      <c r="AE28">
        <f ca="1">N28 * state_qalys!M9 + O28 * state_qalys!N9 + P28 * state_qalys!O9 + Q28 * state_qalys!P9</f>
        <v>0.17594546505943134</v>
      </c>
      <c r="AF28">
        <f ca="1">(N28 * state_costs!M9 + O28 * state_costs!N9 + P28 * state_costs!O9 + Q28 * state_costs!P9) * (1 / (1 + model_settings!F10)^(20 * model_settings!F9))</f>
        <v>7.6001402125790092</v>
      </c>
      <c r="AG28">
        <f ca="1">(N28 * state_qalys!M9 + O28 * state_qalys!N9 + P28 * state_qalys!O9 + Q28 * state_qalys!P9) * (1 / (1 + model_settings!F11)^(20 * model_settings!F9))</f>
        <v>8.8424188259334707E-2</v>
      </c>
      <c r="AH28">
        <f ca="1">R28 * state_costs!Q9 + S28 * state_costs!R9 + T28 * state_costs!S9 + U28 * state_costs!T9</f>
        <v>15.516124697047687</v>
      </c>
      <c r="AI28">
        <f ca="1">R28 * state_qalys!Q9 + S28 * state_qalys!R9 + T28 * state_qalys!S9 + U28 * state_qalys!T9</f>
        <v>0.17585731990142336</v>
      </c>
      <c r="AJ28">
        <f ca="1">(R28 * state_costs!Q9 + S28 * state_costs!R9 + T28 * state_costs!S9 + U28 * state_costs!T9) * (1 / (1 + model_settings!F10)^(20 * model_settings!F9))</f>
        <v>7.7978749313238582</v>
      </c>
      <c r="AK28">
        <f ca="1">(R28 * state_qalys!Q9 + S28 * state_qalys!R9 + T28 * state_qalys!S9 + U28 * state_qalys!T9) * (1 / (1 + model_settings!F11)^(20 * model_settings!F9))</f>
        <v>8.8379889510042067E-2</v>
      </c>
    </row>
    <row r="29" spans="5:37" x14ac:dyDescent="0.45">
      <c r="E29">
        <v>21</v>
      </c>
      <c r="F29">
        <f ca="1">F28 * (1 - (input_parameters!O9+input_parameters!O14))</f>
        <v>0.19567518079358157</v>
      </c>
      <c r="G29">
        <f ca="1">G28 * (1 - (input_parameters!O13+input_parameters!O15)) + F28 * input_parameters!O9</f>
        <v>1.4564451848307458E-2</v>
      </c>
      <c r="H29">
        <f ca="1">H28 * (1 - (input_parameters!O16)) + G28 * input_parameters!O13</f>
        <v>7.8637598832757248E-3</v>
      </c>
      <c r="I29">
        <f ca="1">I28 * (1 - (0)) + F28 * input_parameters!O14+G28 * input_parameters!O15+H28 * input_parameters!O16</f>
        <v>0.78189660747483547</v>
      </c>
      <c r="J29">
        <f ca="1">J28 * (1 - (input_parameters!O10+input_parameters!O14))</f>
        <v>0.20420737920068577</v>
      </c>
      <c r="K29">
        <f ca="1">K28 * (1 - (input_parameters!O13+input_parameters!O15)) + J28 * input_parameters!O10</f>
        <v>8.9335834150314139E-3</v>
      </c>
      <c r="L29">
        <f ca="1">L28 * (1 - (input_parameters!O16)) + K28 * input_parameters!O13</f>
        <v>4.7757834343797843E-3</v>
      </c>
      <c r="M29">
        <f ca="1">M28 * (1 - (0)) + J28 * input_parameters!O14+K28 * input_parameters!O15+L28 * input_parameters!O16</f>
        <v>0.78208325394990263</v>
      </c>
      <c r="N29">
        <f ca="1">N28 * (1 - (input_parameters!O11+input_parameters!O14))</f>
        <v>0.20013166382120581</v>
      </c>
      <c r="O29">
        <f ca="1">O28 * (1 - (input_parameters!O13+input_parameters!O15)) + N28 * input_parameters!O11</f>
        <v>1.1628137923227731E-2</v>
      </c>
      <c r="P29">
        <f ca="1">P28 * (1 - (input_parameters!O16)) + O28 * input_parameters!O13</f>
        <v>6.2455541433024042E-3</v>
      </c>
      <c r="Q29">
        <f ca="1">Q28 * (1 - (0)) + N28 * input_parameters!O14+O28 * input_parameters!O15+P28 * input_parameters!O16</f>
        <v>0.78199464411226438</v>
      </c>
      <c r="R29">
        <f ca="1">R28 * (1 - (input_parameters!O12+input_parameters!O14))</f>
        <v>0.1996533871157804</v>
      </c>
      <c r="S29">
        <f ca="1">S28 * (1 - (input_parameters!O13+input_parameters!O15)) + R28 * input_parameters!O12</f>
        <v>1.194377240499532E-2</v>
      </c>
      <c r="T29">
        <f ca="1">T28 * (1 - (input_parameters!O16)) + S28 * input_parameters!O13</f>
        <v>6.4186596324395523E-3</v>
      </c>
      <c r="U29">
        <f ca="1">U28 * (1 - (0)) + R28 * input_parameters!O14+S28 * input_parameters!O15+T28 * input_parameters!O16</f>
        <v>0.78198418084678534</v>
      </c>
      <c r="V29">
        <f ca="1">F29 * state_costs!E9 + G29 * state_costs!F9 + H29 * state_costs!G9 + I29 * state_costs!H9</f>
        <v>18.161937417161113</v>
      </c>
      <c r="W29">
        <f ca="1">F29 * state_qalys!E9 + G29 * state_qalys!F9 + H29 * state_qalys!G9 + I29 * state_qalys!H9</f>
        <v>0.1621081067822823</v>
      </c>
      <c r="X29">
        <f ca="1">(F29 * state_costs!E9 + G29 * state_costs!F9 + H29 * state_costs!G9 + I29 * state_costs!H9) * (1 / (1 + model_settings!F10)^(21 * model_settings!F9))</f>
        <v>8.8189083488388675</v>
      </c>
      <c r="Y29">
        <f ca="1">(F29 * state_qalys!E9 + G29 * state_qalys!F9 + H29 * state_qalys!G9 + I29 * state_qalys!H9) * (1 / (1 + model_settings!F11)^(21 * model_settings!F9))</f>
        <v>7.8714979766745338E-2</v>
      </c>
      <c r="Z29">
        <f ca="1">J29 * state_costs!I9 + K29 * state_costs!J9 + L29 * state_costs!K9 + M29 * state_costs!L9</f>
        <v>10.921687141281302</v>
      </c>
      <c r="AA29">
        <f ca="1">J29 * state_qalys!I9 + K29 * state_qalys!J9 + L29 * state_qalys!K9 + M29 * state_qalys!L9</f>
        <v>0.16362438061553511</v>
      </c>
      <c r="AB29">
        <f ca="1">(J29 * state_costs!I9 + K29 * state_costs!J9 + L29 * state_costs!K9 + M29 * state_costs!L9) * (1 / (1 + model_settings!F10)^(21 * model_settings!F9))</f>
        <v>5.3032534856464189</v>
      </c>
      <c r="AC29">
        <f ca="1">(J29 * state_qalys!I9 + K29 * state_qalys!J9 + L29 * state_qalys!K9 + M29 * state_qalys!L9) * (1 / (1 + model_settings!F11)^(21 * model_settings!F9))</f>
        <v>7.9451238220899251E-2</v>
      </c>
      <c r="AD29">
        <f ca="1">N29 * state_costs!M9 + O29 * state_costs!N9 + P29 * state_costs!O9 + Q29 * state_costs!P9</f>
        <v>14.400026925959336</v>
      </c>
      <c r="AE29">
        <f ca="1">N29 * state_qalys!M9 + O29 * state_qalys!N9 + P29 * state_qalys!O9 + Q29 * state_qalys!P9</f>
        <v>0.16289980067608689</v>
      </c>
      <c r="AF29">
        <f ca="1">(N29 * state_costs!M9 + O29 * state_costs!N9 + P29 * state_costs!O9 + Q29 * state_costs!P9) * (1 / (1 + model_settings!F10)^(21 * model_settings!F9))</f>
        <v>6.9922340752508472</v>
      </c>
      <c r="AG29">
        <f ca="1">(N29 * state_qalys!M9 + O29 * state_qalys!N9 + P29 * state_qalys!O9 + Q29 * state_qalys!P9) * (1 / (1 + model_settings!F11)^(21 * model_settings!F9))</f>
        <v>7.9099403285527045E-2</v>
      </c>
      <c r="AH29">
        <f ca="1">R29 * state_costs!Q9 + S29 * state_costs!R9 + T29 * state_costs!S9 + U29 * state_costs!T9</f>
        <v>14.774062564417218</v>
      </c>
      <c r="AI29">
        <f ca="1">R29 * state_qalys!Q9 + S29 * state_qalys!R9 + T29 * state_qalys!S9 + U29 * state_qalys!T9</f>
        <v>0.16281480552775238</v>
      </c>
      <c r="AJ29">
        <f ca="1">(R29 * state_costs!Q9 + S29 * state_costs!R9 + T29 * state_costs!S9 + U29 * state_costs!T9) * (1 / (1 + model_settings!F10)^(21 * model_settings!F9))</f>
        <v>7.1738548979083836</v>
      </c>
      <c r="AK29">
        <f ca="1">(R29 * state_qalys!Q9 + S29 * state_qalys!R9 + T29 * state_qalys!S9 + U29 * state_qalys!T9) * (1 / (1 + model_settings!F11)^(21 * model_settings!F9))</f>
        <v>7.9058132114613863E-2</v>
      </c>
    </row>
    <row r="30" spans="5:37" x14ac:dyDescent="0.45">
      <c r="E30">
        <v>22</v>
      </c>
      <c r="F30">
        <f ca="1">F29 * (1 - (input_parameters!O9+input_parameters!O14))</f>
        <v>0.18034849850630169</v>
      </c>
      <c r="G30">
        <f ca="1">G29 * (1 - (input_parameters!O13+input_parameters!O15)) + F29 * input_parameters!O9</f>
        <v>1.3849460587356147E-2</v>
      </c>
      <c r="H30">
        <f ca="1">H29 * (1 - (input_parameters!O16)) + G29 * input_parameters!O13</f>
        <v>7.9677453573390629E-3</v>
      </c>
      <c r="I30">
        <f ca="1">I29 * (1 - (0)) + F29 * input_parameters!O14+G29 * input_parameters!O15+H29 * input_parameters!O16</f>
        <v>0.79783429554900342</v>
      </c>
      <c r="J30">
        <f ca="1">J29 * (1 - (input_parameters!O10+input_parameters!O14))</f>
        <v>0.18861446809167326</v>
      </c>
      <c r="K30">
        <f ca="1">K29 * (1 - (input_parameters!O13+input_parameters!O15)) + J29 * input_parameters!O10</f>
        <v>8.5066191385774169E-3</v>
      </c>
      <c r="L30">
        <f ca="1">L29 * (1 - (input_parameters!O16)) + K29 * input_parameters!O13</f>
        <v>4.8425777012132106E-3</v>
      </c>
      <c r="M30">
        <f ca="1">M29 * (1 - (0)) + J29 * input_parameters!O14+K29 * input_parameters!O15+L29 * input_parameters!O16</f>
        <v>0.79803633506853566</v>
      </c>
      <c r="N30">
        <f ca="1">N29 * (1 - (input_parameters!O11+input_parameters!O14))</f>
        <v>0.18466372688568206</v>
      </c>
      <c r="O30">
        <f ca="1">O29 * (1 - (input_parameters!O13+input_parameters!O15)) + N29 * input_parameters!O11</f>
        <v>1.1065238274078622E-2</v>
      </c>
      <c r="P30">
        <f ca="1">P29 * (1 - (input_parameters!O16)) + O29 * input_parameters!O13</f>
        <v>6.3306459381048934E-3</v>
      </c>
      <c r="Q30">
        <f ca="1">Q29 * (1 - (0)) + N29 * input_parameters!O14+O29 * input_parameters!O15+P29 * input_parameters!O16</f>
        <v>0.7979403889021347</v>
      </c>
      <c r="R30">
        <f ca="1">R29 * (1 - (input_parameters!O12+input_parameters!O14))</f>
        <v>0.18420037775678985</v>
      </c>
      <c r="S30">
        <f ca="1">S29 * (1 - (input_parameters!O13+input_parameters!O15)) + R29 * input_parameters!O12</f>
        <v>1.1364724043693776E-2</v>
      </c>
      <c r="T30">
        <f ca="1">T29 * (1 - (input_parameters!O16)) + S29 * input_parameters!O13</f>
        <v>6.5058354556328064E-3</v>
      </c>
      <c r="U30">
        <f ca="1">U29 * (1 - (0)) + R29 * input_parameters!O14+S29 * input_parameters!O15+T29 * input_parameters!O16</f>
        <v>0.7979290627438842</v>
      </c>
      <c r="V30">
        <f ca="1">F30 * state_costs!E9 + G30 * state_costs!F9 + H30 * state_costs!G9 + I30 * state_costs!H9</f>
        <v>17.270894823216608</v>
      </c>
      <c r="W30">
        <f ca="1">F30 * state_qalys!E9 + G30 * state_qalys!F9 + H30 * state_qalys!G9 + I30 * state_qalys!H9</f>
        <v>0.1500643578079329</v>
      </c>
      <c r="X30">
        <f ca="1">(F30 * state_costs!E9 + G30 * state_costs!F9 + H30 * state_costs!G9 + I30 * state_costs!H9) * (1 / (1 + model_settings!F10)^(22 * model_settings!F9))</f>
        <v>8.1026512000338098</v>
      </c>
      <c r="Y30">
        <f ca="1">(F30 * state_qalys!E9 + G30 * state_qalys!F9 + H30 * state_qalys!G9 + I30 * state_qalys!H9) * (1 / (1 + model_settings!F11)^(22 * model_settings!F9))</f>
        <v>7.0402788119596243E-2</v>
      </c>
      <c r="Z30">
        <f ca="1">J30 * state_costs!I9 + K30 * state_costs!J9 + L30 * state_costs!K9 + M30 * state_costs!L9</f>
        <v>10.406279923087306</v>
      </c>
      <c r="AA30">
        <f ca="1">J30 * state_qalys!I9 + K30 * state_qalys!J9 + L30 * state_qalys!K9 + M30 * state_qalys!L9</f>
        <v>0.15152209772937664</v>
      </c>
      <c r="AB30">
        <f ca="1">(J30 * state_costs!I9 + K30 * state_costs!J9 + L30 * state_costs!K9 + M30 * state_costs!L9) * (1 / (1 + model_settings!F10)^(22 * model_settings!F9))</f>
        <v>4.882112789740634</v>
      </c>
      <c r="AC30">
        <f ca="1">(J30 * state_qalys!I9 + K30 * state_qalys!J9 + L30 * state_qalys!K9 + M30 * state_qalys!L9) * (1 / (1 + model_settings!F11)^(22 * model_settings!F9))</f>
        <v>7.1086687723219882E-2</v>
      </c>
      <c r="AD30">
        <f ca="1">N30 * state_costs!M9 + O30 * state_costs!N9 + P30 * state_costs!O9 + Q30 * state_costs!P9</f>
        <v>13.706279165638414</v>
      </c>
      <c r="AE30">
        <f ca="1">N30 * state_qalys!M9 + O30 * state_qalys!N9 + P30 * state_qalys!O9 + Q30 * state_qalys!P9</f>
        <v>0.15082505237671912</v>
      </c>
      <c r="AF30">
        <f ca="1">(N30 * state_costs!M9 + O30 * state_costs!N9 + P30 * state_costs!O9 + Q30 * state_costs!P9) * (1 / (1 + model_settings!F10)^(22 * model_settings!F9))</f>
        <v>6.4303095158780383</v>
      </c>
      <c r="AG30">
        <f ca="1">(N30 * state_qalys!M9 + O30 * state_qalys!N9 + P30 * state_qalys!O9 + Q30 * state_qalys!P9) * (1 / (1 + model_settings!F11)^(22 * model_settings!F9))</f>
        <v>7.0759668456355021E-2</v>
      </c>
      <c r="AH30">
        <f ca="1">R30 * state_costs!Q9 + S30 * state_costs!R9 + T30 * state_costs!S9 + U30 * state_costs!T9</f>
        <v>14.061714902787458</v>
      </c>
      <c r="AI30">
        <f ca="1">R30 * state_qalys!Q9 + S30 * state_qalys!R9 + T30 * state_qalys!S9 + U30 * state_qalys!T9</f>
        <v>0.15074333914569032</v>
      </c>
      <c r="AJ30">
        <f ca="1">(R30 * state_costs!Q9 + S30 * state_costs!R9 + T30 * state_costs!S9 + U30 * state_costs!T9) * (1 / (1 + model_settings!F10)^(22 * model_settings!F9))</f>
        <v>6.5970624161547606</v>
      </c>
      <c r="AK30">
        <f ca="1">(R30 * state_qalys!Q9 + S30 * state_qalys!R9 + T30 * state_qalys!S9 + U30 * state_qalys!T9) * (1 / (1 + model_settings!F11)^(22 * model_settings!F9))</f>
        <v>7.072133264247675E-2</v>
      </c>
    </row>
    <row r="31" spans="5:37" x14ac:dyDescent="0.45">
      <c r="E31">
        <v>23</v>
      </c>
      <c r="F31">
        <f ca="1">F30 * (1 - (input_parameters!O9+input_parameters!O14))</f>
        <v>0.16622231180043651</v>
      </c>
      <c r="G31">
        <f ca="1">G30 * (1 - (input_parameters!O13+input_parameters!O15)) + F30 * input_parameters!O9</f>
        <v>1.3141458229303984E-2</v>
      </c>
      <c r="H31">
        <f ca="1">H30 * (1 - (input_parameters!O16)) + G30 * input_parameters!O13</f>
        <v>8.0356969789754061E-3</v>
      </c>
      <c r="I31">
        <f ca="1">I30 * (1 - (0)) + F30 * input_parameters!O14+G30 * input_parameters!O15+H30 * input_parameters!O16</f>
        <v>0.81260053299128443</v>
      </c>
      <c r="J31">
        <f ca="1">J30 * (1 - (input_parameters!O10+input_parameters!O14))</f>
        <v>0.1742122038525499</v>
      </c>
      <c r="K31">
        <f ca="1">K30 * (1 - (input_parameters!O13+input_parameters!O15)) + J30 * input_parameters!O10</f>
        <v>8.0828821457599748E-3</v>
      </c>
      <c r="L31">
        <f ca="1">L30 * (1 - (input_parameters!O16)) + K30 * input_parameters!O13</f>
        <v>4.8875574475363663E-3</v>
      </c>
      <c r="M31">
        <f ca="1">M30 * (1 - (0)) + J30 * input_parameters!O14+K30 * input_parameters!O15+L30 * input_parameters!O16</f>
        <v>0.81281735655415321</v>
      </c>
      <c r="N31">
        <f ca="1">N30 * (1 - (input_parameters!O11+input_parameters!O14))</f>
        <v>0.17039128829596273</v>
      </c>
      <c r="O31">
        <f ca="1">O30 * (1 - (input_parameters!O13+input_parameters!O15)) + N30 * input_parameters!O11</f>
        <v>1.0507187319461993E-2</v>
      </c>
      <c r="P31">
        <f ca="1">P30 * (1 - (input_parameters!O16)) + O30 * input_parameters!O13</f>
        <v>6.3871653253050808E-3</v>
      </c>
      <c r="Q31">
        <f ca="1">Q30 * (1 - (0)) + N30 * input_parameters!O14+O30 * input_parameters!O15+P30 * input_parameters!O16</f>
        <v>0.81271435905927047</v>
      </c>
      <c r="R31">
        <f ca="1">R30 * (1 - (input_parameters!O12+input_parameters!O14))</f>
        <v>0.16994341872130606</v>
      </c>
      <c r="S31">
        <f ca="1">S30 * (1 - (input_parameters!O13+input_parameters!O15)) + R30 * input_parameters!O12</f>
        <v>1.0790735410576574E-2</v>
      </c>
      <c r="T31">
        <f ca="1">T30 * (1 - (input_parameters!O16)) + S30 * input_parameters!O13</f>
        <v>6.5636417138418184E-3</v>
      </c>
      <c r="U31">
        <f ca="1">U30 * (1 - (0)) + R30 * input_parameters!O14+S30 * input_parameters!O15+T30 * input_parameters!O16</f>
        <v>0.81270220415427619</v>
      </c>
      <c r="V31">
        <f ca="1">F31 * state_costs!E9 + G31 * state_costs!F9 + H31 * state_costs!G9 + I31 * state_costs!H9</f>
        <v>16.417451556880174</v>
      </c>
      <c r="W31">
        <f ca="1">F31 * state_qalys!E9 + G31 * state_qalys!F9 + H31 * state_qalys!G9 + I31 * state_qalys!H9</f>
        <v>0.13891993266482988</v>
      </c>
      <c r="X31">
        <f ca="1">(F31 * state_costs!E9 + G31 * state_costs!F9 + H31 * state_costs!G9 + I31 * state_costs!H9) * (1 / (1 + model_settings!F10)^(23 * model_settings!F9))</f>
        <v>7.4417949307415956</v>
      </c>
      <c r="Y31">
        <f ca="1">(F31 * state_qalys!E9 + G31 * state_qalys!F9 + H31 * state_qalys!G9 + I31 * state_qalys!H9) * (1 / (1 + model_settings!F11)^(23 * model_settings!F9))</f>
        <v>6.2970409694971655E-2</v>
      </c>
      <c r="Z31">
        <f ca="1">J31 * state_costs!I9 + K31 * state_costs!J9 + L31 * state_costs!K9 + M31 * state_costs!L9</f>
        <v>9.9109342776814842</v>
      </c>
      <c r="AA31">
        <f ca="1">J31 * state_qalys!I9 + K31 * state_qalys!J9 + L31 * state_qalys!K9 + M31 * state_qalys!L9</f>
        <v>0.14031753646869133</v>
      </c>
      <c r="AB31">
        <f ca="1">(J31 * state_costs!I9 + K31 * state_costs!J9 + L31 * state_costs!K9 + M31 * state_costs!L9) * (1 / (1 + model_settings!F10)^(23 * model_settings!F9))</f>
        <v>4.4924841234359612</v>
      </c>
      <c r="AC31">
        <f ca="1">(J31 * state_qalys!I9 + K31 * state_qalys!J9 + L31 * state_qalys!K9 + M31 * state_qalys!L9) * (1 / (1 + model_settings!F11)^(23 * model_settings!F9))</f>
        <v>6.3603923420699857E-2</v>
      </c>
      <c r="AD31">
        <f ca="1">N31 * state_costs!M9 + O31 * state_costs!N9 + P31 * state_costs!O9 + Q31 * state_costs!P9</f>
        <v>13.0407596187079</v>
      </c>
      <c r="AE31">
        <f ca="1">N31 * state_qalys!M9 + O31 * state_qalys!N9 + P31 * state_qalys!O9 + Q31 * state_qalys!P9</f>
        <v>0.13964882176089127</v>
      </c>
      <c r="AF31">
        <f ca="1">(N31 * state_costs!M9 + O31 * state_costs!N9 + P31 * state_costs!O9 + Q31 * state_costs!P9) * (1 / (1 + model_settings!F10)^(23 * model_settings!F9))</f>
        <v>5.9111889861401874</v>
      </c>
      <c r="AG31">
        <f ca="1">(N31 * state_qalys!M9 + O31 * state_qalys!N9 + P31 * state_qalys!O9 + Q31 * state_qalys!P9) * (1 / (1 + model_settings!F11)^(23 * model_settings!F9))</f>
        <v>6.3300804650689935E-2</v>
      </c>
      <c r="AH31">
        <f ca="1">R31 * state_costs!Q9 + S31 * state_costs!R9 + T31 * state_costs!S9 + U31 * state_costs!T9</f>
        <v>13.378388493242436</v>
      </c>
      <c r="AI31">
        <f ca="1">R31 * state_qalys!Q9 + S31 * state_qalys!R9 + T31 * state_qalys!S9 + U31 * state_qalys!T9</f>
        <v>0.13957048023739421</v>
      </c>
      <c r="AJ31">
        <f ca="1">(R31 * state_costs!Q9 + S31 * state_costs!R9 + T31 * state_costs!S9 + U31 * state_costs!T9) * (1 / (1 + model_settings!F10)^(23 * model_settings!F9))</f>
        <v>6.0642313044487279</v>
      </c>
      <c r="AK31">
        <f ca="1">(R31 * state_qalys!Q9 + S31 * state_qalys!R9 + T31 * state_qalys!S9 + U31 * state_qalys!T9) * (1 / (1 + model_settings!F11)^(23 * model_settings!F9))</f>
        <v>6.3265293563575895E-2</v>
      </c>
    </row>
    <row r="32" spans="5:37" x14ac:dyDescent="0.45">
      <c r="E32">
        <v>24</v>
      </c>
      <c r="F32">
        <f ca="1">F31 * (1 - (input_parameters!O9+input_parameters!O14))</f>
        <v>0.15320258925979413</v>
      </c>
      <c r="G32">
        <f ca="1">G31 * (1 - (input_parameters!O13+input_parameters!O15)) + F31 * input_parameters!O9</f>
        <v>1.2445539437874771E-2</v>
      </c>
      <c r="H32">
        <f ca="1">H31 * (1 - (input_parameters!O16)) + G31 * input_parameters!O13</f>
        <v>8.070177155933193E-3</v>
      </c>
      <c r="I32">
        <f ca="1">I31 * (1 - (0)) + F31 * input_parameters!O14+G31 * input_parameters!O15+H31 * input_parameters!O16</f>
        <v>0.82628169414639829</v>
      </c>
      <c r="J32">
        <f ca="1">J31 * (1 - (input_parameters!O10+input_parameters!O14))</f>
        <v>0.16090967081279942</v>
      </c>
      <c r="K32">
        <f ca="1">K31 * (1 - (input_parameters!O13+input_parameters!O15)) + J31 * input_parameters!O10</f>
        <v>7.6655073837186283E-3</v>
      </c>
      <c r="L32">
        <f ca="1">L31 * (1 - (input_parameters!O16)) + K31 * input_parameters!O13</f>
        <v>4.9122325566852152E-3</v>
      </c>
      <c r="M32">
        <f ca="1">M31 * (1 - (0)) + J31 * input_parameters!O14+K31 * input_parameters!O15+L31 * input_parameters!O16</f>
        <v>0.82651258924679616</v>
      </c>
      <c r="N32">
        <f ca="1">N31 * (1 - (input_parameters!O11+input_parameters!O14))</f>
        <v>0.15722194941473902</v>
      </c>
      <c r="O32">
        <f ca="1">O31 * (1 - (input_parameters!O13+input_parameters!O15)) + N31 * input_parameters!O11</f>
        <v>9.958060168732694E-3</v>
      </c>
      <c r="P32">
        <f ca="1">P31 * (1 - (input_parameters!O16)) + O31 * input_parameters!O13</f>
        <v>6.4171155553815551E-3</v>
      </c>
      <c r="Q32">
        <f ca="1">Q31 * (1 - (0)) + N31 * input_parameters!O14+O31 * input_parameters!O15+P31 * input_parameters!O16</f>
        <v>0.82640287486114694</v>
      </c>
      <c r="R32">
        <f ca="1">R31 * (1 - (input_parameters!O12+input_parameters!O14))</f>
        <v>0.15678993668958738</v>
      </c>
      <c r="S32">
        <f ca="1">S31 * (1 - (input_parameters!O13+input_parameters!O15)) + R31 * input_parameters!O12</f>
        <v>1.022599148269245E-2</v>
      </c>
      <c r="T32">
        <f ca="1">T31 * (1 - (input_parameters!O16)) + S31 * input_parameters!O13</f>
        <v>6.5941406699118795E-3</v>
      </c>
      <c r="U32">
        <f ca="1">U31 * (1 - (0)) + R31 * input_parameters!O14+S31 * input_parameters!O15+T31 * input_parameters!O16</f>
        <v>0.8263899311578089</v>
      </c>
      <c r="V32">
        <f ca="1">F32 * state_costs!E9 + G32 * state_costs!F9 + H32 * state_costs!G9 + I32 * state_costs!H9</f>
        <v>15.600538549599339</v>
      </c>
      <c r="W32">
        <f ca="1">F32 * state_qalys!E9 + G32 * state_qalys!F9 + H32 * state_qalys!G9 + I32 * state_qalys!H9</f>
        <v>0.12860748748229459</v>
      </c>
      <c r="X32">
        <f ca="1">(F32 * state_costs!E9 + G32 * state_costs!F9 + H32 * state_costs!G9 + I32 * state_costs!H9) * (1 / (1 + model_settings!F10)^(24 * model_settings!F9))</f>
        <v>6.8323671503922254</v>
      </c>
      <c r="Y32">
        <f ca="1">(F32 * state_qalys!E9 + G32 * state_qalys!F9 + H32 * state_qalys!G9 + I32 * state_qalys!H9) * (1 / (1 + model_settings!F11)^(24 * model_settings!F9))</f>
        <v>5.6324566615110601E-2</v>
      </c>
      <c r="Z32">
        <f ca="1">J32 * state_costs!I9 + K32 * state_costs!J9 + L32 * state_costs!K9 + M32 * state_costs!L9</f>
        <v>9.4352426391738859</v>
      </c>
      <c r="AA32">
        <f ca="1">J32 * state_qalys!I9 + K32 * state_qalys!J9 + L32 * state_qalys!K9 + M32 * state_qalys!L9</f>
        <v>0.12994400485461263</v>
      </c>
      <c r="AB32">
        <f ca="1">(J32 * state_costs!I9 + K32 * state_costs!J9 + L32 * state_costs!K9 + M32 * state_costs!L9) * (1 / (1 + model_settings!F10)^(24 * model_settings!F9))</f>
        <v>4.1322318238511917</v>
      </c>
      <c r="AC32">
        <f ca="1">(J32 * state_qalys!I9 + K32 * state_qalys!J9 + L32 * state_qalys!K9 + M32 * state_qalys!L9) * (1 / (1 + model_settings!F11)^(24 * model_settings!F9))</f>
        <v>5.6909903932891137E-2</v>
      </c>
      <c r="AD32">
        <f ca="1">N32 * state_costs!M9 + O32 * state_costs!N9 + P32 * state_costs!O9 + Q32 * state_costs!P9</f>
        <v>12.402766128273345</v>
      </c>
      <c r="AE32">
        <f ca="1">N32 * state_qalys!M9 + O32 * state_qalys!N9 + P32 * state_qalys!O9 + Q32 * state_qalys!P9</f>
        <v>0.12930410653208582</v>
      </c>
      <c r="AF32">
        <f ca="1">(N32 * state_costs!M9 + O32 * state_costs!N9 + P32 * state_costs!O9 + Q32 * state_costs!P9) * (1 / (1 + model_settings!F10)^(24 * model_settings!F9))</f>
        <v>5.4318799059016154</v>
      </c>
      <c r="AG32">
        <f ca="1">(N32 * state_qalys!M9 + O32 * state_qalys!N9 + P32 * state_qalys!O9 + Q32 * state_qalys!P9) * (1 / (1 + model_settings!F11)^(24 * model_settings!F9))</f>
        <v>5.662965589757344E-2</v>
      </c>
      <c r="AH32">
        <f ca="1">R32 * state_costs!Q9 + S32 * state_costs!R9 + T32 * state_costs!S9 + U32 * state_costs!T9</f>
        <v>12.72335882216394</v>
      </c>
      <c r="AI32">
        <f ca="1">R32 * state_qalys!Q9 + S32 * state_qalys!R9 + T32 * state_qalys!S9 + U32 * state_qalys!T9</f>
        <v>0.12922918995871505</v>
      </c>
      <c r="AJ32">
        <f ca="1">(R32 * state_costs!Q9 + S32 * state_costs!R9 + T32 * state_costs!S9 + U32 * state_costs!T9) * (1 / (1 + model_settings!F10)^(24 * model_settings!F9))</f>
        <v>5.5722857632654366</v>
      </c>
      <c r="AK32">
        <f ca="1">(R32 * state_qalys!Q9 + S32 * state_qalys!R9 + T32 * state_qalys!S9 + U32 * state_qalys!T9) * (1 / (1 + model_settings!F11)^(24 * model_settings!F9))</f>
        <v>5.6596845649818782E-2</v>
      </c>
    </row>
    <row r="33" spans="5:37" x14ac:dyDescent="0.45">
      <c r="E33">
        <v>25</v>
      </c>
      <c r="F33">
        <f ca="1">F32 * (1 - (input_parameters!O9+input_parameters!O14))</f>
        <v>0.14120266468248913</v>
      </c>
      <c r="G33">
        <f ca="1">G32 * (1 - (input_parameters!O13+input_parameters!O15)) + F32 * input_parameters!O9</f>
        <v>1.1765750360737744E-2</v>
      </c>
      <c r="H33">
        <f ca="1">H32 * (1 - (input_parameters!O16)) + G32 * input_parameters!O13</f>
        <v>8.0737965579540417E-3</v>
      </c>
      <c r="I33">
        <f ca="1">I32 * (1 - (0)) + F32 * input_parameters!O14+G32 * input_parameters!O15+H32 * input_parameters!O16</f>
        <v>0.8389577883988194</v>
      </c>
      <c r="J33">
        <f ca="1">J32 * (1 - (input_parameters!O10+input_parameters!O14))</f>
        <v>0.14862289546028551</v>
      </c>
      <c r="K33">
        <f ca="1">K32 * (1 - (input_parameters!O13+input_parameters!O15)) + J32 * input_parameters!O10</f>
        <v>7.2570011872768623E-3</v>
      </c>
      <c r="L33">
        <f ca="1">L32 * (1 - (input_parameters!O16)) + K32 * input_parameters!O13</f>
        <v>4.9181468299257895E-3</v>
      </c>
      <c r="M33">
        <f ca="1">M32 * (1 - (0)) + J32 * input_parameters!O14+K32 * input_parameters!O15+L32 * input_parameters!O16</f>
        <v>0.83920195652251128</v>
      </c>
      <c r="N33">
        <f ca="1">N32 * (1 - (input_parameters!O11+input_parameters!O14))</f>
        <v>0.1450704529848692</v>
      </c>
      <c r="O33">
        <f ca="1">O32 * (1 - (input_parameters!O13+input_parameters!O15)) + N32 * input_parameters!O11</f>
        <v>9.4211047435933653E-3</v>
      </c>
      <c r="P33">
        <f ca="1">P32 * (1 - (input_parameters!O16)) + O32 * input_parameters!O13</f>
        <v>6.4225414088027923E-3</v>
      </c>
      <c r="Q33">
        <f ca="1">Q32 * (1 - (0)) + N32 * input_parameters!O14+O32 * input_parameters!O15+P32 * input_parameters!O16</f>
        <v>0.83908590086273482</v>
      </c>
      <c r="R33">
        <f ca="1">R32 * (1 - (input_parameters!O12+input_parameters!O14))</f>
        <v>0.14465452344135288</v>
      </c>
      <c r="S33">
        <f ca="1">S32 * (1 - (input_parameters!O13+input_parameters!O15)) + R32 * input_parameters!O12</f>
        <v>9.6738265071753069E-3</v>
      </c>
      <c r="T33">
        <f ca="1">T32 * (1 - (input_parameters!O16)) + S32 * input_parameters!O13</f>
        <v>6.5994369205575731E-3</v>
      </c>
      <c r="U33">
        <f ca="1">U32 * (1 - (0)) + R32 * input_parameters!O14+S32 * input_parameters!O15+T32 * input_parameters!O16</f>
        <v>0.83907221313091485</v>
      </c>
      <c r="V33">
        <f ca="1">F33 * state_costs!E9 + G33 * state_costs!F9 + H33 * state_costs!G9 + I33 * state_costs!H9</f>
        <v>14.819070017886553</v>
      </c>
      <c r="W33">
        <f ca="1">F33 * state_qalys!E9 + G33 * state_qalys!F9 + H33 * state_qalys!G9 + I33 * state_qalys!H9</f>
        <v>0.11906472105187833</v>
      </c>
      <c r="X33">
        <f ca="1">(F33 * state_costs!E9 + G33 * state_costs!F9 + H33 * state_costs!G9 + I33 * state_costs!H9) * (1 / (1 + model_settings!F10)^(25 * model_settings!F9))</f>
        <v>6.2706448618498545</v>
      </c>
      <c r="Y33">
        <f ca="1">(F33 * state_qalys!E9 + G33 * state_qalys!F9 + H33 * state_qalys!G9 + I33 * state_qalys!H9) * (1 / (1 + model_settings!F11)^(25 * model_settings!F9))</f>
        <v>5.0381878241373378E-2</v>
      </c>
      <c r="Z33">
        <f ca="1">J33 * state_costs!I9 + K33 * state_costs!J9 + L33 * state_costs!K9 + M33 * state_costs!L9</f>
        <v>8.9787683604257147</v>
      </c>
      <c r="AA33">
        <f ca="1">J33 * state_qalys!I9 + K33 * state_qalys!J9 + L33 * state_qalys!K9 + M33 * state_qalys!L9</f>
        <v>0.12033976423284512</v>
      </c>
      <c r="AB33">
        <f ca="1">(J33 * state_costs!I9 + K33 * state_costs!J9 + L33 * state_costs!K9 + M33 * state_costs!L9) * (1 / (1 + model_settings!F10)^(25 * model_settings!F9))</f>
        <v>3.7993387990667751</v>
      </c>
      <c r="AC33">
        <f ca="1">(J33 * state_qalys!I9 + K33 * state_qalys!J9 + L33 * state_qalys!K9 + M33 * state_qalys!L9) * (1 / (1 + model_settings!F11)^(25 * model_settings!F9))</f>
        <v>5.0921408924588699E-2</v>
      </c>
      <c r="AD33">
        <f ca="1">N33 * state_costs!M9 + O33 * state_costs!N9 + P33 * state_costs!O9 + Q33 * state_costs!P9</f>
        <v>11.791571580723438</v>
      </c>
      <c r="AE33">
        <f ca="1">N33 * state_qalys!M9 + O33 * state_qalys!N9 + P33 * state_qalys!O9 + Q33 * state_qalys!P9</f>
        <v>0.1197288997932784</v>
      </c>
      <c r="AF33">
        <f ca="1">(N33 * state_costs!M9 + O33 * state_costs!N9 + P33 * state_costs!O9 + Q33 * state_costs!P9) * (1 / (1 + model_settings!F10)^(25 * model_settings!F9))</f>
        <v>4.9895680131446865</v>
      </c>
      <c r="AG33">
        <f ca="1">(N33 * state_qalys!M9 + O33 * state_qalys!N9 + P33 * state_qalys!O9 + Q33 * state_qalys!P9) * (1 / (1 + model_settings!F11)^(25 * model_settings!F9))</f>
        <v>5.0662923476133943E-2</v>
      </c>
      <c r="AH33">
        <f ca="1">R33 * state_costs!Q9 + S33 * state_costs!R9 + T33 * state_costs!S9 + U33 * state_costs!T9</f>
        <v>12.095875970684585</v>
      </c>
      <c r="AI33">
        <f ca="1">R33 * state_qalys!Q9 + S33 * state_qalys!R9 + T33 * state_qalys!S9 + U33 * state_qalys!T9</f>
        <v>0.11965742987382992</v>
      </c>
      <c r="AJ33">
        <f ca="1">(R33 * state_costs!Q9 + S33 * state_costs!R9 + T33 * state_costs!S9 + U33 * state_costs!T9) * (1 / (1 + model_settings!F10)^(25 * model_settings!F9))</f>
        <v>5.1183334995783856</v>
      </c>
      <c r="AK33">
        <f ca="1">(R33 * state_qalys!Q9 + S33 * state_qalys!R9 + T33 * state_qalys!S9 + U33 * state_qalys!T9) * (1 / (1 + model_settings!F11)^(25 * model_settings!F9))</f>
        <v>5.0632681194895952E-2</v>
      </c>
    </row>
    <row r="34" spans="5:37" x14ac:dyDescent="0.45">
      <c r="E34">
        <v>26</v>
      </c>
      <c r="F34">
        <f ca="1">F33 * (1 - (input_parameters!O9+input_parameters!O14))</f>
        <v>0.13014266018458187</v>
      </c>
      <c r="G34">
        <f ca="1">G33 * (1 - (input_parameters!O13+input_parameters!O15)) + F33 * input_parameters!O9</f>
        <v>1.1105245517359377E-2</v>
      </c>
      <c r="H34">
        <f ca="1">H33 * (1 - (input_parameters!O16)) + G33 * input_parameters!O13</f>
        <v>8.049167852720673E-3</v>
      </c>
      <c r="I34">
        <f ca="1">I33 * (1 - (0)) + F33 * input_parameters!O14+G33 * input_parameters!O15+H33 * input_parameters!O16</f>
        <v>0.8507029264453384</v>
      </c>
      <c r="J34">
        <f ca="1">J33 * (1 - (input_parameters!O10+input_parameters!O14))</f>
        <v>0.13727431635042486</v>
      </c>
      <c r="K34">
        <f ca="1">K33 * (1 - (input_parameters!O13+input_parameters!O15)) + J33 * input_parameters!O10</f>
        <v>6.8593340836604916E-3</v>
      </c>
      <c r="L34">
        <f ca="1">L33 * (1 - (input_parameters!O16)) + K33 * input_parameters!O13</f>
        <v>4.9068499354162432E-3</v>
      </c>
      <c r="M34">
        <f ca="1">M33 * (1 - (0)) + J33 * input_parameters!O14+K33 * input_parameters!O15+L33 * input_parameters!O16</f>
        <v>0.85095949963049777</v>
      </c>
      <c r="N34">
        <f ca="1">N33 * (1 - (input_parameters!O11+input_parameters!O14))</f>
        <v>0.13385813118064677</v>
      </c>
      <c r="O34">
        <f ca="1">O33 * (1 - (input_parameters!O13+input_parameters!O15)) + N33 * input_parameters!O11</f>
        <v>8.8988646733906742E-3</v>
      </c>
      <c r="P34">
        <f ca="1">P33 * (1 - (input_parameters!O16)) + O33 * input_parameters!O13</f>
        <v>6.4054924796288996E-3</v>
      </c>
      <c r="Q34">
        <f ca="1">Q33 * (1 - (0)) + N33 * input_parameters!O14+O33 * input_parameters!O15+P33 * input_parameters!O16</f>
        <v>0.85083751166633392</v>
      </c>
      <c r="R34">
        <f ca="1">R33 * (1 - (input_parameters!O12+input_parameters!O14))</f>
        <v>0.13345838128292684</v>
      </c>
      <c r="S34">
        <f ca="1">S33 * (1 - (input_parameters!O13+input_parameters!O15)) + R33 * input_parameters!O12</f>
        <v>9.1368504893255022E-3</v>
      </c>
      <c r="T34">
        <f ca="1">T33 * (1 - (input_parameters!O16)) + S33 * input_parameters!O13</f>
        <v>6.5816396588572875E-3</v>
      </c>
      <c r="U34">
        <f ca="1">U33 * (1 - (0)) + R33 * input_parameters!O14+S33 * input_parameters!O15+T33 * input_parameters!O16</f>
        <v>0.85082312856889108</v>
      </c>
      <c r="V34">
        <f ca="1">F34 * state_costs!E9 + G34 * state_costs!F9 + H34 * state_costs!G9 + I34 * state_costs!H9</f>
        <v>14.071949046094673</v>
      </c>
      <c r="W34">
        <f ca="1">F34 * state_qalys!E9 + G34 * state_qalys!F9 + H34 * state_qalys!G9 + I34 * state_qalys!H9</f>
        <v>0.11023399872751434</v>
      </c>
      <c r="X34">
        <f ca="1">(F34 * state_costs!E9 + G34 * state_costs!F9 + H34 * state_costs!G9 + I34 * state_costs!H9) * (1 / (1 + model_settings!F10)^(26 * model_settings!F9))</f>
        <v>5.7531428715127078</v>
      </c>
      <c r="Y34">
        <f ca="1">(F34 * state_qalys!E9 + G34 * state_qalys!F9 + H34 * state_qalys!G9 + I34 * state_qalys!H9) * (1 / (1 + model_settings!F11)^(26 * model_settings!F9))</f>
        <v>4.5067811281873885E-2</v>
      </c>
      <c r="Z34">
        <f ca="1">J34 * state_costs!I9 + K34 * state_costs!J9 + L34 * state_costs!K9 + M34 * state_costs!L9</f>
        <v>8.5410504948324579</v>
      </c>
      <c r="AA34">
        <f ca="1">J34 * state_qalys!I9 + K34 * state_qalys!J9 + L34 * state_qalys!K9 + M34 * state_qalys!L9</f>
        <v>0.11144766236023118</v>
      </c>
      <c r="AB34">
        <f ca="1">(J34 * state_costs!I9 + K34 * state_costs!J9 + L34 * state_costs!K9 + M34 * state_costs!L9) * (1 / (1 + model_settings!F10)^(26 * model_settings!F9))</f>
        <v>3.4919031904263798</v>
      </c>
      <c r="AC34">
        <f ca="1">(J34 * state_qalys!I9 + K34 * state_qalys!J9 + L34 * state_qalys!K9 + M34 * state_qalys!L9) * (1 / (1 + model_settings!F11)^(26 * model_settings!F9))</f>
        <v>4.5564002694599114E-2</v>
      </c>
      <c r="AD34">
        <f ca="1">N34 * state_costs!M9 + O34 * state_costs!N9 + P34 * state_costs!O9 + Q34 * state_costs!P9</f>
        <v>11.206429205107213</v>
      </c>
      <c r="AE34">
        <f ca="1">N34 * state_qalys!M9 + O34 * state_qalys!N9 + P34 * state_qalys!O9 + Q34 * state_qalys!P9</f>
        <v>0.11086581884706419</v>
      </c>
      <c r="AF34">
        <f ca="1">(N34 * state_costs!M9 + O34 * state_costs!N9 + P34 * state_costs!O9 + Q34 * state_costs!P9) * (1 / (1 + model_settings!F10)^(26 * model_settings!F9))</f>
        <v>4.5816104141143876</v>
      </c>
      <c r="AG34">
        <f ca="1">(N34 * state_qalys!M9 + O34 * state_qalys!N9 + P34 * state_qalys!O9 + Q34 * state_qalys!P9) * (1 / (1 + model_settings!F11)^(26 * model_settings!F9))</f>
        <v>4.5326123147910333E-2</v>
      </c>
      <c r="AH34">
        <f ca="1">R34 * state_costs!Q9 + S34 * state_costs!R9 + T34 * state_costs!S9 + U34 * state_costs!T9</f>
        <v>11.495170047531275</v>
      </c>
      <c r="AI34">
        <f ca="1">R34 * state_qalys!Q9 + S34 * state_qalys!R9 + T34 * state_qalys!S9 + U34 * state_qalys!T9</f>
        <v>0.1107977902403364</v>
      </c>
      <c r="AJ34">
        <f ca="1">(R34 * state_costs!Q9 + S34 * state_costs!R9 + T34 * state_costs!S9 + U34 * state_costs!T9) * (1 / (1 + model_settings!F10)^(26 * model_settings!F9))</f>
        <v>4.6996585475936365</v>
      </c>
      <c r="AK34">
        <f ca="1">(R34 * state_qalys!Q9 + S34 * state_qalys!R9 + T34 * state_qalys!S9 + U34 * state_qalys!T9) * (1 / (1 + model_settings!F11)^(26 * model_settings!F9))</f>
        <v>4.5298310490788501E-2</v>
      </c>
    </row>
    <row r="35" spans="5:37" x14ac:dyDescent="0.45">
      <c r="E35">
        <v>27</v>
      </c>
      <c r="F35">
        <f ca="1">F34 * (1 - (input_parameters!O9+input_parameters!O14))</f>
        <v>0.11994895449037488</v>
      </c>
      <c r="G35">
        <f ca="1">G34 * (1 - (input_parameters!O13+input_parameters!O15)) + F34 * input_parameters!O9</f>
        <v>1.0466423792518441E-2</v>
      </c>
      <c r="H35">
        <f ca="1">H34 * (1 - (input_parameters!O16)) + G34 * input_parameters!O13</f>
        <v>7.9988688284695856E-3</v>
      </c>
      <c r="I35">
        <f ca="1">I34 * (1 - (0)) + F34 * input_parameters!O14+G34 * input_parameters!O15+H34 * input_parameters!O16</f>
        <v>0.86158575288863748</v>
      </c>
      <c r="J35">
        <f ca="1">J34 * (1 - (input_parameters!O10+input_parameters!O14))</f>
        <v>0.12679229449214988</v>
      </c>
      <c r="K35">
        <f ca="1">K34 * (1 - (input_parameters!O13+input_parameters!O15)) + J34 * input_parameters!O10</f>
        <v>6.4740213532687397E-3</v>
      </c>
      <c r="L35">
        <f ca="1">L34 * (1 - (input_parameters!O16)) + K34 * input_parameters!O13</f>
        <v>4.8798749528986968E-3</v>
      </c>
      <c r="M35">
        <f ca="1">M34 * (1 - (0)) + J34 * input_parameters!O14+K34 * input_parameters!O15+L34 * input_parameters!O16</f>
        <v>0.86185380920168198</v>
      </c>
      <c r="N35">
        <f ca="1">N34 * (1 - (input_parameters!O11+input_parameters!O14))</f>
        <v>0.12351239631852585</v>
      </c>
      <c r="O35">
        <f ca="1">O34 * (1 - (input_parameters!O13+input_parameters!O15)) + N34 * input_parameters!O11</f>
        <v>8.3932859047022197E-3</v>
      </c>
      <c r="P35">
        <f ca="1">P34 * (1 - (input_parameters!O16)) + O34 * input_parameters!O13</f>
        <v>6.3679938420507102E-3</v>
      </c>
      <c r="Q35">
        <f ca="1">Q34 * (1 - (0)) + N34 * input_parameters!O14+O34 * input_parameters!O15+P34 * input_parameters!O16</f>
        <v>0.86172632393472148</v>
      </c>
      <c r="R35">
        <f ca="1">R34 * (1 - (input_parameters!O12+input_parameters!O14))</f>
        <v>0.12312881139786981</v>
      </c>
      <c r="S35">
        <f ca="1">S34 * (1 - (input_parameters!O13+input_parameters!O15)) + R34 * input_parameters!O12</f>
        <v>8.6170589100289918E-3</v>
      </c>
      <c r="T35">
        <f ca="1">T34 * (1 - (input_parameters!O16)) + S34 * input_parameters!O13</f>
        <v>6.5428325322220374E-3</v>
      </c>
      <c r="U35">
        <f ca="1">U34 * (1 - (0)) + R34 * input_parameters!O14+S34 * input_parameters!O15+T34 * input_parameters!O16</f>
        <v>0.86171129715987982</v>
      </c>
      <c r="V35">
        <f ca="1">F35 * state_costs!E9 + G35 * state_costs!F9 + H35 * state_costs!G9 + I35 * state_costs!H9</f>
        <v>13.358072700072682</v>
      </c>
      <c r="W35">
        <f ca="1">F35 * state_qalys!E9 + G35 * state_qalys!F9 + H35 * state_qalys!G9 + I35 * state_qalys!H9</f>
        <v>0.10206200410697114</v>
      </c>
      <c r="X35">
        <f ca="1">(F35 * state_costs!E9 + G35 * state_costs!F9 + H35 * state_costs!G9 + I35 * state_costs!H9) * (1 / (1 + model_settings!F10)^(27 * model_settings!F9))</f>
        <v>5.2766022502139007</v>
      </c>
      <c r="Y35">
        <f ca="1">(F35 * state_qalys!E9 + G35 * state_qalys!F9 + H35 * state_qalys!G9 + I35 * state_qalys!H9) * (1 / (1 + model_settings!F11)^(27 * model_settings!F9))</f>
        <v>4.0315741097086112E-2</v>
      </c>
      <c r="Z35">
        <f ca="1">J35 * state_costs!I9 + K35 * state_costs!J9 + L35 * state_costs!K9 + M35 * state_costs!L9</f>
        <v>8.1216081938983482</v>
      </c>
      <c r="AA35">
        <f ca="1">J35 * state_qalys!I9 + K35 * state_qalys!J9 + L35 * state_qalys!K9 + M35 * state_qalys!L9</f>
        <v>0.10321479350280477</v>
      </c>
      <c r="AB35">
        <f ca="1">(J35 * state_costs!I9 + K35 * state_costs!J9 + L35 * state_costs!K9 + M35 * state_costs!L9) * (1 / (1 + model_settings!F10)^(27 * model_settings!F9))</f>
        <v>3.2081346638461179</v>
      </c>
      <c r="AC35">
        <f ca="1">(J35 * state_qalys!I9 + K35 * state_qalys!J9 + L35 * state_qalys!K9 + M35 * state_qalys!L9) * (1 / (1 + model_settings!F11)^(27 * model_settings!F9))</f>
        <v>4.0771107021247116E-2</v>
      </c>
      <c r="AD35">
        <f ca="1">N35 * state_costs!M9 + O35 * state_costs!N9 + P35 * state_costs!O9 + Q35 * state_costs!P9</f>
        <v>10.646577437819344</v>
      </c>
      <c r="AE35">
        <f ca="1">N35 * state_qalys!M9 + O35 * state_qalys!N9 + P35 * state_qalys!O9 + Q35 * state_qalys!P9</f>
        <v>0.10266176136232405</v>
      </c>
      <c r="AF35">
        <f ca="1">(N35 * state_costs!M9 + O35 * state_costs!N9 + P35 * state_costs!O9 + Q35 * state_costs!P9) * (1 / (1 + model_settings!F10)^(27 * model_settings!F9))</f>
        <v>4.2055284266545749</v>
      </c>
      <c r="AG35">
        <f ca="1">(N35 * state_qalys!M9 + O35 * state_qalys!N9 + P35 * state_qalys!O9 + Q35 * state_qalys!P9) * (1 / (1 + model_settings!F11)^(27 * model_settings!F9))</f>
        <v>4.0552652555365575E-2</v>
      </c>
      <c r="AH35">
        <f ca="1">R35 * state_costs!Q9 + S35 * state_costs!R9 + T35 * state_costs!S9 + U35 * state_costs!T9</f>
        <v>10.920456175546519</v>
      </c>
      <c r="AI35">
        <f ca="1">R35 * state_qalys!Q9 + S35 * state_qalys!R9 + T35 * state_qalys!S9 + U35 * state_qalys!T9</f>
        <v>0.1025971457040406</v>
      </c>
      <c r="AJ35">
        <f ca="1">(R35 * state_costs!Q9 + S35 * state_costs!R9 + T35 * state_costs!S9 + U35 * state_costs!T9) * (1 / (1 + model_settings!F10)^(27 * model_settings!F9))</f>
        <v>4.3137138809655919</v>
      </c>
      <c r="AK35">
        <f ca="1">(R35 * state_qalys!Q9 + S35 * state_qalys!R9 + T35 * state_qalys!S9 + U35 * state_qalys!T9) * (1 / (1 + model_settings!F11)^(27 * model_settings!F9))</f>
        <v>4.0527128579298605E-2</v>
      </c>
    </row>
    <row r="36" spans="5:37" x14ac:dyDescent="0.45">
      <c r="E36">
        <v>28</v>
      </c>
      <c r="F36">
        <f ca="1">F35 * (1 - (input_parameters!O9+input_parameters!O14))</f>
        <v>0.11055369287002291</v>
      </c>
      <c r="G36">
        <f ca="1">G35 * (1 - (input_parameters!O13+input_parameters!O15)) + F35 * input_parameters!O9</f>
        <v>9.8510461626948286E-3</v>
      </c>
      <c r="H36">
        <f ca="1">H35 * (1 - (input_parameters!O16)) + G35 * input_parameters!O13</f>
        <v>7.9254134495868062E-3</v>
      </c>
      <c r="I36">
        <f ca="1">I35 * (1 - (0)) + F35 * input_parameters!O14+G35 * input_parameters!O15+H35 * input_parameters!O16</f>
        <v>0.87166984751769572</v>
      </c>
      <c r="J36">
        <f ca="1">J35 * (1 - (input_parameters!O10+input_parameters!O14))</f>
        <v>0.11711066111992553</v>
      </c>
      <c r="K36">
        <f ca="1">K35 * (1 - (input_parameters!O13+input_parameters!O15)) + J35 * input_parameters!O10</f>
        <v>6.1021928751136103E-3</v>
      </c>
      <c r="L36">
        <f ca="1">L35 * (1 - (input_parameters!O16)) + K35 * input_parameters!O13</f>
        <v>4.8387206562637442E-3</v>
      </c>
      <c r="M36">
        <f ca="1">M35 * (1 - (0)) + J35 * input_parameters!O14+K35 * input_parameters!O15+L35 * input_parameters!O16</f>
        <v>0.87194842534869643</v>
      </c>
      <c r="N36">
        <f ca="1">N35 * (1 - (input_parameters!O11+input_parameters!O14))</f>
        <v>0.11396627093020566</v>
      </c>
      <c r="O36">
        <f ca="1">O35 * (1 - (input_parameters!O13+input_parameters!O15)) + N35 * input_parameters!O11</f>
        <v>7.9058090652068987E-3</v>
      </c>
      <c r="P36">
        <f ca="1">P35 * (1 - (input_parameters!O16)) + O35 * input_parameters!O13</f>
        <v>6.3120229626124078E-3</v>
      </c>
      <c r="Q36">
        <f ca="1">Q35 * (1 - (0)) + N35 * input_parameters!O14+O35 * input_parameters!O15+P35 * input_parameters!O16</f>
        <v>0.87181589704197526</v>
      </c>
      <c r="R36">
        <f ca="1">R35 * (1 - (input_parameters!O12+input_parameters!O14))</f>
        <v>0.11359874179885385</v>
      </c>
      <c r="S36">
        <f ca="1">S35 * (1 - (input_parameters!O13+input_parameters!O15)) + R35 * input_parameters!O12</f>
        <v>8.1159277740916625E-3</v>
      </c>
      <c r="T36">
        <f ca="1">T35 * (1 - (input_parameters!O16)) + S35 * input_parameters!O13</f>
        <v>6.4850499251812611E-3</v>
      </c>
      <c r="U36">
        <f ca="1">U35 * (1 - (0)) + R35 * input_parameters!O14+S35 * input_parameters!O15+T35 * input_parameters!O16</f>
        <v>0.87180028050187386</v>
      </c>
      <c r="V36">
        <f ca="1">F36 * state_costs!E9 + G36 * state_costs!F9 + H36 * state_costs!G9 + I36 * state_costs!H9</f>
        <v>12.676336683071558</v>
      </c>
      <c r="W36">
        <f ca="1">F36 * state_qalys!E9 + G36 * state_qalys!F9 + H36 * state_qalys!G9 + I36 * state_qalys!H9</f>
        <v>9.4499416480406481E-2</v>
      </c>
      <c r="X36">
        <f ca="1">(F36 * state_costs!E9 + G36 * state_costs!F9 + H36 * state_costs!G9 + I36 * state_costs!H9) * (1 / (1 + model_settings!F10)^(28 * model_settings!F9))</f>
        <v>4.8379789154336903</v>
      </c>
      <c r="Y36">
        <f ca="1">(F36 * state_qalys!E9 + G36 * state_qalys!F9 + H36 * state_qalys!G9 + I36 * state_qalys!H9) * (1 / (1 + model_settings!F11)^(28 * model_settings!F9))</f>
        <v>3.6066112464773571E-2</v>
      </c>
      <c r="Z36">
        <f ca="1">J36 * state_costs!I9 + K36 * state_costs!J9 + L36 * state_costs!K9 + M36 * state_costs!L9</f>
        <v>7.7199447347321737</v>
      </c>
      <c r="AA36">
        <f ca="1">J36 * state_qalys!I9 + K36 * state_qalys!J9 + L36 * state_qalys!K9 + M36 * state_qalys!L9</f>
        <v>9.5592183579769202E-2</v>
      </c>
      <c r="AB36">
        <f ca="1">(J36 * state_costs!I9 + K36 * state_costs!J9 + L36 * state_costs!K9 + M36 * state_costs!L9) * (1 / (1 + model_settings!F10)^(28 * model_settings!F9))</f>
        <v>2.9463504156389848</v>
      </c>
      <c r="AC36">
        <f ca="1">(J36 * state_qalys!I9 + K36 * state_qalys!J9 + L36 * state_qalys!K9 + M36 * state_qalys!L9) * (1 / (1 + model_settings!F11)^(28 * model_settings!F9))</f>
        <v>3.6483171771288889E-2</v>
      </c>
      <c r="AD36">
        <f ca="1">N36 * state_costs!M9 + O36 * state_costs!N9 + P36 * state_costs!O9 + Q36 * state_costs!P9</f>
        <v>10.111244366177434</v>
      </c>
      <c r="AE36">
        <f ca="1">N36 * state_qalys!M9 + O36 * state_qalys!N9 + P36 * state_qalys!O9 + Q36 * state_qalys!P9</f>
        <v>9.5067586919936206E-2</v>
      </c>
      <c r="AF36">
        <f ca="1">(N36 * state_costs!M9 + O36 * state_costs!N9 + P36 * state_costs!O9 + Q36 * state_costs!P9) * (1 / (1 + model_settings!F10)^(28 * model_settings!F9))</f>
        <v>3.8590002991708938</v>
      </c>
      <c r="AG36">
        <f ca="1">(N36 * state_qalys!M9 + O36 * state_qalys!N9 + P36 * state_qalys!O9 + Q36 * state_qalys!P9) * (1 / (1 + model_settings!F11)^(28 * model_settings!F9))</f>
        <v>3.6282957179105617E-2</v>
      </c>
      <c r="AH36">
        <f ca="1">R36 * state_costs!Q9 + S36 * state_costs!R9 + T36 * state_costs!S9 + U36 * state_costs!T9</f>
        <v>10.370939045849592</v>
      </c>
      <c r="AI36">
        <f ca="1">R36 * state_qalys!Q9 + S36 * state_qalys!R9 + T36 * state_qalys!S9 + U36 * state_qalys!T9</f>
        <v>9.5006336413219802E-2</v>
      </c>
      <c r="AJ36">
        <f ca="1">(R36 * state_costs!Q9 + S36 * state_costs!R9 + T36 * state_costs!S9 + U36 * state_costs!T9) * (1 / (1 + model_settings!F10)^(28 * model_settings!F9))</f>
        <v>3.9581139008458988</v>
      </c>
      <c r="AK36">
        <f ca="1">(R36 * state_qalys!Q9 + S36 * state_qalys!R9 + T36 * state_qalys!S9 + U36 * state_qalys!T9) * (1 / (1 + model_settings!F11)^(28 * model_settings!F9))</f>
        <v>3.6259580657365759E-2</v>
      </c>
    </row>
    <row r="37" spans="5:37" x14ac:dyDescent="0.45">
      <c r="E37">
        <v>29</v>
      </c>
      <c r="F37">
        <f ca="1">F36 * (1 - (input_parameters!O9+input_parameters!O14))</f>
        <v>0.1018943354623412</v>
      </c>
      <c r="G37">
        <f ca="1">G36 * (1 - (input_parameters!O13+input_parameters!O15)) + F36 * input_parameters!O9</f>
        <v>9.2603374627300596E-3</v>
      </c>
      <c r="H37">
        <f ca="1">H36 * (1 - (input_parameters!O16)) + G36 * input_parameters!O13</f>
        <v>7.8312295915454414E-3</v>
      </c>
      <c r="I37">
        <f ca="1">I36 * (1 - (0)) + F36 * input_parameters!O14+G36 * input_parameters!O15+H36 * input_parameters!O16</f>
        <v>0.88101409748338366</v>
      </c>
      <c r="J37">
        <f ca="1">J36 * (1 - (input_parameters!O10+input_parameters!O14))</f>
        <v>0.10816829999708832</v>
      </c>
      <c r="K37">
        <f ca="1">K36 * (1 - (input_parameters!O13+input_parameters!O15)) + J36 * input_parameters!O10</f>
        <v>5.7446536004806597E-3</v>
      </c>
      <c r="L37">
        <f ca="1">L36 * (1 - (input_parameters!O16)) + K36 * input_parameters!O13</f>
        <v>4.7848377932823444E-3</v>
      </c>
      <c r="M37">
        <f ca="1">M36 * (1 - (0)) + J36 * input_parameters!O14+K36 * input_parameters!O15+L36 * input_parameters!O16</f>
        <v>0.88130220860914799</v>
      </c>
      <c r="N37">
        <f ca="1">N36 * (1 - (input_parameters!O11+input_parameters!O14))</f>
        <v>0.10515795415580402</v>
      </c>
      <c r="O37">
        <f ca="1">O36 * (1 - (input_parameters!O13+input_parameters!O15)) + N36 * input_parameters!O11</f>
        <v>7.4374493742280102E-3</v>
      </c>
      <c r="P37">
        <f ca="1">P36 * (1 - (input_parameters!O16)) + O36 * input_parameters!O13</f>
        <v>6.2394918767283564E-3</v>
      </c>
      <c r="Q37">
        <f ca="1">Q36 * (1 - (0)) + N36 * input_parameters!O14+O36 * input_parameters!O15+P36 * input_parameters!O16</f>
        <v>0.88116510459323982</v>
      </c>
      <c r="R37">
        <f ca="1">R36 * (1 - (input_parameters!O12+input_parameters!O14))</f>
        <v>0.10480629181567752</v>
      </c>
      <c r="S37">
        <f ca="1">S36 * (1 - (input_parameters!O13+input_parameters!O15)) + R36 * input_parameters!O12</f>
        <v>7.6344958359094647E-3</v>
      </c>
      <c r="T37">
        <f ca="1">T36 * (1 - (input_parameters!O16)) + S36 * input_parameters!O13</f>
        <v>6.4102586568394954E-3</v>
      </c>
      <c r="U37">
        <f ca="1">U36 * (1 - (0)) + R36 * input_parameters!O14+S36 * input_parameters!O15+T36 * input_parameters!O16</f>
        <v>0.8811489536915742</v>
      </c>
      <c r="V37">
        <f ca="1">F37 * state_costs!E9 + G37 * state_costs!F9 + H37 * state_costs!G9 + I37 * state_costs!H9</f>
        <v>12.025639549133508</v>
      </c>
      <c r="W37">
        <f ca="1">F37 * state_qalys!E9 + G37 * state_qalys!F9 + H37 * state_qalys!G9 + I37 * state_qalys!H9</f>
        <v>8.7500612172931896E-2</v>
      </c>
      <c r="X37">
        <f ca="1">(F37 * state_costs!E9 + G37 * state_costs!F9 + H37 * state_costs!G9 + I37 * state_costs!H9) * (1 / (1 + model_settings!F10)^(29 * model_settings!F9))</f>
        <v>4.4344323961179262</v>
      </c>
      <c r="Y37">
        <f ca="1">(F37 * state_qalys!E9 + G37 * state_qalys!F9 + H37 * state_qalys!G9 + I37 * state_qalys!H9) * (1 / (1 + model_settings!F11)^(29 * model_settings!F9))</f>
        <v>3.2265689297810173E-2</v>
      </c>
      <c r="Z37">
        <f ca="1">J37 * state_costs!I9 + K37 * state_costs!J9 + L37 * state_costs!K9 + M37 * state_costs!L9</f>
        <v>7.3355511933644797</v>
      </c>
      <c r="AA37">
        <f ca="1">J37 * state_qalys!I9 + K37 * state_qalys!J9 + L37 * state_qalys!K9 + M37 * state_qalys!L9</f>
        <v>8.8534498527942734E-2</v>
      </c>
      <c r="AB37">
        <f ca="1">(J37 * state_costs!I9 + K37 * state_costs!J9 + L37 * state_costs!K9 + M37 * state_costs!L9) * (1 / (1 + model_settings!F10)^(29 * model_settings!F9))</f>
        <v>2.7049709682659495</v>
      </c>
      <c r="AC37">
        <f ca="1">(J37 * state_qalys!I9 + K37 * state_qalys!J9 + L37 * state_qalys!K9 + M37 * state_qalys!L9) * (1 / (1 + model_settings!F11)^(29 * model_settings!F9))</f>
        <v>3.2646932983672577E-2</v>
      </c>
      <c r="AD37">
        <f ca="1">N37 * state_costs!M9 + O37 * state_costs!N9 + P37 * state_costs!O9 + Q37 * state_costs!P9</f>
        <v>9.59965176717456</v>
      </c>
      <c r="AE37">
        <f ca="1">N37 * state_qalys!M9 + O37 * state_qalys!N9 + P37 * state_qalys!O9 + Q37 * state_qalys!P9</f>
        <v>8.8037822090514847E-2</v>
      </c>
      <c r="AF37">
        <f ca="1">(N37 * state_costs!M9 + O37 * state_costs!N9 + P37 * state_costs!O9 + Q37 * state_costs!P9) * (1 / (1 + model_settings!F10)^(29 * model_settings!F9))</f>
        <v>3.5398538775325945</v>
      </c>
      <c r="AG37">
        <f ca="1">(N37 * state_qalys!M9 + O37 * state_qalys!N9 + P37 * state_qalys!O9 + Q37 * state_qalys!P9) * (1 / (1 + model_settings!F11)^(29 * model_settings!F9))</f>
        <v>3.2463784463752289E-2</v>
      </c>
      <c r="AH37">
        <f ca="1">R37 * state_costs!Q9 + S37 * state_costs!R9 + T37 * state_costs!S9 + U37 * state_costs!T9</f>
        <v>9.8458170563750631</v>
      </c>
      <c r="AI37">
        <f ca="1">R37 * state_qalys!Q9 + S37 * state_qalys!R9 + T37 * state_qalys!S9 + U37 * state_qalys!T9</f>
        <v>8.797987270267095E-2</v>
      </c>
      <c r="AJ37">
        <f ca="1">(R37 * state_costs!Q9 + S37 * state_costs!R9 + T37 * state_costs!S9 + U37 * state_costs!T9) * (1 / (1 + model_settings!F10)^(29 * model_settings!F9))</f>
        <v>3.6306268737437692</v>
      </c>
      <c r="AK37">
        <f ca="1">(R37 * state_qalys!Q9 + S37 * state_qalys!R9 + T37 * state_qalys!S9 + U37 * state_qalys!T9) * (1 / (1 + model_settings!F11)^(29 * model_settings!F9))</f>
        <v>3.2442415733903017E-2</v>
      </c>
    </row>
    <row r="38" spans="5:37" x14ac:dyDescent="0.45">
      <c r="E38">
        <v>30</v>
      </c>
      <c r="F38">
        <f ca="1">F37 * (1 - (input_parameters!O9+input_parameters!O14))</f>
        <v>9.3913240976207749E-2</v>
      </c>
      <c r="G38">
        <f ca="1">G37 * (1 - (input_parameters!O13+input_parameters!O15)) + F37 * input_parameters!O9</f>
        <v>8.6950742185207472E-3</v>
      </c>
      <c r="H38">
        <f ca="1">H37 * (1 - (input_parameters!O16)) + G37 * input_parameters!O13</f>
        <v>7.7186423757761866E-3</v>
      </c>
      <c r="I38">
        <f ca="1">I37 * (1 - (0)) + F37 * input_parameters!O14+G37 * input_parameters!O15+H37 * input_parameters!O16</f>
        <v>0.88967304242949563</v>
      </c>
      <c r="J38">
        <f ca="1">J37 * (1 - (input_parameters!O10+input_parameters!O14))</f>
        <v>9.9908761613756808E-2</v>
      </c>
      <c r="K38">
        <f ca="1">K37 * (1 - (input_parameters!O13+input_parameters!O15)) + J37 * input_parameters!O10</f>
        <v>5.401935835299479E-3</v>
      </c>
      <c r="L38">
        <f ca="1">L37 * (1 - (input_parameters!O16)) + K37 * input_parameters!O13</f>
        <v>4.7196187239294954E-3</v>
      </c>
      <c r="M38">
        <f ca="1">M37 * (1 - (0)) + J37 * input_parameters!O14+K37 * input_parameters!O15+L37 * input_parameters!O16</f>
        <v>0.88996968382701358</v>
      </c>
      <c r="N38">
        <f ca="1">N37 * (1 - (input_parameters!O11+input_parameters!O14))</f>
        <v>9.70304216499841E-2</v>
      </c>
      <c r="O38">
        <f ca="1">O37 * (1 - (input_parameters!O13+input_parameters!O15)) + N37 * input_parameters!O11</f>
        <v>6.9888656742242037E-3</v>
      </c>
      <c r="P38">
        <f ca="1">P37 * (1 - (input_parameters!O16)) + O37 * input_parameters!O13</f>
        <v>6.1522337839258557E-3</v>
      </c>
      <c r="Q38">
        <f ca="1">Q37 * (1 - (0)) + N37 * input_parameters!O14+O37 * input_parameters!O15+P37 * input_parameters!O16</f>
        <v>0.88982847889186611</v>
      </c>
      <c r="R38">
        <f ca="1">R37 * (1 - (input_parameters!O12+input_parameters!O14))</f>
        <v>9.6694370291553519E-2</v>
      </c>
      <c r="S38">
        <f ca="1">S37 * (1 - (input_parameters!O13+input_parameters!O15)) + R37 * input_parameters!O12</f>
        <v>7.1734356241343411E-3</v>
      </c>
      <c r="T38">
        <f ca="1">T37 * (1 - (input_parameters!O16)) + S37 * input_parameters!O13</f>
        <v>6.3203442227209774E-3</v>
      </c>
      <c r="U38">
        <f ca="1">U37 * (1 - (0)) + R37 * input_parameters!O14+S37 * input_parameters!O15+T37 * input_parameters!O16</f>
        <v>0.88981184986159179</v>
      </c>
      <c r="V38">
        <f ca="1">F38 * state_costs!E9 + G38 * state_costs!F9 + H38 * state_costs!G9 + I38 * state_costs!H9</f>
        <v>11.404886492095429</v>
      </c>
      <c r="W38">
        <f ca="1">F38 * state_qalys!E9 + G38 * state_qalys!F9 + H38 * state_qalys!G9 + I38 * state_qalys!H9</f>
        <v>8.1023388039951322E-2</v>
      </c>
      <c r="X38">
        <f ca="1">(F38 * state_costs!E9 + G38 * state_costs!F9 + H38 * state_costs!G9 + I38 * state_costs!H9) * (1 / (1 + model_settings!F10)^(30 * model_settings!F9))</f>
        <v>4.0633148325034272</v>
      </c>
      <c r="Y38">
        <f ca="1">(F38 * state_qalys!E9 + G38 * state_qalys!F9 + H38 * state_qalys!G9 + I38 * state_qalys!H9) * (1 / (1 + model_settings!F11)^(30 * model_settings!F9))</f>
        <v>2.8866883912487453E-2</v>
      </c>
      <c r="Z38">
        <f ca="1">J38 * state_costs!I9 + K38 * state_costs!J9 + L38 * state_costs!K9 + M38 * state_costs!L9</f>
        <v>6.9679097810238844</v>
      </c>
      <c r="AA38">
        <f ca="1">J38 * state_qalys!I9 + K38 * state_qalys!J9 + L38 * state_qalys!K9 + M38 * state_qalys!L9</f>
        <v>8.1999774191695851E-2</v>
      </c>
      <c r="AB38">
        <f ca="1">(J38 * state_costs!I9 + K38 * state_costs!J9 + L38 * state_costs!K9 + M38 * state_costs!L9) * (1 / (1 + model_settings!F10)^(30 * model_settings!F9))</f>
        <v>2.482515822003426</v>
      </c>
      <c r="AC38">
        <f ca="1">(J38 * state_qalys!I9 + K38 * state_qalys!J9 + L38 * state_qalys!K9 + M38 * state_qalys!L9) * (1 / (1 + model_settings!F11)^(30 * model_settings!F9))</f>
        <v>2.9214749218765091E-2</v>
      </c>
      <c r="AD38">
        <f ca="1">N38 * state_costs!M9 + O38 * state_costs!N9 + P38 * state_costs!O9 + Q38 * state_costs!P9</f>
        <v>9.1110187596583252</v>
      </c>
      <c r="AE38">
        <f ca="1">N38 * state_qalys!M9 + O38 * state_qalys!N9 + P38 * state_qalys!O9 + Q38 * state_qalys!P9</f>
        <v>8.1530387328190679E-2</v>
      </c>
      <c r="AF38">
        <f ca="1">(N38 * state_costs!M9 + O38 * state_costs!N9 + P38 * state_costs!O9 + Q38 * state_costs!P9) * (1 / (1 + model_settings!F10)^(30 * model_settings!F9))</f>
        <v>3.2460592826588286</v>
      </c>
      <c r="AG38">
        <f ca="1">(N38 * state_qalys!M9 + O38 * state_qalys!N9 + P38 * state_qalys!O9 + Q38 * state_qalys!P9) * (1 / (1 + model_settings!F11)^(30 * model_settings!F9))</f>
        <v>2.9047516813077868E-2</v>
      </c>
      <c r="AH38">
        <f ca="1">R38 * state_costs!Q9 + S38 * state_costs!R9 + T38 * state_costs!S9 + U38 * state_costs!T9</f>
        <v>9.3442860535490073</v>
      </c>
      <c r="AI38">
        <f ca="1">R38 * state_qalys!Q9 + S38 * state_qalys!R9 + T38 * state_qalys!S9 + U38 * state_qalys!T9</f>
        <v>8.1475661628967383E-2</v>
      </c>
      <c r="AJ38">
        <f ca="1">(R38 * state_costs!Q9 + S38 * state_costs!R9 + T38 * state_costs!S9 + U38 * state_costs!T9) * (1 / (1 + model_settings!F10)^(30 * model_settings!F9))</f>
        <v>3.3291673833717006</v>
      </c>
      <c r="AK38">
        <f ca="1">(R38 * state_qalys!Q9 + S38 * state_qalys!R9 + T38 * state_qalys!S9 + U38 * state_qalys!T9) * (1 / (1 + model_settings!F11)^(30 * model_settings!F9))</f>
        <v>2.9028019227939492E-2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T9"/>
  <sheetViews>
    <sheetView workbookViewId="0">
      <selection activeCell="E9" sqref="E9"/>
    </sheetView>
  </sheetViews>
  <sheetFormatPr defaultColWidth="10.9296875" defaultRowHeight="14.25" x14ac:dyDescent="0.45"/>
  <sheetData>
    <row r="8" spans="5:20" x14ac:dyDescent="0.45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45">
      <c r="E9">
        <f ca="1">input_parameters!O17</f>
        <v>45.069415673030079</v>
      </c>
      <c r="F9">
        <f ca="1">input_parameters!O21</f>
        <v>356.79799766064087</v>
      </c>
      <c r="G9">
        <f ca="1">input_parameters!O22</f>
        <v>527.28010037505453</v>
      </c>
      <c r="H9">
        <v>0</v>
      </c>
      <c r="I9">
        <f ca="1">input_parameters!O18</f>
        <v>25.542793402624358</v>
      </c>
      <c r="J9">
        <f ca="1">input_parameters!O21</f>
        <v>356.79799766064087</v>
      </c>
      <c r="K9">
        <f ca="1">input_parameters!O22</f>
        <v>527.28010037505453</v>
      </c>
      <c r="L9">
        <v>0</v>
      </c>
      <c r="M9">
        <f ca="1">input_parameters!O19</f>
        <v>34.766983144994612</v>
      </c>
      <c r="N9">
        <f ca="1">input_parameters!O21</f>
        <v>356.79799766064087</v>
      </c>
      <c r="O9">
        <f ca="1">input_parameters!O22</f>
        <v>527.28010037505453</v>
      </c>
      <c r="P9">
        <v>0</v>
      </c>
      <c r="Q9">
        <f ca="1">input_parameters!O20</f>
        <v>35.70245961517692</v>
      </c>
      <c r="R9">
        <f ca="1">input_parameters!O21</f>
        <v>356.79799766064087</v>
      </c>
      <c r="S9">
        <f ca="1">input_parameters!O22</f>
        <v>527.28010037505453</v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T9"/>
  <sheetViews>
    <sheetView workbookViewId="0">
      <selection activeCell="H9" sqref="H9"/>
    </sheetView>
  </sheetViews>
  <sheetFormatPr defaultColWidth="10.9296875" defaultRowHeight="14.25" x14ac:dyDescent="0.45"/>
  <sheetData>
    <row r="8" spans="5:20" x14ac:dyDescent="0.45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45">
      <c r="E9">
        <f ca="1">model_settings!F9 * input_parameters!O23</f>
        <v>0.76282265807941652</v>
      </c>
      <c r="F9">
        <f ca="1">model_settings!F9 * input_parameters!O24</f>
        <v>0.5751891427681739</v>
      </c>
      <c r="G9">
        <f ca="1">model_settings!F9 * input_parameters!O25</f>
        <v>0.56783660003815128</v>
      </c>
      <c r="H9">
        <f>model_settings!F9 * input_parameters!O26</f>
        <v>0</v>
      </c>
      <c r="I9">
        <f ca="1">model_settings!F9 * input_parameters!O23</f>
        <v>0.76282265807941652</v>
      </c>
      <c r="J9">
        <f ca="1">model_settings!F9 * input_parameters!O24</f>
        <v>0.5751891427681739</v>
      </c>
      <c r="K9">
        <f ca="1">model_settings!F9 * input_parameters!O25</f>
        <v>0.56783660003815128</v>
      </c>
      <c r="L9">
        <f>model_settings!F9 * input_parameters!O26</f>
        <v>0</v>
      </c>
      <c r="M9">
        <f ca="1">model_settings!F9 * input_parameters!O23</f>
        <v>0.76282265807941652</v>
      </c>
      <c r="N9">
        <f ca="1">model_settings!F9 * input_parameters!O24</f>
        <v>0.5751891427681739</v>
      </c>
      <c r="O9">
        <f ca="1">model_settings!F9 * input_parameters!O25</f>
        <v>0.56783660003815128</v>
      </c>
      <c r="P9">
        <f>model_settings!F9 * input_parameters!O26</f>
        <v>0</v>
      </c>
      <c r="Q9">
        <f ca="1">model_settings!F9 * input_parameters!O23</f>
        <v>0.76282265807941652</v>
      </c>
      <c r="R9">
        <f ca="1">model_settings!F9 * input_parameters!O24</f>
        <v>0.5751891427681739</v>
      </c>
      <c r="S9">
        <f ca="1">model_settings!F9 * input_parameters!O25</f>
        <v>0.56783660003815128</v>
      </c>
      <c r="T9">
        <f>model_settings!F9 * input_parameters!O26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159</v>
      </c>
      <c r="G9" t="s">
        <v>9</v>
      </c>
      <c r="H9" t="s">
        <v>10</v>
      </c>
    </row>
    <row r="10" spans="5:8" x14ac:dyDescent="0.45">
      <c r="E10" t="s">
        <v>11</v>
      </c>
      <c r="F10" t="s">
        <v>12</v>
      </c>
      <c r="G10" t="s">
        <v>9</v>
      </c>
      <c r="H10" t="s">
        <v>13</v>
      </c>
    </row>
    <row r="11" spans="5:8" x14ac:dyDescent="0.45">
      <c r="E11" t="s">
        <v>14</v>
      </c>
      <c r="F11" t="s">
        <v>12</v>
      </c>
      <c r="G11" t="s">
        <v>9</v>
      </c>
      <c r="H11" t="s">
        <v>15</v>
      </c>
    </row>
    <row r="12" spans="5:8" x14ac:dyDescent="0.45">
      <c r="E12" t="s">
        <v>16</v>
      </c>
      <c r="F12" t="s">
        <v>17</v>
      </c>
      <c r="G12" t="s">
        <v>9</v>
      </c>
      <c r="H12" t="s">
        <v>18</v>
      </c>
    </row>
    <row r="13" spans="5:8" x14ac:dyDescent="0.45">
      <c r="E13" t="s">
        <v>19</v>
      </c>
      <c r="F13" t="s">
        <v>20</v>
      </c>
      <c r="G13" t="s">
        <v>9</v>
      </c>
      <c r="H13" t="s">
        <v>21</v>
      </c>
    </row>
    <row r="14" spans="5:8" x14ac:dyDescent="0.45">
      <c r="E14" t="s">
        <v>22</v>
      </c>
      <c r="F14" t="s">
        <v>160</v>
      </c>
      <c r="G14" t="s">
        <v>23</v>
      </c>
      <c r="H14" t="s">
        <v>24</v>
      </c>
    </row>
    <row r="15" spans="5:8" x14ac:dyDescent="0.45">
      <c r="E15" t="s">
        <v>25</v>
      </c>
      <c r="F15" t="s">
        <v>161</v>
      </c>
      <c r="G15" t="s">
        <v>23</v>
      </c>
      <c r="H15" t="s">
        <v>26</v>
      </c>
    </row>
    <row r="16" spans="5:8" x14ac:dyDescent="0.45">
      <c r="E16" t="s">
        <v>27</v>
      </c>
      <c r="F16" t="s">
        <v>162</v>
      </c>
      <c r="G16" t="s">
        <v>23</v>
      </c>
      <c r="H16" t="s">
        <v>28</v>
      </c>
    </row>
    <row r="17" spans="5:8" x14ac:dyDescent="0.45">
      <c r="E17" t="s">
        <v>29</v>
      </c>
      <c r="F17" t="s">
        <v>163</v>
      </c>
      <c r="G17" t="s">
        <v>23</v>
      </c>
      <c r="H17" t="s">
        <v>30</v>
      </c>
    </row>
    <row r="18" spans="5:8" x14ac:dyDescent="0.45">
      <c r="E18" t="s">
        <v>31</v>
      </c>
      <c r="F18" t="s">
        <v>162</v>
      </c>
      <c r="G18" t="s">
        <v>23</v>
      </c>
      <c r="H18" t="s">
        <v>32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I15"/>
  <sheetViews>
    <sheetView workbookViewId="0">
      <selection activeCell="E8" sqref="E8"/>
    </sheetView>
  </sheetViews>
  <sheetFormatPr defaultColWidth="10.9296875" defaultRowHeight="14.25" x14ac:dyDescent="0.45"/>
  <cols>
    <col min="5" max="5" width="25.33203125" customWidth="1"/>
  </cols>
  <sheetData>
    <row r="8" spans="5:9" x14ac:dyDescent="0.45">
      <c r="E8" t="s">
        <v>64</v>
      </c>
      <c r="F8" t="s">
        <v>160</v>
      </c>
      <c r="G8" t="s">
        <v>164</v>
      </c>
      <c r="H8" t="s">
        <v>165</v>
      </c>
      <c r="I8" t="s">
        <v>166</v>
      </c>
    </row>
    <row r="9" spans="5:9" x14ac:dyDescent="0.45">
      <c r="E9" t="s">
        <v>65</v>
      </c>
      <c r="F9">
        <f ca="1">SUM(markov_trace!X9:'markov_trace'!X39)</f>
        <v>1277.5987708349073</v>
      </c>
      <c r="G9">
        <f ca="1">SUM(markov_trace!AB9:'markov_trace'!AB39)</f>
        <v>2690.5108941849198</v>
      </c>
      <c r="H9">
        <f ca="1">SUM(markov_trace!AF9:'markov_trace'!AF39)</f>
        <v>2004.8786117474167</v>
      </c>
      <c r="I9">
        <f ca="1">SUM(markov_trace!AJ9:'markov_trace'!AJ39)</f>
        <v>1864.676562687363</v>
      </c>
    </row>
    <row r="10" spans="5:9" x14ac:dyDescent="0.45">
      <c r="E10" t="s">
        <v>66</v>
      </c>
      <c r="F10">
        <f ca="1">SUM(markov_trace!Y9:'markov_trace'!Y39)</f>
        <v>6.7199791121581702</v>
      </c>
      <c r="G10">
        <f ca="1">SUM(markov_trace!AC9:'markov_trace'!AC39)</f>
        <v>6.7442253947642286</v>
      </c>
      <c r="H10">
        <f ca="1">SUM(markov_trace!AG9:'markov_trace'!AG39)</f>
        <v>6.7326845567031528</v>
      </c>
      <c r="I10">
        <f ca="1">SUM(markov_trace!AK9:'markov_trace'!AK39)</f>
        <v>6.7313253702019109</v>
      </c>
    </row>
    <row r="11" spans="5:9" x14ac:dyDescent="0.45">
      <c r="E11" t="s">
        <v>67</v>
      </c>
      <c r="F11">
        <f ca="1">SUM(markov_trace!V9:'markov_trace'!V39)</f>
        <v>1517.5603932299684</v>
      </c>
      <c r="G11">
        <f ca="1">SUM(markov_trace!Z9:'markov_trace'!Z39)</f>
        <v>2833.1755394830229</v>
      </c>
      <c r="H11">
        <f ca="1">SUM(markov_trace!AD9:'markov_trace'!AD39)</f>
        <v>2194.1211229107339</v>
      </c>
      <c r="I11">
        <f ca="1">SUM(markov_trace!AH9:'markov_trace'!AH39)</f>
        <v>2058.8708662173703</v>
      </c>
    </row>
    <row r="12" spans="5:9" x14ac:dyDescent="0.45">
      <c r="E12" t="s">
        <v>68</v>
      </c>
      <c r="F12">
        <f ca="1">SUM(markov_trace!W9:'markov_trace'!W39)</f>
        <v>9.2315996844823704</v>
      </c>
      <c r="G12">
        <f ca="1">SUM(markov_trace!AA9:'markov_trace'!AA39)</f>
        <v>9.2723998860361529</v>
      </c>
      <c r="H12">
        <f ca="1">SUM(markov_trace!AE9:'markov_trace'!AE39)</f>
        <v>9.2529580460395113</v>
      </c>
      <c r="I12">
        <f ca="1">SUM(markov_trace!AI9:'markov_trace'!AI39)</f>
        <v>9.250670917793725</v>
      </c>
    </row>
    <row r="13" spans="5:9" x14ac:dyDescent="0.45">
      <c r="E13" t="s">
        <v>69</v>
      </c>
      <c r="F13">
        <f ca="1">F9 - F9</f>
        <v>0</v>
      </c>
      <c r="G13">
        <f ca="1">G9 - F9</f>
        <v>1412.9121233500125</v>
      </c>
      <c r="H13">
        <f ca="1">H9 - F9</f>
        <v>727.27984091250937</v>
      </c>
      <c r="I13">
        <f ca="1">I9 - F9</f>
        <v>587.07779185245568</v>
      </c>
    </row>
    <row r="14" spans="5:9" x14ac:dyDescent="0.45">
      <c r="E14" t="s">
        <v>70</v>
      </c>
      <c r="F14">
        <f ca="1">F10 - F10</f>
        <v>0</v>
      </c>
      <c r="G14">
        <f ca="1">G10 - F10</f>
        <v>2.4246282606058323E-2</v>
      </c>
      <c r="H14">
        <f ca="1">H10 - F10</f>
        <v>1.2705444544982569E-2</v>
      </c>
      <c r="I14">
        <f ca="1">I10 - F10</f>
        <v>1.1346258043740676E-2</v>
      </c>
    </row>
    <row r="15" spans="5:9" x14ac:dyDescent="0.45">
      <c r="E15" t="s">
        <v>71</v>
      </c>
      <c r="G15">
        <f ca="1">G13 / G14</f>
        <v>58273.350447419667</v>
      </c>
      <c r="H15">
        <f ca="1">H13 / H14</f>
        <v>57241.589488477606</v>
      </c>
      <c r="I15">
        <f ca="1">I13 / I14</f>
        <v>51741.974278147631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tabSelected="1" topLeftCell="AY1" workbookViewId="0">
      <selection activeCell="BO7" sqref="BO7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59</v>
      </c>
      <c r="G1" t="s">
        <v>60</v>
      </c>
    </row>
    <row r="2" spans="1:78" x14ac:dyDescent="0.45">
      <c r="F2" s="3" t="s">
        <v>61</v>
      </c>
      <c r="G2" s="4" t="str">
        <f>model_settings!F15</f>
        <v>30</v>
      </c>
      <c r="J2" s="5" t="str">
        <f>IF(markov_trace!F8="","",markov_trace!F8)</f>
        <v>cemented_post_thr</v>
      </c>
      <c r="K2" s="5" t="str">
        <f>IF(markov_trace!G8="","",markov_trace!G8)</f>
        <v>cemented_post_1st_rev</v>
      </c>
      <c r="L2" s="5" t="str">
        <f>IF(markov_trace!H8="","",markov_trace!H8)</f>
        <v>cemented_post_2nd_rev</v>
      </c>
      <c r="M2" s="5" t="str">
        <f>IF(markov_trace!I8="","",markov_trace!I8)</f>
        <v>cemented_dead</v>
      </c>
      <c r="N2" s="5" t="str">
        <f>IF(markov_trace!J8="","",markov_trace!J8)</f>
        <v>uncemented_post_thr</v>
      </c>
      <c r="O2" s="5" t="str">
        <f>IF(markov_trace!K8="","",markov_trace!K8)</f>
        <v>uncemented_post_1st_rev</v>
      </c>
      <c r="P2" s="5" t="str">
        <f>IF(markov_trace!L8="","",markov_trace!L8)</f>
        <v>uncemented_post_2nd_rev</v>
      </c>
      <c r="Q2" s="5" t="str">
        <f>IF(markov_trace!M8="","",markov_trace!M8)</f>
        <v>uncemented_dead</v>
      </c>
      <c r="R2" s="5" t="str">
        <f>IF(markov_trace!N8="","",markov_trace!N8)</f>
        <v>hybrid_post_thr</v>
      </c>
      <c r="S2" s="5" t="str">
        <f>IF(markov_trace!O8="","",markov_trace!O8)</f>
        <v>hybrid_post_1st_rev</v>
      </c>
      <c r="T2" s="5" t="str">
        <f>IF(markov_trace!P8="","",markov_trace!P8)</f>
        <v>hybrid_post_2nd_rev</v>
      </c>
      <c r="U2" s="5" t="str">
        <f>IF(markov_trace!Q8="","",markov_trace!Q8)</f>
        <v>hybrid_dead</v>
      </c>
      <c r="V2" s="5" t="str">
        <f>IF(markov_trace!R8="","",markov_trace!R8)</f>
        <v>reverse_hybrid_post_thr</v>
      </c>
      <c r="W2" s="5" t="str">
        <f>IF(markov_trace!S8="","",markov_trace!S8)</f>
        <v>reverse_hybrid_post_1st_rev</v>
      </c>
      <c r="X2" s="5" t="str">
        <f>IF(markov_trace!T8="","",markov_trace!T8)</f>
        <v>reverse_hybrid_post_2nd_rev</v>
      </c>
      <c r="Y2" s="5" t="str">
        <f>IF(markov_trace!U8="","",markov_trace!U8)</f>
        <v>reverse_hybrid_dead</v>
      </c>
      <c r="Z2" s="5" t="str">
        <f>IF(markov_trace!V8="","",markov_trace!V8)</f>
        <v>cemented Undiscounted Costs</v>
      </c>
      <c r="AA2" s="5" t="str">
        <f>IF(markov_trace!W8="","",markov_trace!W8)</f>
        <v>cemented Undiscounted QALYs</v>
      </c>
      <c r="AB2" s="5" t="str">
        <f>IF(markov_trace!X8="","",markov_trace!X8)</f>
        <v>cemented Discounted Costs</v>
      </c>
      <c r="AC2" s="5" t="str">
        <f>IF(markov_trace!Y8="","",markov_trace!Y8)</f>
        <v>cemented Discounted QALYs</v>
      </c>
      <c r="AD2" s="5" t="str">
        <f>IF(markov_trace!Z8="","",markov_trace!Z8)</f>
        <v>uncemented Undiscounted Costs</v>
      </c>
      <c r="AE2" s="5" t="str">
        <f>IF(markov_trace!AA8="","",markov_trace!AA8)</f>
        <v>uncemented Undiscounted QALYs</v>
      </c>
      <c r="AF2" s="5" t="str">
        <f>IF(markov_trace!AB8="","",markov_trace!AB8)</f>
        <v>uncemented Discounted Costs</v>
      </c>
      <c r="AG2" s="5" t="str">
        <f>IF(markov_trace!AC8="","",markov_trace!AC8)</f>
        <v>uncemented Discounted QALYs</v>
      </c>
      <c r="AH2" s="5" t="str">
        <f>IF(markov_trace!AD8="","",markov_trace!AD8)</f>
        <v>hybrid Undiscounted Costs</v>
      </c>
      <c r="AI2" s="5" t="str">
        <f>IF(markov_trace!AE8="","",markov_trace!AE8)</f>
        <v>hybrid Undiscounted QALYs</v>
      </c>
      <c r="AJ2" s="5" t="str">
        <f>IF(markov_trace!AF8="","",markov_trace!AF8)</f>
        <v>hybrid Discounted Costs</v>
      </c>
      <c r="AK2" s="5" t="str">
        <f>IF(markov_trace!AG8="","",markov_trace!AG8)</f>
        <v>hybrid Discounted QALYs</v>
      </c>
      <c r="AL2" s="5" t="str">
        <f>IF(markov_trace!AH8="","",markov_trace!AH8)</f>
        <v>reverse_hybrid Undiscounted Costs</v>
      </c>
      <c r="AM2" s="5" t="str">
        <f>IF(markov_trace!AI8="","",markov_trace!AI8)</f>
        <v>reverse_hybrid Undiscounted QALYs</v>
      </c>
      <c r="AN2" s="5" t="str">
        <f>IF(markov_trace!AJ8="","",markov_trace!AJ8)</f>
        <v>reverse_hybrid Discounted Costs</v>
      </c>
      <c r="AO2" s="5" t="str">
        <f>IF(markov_trace!AK8="","",markov_trace!AK8)</f>
        <v>reverse_hybrid Discounted QALYs</v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62</v>
      </c>
      <c r="G3" s="4" t="str">
        <f>model_settings!F16</f>
        <v>4</v>
      </c>
      <c r="I3" s="5" t="s">
        <v>72</v>
      </c>
      <c r="J3" s="6">
        <v>12.641946992079175</v>
      </c>
      <c r="K3" s="6">
        <v>0.45810755199397263</v>
      </c>
      <c r="L3" s="6">
        <v>0.16619089481191363</v>
      </c>
      <c r="M3" s="6">
        <v>16.733754561114957</v>
      </c>
      <c r="N3">
        <v>12.86276020219519</v>
      </c>
      <c r="O3">
        <v>0.29679964619587434</v>
      </c>
      <c r="P3">
        <v>0.10732594008817382</v>
      </c>
      <c r="Q3">
        <v>16.7331142115208</v>
      </c>
      <c r="R3">
        <v>12.770930228519193</v>
      </c>
      <c r="S3">
        <v>0.36392704279222821</v>
      </c>
      <c r="T3">
        <v>0.13176430358745519</v>
      </c>
      <c r="U3">
        <v>16.733378425101115</v>
      </c>
      <c r="V3">
        <v>12.732200445015412</v>
      </c>
      <c r="W3">
        <v>0.39224307200778213</v>
      </c>
      <c r="X3">
        <v>0.14209211525109455</v>
      </c>
      <c r="Y3">
        <v>16.733464367725734</v>
      </c>
      <c r="Z3">
        <v>1548.7602448146192</v>
      </c>
      <c r="AA3">
        <v>9.9911489058234402</v>
      </c>
      <c r="AB3">
        <v>1289.5535592623999</v>
      </c>
      <c r="AC3">
        <v>7.1573449556698572</v>
      </c>
      <c r="AD3">
        <v>2899.9753879354244</v>
      </c>
      <c r="AE3">
        <v>10.032791011345774</v>
      </c>
      <c r="AF3">
        <v>2730.9615700868235</v>
      </c>
      <c r="AG3">
        <v>7.181404392966348</v>
      </c>
      <c r="AH3">
        <v>2227.2019328686974</v>
      </c>
      <c r="AI3">
        <v>10.015473461819148</v>
      </c>
      <c r="AJ3">
        <v>2020.4581684098005</v>
      </c>
      <c r="AK3">
        <v>7.1714084716612074</v>
      </c>
      <c r="AL3">
        <v>2124.3040620434008</v>
      </c>
      <c r="AM3">
        <v>10.008197078665326</v>
      </c>
      <c r="AN3">
        <v>1901.9677853121414</v>
      </c>
      <c r="AO3">
        <v>7.1672052257129897</v>
      </c>
    </row>
    <row r="4" spans="1:78" x14ac:dyDescent="0.45">
      <c r="F4" s="3" t="s">
        <v>63</v>
      </c>
      <c r="G4" s="4" t="str">
        <f>model_settings!F18</f>
        <v>4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cemented_post_thr</v>
      </c>
      <c r="F7" s="1" t="str">
        <f>IF(markov_trace!G8="","",markov_trace!G8)</f>
        <v>cemented_post_1st_rev</v>
      </c>
      <c r="G7" s="1" t="str">
        <f>IF(markov_trace!H8="","",markov_trace!H8)</f>
        <v>cemented_post_2nd_rev</v>
      </c>
      <c r="H7" s="1" t="str">
        <f>IF(markov_trace!I8="","",markov_trace!I8)</f>
        <v>cemented_dead</v>
      </c>
      <c r="I7" s="1" t="str">
        <f>IF(markov_trace!J8="","",markov_trace!J8)</f>
        <v>uncemented_post_thr</v>
      </c>
      <c r="J7" s="1" t="str">
        <f>IF(markov_trace!K8="","",markov_trace!K8)</f>
        <v>uncemented_post_1st_rev</v>
      </c>
      <c r="K7" s="1" t="str">
        <f>IF(markov_trace!L8="","",markov_trace!L8)</f>
        <v>uncemented_post_2nd_rev</v>
      </c>
      <c r="L7" s="1" t="str">
        <f>IF(markov_trace!M8="","",markov_trace!M8)</f>
        <v>uncemented_dead</v>
      </c>
      <c r="M7" s="1" t="str">
        <f>IF(markov_trace!N8="","",markov_trace!N8)</f>
        <v>hybrid_post_thr</v>
      </c>
      <c r="N7" s="1" t="str">
        <f>IF(markov_trace!O8="","",markov_trace!O8)</f>
        <v>hybrid_post_1st_rev</v>
      </c>
      <c r="O7" s="1" t="str">
        <f>IF(markov_trace!P8="","",markov_trace!P8)</f>
        <v>hybrid_post_2nd_rev</v>
      </c>
      <c r="P7" s="1" t="str">
        <f>IF(markov_trace!Q8="","",markov_trace!Q8)</f>
        <v>hybrid_dead</v>
      </c>
      <c r="Q7" s="1" t="str">
        <f>IF(markov_trace!R8="","",markov_trace!R8)</f>
        <v>reverse_hybrid_post_thr</v>
      </c>
      <c r="R7" s="1" t="str">
        <f>IF(markov_trace!S8="","",markov_trace!S8)</f>
        <v>reverse_hybrid_post_1st_rev</v>
      </c>
      <c r="S7" s="1" t="str">
        <f>IF(markov_trace!T8="","",markov_trace!T8)</f>
        <v>reverse_hybrid_post_2nd_rev</v>
      </c>
      <c r="T7" s="1" t="str">
        <f>IF(markov_trace!U8="","",markov_trace!U8)</f>
        <v>reverse_hybrid_dead</v>
      </c>
      <c r="U7" s="1" t="str">
        <f>IF(markov_trace!V8="","",markov_trace!V8)</f>
        <v>cemented Undiscounted Costs</v>
      </c>
      <c r="V7" s="1" t="str">
        <f>IF(markov_trace!W8="","",markov_trace!W8)</f>
        <v>cemented Undiscounted QALYs</v>
      </c>
      <c r="W7" s="1" t="str">
        <f>IF(markov_trace!X8="","",markov_trace!X8)</f>
        <v>cemented Discounted Costs</v>
      </c>
      <c r="X7" s="1" t="str">
        <f>IF(markov_trace!Y8="","",markov_trace!Y8)</f>
        <v>cemented Discounted QALYs</v>
      </c>
      <c r="Y7" s="1" t="str">
        <f>IF(markov_trace!Z8="","",markov_trace!Z8)</f>
        <v>uncemented Undiscounted Costs</v>
      </c>
      <c r="Z7" s="1" t="str">
        <f>IF(markov_trace!AA8="","",markov_trace!AA8)</f>
        <v>uncemented Undiscounted QALYs</v>
      </c>
      <c r="AA7" s="1" t="str">
        <f>IF(markov_trace!AB8="","",markov_trace!AB8)</f>
        <v>uncemented Discounted Costs</v>
      </c>
      <c r="AB7" s="1" t="str">
        <f>IF(markov_trace!AC8="","",markov_trace!AC8)</f>
        <v>uncemented Discounted QALYs</v>
      </c>
      <c r="AC7" s="1" t="str">
        <f>IF(markov_trace!AD8="","",markov_trace!AD8)</f>
        <v>hybrid Undiscounted Costs</v>
      </c>
      <c r="AD7" s="1" t="str">
        <f>IF(markov_trace!AE8="","",markov_trace!AE8)</f>
        <v>hybrid Undiscounted QALYs</v>
      </c>
      <c r="AE7" s="1" t="str">
        <f>IF(markov_trace!AF8="","",markov_trace!AF8)</f>
        <v>hybrid Discounted Costs</v>
      </c>
      <c r="AF7" s="1" t="str">
        <f>IF(markov_trace!AG8="","",markov_trace!AG8)</f>
        <v>hybrid Discounted QALYs</v>
      </c>
      <c r="AG7" s="1" t="str">
        <f>IF(markov_trace!AH8="","",markov_trace!AH8)</f>
        <v>reverse_hybrid Undiscounted Costs</v>
      </c>
      <c r="AH7" s="1" t="str">
        <f>IF(markov_trace!AI8="","",markov_trace!AI8)</f>
        <v>reverse_hybrid Undiscounted QALYs</v>
      </c>
      <c r="AI7" s="1" t="str">
        <f>IF(markov_trace!AJ8="","",markov_trace!AJ8)</f>
        <v>reverse_hybrid Discounted Costs</v>
      </c>
      <c r="AJ7" s="1" t="str">
        <f>IF(markov_trace!AK8="","",markov_trace!AK8)</f>
        <v>reverse_hybrid Discounted QALYs</v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13.522545448426948</v>
      </c>
      <c r="F8">
        <v>0.48367440436260467</v>
      </c>
      <c r="G8">
        <v>0.1759262377313732</v>
      </c>
      <c r="H8">
        <v>15.817853909479087</v>
      </c>
      <c r="I8">
        <v>13.757874961353009</v>
      </c>
      <c r="J8">
        <v>0.32081060189848742</v>
      </c>
      <c r="K8">
        <v>0.11630717725739972</v>
      </c>
      <c r="L8">
        <v>15.805007259491115</v>
      </c>
      <c r="M8">
        <v>13.690825291466059</v>
      </c>
      <c r="N8">
        <v>0.3672479356935513</v>
      </c>
      <c r="O8">
        <v>0.13326605624989374</v>
      </c>
      <c r="P8">
        <v>15.808660716590484</v>
      </c>
      <c r="Q8">
        <v>13.616135119535858</v>
      </c>
      <c r="R8">
        <v>0.41894470171131776</v>
      </c>
      <c r="S8">
        <v>0.15218333573771861</v>
      </c>
      <c r="T8">
        <v>15.812736843015109</v>
      </c>
      <c r="U8">
        <v>1599.4419077219895</v>
      </c>
      <c r="V8">
        <v>10.665655473186407</v>
      </c>
      <c r="W8">
        <v>1316.4754837939017</v>
      </c>
      <c r="X8">
        <v>7.5456041212645149</v>
      </c>
      <c r="Y8">
        <v>2944.9932845424728</v>
      </c>
      <c r="Z8">
        <v>10.719345657733351</v>
      </c>
      <c r="AA8">
        <v>2756.3952197792032</v>
      </c>
      <c r="AB8">
        <v>7.5758542852459927</v>
      </c>
      <c r="AC8">
        <v>2260.5507706494968</v>
      </c>
      <c r="AD8">
        <v>10.704051779475893</v>
      </c>
      <c r="AE8">
        <v>2038.1475460196841</v>
      </c>
      <c r="AF8">
        <v>7.5672469502858037</v>
      </c>
      <c r="AG8">
        <v>2173.3081849283235</v>
      </c>
      <c r="AH8">
        <v>10.687011908370199</v>
      </c>
      <c r="AI8">
        <v>1928.6068391805541</v>
      </c>
      <c r="AJ8">
        <v>7.5576480489362856</v>
      </c>
    </row>
    <row r="9" spans="1:78" x14ac:dyDescent="0.45">
      <c r="D9">
        <v>2</v>
      </c>
      <c r="E9">
        <v>12.085750234887565</v>
      </c>
      <c r="F9">
        <v>0.49322945482884784</v>
      </c>
      <c r="G9">
        <v>0.15348118474169239</v>
      </c>
      <c r="H9">
        <v>17.267539125541909</v>
      </c>
      <c r="I9">
        <v>12.316559943633298</v>
      </c>
      <c r="J9">
        <v>0.30530440993872382</v>
      </c>
      <c r="K9">
        <v>9.4704779391595786E-2</v>
      </c>
      <c r="L9">
        <v>17.283430867036383</v>
      </c>
      <c r="M9">
        <v>12.217735980887589</v>
      </c>
      <c r="N9">
        <v>0.38579546755062011</v>
      </c>
      <c r="O9">
        <v>0.11983366505265496</v>
      </c>
      <c r="P9">
        <v>17.276634886509136</v>
      </c>
      <c r="Q9">
        <v>12.189843678707076</v>
      </c>
      <c r="R9">
        <v>0.40850570729630309</v>
      </c>
      <c r="S9">
        <v>0.12693607129769649</v>
      </c>
      <c r="T9">
        <v>17.274714542698913</v>
      </c>
      <c r="U9">
        <v>1542.5689752877458</v>
      </c>
      <c r="V9">
        <v>9.5435327273714385</v>
      </c>
      <c r="W9">
        <v>1286.7940308587251</v>
      </c>
      <c r="X9">
        <v>6.8936494724893933</v>
      </c>
      <c r="Y9">
        <v>2892.4096671238067</v>
      </c>
      <c r="Z9">
        <v>9.5758152319973568</v>
      </c>
      <c r="AA9">
        <v>2727.7174487119864</v>
      </c>
      <c r="AB9">
        <v>6.9130928700118277</v>
      </c>
      <c r="AC9">
        <v>2210.3294415758755</v>
      </c>
      <c r="AD9">
        <v>9.5619878690312969</v>
      </c>
      <c r="AE9">
        <v>2010.0566831817544</v>
      </c>
      <c r="AF9">
        <v>6.9047753234807026</v>
      </c>
      <c r="AG9">
        <v>2129.1673267814135</v>
      </c>
      <c r="AH9">
        <v>9.5580866116426044</v>
      </c>
      <c r="AI9">
        <v>1908.0580225790975</v>
      </c>
      <c r="AJ9">
        <v>6.902425771301778</v>
      </c>
    </row>
    <row r="10" spans="1:78" x14ac:dyDescent="0.45">
      <c r="D10">
        <v>3</v>
      </c>
      <c r="E10">
        <v>10.589163719383034</v>
      </c>
      <c r="F10">
        <v>0.3612713199546157</v>
      </c>
      <c r="G10">
        <v>0.12606904951568787</v>
      </c>
      <c r="H10">
        <v>18.923495911146659</v>
      </c>
      <c r="I10">
        <v>10.731522902417522</v>
      </c>
      <c r="J10">
        <v>0.24684168634180198</v>
      </c>
      <c r="K10">
        <v>8.5929452779333615E-2</v>
      </c>
      <c r="L10">
        <v>18.935705958461352</v>
      </c>
      <c r="M10">
        <v>10.666286876524028</v>
      </c>
      <c r="N10">
        <v>0.29929142396275171</v>
      </c>
      <c r="O10">
        <v>0.10430336078027407</v>
      </c>
      <c r="P10">
        <v>18.930118338732939</v>
      </c>
      <c r="Q10">
        <v>10.627259580288671</v>
      </c>
      <c r="R10">
        <v>0.3306593287893162</v>
      </c>
      <c r="S10">
        <v>0.11531169116494312</v>
      </c>
      <c r="T10">
        <v>18.926769399757077</v>
      </c>
      <c r="U10">
        <v>1389.8871570407173</v>
      </c>
      <c r="V10">
        <v>8.373424918731434</v>
      </c>
      <c r="W10">
        <v>1198.8476961594911</v>
      </c>
      <c r="X10">
        <v>6.2135554374831674</v>
      </c>
      <c r="Y10">
        <v>2806.3833876997874</v>
      </c>
      <c r="Z10">
        <v>8.3935187702861835</v>
      </c>
      <c r="AA10">
        <v>2678.4250677954014</v>
      </c>
      <c r="AB10">
        <v>6.2263131657784099</v>
      </c>
      <c r="AC10">
        <v>2098.6290020527445</v>
      </c>
      <c r="AD10">
        <v>8.3843063790450039</v>
      </c>
      <c r="AE10">
        <v>1945.8894426223403</v>
      </c>
      <c r="AF10">
        <v>6.2204701167801693</v>
      </c>
      <c r="AG10">
        <v>1994.2959968672824</v>
      </c>
      <c r="AH10">
        <v>8.3787986352385371</v>
      </c>
      <c r="AI10">
        <v>1827.2770729521276</v>
      </c>
      <c r="AJ10">
        <v>6.21697196544834</v>
      </c>
    </row>
    <row r="11" spans="1:78" x14ac:dyDescent="0.45">
      <c r="D11">
        <v>4</v>
      </c>
      <c r="E11">
        <v>14.844676133651477</v>
      </c>
      <c r="F11">
        <v>0.56555092022432851</v>
      </c>
      <c r="G11">
        <v>0.18219693569975456</v>
      </c>
      <c r="H11">
        <v>14.407576010424453</v>
      </c>
      <c r="I11">
        <v>15.131690130566145</v>
      </c>
      <c r="J11">
        <v>0.36477049038929032</v>
      </c>
      <c r="K11">
        <v>0.11708275660948911</v>
      </c>
      <c r="L11">
        <v>14.386456622435064</v>
      </c>
      <c r="M11">
        <v>15.030279800749655</v>
      </c>
      <c r="N11">
        <v>0.43576495668782744</v>
      </c>
      <c r="O11">
        <v>0.14005107153709478</v>
      </c>
      <c r="P11">
        <v>14.393904171025408</v>
      </c>
      <c r="Q11">
        <v>14.970975904242373</v>
      </c>
      <c r="R11">
        <v>0.47725521500848583</v>
      </c>
      <c r="S11">
        <v>0.15350211509553688</v>
      </c>
      <c r="T11">
        <v>14.398266765653606</v>
      </c>
      <c r="U11">
        <v>1690.6461778127277</v>
      </c>
      <c r="V11">
        <v>11.814288304236646</v>
      </c>
      <c r="W11">
        <v>1369.1518382363715</v>
      </c>
      <c r="X11">
        <v>8.2046333201581589</v>
      </c>
      <c r="Y11">
        <v>2971.4494087691087</v>
      </c>
      <c r="Z11">
        <v>11.880327163251023</v>
      </c>
      <c r="AA11">
        <v>2768.1225492617714</v>
      </c>
      <c r="AB11">
        <v>8.2409216407085459</v>
      </c>
      <c r="AC11">
        <v>2333.938515523671</v>
      </c>
      <c r="AD11">
        <v>11.857002115649959</v>
      </c>
      <c r="AE11">
        <v>2080.1890658707707</v>
      </c>
      <c r="AF11">
        <v>8.228117448720873</v>
      </c>
      <c r="AG11">
        <v>2219.156062027294</v>
      </c>
      <c r="AH11">
        <v>11.843357597517572</v>
      </c>
      <c r="AI11">
        <v>1951.8349494397114</v>
      </c>
      <c r="AJ11">
        <v>8.2206208387806061</v>
      </c>
    </row>
    <row r="12" spans="1:78" x14ac:dyDescent="0.45">
      <c r="D12">
        <v>5</v>
      </c>
      <c r="E12">
        <v>12.288582637900301</v>
      </c>
      <c r="F12">
        <v>0.41254712768300039</v>
      </c>
      <c r="G12">
        <v>0.1824399469276102</v>
      </c>
      <c r="H12">
        <v>17.116430287489106</v>
      </c>
      <c r="I12">
        <v>12.48921053044792</v>
      </c>
      <c r="J12">
        <v>0.27255841176384865</v>
      </c>
      <c r="K12">
        <v>0.12013833962765183</v>
      </c>
      <c r="L12">
        <v>17.118092718160565</v>
      </c>
      <c r="M12">
        <v>12.413193096981677</v>
      </c>
      <c r="N12">
        <v>0.32563009048014463</v>
      </c>
      <c r="O12">
        <v>0.14370899986948163</v>
      </c>
      <c r="P12">
        <v>17.117467812668711</v>
      </c>
      <c r="Q12">
        <v>12.376659295788652</v>
      </c>
      <c r="R12">
        <v>0.35112311055090989</v>
      </c>
      <c r="S12">
        <v>0.15505226341430681</v>
      </c>
      <c r="T12">
        <v>17.117165330246138</v>
      </c>
      <c r="U12">
        <v>1553.600541517467</v>
      </c>
      <c r="V12">
        <v>9.6683901513351831</v>
      </c>
      <c r="W12">
        <v>1295.090833306479</v>
      </c>
      <c r="X12">
        <v>6.9668181312189086</v>
      </c>
      <c r="Y12">
        <v>2882.5068405075463</v>
      </c>
      <c r="Z12">
        <v>9.7036051245092594</v>
      </c>
      <c r="AA12">
        <v>2719.1983866870896</v>
      </c>
      <c r="AB12">
        <v>6.9876409115214715</v>
      </c>
      <c r="AC12">
        <v>2210.1678816071371</v>
      </c>
      <c r="AD12">
        <v>9.6902592389898388</v>
      </c>
      <c r="AE12">
        <v>2009.942810313174</v>
      </c>
      <c r="AF12">
        <v>6.979758297691145</v>
      </c>
      <c r="AG12">
        <v>2111.745567160594</v>
      </c>
      <c r="AH12">
        <v>9.6838465406631826</v>
      </c>
      <c r="AI12">
        <v>1894.7985111931341</v>
      </c>
      <c r="AJ12">
        <v>6.9759668675883546</v>
      </c>
    </row>
    <row r="13" spans="1:78" x14ac:dyDescent="0.45">
      <c r="D13">
        <v>6</v>
      </c>
      <c r="E13">
        <v>11.808071821516826</v>
      </c>
      <c r="F13">
        <v>0.45803936000278339</v>
      </c>
      <c r="G13">
        <v>0.1784431220956551</v>
      </c>
      <c r="H13">
        <v>17.555445696384741</v>
      </c>
      <c r="I13">
        <v>12.041826614637539</v>
      </c>
      <c r="J13">
        <v>0.28126520834068947</v>
      </c>
      <c r="K13">
        <v>0.10918103314498967</v>
      </c>
      <c r="L13">
        <v>17.56772714387678</v>
      </c>
      <c r="M13">
        <v>11.955706243929212</v>
      </c>
      <c r="N13">
        <v>0.34642807308384682</v>
      </c>
      <c r="O13">
        <v>0.13465368981605749</v>
      </c>
      <c r="P13">
        <v>17.563211993170885</v>
      </c>
      <c r="Q13">
        <v>11.945222555836137</v>
      </c>
      <c r="R13">
        <v>0.35435773598734766</v>
      </c>
      <c r="S13">
        <v>0.13775811826227483</v>
      </c>
      <c r="T13">
        <v>17.562661589914217</v>
      </c>
      <c r="U13">
        <v>1509.5925649706373</v>
      </c>
      <c r="V13">
        <v>9.3138056726099769</v>
      </c>
      <c r="W13">
        <v>1265.5097608860278</v>
      </c>
      <c r="X13">
        <v>6.7588912479721186</v>
      </c>
      <c r="Y13">
        <v>2881.8467950535737</v>
      </c>
      <c r="Z13">
        <v>9.3512523313569798</v>
      </c>
      <c r="AA13">
        <v>2722.0048646788009</v>
      </c>
      <c r="AB13">
        <v>6.7814955956942748</v>
      </c>
      <c r="AC13">
        <v>2209.4862345702272</v>
      </c>
      <c r="AD13">
        <v>9.3374502416070779</v>
      </c>
      <c r="AE13">
        <v>2012.620641149045</v>
      </c>
      <c r="AF13">
        <v>6.7731763266142586</v>
      </c>
      <c r="AG13">
        <v>2076.601307077407</v>
      </c>
      <c r="AH13">
        <v>9.3357705414249583</v>
      </c>
      <c r="AI13">
        <v>1874.1840923089869</v>
      </c>
      <c r="AJ13">
        <v>6.7721629117979676</v>
      </c>
    </row>
    <row r="14" spans="1:78" x14ac:dyDescent="0.45">
      <c r="D14">
        <v>7</v>
      </c>
      <c r="E14">
        <v>13.559685519532797</v>
      </c>
      <c r="F14">
        <v>0.44096588440144202</v>
      </c>
      <c r="G14">
        <v>0.16719063964580691</v>
      </c>
      <c r="H14">
        <v>15.832157956419962</v>
      </c>
      <c r="I14">
        <v>13.820520531831871</v>
      </c>
      <c r="J14">
        <v>0.27618628161601233</v>
      </c>
      <c r="K14">
        <v>0.10434295882789897</v>
      </c>
      <c r="L14">
        <v>15.798950227724205</v>
      </c>
      <c r="M14">
        <v>13.70166416028121</v>
      </c>
      <c r="N14">
        <v>0.35133035301459609</v>
      </c>
      <c r="O14">
        <v>0.13294685968112213</v>
      </c>
      <c r="P14">
        <v>15.814058627023057</v>
      </c>
      <c r="Q14">
        <v>13.663988737162335</v>
      </c>
      <c r="R14">
        <v>0.37512956985379597</v>
      </c>
      <c r="S14">
        <v>0.14202575340158091</v>
      </c>
      <c r="T14">
        <v>15.818855939582269</v>
      </c>
      <c r="U14">
        <v>1573.3081280894974</v>
      </c>
      <c r="V14">
        <v>10.537608307682023</v>
      </c>
      <c r="W14">
        <v>1305.7872596011775</v>
      </c>
      <c r="X14">
        <v>7.4560651947645855</v>
      </c>
      <c r="Y14">
        <v>2903.4711874128684</v>
      </c>
      <c r="Z14">
        <v>10.604328934530367</v>
      </c>
      <c r="AA14">
        <v>2733.1894275346685</v>
      </c>
      <c r="AB14">
        <v>7.4929561728773511</v>
      </c>
      <c r="AC14">
        <v>2217.4670241420913</v>
      </c>
      <c r="AD14">
        <v>10.573938903762883</v>
      </c>
      <c r="AE14">
        <v>2012.4444610657213</v>
      </c>
      <c r="AF14">
        <v>7.4761672941787349</v>
      </c>
      <c r="AG14">
        <v>2108.1498241191621</v>
      </c>
      <c r="AH14">
        <v>10.564301265480699</v>
      </c>
      <c r="AI14">
        <v>1889.5443198818803</v>
      </c>
      <c r="AJ14">
        <v>7.4708380381551791</v>
      </c>
    </row>
    <row r="15" spans="1:78" x14ac:dyDescent="0.45">
      <c r="D15">
        <v>8</v>
      </c>
      <c r="E15">
        <v>12.333314793404691</v>
      </c>
      <c r="F15">
        <v>0.46521782431238617</v>
      </c>
      <c r="G15">
        <v>0.15332451705698738</v>
      </c>
      <c r="H15">
        <v>17.048142865225923</v>
      </c>
      <c r="I15">
        <v>12.5539534181246</v>
      </c>
      <c r="J15">
        <v>0.29873042035711206</v>
      </c>
      <c r="K15">
        <v>9.8136912042856503E-2</v>
      </c>
      <c r="L15">
        <v>17.049179249475415</v>
      </c>
      <c r="M15">
        <v>12.516840675190478</v>
      </c>
      <c r="N15">
        <v>0.32675317270238396</v>
      </c>
      <c r="O15">
        <v>0.10740072287018305</v>
      </c>
      <c r="P15">
        <v>17.049005429236939</v>
      </c>
      <c r="Q15">
        <v>12.455291923021379</v>
      </c>
      <c r="R15">
        <v>0.37321036251787848</v>
      </c>
      <c r="S15">
        <v>0.12278100195244769</v>
      </c>
      <c r="T15">
        <v>17.048716712508309</v>
      </c>
      <c r="U15">
        <v>1536.8510937970743</v>
      </c>
      <c r="V15">
        <v>9.7884113863975966</v>
      </c>
      <c r="W15">
        <v>1285.5252104276512</v>
      </c>
      <c r="X15">
        <v>7.0484727892668033</v>
      </c>
      <c r="Y15">
        <v>2887.112436065001</v>
      </c>
      <c r="Z15">
        <v>9.8310377399989939</v>
      </c>
      <c r="AA15">
        <v>2724.8153141337452</v>
      </c>
      <c r="AB15">
        <v>7.0733290270705069</v>
      </c>
      <c r="AC15">
        <v>2183.6642538971137</v>
      </c>
      <c r="AD15">
        <v>9.8238674579083032</v>
      </c>
      <c r="AE15">
        <v>1995.6557956572601</v>
      </c>
      <c r="AF15">
        <v>7.0691542272160204</v>
      </c>
      <c r="AG15">
        <v>2075.6707681727476</v>
      </c>
      <c r="AH15">
        <v>9.8119763151951673</v>
      </c>
      <c r="AI15">
        <v>1872.4624272715682</v>
      </c>
      <c r="AJ15">
        <v>7.0622251610558928</v>
      </c>
    </row>
    <row r="16" spans="1:78" x14ac:dyDescent="0.45">
      <c r="D16">
        <v>9</v>
      </c>
      <c r="E16">
        <v>11.98955580476917</v>
      </c>
      <c r="F16">
        <v>0.49061162324954011</v>
      </c>
      <c r="G16">
        <v>0.15489073551788848</v>
      </c>
      <c r="H16">
        <v>17.364941836463419</v>
      </c>
      <c r="I16">
        <v>12.188086806673279</v>
      </c>
      <c r="J16">
        <v>0.31983429397807606</v>
      </c>
      <c r="K16">
        <v>0.10068577990805379</v>
      </c>
      <c r="L16">
        <v>17.39139311944059</v>
      </c>
      <c r="M16">
        <v>12.107327054570714</v>
      </c>
      <c r="N16">
        <v>0.38932060019729681</v>
      </c>
      <c r="O16">
        <v>0.12270287320060762</v>
      </c>
      <c r="P16">
        <v>17.380649472031376</v>
      </c>
      <c r="Q16">
        <v>12.066165657576951</v>
      </c>
      <c r="R16">
        <v>0.42472756473654777</v>
      </c>
      <c r="S16">
        <v>0.13394171339911223</v>
      </c>
      <c r="T16">
        <v>17.375165064287376</v>
      </c>
      <c r="U16">
        <v>1516.4391325238471</v>
      </c>
      <c r="V16">
        <v>9.4522332794596799</v>
      </c>
      <c r="W16">
        <v>1267.7942747445877</v>
      </c>
      <c r="X16">
        <v>6.8358077072470893</v>
      </c>
      <c r="Y16">
        <v>2882.1213142494307</v>
      </c>
      <c r="Z16">
        <v>9.4711302685887144</v>
      </c>
      <c r="AA16">
        <v>2719.046447403372</v>
      </c>
      <c r="AB16">
        <v>6.8480256885901394</v>
      </c>
      <c r="AC16">
        <v>2222.3419989728363</v>
      </c>
      <c r="AD16">
        <v>9.4634336902207856</v>
      </c>
      <c r="AE16">
        <v>2018.4386441872473</v>
      </c>
      <c r="AF16">
        <v>6.8430572138497077</v>
      </c>
      <c r="AG16">
        <v>2101.668066066442</v>
      </c>
      <c r="AH16">
        <v>9.4595159368769579</v>
      </c>
      <c r="AI16">
        <v>1886.6822821659616</v>
      </c>
      <c r="AJ16">
        <v>6.8405240366988025</v>
      </c>
    </row>
    <row r="17" spans="4:36" x14ac:dyDescent="0.45">
      <c r="D17">
        <v>10</v>
      </c>
      <c r="E17">
        <v>13.474493521468915</v>
      </c>
      <c r="F17">
        <v>0.50302367592406949</v>
      </c>
      <c r="G17">
        <v>0.20546077681781835</v>
      </c>
      <c r="H17">
        <v>15.817022025789205</v>
      </c>
      <c r="I17">
        <v>13.683474498432572</v>
      </c>
      <c r="J17">
        <v>0.34907038516890226</v>
      </c>
      <c r="K17">
        <v>0.14215482463847395</v>
      </c>
      <c r="L17">
        <v>15.82530029176004</v>
      </c>
      <c r="M17">
        <v>13.6070335975579</v>
      </c>
      <c r="N17">
        <v>0.40541096238522245</v>
      </c>
      <c r="O17">
        <v>0.16527785069837767</v>
      </c>
      <c r="P17">
        <v>15.82227758935851</v>
      </c>
      <c r="Q17">
        <v>13.542054492869488</v>
      </c>
      <c r="R17">
        <v>0.45327862137982239</v>
      </c>
      <c r="S17">
        <v>0.18496357360524665</v>
      </c>
      <c r="T17">
        <v>15.819703312145451</v>
      </c>
      <c r="U17">
        <v>1608.7252266878186</v>
      </c>
      <c r="V17">
        <v>10.755118950932584</v>
      </c>
      <c r="W17">
        <v>1321.1852993336511</v>
      </c>
      <c r="X17">
        <v>7.6073113050482881</v>
      </c>
      <c r="Y17">
        <v>2936.1958687805727</v>
      </c>
      <c r="Z17">
        <v>10.79115496096453</v>
      </c>
      <c r="AA17">
        <v>2747.7103839911133</v>
      </c>
      <c r="AB17">
        <v>7.6283137620664592</v>
      </c>
      <c r="AC17">
        <v>2247.3590373384905</v>
      </c>
      <c r="AD17">
        <v>10.777970480414762</v>
      </c>
      <c r="AE17">
        <v>2025.5454918988667</v>
      </c>
      <c r="AF17">
        <v>7.6206376038555899</v>
      </c>
      <c r="AG17">
        <v>2179.228915810927</v>
      </c>
      <c r="AH17">
        <v>10.766765869676812</v>
      </c>
      <c r="AI17">
        <v>1929.8389980605964</v>
      </c>
      <c r="AJ17">
        <v>7.6141069135497688</v>
      </c>
    </row>
    <row r="18" spans="4:36" x14ac:dyDescent="0.45">
      <c r="D18">
        <v>11</v>
      </c>
      <c r="E18">
        <v>13.13246555364706</v>
      </c>
      <c r="F18">
        <v>0.52862248918678489</v>
      </c>
      <c r="G18">
        <v>0.18911626807398507</v>
      </c>
      <c r="H18">
        <v>16.149795689092183</v>
      </c>
      <c r="I18">
        <v>13.363900509058352</v>
      </c>
      <c r="J18">
        <v>0.34655504388024277</v>
      </c>
      <c r="K18">
        <v>0.1235799937648516</v>
      </c>
      <c r="L18">
        <v>16.165964453296553</v>
      </c>
      <c r="M18">
        <v>13.288666505275376</v>
      </c>
      <c r="N18">
        <v>0.40576837146149958</v>
      </c>
      <c r="O18">
        <v>0.1448469431321607</v>
      </c>
      <c r="P18">
        <v>16.160718180130967</v>
      </c>
      <c r="Q18">
        <v>13.251802165753624</v>
      </c>
      <c r="R18">
        <v>0.43477300962701337</v>
      </c>
      <c r="S18">
        <v>0.1552807294351973</v>
      </c>
      <c r="T18">
        <v>16.158144095184152</v>
      </c>
      <c r="U18">
        <v>1638.4472189699229</v>
      </c>
      <c r="V18">
        <v>10.396434244605157</v>
      </c>
      <c r="W18">
        <v>1339.6666964852175</v>
      </c>
      <c r="X18">
        <v>7.387446027888017</v>
      </c>
      <c r="Y18">
        <v>2953.286225600642</v>
      </c>
      <c r="Z18">
        <v>10.429785207158776</v>
      </c>
      <c r="AA18">
        <v>2759.564245901151</v>
      </c>
      <c r="AB18">
        <v>7.4071662449493196</v>
      </c>
      <c r="AC18">
        <v>2313.7845844315752</v>
      </c>
      <c r="AD18">
        <v>10.418938847386565</v>
      </c>
      <c r="AE18">
        <v>2072.3580999755654</v>
      </c>
      <c r="AF18">
        <v>7.4007613958062342</v>
      </c>
      <c r="AG18">
        <v>2145.5780505500893</v>
      </c>
      <c r="AH18">
        <v>10.413625841995895</v>
      </c>
      <c r="AI18">
        <v>1906.6170386702493</v>
      </c>
      <c r="AJ18">
        <v>7.3976210451509647</v>
      </c>
    </row>
    <row r="19" spans="4:36" x14ac:dyDescent="0.45">
      <c r="D19">
        <v>12</v>
      </c>
      <c r="E19">
        <v>11.915846219226912</v>
      </c>
      <c r="F19">
        <v>0.42422848184045486</v>
      </c>
      <c r="G19">
        <v>0.1563549940811397</v>
      </c>
      <c r="H19">
        <v>17.503570304851504</v>
      </c>
      <c r="I19">
        <v>12.117790088663044</v>
      </c>
      <c r="J19">
        <v>0.27061730347273277</v>
      </c>
      <c r="K19">
        <v>9.9440934694153174E-2</v>
      </c>
      <c r="L19">
        <v>17.512151673170063</v>
      </c>
      <c r="M19">
        <v>12.020312911224273</v>
      </c>
      <c r="N19">
        <v>0.34479237594414286</v>
      </c>
      <c r="O19">
        <v>0.1268801552179846</v>
      </c>
      <c r="P19">
        <v>17.508014557613599</v>
      </c>
      <c r="Q19">
        <v>11.963590958673464</v>
      </c>
      <c r="R19">
        <v>0.387930989673273</v>
      </c>
      <c r="S19">
        <v>0.14287522166973088</v>
      </c>
      <c r="T19">
        <v>17.505602829983534</v>
      </c>
      <c r="U19">
        <v>1503.5927659625606</v>
      </c>
      <c r="V19">
        <v>9.4471539211661284</v>
      </c>
      <c r="W19">
        <v>1266.3210893155378</v>
      </c>
      <c r="X19">
        <v>6.8487912900440442</v>
      </c>
      <c r="Y19">
        <v>2848.8871403157368</v>
      </c>
      <c r="Z19">
        <v>9.4799836597384921</v>
      </c>
      <c r="AA19">
        <v>2700.4357274879635</v>
      </c>
      <c r="AB19">
        <v>6.8683783581626878</v>
      </c>
      <c r="AC19">
        <v>2177.0180128719444</v>
      </c>
      <c r="AD19">
        <v>9.4641340070759128</v>
      </c>
      <c r="AE19">
        <v>1991.0518683931175</v>
      </c>
      <c r="AF19">
        <v>6.8589312922306593</v>
      </c>
      <c r="AG19">
        <v>2094.5205961615438</v>
      </c>
      <c r="AH19">
        <v>9.4549136015552815</v>
      </c>
      <c r="AI19">
        <v>1886.731509252766</v>
      </c>
      <c r="AJ19">
        <v>6.8534276177453535</v>
      </c>
    </row>
    <row r="20" spans="4:36" x14ac:dyDescent="0.45">
      <c r="D20">
        <v>13</v>
      </c>
      <c r="E20">
        <v>13.775830744122363</v>
      </c>
      <c r="F20">
        <v>0.44676013658007235</v>
      </c>
      <c r="G20">
        <v>0.17127634794449573</v>
      </c>
      <c r="H20">
        <v>15.606132771353078</v>
      </c>
      <c r="I20">
        <v>14.022828065311531</v>
      </c>
      <c r="J20">
        <v>0.29075795770209012</v>
      </c>
      <c r="K20">
        <v>0.11108712419416385</v>
      </c>
      <c r="L20">
        <v>15.575326852792209</v>
      </c>
      <c r="M20">
        <v>13.917796071632418</v>
      </c>
      <c r="N20">
        <v>0.35714626963933216</v>
      </c>
      <c r="O20">
        <v>0.13664993751306098</v>
      </c>
      <c r="P20">
        <v>15.588407721215191</v>
      </c>
      <c r="Q20">
        <v>13.877896870201953</v>
      </c>
      <c r="R20">
        <v>0.38234605471087046</v>
      </c>
      <c r="S20">
        <v>0.14637293460046819</v>
      </c>
      <c r="T20">
        <v>15.593384140486698</v>
      </c>
      <c r="U20">
        <v>1597.3548765042012</v>
      </c>
      <c r="V20">
        <v>10.828699806618099</v>
      </c>
      <c r="W20">
        <v>1316.0313615123619</v>
      </c>
      <c r="X20">
        <v>7.6370781597620301</v>
      </c>
      <c r="Y20">
        <v>2951.1312194066863</v>
      </c>
      <c r="Z20">
        <v>10.888540430857381</v>
      </c>
      <c r="AA20">
        <v>2761.8314553094365</v>
      </c>
      <c r="AB20">
        <v>7.6699087677640234</v>
      </c>
      <c r="AC20">
        <v>2304.0898307363091</v>
      </c>
      <c r="AD20">
        <v>10.863106278891946</v>
      </c>
      <c r="AE20">
        <v>2068.3751522593529</v>
      </c>
      <c r="AF20">
        <v>7.6559660639284255</v>
      </c>
      <c r="AG20">
        <v>2216.7086807869337</v>
      </c>
      <c r="AH20">
        <v>10.853439724899847</v>
      </c>
      <c r="AI20">
        <v>1960.6052540461201</v>
      </c>
      <c r="AJ20">
        <v>7.6506625929470475</v>
      </c>
    </row>
    <row r="21" spans="4:36" x14ac:dyDescent="0.45">
      <c r="D21">
        <v>14</v>
      </c>
      <c r="E21">
        <v>12.448812324856958</v>
      </c>
      <c r="F21">
        <v>0.50273399096364313</v>
      </c>
      <c r="G21">
        <v>0.15887815579704331</v>
      </c>
      <c r="H21">
        <v>16.889575528382341</v>
      </c>
      <c r="I21">
        <v>12.680833373468271</v>
      </c>
      <c r="J21">
        <v>0.31902240051150743</v>
      </c>
      <c r="K21">
        <v>0.10049338906691939</v>
      </c>
      <c r="L21">
        <v>16.899650836953303</v>
      </c>
      <c r="M21">
        <v>12.581830702302833</v>
      </c>
      <c r="N21">
        <v>0.39744288994440746</v>
      </c>
      <c r="O21">
        <v>0.12536892928980164</v>
      </c>
      <c r="P21">
        <v>16.895357478462952</v>
      </c>
      <c r="Q21">
        <v>12.573550256000093</v>
      </c>
      <c r="R21">
        <v>0.40399976835175855</v>
      </c>
      <c r="S21">
        <v>0.12745197359059285</v>
      </c>
      <c r="T21">
        <v>16.894998002057555</v>
      </c>
      <c r="U21">
        <v>1577.432735911724</v>
      </c>
      <c r="V21">
        <v>9.9512185810323448</v>
      </c>
      <c r="W21">
        <v>1306.9579323097782</v>
      </c>
      <c r="X21">
        <v>7.1484479185297145</v>
      </c>
      <c r="Y21">
        <v>2901.617345829743</v>
      </c>
      <c r="Z21">
        <v>9.9911083405597569</v>
      </c>
      <c r="AA21">
        <v>2730.5109414538028</v>
      </c>
      <c r="AB21">
        <v>7.1720951353487887</v>
      </c>
      <c r="AC21">
        <v>2261.771412027902</v>
      </c>
      <c r="AD21">
        <v>9.9740830577272988</v>
      </c>
      <c r="AE21">
        <v>2042.9289339592565</v>
      </c>
      <c r="AF21">
        <v>7.1620141589377919</v>
      </c>
      <c r="AG21">
        <v>2157.6899177480523</v>
      </c>
      <c r="AH21">
        <v>9.9726593851457839</v>
      </c>
      <c r="AI21">
        <v>1925.3119119163812</v>
      </c>
      <c r="AJ21">
        <v>7.1611703819416315</v>
      </c>
    </row>
    <row r="22" spans="4:36" x14ac:dyDescent="0.45">
      <c r="D22">
        <v>15</v>
      </c>
      <c r="E22">
        <v>11.585324718460688</v>
      </c>
      <c r="F22">
        <v>0.41959310294810936</v>
      </c>
      <c r="G22">
        <v>0.16049626750424867</v>
      </c>
      <c r="H22">
        <v>17.83458591108695</v>
      </c>
      <c r="I22">
        <v>11.799388052136255</v>
      </c>
      <c r="J22">
        <v>0.2587883090965265</v>
      </c>
      <c r="K22">
        <v>9.8667047688061782E-2</v>
      </c>
      <c r="L22">
        <v>17.843156591079158</v>
      </c>
      <c r="M22">
        <v>11.724328012882831</v>
      </c>
      <c r="N22">
        <v>0.31520335735001875</v>
      </c>
      <c r="O22">
        <v>0.12031231668915376</v>
      </c>
      <c r="P22">
        <v>17.840156313077987</v>
      </c>
      <c r="Q22">
        <v>11.697258922888208</v>
      </c>
      <c r="R22">
        <v>0.33554059477680448</v>
      </c>
      <c r="S22">
        <v>0.12812748092282128</v>
      </c>
      <c r="T22">
        <v>17.839073001412153</v>
      </c>
      <c r="U22">
        <v>1456.9181640725574</v>
      </c>
      <c r="V22">
        <v>9.2479260923272548</v>
      </c>
      <c r="W22">
        <v>1233.7654832083979</v>
      </c>
      <c r="X22">
        <v>6.7399576650507464</v>
      </c>
      <c r="Y22">
        <v>2838.3923507421791</v>
      </c>
      <c r="Z22">
        <v>9.2823381503996316</v>
      </c>
      <c r="AA22">
        <v>2694.4918030549561</v>
      </c>
      <c r="AB22">
        <v>6.7605424218869583</v>
      </c>
      <c r="AC22">
        <v>2153.0147071933179</v>
      </c>
      <c r="AD22">
        <v>9.2702693082553722</v>
      </c>
      <c r="AE22">
        <v>1976.8006841065896</v>
      </c>
      <c r="AF22">
        <v>6.753332669134644</v>
      </c>
      <c r="AG22">
        <v>2048.5504414944908</v>
      </c>
      <c r="AH22">
        <v>9.265917539937865</v>
      </c>
      <c r="AI22">
        <v>1858.2730152126203</v>
      </c>
      <c r="AJ22">
        <v>6.7507304455197898</v>
      </c>
    </row>
    <row r="23" spans="4:36" x14ac:dyDescent="0.45">
      <c r="D23">
        <v>16</v>
      </c>
      <c r="E23">
        <v>13.809444715386624</v>
      </c>
      <c r="F23">
        <v>0.50205621487915753</v>
      </c>
      <c r="G23">
        <v>0.16578224316073489</v>
      </c>
      <c r="H23">
        <v>15.52271682657349</v>
      </c>
      <c r="I23">
        <v>14.056046080597374</v>
      </c>
      <c r="J23">
        <v>0.32626008603273926</v>
      </c>
      <c r="K23">
        <v>0.10740812090530123</v>
      </c>
      <c r="L23">
        <v>15.510285712464601</v>
      </c>
      <c r="M23">
        <v>13.94458751940828</v>
      </c>
      <c r="N23">
        <v>0.4057593410018302</v>
      </c>
      <c r="O23">
        <v>0.13376192605206896</v>
      </c>
      <c r="P23">
        <v>15.515891213537831</v>
      </c>
      <c r="Q23">
        <v>13.87862965301772</v>
      </c>
      <c r="R23">
        <v>0.45277119460821419</v>
      </c>
      <c r="S23">
        <v>0.14938062268093744</v>
      </c>
      <c r="T23">
        <v>15.519218529693132</v>
      </c>
      <c r="U23">
        <v>1591.6716098772163</v>
      </c>
      <c r="V23">
        <v>10.933948352220467</v>
      </c>
      <c r="W23">
        <v>1314.4510938539693</v>
      </c>
      <c r="X23">
        <v>7.7021525543508593</v>
      </c>
      <c r="Y23">
        <v>2922.3230440838956</v>
      </c>
      <c r="Z23">
        <v>10.982396038168917</v>
      </c>
      <c r="AA23">
        <v>2743.0684681621356</v>
      </c>
      <c r="AB23">
        <v>7.7289226618649982</v>
      </c>
      <c r="AC23">
        <v>2254.3733264639832</v>
      </c>
      <c r="AD23">
        <v>10.960507314495453</v>
      </c>
      <c r="AE23">
        <v>2034.8459937563816</v>
      </c>
      <c r="AF23">
        <v>7.7168373673862947</v>
      </c>
      <c r="AG23">
        <v>2170.5852929236453</v>
      </c>
      <c r="AH23">
        <v>10.94754755657449</v>
      </c>
      <c r="AI23">
        <v>1928.6184608116123</v>
      </c>
      <c r="AJ23">
        <v>7.7096746314576174</v>
      </c>
    </row>
    <row r="24" spans="4:36" x14ac:dyDescent="0.45">
      <c r="D24">
        <v>17</v>
      </c>
      <c r="E24">
        <v>11.944102155632098</v>
      </c>
      <c r="F24">
        <v>0.42385339370802211</v>
      </c>
      <c r="G24">
        <v>0.1620776532035407</v>
      </c>
      <c r="H24">
        <v>17.469966797456365</v>
      </c>
      <c r="I24">
        <v>12.160587550403891</v>
      </c>
      <c r="J24">
        <v>0.26511112540099274</v>
      </c>
      <c r="K24">
        <v>0.10104605042148897</v>
      </c>
      <c r="L24">
        <v>17.473255273773646</v>
      </c>
      <c r="M24">
        <v>12.072100883239665</v>
      </c>
      <c r="N24">
        <v>0.33002932788148009</v>
      </c>
      <c r="O24">
        <v>0.12595640568951655</v>
      </c>
      <c r="P24">
        <v>17.471913383189346</v>
      </c>
      <c r="Q24">
        <v>12.015513718495493</v>
      </c>
      <c r="R24">
        <v>0.37152020428680477</v>
      </c>
      <c r="S24">
        <v>0.14191245669134367</v>
      </c>
      <c r="T24">
        <v>17.471053620526355</v>
      </c>
      <c r="U24">
        <v>1539.5639253628719</v>
      </c>
      <c r="V24">
        <v>9.3846146359558205</v>
      </c>
      <c r="W24">
        <v>1289.7632301281189</v>
      </c>
      <c r="X24">
        <v>6.7996216075956664</v>
      </c>
      <c r="Y24">
        <v>2874.0729577006455</v>
      </c>
      <c r="Z24">
        <v>9.4207482195495498</v>
      </c>
      <c r="AA24">
        <v>2717.3927920821898</v>
      </c>
      <c r="AB24">
        <v>6.8209644804561469</v>
      </c>
      <c r="AC24">
        <v>2188.9652516835922</v>
      </c>
      <c r="AD24">
        <v>9.4059773275618461</v>
      </c>
      <c r="AE24">
        <v>1998.6595642369582</v>
      </c>
      <c r="AF24">
        <v>6.8122497999660361</v>
      </c>
      <c r="AG24">
        <v>2117.6550646265459</v>
      </c>
      <c r="AH24">
        <v>9.3965324937851094</v>
      </c>
      <c r="AI24">
        <v>1902.3454857911886</v>
      </c>
      <c r="AJ24">
        <v>6.8066702330739259</v>
      </c>
    </row>
    <row r="25" spans="4:36" x14ac:dyDescent="0.45">
      <c r="D25">
        <v>18</v>
      </c>
      <c r="E25">
        <v>12.69239772614948</v>
      </c>
      <c r="F25">
        <v>0.4504292323316067</v>
      </c>
      <c r="G25">
        <v>0.16536883962733148</v>
      </c>
      <c r="H25">
        <v>16.691804201891586</v>
      </c>
      <c r="I25">
        <v>12.885998726927335</v>
      </c>
      <c r="J25">
        <v>0.31135210885610015</v>
      </c>
      <c r="K25">
        <v>0.1140042080968077</v>
      </c>
      <c r="L25">
        <v>16.688644956119745</v>
      </c>
      <c r="M25">
        <v>12.814817417143669</v>
      </c>
      <c r="N25">
        <v>0.36251262337136975</v>
      </c>
      <c r="O25">
        <v>0.13286675123884106</v>
      </c>
      <c r="P25">
        <v>16.689803208246111</v>
      </c>
      <c r="Q25">
        <v>12.764782096271821</v>
      </c>
      <c r="R25">
        <v>0.39845671633480312</v>
      </c>
      <c r="S25">
        <v>0.1461415163918649</v>
      </c>
      <c r="T25">
        <v>16.690619671001507</v>
      </c>
      <c r="U25">
        <v>1557.0295732775733</v>
      </c>
      <c r="V25">
        <v>9.9744924525386693</v>
      </c>
      <c r="W25">
        <v>1297.218788696134</v>
      </c>
      <c r="X25">
        <v>7.1442382735391732</v>
      </c>
      <c r="Y25">
        <v>2923.4786062859448</v>
      </c>
      <c r="Z25">
        <v>10.012658486192404</v>
      </c>
      <c r="AA25">
        <v>2747.5036734555588</v>
      </c>
      <c r="AB25">
        <v>7.1660417891545345</v>
      </c>
      <c r="AC25">
        <v>2255.1175077455387</v>
      </c>
      <c r="AD25">
        <v>9.9986283133694975</v>
      </c>
      <c r="AE25">
        <v>2041.5589440264316</v>
      </c>
      <c r="AF25">
        <v>7.1580337922214143</v>
      </c>
      <c r="AG25">
        <v>2151.3789739792942</v>
      </c>
      <c r="AH25">
        <v>9.9887644922790528</v>
      </c>
      <c r="AI25">
        <v>1921.9949210632633</v>
      </c>
      <c r="AJ25">
        <v>7.1523988487776506</v>
      </c>
    </row>
    <row r="26" spans="4:36" x14ac:dyDescent="0.45">
      <c r="D26">
        <v>19</v>
      </c>
      <c r="E26">
        <v>15.131363232544413</v>
      </c>
      <c r="F26">
        <v>0.59226782992600868</v>
      </c>
      <c r="G26">
        <v>0.19735063561026164</v>
      </c>
      <c r="H26">
        <v>14.079018301919323</v>
      </c>
      <c r="I26">
        <v>15.466972285030717</v>
      </c>
      <c r="J26">
        <v>0.35970444940190255</v>
      </c>
      <c r="K26">
        <v>0.11938559736662559</v>
      </c>
      <c r="L26">
        <v>14.053937668200742</v>
      </c>
      <c r="M26">
        <v>15.322850304274123</v>
      </c>
      <c r="N26">
        <v>0.45965284141431673</v>
      </c>
      <c r="O26">
        <v>0.15281579298189038</v>
      </c>
      <c r="P26">
        <v>14.06468106132969</v>
      </c>
      <c r="Q26">
        <v>15.263108018697549</v>
      </c>
      <c r="R26">
        <v>0.50104986848991129</v>
      </c>
      <c r="S26">
        <v>0.1666957392696056</v>
      </c>
      <c r="T26">
        <v>14.069146373542939</v>
      </c>
      <c r="U26">
        <v>1689.3585926494854</v>
      </c>
      <c r="V26">
        <v>11.904041984002635</v>
      </c>
      <c r="W26">
        <v>1362.0062649940644</v>
      </c>
      <c r="X26">
        <v>8.2341966144348362</v>
      </c>
      <c r="Y26">
        <v>2981.4898719782191</v>
      </c>
      <c r="Z26">
        <v>11.979309450936052</v>
      </c>
      <c r="AA26">
        <v>2772.6232411962769</v>
      </c>
      <c r="AB26">
        <v>8.2751787689945271</v>
      </c>
      <c r="AC26">
        <v>2362.4016212196693</v>
      </c>
      <c r="AD26">
        <v>11.947002436547493</v>
      </c>
      <c r="AE26">
        <v>2094.8907702891561</v>
      </c>
      <c r="AF26">
        <v>8.2576049926705135</v>
      </c>
      <c r="AG26">
        <v>2278.4457913422075</v>
      </c>
      <c r="AH26">
        <v>11.93360357763726</v>
      </c>
      <c r="AI26">
        <v>1987.7608775014414</v>
      </c>
      <c r="AJ26">
        <v>8.250309073344896</v>
      </c>
    </row>
    <row r="27" spans="4:36" x14ac:dyDescent="0.45">
      <c r="D27">
        <v>20</v>
      </c>
      <c r="E27">
        <v>12.269403731209351</v>
      </c>
      <c r="F27">
        <v>0.45011024129790761</v>
      </c>
      <c r="G27">
        <v>0.15229461640484954</v>
      </c>
      <c r="H27">
        <v>17.128191411087879</v>
      </c>
      <c r="I27">
        <v>12.489219841253318</v>
      </c>
      <c r="J27">
        <v>0.28508503939267243</v>
      </c>
      <c r="K27">
        <v>9.6150839558732659E-2</v>
      </c>
      <c r="L27">
        <v>17.129544279795283</v>
      </c>
      <c r="M27">
        <v>12.397986730276401</v>
      </c>
      <c r="N27">
        <v>0.35361009446982489</v>
      </c>
      <c r="O27">
        <v>0.11941985339329576</v>
      </c>
      <c r="P27">
        <v>17.128983321860478</v>
      </c>
      <c r="Q27">
        <v>12.351407714269241</v>
      </c>
      <c r="R27">
        <v>0.38857778353141448</v>
      </c>
      <c r="S27">
        <v>0.13131787223192945</v>
      </c>
      <c r="T27">
        <v>17.128696629967422</v>
      </c>
      <c r="U27">
        <v>1516.8967430634054</v>
      </c>
      <c r="V27">
        <v>9.7284873956388385</v>
      </c>
      <c r="W27">
        <v>1273.9367264638593</v>
      </c>
      <c r="X27">
        <v>7.0133487054944332</v>
      </c>
      <c r="Y27">
        <v>2861.8812283774291</v>
      </c>
      <c r="Z27">
        <v>9.77103089968654</v>
      </c>
      <c r="AA27">
        <v>2708.6999821989311</v>
      </c>
      <c r="AB27">
        <v>7.0382882537446489</v>
      </c>
      <c r="AC27">
        <v>2205.496701899594</v>
      </c>
      <c r="AD27">
        <v>9.7533721827287696</v>
      </c>
      <c r="AE27">
        <v>2010.9634413752315</v>
      </c>
      <c r="AF27">
        <v>7.0279477707660085</v>
      </c>
      <c r="AG27">
        <v>2078.9741286221047</v>
      </c>
      <c r="AH27">
        <v>9.7443572646103522</v>
      </c>
      <c r="AI27">
        <v>1875.3027061116377</v>
      </c>
      <c r="AJ27">
        <v>7.0226627204992136</v>
      </c>
    </row>
    <row r="28" spans="4:36" x14ac:dyDescent="0.45">
      <c r="D28">
        <v>21</v>
      </c>
      <c r="E28">
        <v>12.901359685983705</v>
      </c>
      <c r="F28">
        <v>0.44911251973217692</v>
      </c>
      <c r="G28">
        <v>0.17197917085703457</v>
      </c>
      <c r="H28">
        <v>16.477548623427094</v>
      </c>
      <c r="I28">
        <v>13.135271561124378</v>
      </c>
      <c r="J28">
        <v>0.28222525161887568</v>
      </c>
      <c r="K28">
        <v>0.10771228647623048</v>
      </c>
      <c r="L28">
        <v>16.474790900780516</v>
      </c>
      <c r="M28">
        <v>12.991741569415241</v>
      </c>
      <c r="N28">
        <v>0.38466727802991496</v>
      </c>
      <c r="O28">
        <v>0.14711012637384913</v>
      </c>
      <c r="P28">
        <v>16.476481026180988</v>
      </c>
      <c r="Q28">
        <v>12.995589997792274</v>
      </c>
      <c r="R28">
        <v>0.38192213231413491</v>
      </c>
      <c r="S28">
        <v>0.14605224448656662</v>
      </c>
      <c r="T28">
        <v>16.47643562540701</v>
      </c>
      <c r="U28">
        <v>1558.8250153929901</v>
      </c>
      <c r="V28">
        <v>10.212397394384682</v>
      </c>
      <c r="W28">
        <v>1293.7435881985846</v>
      </c>
      <c r="X28">
        <v>7.2905330145634286</v>
      </c>
      <c r="Y28">
        <v>2920.7090495761813</v>
      </c>
      <c r="Z28">
        <v>10.256920425341196</v>
      </c>
      <c r="AA28">
        <v>2744.572682556231</v>
      </c>
      <c r="AB28">
        <v>7.316084616929543</v>
      </c>
      <c r="AC28">
        <v>2252.8117810385966</v>
      </c>
      <c r="AD28">
        <v>10.229601971900225</v>
      </c>
      <c r="AE28">
        <v>2034.2157401247803</v>
      </c>
      <c r="AF28">
        <v>7.3004172212053327</v>
      </c>
      <c r="AG28">
        <v>2139.109319564081</v>
      </c>
      <c r="AH28">
        <v>10.230334503082402</v>
      </c>
      <c r="AI28">
        <v>1910.2109970682893</v>
      </c>
      <c r="AJ28">
        <v>7.3008377707375613</v>
      </c>
    </row>
    <row r="29" spans="4:36" x14ac:dyDescent="0.45">
      <c r="D29">
        <v>22</v>
      </c>
      <c r="E29">
        <v>11.496907853546665</v>
      </c>
      <c r="F29">
        <v>0.42301388493701592</v>
      </c>
      <c r="G29">
        <v>0.17379931710673949</v>
      </c>
      <c r="H29">
        <v>17.906278944409593</v>
      </c>
      <c r="I29">
        <v>11.691726105360512</v>
      </c>
      <c r="J29">
        <v>0.270035879447654</v>
      </c>
      <c r="K29">
        <v>0.11062633111550979</v>
      </c>
      <c r="L29">
        <v>17.927611684076322</v>
      </c>
      <c r="M29">
        <v>11.603124618292433</v>
      </c>
      <c r="N29">
        <v>0.3396328546958583</v>
      </c>
      <c r="O29">
        <v>0.13932083752799237</v>
      </c>
      <c r="P29">
        <v>17.917921689483716</v>
      </c>
      <c r="Q29">
        <v>11.583690833822775</v>
      </c>
      <c r="R29">
        <v>0.35489285961212069</v>
      </c>
      <c r="S29">
        <v>0.14562266662522524</v>
      </c>
      <c r="T29">
        <v>17.915793639939881</v>
      </c>
      <c r="U29">
        <v>1474.0668776560713</v>
      </c>
      <c r="V29">
        <v>9.113749716486554</v>
      </c>
      <c r="W29">
        <v>1248.4255475835762</v>
      </c>
      <c r="X29">
        <v>6.6489648131417978</v>
      </c>
      <c r="Y29">
        <v>2855.515680621605</v>
      </c>
      <c r="Z29">
        <v>9.1372734914873792</v>
      </c>
      <c r="AA29">
        <v>2707.6330387141502</v>
      </c>
      <c r="AB29">
        <v>6.6637230542742403</v>
      </c>
      <c r="AC29">
        <v>2180.6339598267514</v>
      </c>
      <c r="AD29">
        <v>9.1265680849038766</v>
      </c>
      <c r="AE29">
        <v>1996.9801954912825</v>
      </c>
      <c r="AF29">
        <v>6.6570151634001107</v>
      </c>
      <c r="AG29">
        <v>2043.2729021880225</v>
      </c>
      <c r="AH29">
        <v>9.1242215294015079</v>
      </c>
      <c r="AI29">
        <v>1854.8270607258476</v>
      </c>
      <c r="AJ29">
        <v>6.6555429678955456</v>
      </c>
    </row>
    <row r="30" spans="4:36" x14ac:dyDescent="0.45">
      <c r="D30">
        <v>23</v>
      </c>
      <c r="E30">
        <v>11.1270445718554</v>
      </c>
      <c r="F30">
        <v>0.40192418083201598</v>
      </c>
      <c r="G30">
        <v>0.15452802809197241</v>
      </c>
      <c r="H30">
        <v>18.316503219220607</v>
      </c>
      <c r="I30">
        <v>11.287359606825987</v>
      </c>
      <c r="J30">
        <v>0.27167185345238865</v>
      </c>
      <c r="K30">
        <v>0.10417412313319241</v>
      </c>
      <c r="L30">
        <v>18.336794416588447</v>
      </c>
      <c r="M30">
        <v>11.240575652282178</v>
      </c>
      <c r="N30">
        <v>0.30969507393537477</v>
      </c>
      <c r="O30">
        <v>0.1188456110422207</v>
      </c>
      <c r="P30">
        <v>18.330883662740227</v>
      </c>
      <c r="Q30">
        <v>11.190914789654014</v>
      </c>
      <c r="R30">
        <v>0.35004539355686132</v>
      </c>
      <c r="S30">
        <v>0.1344400267637019</v>
      </c>
      <c r="T30">
        <v>18.324599790025431</v>
      </c>
      <c r="U30">
        <v>1482.4735557586512</v>
      </c>
      <c r="V30">
        <v>8.6593768462992369</v>
      </c>
      <c r="W30">
        <v>1256.9938017579009</v>
      </c>
      <c r="X30">
        <v>6.3579943626470516</v>
      </c>
      <c r="Y30">
        <v>2860.7709485640225</v>
      </c>
      <c r="Z30">
        <v>8.6747420787276024</v>
      </c>
      <c r="AA30">
        <v>2711.8319893972866</v>
      </c>
      <c r="AB30">
        <v>6.3681677305653279</v>
      </c>
      <c r="AC30">
        <v>2157.9641256264708</v>
      </c>
      <c r="AD30">
        <v>8.6702519308279946</v>
      </c>
      <c r="AE30">
        <v>1983.2703766515399</v>
      </c>
      <c r="AF30">
        <v>6.3651999761618852</v>
      </c>
      <c r="AG30">
        <v>2030.4197532523963</v>
      </c>
      <c r="AH30">
        <v>8.6654912315787787</v>
      </c>
      <c r="AI30">
        <v>1846.2244247099395</v>
      </c>
      <c r="AJ30">
        <v>6.362048745309929</v>
      </c>
    </row>
    <row r="31" spans="4:36" x14ac:dyDescent="0.45">
      <c r="D31">
        <v>24</v>
      </c>
      <c r="E31">
        <v>12.749502645338417</v>
      </c>
      <c r="F31">
        <v>0.44619555936095429</v>
      </c>
      <c r="G31">
        <v>0.16299621478354204</v>
      </c>
      <c r="H31">
        <v>16.641305580517077</v>
      </c>
      <c r="I31">
        <v>12.908694831029489</v>
      </c>
      <c r="J31">
        <v>0.3213743130195359</v>
      </c>
      <c r="K31">
        <v>0.1171186640278976</v>
      </c>
      <c r="L31">
        <v>16.652812191923076</v>
      </c>
      <c r="M31">
        <v>12.81419779160303</v>
      </c>
      <c r="N31">
        <v>0.39548341965690309</v>
      </c>
      <c r="O31">
        <v>0.14433035260807844</v>
      </c>
      <c r="P31">
        <v>16.645988436131979</v>
      </c>
      <c r="Q31">
        <v>12.769929809626301</v>
      </c>
      <c r="R31">
        <v>0.43018565535225711</v>
      </c>
      <c r="S31">
        <v>0.1570993834638805</v>
      </c>
      <c r="T31">
        <v>16.642785151557568</v>
      </c>
      <c r="U31">
        <v>1538.4695841407508</v>
      </c>
      <c r="V31">
        <v>10.097699217208895</v>
      </c>
      <c r="W31">
        <v>1281.0871916507233</v>
      </c>
      <c r="X31">
        <v>7.2236992848136747</v>
      </c>
      <c r="Y31">
        <v>2923.2372890382489</v>
      </c>
      <c r="Z31">
        <v>10.120018181573526</v>
      </c>
      <c r="AA31">
        <v>2744.4978275223616</v>
      </c>
      <c r="AB31">
        <v>7.237106266997646</v>
      </c>
      <c r="AC31">
        <v>2246.2823520566458</v>
      </c>
      <c r="AD31">
        <v>10.106766153861807</v>
      </c>
      <c r="AE31">
        <v>2030.1653131923538</v>
      </c>
      <c r="AF31">
        <v>7.2291506626169282</v>
      </c>
      <c r="AG31">
        <v>2130.0723229116534</v>
      </c>
      <c r="AH31">
        <v>10.100561548852392</v>
      </c>
      <c r="AI31">
        <v>1901.4560450532128</v>
      </c>
      <c r="AJ31">
        <v>7.2254209506334712</v>
      </c>
    </row>
    <row r="32" spans="4:36" x14ac:dyDescent="0.45">
      <c r="D32">
        <v>25</v>
      </c>
      <c r="E32">
        <v>11.462973274697427</v>
      </c>
      <c r="F32">
        <v>0.43596729472995999</v>
      </c>
      <c r="G32">
        <v>0.17037389641011963</v>
      </c>
      <c r="H32">
        <v>17.930685534162482</v>
      </c>
      <c r="I32">
        <v>11.670081144637582</v>
      </c>
      <c r="J32">
        <v>0.27245652755781935</v>
      </c>
      <c r="K32">
        <v>0.10611671311072005</v>
      </c>
      <c r="L32">
        <v>17.951345614693867</v>
      </c>
      <c r="M32">
        <v>11.595748258415837</v>
      </c>
      <c r="N32">
        <v>0.33116683748125403</v>
      </c>
      <c r="O32">
        <v>0.12913855038623345</v>
      </c>
      <c r="P32">
        <v>17.943946353716669</v>
      </c>
      <c r="Q32">
        <v>11.555013472433146</v>
      </c>
      <c r="R32">
        <v>0.36332863025355183</v>
      </c>
      <c r="S32">
        <v>0.14177386201810463</v>
      </c>
      <c r="T32">
        <v>17.93988403529519</v>
      </c>
      <c r="U32">
        <v>1495.6091408432428</v>
      </c>
      <c r="V32">
        <v>9.0606401792552376</v>
      </c>
      <c r="W32">
        <v>1258.9750570791516</v>
      </c>
      <c r="X32">
        <v>6.6127343847501017</v>
      </c>
      <c r="Y32">
        <v>2864.8204816387279</v>
      </c>
      <c r="Z32">
        <v>9.087203533588184</v>
      </c>
      <c r="AA32">
        <v>2711.6052776254282</v>
      </c>
      <c r="AB32">
        <v>6.6295338385686975</v>
      </c>
      <c r="AC32">
        <v>2195.0238993388734</v>
      </c>
      <c r="AD32">
        <v>9.0776602083362601</v>
      </c>
      <c r="AE32">
        <v>2004.9421390613788</v>
      </c>
      <c r="AF32">
        <v>6.6235083914063582</v>
      </c>
      <c r="AG32">
        <v>2085.0798563198296</v>
      </c>
      <c r="AH32">
        <v>9.0724349117349572</v>
      </c>
      <c r="AI32">
        <v>1881.3113643892161</v>
      </c>
      <c r="AJ32">
        <v>6.6202045131186065</v>
      </c>
    </row>
    <row r="33" spans="4:36" x14ac:dyDescent="0.45">
      <c r="D33">
        <v>26</v>
      </c>
      <c r="E33">
        <v>11.597730926632275</v>
      </c>
      <c r="F33">
        <v>0.41484462055663357</v>
      </c>
      <c r="G33">
        <v>0.14517375239730712</v>
      </c>
      <c r="H33">
        <v>17.842250700413782</v>
      </c>
      <c r="I33">
        <v>11.729045790393563</v>
      </c>
      <c r="J33">
        <v>0.30597335215270882</v>
      </c>
      <c r="K33">
        <v>0.10686732108435883</v>
      </c>
      <c r="L33">
        <v>17.858113536369352</v>
      </c>
      <c r="M33">
        <v>11.668559161394016</v>
      </c>
      <c r="N33">
        <v>0.35613094248228599</v>
      </c>
      <c r="O33">
        <v>0.12449663820093043</v>
      </c>
      <c r="P33">
        <v>17.850813257922773</v>
      </c>
      <c r="Q33">
        <v>11.628931065759419</v>
      </c>
      <c r="R33">
        <v>0.38898360118940783</v>
      </c>
      <c r="S33">
        <v>0.13606090440658383</v>
      </c>
      <c r="T33">
        <v>17.846024428644601</v>
      </c>
      <c r="U33">
        <v>1476.0403941685281</v>
      </c>
      <c r="V33">
        <v>9.1880781700773415</v>
      </c>
      <c r="W33">
        <v>1246.8354153112336</v>
      </c>
      <c r="X33">
        <v>6.6965825320174801</v>
      </c>
      <c r="Y33">
        <v>2868.7196558915452</v>
      </c>
      <c r="Z33">
        <v>9.20570977784147</v>
      </c>
      <c r="AA33">
        <v>2711.9365779644904</v>
      </c>
      <c r="AB33">
        <v>6.7076265965329034</v>
      </c>
      <c r="AC33">
        <v>2201.0341283700423</v>
      </c>
      <c r="AD33">
        <v>9.1975846567340902</v>
      </c>
      <c r="AE33">
        <v>2007.6107786217108</v>
      </c>
      <c r="AF33">
        <v>6.702541436999164</v>
      </c>
      <c r="AG33">
        <v>2097.5407761219799</v>
      </c>
      <c r="AH33">
        <v>9.1922647750722835</v>
      </c>
      <c r="AI33">
        <v>1888.7098262775935</v>
      </c>
      <c r="AJ33">
        <v>6.6992080323083272</v>
      </c>
    </row>
    <row r="34" spans="4:36" x14ac:dyDescent="0.45">
      <c r="D34">
        <v>27</v>
      </c>
      <c r="E34">
        <v>12.343263438186158</v>
      </c>
      <c r="F34">
        <v>0.48578181677163923</v>
      </c>
      <c r="G34">
        <v>0.18450150922308492</v>
      </c>
      <c r="H34">
        <v>16.986453235819134</v>
      </c>
      <c r="I34">
        <v>12.577829316391103</v>
      </c>
      <c r="J34">
        <v>0.30555823600548859</v>
      </c>
      <c r="K34">
        <v>0.11563982673869554</v>
      </c>
      <c r="L34">
        <v>17.000972620864719</v>
      </c>
      <c r="M34">
        <v>12.518320505332559</v>
      </c>
      <c r="N34">
        <v>0.35130766668474589</v>
      </c>
      <c r="O34">
        <v>0.13307326022727825</v>
      </c>
      <c r="P34">
        <v>16.997298567755408</v>
      </c>
      <c r="Q34">
        <v>12.451241833884843</v>
      </c>
      <c r="R34">
        <v>0.40285465839450812</v>
      </c>
      <c r="S34">
        <v>0.15275404702824666</v>
      </c>
      <c r="T34">
        <v>16.993149460692411</v>
      </c>
      <c r="U34">
        <v>1575.1741518188162</v>
      </c>
      <c r="V34">
        <v>9.7602842535810996</v>
      </c>
      <c r="W34">
        <v>1304.0473921080279</v>
      </c>
      <c r="X34">
        <v>7.0199244304768111</v>
      </c>
      <c r="Y34">
        <v>2928.3703676778123</v>
      </c>
      <c r="Z34">
        <v>9.7937604440354367</v>
      </c>
      <c r="AA34">
        <v>2749.2814457943887</v>
      </c>
      <c r="AB34">
        <v>7.0400689390639695</v>
      </c>
      <c r="AC34">
        <v>2229.6243635593546</v>
      </c>
      <c r="AD34">
        <v>9.7852623591804608</v>
      </c>
      <c r="AE34">
        <v>2021.5354667558227</v>
      </c>
      <c r="AF34">
        <v>7.0349637743728941</v>
      </c>
      <c r="AG34">
        <v>2143.1322247617827</v>
      </c>
      <c r="AH34">
        <v>9.7756875330170416</v>
      </c>
      <c r="AI34">
        <v>1912.7488203067719</v>
      </c>
      <c r="AJ34">
        <v>7.0292047848119523</v>
      </c>
    </row>
    <row r="35" spans="4:36" x14ac:dyDescent="0.45">
      <c r="D35">
        <v>28</v>
      </c>
      <c r="E35">
        <v>12.771960703053438</v>
      </c>
      <c r="F35">
        <v>0.46763939087904127</v>
      </c>
      <c r="G35">
        <v>0.17237210832773014</v>
      </c>
      <c r="H35">
        <v>16.588027797739784</v>
      </c>
      <c r="I35">
        <v>12.991963445521684</v>
      </c>
      <c r="J35">
        <v>0.30508949216321968</v>
      </c>
      <c r="K35">
        <v>0.11210606473070801</v>
      </c>
      <c r="L35">
        <v>16.590840997584376</v>
      </c>
      <c r="M35">
        <v>12.896955141511226</v>
      </c>
      <c r="N35">
        <v>0.37532008278201268</v>
      </c>
      <c r="O35">
        <v>0.13809757424331909</v>
      </c>
      <c r="P35">
        <v>16.58962720146345</v>
      </c>
      <c r="Q35">
        <v>12.855207871778687</v>
      </c>
      <c r="R35">
        <v>0.40616388858819563</v>
      </c>
      <c r="S35">
        <v>0.14953490889906856</v>
      </c>
      <c r="T35">
        <v>16.589093330734038</v>
      </c>
      <c r="U35">
        <v>1575.7801856648045</v>
      </c>
      <c r="V35">
        <v>10.118126142648091</v>
      </c>
      <c r="W35">
        <v>1305.9367979120298</v>
      </c>
      <c r="X35">
        <v>7.2350570354937735</v>
      </c>
      <c r="Y35">
        <v>2889.4530612958811</v>
      </c>
      <c r="Z35">
        <v>10.156653356602613</v>
      </c>
      <c r="AA35">
        <v>2721.2559340497155</v>
      </c>
      <c r="AB35">
        <v>7.2573386591724676</v>
      </c>
      <c r="AC35">
        <v>2270.1500521186895</v>
      </c>
      <c r="AD35">
        <v>10.140015282210321</v>
      </c>
      <c r="AE35">
        <v>2048.6028989011274</v>
      </c>
      <c r="AF35">
        <v>7.2477256164381174</v>
      </c>
      <c r="AG35">
        <v>2136.31622577894</v>
      </c>
      <c r="AH35">
        <v>10.1327044402559</v>
      </c>
      <c r="AI35">
        <v>1907.526678036734</v>
      </c>
      <c r="AJ35">
        <v>7.2434971343183632</v>
      </c>
    </row>
    <row r="36" spans="4:36" x14ac:dyDescent="0.45">
      <c r="D36">
        <v>29</v>
      </c>
      <c r="E36">
        <v>12.194670410509387</v>
      </c>
      <c r="F36">
        <v>0.45048739023697831</v>
      </c>
      <c r="G36">
        <v>0.18434565228300206</v>
      </c>
      <c r="H36">
        <v>17.170496546970618</v>
      </c>
      <c r="I36">
        <v>12.428759950785357</v>
      </c>
      <c r="J36">
        <v>0.27839932325776429</v>
      </c>
      <c r="K36">
        <v>0.11351110219509326</v>
      </c>
      <c r="L36">
        <v>17.179329623761777</v>
      </c>
      <c r="M36">
        <v>12.355888233178904</v>
      </c>
      <c r="N36">
        <v>0.33200429265149362</v>
      </c>
      <c r="O36">
        <v>0.13551990310899958</v>
      </c>
      <c r="P36">
        <v>17.176587571060598</v>
      </c>
      <c r="Q36">
        <v>12.30153047762958</v>
      </c>
      <c r="R36">
        <v>0.37197019268860887</v>
      </c>
      <c r="S36">
        <v>0.15196165348188714</v>
      </c>
      <c r="T36">
        <v>17.174537676199936</v>
      </c>
      <c r="U36">
        <v>1555.364336788158</v>
      </c>
      <c r="V36">
        <v>9.6348930043784264</v>
      </c>
      <c r="W36">
        <v>1295.8738664511004</v>
      </c>
      <c r="X36">
        <v>6.9492101741371055</v>
      </c>
      <c r="Y36">
        <v>2901.4919867222525</v>
      </c>
      <c r="Z36">
        <v>9.6719758755562104</v>
      </c>
      <c r="AA36">
        <v>2734.1751089387117</v>
      </c>
      <c r="AB36">
        <v>6.9712858370080939</v>
      </c>
      <c r="AC36">
        <v>2205.5730575560369</v>
      </c>
      <c r="AD36">
        <v>9.6604279128290713</v>
      </c>
      <c r="AE36">
        <v>2008.1375185260213</v>
      </c>
      <c r="AF36">
        <v>6.9644214955219113</v>
      </c>
      <c r="AG36">
        <v>2106.5251664283601</v>
      </c>
      <c r="AH36">
        <v>9.6518162677877513</v>
      </c>
      <c r="AI36">
        <v>1891.4992166833831</v>
      </c>
      <c r="AJ36">
        <v>6.9592965693894921</v>
      </c>
    </row>
    <row r="37" spans="4:36" x14ac:dyDescent="0.45">
      <c r="D37">
        <v>30</v>
      </c>
      <c r="E37">
        <v>12.770763187211051</v>
      </c>
      <c r="F37">
        <v>0.44164619074729877</v>
      </c>
      <c r="G37">
        <v>0.17064730809434131</v>
      </c>
      <c r="H37">
        <v>16.616943313947306</v>
      </c>
      <c r="I37">
        <v>12.989777883322901</v>
      </c>
      <c r="J37">
        <v>0.28881566440445106</v>
      </c>
      <c r="K37">
        <v>0.11123407215126316</v>
      </c>
      <c r="L37">
        <v>16.610172380121377</v>
      </c>
      <c r="M37">
        <v>12.888005734008651</v>
      </c>
      <c r="N37">
        <v>0.3598705519962962</v>
      </c>
      <c r="O37">
        <v>0.13880819861694096</v>
      </c>
      <c r="P37">
        <v>16.613315515378098</v>
      </c>
      <c r="Q37">
        <v>12.848606705702059</v>
      </c>
      <c r="R37">
        <v>0.38736066589916246</v>
      </c>
      <c r="S37">
        <v>0.14949882636886117</v>
      </c>
      <c r="T37">
        <v>16.614533802029918</v>
      </c>
      <c r="U37">
        <v>1528.5555707049091</v>
      </c>
      <c r="V37">
        <v>10.106144153816405</v>
      </c>
      <c r="W37">
        <v>1275.0955012919296</v>
      </c>
      <c r="X37">
        <v>7.2305808777519607</v>
      </c>
      <c r="Y37">
        <v>2905.7852417467188</v>
      </c>
      <c r="Z37">
        <v>10.152667932594889</v>
      </c>
      <c r="AA37">
        <v>2734.9836487606581</v>
      </c>
      <c r="AB37">
        <v>7.2572387330767283</v>
      </c>
      <c r="AC37">
        <v>2233.3168324179182</v>
      </c>
      <c r="AD37">
        <v>10.131051146927874</v>
      </c>
      <c r="AE37">
        <v>2024.2442685778688</v>
      </c>
      <c r="AF37">
        <v>7.2448632975436382</v>
      </c>
      <c r="AG37">
        <v>2145.6175691282579</v>
      </c>
      <c r="AH37">
        <v>10.122681730290102</v>
      </c>
      <c r="AI37">
        <v>1916.6835193543043</v>
      </c>
      <c r="AJ37">
        <v>7.2400668309270522</v>
      </c>
    </row>
    <row r="38" spans="4:36" x14ac:dyDescent="0.45">
      <c r="D38">
        <v>31</v>
      </c>
      <c r="E38">
        <v>12.257308683606642</v>
      </c>
      <c r="F38">
        <v>0.41651902564364135</v>
      </c>
      <c r="G38">
        <v>0.16515694226954486</v>
      </c>
      <c r="H38">
        <v>17.161015348480177</v>
      </c>
      <c r="I38">
        <v>12.419655051627329</v>
      </c>
      <c r="J38">
        <v>0.29753886387596551</v>
      </c>
      <c r="K38">
        <v>0.11767414478079546</v>
      </c>
      <c r="L38">
        <v>17.165131939715909</v>
      </c>
      <c r="M38">
        <v>12.362390897044973</v>
      </c>
      <c r="N38">
        <v>0.33952415273816344</v>
      </c>
      <c r="O38">
        <v>0.1344012495349203</v>
      </c>
      <c r="P38">
        <v>17.163683700681943</v>
      </c>
      <c r="Q38">
        <v>12.298305492206275</v>
      </c>
      <c r="R38">
        <v>0.38648794913680856</v>
      </c>
      <c r="S38">
        <v>0.15314851016507405</v>
      </c>
      <c r="T38">
        <v>17.162058048491847</v>
      </c>
      <c r="U38">
        <v>1542.4079755887524</v>
      </c>
      <c r="V38">
        <v>9.6884531795770528</v>
      </c>
      <c r="W38">
        <v>1288.8554798589801</v>
      </c>
      <c r="X38">
        <v>6.9863363567189287</v>
      </c>
      <c r="Y38">
        <v>2915.2591964069302</v>
      </c>
      <c r="Z38">
        <v>9.7166003926380746</v>
      </c>
      <c r="AA38">
        <v>2742.2756261432619</v>
      </c>
      <c r="AB38">
        <v>7.0029966216348534</v>
      </c>
      <c r="AC38">
        <v>2219.4739457912829</v>
      </c>
      <c r="AD38">
        <v>9.7066702341118969</v>
      </c>
      <c r="AE38">
        <v>2017.2888691470396</v>
      </c>
      <c r="AF38">
        <v>6.9971245707462364</v>
      </c>
      <c r="AG38">
        <v>2129.0083639703225</v>
      </c>
      <c r="AH38">
        <v>9.6955595787194415</v>
      </c>
      <c r="AI38">
        <v>1906.2747659745742</v>
      </c>
      <c r="AJ38">
        <v>6.9905472481670552</v>
      </c>
    </row>
    <row r="39" spans="4:36" x14ac:dyDescent="0.45">
      <c r="D39">
        <v>32</v>
      </c>
      <c r="E39">
        <v>12.129402346332437</v>
      </c>
      <c r="F39">
        <v>0.47274650710124133</v>
      </c>
      <c r="G39">
        <v>0.15100138945352787</v>
      </c>
      <c r="H39">
        <v>17.246849757112798</v>
      </c>
      <c r="I39">
        <v>12.332175298280518</v>
      </c>
      <c r="J39">
        <v>0.30775033680287583</v>
      </c>
      <c r="K39">
        <v>9.8003320597430235E-2</v>
      </c>
      <c r="L39">
        <v>17.262071044319164</v>
      </c>
      <c r="M39">
        <v>12.266441288846476</v>
      </c>
      <c r="N39">
        <v>0.36125784164419805</v>
      </c>
      <c r="O39">
        <v>0.11515488515866031</v>
      </c>
      <c r="P39">
        <v>17.257145984350661</v>
      </c>
      <c r="Q39">
        <v>12.177327322994477</v>
      </c>
      <c r="R39">
        <v>0.43376636309527627</v>
      </c>
      <c r="S39">
        <v>0.13845134104778653</v>
      </c>
      <c r="T39">
        <v>17.250454972862457</v>
      </c>
      <c r="U39">
        <v>1517.1788507456054</v>
      </c>
      <c r="V39">
        <v>9.4776194218369287</v>
      </c>
      <c r="W39">
        <v>1270.6832412060051</v>
      </c>
      <c r="X39">
        <v>6.8422534120174374</v>
      </c>
      <c r="Y39">
        <v>2892.8960060246463</v>
      </c>
      <c r="Z39">
        <v>9.5034581045288711</v>
      </c>
      <c r="AA39">
        <v>2728.3996948042031</v>
      </c>
      <c r="AB39">
        <v>6.8580152453227665</v>
      </c>
      <c r="AC39">
        <v>2198.3230769525044</v>
      </c>
      <c r="AD39">
        <v>9.4950766239110553</v>
      </c>
      <c r="AE39">
        <v>2003.8548087750141</v>
      </c>
      <c r="AF39">
        <v>6.8529096916507752</v>
      </c>
      <c r="AG39">
        <v>2136.0302622070262</v>
      </c>
      <c r="AH39">
        <v>9.4837220308351124</v>
      </c>
      <c r="AI39">
        <v>1911.8436986003767</v>
      </c>
      <c r="AJ39">
        <v>6.8459820371978779</v>
      </c>
    </row>
    <row r="40" spans="4:36" x14ac:dyDescent="0.45">
      <c r="D40">
        <v>33</v>
      </c>
      <c r="E40">
        <v>12.28354072929702</v>
      </c>
      <c r="F40">
        <v>0.42272258780874722</v>
      </c>
      <c r="G40">
        <v>0.18086079653112919</v>
      </c>
      <c r="H40">
        <v>17.112875886363106</v>
      </c>
      <c r="I40">
        <v>12.50229098495355</v>
      </c>
      <c r="J40">
        <v>0.27228419149829092</v>
      </c>
      <c r="K40">
        <v>0.1161148914870298</v>
      </c>
      <c r="L40">
        <v>17.109309932061134</v>
      </c>
      <c r="M40">
        <v>12.422466162485552</v>
      </c>
      <c r="N40">
        <v>0.32721740369089186</v>
      </c>
      <c r="O40">
        <v>0.13970725659699545</v>
      </c>
      <c r="P40">
        <v>17.11060917722655</v>
      </c>
      <c r="Q40">
        <v>12.399440624719666</v>
      </c>
      <c r="R40">
        <v>0.34305522034523206</v>
      </c>
      <c r="S40">
        <v>0.14651978022591644</v>
      </c>
      <c r="T40">
        <v>17.110984374709169</v>
      </c>
      <c r="U40">
        <v>1514.7881696827403</v>
      </c>
      <c r="V40">
        <v>9.738144510953763</v>
      </c>
      <c r="W40">
        <v>1271.7668663807019</v>
      </c>
      <c r="X40">
        <v>7.0185488743173954</v>
      </c>
      <c r="Y40">
        <v>2876.3497911299564</v>
      </c>
      <c r="Z40">
        <v>9.7804994486921668</v>
      </c>
      <c r="AA40">
        <v>2718.4035705547258</v>
      </c>
      <c r="AB40">
        <v>7.0430192782946213</v>
      </c>
      <c r="AC40">
        <v>2180.2289917171493</v>
      </c>
      <c r="AD40">
        <v>9.7650452562785262</v>
      </c>
      <c r="AE40">
        <v>1992.5088097498922</v>
      </c>
      <c r="AF40">
        <v>7.0341005233305323</v>
      </c>
      <c r="AG40">
        <v>2076.9729055376415</v>
      </c>
      <c r="AH40">
        <v>9.7605871247648128</v>
      </c>
      <c r="AI40">
        <v>1874.9187789193363</v>
      </c>
      <c r="AJ40">
        <v>7.0315256040562772</v>
      </c>
    </row>
    <row r="41" spans="4:36" x14ac:dyDescent="0.45">
      <c r="D41">
        <v>34</v>
      </c>
      <c r="E41">
        <v>13.405568720467565</v>
      </c>
      <c r="F41">
        <v>0.51070568614276701</v>
      </c>
      <c r="G41">
        <v>0.16564455314084398</v>
      </c>
      <c r="H41">
        <v>15.918081040248817</v>
      </c>
      <c r="I41">
        <v>13.647141798316134</v>
      </c>
      <c r="J41">
        <v>0.33671844778133153</v>
      </c>
      <c r="K41">
        <v>0.1088664329304545</v>
      </c>
      <c r="L41">
        <v>15.907273320972072</v>
      </c>
      <c r="M41">
        <v>13.56855668297251</v>
      </c>
      <c r="N41">
        <v>0.39335421447460189</v>
      </c>
      <c r="O41">
        <v>0.12730848498540623</v>
      </c>
      <c r="P41">
        <v>15.910780617567482</v>
      </c>
      <c r="Q41">
        <v>13.549511064394006</v>
      </c>
      <c r="R41">
        <v>0.40707496096413781</v>
      </c>
      <c r="S41">
        <v>0.13178211131126313</v>
      </c>
      <c r="T41">
        <v>15.911631863330568</v>
      </c>
      <c r="U41">
        <v>1623.0276150977538</v>
      </c>
      <c r="V41">
        <v>10.574152946911335</v>
      </c>
      <c r="W41">
        <v>1336.3137897438514</v>
      </c>
      <c r="X41">
        <v>7.4913827579412366</v>
      </c>
      <c r="Y41">
        <v>2930.2355839535462</v>
      </c>
      <c r="Z41">
        <v>10.626364741723263</v>
      </c>
      <c r="AA41">
        <v>2747.9868430768292</v>
      </c>
      <c r="AB41">
        <v>7.5207951836546272</v>
      </c>
      <c r="AC41">
        <v>2273.7685900417473</v>
      </c>
      <c r="AD41">
        <v>10.609384358577758</v>
      </c>
      <c r="AE41">
        <v>2049.4556131521058</v>
      </c>
      <c r="AF41">
        <v>7.5112398826120836</v>
      </c>
      <c r="AG41">
        <v>2117.3842878602609</v>
      </c>
      <c r="AH41">
        <v>10.605268414024039</v>
      </c>
      <c r="AI41">
        <v>1893.7045497973525</v>
      </c>
      <c r="AJ41">
        <v>7.5089222561198667</v>
      </c>
    </row>
    <row r="42" spans="4:36" x14ac:dyDescent="0.45">
      <c r="D42">
        <v>35</v>
      </c>
      <c r="E42">
        <v>12.754321150629497</v>
      </c>
      <c r="F42">
        <v>0.49663056049371879</v>
      </c>
      <c r="G42">
        <v>0.17353867633457282</v>
      </c>
      <c r="H42">
        <v>16.575509612542216</v>
      </c>
      <c r="I42">
        <v>12.976023031504319</v>
      </c>
      <c r="J42">
        <v>0.32194241222033504</v>
      </c>
      <c r="K42">
        <v>0.11216465771646428</v>
      </c>
      <c r="L42">
        <v>16.589869898558874</v>
      </c>
      <c r="M42">
        <v>12.852314164439285</v>
      </c>
      <c r="N42">
        <v>0.41944662971171737</v>
      </c>
      <c r="O42">
        <v>0.14637581597183197</v>
      </c>
      <c r="P42">
        <v>16.581863389877178</v>
      </c>
      <c r="Q42">
        <v>12.857546754273509</v>
      </c>
      <c r="R42">
        <v>0.41532390366325067</v>
      </c>
      <c r="S42">
        <v>0.14492696564022139</v>
      </c>
      <c r="T42">
        <v>16.582202376423023</v>
      </c>
      <c r="U42">
        <v>1569.3892535374009</v>
      </c>
      <c r="V42">
        <v>10.104166797402753</v>
      </c>
      <c r="W42">
        <v>1300.8842840073628</v>
      </c>
      <c r="X42">
        <v>7.2241216275873859</v>
      </c>
      <c r="Y42">
        <v>2927.7938184936988</v>
      </c>
      <c r="Z42">
        <v>10.138852790893408</v>
      </c>
      <c r="AA42">
        <v>2748.6554210528839</v>
      </c>
      <c r="AB42">
        <v>7.2447045738704077</v>
      </c>
      <c r="AC42">
        <v>2255.3448766649872</v>
      </c>
      <c r="AD42">
        <v>10.119493569934765</v>
      </c>
      <c r="AE42">
        <v>2036.0289591956173</v>
      </c>
      <c r="AF42">
        <v>7.2332264468546112</v>
      </c>
      <c r="AG42">
        <v>2128.2200484935424</v>
      </c>
      <c r="AH42">
        <v>10.120312186400918</v>
      </c>
      <c r="AI42">
        <v>1902.5167079942803</v>
      </c>
      <c r="AJ42">
        <v>7.2337123046991083</v>
      </c>
    </row>
    <row r="43" spans="4:36" x14ac:dyDescent="0.45">
      <c r="D43">
        <v>36</v>
      </c>
      <c r="E43">
        <v>12.250329404017601</v>
      </c>
      <c r="F43">
        <v>0.44174543287342022</v>
      </c>
      <c r="G43">
        <v>0.18100236018903371</v>
      </c>
      <c r="H43">
        <v>17.126922802919943</v>
      </c>
      <c r="I43">
        <v>12.476285852679309</v>
      </c>
      <c r="J43">
        <v>0.27645397302503416</v>
      </c>
      <c r="K43">
        <v>0.11288333972047168</v>
      </c>
      <c r="L43">
        <v>17.134376834575175</v>
      </c>
      <c r="M43">
        <v>12.418838313603487</v>
      </c>
      <c r="N43">
        <v>0.3185063398137844</v>
      </c>
      <c r="O43">
        <v>0.13016841501993251</v>
      </c>
      <c r="P43">
        <v>17.132486931562791</v>
      </c>
      <c r="Q43">
        <v>12.336216700643124</v>
      </c>
      <c r="R43">
        <v>0.37895262731183366</v>
      </c>
      <c r="S43">
        <v>0.15506803772133362</v>
      </c>
      <c r="T43">
        <v>17.129762634323701</v>
      </c>
      <c r="U43">
        <v>1522.6579056093578</v>
      </c>
      <c r="V43">
        <v>9.6840434386082315</v>
      </c>
      <c r="W43">
        <v>1273.8897680887355</v>
      </c>
      <c r="X43">
        <v>6.9808481784553731</v>
      </c>
      <c r="Y43">
        <v>2877.2838028524352</v>
      </c>
      <c r="Z43">
        <v>9.7233069432090424</v>
      </c>
      <c r="AA43">
        <v>2717.4639907986548</v>
      </c>
      <c r="AB43">
        <v>7.0041071495682372</v>
      </c>
      <c r="AC43">
        <v>2212.8995272333946</v>
      </c>
      <c r="AD43">
        <v>9.7133215973588385</v>
      </c>
      <c r="AE43">
        <v>2015.3052082917559</v>
      </c>
      <c r="AF43">
        <v>6.9982009536387908</v>
      </c>
      <c r="AG43">
        <v>2102.7228814079413</v>
      </c>
      <c r="AH43">
        <v>9.6989640625960867</v>
      </c>
      <c r="AI43">
        <v>1889.0760394765662</v>
      </c>
      <c r="AJ43">
        <v>6.9896980292748943</v>
      </c>
    </row>
    <row r="44" spans="4:36" x14ac:dyDescent="0.45">
      <c r="D44">
        <v>37</v>
      </c>
      <c r="E44">
        <v>12.774551931141602</v>
      </c>
      <c r="F44">
        <v>0.45767881202770005</v>
      </c>
      <c r="G44">
        <v>0.21829100425212836</v>
      </c>
      <c r="H44">
        <v>16.549478252578574</v>
      </c>
      <c r="I44">
        <v>13.035579043865862</v>
      </c>
      <c r="J44">
        <v>0.2801758443543057</v>
      </c>
      <c r="K44">
        <v>0.13309718695973724</v>
      </c>
      <c r="L44">
        <v>16.551147924820093</v>
      </c>
      <c r="M44">
        <v>12.919934609386955</v>
      </c>
      <c r="N44">
        <v>0.35887074569821165</v>
      </c>
      <c r="O44">
        <v>0.17078199115757117</v>
      </c>
      <c r="P44">
        <v>16.550412653757267</v>
      </c>
      <c r="Q44">
        <v>12.892323821710207</v>
      </c>
      <c r="R44">
        <v>0.37764680483087304</v>
      </c>
      <c r="S44">
        <v>0.17979331189885789</v>
      </c>
      <c r="T44">
        <v>16.550236061560057</v>
      </c>
      <c r="U44">
        <v>1559.5596995612093</v>
      </c>
      <c r="V44">
        <v>10.180494107362312</v>
      </c>
      <c r="W44">
        <v>1292.530107339516</v>
      </c>
      <c r="X44">
        <v>7.2773843470223154</v>
      </c>
      <c r="Y44">
        <v>2907.1664114751211</v>
      </c>
      <c r="Z44">
        <v>10.231547336687827</v>
      </c>
      <c r="AA44">
        <v>2734.3765037552175</v>
      </c>
      <c r="AB44">
        <v>7.3070923016642801</v>
      </c>
      <c r="AC44">
        <v>2232.6163607009134</v>
      </c>
      <c r="AD44">
        <v>10.208926206518354</v>
      </c>
      <c r="AE44">
        <v>2020.9194553625464</v>
      </c>
      <c r="AF44">
        <v>7.2939444785560976</v>
      </c>
      <c r="AG44">
        <v>2152.660121086416</v>
      </c>
      <c r="AH44">
        <v>10.203525912058494</v>
      </c>
      <c r="AI44">
        <v>1919.4227072546232</v>
      </c>
      <c r="AJ44">
        <v>7.2908021122645064</v>
      </c>
    </row>
    <row r="45" spans="4:36" x14ac:dyDescent="0.45">
      <c r="D45">
        <v>38</v>
      </c>
      <c r="E45">
        <v>13.306946555888379</v>
      </c>
      <c r="F45">
        <v>0.46116094363015359</v>
      </c>
      <c r="G45">
        <v>0.17759082424262543</v>
      </c>
      <c r="H45">
        <v>16.054301676238836</v>
      </c>
      <c r="I45">
        <v>13.534064853810131</v>
      </c>
      <c r="J45">
        <v>0.30680569959701265</v>
      </c>
      <c r="K45">
        <v>0.11777947941642135</v>
      </c>
      <c r="L45">
        <v>16.041349967176419</v>
      </c>
      <c r="M45">
        <v>13.431921058049141</v>
      </c>
      <c r="N45">
        <v>0.3762657180074786</v>
      </c>
      <c r="O45">
        <v>0.14464749424182666</v>
      </c>
      <c r="P45">
        <v>16.047165729701547</v>
      </c>
      <c r="Q45">
        <v>13.398115253922425</v>
      </c>
      <c r="R45">
        <v>0.39923985037511067</v>
      </c>
      <c r="S45">
        <v>0.15355109341587986</v>
      </c>
      <c r="T45">
        <v>16.049093802286599</v>
      </c>
      <c r="U45">
        <v>1560.4395062537044</v>
      </c>
      <c r="V45">
        <v>10.495848388096697</v>
      </c>
      <c r="W45">
        <v>1293.2580149904927</v>
      </c>
      <c r="X45">
        <v>7.4488335653662414</v>
      </c>
      <c r="Y45">
        <v>2914.2017441226967</v>
      </c>
      <c r="Z45">
        <v>10.544349794426569</v>
      </c>
      <c r="AA45">
        <v>2737.4684029114187</v>
      </c>
      <c r="AB45">
        <v>7.4760206229396493</v>
      </c>
      <c r="AC45">
        <v>2260.3095360179959</v>
      </c>
      <c r="AD45">
        <v>10.522542719356661</v>
      </c>
      <c r="AE45">
        <v>2039.6469288967314</v>
      </c>
      <c r="AF45">
        <v>7.4638067595663991</v>
      </c>
      <c r="AG45">
        <v>2159.6100138782517</v>
      </c>
      <c r="AH45">
        <v>10.515323282871856</v>
      </c>
      <c r="AI45">
        <v>1922.8620912941967</v>
      </c>
      <c r="AJ45">
        <v>7.4597596916168696</v>
      </c>
    </row>
    <row r="46" spans="4:36" x14ac:dyDescent="0.45">
      <c r="D46">
        <v>39</v>
      </c>
      <c r="E46">
        <v>12.196272166261529</v>
      </c>
      <c r="F46">
        <v>0.4623287040907153</v>
      </c>
      <c r="G46">
        <v>0.1821104109634909</v>
      </c>
      <c r="H46">
        <v>17.15928871868427</v>
      </c>
      <c r="I46">
        <v>12.42894718895244</v>
      </c>
      <c r="J46">
        <v>0.28760513102518376</v>
      </c>
      <c r="K46">
        <v>0.1128773649525816</v>
      </c>
      <c r="L46">
        <v>17.170570315069789</v>
      </c>
      <c r="M46">
        <v>12.344182100686838</v>
      </c>
      <c r="N46">
        <v>0.35129296247429503</v>
      </c>
      <c r="O46">
        <v>0.13805436031989543</v>
      </c>
      <c r="P46">
        <v>17.166470576518975</v>
      </c>
      <c r="Q46">
        <v>12.305850620830224</v>
      </c>
      <c r="R46">
        <v>0.38008006873451389</v>
      </c>
      <c r="S46">
        <v>0.14945649927609911</v>
      </c>
      <c r="T46">
        <v>17.164612811159163</v>
      </c>
      <c r="U46">
        <v>1541.6672883046915</v>
      </c>
      <c r="V46">
        <v>9.6421910794578825</v>
      </c>
      <c r="W46">
        <v>1283.7812125299774</v>
      </c>
      <c r="X46">
        <v>6.9535057008848602</v>
      </c>
      <c r="Y46">
        <v>2903.9080230220929</v>
      </c>
      <c r="Z46">
        <v>9.6787631215718477</v>
      </c>
      <c r="AA46">
        <v>2734.4503315190886</v>
      </c>
      <c r="AB46">
        <v>6.9754474337922661</v>
      </c>
      <c r="AC46">
        <v>2234.7805686397378</v>
      </c>
      <c r="AD46">
        <v>9.6654336996265702</v>
      </c>
      <c r="AE46">
        <v>2026.8450079569461</v>
      </c>
      <c r="AF46">
        <v>6.9674616610352063</v>
      </c>
      <c r="AG46">
        <v>2122.1332656604491</v>
      </c>
      <c r="AH46">
        <v>9.6594082634367524</v>
      </c>
      <c r="AI46">
        <v>1901.2097080828539</v>
      </c>
      <c r="AJ46">
        <v>6.9638475270931322</v>
      </c>
    </row>
    <row r="47" spans="4:36" x14ac:dyDescent="0.45">
      <c r="D47">
        <v>40</v>
      </c>
      <c r="E47">
        <v>12.785283213745116</v>
      </c>
      <c r="F47">
        <v>0.49246656906531849</v>
      </c>
      <c r="G47">
        <v>0.18808240221361283</v>
      </c>
      <c r="H47">
        <v>16.534167814975959</v>
      </c>
      <c r="I47">
        <v>13.070400380389007</v>
      </c>
      <c r="J47">
        <v>0.28650737842665375</v>
      </c>
      <c r="K47">
        <v>0.10897195250967266</v>
      </c>
      <c r="L47">
        <v>16.534120288674679</v>
      </c>
      <c r="M47">
        <v>12.964992527060902</v>
      </c>
      <c r="N47">
        <v>0.36270606838061686</v>
      </c>
      <c r="O47">
        <v>0.13816326164616449</v>
      </c>
      <c r="P47">
        <v>16.534138142912305</v>
      </c>
      <c r="Q47">
        <v>12.905531494658838</v>
      </c>
      <c r="R47">
        <v>0.40566145839580731</v>
      </c>
      <c r="S47">
        <v>0.15465897827018238</v>
      </c>
      <c r="T47">
        <v>16.534148068675165</v>
      </c>
      <c r="U47">
        <v>1609.4745981109365</v>
      </c>
      <c r="V47">
        <v>10.153819666515783</v>
      </c>
      <c r="W47">
        <v>1326.0974816979947</v>
      </c>
      <c r="X47">
        <v>7.2561756152352341</v>
      </c>
      <c r="Y47">
        <v>2898.8072999162928</v>
      </c>
      <c r="Z47">
        <v>10.207134112024864</v>
      </c>
      <c r="AA47">
        <v>2728.1657844850843</v>
      </c>
      <c r="AB47">
        <v>7.2869952584151081</v>
      </c>
      <c r="AC47">
        <v>2257.2141862710296</v>
      </c>
      <c r="AD47">
        <v>10.187423378907877</v>
      </c>
      <c r="AE47">
        <v>2038.6527242889206</v>
      </c>
      <c r="AF47">
        <v>7.2756168728207662</v>
      </c>
      <c r="AG47">
        <v>2165.9275999829683</v>
      </c>
      <c r="AH47">
        <v>10.17630466132276</v>
      </c>
      <c r="AI47">
        <v>1927.0451894564089</v>
      </c>
      <c r="AJ47">
        <v>7.2691902259338788</v>
      </c>
    </row>
    <row r="48" spans="4:36" x14ac:dyDescent="0.45">
      <c r="D48">
        <v>41</v>
      </c>
      <c r="E48">
        <v>12.839848028057606</v>
      </c>
      <c r="F48">
        <v>0.45757992387578172</v>
      </c>
      <c r="G48">
        <v>0.15466638058788221</v>
      </c>
      <c r="H48">
        <v>16.547905667478737</v>
      </c>
      <c r="I48">
        <v>13.030002243709426</v>
      </c>
      <c r="J48">
        <v>0.31901939260152273</v>
      </c>
      <c r="K48">
        <v>0.10753186629219193</v>
      </c>
      <c r="L48">
        <v>16.543446497396879</v>
      </c>
      <c r="M48">
        <v>12.959286032326329</v>
      </c>
      <c r="N48">
        <v>0.3705728349498541</v>
      </c>
      <c r="O48">
        <v>0.12503785026456771</v>
      </c>
      <c r="P48">
        <v>16.545103282459248</v>
      </c>
      <c r="Q48">
        <v>12.910705783184076</v>
      </c>
      <c r="R48">
        <v>0.40597208667189377</v>
      </c>
      <c r="S48">
        <v>0.13707963055423908</v>
      </c>
      <c r="T48">
        <v>16.546242499589798</v>
      </c>
      <c r="U48">
        <v>1552.6368996147537</v>
      </c>
      <c r="V48">
        <v>10.072967349751329</v>
      </c>
      <c r="W48">
        <v>1290.9666254708873</v>
      </c>
      <c r="X48">
        <v>7.1974946066909133</v>
      </c>
      <c r="Y48">
        <v>2897.3802272425582</v>
      </c>
      <c r="Z48">
        <v>10.108262743808002</v>
      </c>
      <c r="AA48">
        <v>2726.4847233927803</v>
      </c>
      <c r="AB48">
        <v>7.217737725723615</v>
      </c>
      <c r="AC48">
        <v>2255.4142296315576</v>
      </c>
      <c r="AD48">
        <v>10.095137715888907</v>
      </c>
      <c r="AE48">
        <v>2039.1087164959447</v>
      </c>
      <c r="AF48">
        <v>7.2102168054239444</v>
      </c>
      <c r="AG48">
        <v>2138.6851841256521</v>
      </c>
      <c r="AH48">
        <v>10.0861205156616</v>
      </c>
      <c r="AI48">
        <v>1910.0647012301761</v>
      </c>
      <c r="AJ48">
        <v>7.2050451525031463</v>
      </c>
    </row>
    <row r="49" spans="4:36" x14ac:dyDescent="0.45">
      <c r="D49">
        <v>42</v>
      </c>
      <c r="E49">
        <v>11.591856474683169</v>
      </c>
      <c r="F49">
        <v>0.44433655941339839</v>
      </c>
      <c r="G49">
        <v>0.13897962583660081</v>
      </c>
      <c r="H49">
        <v>17.824827340066836</v>
      </c>
      <c r="I49">
        <v>11.821519617478598</v>
      </c>
      <c r="J49">
        <v>0.25974103867852444</v>
      </c>
      <c r="K49">
        <v>8.095793457807364E-2</v>
      </c>
      <c r="L49">
        <v>17.837781409264814</v>
      </c>
      <c r="M49">
        <v>11.696550140571693</v>
      </c>
      <c r="N49">
        <v>0.36021816411493374</v>
      </c>
      <c r="O49">
        <v>0.11248865292517647</v>
      </c>
      <c r="P49">
        <v>17.83074304238821</v>
      </c>
      <c r="Q49">
        <v>11.683356802483269</v>
      </c>
      <c r="R49">
        <v>0.3708214998734653</v>
      </c>
      <c r="S49">
        <v>0.1158231694550408</v>
      </c>
      <c r="T49">
        <v>17.829998528188227</v>
      </c>
      <c r="U49">
        <v>1476.4868924413745</v>
      </c>
      <c r="V49">
        <v>9.1593325503427199</v>
      </c>
      <c r="W49">
        <v>1244.8124116848787</v>
      </c>
      <c r="X49">
        <v>6.6749696408532939</v>
      </c>
      <c r="Y49">
        <v>2843.4135566850505</v>
      </c>
      <c r="Z49">
        <v>9.1971417569997307</v>
      </c>
      <c r="AA49">
        <v>2697.3483637298546</v>
      </c>
      <c r="AB49">
        <v>6.6978332505073741</v>
      </c>
      <c r="AC49">
        <v>2201.8315777387661</v>
      </c>
      <c r="AD49">
        <v>9.1765623361219699</v>
      </c>
      <c r="AE49">
        <v>2007.9027448233226</v>
      </c>
      <c r="AF49">
        <v>6.6854018856582318</v>
      </c>
      <c r="AG49">
        <v>2081.1439407580756</v>
      </c>
      <c r="AH49">
        <v>9.1743905239586692</v>
      </c>
      <c r="AI49">
        <v>1878.2449984312739</v>
      </c>
      <c r="AJ49">
        <v>6.6840881309703208</v>
      </c>
    </row>
    <row r="50" spans="4:36" x14ac:dyDescent="0.45">
      <c r="D50">
        <v>43</v>
      </c>
      <c r="E50">
        <v>11.779853489524973</v>
      </c>
      <c r="F50">
        <v>0.46959404020627071</v>
      </c>
      <c r="G50">
        <v>0.17482899909262611</v>
      </c>
      <c r="H50">
        <v>17.575723471176133</v>
      </c>
      <c r="I50">
        <v>11.972171455569285</v>
      </c>
      <c r="J50">
        <v>0.30765131426011944</v>
      </c>
      <c r="K50">
        <v>0.11420824896314366</v>
      </c>
      <c r="L50">
        <v>17.605968981207468</v>
      </c>
      <c r="M50">
        <v>11.871647051546846</v>
      </c>
      <c r="N50">
        <v>0.39231652748199802</v>
      </c>
      <c r="O50">
        <v>0.14585716595900294</v>
      </c>
      <c r="P50">
        <v>17.590179255012156</v>
      </c>
      <c r="Q50">
        <v>11.861446450922182</v>
      </c>
      <c r="R50">
        <v>0.40090564856713262</v>
      </c>
      <c r="S50">
        <v>0.14907327778532867</v>
      </c>
      <c r="T50">
        <v>17.588574622725371</v>
      </c>
      <c r="U50">
        <v>1506.237929313462</v>
      </c>
      <c r="V50">
        <v>9.4294442891390666</v>
      </c>
      <c r="W50">
        <v>1263.6420514558415</v>
      </c>
      <c r="X50">
        <v>6.8427966565861187</v>
      </c>
      <c r="Y50">
        <v>2878.5599440408359</v>
      </c>
      <c r="Z50">
        <v>9.4488224743395453</v>
      </c>
      <c r="AA50">
        <v>2718.4784775219841</v>
      </c>
      <c r="AB50">
        <v>6.8555992210010901</v>
      </c>
      <c r="AC50">
        <v>2192.3972520308016</v>
      </c>
      <c r="AD50">
        <v>9.438681690247563</v>
      </c>
      <c r="AE50">
        <v>1997.6440891410316</v>
      </c>
      <c r="AF50">
        <v>6.8489085744904115</v>
      </c>
      <c r="AG50">
        <v>2103.1155829150684</v>
      </c>
      <c r="AH50">
        <v>9.4376541084238994</v>
      </c>
      <c r="AI50">
        <v>1891.053198878488</v>
      </c>
      <c r="AJ50">
        <v>6.8482294976784814</v>
      </c>
    </row>
    <row r="51" spans="4:36" x14ac:dyDescent="0.45">
      <c r="D51">
        <v>44</v>
      </c>
      <c r="E51">
        <v>12.819138430050806</v>
      </c>
      <c r="F51">
        <v>0.42281395836131747</v>
      </c>
      <c r="G51">
        <v>0.17265708994655057</v>
      </c>
      <c r="H51">
        <v>16.585390521641326</v>
      </c>
      <c r="I51">
        <v>13.030408042319822</v>
      </c>
      <c r="J51">
        <v>0.28282709577395099</v>
      </c>
      <c r="K51">
        <v>0.11512535449742371</v>
      </c>
      <c r="L51">
        <v>16.571639507408801</v>
      </c>
      <c r="M51">
        <v>12.94990966363687</v>
      </c>
      <c r="N51">
        <v>0.33620057637252532</v>
      </c>
      <c r="O51">
        <v>0.13701684063152789</v>
      </c>
      <c r="P51">
        <v>16.57687291935909</v>
      </c>
      <c r="Q51">
        <v>12.919830667269753</v>
      </c>
      <c r="R51">
        <v>0.35613294676090623</v>
      </c>
      <c r="S51">
        <v>0.14520605349049426</v>
      </c>
      <c r="T51">
        <v>16.578830332478827</v>
      </c>
      <c r="U51">
        <v>1541.5731543265015</v>
      </c>
      <c r="V51">
        <v>10.168751956451954</v>
      </c>
      <c r="W51">
        <v>1284.6541933919782</v>
      </c>
      <c r="X51">
        <v>7.2715878594473846</v>
      </c>
      <c r="Y51">
        <v>2925.5813791692144</v>
      </c>
      <c r="Z51">
        <v>10.216725483640438</v>
      </c>
      <c r="AA51">
        <v>2748.7946358677873</v>
      </c>
      <c r="AB51">
        <v>7.2988752753349475</v>
      </c>
      <c r="AC51">
        <v>2239.4588237442572</v>
      </c>
      <c r="AD51">
        <v>10.198449797932309</v>
      </c>
      <c r="AE51">
        <v>2029.4551139600683</v>
      </c>
      <c r="AF51">
        <v>7.2884898504507403</v>
      </c>
      <c r="AG51">
        <v>2098.2412489334256</v>
      </c>
      <c r="AH51">
        <v>10.19161987682847</v>
      </c>
      <c r="AI51">
        <v>1883.924647088302</v>
      </c>
      <c r="AJ51">
        <v>7.2846055617633247</v>
      </c>
    </row>
    <row r="52" spans="4:36" x14ac:dyDescent="0.45">
      <c r="D52">
        <v>45</v>
      </c>
      <c r="E52">
        <v>12.935500290500794</v>
      </c>
      <c r="F52">
        <v>0.48983287258903685</v>
      </c>
      <c r="G52">
        <v>0.1709923174907404</v>
      </c>
      <c r="H52">
        <v>16.403674519419443</v>
      </c>
      <c r="I52">
        <v>13.167538737340561</v>
      </c>
      <c r="J52">
        <v>0.31742038940935674</v>
      </c>
      <c r="K52">
        <v>0.11044510522011057</v>
      </c>
      <c r="L52">
        <v>16.404595768029985</v>
      </c>
      <c r="M52">
        <v>13.065087499533918</v>
      </c>
      <c r="N52">
        <v>0.39358166892404012</v>
      </c>
      <c r="O52">
        <v>0.13714171240109882</v>
      </c>
      <c r="P52">
        <v>16.404189119140923</v>
      </c>
      <c r="Q52">
        <v>13.041514253456372</v>
      </c>
      <c r="R52">
        <v>0.41109765703774093</v>
      </c>
      <c r="S52">
        <v>0.14329256124492548</v>
      </c>
      <c r="T52">
        <v>16.40409552826096</v>
      </c>
      <c r="U52">
        <v>1589.7084379867288</v>
      </c>
      <c r="V52">
        <v>10.162663832981837</v>
      </c>
      <c r="W52">
        <v>1313.816403179844</v>
      </c>
      <c r="X52">
        <v>7.2485561652824089</v>
      </c>
      <c r="Y52">
        <v>2915.5548617316836</v>
      </c>
      <c r="Z52">
        <v>10.206462517560302</v>
      </c>
      <c r="AA52">
        <v>2738.7633960586927</v>
      </c>
      <c r="AB52">
        <v>7.2738513814946746</v>
      </c>
      <c r="AC52">
        <v>2268.5390654814123</v>
      </c>
      <c r="AD52">
        <v>10.187123808000846</v>
      </c>
      <c r="AE52">
        <v>2045.6631124248559</v>
      </c>
      <c r="AF52">
        <v>7.262693699166622</v>
      </c>
      <c r="AG52">
        <v>2131.610169881521</v>
      </c>
      <c r="AH52">
        <v>10.182674209930314</v>
      </c>
      <c r="AI52">
        <v>1903.4227287853146</v>
      </c>
      <c r="AJ52">
        <v>7.2601239882700597</v>
      </c>
    </row>
    <row r="53" spans="4:36" x14ac:dyDescent="0.45">
      <c r="D53">
        <v>46</v>
      </c>
      <c r="E53">
        <v>12.292248105337389</v>
      </c>
      <c r="F53">
        <v>0.45771909730502491</v>
      </c>
      <c r="G53">
        <v>0.1620367801784087</v>
      </c>
      <c r="H53">
        <v>17.087996017179172</v>
      </c>
      <c r="I53">
        <v>12.501544070521389</v>
      </c>
      <c r="J53">
        <v>0.29620018738667669</v>
      </c>
      <c r="K53">
        <v>0.10453118341857837</v>
      </c>
      <c r="L53">
        <v>17.09772455867337</v>
      </c>
      <c r="M53">
        <v>12.402700619734285</v>
      </c>
      <c r="N53">
        <v>0.3725083532173965</v>
      </c>
      <c r="O53">
        <v>0.13165388063366681</v>
      </c>
      <c r="P53">
        <v>17.093137146414644</v>
      </c>
      <c r="Q53">
        <v>12.387524091175248</v>
      </c>
      <c r="R53">
        <v>0.38422033424670893</v>
      </c>
      <c r="S53">
        <v>0.13582389759840346</v>
      </c>
      <c r="T53">
        <v>17.092431676979633</v>
      </c>
      <c r="U53">
        <v>1531.7408775550919</v>
      </c>
      <c r="V53">
        <v>9.740843328424436</v>
      </c>
      <c r="W53">
        <v>1280.6675660655519</v>
      </c>
      <c r="X53">
        <v>7.0168315567577269</v>
      </c>
      <c r="Y53">
        <v>2903.2940281380711</v>
      </c>
      <c r="Z53">
        <v>9.7750544360725957</v>
      </c>
      <c r="AA53">
        <v>2735.649231864882</v>
      </c>
      <c r="AB53">
        <v>7.0372706874911408</v>
      </c>
      <c r="AC53">
        <v>2223.6648390657401</v>
      </c>
      <c r="AD53">
        <v>9.7588930090898032</v>
      </c>
      <c r="AE53">
        <v>2019.9902879396473</v>
      </c>
      <c r="AF53">
        <v>7.0276251070685607</v>
      </c>
      <c r="AG53">
        <v>2103.6511947612635</v>
      </c>
      <c r="AH53">
        <v>9.7564123038611896</v>
      </c>
      <c r="AI53">
        <v>1890.5540587234368</v>
      </c>
      <c r="AJ53">
        <v>7.0261429888881262</v>
      </c>
    </row>
    <row r="54" spans="4:36" x14ac:dyDescent="0.45">
      <c r="D54">
        <v>47</v>
      </c>
      <c r="E54">
        <v>12.072629863860595</v>
      </c>
      <c r="F54">
        <v>0.3838700836658393</v>
      </c>
      <c r="G54">
        <v>0.15737191112658544</v>
      </c>
      <c r="H54">
        <v>17.386128141346987</v>
      </c>
      <c r="I54">
        <v>12.264739327508471</v>
      </c>
      <c r="J54">
        <v>0.25110524378385002</v>
      </c>
      <c r="K54">
        <v>0.10263872989978118</v>
      </c>
      <c r="L54">
        <v>17.381516698807896</v>
      </c>
      <c r="M54">
        <v>12.14065101960467</v>
      </c>
      <c r="N54">
        <v>0.33688907236442484</v>
      </c>
      <c r="O54">
        <v>0.1379660166644297</v>
      </c>
      <c r="P54">
        <v>17.384493891366468</v>
      </c>
      <c r="Q54">
        <v>12.093943669904615</v>
      </c>
      <c r="R54">
        <v>0.3691523011215142</v>
      </c>
      <c r="S54">
        <v>0.15128813711851435</v>
      </c>
      <c r="T54">
        <v>17.385615891855373</v>
      </c>
      <c r="U54">
        <v>1505.6588272410281</v>
      </c>
      <c r="V54">
        <v>9.5284902789500734</v>
      </c>
      <c r="W54">
        <v>1268.7403812658201</v>
      </c>
      <c r="X54">
        <v>6.8953648957877913</v>
      </c>
      <c r="Y54">
        <v>2866.9777309120245</v>
      </c>
      <c r="Z54">
        <v>9.5674791296906161</v>
      </c>
      <c r="AA54">
        <v>2713.6913930877649</v>
      </c>
      <c r="AB54">
        <v>6.9180287552087796</v>
      </c>
      <c r="AC54">
        <v>2192.8071631461207</v>
      </c>
      <c r="AD54">
        <v>9.5422961038187388</v>
      </c>
      <c r="AE54">
        <v>2001.3812482704975</v>
      </c>
      <c r="AF54">
        <v>6.9033983771415839</v>
      </c>
      <c r="AG54">
        <v>2079.1084605331207</v>
      </c>
      <c r="AH54">
        <v>9.5328163081960557</v>
      </c>
      <c r="AI54">
        <v>1875.0020764320368</v>
      </c>
      <c r="AJ54">
        <v>6.897883157097481</v>
      </c>
    </row>
    <row r="55" spans="4:36" x14ac:dyDescent="0.45">
      <c r="D55">
        <v>48</v>
      </c>
      <c r="E55">
        <v>14.066734591011281</v>
      </c>
      <c r="F55">
        <v>0.54232234173410898</v>
      </c>
      <c r="G55">
        <v>0.17637870494197891</v>
      </c>
      <c r="H55">
        <v>15.214564362312641</v>
      </c>
      <c r="I55">
        <v>14.373291715342466</v>
      </c>
      <c r="J55">
        <v>0.32907185402142813</v>
      </c>
      <c r="K55">
        <v>0.10660246863863099</v>
      </c>
      <c r="L55">
        <v>15.191033961997482</v>
      </c>
      <c r="M55">
        <v>14.264699160335615</v>
      </c>
      <c r="N55">
        <v>0.4046755187628735</v>
      </c>
      <c r="O55">
        <v>0.13127630489302403</v>
      </c>
      <c r="P55">
        <v>15.199349016008496</v>
      </c>
      <c r="Q55">
        <v>14.210506034688169</v>
      </c>
      <c r="R55">
        <v>0.44237965495400772</v>
      </c>
      <c r="S55">
        <v>0.14360742658549513</v>
      </c>
      <c r="T55">
        <v>15.203506883772334</v>
      </c>
      <c r="U55">
        <v>1675.2468248780874</v>
      </c>
      <c r="V55">
        <v>11.202271164652037</v>
      </c>
      <c r="W55">
        <v>1361.9247857786329</v>
      </c>
      <c r="X55">
        <v>7.8627669473284518</v>
      </c>
      <c r="Y55">
        <v>2978.5478849683368</v>
      </c>
      <c r="Z55">
        <v>11.277575392200321</v>
      </c>
      <c r="AA55">
        <v>2776.8477354090546</v>
      </c>
      <c r="AB55">
        <v>7.9045681064658435</v>
      </c>
      <c r="AC55">
        <v>2344.95469687384</v>
      </c>
      <c r="AD55">
        <v>11.250910719021933</v>
      </c>
      <c r="AE55">
        <v>2091.8279155278246</v>
      </c>
      <c r="AF55">
        <v>7.8897839362700024</v>
      </c>
      <c r="AG55">
        <v>2222.0467741078896</v>
      </c>
      <c r="AH55">
        <v>11.237599406218889</v>
      </c>
      <c r="AI55">
        <v>1957.9300274589837</v>
      </c>
      <c r="AJ55">
        <v>7.8823964440422474</v>
      </c>
    </row>
    <row r="56" spans="4:36" x14ac:dyDescent="0.45">
      <c r="D56">
        <v>49</v>
      </c>
      <c r="E56">
        <v>12.816173010508169</v>
      </c>
      <c r="F56">
        <v>0.44669972337647157</v>
      </c>
      <c r="G56">
        <v>0.1710037102884748</v>
      </c>
      <c r="H56">
        <v>16.566123555826881</v>
      </c>
      <c r="I56">
        <v>13.039087290645131</v>
      </c>
      <c r="J56">
        <v>0.29220711946372085</v>
      </c>
      <c r="K56">
        <v>0.11150556414304241</v>
      </c>
      <c r="L56">
        <v>16.557200025748113</v>
      </c>
      <c r="M56">
        <v>12.963709121401294</v>
      </c>
      <c r="N56">
        <v>0.34448365387787266</v>
      </c>
      <c r="O56">
        <v>0.13159524116939736</v>
      </c>
      <c r="P56">
        <v>16.560211983551422</v>
      </c>
      <c r="Q56">
        <v>12.914380394869379</v>
      </c>
      <c r="R56">
        <v>0.3786749577341475</v>
      </c>
      <c r="S56">
        <v>0.14475854546663863</v>
      </c>
      <c r="T56">
        <v>16.562186101929811</v>
      </c>
      <c r="U56">
        <v>1536.9060237371425</v>
      </c>
      <c r="V56">
        <v>10.078133380359194</v>
      </c>
      <c r="W56">
        <v>1281.6209458322087</v>
      </c>
      <c r="X56">
        <v>7.2048421041528146</v>
      </c>
      <c r="Y56">
        <v>2902.3939084084313</v>
      </c>
      <c r="Z56">
        <v>10.124583478466702</v>
      </c>
      <c r="AA56">
        <v>2732.8525201736443</v>
      </c>
      <c r="AB56">
        <v>7.2313373306683726</v>
      </c>
      <c r="AC56">
        <v>2202.4734972268825</v>
      </c>
      <c r="AD56">
        <v>10.108879257347409</v>
      </c>
      <c r="AE56">
        <v>2003.9230794959897</v>
      </c>
      <c r="AF56">
        <v>7.2223891861652234</v>
      </c>
      <c r="AG56">
        <v>2094.9087161180892</v>
      </c>
      <c r="AH56">
        <v>10.098600601097324</v>
      </c>
      <c r="AI56">
        <v>1881.6175004240679</v>
      </c>
      <c r="AJ56">
        <v>7.2165272142686545</v>
      </c>
    </row>
    <row r="57" spans="4:36" x14ac:dyDescent="0.45">
      <c r="D57">
        <v>50</v>
      </c>
      <c r="E57">
        <v>12.043697787842893</v>
      </c>
      <c r="F57">
        <v>0.45135567969648971</v>
      </c>
      <c r="G57">
        <v>0.17176228709107125</v>
      </c>
      <c r="H57">
        <v>17.333184245369559</v>
      </c>
      <c r="I57">
        <v>12.274773183677919</v>
      </c>
      <c r="J57">
        <v>0.2785111721572131</v>
      </c>
      <c r="K57">
        <v>0.10562994390419661</v>
      </c>
      <c r="L57">
        <v>17.341085700260663</v>
      </c>
      <c r="M57">
        <v>12.185756514457472</v>
      </c>
      <c r="N57">
        <v>0.34513141315307583</v>
      </c>
      <c r="O57">
        <v>0.13106611248286371</v>
      </c>
      <c r="P57">
        <v>17.338045959906594</v>
      </c>
      <c r="Q57">
        <v>12.152080803208346</v>
      </c>
      <c r="R57">
        <v>0.37032275102693585</v>
      </c>
      <c r="S57">
        <v>0.14070178486134063</v>
      </c>
      <c r="T57">
        <v>17.336894660903383</v>
      </c>
      <c r="U57">
        <v>1538.1641675959099</v>
      </c>
      <c r="V57">
        <v>9.5826769980938113</v>
      </c>
      <c r="W57">
        <v>1289.1744966969366</v>
      </c>
      <c r="X57">
        <v>6.9309270714174902</v>
      </c>
      <c r="Y57">
        <v>2864.874589398521</v>
      </c>
      <c r="Z57">
        <v>9.6246793969471387</v>
      </c>
      <c r="AA57">
        <v>2711.2304307086388</v>
      </c>
      <c r="AB57">
        <v>6.9557571352387697</v>
      </c>
      <c r="AC57">
        <v>2176.647385925643</v>
      </c>
      <c r="AD57">
        <v>9.6084965372975422</v>
      </c>
      <c r="AE57">
        <v>1990.4973848343589</v>
      </c>
      <c r="AF57">
        <v>6.9462025731311208</v>
      </c>
      <c r="AG57">
        <v>2058.4854595693159</v>
      </c>
      <c r="AH57">
        <v>9.6023752039480534</v>
      </c>
      <c r="AI57">
        <v>1861.5222933145214</v>
      </c>
      <c r="AJ57">
        <v>6.9425845393249697</v>
      </c>
    </row>
    <row r="58" spans="4:36" x14ac:dyDescent="0.45">
      <c r="D58">
        <v>51</v>
      </c>
      <c r="E58">
        <v>12.54072635774137</v>
      </c>
      <c r="F58">
        <v>0.45685224043224204</v>
      </c>
      <c r="G58">
        <v>0.15812488132514169</v>
      </c>
      <c r="H58">
        <v>16.844296520501238</v>
      </c>
      <c r="I58">
        <v>12.734346173205015</v>
      </c>
      <c r="J58">
        <v>0.31078296822268786</v>
      </c>
      <c r="K58">
        <v>0.10725892658510304</v>
      </c>
      <c r="L58">
        <v>16.847611931987199</v>
      </c>
      <c r="M58">
        <v>12.654533898756604</v>
      </c>
      <c r="N58">
        <v>0.37101896107786803</v>
      </c>
      <c r="O58">
        <v>0.12819908892233159</v>
      </c>
      <c r="P58">
        <v>16.846248051243201</v>
      </c>
      <c r="Q58">
        <v>12.593378377035556</v>
      </c>
      <c r="R58">
        <v>0.41715101948628724</v>
      </c>
      <c r="S58">
        <v>0.14427023742091305</v>
      </c>
      <c r="T58">
        <v>16.845200366057249</v>
      </c>
      <c r="U58">
        <v>1543.7705498395262</v>
      </c>
      <c r="V58">
        <v>9.8155577467578734</v>
      </c>
      <c r="W58">
        <v>1287.9154242678146</v>
      </c>
      <c r="X58">
        <v>7.0445938096183234</v>
      </c>
      <c r="Y58">
        <v>2891.9196941514801</v>
      </c>
      <c r="Z58">
        <v>9.8488216439188889</v>
      </c>
      <c r="AA58">
        <v>2725.3272522302605</v>
      </c>
      <c r="AB58">
        <v>7.0640828219954379</v>
      </c>
      <c r="AC58">
        <v>2241.6312210725073</v>
      </c>
      <c r="AD58">
        <v>9.8351082552957063</v>
      </c>
      <c r="AE58">
        <v>2031.8491778390317</v>
      </c>
      <c r="AF58">
        <v>7.0560559664947951</v>
      </c>
      <c r="AG58">
        <v>2130.4911182310639</v>
      </c>
      <c r="AH58">
        <v>9.8246020279915616</v>
      </c>
      <c r="AI58">
        <v>1906.2029922182724</v>
      </c>
      <c r="AJ58">
        <v>7.0498990753138466</v>
      </c>
    </row>
    <row r="59" spans="4:36" x14ac:dyDescent="0.45">
      <c r="D59">
        <v>52</v>
      </c>
      <c r="E59">
        <v>11.920816820404641</v>
      </c>
      <c r="F59">
        <v>0.45670894627582354</v>
      </c>
      <c r="G59">
        <v>0.14763796270643251</v>
      </c>
      <c r="H59">
        <v>17.47483627061311</v>
      </c>
      <c r="I59">
        <v>12.133410418392247</v>
      </c>
      <c r="J59">
        <v>0.29012253833872426</v>
      </c>
      <c r="K59">
        <v>9.3501983538299749E-2</v>
      </c>
      <c r="L59">
        <v>17.482965059730713</v>
      </c>
      <c r="M59">
        <v>12.057391878381628</v>
      </c>
      <c r="N59">
        <v>0.3497161115926396</v>
      </c>
      <c r="O59">
        <v>0.11282999322538664</v>
      </c>
      <c r="P59">
        <v>17.480062016800353</v>
      </c>
      <c r="Q59">
        <v>12.009121869082827</v>
      </c>
      <c r="R59">
        <v>0.38754159488883916</v>
      </c>
      <c r="S59">
        <v>0.12511997193267066</v>
      </c>
      <c r="T59">
        <v>17.478216564095646</v>
      </c>
      <c r="U59">
        <v>1519.0537037493557</v>
      </c>
      <c r="V59">
        <v>9.4915797710515371</v>
      </c>
      <c r="W59">
        <v>1276.7546252003194</v>
      </c>
      <c r="X59">
        <v>6.8774381111968479</v>
      </c>
      <c r="Y59">
        <v>2857.570152796181</v>
      </c>
      <c r="Z59">
        <v>9.5239131690598864</v>
      </c>
      <c r="AA59">
        <v>2706.2635751919711</v>
      </c>
      <c r="AB59">
        <v>6.8967176446521261</v>
      </c>
      <c r="AC59">
        <v>2213.573098297361</v>
      </c>
      <c r="AD59">
        <v>9.5123489241085526</v>
      </c>
      <c r="AE59">
        <v>2018.5207932671087</v>
      </c>
      <c r="AF59">
        <v>6.8898309204042132</v>
      </c>
      <c r="AG59">
        <v>2094.9423465912669</v>
      </c>
      <c r="AH59">
        <v>9.505007378521718</v>
      </c>
      <c r="AI59">
        <v>1888.4042351748326</v>
      </c>
      <c r="AJ59">
        <v>6.8854538742349742</v>
      </c>
    </row>
    <row r="60" spans="4:36" x14ac:dyDescent="0.45">
      <c r="D60">
        <v>53</v>
      </c>
      <c r="E60">
        <v>14.007603643895417</v>
      </c>
      <c r="F60">
        <v>0.52722673201270853</v>
      </c>
      <c r="G60">
        <v>0.1961088234827891</v>
      </c>
      <c r="H60">
        <v>15.269060800609093</v>
      </c>
      <c r="I60">
        <v>14.251162897999651</v>
      </c>
      <c r="J60">
        <v>0.35239103863801507</v>
      </c>
      <c r="K60">
        <v>0.13064952776342781</v>
      </c>
      <c r="L60">
        <v>15.265796535598909</v>
      </c>
      <c r="M60">
        <v>14.185810408997424</v>
      </c>
      <c r="N60">
        <v>0.39933602473070279</v>
      </c>
      <c r="O60">
        <v>0.14818339930557642</v>
      </c>
      <c r="P60">
        <v>15.2666701669663</v>
      </c>
      <c r="Q60">
        <v>14.100690121603449</v>
      </c>
      <c r="R60">
        <v>0.46044518301166026</v>
      </c>
      <c r="S60">
        <v>0.17105418092004793</v>
      </c>
      <c r="T60">
        <v>15.267810514464854</v>
      </c>
      <c r="U60">
        <v>1627.5251422065382</v>
      </c>
      <c r="V60">
        <v>11.13618427711322</v>
      </c>
      <c r="W60">
        <v>1330.1093482030933</v>
      </c>
      <c r="X60">
        <v>7.8200668448280455</v>
      </c>
      <c r="Y60">
        <v>2978.5842597175247</v>
      </c>
      <c r="Z60">
        <v>11.1859019891985</v>
      </c>
      <c r="AA60">
        <v>2775.7627267515036</v>
      </c>
      <c r="AB60">
        <v>7.8481229041479761</v>
      </c>
      <c r="AC60">
        <v>2304.051235088104</v>
      </c>
      <c r="AD60">
        <v>11.172562946815907</v>
      </c>
      <c r="AE60">
        <v>2064.0820835169925</v>
      </c>
      <c r="AF60">
        <v>7.8406042728749323</v>
      </c>
      <c r="AG60">
        <v>2204.1802523651827</v>
      </c>
      <c r="AH60">
        <v>11.155187635077262</v>
      </c>
      <c r="AI60">
        <v>1944.7693111359079</v>
      </c>
      <c r="AJ60">
        <v>7.8308010587353918</v>
      </c>
    </row>
    <row r="61" spans="4:36" x14ac:dyDescent="0.45">
      <c r="D61">
        <v>54</v>
      </c>
      <c r="E61">
        <v>12.500964770300289</v>
      </c>
      <c r="F61">
        <v>0.45230577334844091</v>
      </c>
      <c r="G61">
        <v>0.16231069388006047</v>
      </c>
      <c r="H61">
        <v>16.88441876247121</v>
      </c>
      <c r="I61">
        <v>12.734889411836841</v>
      </c>
      <c r="J61">
        <v>0.28436160377325564</v>
      </c>
      <c r="K61">
        <v>0.1017006446938484</v>
      </c>
      <c r="L61">
        <v>16.879048339696059</v>
      </c>
      <c r="M61">
        <v>12.617564171957934</v>
      </c>
      <c r="N61">
        <v>0.36863547478284303</v>
      </c>
      <c r="O61">
        <v>0.13206279644758848</v>
      </c>
      <c r="P61">
        <v>16.881737556811636</v>
      </c>
      <c r="Q61">
        <v>12.583462665932304</v>
      </c>
      <c r="R61">
        <v>0.39311482227701644</v>
      </c>
      <c r="S61">
        <v>0.14090168519006352</v>
      </c>
      <c r="T61">
        <v>16.882520826600601</v>
      </c>
      <c r="U61">
        <v>1540.5951788825994</v>
      </c>
      <c r="V61">
        <v>9.8302903076625938</v>
      </c>
      <c r="W61">
        <v>1284.4871898756194</v>
      </c>
      <c r="X61">
        <v>7.0622228937918896</v>
      </c>
      <c r="Y61">
        <v>2908.819734846918</v>
      </c>
      <c r="Z61">
        <v>9.8807777697174473</v>
      </c>
      <c r="AA61">
        <v>2738.5486298360975</v>
      </c>
      <c r="AB61">
        <v>7.0913379812215052</v>
      </c>
      <c r="AC61">
        <v>2225.4212258934808</v>
      </c>
      <c r="AD61">
        <v>9.8554576145330763</v>
      </c>
      <c r="AE61">
        <v>2019.1025110581415</v>
      </c>
      <c r="AF61">
        <v>7.0767495835289651</v>
      </c>
      <c r="AG61">
        <v>2128.1342646276153</v>
      </c>
      <c r="AH61">
        <v>9.8480973955449684</v>
      </c>
      <c r="AI61">
        <v>1904.9880054001146</v>
      </c>
      <c r="AJ61">
        <v>7.0725039675620094</v>
      </c>
    </row>
    <row r="62" spans="4:36" x14ac:dyDescent="0.45">
      <c r="D62">
        <v>55</v>
      </c>
      <c r="E62">
        <v>11.151150340889906</v>
      </c>
      <c r="F62">
        <v>0.43330221291992344</v>
      </c>
      <c r="G62">
        <v>0.13907528436494551</v>
      </c>
      <c r="H62">
        <v>18.276472161825218</v>
      </c>
      <c r="I62">
        <v>11.354716919084689</v>
      </c>
      <c r="J62">
        <v>0.26765042334558176</v>
      </c>
      <c r="K62">
        <v>8.5633672518481224E-2</v>
      </c>
      <c r="L62">
        <v>18.291998985051251</v>
      </c>
      <c r="M62">
        <v>11.26877890788343</v>
      </c>
      <c r="N62">
        <v>0.33760555861288066</v>
      </c>
      <c r="O62">
        <v>0.10816018806178651</v>
      </c>
      <c r="P62">
        <v>18.285455345441896</v>
      </c>
      <c r="Q62">
        <v>11.248612123308837</v>
      </c>
      <c r="R62">
        <v>0.35401678307082651</v>
      </c>
      <c r="S62">
        <v>0.11345368111990022</v>
      </c>
      <c r="T62">
        <v>18.283917412500429</v>
      </c>
      <c r="U62">
        <v>1436.1712968878815</v>
      </c>
      <c r="V62">
        <v>8.8077645206341675</v>
      </c>
      <c r="W62">
        <v>1220.7589711061485</v>
      </c>
      <c r="X62">
        <v>6.4660071485500028</v>
      </c>
      <c r="Y62">
        <v>2841.4144928621895</v>
      </c>
      <c r="Z62">
        <v>8.8384664073836525</v>
      </c>
      <c r="AA62">
        <v>2698.2481050884048</v>
      </c>
      <c r="AB62">
        <v>6.4849901589384</v>
      </c>
      <c r="AC62">
        <v>2151.0317705163338</v>
      </c>
      <c r="AD62">
        <v>8.8254987947267658</v>
      </c>
      <c r="AE62">
        <v>1976.2802978464456</v>
      </c>
      <c r="AF62">
        <v>6.4769830212366033</v>
      </c>
      <c r="AG62">
        <v>2034.3496437348695</v>
      </c>
      <c r="AH62">
        <v>8.8224570887675835</v>
      </c>
      <c r="AI62">
        <v>1849.2878631546162</v>
      </c>
      <c r="AJ62">
        <v>6.4751025893161849</v>
      </c>
    </row>
    <row r="63" spans="4:36" x14ac:dyDescent="0.45">
      <c r="D63">
        <v>56</v>
      </c>
      <c r="E63">
        <v>12.428105434967463</v>
      </c>
      <c r="F63">
        <v>0.45759181110112518</v>
      </c>
      <c r="G63">
        <v>0.19554838768072641</v>
      </c>
      <c r="H63">
        <v>16.918754366250695</v>
      </c>
      <c r="I63">
        <v>12.646426213960204</v>
      </c>
      <c r="J63">
        <v>0.29125090680194998</v>
      </c>
      <c r="K63">
        <v>0.12406863039700122</v>
      </c>
      <c r="L63">
        <v>16.938254248840824</v>
      </c>
      <c r="M63">
        <v>12.559958601064336</v>
      </c>
      <c r="N63">
        <v>0.35716173448654093</v>
      </c>
      <c r="O63">
        <v>0.1523366225728951</v>
      </c>
      <c r="P63">
        <v>16.930543041876223</v>
      </c>
      <c r="Q63">
        <v>12.498579576013931</v>
      </c>
      <c r="R63">
        <v>0.4039245196215942</v>
      </c>
      <c r="S63">
        <v>0.1724360852509364</v>
      </c>
      <c r="T63">
        <v>16.925059819113525</v>
      </c>
      <c r="U63">
        <v>1528.9808875882823</v>
      </c>
      <c r="V63">
        <v>9.9234610876637159</v>
      </c>
      <c r="W63">
        <v>1274.3582663682332</v>
      </c>
      <c r="X63">
        <v>7.1311164931310476</v>
      </c>
      <c r="Y63">
        <v>2900.4918185447823</v>
      </c>
      <c r="Z63">
        <v>9.9567059194422463</v>
      </c>
      <c r="AA63">
        <v>2731.2488846338824</v>
      </c>
      <c r="AB63">
        <v>7.1512504750605803</v>
      </c>
      <c r="AC63">
        <v>2226.8001042353771</v>
      </c>
      <c r="AD63">
        <v>9.943531875848473</v>
      </c>
      <c r="AE63">
        <v>2020.0386879100893</v>
      </c>
      <c r="AF63">
        <v>7.1432822000160474</v>
      </c>
      <c r="AG63">
        <v>2151.0717350312116</v>
      </c>
      <c r="AH63">
        <v>9.9341859775202295</v>
      </c>
      <c r="AI63">
        <v>1919.6063799748829</v>
      </c>
      <c r="AJ63">
        <v>7.1376212078142265</v>
      </c>
    </row>
    <row r="64" spans="4:36" x14ac:dyDescent="0.45">
      <c r="D64">
        <v>57</v>
      </c>
      <c r="E64">
        <v>12.385168017228931</v>
      </c>
      <c r="F64">
        <v>0.47461537108042234</v>
      </c>
      <c r="G64">
        <v>0.16478576955555246</v>
      </c>
      <c r="H64">
        <v>16.975430842135108</v>
      </c>
      <c r="I64">
        <v>12.623961117459983</v>
      </c>
      <c r="J64">
        <v>0.29602196072572007</v>
      </c>
      <c r="K64">
        <v>0.10244387269698838</v>
      </c>
      <c r="L64">
        <v>16.977573049117293</v>
      </c>
      <c r="M64">
        <v>12.516292396077739</v>
      </c>
      <c r="N64">
        <v>0.37658671056735471</v>
      </c>
      <c r="O64">
        <v>0.13051569365460691</v>
      </c>
      <c r="P64">
        <v>16.976605199700291</v>
      </c>
      <c r="Q64">
        <v>12.494085441672016</v>
      </c>
      <c r="R64">
        <v>0.39319540567416172</v>
      </c>
      <c r="S64">
        <v>0.13631317767589204</v>
      </c>
      <c r="T64">
        <v>16.976405974977947</v>
      </c>
      <c r="U64">
        <v>1533.2558295107353</v>
      </c>
      <c r="V64">
        <v>9.7979712737673577</v>
      </c>
      <c r="W64">
        <v>1281.1036681100134</v>
      </c>
      <c r="X64">
        <v>7.0481046196833326</v>
      </c>
      <c r="Y64">
        <v>2872.421517378717</v>
      </c>
      <c r="Z64">
        <v>9.8430831604661009</v>
      </c>
      <c r="AA64">
        <v>2713.6706182257913</v>
      </c>
      <c r="AB64">
        <v>7.0743368768160027</v>
      </c>
      <c r="AC64">
        <v>2230.3780103291692</v>
      </c>
      <c r="AD64">
        <v>9.8227431874581033</v>
      </c>
      <c r="AE64">
        <v>2024.9755544274251</v>
      </c>
      <c r="AF64">
        <v>7.0625217807662999</v>
      </c>
      <c r="AG64">
        <v>2106.392358353457</v>
      </c>
      <c r="AH64">
        <v>9.8185479356879135</v>
      </c>
      <c r="AI64">
        <v>1892.3163341947934</v>
      </c>
      <c r="AJ64">
        <v>7.0600823076791652</v>
      </c>
    </row>
    <row r="65" spans="4:36" x14ac:dyDescent="0.45">
      <c r="D65">
        <v>58</v>
      </c>
      <c r="E65">
        <v>12.703512138397171</v>
      </c>
      <c r="F65">
        <v>0.41961889612304498</v>
      </c>
      <c r="G65">
        <v>0.17337753225531774</v>
      </c>
      <c r="H65">
        <v>16.703491433224453</v>
      </c>
      <c r="I65">
        <v>12.913152267139672</v>
      </c>
      <c r="J65">
        <v>0.27863387645004867</v>
      </c>
      <c r="K65">
        <v>0.11476232908231043</v>
      </c>
      <c r="L65">
        <v>16.693451527327966</v>
      </c>
      <c r="M65">
        <v>12.805599571284962</v>
      </c>
      <c r="N65">
        <v>0.35100053254561381</v>
      </c>
      <c r="O65">
        <v>0.14480212313590793</v>
      </c>
      <c r="P65">
        <v>16.698597773033519</v>
      </c>
      <c r="Q65">
        <v>12.782026030870028</v>
      </c>
      <c r="R65">
        <v>0.36685172441883146</v>
      </c>
      <c r="S65">
        <v>0.1513952257892883</v>
      </c>
      <c r="T65">
        <v>16.699727018921838</v>
      </c>
      <c r="U65">
        <v>1507.4293218560028</v>
      </c>
      <c r="V65">
        <v>9.9959298209103764</v>
      </c>
      <c r="W65">
        <v>1260.6472213927607</v>
      </c>
      <c r="X65">
        <v>7.1607163474775337</v>
      </c>
      <c r="Y65">
        <v>2871.0403438032163</v>
      </c>
      <c r="Z65">
        <v>10.042592830173993</v>
      </c>
      <c r="AA65">
        <v>2710.1984530714572</v>
      </c>
      <c r="AB65">
        <v>7.1874403243514271</v>
      </c>
      <c r="AC65">
        <v>2245.2259243234375</v>
      </c>
      <c r="AD65">
        <v>10.018655323653849</v>
      </c>
      <c r="AE65">
        <v>2032.7419508393505</v>
      </c>
      <c r="AF65">
        <v>7.1737417733896356</v>
      </c>
      <c r="AG65">
        <v>2122.7008870421059</v>
      </c>
      <c r="AH65">
        <v>10.013408039443567</v>
      </c>
      <c r="AI65">
        <v>1900.9817792650567</v>
      </c>
      <c r="AJ65">
        <v>7.1707360022504654</v>
      </c>
    </row>
    <row r="66" spans="4:36" x14ac:dyDescent="0.45">
      <c r="D66">
        <v>59</v>
      </c>
      <c r="E66">
        <v>12.362562049074961</v>
      </c>
      <c r="F66">
        <v>0.44422995313528357</v>
      </c>
      <c r="G66">
        <v>0.19598977372241094</v>
      </c>
      <c r="H66">
        <v>16.997218224067339</v>
      </c>
      <c r="I66">
        <v>12.575075868819953</v>
      </c>
      <c r="J66">
        <v>0.28843258409605882</v>
      </c>
      <c r="K66">
        <v>0.12683701098056568</v>
      </c>
      <c r="L66">
        <v>17.009654536103437</v>
      </c>
      <c r="M66">
        <v>12.485992831058024</v>
      </c>
      <c r="N66">
        <v>0.35377281823121398</v>
      </c>
      <c r="O66">
        <v>0.15578317716332307</v>
      </c>
      <c r="P66">
        <v>17.004451173547444</v>
      </c>
      <c r="Q66">
        <v>12.479397993919155</v>
      </c>
      <c r="R66">
        <v>0.358608141991973</v>
      </c>
      <c r="S66">
        <v>0.15792845502953987</v>
      </c>
      <c r="T66">
        <v>17.004065409059315</v>
      </c>
      <c r="U66">
        <v>1534.2341754783793</v>
      </c>
      <c r="V66">
        <v>9.8278136805990037</v>
      </c>
      <c r="W66">
        <v>1280.0068131666264</v>
      </c>
      <c r="X66">
        <v>7.0697744158311027</v>
      </c>
      <c r="Y66">
        <v>2903.6492174317123</v>
      </c>
      <c r="Z66">
        <v>9.8614590441483969</v>
      </c>
      <c r="AA66">
        <v>2734.2217207698382</v>
      </c>
      <c r="AB66">
        <v>7.090050839696791</v>
      </c>
      <c r="AC66">
        <v>2229.0354471330979</v>
      </c>
      <c r="AD66">
        <v>9.8473489084137551</v>
      </c>
      <c r="AE66">
        <v>2022.515508948353</v>
      </c>
      <c r="AF66">
        <v>7.0815575242235811</v>
      </c>
      <c r="AG66">
        <v>2129.7681671785876</v>
      </c>
      <c r="AH66">
        <v>9.8463046994575123</v>
      </c>
      <c r="AI66">
        <v>1908.5532348900801</v>
      </c>
      <c r="AJ66">
        <v>7.0809284028041866</v>
      </c>
    </row>
    <row r="67" spans="4:36" x14ac:dyDescent="0.45">
      <c r="D67">
        <v>60</v>
      </c>
      <c r="E67">
        <v>12.085989085582666</v>
      </c>
      <c r="F67">
        <v>0.4415689118576096</v>
      </c>
      <c r="G67">
        <v>0.17033717293049461</v>
      </c>
      <c r="H67">
        <v>17.302104829629233</v>
      </c>
      <c r="I67">
        <v>12.280868088693289</v>
      </c>
      <c r="J67">
        <v>0.29241756245691403</v>
      </c>
      <c r="K67">
        <v>0.1124560706988629</v>
      </c>
      <c r="L67">
        <v>17.314258278150923</v>
      </c>
      <c r="M67">
        <v>12.196851917479441</v>
      </c>
      <c r="N67">
        <v>0.35674449847958462</v>
      </c>
      <c r="O67">
        <v>0.1373752845059136</v>
      </c>
      <c r="P67">
        <v>17.309028299535051</v>
      </c>
      <c r="Q67">
        <v>12.158103759763724</v>
      </c>
      <c r="R67">
        <v>0.38639934457320546</v>
      </c>
      <c r="S67">
        <v>0.14888554970833204</v>
      </c>
      <c r="T67">
        <v>17.306611345954735</v>
      </c>
      <c r="U67">
        <v>1532.8137232597819</v>
      </c>
      <c r="V67">
        <v>9.5719420971293605</v>
      </c>
      <c r="W67">
        <v>1283.1755958981018</v>
      </c>
      <c r="X67">
        <v>6.9167265989612376</v>
      </c>
      <c r="Y67">
        <v>2884.5062937988237</v>
      </c>
      <c r="Z67">
        <v>9.6004499976877522</v>
      </c>
      <c r="AA67">
        <v>2722.6423981720532</v>
      </c>
      <c r="AB67">
        <v>6.9340643107114044</v>
      </c>
      <c r="AC67">
        <v>2179.9137874426306</v>
      </c>
      <c r="AD67">
        <v>9.5881538448757535</v>
      </c>
      <c r="AE67">
        <v>1989.7970831160651</v>
      </c>
      <c r="AF67">
        <v>6.9265946586674669</v>
      </c>
      <c r="AG67">
        <v>2085.9159056554558</v>
      </c>
      <c r="AH67">
        <v>9.5824858452523252</v>
      </c>
      <c r="AI67">
        <v>1877.8826823444742</v>
      </c>
      <c r="AJ67">
        <v>6.9231471316218185</v>
      </c>
    </row>
    <row r="68" spans="4:36" x14ac:dyDescent="0.45">
      <c r="D68">
        <v>61</v>
      </c>
      <c r="E68">
        <v>12.18190682156491</v>
      </c>
      <c r="F68">
        <v>0.4590994936986677</v>
      </c>
      <c r="G68">
        <v>0.16559316549892369</v>
      </c>
      <c r="H68">
        <v>17.193400519237482</v>
      </c>
      <c r="I68">
        <v>12.394563694706427</v>
      </c>
      <c r="J68">
        <v>0.29414787641226603</v>
      </c>
      <c r="K68">
        <v>0.10576177433571642</v>
      </c>
      <c r="L68">
        <v>17.205526654545597</v>
      </c>
      <c r="M68">
        <v>12.302002312867049</v>
      </c>
      <c r="N68">
        <v>0.36597345827698513</v>
      </c>
      <c r="O68">
        <v>0.13176729700715872</v>
      </c>
      <c r="P68">
        <v>17.200256931848791</v>
      </c>
      <c r="Q68">
        <v>12.264402166606864</v>
      </c>
      <c r="R68">
        <v>0.39513784371994187</v>
      </c>
      <c r="S68">
        <v>0.14234736729400357</v>
      </c>
      <c r="T68">
        <v>17.198112622379174</v>
      </c>
      <c r="U68">
        <v>1592.6838935766091</v>
      </c>
      <c r="V68">
        <v>9.7015845156330549</v>
      </c>
      <c r="W68">
        <v>1320.4648142021267</v>
      </c>
      <c r="X68">
        <v>7.00106797372732</v>
      </c>
      <c r="Y68">
        <v>2894.0716788977234</v>
      </c>
      <c r="Z68">
        <v>9.7379324664932323</v>
      </c>
      <c r="AA68">
        <v>2726.3558134690734</v>
      </c>
      <c r="AB68">
        <v>7.022820685107706</v>
      </c>
      <c r="AC68">
        <v>2232.2081356804701</v>
      </c>
      <c r="AD68">
        <v>9.7221066750539471</v>
      </c>
      <c r="AE68">
        <v>2023.2042650256974</v>
      </c>
      <c r="AF68">
        <v>7.0133603159804156</v>
      </c>
      <c r="AG68">
        <v>2115.9116086892404</v>
      </c>
      <c r="AH68">
        <v>9.715680105751904</v>
      </c>
      <c r="AI68">
        <v>1894.8372451296623</v>
      </c>
      <c r="AJ68">
        <v>7.0095139399512103</v>
      </c>
    </row>
    <row r="69" spans="4:36" x14ac:dyDescent="0.45">
      <c r="D69">
        <v>62</v>
      </c>
      <c r="E69">
        <v>12.902242342087</v>
      </c>
      <c r="F69">
        <v>0.43587073482303168</v>
      </c>
      <c r="G69">
        <v>0.16587831586010773</v>
      </c>
      <c r="H69">
        <v>16.496008607229864</v>
      </c>
      <c r="I69">
        <v>13.092437464401725</v>
      </c>
      <c r="J69">
        <v>0.30131506857994955</v>
      </c>
      <c r="K69">
        <v>0.11434641093771165</v>
      </c>
      <c r="L69">
        <v>16.491901056080621</v>
      </c>
      <c r="M69">
        <v>12.970838529722378</v>
      </c>
      <c r="N69">
        <v>0.38736696463555825</v>
      </c>
      <c r="O69">
        <v>0.147268220341816</v>
      </c>
      <c r="P69">
        <v>16.494526285300253</v>
      </c>
      <c r="Q69">
        <v>12.97831251411119</v>
      </c>
      <c r="R69">
        <v>0.38208043878390469</v>
      </c>
      <c r="S69">
        <v>0.14524220972689827</v>
      </c>
      <c r="T69">
        <v>16.494364837378004</v>
      </c>
      <c r="U69">
        <v>1541.6064751135902</v>
      </c>
      <c r="V69">
        <v>10.190006577237641</v>
      </c>
      <c r="W69">
        <v>1287.0963148537317</v>
      </c>
      <c r="X69">
        <v>7.2771289250846749</v>
      </c>
      <c r="Y69">
        <v>2900.4647412417121</v>
      </c>
      <c r="Z69">
        <v>10.229863862977393</v>
      </c>
      <c r="AA69">
        <v>2731.730340259448</v>
      </c>
      <c r="AB69">
        <v>7.3000388647931329</v>
      </c>
      <c r="AC69">
        <v>2213.1855782009516</v>
      </c>
      <c r="AD69">
        <v>10.204382061590758</v>
      </c>
      <c r="AE69">
        <v>2009.6883505916974</v>
      </c>
      <c r="AF69">
        <v>7.2853995544844183</v>
      </c>
      <c r="AG69">
        <v>2128.4845808959726</v>
      </c>
      <c r="AH69">
        <v>10.205948328665798</v>
      </c>
      <c r="AI69">
        <v>1906.6658971463173</v>
      </c>
      <c r="AJ69">
        <v>7.286300151463931</v>
      </c>
    </row>
    <row r="70" spans="4:36" x14ac:dyDescent="0.45">
      <c r="D70">
        <v>63</v>
      </c>
      <c r="E70">
        <v>11.618287648100313</v>
      </c>
      <c r="F70">
        <v>0.47295806352636621</v>
      </c>
      <c r="G70">
        <v>0.16096778747061341</v>
      </c>
      <c r="H70">
        <v>17.747786500902688</v>
      </c>
      <c r="I70">
        <v>11.828267979764883</v>
      </c>
      <c r="J70">
        <v>0.29801408826452419</v>
      </c>
      <c r="K70">
        <v>0.10110604474523315</v>
      </c>
      <c r="L70">
        <v>17.772611887225352</v>
      </c>
      <c r="M70">
        <v>11.748106135504313</v>
      </c>
      <c r="N70">
        <v>0.36482183747031099</v>
      </c>
      <c r="O70">
        <v>0.12392077485535026</v>
      </c>
      <c r="P70">
        <v>17.763151252170008</v>
      </c>
      <c r="Q70">
        <v>11.71840721950759</v>
      </c>
      <c r="R70">
        <v>0.38956657005164352</v>
      </c>
      <c r="S70">
        <v>0.13238520685786509</v>
      </c>
      <c r="T70">
        <v>17.75964100358291</v>
      </c>
      <c r="U70">
        <v>1529.0075403456524</v>
      </c>
      <c r="V70">
        <v>9.1948174398393245</v>
      </c>
      <c r="W70">
        <v>1279.7723162214004</v>
      </c>
      <c r="X70">
        <v>6.6908364004965284</v>
      </c>
      <c r="Y70">
        <v>2873.5649371649147</v>
      </c>
      <c r="Z70">
        <v>9.2179430660837536</v>
      </c>
      <c r="AA70">
        <v>2715.4422069609291</v>
      </c>
      <c r="AB70">
        <v>6.7055526395215992</v>
      </c>
      <c r="AC70">
        <v>2193.9557443522071</v>
      </c>
      <c r="AD70">
        <v>9.2091052345244648</v>
      </c>
      <c r="AE70">
        <v>2000.8018505933373</v>
      </c>
      <c r="AF70">
        <v>6.6999378149022757</v>
      </c>
      <c r="AG70">
        <v>2080.6567267850664</v>
      </c>
      <c r="AH70">
        <v>9.2058338747279631</v>
      </c>
      <c r="AI70">
        <v>1875.3225869900264</v>
      </c>
      <c r="AJ70">
        <v>6.6978565889772304</v>
      </c>
    </row>
    <row r="71" spans="4:36" x14ac:dyDescent="0.45">
      <c r="D71">
        <v>64</v>
      </c>
      <c r="E71">
        <v>12.250058551017252</v>
      </c>
      <c r="F71">
        <v>0.42451534821260278</v>
      </c>
      <c r="G71">
        <v>0.17921788669305411</v>
      </c>
      <c r="H71">
        <v>17.146208214077078</v>
      </c>
      <c r="I71">
        <v>12.500594425262776</v>
      </c>
      <c r="J71">
        <v>0.25191051759163624</v>
      </c>
      <c r="K71">
        <v>0.10591456212138048</v>
      </c>
      <c r="L71">
        <v>17.141580495024201</v>
      </c>
      <c r="M71">
        <v>12.402978156106018</v>
      </c>
      <c r="N71">
        <v>0.31921123559102504</v>
      </c>
      <c r="O71">
        <v>0.13442404243453124</v>
      </c>
      <c r="P71">
        <v>17.143386565868418</v>
      </c>
      <c r="Q71">
        <v>12.353063549790601</v>
      </c>
      <c r="R71">
        <v>0.35360049978131142</v>
      </c>
      <c r="S71">
        <v>0.14902733309625321</v>
      </c>
      <c r="T71">
        <v>17.144308617331838</v>
      </c>
      <c r="U71">
        <v>1527.740340159912</v>
      </c>
      <c r="V71">
        <v>9.7237177559431114</v>
      </c>
      <c r="W71">
        <v>1277.8820409781692</v>
      </c>
      <c r="X71">
        <v>7.0120017902241125</v>
      </c>
      <c r="Y71">
        <v>2878.3553610341505</v>
      </c>
      <c r="Z71">
        <v>9.7752413493429682</v>
      </c>
      <c r="AA71">
        <v>2719.5567530589437</v>
      </c>
      <c r="AB71">
        <v>7.0420656586976644</v>
      </c>
      <c r="AC71">
        <v>2218.5546515808692</v>
      </c>
      <c r="AD71">
        <v>9.7551649502377273</v>
      </c>
      <c r="AE71">
        <v>2018.522378215655</v>
      </c>
      <c r="AF71">
        <v>7.0303663016975628</v>
      </c>
      <c r="AG71">
        <v>2097.1901811868065</v>
      </c>
      <c r="AH71">
        <v>9.744899805648739</v>
      </c>
      <c r="AI71">
        <v>1886.1795091699307</v>
      </c>
      <c r="AJ71">
        <v>7.0243769299024876</v>
      </c>
    </row>
    <row r="72" spans="4:36" x14ac:dyDescent="0.45">
      <c r="D72">
        <v>65</v>
      </c>
      <c r="E72">
        <v>12.871663520583546</v>
      </c>
      <c r="F72">
        <v>0.49614443589037466</v>
      </c>
      <c r="G72">
        <v>0.15812586960250039</v>
      </c>
      <c r="H72">
        <v>16.4740661739236</v>
      </c>
      <c r="I72">
        <v>13.11713047731552</v>
      </c>
      <c r="J72">
        <v>0.31418838338178584</v>
      </c>
      <c r="K72">
        <v>9.9802466582135999E-2</v>
      </c>
      <c r="L72">
        <v>16.468878672720582</v>
      </c>
      <c r="M72">
        <v>13.016993779369168</v>
      </c>
      <c r="N72">
        <v>0.38845655631277443</v>
      </c>
      <c r="O72">
        <v>0.12356054564349522</v>
      </c>
      <c r="P72">
        <v>16.470989118674545</v>
      </c>
      <c r="Q72">
        <v>13.01949589630566</v>
      </c>
      <c r="R72">
        <v>0.3866014902621035</v>
      </c>
      <c r="S72">
        <v>0.12296632462076582</v>
      </c>
      <c r="T72">
        <v>16.47093628881148</v>
      </c>
      <c r="U72">
        <v>1531.9433373095874</v>
      </c>
      <c r="V72">
        <v>10.219717717230326</v>
      </c>
      <c r="W72">
        <v>1273.5162491954893</v>
      </c>
      <c r="X72">
        <v>7.2961371015257281</v>
      </c>
      <c r="Y72">
        <v>2902.5217539396608</v>
      </c>
      <c r="Z72">
        <v>10.266581014709404</v>
      </c>
      <c r="AA72">
        <v>2730.7446356598721</v>
      </c>
      <c r="AB72">
        <v>7.3229010244417632</v>
      </c>
      <c r="AC72">
        <v>2216.642870016386</v>
      </c>
      <c r="AD72">
        <v>10.247466413294381</v>
      </c>
      <c r="AE72">
        <v>2010.1518991854355</v>
      </c>
      <c r="AF72">
        <v>7.3119960139347624</v>
      </c>
      <c r="AG72">
        <v>2134.2747881644791</v>
      </c>
      <c r="AH72">
        <v>10.247944079873903</v>
      </c>
      <c r="AI72">
        <v>1908.5434116875297</v>
      </c>
      <c r="AJ72">
        <v>7.3122687170467859</v>
      </c>
    </row>
    <row r="73" spans="4:36" x14ac:dyDescent="0.45">
      <c r="D73">
        <v>66</v>
      </c>
      <c r="E73">
        <v>12.286540972268639</v>
      </c>
      <c r="F73">
        <v>0.45518268111224541</v>
      </c>
      <c r="G73">
        <v>0.14844106839608653</v>
      </c>
      <c r="H73">
        <v>17.109835278223038</v>
      </c>
      <c r="I73">
        <v>12.478026887345912</v>
      </c>
      <c r="J73">
        <v>0.31075952606794327</v>
      </c>
      <c r="K73">
        <v>0.1010715991316367</v>
      </c>
      <c r="L73">
        <v>17.110141987454494</v>
      </c>
      <c r="M73">
        <v>12.41223689604027</v>
      </c>
      <c r="N73">
        <v>0.36040255449171954</v>
      </c>
      <c r="O73">
        <v>0.11732504076325238</v>
      </c>
      <c r="P73">
        <v>17.110035508704758</v>
      </c>
      <c r="Q73">
        <v>12.356127580880875</v>
      </c>
      <c r="R73">
        <v>0.4027221444779816</v>
      </c>
      <c r="S73">
        <v>0.13120466998572353</v>
      </c>
      <c r="T73">
        <v>17.109945604655415</v>
      </c>
      <c r="U73">
        <v>1501.6809938259487</v>
      </c>
      <c r="V73">
        <v>9.6970481236554757</v>
      </c>
      <c r="W73">
        <v>1264.5710966737033</v>
      </c>
      <c r="X73">
        <v>6.987688280093324</v>
      </c>
      <c r="Y73">
        <v>2879.3898083637087</v>
      </c>
      <c r="Z73">
        <v>9.7304239042924952</v>
      </c>
      <c r="AA73">
        <v>2720.946939433717</v>
      </c>
      <c r="AB73">
        <v>7.0070366857671882</v>
      </c>
      <c r="AC73">
        <v>2190.4251043130334</v>
      </c>
      <c r="AD73">
        <v>9.718957629809136</v>
      </c>
      <c r="AE73">
        <v>2001.1678936320916</v>
      </c>
      <c r="AF73">
        <v>7.0003962075591835</v>
      </c>
      <c r="AG73">
        <v>2103.024926650683</v>
      </c>
      <c r="AH73">
        <v>9.7091778633316235</v>
      </c>
      <c r="AI73">
        <v>1893.5614925120035</v>
      </c>
      <c r="AJ73">
        <v>6.9947269309722104</v>
      </c>
    </row>
    <row r="74" spans="4:36" x14ac:dyDescent="0.45">
      <c r="D74">
        <v>67</v>
      </c>
      <c r="E74">
        <v>12.853872528999792</v>
      </c>
      <c r="F74">
        <v>0.44696377754779459</v>
      </c>
      <c r="G74">
        <v>0.16782372553281488</v>
      </c>
      <c r="H74">
        <v>16.531339967919589</v>
      </c>
      <c r="I74">
        <v>13.09202936631773</v>
      </c>
      <c r="J74">
        <v>0.28660723892523698</v>
      </c>
      <c r="K74">
        <v>0.10724661856204211</v>
      </c>
      <c r="L74">
        <v>16.514116776195003</v>
      </c>
      <c r="M74">
        <v>13.013572649295584</v>
      </c>
      <c r="N74">
        <v>0.33947512360153503</v>
      </c>
      <c r="O74">
        <v>0.12717184752473698</v>
      </c>
      <c r="P74">
        <v>16.519780379578137</v>
      </c>
      <c r="Q74">
        <v>12.974897380175305</v>
      </c>
      <c r="R74">
        <v>0.36552155202754599</v>
      </c>
      <c r="S74">
        <v>0.13700511105539792</v>
      </c>
      <c r="T74">
        <v>16.522575956741758</v>
      </c>
      <c r="U74">
        <v>1565.8177177469274</v>
      </c>
      <c r="V74">
        <v>10.174172215606436</v>
      </c>
      <c r="W74">
        <v>1298.1234297524636</v>
      </c>
      <c r="X74">
        <v>7.2706823500252531</v>
      </c>
      <c r="Y74">
        <v>2925.239594321712</v>
      </c>
      <c r="Z74">
        <v>10.229238950025604</v>
      </c>
      <c r="AA74">
        <v>2746.8982506564125</v>
      </c>
      <c r="AB74">
        <v>7.3018339842621804</v>
      </c>
      <c r="AC74">
        <v>2237.9639779195136</v>
      </c>
      <c r="AD74">
        <v>10.211103684601357</v>
      </c>
      <c r="AE74">
        <v>2026.5103696784968</v>
      </c>
      <c r="AF74">
        <v>7.2915861381056288</v>
      </c>
      <c r="AG74">
        <v>2124.0066946988118</v>
      </c>
      <c r="AH74">
        <v>10.202161906902477</v>
      </c>
      <c r="AI74">
        <v>1899.9757144221039</v>
      </c>
      <c r="AJ74">
        <v>7.2865292335929581</v>
      </c>
    </row>
    <row r="75" spans="4:36" x14ac:dyDescent="0.45">
      <c r="D75">
        <v>68</v>
      </c>
      <c r="E75">
        <v>12.366081672311315</v>
      </c>
      <c r="F75">
        <v>0.41219281473132768</v>
      </c>
      <c r="G75">
        <v>0.16367534628122271</v>
      </c>
      <c r="H75">
        <v>17.058050166676129</v>
      </c>
      <c r="I75">
        <v>12.570628075451591</v>
      </c>
      <c r="J75">
        <v>0.27017272531383474</v>
      </c>
      <c r="K75">
        <v>0.10693855286363727</v>
      </c>
      <c r="L75">
        <v>17.052260646370947</v>
      </c>
      <c r="M75">
        <v>12.474863231116991</v>
      </c>
      <c r="N75">
        <v>0.33669737108003783</v>
      </c>
      <c r="O75">
        <v>0.13346917042725157</v>
      </c>
      <c r="P75">
        <v>17.054970227375733</v>
      </c>
      <c r="Q75">
        <v>12.473761748899449</v>
      </c>
      <c r="R75">
        <v>0.33746219263323463</v>
      </c>
      <c r="S75">
        <v>0.13377465574086159</v>
      </c>
      <c r="T75">
        <v>17.055001402726447</v>
      </c>
      <c r="U75">
        <v>1505.2455400013218</v>
      </c>
      <c r="V75">
        <v>9.7068383569709855</v>
      </c>
      <c r="W75">
        <v>1264.1066462574299</v>
      </c>
      <c r="X75">
        <v>6.9893515714259182</v>
      </c>
      <c r="Y75">
        <v>2868.4978028347687</v>
      </c>
      <c r="Z75">
        <v>9.7483071794997009</v>
      </c>
      <c r="AA75">
        <v>2711.92845148281</v>
      </c>
      <c r="AB75">
        <v>7.0134056609499433</v>
      </c>
      <c r="AC75">
        <v>2207.409164998443</v>
      </c>
      <c r="AD75">
        <v>9.7288925270046178</v>
      </c>
      <c r="AE75">
        <v>2010.282050550667</v>
      </c>
      <c r="AF75">
        <v>7.0021541204755975</v>
      </c>
      <c r="AG75">
        <v>2091.9775679688287</v>
      </c>
      <c r="AH75">
        <v>9.7286692177720688</v>
      </c>
      <c r="AI75">
        <v>1884.9646048992377</v>
      </c>
      <c r="AJ75">
        <v>7.0020246025168609</v>
      </c>
    </row>
    <row r="76" spans="4:36" x14ac:dyDescent="0.45">
      <c r="D76">
        <v>69</v>
      </c>
      <c r="E76">
        <v>13.823048349227697</v>
      </c>
      <c r="F76">
        <v>0.51073649393097198</v>
      </c>
      <c r="G76">
        <v>0.1860417847682769</v>
      </c>
      <c r="H76">
        <v>15.480173372073043</v>
      </c>
      <c r="I76">
        <v>14.09618944556993</v>
      </c>
      <c r="J76">
        <v>0.31995831802302432</v>
      </c>
      <c r="K76">
        <v>0.11612631373706307</v>
      </c>
      <c r="L76">
        <v>15.467725922669993</v>
      </c>
      <c r="M76">
        <v>13.95503188131921</v>
      </c>
      <c r="N76">
        <v>0.41860655591341894</v>
      </c>
      <c r="O76">
        <v>0.15221401108385885</v>
      </c>
      <c r="P76">
        <v>15.474147551683503</v>
      </c>
      <c r="Q76">
        <v>13.908025495734165</v>
      </c>
      <c r="R76">
        <v>0.45143088050327312</v>
      </c>
      <c r="S76">
        <v>0.16425235937583385</v>
      </c>
      <c r="T76">
        <v>15.476291264386729</v>
      </c>
      <c r="U76">
        <v>1648.8129102886114</v>
      </c>
      <c r="V76">
        <v>10.944352375822382</v>
      </c>
      <c r="W76">
        <v>1347.883043145994</v>
      </c>
      <c r="X76">
        <v>7.7066628210214718</v>
      </c>
      <c r="Y76">
        <v>2941.5949257489187</v>
      </c>
      <c r="Z76">
        <v>11.001343903999842</v>
      </c>
      <c r="AA76">
        <v>2752.9799451618169</v>
      </c>
      <c r="AB76">
        <v>7.7384206311166661</v>
      </c>
      <c r="AC76">
        <v>2282.0271636693587</v>
      </c>
      <c r="AD76">
        <v>10.971898723314274</v>
      </c>
      <c r="AE76">
        <v>2048.2767948841092</v>
      </c>
      <c r="AF76">
        <v>7.7220259364742869</v>
      </c>
      <c r="AG76">
        <v>2210.9073937836761</v>
      </c>
      <c r="AH76">
        <v>10.962089654578977</v>
      </c>
      <c r="AI76">
        <v>1951.4630603120611</v>
      </c>
      <c r="AJ76">
        <v>7.716558100350543</v>
      </c>
    </row>
    <row r="77" spans="4:36" x14ac:dyDescent="0.45">
      <c r="D77">
        <v>70</v>
      </c>
      <c r="E77">
        <v>12.685908256466607</v>
      </c>
      <c r="F77">
        <v>0.47114642126356254</v>
      </c>
      <c r="G77">
        <v>0.13556681474431351</v>
      </c>
      <c r="H77">
        <v>16.707378507525519</v>
      </c>
      <c r="I77">
        <v>12.879992488862777</v>
      </c>
      <c r="J77">
        <v>0.32280813707849415</v>
      </c>
      <c r="K77">
        <v>9.2639318912136295E-2</v>
      </c>
      <c r="L77">
        <v>16.70456005514659</v>
      </c>
      <c r="M77">
        <v>12.825998504384383</v>
      </c>
      <c r="N77">
        <v>0.36409532052465532</v>
      </c>
      <c r="O77">
        <v>0.10456432354412837</v>
      </c>
      <c r="P77">
        <v>16.705341851546819</v>
      </c>
      <c r="Q77">
        <v>12.757186699757401</v>
      </c>
      <c r="R77">
        <v>0.41669122724647739</v>
      </c>
      <c r="S77">
        <v>0.11978131887526827</v>
      </c>
      <c r="T77">
        <v>16.706340754120838</v>
      </c>
      <c r="U77">
        <v>1546.6096516848359</v>
      </c>
      <c r="V77">
        <v>10.033213961156983</v>
      </c>
      <c r="W77">
        <v>1287.9857071655988</v>
      </c>
      <c r="X77">
        <v>7.1868603587937585</v>
      </c>
      <c r="Y77">
        <v>2898.7984423234589</v>
      </c>
      <c r="Z77">
        <v>10.070075140869299</v>
      </c>
      <c r="AA77">
        <v>2728.8031619176659</v>
      </c>
      <c r="AB77">
        <v>7.2079801697240091</v>
      </c>
      <c r="AC77">
        <v>2214.8553918362968</v>
      </c>
      <c r="AD77">
        <v>10.059821941457802</v>
      </c>
      <c r="AE77">
        <v>2012.3216438291947</v>
      </c>
      <c r="AF77">
        <v>7.2021116493346247</v>
      </c>
      <c r="AG77">
        <v>2141.719893343899</v>
      </c>
      <c r="AH77">
        <v>10.046753200909828</v>
      </c>
      <c r="AI77">
        <v>1913.534484436595</v>
      </c>
      <c r="AJ77">
        <v>7.1946248269631781</v>
      </c>
    </row>
    <row r="78" spans="4:36" x14ac:dyDescent="0.45">
      <c r="D78">
        <v>71</v>
      </c>
      <c r="E78">
        <v>11.797637020900307</v>
      </c>
      <c r="F78">
        <v>0.45983907305756083</v>
      </c>
      <c r="G78">
        <v>0.15843200763695109</v>
      </c>
      <c r="H78">
        <v>17.584091898405177</v>
      </c>
      <c r="I78">
        <v>12.033780757216167</v>
      </c>
      <c r="J78">
        <v>0.27390825963618531</v>
      </c>
      <c r="K78">
        <v>9.4021520470701253E-2</v>
      </c>
      <c r="L78">
        <v>17.59828946267697</v>
      </c>
      <c r="M78">
        <v>11.94222268348244</v>
      </c>
      <c r="N78">
        <v>0.34603071137675456</v>
      </c>
      <c r="O78">
        <v>0.1189487315174924</v>
      </c>
      <c r="P78">
        <v>17.592797873623301</v>
      </c>
      <c r="Q78">
        <v>11.913223246520674</v>
      </c>
      <c r="R78">
        <v>0.36886556818974764</v>
      </c>
      <c r="S78">
        <v>0.12685612404656682</v>
      </c>
      <c r="T78">
        <v>17.591055061243004</v>
      </c>
      <c r="U78">
        <v>1500.9706577319514</v>
      </c>
      <c r="V78">
        <v>9.3564258496177857</v>
      </c>
      <c r="W78">
        <v>1262.4444669058262</v>
      </c>
      <c r="X78">
        <v>6.7911845149628514</v>
      </c>
      <c r="Y78">
        <v>2836.5702817227066</v>
      </c>
      <c r="Z78">
        <v>9.391149642220384</v>
      </c>
      <c r="AA78">
        <v>2691.6677919629306</v>
      </c>
      <c r="AB78">
        <v>6.8124185249686322</v>
      </c>
      <c r="AC78">
        <v>2168.7275629109736</v>
      </c>
      <c r="AD78">
        <v>9.377677934147572</v>
      </c>
      <c r="AE78">
        <v>1985.4732574083203</v>
      </c>
      <c r="AF78">
        <v>6.8041930791763008</v>
      </c>
      <c r="AG78">
        <v>2075.7449763314994</v>
      </c>
      <c r="AH78">
        <v>9.373413246844148</v>
      </c>
      <c r="AI78">
        <v>1875.0897345365963</v>
      </c>
      <c r="AJ78">
        <v>6.801585857388325</v>
      </c>
    </row>
    <row r="79" spans="4:36" x14ac:dyDescent="0.45">
      <c r="D79">
        <v>72</v>
      </c>
      <c r="E79">
        <v>12.745530397036621</v>
      </c>
      <c r="F79">
        <v>0.45319184990365952</v>
      </c>
      <c r="G79">
        <v>0.18539983390918383</v>
      </c>
      <c r="H79">
        <v>16.615877919150531</v>
      </c>
      <c r="I79">
        <v>12.964806882467769</v>
      </c>
      <c r="J79">
        <v>0.29423060919913718</v>
      </c>
      <c r="K79">
        <v>0.12000305352077395</v>
      </c>
      <c r="L79">
        <v>16.620959454812315</v>
      </c>
      <c r="M79">
        <v>12.88944536261414</v>
      </c>
      <c r="N79">
        <v>0.34889449953781121</v>
      </c>
      <c r="O79">
        <v>0.14244627582690889</v>
      </c>
      <c r="P79">
        <v>16.619213862021144</v>
      </c>
      <c r="Q79">
        <v>12.814313448248177</v>
      </c>
      <c r="R79">
        <v>0.40335890620724102</v>
      </c>
      <c r="S79">
        <v>0.16485493656981753</v>
      </c>
      <c r="T79">
        <v>16.617472708974777</v>
      </c>
      <c r="U79">
        <v>1554.3959859982249</v>
      </c>
      <c r="V79">
        <v>10.077103204068102</v>
      </c>
      <c r="W79">
        <v>1290.4372933445509</v>
      </c>
      <c r="X79">
        <v>7.2084968880633165</v>
      </c>
      <c r="Y79">
        <v>2896.8938362095359</v>
      </c>
      <c r="Z79">
        <v>10.113569564807591</v>
      </c>
      <c r="AA79">
        <v>2726.6658053628571</v>
      </c>
      <c r="AB79">
        <v>7.2295837520400328</v>
      </c>
      <c r="AC79">
        <v>2254.5330363136409</v>
      </c>
      <c r="AD79">
        <v>10.101036910510484</v>
      </c>
      <c r="AE79">
        <v>2038.5285385851564</v>
      </c>
      <c r="AF79">
        <v>7.2223447118641682</v>
      </c>
      <c r="AG79">
        <v>2137.5759132695252</v>
      </c>
      <c r="AH79">
        <v>10.088542232337783</v>
      </c>
      <c r="AI79">
        <v>1907.5580398799154</v>
      </c>
      <c r="AJ79">
        <v>7.2151192590919031</v>
      </c>
    </row>
    <row r="80" spans="4:36" x14ac:dyDescent="0.45">
      <c r="D80">
        <v>73</v>
      </c>
      <c r="E80">
        <v>12.438183833401057</v>
      </c>
      <c r="F80">
        <v>0.44095435802348121</v>
      </c>
      <c r="G80">
        <v>0.16505201832873911</v>
      </c>
      <c r="H80">
        <v>16.955809790246715</v>
      </c>
      <c r="I80">
        <v>12.60933257883066</v>
      </c>
      <c r="J80">
        <v>0.31099968254660743</v>
      </c>
      <c r="K80">
        <v>0.11612036587058359</v>
      </c>
      <c r="L80">
        <v>16.963547372752149</v>
      </c>
      <c r="M80">
        <v>12.53466435639878</v>
      </c>
      <c r="N80">
        <v>0.3677151878280942</v>
      </c>
      <c r="O80">
        <v>0.13744506719162158</v>
      </c>
      <c r="P80">
        <v>16.960175388581508</v>
      </c>
      <c r="Q80">
        <v>12.514621354115238</v>
      </c>
      <c r="R80">
        <v>0.38293411656681114</v>
      </c>
      <c r="S80">
        <v>0.14317525750966503</v>
      </c>
      <c r="T80">
        <v>16.959269271808274</v>
      </c>
      <c r="U80">
        <v>1523.8783342704537</v>
      </c>
      <c r="V80">
        <v>9.8785484287981049</v>
      </c>
      <c r="W80">
        <v>1274.3998377624723</v>
      </c>
      <c r="X80">
        <v>7.1017300626954052</v>
      </c>
      <c r="Y80">
        <v>2911.0742004628478</v>
      </c>
      <c r="Z80">
        <v>9.9063583998575986</v>
      </c>
      <c r="AA80">
        <v>2738.8850415557763</v>
      </c>
      <c r="AB80">
        <v>7.1181370438749036</v>
      </c>
      <c r="AC80">
        <v>2227.7971978801756</v>
      </c>
      <c r="AD80">
        <v>9.8942238295188432</v>
      </c>
      <c r="AE80">
        <v>2021.8502335313799</v>
      </c>
      <c r="AF80">
        <v>7.1109840405548042</v>
      </c>
      <c r="AG80">
        <v>2096.6782905021673</v>
      </c>
      <c r="AH80">
        <v>9.8909670309448909</v>
      </c>
      <c r="AI80">
        <v>1884.0466499232532</v>
      </c>
      <c r="AJ80">
        <v>7.1090626701256658</v>
      </c>
    </row>
    <row r="81" spans="4:36" x14ac:dyDescent="0.45">
      <c r="D81">
        <v>74</v>
      </c>
      <c r="E81">
        <v>12.268145825327913</v>
      </c>
      <c r="F81">
        <v>0.41433031680949145</v>
      </c>
      <c r="G81">
        <v>0.16610545587436018</v>
      </c>
      <c r="H81">
        <v>17.151418401988245</v>
      </c>
      <c r="I81">
        <v>12.443903088582969</v>
      </c>
      <c r="J81">
        <v>0.285718379426805</v>
      </c>
      <c r="K81">
        <v>0.11424677131247413</v>
      </c>
      <c r="L81">
        <v>17.156131760677766</v>
      </c>
      <c r="M81">
        <v>12.373697919616403</v>
      </c>
      <c r="N81">
        <v>0.33711338160696019</v>
      </c>
      <c r="O81">
        <v>0.13493733028656302</v>
      </c>
      <c r="P81">
        <v>17.154251368490069</v>
      </c>
      <c r="Q81">
        <v>12.319490702424421</v>
      </c>
      <c r="R81">
        <v>0.37677703085561653</v>
      </c>
      <c r="S81">
        <v>0.15093491403815784</v>
      </c>
      <c r="T81">
        <v>17.152797352681798</v>
      </c>
      <c r="U81">
        <v>1521.9360545106554</v>
      </c>
      <c r="V81">
        <v>9.6943734100481844</v>
      </c>
      <c r="W81">
        <v>1275.593505909103</v>
      </c>
      <c r="X81">
        <v>6.9893079943601872</v>
      </c>
      <c r="Y81">
        <v>2867.8963677115216</v>
      </c>
      <c r="Z81">
        <v>9.7240472654995092</v>
      </c>
      <c r="AA81">
        <v>2709.9565129161933</v>
      </c>
      <c r="AB81">
        <v>7.0068565669093239</v>
      </c>
      <c r="AC81">
        <v>2195.5890859620322</v>
      </c>
      <c r="AD81">
        <v>9.7121924202933005</v>
      </c>
      <c r="AE81">
        <v>2001.3307358794896</v>
      </c>
      <c r="AF81">
        <v>6.9998523756632576</v>
      </c>
      <c r="AG81">
        <v>2084.3872541054325</v>
      </c>
      <c r="AH81">
        <v>9.7030406281957156</v>
      </c>
      <c r="AI81">
        <v>1876.0051192370624</v>
      </c>
      <c r="AJ81">
        <v>6.9944392852832555</v>
      </c>
    </row>
    <row r="82" spans="4:36" x14ac:dyDescent="0.45">
      <c r="D82">
        <v>75</v>
      </c>
      <c r="E82">
        <v>13.68010602370866</v>
      </c>
      <c r="F82">
        <v>0.52248277927873432</v>
      </c>
      <c r="G82">
        <v>0.19784503757826402</v>
      </c>
      <c r="H82">
        <v>15.599566159434357</v>
      </c>
      <c r="I82">
        <v>13.948533897864827</v>
      </c>
      <c r="J82">
        <v>0.3275292048903054</v>
      </c>
      <c r="K82">
        <v>0.12356964329715991</v>
      </c>
      <c r="L82">
        <v>15.60036725394772</v>
      </c>
      <c r="M82">
        <v>13.850009952304198</v>
      </c>
      <c r="N82">
        <v>0.39913160877277709</v>
      </c>
      <c r="O82">
        <v>0.15078527202620065</v>
      </c>
      <c r="P82">
        <v>15.600073166896829</v>
      </c>
      <c r="Q82">
        <v>13.777681278885693</v>
      </c>
      <c r="R82">
        <v>0.45166234249198484</v>
      </c>
      <c r="S82">
        <v>0.17079906949690843</v>
      </c>
      <c r="T82">
        <v>15.599857309125408</v>
      </c>
      <c r="U82">
        <v>1617.0854275804281</v>
      </c>
      <c r="V82">
        <v>10.768083827870527</v>
      </c>
      <c r="W82">
        <v>1321.878531806886</v>
      </c>
      <c r="X82">
        <v>7.5938808491024083</v>
      </c>
      <c r="Y82">
        <v>2970.6064733114094</v>
      </c>
      <c r="Z82">
        <v>10.816130486426372</v>
      </c>
      <c r="AA82">
        <v>2771.3757253625568</v>
      </c>
      <c r="AB82">
        <v>7.6212640069151822</v>
      </c>
      <c r="AC82">
        <v>2292.3202643943446</v>
      </c>
      <c r="AD82">
        <v>10.798495538179905</v>
      </c>
      <c r="AE82">
        <v>2055.0449309610526</v>
      </c>
      <c r="AF82">
        <v>7.6112251562752808</v>
      </c>
      <c r="AG82">
        <v>2202.7069264872998</v>
      </c>
      <c r="AH82">
        <v>10.785549226067236</v>
      </c>
      <c r="AI82">
        <v>1943.3834322655002</v>
      </c>
      <c r="AJ82">
        <v>7.6038466727390643</v>
      </c>
    </row>
    <row r="83" spans="4:36" x14ac:dyDescent="0.45">
      <c r="D83">
        <v>76</v>
      </c>
      <c r="E83">
        <v>15.241020613246643</v>
      </c>
      <c r="F83">
        <v>0.51158045484217962</v>
      </c>
      <c r="G83">
        <v>0.19184100614524555</v>
      </c>
      <c r="H83">
        <v>14.055557925765916</v>
      </c>
      <c r="I83">
        <v>15.49898111336093</v>
      </c>
      <c r="J83">
        <v>0.35222884012661154</v>
      </c>
      <c r="K83">
        <v>0.13165045556512872</v>
      </c>
      <c r="L83">
        <v>14.01713959094732</v>
      </c>
      <c r="M83">
        <v>15.418854359950437</v>
      </c>
      <c r="N83">
        <v>0.40177230967855604</v>
      </c>
      <c r="O83">
        <v>0.15032090784640537</v>
      </c>
      <c r="P83">
        <v>14.029052422524607</v>
      </c>
      <c r="Q83">
        <v>15.358906600815363</v>
      </c>
      <c r="R83">
        <v>0.43881167423298134</v>
      </c>
      <c r="S83">
        <v>0.16430452598355227</v>
      </c>
      <c r="T83">
        <v>14.037977198968093</v>
      </c>
      <c r="U83">
        <v>1736.9171278860201</v>
      </c>
      <c r="V83">
        <v>11.975666244407259</v>
      </c>
      <c r="W83">
        <v>1400.5668232214061</v>
      </c>
      <c r="X83">
        <v>8.281104220809457</v>
      </c>
      <c r="Y83">
        <v>3002.4551248179591</v>
      </c>
      <c r="Z83">
        <v>12.046005217198815</v>
      </c>
      <c r="AA83">
        <v>2787.6909333638214</v>
      </c>
      <c r="AB83">
        <v>8.3190854194715449</v>
      </c>
      <c r="AC83">
        <v>2335.9110944322051</v>
      </c>
      <c r="AD83">
        <v>12.02416849857855</v>
      </c>
      <c r="AE83">
        <v>2080.3973142900099</v>
      </c>
      <c r="AF83">
        <v>8.3073043603219787</v>
      </c>
      <c r="AG83">
        <v>2256.9538850846202</v>
      </c>
      <c r="AH83">
        <v>12.007824225611714</v>
      </c>
      <c r="AI83">
        <v>1977.0271634915521</v>
      </c>
      <c r="AJ83">
        <v>8.2984805304101386</v>
      </c>
    </row>
    <row r="84" spans="4:36" x14ac:dyDescent="0.45">
      <c r="D84">
        <v>77</v>
      </c>
      <c r="E84">
        <v>11.22013209505646</v>
      </c>
      <c r="F84">
        <v>0.38690840801824755</v>
      </c>
      <c r="G84">
        <v>0.166324003519493</v>
      </c>
      <c r="H84">
        <v>18.226635493405805</v>
      </c>
      <c r="I84">
        <v>11.419650968711311</v>
      </c>
      <c r="J84">
        <v>0.24015994077534966</v>
      </c>
      <c r="K84">
        <v>0.10289532593127335</v>
      </c>
      <c r="L84">
        <v>18.237293764582059</v>
      </c>
      <c r="M84">
        <v>11.35662907018737</v>
      </c>
      <c r="N84">
        <v>0.28653943224818929</v>
      </c>
      <c r="O84">
        <v>0.12289545536820758</v>
      </c>
      <c r="P84">
        <v>18.233936042196241</v>
      </c>
      <c r="Q84">
        <v>11.283241713664873</v>
      </c>
      <c r="R84">
        <v>0.34051678435396898</v>
      </c>
      <c r="S84">
        <v>0.14622576532588097</v>
      </c>
      <c r="T84">
        <v>18.230015736655275</v>
      </c>
      <c r="U84">
        <v>1492.0444714411999</v>
      </c>
      <c r="V84">
        <v>8.9496541289814253</v>
      </c>
      <c r="W84">
        <v>1260.119794966583</v>
      </c>
      <c r="X84">
        <v>6.5639177320214532</v>
      </c>
      <c r="Y84">
        <v>2840.1741608154762</v>
      </c>
      <c r="Z84">
        <v>8.9817169480479002</v>
      </c>
      <c r="AA84">
        <v>2696.0368186206592</v>
      </c>
      <c r="AB84">
        <v>6.5836261075214235</v>
      </c>
      <c r="AC84">
        <v>2155.8549626494391</v>
      </c>
      <c r="AD84">
        <v>8.9715838549564566</v>
      </c>
      <c r="AE84">
        <v>1979.7514291654604</v>
      </c>
      <c r="AF84">
        <v>6.5774070118486172</v>
      </c>
      <c r="AG84">
        <v>2065.6971622182732</v>
      </c>
      <c r="AH84">
        <v>8.9597904342259049</v>
      </c>
      <c r="AI84">
        <v>1868.5378209705436</v>
      </c>
      <c r="AJ84">
        <v>6.5701578736343675</v>
      </c>
    </row>
    <row r="85" spans="4:36" x14ac:dyDescent="0.45">
      <c r="D85">
        <v>78</v>
      </c>
      <c r="E85">
        <v>12.996200270414372</v>
      </c>
      <c r="F85">
        <v>0.49627597043208022</v>
      </c>
      <c r="G85">
        <v>0.15232487976763112</v>
      </c>
      <c r="H85">
        <v>16.355198879385913</v>
      </c>
      <c r="I85">
        <v>13.244055161637096</v>
      </c>
      <c r="J85">
        <v>0.31802696157619437</v>
      </c>
      <c r="K85">
        <v>9.7277098468756332E-2</v>
      </c>
      <c r="L85">
        <v>16.340640778317955</v>
      </c>
      <c r="M85">
        <v>13.162379715523043</v>
      </c>
      <c r="N85">
        <v>0.37680502400610633</v>
      </c>
      <c r="O85">
        <v>0.11538659019440049</v>
      </c>
      <c r="P85">
        <v>16.345428670276462</v>
      </c>
      <c r="Q85">
        <v>13.118774650160374</v>
      </c>
      <c r="R85">
        <v>0.40816963732535988</v>
      </c>
      <c r="S85">
        <v>0.12506709440272579</v>
      </c>
      <c r="T85">
        <v>16.347988618111536</v>
      </c>
      <c r="U85">
        <v>1594.5689319026881</v>
      </c>
      <c r="V85">
        <v>10.244978854844529</v>
      </c>
      <c r="W85">
        <v>1319.1644219554071</v>
      </c>
      <c r="X85">
        <v>7.3026950706440124</v>
      </c>
      <c r="Y85">
        <v>2941.7390026995472</v>
      </c>
      <c r="Z85">
        <v>10.298509844248626</v>
      </c>
      <c r="AA85">
        <v>2758.8958327916639</v>
      </c>
      <c r="AB85">
        <v>7.3328915662871408</v>
      </c>
      <c r="AC85">
        <v>2233.314476041965</v>
      </c>
      <c r="AD85">
        <v>10.280875591969608</v>
      </c>
      <c r="AE85">
        <v>2023.418453479964</v>
      </c>
      <c r="AF85">
        <v>7.3229554392452645</v>
      </c>
      <c r="AG85">
        <v>2154.3869676114282</v>
      </c>
      <c r="AH85">
        <v>10.271458664451176</v>
      </c>
      <c r="AI85">
        <v>1921.8583675983059</v>
      </c>
      <c r="AJ85">
        <v>7.3176449126347602</v>
      </c>
    </row>
    <row r="86" spans="4:36" x14ac:dyDescent="0.45">
      <c r="D86">
        <v>79</v>
      </c>
      <c r="E86">
        <v>12.851302339869497</v>
      </c>
      <c r="F86">
        <v>0.48289966061366713</v>
      </c>
      <c r="G86">
        <v>0.16580380075778417</v>
      </c>
      <c r="H86">
        <v>16.499994198759044</v>
      </c>
      <c r="I86">
        <v>13.099954118217155</v>
      </c>
      <c r="J86">
        <v>0.29959833993192109</v>
      </c>
      <c r="K86">
        <v>0.10248981940340493</v>
      </c>
      <c r="L86">
        <v>16.497957722447527</v>
      </c>
      <c r="M86">
        <v>12.990583476131597</v>
      </c>
      <c r="N86">
        <v>0.38026705136721695</v>
      </c>
      <c r="O86">
        <v>0.13029536263449829</v>
      </c>
      <c r="P86">
        <v>16.498854109866681</v>
      </c>
      <c r="Q86">
        <v>12.967622376553745</v>
      </c>
      <c r="R86">
        <v>0.39719401701940038</v>
      </c>
      <c r="S86">
        <v>0.13614143553773958</v>
      </c>
      <c r="T86">
        <v>16.499042170889105</v>
      </c>
      <c r="U86">
        <v>1588.0659529471957</v>
      </c>
      <c r="V86">
        <v>10.169560292912895</v>
      </c>
      <c r="W86">
        <v>1313.5619080785268</v>
      </c>
      <c r="X86">
        <v>7.2622748190182582</v>
      </c>
      <c r="Y86">
        <v>2893.857559766654</v>
      </c>
      <c r="Z86">
        <v>10.21575572403016</v>
      </c>
      <c r="AA86">
        <v>2724.8416303971771</v>
      </c>
      <c r="AB86">
        <v>7.2890302010880115</v>
      </c>
      <c r="AC86">
        <v>2253.7479094376622</v>
      </c>
      <c r="AD86">
        <v>10.195435196476586</v>
      </c>
      <c r="AE86">
        <v>2036.3840886264084</v>
      </c>
      <c r="AF86">
        <v>7.2772738689306458</v>
      </c>
      <c r="AG86">
        <v>2128.8114330478015</v>
      </c>
      <c r="AH86">
        <v>10.191169385331266</v>
      </c>
      <c r="AI86">
        <v>1902.797955528383</v>
      </c>
      <c r="AJ86">
        <v>7.2748033530087088</v>
      </c>
    </row>
    <row r="87" spans="4:36" x14ac:dyDescent="0.45">
      <c r="D87">
        <v>80</v>
      </c>
      <c r="E87">
        <v>14.83198028377422</v>
      </c>
      <c r="F87">
        <v>0.52046111573987286</v>
      </c>
      <c r="G87">
        <v>0.18295755042920969</v>
      </c>
      <c r="H87">
        <v>14.464601050056695</v>
      </c>
      <c r="I87">
        <v>15.115872952219553</v>
      </c>
      <c r="J87">
        <v>0.33755797300379409</v>
      </c>
      <c r="K87">
        <v>0.11822257557044567</v>
      </c>
      <c r="L87">
        <v>14.428346499206214</v>
      </c>
      <c r="M87">
        <v>14.942199515982331</v>
      </c>
      <c r="N87">
        <v>0.44951099618718909</v>
      </c>
      <c r="O87">
        <v>0.15778805170075907</v>
      </c>
      <c r="P87">
        <v>14.450501436129727</v>
      </c>
      <c r="Q87">
        <v>14.968470609956269</v>
      </c>
      <c r="R87">
        <v>0.43258839748335604</v>
      </c>
      <c r="S87">
        <v>0.15179571549628421</v>
      </c>
      <c r="T87">
        <v>14.447145277064083</v>
      </c>
      <c r="U87">
        <v>1682.0577957085604</v>
      </c>
      <c r="V87">
        <v>11.639069807212113</v>
      </c>
      <c r="W87">
        <v>1364.0219379340592</v>
      </c>
      <c r="X87">
        <v>8.0892322608646481</v>
      </c>
      <c r="Y87">
        <v>2988.0080815267424</v>
      </c>
      <c r="Z87">
        <v>11.712836555500072</v>
      </c>
      <c r="AA87">
        <v>2780.092874740355</v>
      </c>
      <c r="AB87">
        <v>8.1293815240153009</v>
      </c>
      <c r="AC87">
        <v>2368.9351557047708</v>
      </c>
      <c r="AD87">
        <v>11.667723010134518</v>
      </c>
      <c r="AE87">
        <v>2102.0231272567689</v>
      </c>
      <c r="AF87">
        <v>8.1048414814361749</v>
      </c>
      <c r="AG87">
        <v>2249.8849567095463</v>
      </c>
      <c r="AH87">
        <v>11.674549990405062</v>
      </c>
      <c r="AI87">
        <v>1974.4736208055988</v>
      </c>
      <c r="AJ87">
        <v>8.1085579246509045</v>
      </c>
    </row>
    <row r="88" spans="4:36" x14ac:dyDescent="0.45">
      <c r="D88">
        <v>81</v>
      </c>
      <c r="E88">
        <v>13.557429999677153</v>
      </c>
      <c r="F88">
        <v>0.47563684789935518</v>
      </c>
      <c r="G88">
        <v>0.2036486318617175</v>
      </c>
      <c r="H88">
        <v>15.763284520561768</v>
      </c>
      <c r="I88">
        <v>13.781792329693163</v>
      </c>
      <c r="J88">
        <v>0.32203020047244257</v>
      </c>
      <c r="K88">
        <v>0.13743823110258085</v>
      </c>
      <c r="L88">
        <v>15.758739238731804</v>
      </c>
      <c r="M88">
        <v>13.704882372535939</v>
      </c>
      <c r="N88">
        <v>0.37472076170727858</v>
      </c>
      <c r="O88">
        <v>0.1601012462876138</v>
      </c>
      <c r="P88">
        <v>15.760295619469188</v>
      </c>
      <c r="Q88">
        <v>13.625941230270797</v>
      </c>
      <c r="R88">
        <v>0.42876478320300671</v>
      </c>
      <c r="S88">
        <v>0.18339902829647534</v>
      </c>
      <c r="T88">
        <v>15.761894958229723</v>
      </c>
      <c r="U88">
        <v>1585.4916895341642</v>
      </c>
      <c r="V88">
        <v>10.771152093088254</v>
      </c>
      <c r="W88">
        <v>1305.6077986010368</v>
      </c>
      <c r="X88">
        <v>7.6135471238727588</v>
      </c>
      <c r="Y88">
        <v>2958.5122472899761</v>
      </c>
      <c r="Z88">
        <v>10.81725646057591</v>
      </c>
      <c r="AA88">
        <v>2764.8667509948086</v>
      </c>
      <c r="AB88">
        <v>7.639798318477629</v>
      </c>
      <c r="AC88">
        <v>2288.9901741966346</v>
      </c>
      <c r="AD88">
        <v>10.801452799580511</v>
      </c>
      <c r="AE88">
        <v>2056.5890941564949</v>
      </c>
      <c r="AF88">
        <v>7.6308091698839906</v>
      </c>
      <c r="AG88">
        <v>2180.5069011118776</v>
      </c>
      <c r="AH88">
        <v>10.785231095723891</v>
      </c>
      <c r="AI88">
        <v>1931.6250465485805</v>
      </c>
      <c r="AJ88">
        <v>7.6215722440444402</v>
      </c>
    </row>
    <row r="89" spans="4:36" x14ac:dyDescent="0.45">
      <c r="D89">
        <v>82</v>
      </c>
      <c r="E89">
        <v>11.684158367776064</v>
      </c>
      <c r="F89">
        <v>0.424304846961649</v>
      </c>
      <c r="G89">
        <v>0.15801483753647566</v>
      </c>
      <c r="H89">
        <v>17.733521947725805</v>
      </c>
      <c r="I89">
        <v>11.856645002613677</v>
      </c>
      <c r="J89">
        <v>0.28742492618483373</v>
      </c>
      <c r="K89">
        <v>0.10675118372498911</v>
      </c>
      <c r="L89">
        <v>17.749178887476493</v>
      </c>
      <c r="M89">
        <v>11.759972161354153</v>
      </c>
      <c r="N89">
        <v>0.36415940797009161</v>
      </c>
      <c r="O89">
        <v>0.13545490442543351</v>
      </c>
      <c r="P89">
        <v>17.7404135262503</v>
      </c>
      <c r="Q89">
        <v>11.743513889182449</v>
      </c>
      <c r="R89">
        <v>0.37721867405996534</v>
      </c>
      <c r="S89">
        <v>0.14034867554033809</v>
      </c>
      <c r="T89">
        <v>17.738918761217249</v>
      </c>
      <c r="U89">
        <v>1491.4056251659549</v>
      </c>
      <c r="V89">
        <v>9.2786955734513512</v>
      </c>
      <c r="W89">
        <v>1258.8668090485553</v>
      </c>
      <c r="X89">
        <v>6.7503922404025465</v>
      </c>
      <c r="Y89">
        <v>2857.2057676645813</v>
      </c>
      <c r="Z89">
        <v>9.3019867554737257</v>
      </c>
      <c r="AA89">
        <v>2706.1170797363984</v>
      </c>
      <c r="AB89">
        <v>6.764801076151727</v>
      </c>
      <c r="AC89">
        <v>2196.8091141508703</v>
      </c>
      <c r="AD89">
        <v>9.2889275660114059</v>
      </c>
      <c r="AE89">
        <v>2005.1728024533772</v>
      </c>
      <c r="AF89">
        <v>6.7567290417009493</v>
      </c>
      <c r="AG89">
        <v>2065.8906469785202</v>
      </c>
      <c r="AH89">
        <v>9.2867056149561957</v>
      </c>
      <c r="AI89">
        <v>1867.8607053710446</v>
      </c>
      <c r="AJ89">
        <v>6.7553538834312379</v>
      </c>
    </row>
    <row r="90" spans="4:36" x14ac:dyDescent="0.45">
      <c r="D90">
        <v>83</v>
      </c>
      <c r="E90">
        <v>12.293936877848875</v>
      </c>
      <c r="F90">
        <v>0.45701388008756066</v>
      </c>
      <c r="G90">
        <v>0.15601721732677493</v>
      </c>
      <c r="H90">
        <v>17.093032024736772</v>
      </c>
      <c r="I90">
        <v>12.545170859403196</v>
      </c>
      <c r="J90">
        <v>0.27447742382075757</v>
      </c>
      <c r="K90">
        <v>9.3340741363278218E-2</v>
      </c>
      <c r="L90">
        <v>17.087010975412767</v>
      </c>
      <c r="M90">
        <v>12.445058761353259</v>
      </c>
      <c r="N90">
        <v>0.347259766900612</v>
      </c>
      <c r="O90">
        <v>0.11827271675046906</v>
      </c>
      <c r="P90">
        <v>17.089408754995659</v>
      </c>
      <c r="Q90">
        <v>12.388294528288862</v>
      </c>
      <c r="R90">
        <v>0.38850148502271614</v>
      </c>
      <c r="S90">
        <v>0.13243479381251155</v>
      </c>
      <c r="T90">
        <v>17.0907691928759</v>
      </c>
      <c r="U90">
        <v>1538.2846018235784</v>
      </c>
      <c r="V90">
        <v>9.7656707335896247</v>
      </c>
      <c r="W90">
        <v>1285.0678703362287</v>
      </c>
      <c r="X90">
        <v>7.0363028906053593</v>
      </c>
      <c r="Y90">
        <v>2874.2397913041264</v>
      </c>
      <c r="Z90">
        <v>9.8155954582568317</v>
      </c>
      <c r="AA90">
        <v>2716.0119613800448</v>
      </c>
      <c r="AB90">
        <v>7.0652263258268224</v>
      </c>
      <c r="AC90">
        <v>2200.7247017804198</v>
      </c>
      <c r="AD90">
        <v>9.795702460744188</v>
      </c>
      <c r="AE90">
        <v>2004.9491393223877</v>
      </c>
      <c r="AF90">
        <v>7.0537155950845607</v>
      </c>
      <c r="AG90">
        <v>2127.0392642220277</v>
      </c>
      <c r="AH90">
        <v>9.7844223609467438</v>
      </c>
      <c r="AI90">
        <v>1906.8089923885248</v>
      </c>
      <c r="AJ90">
        <v>7.0471803053132298</v>
      </c>
    </row>
    <row r="91" spans="4:36" x14ac:dyDescent="0.45">
      <c r="D91">
        <v>84</v>
      </c>
      <c r="E91">
        <v>12.9289923039654</v>
      </c>
      <c r="F91">
        <v>0.44337444253403469</v>
      </c>
      <c r="G91">
        <v>0.1475946807875376</v>
      </c>
      <c r="H91">
        <v>16.480038572713017</v>
      </c>
      <c r="I91">
        <v>13.147222675133829</v>
      </c>
      <c r="J91">
        <v>0.28783953770625376</v>
      </c>
      <c r="K91">
        <v>9.5521425975987714E-2</v>
      </c>
      <c r="L91">
        <v>16.469416361183928</v>
      </c>
      <c r="M91">
        <v>13.023516587891212</v>
      </c>
      <c r="N91">
        <v>0.37604106920468972</v>
      </c>
      <c r="O91">
        <v>0.12501104893784074</v>
      </c>
      <c r="P91">
        <v>16.475431293966263</v>
      </c>
      <c r="Q91">
        <v>12.96011977286936</v>
      </c>
      <c r="R91">
        <v>0.42120706566668259</v>
      </c>
      <c r="S91">
        <v>0.14015287919790853</v>
      </c>
      <c r="T91">
        <v>16.478520282266061</v>
      </c>
      <c r="U91">
        <v>1576.795090177668</v>
      </c>
      <c r="V91">
        <v>10.144948333714289</v>
      </c>
      <c r="W91">
        <v>1311.5038386389779</v>
      </c>
      <c r="X91">
        <v>7.2431573825433526</v>
      </c>
      <c r="Y91">
        <v>2900.6232844488118</v>
      </c>
      <c r="Z91">
        <v>10.191989347534614</v>
      </c>
      <c r="AA91">
        <v>2732.5554794215986</v>
      </c>
      <c r="AB91">
        <v>7.2698603285088126</v>
      </c>
      <c r="AC91">
        <v>2216.7617123517784</v>
      </c>
      <c r="AD91">
        <v>10.165327406940966</v>
      </c>
      <c r="AE91">
        <v>2012.7515705890689</v>
      </c>
      <c r="AF91">
        <v>7.2547357305840512</v>
      </c>
      <c r="AG91">
        <v>2115.7871181354658</v>
      </c>
      <c r="AH91">
        <v>10.151659930909533</v>
      </c>
      <c r="AI91">
        <v>1894.5252769231038</v>
      </c>
      <c r="AJ91">
        <v>7.2469722911544618</v>
      </c>
    </row>
    <row r="92" spans="4:36" x14ac:dyDescent="0.45">
      <c r="D92">
        <v>85</v>
      </c>
      <c r="E92">
        <v>12.243634093764888</v>
      </c>
      <c r="F92">
        <v>0.48404334925406456</v>
      </c>
      <c r="G92">
        <v>0.16214241988087297</v>
      </c>
      <c r="H92">
        <v>17.110180137100187</v>
      </c>
      <c r="I92">
        <v>12.458468161361461</v>
      </c>
      <c r="J92">
        <v>0.3133952843036294</v>
      </c>
      <c r="K92">
        <v>0.10464014523667883</v>
      </c>
      <c r="L92">
        <v>17.123496409098227</v>
      </c>
      <c r="M92">
        <v>12.404953881203429</v>
      </c>
      <c r="N92">
        <v>0.35592351718271148</v>
      </c>
      <c r="O92">
        <v>0.11893536865106859</v>
      </c>
      <c r="P92">
        <v>17.120187232962792</v>
      </c>
      <c r="Q92">
        <v>12.325221409838733</v>
      </c>
      <c r="R92">
        <v>0.41926240370744228</v>
      </c>
      <c r="S92">
        <v>0.14026902143120118</v>
      </c>
      <c r="T92">
        <v>17.115247165022613</v>
      </c>
      <c r="U92">
        <v>1566.5136770662064</v>
      </c>
      <c r="V92">
        <v>9.7080749650434299</v>
      </c>
      <c r="W92">
        <v>1301.5629527628471</v>
      </c>
      <c r="X92">
        <v>6.9954392508043419</v>
      </c>
      <c r="Y92">
        <v>2906.2666273592904</v>
      </c>
      <c r="Z92">
        <v>9.7397213480960581</v>
      </c>
      <c r="AA92">
        <v>2734.9736303348332</v>
      </c>
      <c r="AB92">
        <v>7.0144992015544743</v>
      </c>
      <c r="AC92">
        <v>2208.6552356862653</v>
      </c>
      <c r="AD92">
        <v>9.7318339896115464</v>
      </c>
      <c r="AE92">
        <v>2008.6662058713862</v>
      </c>
      <c r="AF92">
        <v>7.0097562430294609</v>
      </c>
      <c r="AG92">
        <v>2116.2024928855349</v>
      </c>
      <c r="AH92">
        <v>9.720087752321227</v>
      </c>
      <c r="AI92">
        <v>1894.9454337350069</v>
      </c>
      <c r="AJ92">
        <v>7.0026836928598684</v>
      </c>
    </row>
    <row r="93" spans="4:36" x14ac:dyDescent="0.45">
      <c r="D93">
        <v>86</v>
      </c>
      <c r="E93">
        <v>12.820380728524254</v>
      </c>
      <c r="F93">
        <v>0.48109832017109477</v>
      </c>
      <c r="G93">
        <v>0.16517513842243961</v>
      </c>
      <c r="H93">
        <v>16.533345812882224</v>
      </c>
      <c r="I93">
        <v>13.080214712874996</v>
      </c>
      <c r="J93">
        <v>0.29497437852734454</v>
      </c>
      <c r="K93">
        <v>0.10090074611408555</v>
      </c>
      <c r="L93">
        <v>16.523910162483578</v>
      </c>
      <c r="M93">
        <v>12.999600280484451</v>
      </c>
      <c r="N93">
        <v>0.35276299241427983</v>
      </c>
      <c r="O93">
        <v>0.12080554994497723</v>
      </c>
      <c r="P93">
        <v>16.526831177156286</v>
      </c>
      <c r="Q93">
        <v>12.947843689345403</v>
      </c>
      <c r="R93">
        <v>0.38984451345378002</v>
      </c>
      <c r="S93">
        <v>0.13360221726418434</v>
      </c>
      <c r="T93">
        <v>16.528709579936638</v>
      </c>
      <c r="U93">
        <v>1556.6581990614525</v>
      </c>
      <c r="V93">
        <v>10.165544592952607</v>
      </c>
      <c r="W93">
        <v>1294.8011772490474</v>
      </c>
      <c r="X93">
        <v>7.2657540497141913</v>
      </c>
      <c r="Y93">
        <v>2913.3344334203484</v>
      </c>
      <c r="Z93">
        <v>10.222996543204548</v>
      </c>
      <c r="AA93">
        <v>2741.3819374712075</v>
      </c>
      <c r="AB93">
        <v>7.2985603798037539</v>
      </c>
      <c r="AC93">
        <v>2212.4955718973288</v>
      </c>
      <c r="AD93">
        <v>10.20517528255027</v>
      </c>
      <c r="AE93">
        <v>2011.5694785854839</v>
      </c>
      <c r="AF93">
        <v>7.2883973146623919</v>
      </c>
      <c r="AG93">
        <v>2138.6233180716531</v>
      </c>
      <c r="AH93">
        <v>10.193731952037359</v>
      </c>
      <c r="AI93">
        <v>1913.3812365583212</v>
      </c>
      <c r="AJ93">
        <v>7.2818651845080886</v>
      </c>
    </row>
    <row r="94" spans="4:36" x14ac:dyDescent="0.45">
      <c r="D94">
        <v>87</v>
      </c>
      <c r="E94">
        <v>12.118951302249791</v>
      </c>
      <c r="F94">
        <v>0.38809187217619756</v>
      </c>
      <c r="G94">
        <v>0.15087483222554146</v>
      </c>
      <c r="H94">
        <v>17.342081993348462</v>
      </c>
      <c r="I94">
        <v>12.29496595743001</v>
      </c>
      <c r="J94">
        <v>0.26738619078308845</v>
      </c>
      <c r="K94">
        <v>0.1036760011816063</v>
      </c>
      <c r="L94">
        <v>17.333971850605298</v>
      </c>
      <c r="M94">
        <v>12.229714938812114</v>
      </c>
      <c r="N94">
        <v>0.31215735183771992</v>
      </c>
      <c r="O94">
        <v>0.12115323230447092</v>
      </c>
      <c r="P94">
        <v>17.336974477045676</v>
      </c>
      <c r="Q94">
        <v>12.194413151769401</v>
      </c>
      <c r="R94">
        <v>0.33636750607368887</v>
      </c>
      <c r="S94">
        <v>0.13061848230498604</v>
      </c>
      <c r="T94">
        <v>17.338600859851912</v>
      </c>
      <c r="U94">
        <v>1501.3324675778547</v>
      </c>
      <c r="V94">
        <v>9.5529355320493536</v>
      </c>
      <c r="W94">
        <v>1264.0779570332784</v>
      </c>
      <c r="X94">
        <v>6.9079619101491572</v>
      </c>
      <c r="Y94">
        <v>2883.5160946701244</v>
      </c>
      <c r="Z94">
        <v>9.5891947766326151</v>
      </c>
      <c r="AA94">
        <v>2723.6029358545875</v>
      </c>
      <c r="AB94">
        <v>6.9288703508116649</v>
      </c>
      <c r="AC94">
        <v>2189.5699366930212</v>
      </c>
      <c r="AD94">
        <v>9.5757549089177196</v>
      </c>
      <c r="AE94">
        <v>2000.0143885161149</v>
      </c>
      <c r="AF94">
        <v>6.9211272336317959</v>
      </c>
      <c r="AG94">
        <v>2106.1842859618405</v>
      </c>
      <c r="AH94">
        <v>9.5684827943199373</v>
      </c>
      <c r="AI94">
        <v>1896.2220429053518</v>
      </c>
      <c r="AJ94">
        <v>6.9169342118695365</v>
      </c>
    </row>
    <row r="95" spans="4:36" x14ac:dyDescent="0.45">
      <c r="D95">
        <v>88</v>
      </c>
      <c r="E95">
        <v>12.469296461753247</v>
      </c>
      <c r="F95">
        <v>0.48907717931270178</v>
      </c>
      <c r="G95">
        <v>0.19047953276093749</v>
      </c>
      <c r="H95">
        <v>16.851146826173128</v>
      </c>
      <c r="I95">
        <v>12.718959551456921</v>
      </c>
      <c r="J95">
        <v>0.29725180907038412</v>
      </c>
      <c r="K95">
        <v>0.11534141247770399</v>
      </c>
      <c r="L95">
        <v>16.868447226994988</v>
      </c>
      <c r="M95">
        <v>12.608022889344301</v>
      </c>
      <c r="N95">
        <v>0.38252841201734061</v>
      </c>
      <c r="O95">
        <v>0.14867455191355433</v>
      </c>
      <c r="P95">
        <v>16.860774146724804</v>
      </c>
      <c r="Q95">
        <v>12.592405094079641</v>
      </c>
      <c r="R95">
        <v>0.39452865642486484</v>
      </c>
      <c r="S95">
        <v>0.15337415244551053</v>
      </c>
      <c r="T95">
        <v>16.859692097049976</v>
      </c>
      <c r="U95">
        <v>1572.8954912728602</v>
      </c>
      <c r="V95">
        <v>9.9022814400451686</v>
      </c>
      <c r="W95">
        <v>1302.9758353066195</v>
      </c>
      <c r="X95">
        <v>7.1080708385378282</v>
      </c>
      <c r="Y95">
        <v>2913.2477638978858</v>
      </c>
      <c r="Z95">
        <v>9.9389486729971814</v>
      </c>
      <c r="AA95">
        <v>2739.5639137123385</v>
      </c>
      <c r="AB95">
        <v>7.1301863932326324</v>
      </c>
      <c r="AC95">
        <v>2222.5928427224094</v>
      </c>
      <c r="AD95">
        <v>9.9226469111207773</v>
      </c>
      <c r="AE95">
        <v>2014.427541465265</v>
      </c>
      <c r="AF95">
        <v>7.1203672703951115</v>
      </c>
      <c r="AG95">
        <v>2123.2315728670046</v>
      </c>
      <c r="AH95">
        <v>9.920353059889262</v>
      </c>
      <c r="AI95">
        <v>1899.7326757980959</v>
      </c>
      <c r="AJ95">
        <v>7.1189839238685062</v>
      </c>
    </row>
    <row r="96" spans="4:36" x14ac:dyDescent="0.45">
      <c r="D96">
        <v>89</v>
      </c>
      <c r="E96">
        <v>12.650658827821474</v>
      </c>
      <c r="F96">
        <v>0.44271191506424151</v>
      </c>
      <c r="G96">
        <v>0.15330836206802842</v>
      </c>
      <c r="H96">
        <v>16.75332089504624</v>
      </c>
      <c r="I96">
        <v>12.87823482880909</v>
      </c>
      <c r="J96">
        <v>0.28301896597942183</v>
      </c>
      <c r="K96">
        <v>9.7695934666376646E-2</v>
      </c>
      <c r="L96">
        <v>16.741050270545117</v>
      </c>
      <c r="M96">
        <v>12.789251334627139</v>
      </c>
      <c r="N96">
        <v>0.34549820734778508</v>
      </c>
      <c r="O96">
        <v>0.11941128592252302</v>
      </c>
      <c r="P96">
        <v>16.745839172102567</v>
      </c>
      <c r="Q96">
        <v>12.748008477840678</v>
      </c>
      <c r="R96">
        <v>0.37443997233197968</v>
      </c>
      <c r="S96">
        <v>0.12948887873728782</v>
      </c>
      <c r="T96">
        <v>16.748062671090061</v>
      </c>
      <c r="U96">
        <v>1523.3922429642516</v>
      </c>
      <c r="V96">
        <v>10.009520551356648</v>
      </c>
      <c r="W96">
        <v>1274.7089651119402</v>
      </c>
      <c r="X96">
        <v>7.1759555315523622</v>
      </c>
      <c r="Y96">
        <v>2883.7072101158105</v>
      </c>
      <c r="Z96">
        <v>10.059948933417026</v>
      </c>
      <c r="AA96">
        <v>2721.7467161778332</v>
      </c>
      <c r="AB96">
        <v>7.2046495297681981</v>
      </c>
      <c r="AC96">
        <v>2216.6204718756289</v>
      </c>
      <c r="AD96">
        <v>10.04023589815662</v>
      </c>
      <c r="AE96">
        <v>2016.0100984699889</v>
      </c>
      <c r="AF96">
        <v>7.1934439152196656</v>
      </c>
      <c r="AG96">
        <v>2112.6940256457765</v>
      </c>
      <c r="AH96">
        <v>10.031097067636363</v>
      </c>
      <c r="AI96">
        <v>1896.8737294760886</v>
      </c>
      <c r="AJ96">
        <v>7.1882442114060039</v>
      </c>
    </row>
    <row r="97" spans="4:36" x14ac:dyDescent="0.45">
      <c r="D97">
        <v>90</v>
      </c>
      <c r="E97">
        <v>13.372111182840328</v>
      </c>
      <c r="F97">
        <v>0.43976702611041596</v>
      </c>
      <c r="G97">
        <v>0.14884993122996568</v>
      </c>
      <c r="H97">
        <v>16.03927185981928</v>
      </c>
      <c r="I97">
        <v>13.620718876408549</v>
      </c>
      <c r="J97">
        <v>0.27794651591782621</v>
      </c>
      <c r="K97">
        <v>9.3757641808636091E-2</v>
      </c>
      <c r="L97">
        <v>16.007576965864978</v>
      </c>
      <c r="M97">
        <v>13.492064611527123</v>
      </c>
      <c r="N97">
        <v>0.36174018368790295</v>
      </c>
      <c r="O97">
        <v>0.12223779788572124</v>
      </c>
      <c r="P97">
        <v>16.023957406899239</v>
      </c>
      <c r="Q97">
        <v>13.467285890786892</v>
      </c>
      <c r="R97">
        <v>0.37786609089239792</v>
      </c>
      <c r="S97">
        <v>0.12773043735673295</v>
      </c>
      <c r="T97">
        <v>16.027117580963989</v>
      </c>
      <c r="U97">
        <v>1584.7254307148166</v>
      </c>
      <c r="V97">
        <v>10.549368046764096</v>
      </c>
      <c r="W97">
        <v>1311.2815306809489</v>
      </c>
      <c r="X97">
        <v>7.4853291891457925</v>
      </c>
      <c r="Y97">
        <v>2910.9537294363763</v>
      </c>
      <c r="Z97">
        <v>10.6129193231092</v>
      </c>
      <c r="AA97">
        <v>2736.7138303205538</v>
      </c>
      <c r="AB97">
        <v>7.5205275966703766</v>
      </c>
      <c r="AC97">
        <v>2261.8204309135572</v>
      </c>
      <c r="AD97">
        <v>10.580043896311356</v>
      </c>
      <c r="AE97">
        <v>2041.0601319963944</v>
      </c>
      <c r="AF97">
        <v>7.5023326179694836</v>
      </c>
      <c r="AG97">
        <v>2157.6282405773918</v>
      </c>
      <c r="AH97">
        <v>10.573709091657276</v>
      </c>
      <c r="AI97">
        <v>1922.2384189632312</v>
      </c>
      <c r="AJ97">
        <v>7.498823329981561</v>
      </c>
    </row>
    <row r="98" spans="4:36" x14ac:dyDescent="0.45">
      <c r="D98">
        <v>91</v>
      </c>
      <c r="E98">
        <v>12.611635413756551</v>
      </c>
      <c r="F98">
        <v>0.4741478138070177</v>
      </c>
      <c r="G98">
        <v>0.1758369841683822</v>
      </c>
      <c r="H98">
        <v>16.738379788268052</v>
      </c>
      <c r="I98">
        <v>12.846450856310261</v>
      </c>
      <c r="J98">
        <v>0.30436331545114692</v>
      </c>
      <c r="K98">
        <v>0.1124741696860211</v>
      </c>
      <c r="L98">
        <v>16.736711658552579</v>
      </c>
      <c r="M98">
        <v>12.758986993383971</v>
      </c>
      <c r="N98">
        <v>0.36764261564690537</v>
      </c>
      <c r="O98">
        <v>0.13603657435455985</v>
      </c>
      <c r="P98">
        <v>16.737333816614576</v>
      </c>
      <c r="Q98">
        <v>12.71017044263774</v>
      </c>
      <c r="R98">
        <v>0.40294133848557778</v>
      </c>
      <c r="S98">
        <v>0.14920757208568894</v>
      </c>
      <c r="T98">
        <v>16.737680646790992</v>
      </c>
      <c r="U98">
        <v>1583.9624343895955</v>
      </c>
      <c r="V98">
        <v>9.9968846899566763</v>
      </c>
      <c r="W98">
        <v>1311.6878641886785</v>
      </c>
      <c r="X98">
        <v>7.1663506717042429</v>
      </c>
      <c r="Y98">
        <v>2911.3290928163938</v>
      </c>
      <c r="Z98">
        <v>10.045203460607141</v>
      </c>
      <c r="AA98">
        <v>2737.2123438924127</v>
      </c>
      <c r="AB98">
        <v>7.1943569750781986</v>
      </c>
      <c r="AC98">
        <v>2250.0494185875991</v>
      </c>
      <c r="AD98">
        <v>10.027205348992851</v>
      </c>
      <c r="AE98">
        <v>2035.0305592067762</v>
      </c>
      <c r="AF98">
        <v>7.183937238983833</v>
      </c>
      <c r="AG98">
        <v>2127.4059313463085</v>
      </c>
      <c r="AH98">
        <v>10.017160184318017</v>
      </c>
      <c r="AI98">
        <v>1901.6225434066389</v>
      </c>
      <c r="AJ98">
        <v>7.1781154495438848</v>
      </c>
    </row>
    <row r="99" spans="4:36" x14ac:dyDescent="0.45">
      <c r="D99">
        <v>92</v>
      </c>
      <c r="E99">
        <v>13.49480399858836</v>
      </c>
      <c r="F99">
        <v>0.50163524765137002</v>
      </c>
      <c r="G99">
        <v>0.15901409859767868</v>
      </c>
      <c r="H99">
        <v>15.844546655162596</v>
      </c>
      <c r="I99">
        <v>13.734300495759966</v>
      </c>
      <c r="J99">
        <v>0.33041350520406021</v>
      </c>
      <c r="K99">
        <v>0.10440146798431227</v>
      </c>
      <c r="L99">
        <v>15.830884531051646</v>
      </c>
      <c r="M99">
        <v>13.612490195980794</v>
      </c>
      <c r="N99">
        <v>0.41754012366014309</v>
      </c>
      <c r="O99">
        <v>0.13214655891726279</v>
      </c>
      <c r="P99">
        <v>15.83782312144181</v>
      </c>
      <c r="Q99">
        <v>13.582400690854072</v>
      </c>
      <c r="R99">
        <v>0.43904888373833456</v>
      </c>
      <c r="S99">
        <v>0.13901012738364826</v>
      </c>
      <c r="T99">
        <v>15.839540298023961</v>
      </c>
      <c r="U99">
        <v>1606.9428078815706</v>
      </c>
      <c r="V99">
        <v>10.704287462255804</v>
      </c>
      <c r="W99">
        <v>1321.1120315703704</v>
      </c>
      <c r="X99">
        <v>7.576182168944726</v>
      </c>
      <c r="Y99">
        <v>2928.8967503388403</v>
      </c>
      <c r="Z99">
        <v>10.759856697276206</v>
      </c>
      <c r="AA99">
        <v>2744.662757738306</v>
      </c>
      <c r="AB99">
        <v>7.6074147472320819</v>
      </c>
      <c r="AC99">
        <v>2271.065588576791</v>
      </c>
      <c r="AD99">
        <v>10.731599065255397</v>
      </c>
      <c r="AE99">
        <v>2042.3640501454856</v>
      </c>
      <c r="AF99">
        <v>7.5915447719886107</v>
      </c>
      <c r="AG99">
        <v>2183.9056329255927</v>
      </c>
      <c r="AH99">
        <v>10.724617155744381</v>
      </c>
      <c r="AI99">
        <v>1935.1957869819521</v>
      </c>
      <c r="AJ99">
        <v>7.5876197447192606</v>
      </c>
    </row>
    <row r="100" spans="4:36" x14ac:dyDescent="0.45">
      <c r="D100">
        <v>93</v>
      </c>
      <c r="E100">
        <v>13.186481417912644</v>
      </c>
      <c r="F100">
        <v>0.48590229705320748</v>
      </c>
      <c r="G100">
        <v>0.16499367912280735</v>
      </c>
      <c r="H100">
        <v>16.162622605911348</v>
      </c>
      <c r="I100">
        <v>13.440082358845027</v>
      </c>
      <c r="J100">
        <v>0.30212229512015282</v>
      </c>
      <c r="K100">
        <v>0.10223073971116464</v>
      </c>
      <c r="L100">
        <v>16.155564606323654</v>
      </c>
      <c r="M100">
        <v>13.329217903702146</v>
      </c>
      <c r="N100">
        <v>0.38250902362709382</v>
      </c>
      <c r="O100">
        <v>0.12962887146125573</v>
      </c>
      <c r="P100">
        <v>16.158644201209487</v>
      </c>
      <c r="Q100">
        <v>13.254860980671243</v>
      </c>
      <c r="R100">
        <v>0.43638519474913934</v>
      </c>
      <c r="S100">
        <v>0.14803902471708189</v>
      </c>
      <c r="T100">
        <v>16.160714799862543</v>
      </c>
      <c r="U100">
        <v>1575.7893890189614</v>
      </c>
      <c r="V100">
        <v>10.395280373103356</v>
      </c>
      <c r="W100">
        <v>1306.3752882961344</v>
      </c>
      <c r="X100">
        <v>7.3881306299631113</v>
      </c>
      <c r="Y100">
        <v>2899.3452399887301</v>
      </c>
      <c r="Z100">
        <v>10.444680148942172</v>
      </c>
      <c r="AA100">
        <v>2729.7098073231805</v>
      </c>
      <c r="AB100">
        <v>7.4161682986096276</v>
      </c>
      <c r="AC100">
        <v>2268.8224854293439</v>
      </c>
      <c r="AD100">
        <v>10.423087987346543</v>
      </c>
      <c r="AE100">
        <v>2048.3990520212183</v>
      </c>
      <c r="AF100">
        <v>7.4039254371197032</v>
      </c>
      <c r="AG100">
        <v>2123.7265139576466</v>
      </c>
      <c r="AH100">
        <v>10.408603063517916</v>
      </c>
      <c r="AI100">
        <v>1898.0135850398181</v>
      </c>
      <c r="AJ100">
        <v>7.395701887416406</v>
      </c>
    </row>
    <row r="101" spans="4:36" x14ac:dyDescent="0.45">
      <c r="D101">
        <v>94</v>
      </c>
      <c r="E101">
        <v>12.77909592031531</v>
      </c>
      <c r="F101">
        <v>0.48107233960074736</v>
      </c>
      <c r="G101">
        <v>0.15853299387638753</v>
      </c>
      <c r="H101">
        <v>16.581298746207548</v>
      </c>
      <c r="I101">
        <v>12.987164044822682</v>
      </c>
      <c r="J101">
        <v>0.32419336278187139</v>
      </c>
      <c r="K101">
        <v>0.10653290286461128</v>
      </c>
      <c r="L101">
        <v>16.582109689530832</v>
      </c>
      <c r="M101">
        <v>12.902013788242016</v>
      </c>
      <c r="N101">
        <v>0.38842290753656145</v>
      </c>
      <c r="O101">
        <v>0.12778671854638884</v>
      </c>
      <c r="P101">
        <v>16.581776585675048</v>
      </c>
      <c r="Q101">
        <v>12.839081720051874</v>
      </c>
      <c r="R101">
        <v>0.43586816989347799</v>
      </c>
      <c r="S101">
        <v>0.14351861892771622</v>
      </c>
      <c r="T101">
        <v>16.581531491126938</v>
      </c>
      <c r="U101">
        <v>1552.226844592836</v>
      </c>
      <c r="V101">
        <v>10.20158590473868</v>
      </c>
      <c r="W101">
        <v>1289.3028168673243</v>
      </c>
      <c r="X101">
        <v>7.293781296012936</v>
      </c>
      <c r="Y101">
        <v>2904.0969986863806</v>
      </c>
      <c r="Z101">
        <v>10.23842543747767</v>
      </c>
      <c r="AA101">
        <v>2731.1795780776442</v>
      </c>
      <c r="AB101">
        <v>7.3150213137726112</v>
      </c>
      <c r="AC101">
        <v>2230.7385602755817</v>
      </c>
      <c r="AD101">
        <v>10.223349778903991</v>
      </c>
      <c r="AE101">
        <v>2020.3498385713751</v>
      </c>
      <c r="AF101">
        <v>7.3063374829451773</v>
      </c>
      <c r="AG101">
        <v>2138.1562507869694</v>
      </c>
      <c r="AH101">
        <v>10.212207238545819</v>
      </c>
      <c r="AI101">
        <v>1907.7713729961567</v>
      </c>
      <c r="AJ101">
        <v>7.2999119871832834</v>
      </c>
    </row>
    <row r="102" spans="4:36" x14ac:dyDescent="0.45">
      <c r="D102">
        <v>95</v>
      </c>
      <c r="E102">
        <v>11.448223431953933</v>
      </c>
      <c r="F102">
        <v>0.43079622552348751</v>
      </c>
      <c r="G102">
        <v>0.13571933775913039</v>
      </c>
      <c r="H102">
        <v>17.985261004763455</v>
      </c>
      <c r="I102">
        <v>11.620963646289196</v>
      </c>
      <c r="J102">
        <v>0.29131724772161566</v>
      </c>
      <c r="K102">
        <v>9.1530452308652921E-2</v>
      </c>
      <c r="L102">
        <v>17.996188653680537</v>
      </c>
      <c r="M102">
        <v>11.560937147376949</v>
      </c>
      <c r="N102">
        <v>0.33980143000636648</v>
      </c>
      <c r="O102">
        <v>0.10686358644927423</v>
      </c>
      <c r="P102">
        <v>17.992397836167402</v>
      </c>
      <c r="Q102">
        <v>11.5229726232186</v>
      </c>
      <c r="R102">
        <v>0.37045719365569169</v>
      </c>
      <c r="S102">
        <v>0.11657345744678309</v>
      </c>
      <c r="T102">
        <v>17.989996725678928</v>
      </c>
      <c r="U102">
        <v>1477.5889283785393</v>
      </c>
      <c r="V102">
        <v>9.092958888918572</v>
      </c>
      <c r="W102">
        <v>1248.3326316885568</v>
      </c>
      <c r="X102">
        <v>6.6417476780377029</v>
      </c>
      <c r="Y102">
        <v>2857.2857407324918</v>
      </c>
      <c r="Z102">
        <v>9.1165672360801757</v>
      </c>
      <c r="AA102">
        <v>2705.882878540157</v>
      </c>
      <c r="AB102">
        <v>6.6561488284128965</v>
      </c>
      <c r="AC102">
        <v>2188.222649728918</v>
      </c>
      <c r="AD102">
        <v>9.1083603046982109</v>
      </c>
      <c r="AE102">
        <v>2000.9186808580632</v>
      </c>
      <c r="AF102">
        <v>6.6511485917205553</v>
      </c>
      <c r="AG102">
        <v>2077.8102184475947</v>
      </c>
      <c r="AH102">
        <v>9.103171441760372</v>
      </c>
      <c r="AI102">
        <v>1877.2246098934531</v>
      </c>
      <c r="AJ102">
        <v>6.6479838812999725</v>
      </c>
    </row>
    <row r="103" spans="4:36" x14ac:dyDescent="0.45">
      <c r="D103">
        <v>96</v>
      </c>
      <c r="E103">
        <v>12.660632342906654</v>
      </c>
      <c r="F103">
        <v>0.46876948183334749</v>
      </c>
      <c r="G103">
        <v>0.16254330659001412</v>
      </c>
      <c r="H103">
        <v>16.708054868669976</v>
      </c>
      <c r="I103">
        <v>12.877106464163191</v>
      </c>
      <c r="J103">
        <v>0.31035216107765529</v>
      </c>
      <c r="K103">
        <v>0.10728509176539487</v>
      </c>
      <c r="L103">
        <v>16.705256282993759</v>
      </c>
      <c r="M103">
        <v>12.79053956888195</v>
      </c>
      <c r="N103">
        <v>0.37373483595911666</v>
      </c>
      <c r="O103">
        <v>0.12935281542555127</v>
      </c>
      <c r="P103">
        <v>16.706372779733382</v>
      </c>
      <c r="Q103">
        <v>12.746029758993492</v>
      </c>
      <c r="R103">
        <v>0.40630733712693273</v>
      </c>
      <c r="S103">
        <v>0.14071469241531812</v>
      </c>
      <c r="T103">
        <v>16.706948211464244</v>
      </c>
      <c r="U103">
        <v>1543.0451640228766</v>
      </c>
      <c r="V103">
        <v>9.9106800715473398</v>
      </c>
      <c r="W103">
        <v>1283.2700569330941</v>
      </c>
      <c r="X103">
        <v>7.0990852025210449</v>
      </c>
      <c r="Y103">
        <v>2912.5527511429427</v>
      </c>
      <c r="Z103">
        <v>9.9499860170096781</v>
      </c>
      <c r="AA103">
        <v>2738.0697209741065</v>
      </c>
      <c r="AB103">
        <v>7.121688172775495</v>
      </c>
      <c r="AC103">
        <v>2223.2555481037002</v>
      </c>
      <c r="AD103">
        <v>9.9342692224643514</v>
      </c>
      <c r="AE103">
        <v>2015.7950539178637</v>
      </c>
      <c r="AF103">
        <v>7.1126590924672408</v>
      </c>
      <c r="AG103">
        <v>2167.1876361102995</v>
      </c>
      <c r="AH103">
        <v>9.92618742034246</v>
      </c>
      <c r="AI103">
        <v>1930.6309324820529</v>
      </c>
      <c r="AJ103">
        <v>7.1080116116140744</v>
      </c>
    </row>
    <row r="104" spans="4:36" x14ac:dyDescent="0.45">
      <c r="D104">
        <v>97</v>
      </c>
      <c r="E104">
        <v>12.263895698859173</v>
      </c>
      <c r="F104">
        <v>0.41863491502929212</v>
      </c>
      <c r="G104">
        <v>0.16712501664811649</v>
      </c>
      <c r="H104">
        <v>17.150344369463415</v>
      </c>
      <c r="I104">
        <v>12.458970824319513</v>
      </c>
      <c r="J104">
        <v>0.28189486396946084</v>
      </c>
      <c r="K104">
        <v>0.11221289120414467</v>
      </c>
      <c r="L104">
        <v>17.146921420506889</v>
      </c>
      <c r="M104">
        <v>12.420427490921936</v>
      </c>
      <c r="N104">
        <v>0.30893139061332575</v>
      </c>
      <c r="O104">
        <v>0.12304484453217794</v>
      </c>
      <c r="P104">
        <v>17.147596273932553</v>
      </c>
      <c r="Q104">
        <v>12.335499514732035</v>
      </c>
      <c r="R104">
        <v>0.36847158802558655</v>
      </c>
      <c r="S104">
        <v>0.146943093647777</v>
      </c>
      <c r="T104">
        <v>17.149085803594609</v>
      </c>
      <c r="U104">
        <v>1549.7293861448661</v>
      </c>
      <c r="V104">
        <v>9.6891403788416586</v>
      </c>
      <c r="W104">
        <v>1293.0290036317342</v>
      </c>
      <c r="X104">
        <v>6.9870292228235789</v>
      </c>
      <c r="Y104">
        <v>2904.8816089344541</v>
      </c>
      <c r="Z104">
        <v>9.7277053562720628</v>
      </c>
      <c r="AA104">
        <v>2735.3986945537831</v>
      </c>
      <c r="AB104">
        <v>7.0093561210200557</v>
      </c>
      <c r="AC104">
        <v>2204.1768849997329</v>
      </c>
      <c r="AD104">
        <v>9.7200864050509832</v>
      </c>
      <c r="AE104">
        <v>2008.0103200400397</v>
      </c>
      <c r="AF104">
        <v>7.0049507074926147</v>
      </c>
      <c r="AG104">
        <v>2110.2431192570311</v>
      </c>
      <c r="AH104">
        <v>9.7032971163041886</v>
      </c>
      <c r="AI104">
        <v>1893.2949549722191</v>
      </c>
      <c r="AJ104">
        <v>6.9952332793825915</v>
      </c>
    </row>
    <row r="105" spans="4:36" x14ac:dyDescent="0.45">
      <c r="D105">
        <v>98</v>
      </c>
      <c r="E105">
        <v>12.475305109700541</v>
      </c>
      <c r="F105">
        <v>0.45228418860624409</v>
      </c>
      <c r="G105">
        <v>0.15337843119569966</v>
      </c>
      <c r="H105">
        <v>16.919032270497503</v>
      </c>
      <c r="I105">
        <v>12.702273078779335</v>
      </c>
      <c r="J105">
        <v>0.2904228660598841</v>
      </c>
      <c r="K105">
        <v>9.8164294815736033E-2</v>
      </c>
      <c r="L105">
        <v>16.909139760345038</v>
      </c>
      <c r="M105">
        <v>12.613989528759168</v>
      </c>
      <c r="N105">
        <v>0.35341932763970602</v>
      </c>
      <c r="O105">
        <v>0.11960981197256763</v>
      </c>
      <c r="P105">
        <v>16.912981331628561</v>
      </c>
      <c r="Q105">
        <v>12.578700483326148</v>
      </c>
      <c r="R105">
        <v>0.37858725109687391</v>
      </c>
      <c r="S105">
        <v>0.12819312724147419</v>
      </c>
      <c r="T105">
        <v>16.9145191383355</v>
      </c>
      <c r="U105">
        <v>1523.3751369339477</v>
      </c>
      <c r="V105">
        <v>9.8806689264635033</v>
      </c>
      <c r="W105">
        <v>1274.882755587442</v>
      </c>
      <c r="X105">
        <v>7.1004160331665513</v>
      </c>
      <c r="Y105">
        <v>2897.7244834104272</v>
      </c>
      <c r="Z105">
        <v>9.9271922988485919</v>
      </c>
      <c r="AA105">
        <v>2731.8785659014211</v>
      </c>
      <c r="AB105">
        <v>7.127014084685662</v>
      </c>
      <c r="AC105">
        <v>2235.2172349287912</v>
      </c>
      <c r="AD105">
        <v>9.9090999022938355</v>
      </c>
      <c r="AE105">
        <v>2029.5812784271645</v>
      </c>
      <c r="AF105">
        <v>7.1166811320740608</v>
      </c>
      <c r="AG105">
        <v>2124.0939011882083</v>
      </c>
      <c r="AH105">
        <v>9.9018666040126799</v>
      </c>
      <c r="AI105">
        <v>1905.577572449698</v>
      </c>
      <c r="AJ105">
        <v>7.1125462418541989</v>
      </c>
    </row>
    <row r="106" spans="4:36" x14ac:dyDescent="0.45">
      <c r="D106">
        <v>99</v>
      </c>
      <c r="E106">
        <v>11.70006845531546</v>
      </c>
      <c r="F106">
        <v>0.42733016052032236</v>
      </c>
      <c r="G106">
        <v>0.1602999902875975</v>
      </c>
      <c r="H106">
        <v>17.712301393876619</v>
      </c>
      <c r="I106">
        <v>11.924098259218928</v>
      </c>
      <c r="J106">
        <v>0.26186595503379878</v>
      </c>
      <c r="K106">
        <v>9.7891936822388601E-2</v>
      </c>
      <c r="L106">
        <v>17.716143848924879</v>
      </c>
      <c r="M106">
        <v>11.837489610043344</v>
      </c>
      <c r="N106">
        <v>0.3258686158581614</v>
      </c>
      <c r="O106">
        <v>0.12197993649680047</v>
      </c>
      <c r="P106">
        <v>17.7146618376017</v>
      </c>
      <c r="Q106">
        <v>11.810052014748392</v>
      </c>
      <c r="R106">
        <v>0.34613543992045648</v>
      </c>
      <c r="S106">
        <v>0.12962111378054603</v>
      </c>
      <c r="T106">
        <v>17.714191431550599</v>
      </c>
      <c r="U106">
        <v>1515.6879384904066</v>
      </c>
      <c r="V106">
        <v>9.2839951712029496</v>
      </c>
      <c r="W106">
        <v>1274.7763935551066</v>
      </c>
      <c r="X106">
        <v>6.7543433473546504</v>
      </c>
      <c r="Y106">
        <v>2865.5791564869637</v>
      </c>
      <c r="Z106">
        <v>9.3264341051931723</v>
      </c>
      <c r="AA106">
        <v>2713.1696449107949</v>
      </c>
      <c r="AB106">
        <v>6.7796077083088582</v>
      </c>
      <c r="AC106">
        <v>2169.2604391250734</v>
      </c>
      <c r="AD106">
        <v>9.31002463530608</v>
      </c>
      <c r="AE106">
        <v>1986.6866362599965</v>
      </c>
      <c r="AF106">
        <v>6.7698515744045595</v>
      </c>
      <c r="AG106">
        <v>2108.0408023541104</v>
      </c>
      <c r="AH106">
        <v>9.3048268577103759</v>
      </c>
      <c r="AI106">
        <v>1899.7202739105458</v>
      </c>
      <c r="AJ106">
        <v>6.7667579776698839</v>
      </c>
    </row>
    <row r="107" spans="4:36" x14ac:dyDescent="0.45">
      <c r="D107">
        <v>100</v>
      </c>
      <c r="E107">
        <v>13.513034847018867</v>
      </c>
      <c r="F107">
        <v>0.49918178597215396</v>
      </c>
      <c r="G107">
        <v>0.14475023987329735</v>
      </c>
      <c r="H107">
        <v>15.843033127135683</v>
      </c>
      <c r="I107">
        <v>13.753447402305785</v>
      </c>
      <c r="J107">
        <v>0.32677516083702629</v>
      </c>
      <c r="K107">
        <v>9.4462715609285486E-2</v>
      </c>
      <c r="L107">
        <v>15.825314721247896</v>
      </c>
      <c r="M107">
        <v>13.669740410540722</v>
      </c>
      <c r="N107">
        <v>0.38684150096692804</v>
      </c>
      <c r="O107">
        <v>0.11194686775398015</v>
      </c>
      <c r="P107">
        <v>15.831471220738354</v>
      </c>
      <c r="Q107">
        <v>13.644596660930366</v>
      </c>
      <c r="R107">
        <v>0.40487628655078051</v>
      </c>
      <c r="S107">
        <v>0.11720391608984398</v>
      </c>
      <c r="T107">
        <v>15.833323136428996</v>
      </c>
      <c r="U107">
        <v>1584.2134963563228</v>
      </c>
      <c r="V107">
        <v>10.660314264452881</v>
      </c>
      <c r="W107">
        <v>1307.107689036229</v>
      </c>
      <c r="X107">
        <v>7.5437663294771848</v>
      </c>
      <c r="Y107">
        <v>2949.5510530473816</v>
      </c>
      <c r="Z107">
        <v>10.714455309629766</v>
      </c>
      <c r="AA107">
        <v>2760.9051509603869</v>
      </c>
      <c r="AB107">
        <v>7.5739013945063745</v>
      </c>
      <c r="AC107">
        <v>2247.2597625287203</v>
      </c>
      <c r="AD107">
        <v>10.695611967069036</v>
      </c>
      <c r="AE107">
        <v>2029.2684952148325</v>
      </c>
      <c r="AF107">
        <v>7.5634232636331866</v>
      </c>
      <c r="AG107">
        <v>2166.8205357569414</v>
      </c>
      <c r="AH107">
        <v>10.689950277844298</v>
      </c>
      <c r="AI107">
        <v>1927.1756013167787</v>
      </c>
      <c r="AJ107">
        <v>7.560272892369988</v>
      </c>
    </row>
    <row r="108" spans="4:36" x14ac:dyDescent="0.45">
      <c r="D108">
        <v>101</v>
      </c>
      <c r="E108">
        <v>11.637671550802544</v>
      </c>
      <c r="F108">
        <v>0.4215541036825417</v>
      </c>
      <c r="G108">
        <v>0.14582451569032306</v>
      </c>
      <c r="H108">
        <v>17.794949829824581</v>
      </c>
      <c r="I108">
        <v>11.846407895857395</v>
      </c>
      <c r="J108">
        <v>0.26539328618383806</v>
      </c>
      <c r="K108">
        <v>9.1509619238573064E-2</v>
      </c>
      <c r="L108">
        <v>17.796689198720191</v>
      </c>
      <c r="M108">
        <v>11.749313744274225</v>
      </c>
      <c r="N108">
        <v>0.33806304206356663</v>
      </c>
      <c r="O108">
        <v>0.11674100760733504</v>
      </c>
      <c r="P108">
        <v>17.795882206054873</v>
      </c>
      <c r="Q108">
        <v>11.713882292626396</v>
      </c>
      <c r="R108">
        <v>0.36456809410692886</v>
      </c>
      <c r="S108">
        <v>0.12596279084622627</v>
      </c>
      <c r="T108">
        <v>17.795586822420457</v>
      </c>
      <c r="U108">
        <v>1484.6652459492575</v>
      </c>
      <c r="V108">
        <v>9.0894980880717373</v>
      </c>
      <c r="W108">
        <v>1252.8500766323859</v>
      </c>
      <c r="X108">
        <v>6.6197801171196931</v>
      </c>
      <c r="Y108">
        <v>2863.6612929474331</v>
      </c>
      <c r="Z108">
        <v>9.124774579077215</v>
      </c>
      <c r="AA108">
        <v>2711.7251237747341</v>
      </c>
      <c r="AB108">
        <v>6.6406829991888303</v>
      </c>
      <c r="AC108">
        <v>2169.1951117413159</v>
      </c>
      <c r="AD108">
        <v>9.1083644069211296</v>
      </c>
      <c r="AE108">
        <v>1985.9265478379398</v>
      </c>
      <c r="AF108">
        <v>6.6309692872246853</v>
      </c>
      <c r="AG108">
        <v>2071.3818378451142</v>
      </c>
      <c r="AH108">
        <v>9.1023765658988935</v>
      </c>
      <c r="AI108">
        <v>1871.7247945504523</v>
      </c>
      <c r="AJ108">
        <v>6.6274205575716074</v>
      </c>
    </row>
    <row r="109" spans="4:36" x14ac:dyDescent="0.45">
      <c r="D109">
        <v>102</v>
      </c>
      <c r="E109">
        <v>13.612840367337261</v>
      </c>
      <c r="F109">
        <v>0.45989633958992776</v>
      </c>
      <c r="G109">
        <v>0.15986285331611158</v>
      </c>
      <c r="H109">
        <v>15.767400439756704</v>
      </c>
      <c r="I109">
        <v>13.8361605659923</v>
      </c>
      <c r="J109">
        <v>0.31186983837892107</v>
      </c>
      <c r="K109">
        <v>0.10806242527567897</v>
      </c>
      <c r="L109">
        <v>15.743907170353111</v>
      </c>
      <c r="M109">
        <v>13.750872266254728</v>
      </c>
      <c r="N109">
        <v>0.36844083071773842</v>
      </c>
      <c r="O109">
        <v>0.12781924197910588</v>
      </c>
      <c r="P109">
        <v>15.752867661048425</v>
      </c>
      <c r="Q109">
        <v>13.701067396226303</v>
      </c>
      <c r="R109">
        <v>0.40145423956896154</v>
      </c>
      <c r="S109">
        <v>0.13937140146666191</v>
      </c>
      <c r="T109">
        <v>15.758106962738081</v>
      </c>
      <c r="U109">
        <v>1590.2178642959486</v>
      </c>
      <c r="V109">
        <v>10.771265201929401</v>
      </c>
      <c r="W109">
        <v>1315.2492218261827</v>
      </c>
      <c r="X109">
        <v>7.6137891034681369</v>
      </c>
      <c r="Y109">
        <v>2911.4589214115208</v>
      </c>
      <c r="Z109">
        <v>10.825973530009996</v>
      </c>
      <c r="AA109">
        <v>2735.6693277965792</v>
      </c>
      <c r="AB109">
        <v>7.6442091641758436</v>
      </c>
      <c r="AC109">
        <v>2237.4017446263551</v>
      </c>
      <c r="AD109">
        <v>10.805086690633312</v>
      </c>
      <c r="AE109">
        <v>2024.4548444349905</v>
      </c>
      <c r="AF109">
        <v>7.6326051512692592</v>
      </c>
      <c r="AG109">
        <v>2136.6308131926362</v>
      </c>
      <c r="AH109">
        <v>10.792885736090573</v>
      </c>
      <c r="AI109">
        <v>1906.9550117721467</v>
      </c>
      <c r="AJ109">
        <v>7.6258210690565367</v>
      </c>
    </row>
    <row r="110" spans="4:36" x14ac:dyDescent="0.45">
      <c r="D110">
        <v>103</v>
      </c>
      <c r="E110">
        <v>12.800568670380711</v>
      </c>
      <c r="F110">
        <v>0.48459304845252021</v>
      </c>
      <c r="G110">
        <v>0.18451306948817925</v>
      </c>
      <c r="H110">
        <v>16.530325211678601</v>
      </c>
      <c r="I110">
        <v>13.047398203293783</v>
      </c>
      <c r="J110">
        <v>0.30221357431411239</v>
      </c>
      <c r="K110">
        <v>0.11467177831661295</v>
      </c>
      <c r="L110">
        <v>16.535716444075479</v>
      </c>
      <c r="M110">
        <v>12.962593981215875</v>
      </c>
      <c r="N110">
        <v>0.36491288746972067</v>
      </c>
      <c r="O110">
        <v>0.13862673034693379</v>
      </c>
      <c r="P110">
        <v>16.533866400967462</v>
      </c>
      <c r="Q110">
        <v>12.924635244857573</v>
      </c>
      <c r="R110">
        <v>0.39296438620401208</v>
      </c>
      <c r="S110">
        <v>0.14936281372306714</v>
      </c>
      <c r="T110">
        <v>16.533037555215351</v>
      </c>
      <c r="U110">
        <v>1528.9675091091026</v>
      </c>
      <c r="V110">
        <v>10.148957579606757</v>
      </c>
      <c r="W110">
        <v>1271.4443657494355</v>
      </c>
      <c r="X110">
        <v>7.2517020315377909</v>
      </c>
      <c r="Y110">
        <v>2900.6600293715819</v>
      </c>
      <c r="Z110">
        <v>10.192304085834616</v>
      </c>
      <c r="AA110">
        <v>2729.858170525205</v>
      </c>
      <c r="AB110">
        <v>7.2769377030074738</v>
      </c>
      <c r="AC110">
        <v>2222.5855345450263</v>
      </c>
      <c r="AD110">
        <v>10.177409625288631</v>
      </c>
      <c r="AE110">
        <v>2015.6199309139772</v>
      </c>
      <c r="AF110">
        <v>7.2682775689576706</v>
      </c>
      <c r="AG110">
        <v>2140.7402776325766</v>
      </c>
      <c r="AH110">
        <v>10.170743383470098</v>
      </c>
      <c r="AI110">
        <v>1912.154684681967</v>
      </c>
      <c r="AJ110">
        <v>7.2643978204014825</v>
      </c>
    </row>
    <row r="111" spans="4:36" x14ac:dyDescent="0.45">
      <c r="D111">
        <v>104</v>
      </c>
      <c r="E111">
        <v>11.856807339288519</v>
      </c>
      <c r="F111">
        <v>0.45560917952325947</v>
      </c>
      <c r="G111">
        <v>0.14378239880678839</v>
      </c>
      <c r="H111">
        <v>17.543801082381428</v>
      </c>
      <c r="I111">
        <v>12.054625413802787</v>
      </c>
      <c r="J111">
        <v>0.29618374040862089</v>
      </c>
      <c r="K111">
        <v>9.3199165695173239E-2</v>
      </c>
      <c r="L111">
        <v>17.555991680093399</v>
      </c>
      <c r="M111">
        <v>11.968596693932747</v>
      </c>
      <c r="N111">
        <v>0.36553816312497667</v>
      </c>
      <c r="O111">
        <v>0.11516764652551947</v>
      </c>
      <c r="P111">
        <v>17.550697496416763</v>
      </c>
      <c r="Q111">
        <v>11.945717006727856</v>
      </c>
      <c r="R111">
        <v>0.38397752036488575</v>
      </c>
      <c r="S111">
        <v>0.12101788695869864</v>
      </c>
      <c r="T111">
        <v>17.549287585948559</v>
      </c>
      <c r="U111">
        <v>1509.2066510263578</v>
      </c>
      <c r="V111">
        <v>9.3797014906588245</v>
      </c>
      <c r="W111">
        <v>1269.8172455396671</v>
      </c>
      <c r="X111">
        <v>6.8041086577979142</v>
      </c>
      <c r="Y111">
        <v>2868.3509432296187</v>
      </c>
      <c r="Z111">
        <v>9.4087389095038656</v>
      </c>
      <c r="AA111">
        <v>2713.7952200408658</v>
      </c>
      <c r="AB111">
        <v>6.8215861072916235</v>
      </c>
      <c r="AC111">
        <v>2203.1282172370443</v>
      </c>
      <c r="AD111">
        <v>9.3961072329993165</v>
      </c>
      <c r="AE111">
        <v>2009.931556210842</v>
      </c>
      <c r="AF111">
        <v>6.8139914836115745</v>
      </c>
      <c r="AG111">
        <v>2089.9595246956005</v>
      </c>
      <c r="AH111">
        <v>9.3927487296876944</v>
      </c>
      <c r="AI111">
        <v>1885.1946773686509</v>
      </c>
      <c r="AJ111">
        <v>6.8119700865432238</v>
      </c>
    </row>
    <row r="112" spans="4:36" x14ac:dyDescent="0.45">
      <c r="D112">
        <v>105</v>
      </c>
      <c r="E112">
        <v>12.704736072987833</v>
      </c>
      <c r="F112">
        <v>0.44052817437860281</v>
      </c>
      <c r="G112">
        <v>0.18641167321627777</v>
      </c>
      <c r="H112">
        <v>16.668324079417296</v>
      </c>
      <c r="I112">
        <v>12.928145580512764</v>
      </c>
      <c r="J112">
        <v>0.28385503767318654</v>
      </c>
      <c r="K112">
        <v>0.11971668278968398</v>
      </c>
      <c r="L112">
        <v>16.668282699024367</v>
      </c>
      <c r="M112">
        <v>12.812625677016078</v>
      </c>
      <c r="N112">
        <v>0.36490589162168824</v>
      </c>
      <c r="O112">
        <v>0.1541635170078953</v>
      </c>
      <c r="P112">
        <v>16.66830491435433</v>
      </c>
      <c r="Q112">
        <v>12.796404010352763</v>
      </c>
      <c r="R112">
        <v>0.37628067707992868</v>
      </c>
      <c r="S112">
        <v>0.15900741832567172</v>
      </c>
      <c r="T112">
        <v>16.668307894241629</v>
      </c>
      <c r="U112">
        <v>1582.3024644230354</v>
      </c>
      <c r="V112">
        <v>10.076983982557065</v>
      </c>
      <c r="W112">
        <v>1310.8921818235704</v>
      </c>
      <c r="X112">
        <v>7.2144767133129841</v>
      </c>
      <c r="Y112">
        <v>2908.2074804622553</v>
      </c>
      <c r="Z112">
        <v>10.119220818084155</v>
      </c>
      <c r="AA112">
        <v>2735.1878020564504</v>
      </c>
      <c r="AB112">
        <v>7.2389087166602231</v>
      </c>
      <c r="AC112">
        <v>2232.42413559636</v>
      </c>
      <c r="AD112">
        <v>10.097381031190517</v>
      </c>
      <c r="AE112">
        <v>2020.706928770609</v>
      </c>
      <c r="AF112">
        <v>7.2262861329157584</v>
      </c>
      <c r="AG112">
        <v>2134.3568713146828</v>
      </c>
      <c r="AH112">
        <v>10.094314235748129</v>
      </c>
      <c r="AI112">
        <v>1906.8564040780047</v>
      </c>
      <c r="AJ112">
        <v>7.224511813158645</v>
      </c>
    </row>
    <row r="113" spans="4:36" x14ac:dyDescent="0.45">
      <c r="D113">
        <v>106</v>
      </c>
      <c r="E113">
        <v>12.683334483701879</v>
      </c>
      <c r="F113">
        <v>0.43344517896000662</v>
      </c>
      <c r="G113">
        <v>0.16216642274721677</v>
      </c>
      <c r="H113">
        <v>16.721053914590922</v>
      </c>
      <c r="I113">
        <v>12.862938937790409</v>
      </c>
      <c r="J113">
        <v>0.30753659935809607</v>
      </c>
      <c r="K113">
        <v>0.11476633942563402</v>
      </c>
      <c r="L113">
        <v>16.714758123425856</v>
      </c>
      <c r="M113">
        <v>12.799863994415785</v>
      </c>
      <c r="N113">
        <v>0.35177711566758424</v>
      </c>
      <c r="O113">
        <v>0.13139333197027428</v>
      </c>
      <c r="P113">
        <v>16.716965557946338</v>
      </c>
      <c r="Q113">
        <v>12.775663472409549</v>
      </c>
      <c r="R113">
        <v>0.36874470050482983</v>
      </c>
      <c r="S113">
        <v>0.137778300427742</v>
      </c>
      <c r="T113">
        <v>16.717813526657867</v>
      </c>
      <c r="U113">
        <v>1545.174997695035</v>
      </c>
      <c r="V113">
        <v>10.027390105614813</v>
      </c>
      <c r="W113">
        <v>1288.3035247633281</v>
      </c>
      <c r="X113">
        <v>7.184607793534985</v>
      </c>
      <c r="Y113">
        <v>2919.7503215012594</v>
      </c>
      <c r="Z113">
        <v>10.064447978573165</v>
      </c>
      <c r="AA113">
        <v>2743.9671785714499</v>
      </c>
      <c r="AB113">
        <v>7.2057516033746838</v>
      </c>
      <c r="AC113">
        <v>2199.7310820922753</v>
      </c>
      <c r="AD113">
        <v>10.051435886345475</v>
      </c>
      <c r="AE113">
        <v>2001.1742084866189</v>
      </c>
      <c r="AF113">
        <v>7.1983337187777519</v>
      </c>
      <c r="AG113">
        <v>2131.9215046181444</v>
      </c>
      <c r="AH113">
        <v>10.046442794392</v>
      </c>
      <c r="AI113">
        <v>1908.7824800185049</v>
      </c>
      <c r="AJ113">
        <v>7.1954854673979058</v>
      </c>
    </row>
    <row r="114" spans="4:36" x14ac:dyDescent="0.45">
      <c r="D114">
        <v>107</v>
      </c>
      <c r="E114">
        <v>11.557383821650886</v>
      </c>
      <c r="F114">
        <v>0.40691926285941632</v>
      </c>
      <c r="G114">
        <v>0.14116759712093191</v>
      </c>
      <c r="H114">
        <v>17.894529318368761</v>
      </c>
      <c r="I114">
        <v>11.748412415514652</v>
      </c>
      <c r="J114">
        <v>0.25961189957130359</v>
      </c>
      <c r="K114">
        <v>8.9805441929852167E-2</v>
      </c>
      <c r="L114">
        <v>17.902170242984202</v>
      </c>
      <c r="M114">
        <v>11.660760730081893</v>
      </c>
      <c r="N114">
        <v>0.32722678887161916</v>
      </c>
      <c r="O114">
        <v>0.11334382404038519</v>
      </c>
      <c r="P114">
        <v>17.898668657006112</v>
      </c>
      <c r="Q114">
        <v>11.606958564010547</v>
      </c>
      <c r="R114">
        <v>0.3687096564347635</v>
      </c>
      <c r="S114">
        <v>0.1278161308775202</v>
      </c>
      <c r="T114">
        <v>17.89651564867717</v>
      </c>
      <c r="U114">
        <v>1493.6371573052727</v>
      </c>
      <c r="V114">
        <v>9.1243155731201089</v>
      </c>
      <c r="W114">
        <v>1259.8697283787699</v>
      </c>
      <c r="X114">
        <v>6.6558398006429949</v>
      </c>
      <c r="Y114">
        <v>2849.8764862895541</v>
      </c>
      <c r="Z114">
        <v>9.1554903682305415</v>
      </c>
      <c r="AA114">
        <v>2701.6743231076366</v>
      </c>
      <c r="AB114">
        <v>6.6745145292036199</v>
      </c>
      <c r="AC114">
        <v>2193.2169165703485</v>
      </c>
      <c r="AD114">
        <v>9.1411838242206507</v>
      </c>
      <c r="AE114">
        <v>2003.8297076057934</v>
      </c>
      <c r="AF114">
        <v>6.665953030784828</v>
      </c>
      <c r="AG114">
        <v>2077.9875173797473</v>
      </c>
      <c r="AH114">
        <v>9.1324041243985565</v>
      </c>
      <c r="AI114">
        <v>1875.5295302951843</v>
      </c>
      <c r="AJ114">
        <v>6.6606917766388758</v>
      </c>
    </row>
    <row r="115" spans="4:36" x14ac:dyDescent="0.45">
      <c r="D115">
        <v>108</v>
      </c>
      <c r="E115">
        <v>12.455901805811196</v>
      </c>
      <c r="F115">
        <v>0.4261568005537259</v>
      </c>
      <c r="G115">
        <v>0.17029854438938455</v>
      </c>
      <c r="H115">
        <v>16.947642849245714</v>
      </c>
      <c r="I115">
        <v>12.691086436488607</v>
      </c>
      <c r="J115">
        <v>0.25842886563628858</v>
      </c>
      <c r="K115">
        <v>0.10289969062113601</v>
      </c>
      <c r="L115">
        <v>16.947585007253963</v>
      </c>
      <c r="M115">
        <v>12.596254545317436</v>
      </c>
      <c r="N115">
        <v>0.32610126248547933</v>
      </c>
      <c r="O115">
        <v>0.13003343255021493</v>
      </c>
      <c r="P115">
        <v>16.947610759646871</v>
      </c>
      <c r="Q115">
        <v>12.517915341216003</v>
      </c>
      <c r="R115">
        <v>0.38196311833996838</v>
      </c>
      <c r="S115">
        <v>0.15249197471452383</v>
      </c>
      <c r="T115">
        <v>16.947629565729514</v>
      </c>
      <c r="U115">
        <v>1505.9416842089283</v>
      </c>
      <c r="V115">
        <v>9.7475634518533525</v>
      </c>
      <c r="W115">
        <v>1262.111842451005</v>
      </c>
      <c r="X115">
        <v>7.0064822534724769</v>
      </c>
      <c r="Y115">
        <v>2870.5057773960925</v>
      </c>
      <c r="Z115">
        <v>9.789378249778018</v>
      </c>
      <c r="AA115">
        <v>2713.4215157527751</v>
      </c>
      <c r="AB115">
        <v>7.0307836701899253</v>
      </c>
      <c r="AC115">
        <v>2205.4580150530323</v>
      </c>
      <c r="AD115">
        <v>9.7725170553479028</v>
      </c>
      <c r="AE115">
        <v>2008.5632906740684</v>
      </c>
      <c r="AF115">
        <v>7.0209957093948994</v>
      </c>
      <c r="AG115">
        <v>2112.3531888838174</v>
      </c>
      <c r="AH115">
        <v>9.7585887814818637</v>
      </c>
      <c r="AI115">
        <v>1895.0520677291195</v>
      </c>
      <c r="AJ115">
        <v>7.0128989099823213</v>
      </c>
    </row>
    <row r="116" spans="4:36" x14ac:dyDescent="0.45">
      <c r="D116">
        <v>109</v>
      </c>
      <c r="E116">
        <v>11.481627214783943</v>
      </c>
      <c r="F116">
        <v>0.40957824859424857</v>
      </c>
      <c r="G116">
        <v>0.16377997896498997</v>
      </c>
      <c r="H116">
        <v>17.94501455765683</v>
      </c>
      <c r="I116">
        <v>11.638596845578114</v>
      </c>
      <c r="J116">
        <v>0.28483080530582805</v>
      </c>
      <c r="K116">
        <v>0.11361055206309482</v>
      </c>
      <c r="L116">
        <v>17.962961797052962</v>
      </c>
      <c r="M116">
        <v>11.564153102518091</v>
      </c>
      <c r="N116">
        <v>0.34400813476771441</v>
      </c>
      <c r="O116">
        <v>0.13737791585462328</v>
      </c>
      <c r="P116">
        <v>17.954460846859561</v>
      </c>
      <c r="Q116">
        <v>11.522175568376307</v>
      </c>
      <c r="R116">
        <v>0.37736517644644957</v>
      </c>
      <c r="S116">
        <v>0.15080038824984648</v>
      </c>
      <c r="T116">
        <v>17.949658866927411</v>
      </c>
      <c r="U116">
        <v>1469.1902375469951</v>
      </c>
      <c r="V116">
        <v>9.0478596056255363</v>
      </c>
      <c r="W116">
        <v>1244.1102371660397</v>
      </c>
      <c r="X116">
        <v>6.6034028951191361</v>
      </c>
      <c r="Y116">
        <v>2868.1664272572748</v>
      </c>
      <c r="Z116">
        <v>9.0645566082912445</v>
      </c>
      <c r="AA116">
        <v>2714.5657891333331</v>
      </c>
      <c r="AB116">
        <v>6.614086171558176</v>
      </c>
      <c r="AC116">
        <v>2158.0056974225308</v>
      </c>
      <c r="AD116">
        <v>9.0566322305069065</v>
      </c>
      <c r="AE116">
        <v>1978.5704269374105</v>
      </c>
      <c r="AF116">
        <v>6.6090214062926975</v>
      </c>
      <c r="AG116">
        <v>2081.0529996481791</v>
      </c>
      <c r="AH116">
        <v>9.0521683608424439</v>
      </c>
      <c r="AI116">
        <v>1879.2576187546019</v>
      </c>
      <c r="AJ116">
        <v>6.6061640131153627</v>
      </c>
    </row>
    <row r="117" spans="4:36" x14ac:dyDescent="0.45">
      <c r="D117">
        <v>110</v>
      </c>
      <c r="E117">
        <v>12.787649030538601</v>
      </c>
      <c r="F117">
        <v>0.44260132653255824</v>
      </c>
      <c r="G117">
        <v>0.14979761476966386</v>
      </c>
      <c r="H117">
        <v>16.619952028159183</v>
      </c>
      <c r="I117">
        <v>12.992379222212554</v>
      </c>
      <c r="J117">
        <v>0.29701651778829319</v>
      </c>
      <c r="K117">
        <v>0.10024520875323274</v>
      </c>
      <c r="L117">
        <v>16.610359051245926</v>
      </c>
      <c r="M117">
        <v>12.922014204769495</v>
      </c>
      <c r="N117">
        <v>0.34708207110098621</v>
      </c>
      <c r="O117">
        <v>0.11725436459725538</v>
      </c>
      <c r="P117">
        <v>16.613649359532264</v>
      </c>
      <c r="Q117">
        <v>12.842374290972808</v>
      </c>
      <c r="R117">
        <v>0.40371077299830954</v>
      </c>
      <c r="S117">
        <v>0.1365330427139777</v>
      </c>
      <c r="T117">
        <v>16.617381893314899</v>
      </c>
      <c r="U117">
        <v>1542.4457173838418</v>
      </c>
      <c r="V117">
        <v>10.095129877421257</v>
      </c>
      <c r="W117">
        <v>1288.3841967851449</v>
      </c>
      <c r="X117">
        <v>7.2237142747211527</v>
      </c>
      <c r="Y117">
        <v>2884.1654391000575</v>
      </c>
      <c r="Z117">
        <v>10.141696739606232</v>
      </c>
      <c r="AA117">
        <v>2721.0691320772053</v>
      </c>
      <c r="AB117">
        <v>7.250168988170608</v>
      </c>
      <c r="AC117">
        <v>2204.7743463190263</v>
      </c>
      <c r="AD117">
        <v>10.125695586960941</v>
      </c>
      <c r="AE117">
        <v>2007.3277374674101</v>
      </c>
      <c r="AF117">
        <v>7.2410873563498308</v>
      </c>
      <c r="AG117">
        <v>2124.8260609263889</v>
      </c>
      <c r="AH117">
        <v>10.107580629374176</v>
      </c>
      <c r="AI117">
        <v>1903.5412852632016</v>
      </c>
      <c r="AJ117">
        <v>7.2307951066685643</v>
      </c>
    </row>
    <row r="118" spans="4:36" x14ac:dyDescent="0.45">
      <c r="D118">
        <v>111</v>
      </c>
      <c r="E118">
        <v>14.502853192672976</v>
      </c>
      <c r="F118">
        <v>0.47000413551426329</v>
      </c>
      <c r="G118">
        <v>0.16790702682064521</v>
      </c>
      <c r="H118">
        <v>14.859235644992101</v>
      </c>
      <c r="I118">
        <v>14.75953003823639</v>
      </c>
      <c r="J118">
        <v>0.31019042172089595</v>
      </c>
      <c r="K118">
        <v>0.11042277174214331</v>
      </c>
      <c r="L118">
        <v>14.819856768300566</v>
      </c>
      <c r="M118">
        <v>14.628325948555682</v>
      </c>
      <c r="N118">
        <v>0.39193642341868057</v>
      </c>
      <c r="O118">
        <v>0.13977469687040234</v>
      </c>
      <c r="P118">
        <v>14.839962931155236</v>
      </c>
      <c r="Q118">
        <v>14.583034797091017</v>
      </c>
      <c r="R118">
        <v>0.42012823937107502</v>
      </c>
      <c r="S118">
        <v>0.14992236092642591</v>
      </c>
      <c r="T118">
        <v>14.846914602611486</v>
      </c>
      <c r="U118">
        <v>1638.74727634181</v>
      </c>
      <c r="V118">
        <v>11.413658447808375</v>
      </c>
      <c r="W118">
        <v>1338.0176774411209</v>
      </c>
      <c r="X118">
        <v>7.9716119752069412</v>
      </c>
      <c r="Y118">
        <v>2963.4748330583207</v>
      </c>
      <c r="Z118">
        <v>11.484084926967569</v>
      </c>
      <c r="AA118">
        <v>2765.4295331198896</v>
      </c>
      <c r="AB118">
        <v>8.0099843302662279</v>
      </c>
      <c r="AC118">
        <v>2309.4352053299417</v>
      </c>
      <c r="AD118">
        <v>11.448099085418651</v>
      </c>
      <c r="AE118">
        <v>2065.0431136937104</v>
      </c>
      <c r="AF118">
        <v>7.9903903335889019</v>
      </c>
      <c r="AG118">
        <v>2208.9345037545868</v>
      </c>
      <c r="AH118">
        <v>11.43567028768749</v>
      </c>
      <c r="AI118">
        <v>1947.4396288273836</v>
      </c>
      <c r="AJ118">
        <v>7.9836165947771072</v>
      </c>
    </row>
    <row r="119" spans="4:36" x14ac:dyDescent="0.45">
      <c r="D119">
        <v>112</v>
      </c>
      <c r="E119">
        <v>12.973962409392396</v>
      </c>
      <c r="F119">
        <v>0.49275094116698165</v>
      </c>
      <c r="G119">
        <v>0.16882513955781145</v>
      </c>
      <c r="H119">
        <v>16.36446150988283</v>
      </c>
      <c r="I119">
        <v>13.228086308748813</v>
      </c>
      <c r="J119">
        <v>0.30422157906891961</v>
      </c>
      <c r="K119">
        <v>0.10387608435121221</v>
      </c>
      <c r="L119">
        <v>16.363816027831035</v>
      </c>
      <c r="M119">
        <v>13.105579498285785</v>
      </c>
      <c r="N119">
        <v>0.39515128661595922</v>
      </c>
      <c r="O119">
        <v>0.13514544884546922</v>
      </c>
      <c r="P119">
        <v>16.364123766252778</v>
      </c>
      <c r="Q119">
        <v>13.081020648117615</v>
      </c>
      <c r="R119">
        <v>0.41336999243577049</v>
      </c>
      <c r="S119">
        <v>0.14142313630583553</v>
      </c>
      <c r="T119">
        <v>16.364186223140781</v>
      </c>
      <c r="U119">
        <v>1577.5320396697782</v>
      </c>
      <c r="V119">
        <v>10.266709074495751</v>
      </c>
      <c r="W119">
        <v>1307.4526320714306</v>
      </c>
      <c r="X119">
        <v>7.3178200742319843</v>
      </c>
      <c r="Y119">
        <v>2904.7352233938245</v>
      </c>
      <c r="Z119">
        <v>10.312245753593816</v>
      </c>
      <c r="AA119">
        <v>2733.6200473828976</v>
      </c>
      <c r="AB119">
        <v>7.3438819201523007</v>
      </c>
      <c r="AC119">
        <v>2259.459732250632</v>
      </c>
      <c r="AD119">
        <v>10.290295773870875</v>
      </c>
      <c r="AE119">
        <v>2041.1044735141868</v>
      </c>
      <c r="AF119">
        <v>7.3313313570696739</v>
      </c>
      <c r="AG119">
        <v>2137.6622610910554</v>
      </c>
      <c r="AH119">
        <v>10.285895005058142</v>
      </c>
      <c r="AI119">
        <v>1909.7631758101215</v>
      </c>
      <c r="AJ119">
        <v>7.3288124115493201</v>
      </c>
    </row>
    <row r="120" spans="4:36" x14ac:dyDescent="0.45">
      <c r="D120">
        <v>113</v>
      </c>
      <c r="E120">
        <v>14.93432004932707</v>
      </c>
      <c r="F120">
        <v>0.52212509648650773</v>
      </c>
      <c r="G120">
        <v>0.18372596271716693</v>
      </c>
      <c r="H120">
        <v>14.359828891469256</v>
      </c>
      <c r="I120">
        <v>15.240405358812444</v>
      </c>
      <c r="J120">
        <v>0.32639073610421498</v>
      </c>
      <c r="K120">
        <v>0.11439090305594475</v>
      </c>
      <c r="L120">
        <v>14.318813002027397</v>
      </c>
      <c r="M120">
        <v>15.137051144918601</v>
      </c>
      <c r="N120">
        <v>0.39254976181895834</v>
      </c>
      <c r="O120">
        <v>0.13776319949801699</v>
      </c>
      <c r="P120">
        <v>14.332635893764436</v>
      </c>
      <c r="Q120">
        <v>15.035722894412771</v>
      </c>
      <c r="R120">
        <v>0.45734637924271809</v>
      </c>
      <c r="S120">
        <v>0.16071653041288489</v>
      </c>
      <c r="T120">
        <v>14.346214195931633</v>
      </c>
      <c r="U120">
        <v>1708.6974464774962</v>
      </c>
      <c r="V120">
        <v>11.812406427694507</v>
      </c>
      <c r="W120">
        <v>1379.8781196308757</v>
      </c>
      <c r="X120">
        <v>8.1982527641049323</v>
      </c>
      <c r="Y120">
        <v>3012.0906352975312</v>
      </c>
      <c r="Z120">
        <v>11.891282696775344</v>
      </c>
      <c r="AA120">
        <v>2795.9595720118746</v>
      </c>
      <c r="AB120">
        <v>8.2410155175258133</v>
      </c>
      <c r="AC120">
        <v>2343.3583688664812</v>
      </c>
      <c r="AD120">
        <v>11.864664974618877</v>
      </c>
      <c r="AE120">
        <v>2085.984943047406</v>
      </c>
      <c r="AF120">
        <v>8.2265994974469159</v>
      </c>
      <c r="AG120">
        <v>2251.7378050714497</v>
      </c>
      <c r="AH120">
        <v>11.838553219571684</v>
      </c>
      <c r="AI120">
        <v>1971.8063401940681</v>
      </c>
      <c r="AJ120">
        <v>8.2124429367940959</v>
      </c>
    </row>
    <row r="121" spans="4:36" x14ac:dyDescent="0.45">
      <c r="D121">
        <v>114</v>
      </c>
      <c r="E121">
        <v>12.171805342336093</v>
      </c>
      <c r="F121">
        <v>0.4615095877900921</v>
      </c>
      <c r="G121">
        <v>0.1702047912838883</v>
      </c>
      <c r="H121">
        <v>17.196480278589924</v>
      </c>
      <c r="I121">
        <v>12.351663256384098</v>
      </c>
      <c r="J121">
        <v>0.31945521479274558</v>
      </c>
      <c r="K121">
        <v>0.11749851253272445</v>
      </c>
      <c r="L121">
        <v>17.211383016290423</v>
      </c>
      <c r="M121">
        <v>12.270184661574328</v>
      </c>
      <c r="N121">
        <v>0.38382768316765298</v>
      </c>
      <c r="O121">
        <v>0.14134692274448246</v>
      </c>
      <c r="P121">
        <v>17.204640732513553</v>
      </c>
      <c r="Q121">
        <v>12.23804752716139</v>
      </c>
      <c r="R121">
        <v>0.40920888608896899</v>
      </c>
      <c r="S121">
        <v>0.15076621856114431</v>
      </c>
      <c r="T121">
        <v>17.201977368188501</v>
      </c>
      <c r="U121">
        <v>1515.5079293026558</v>
      </c>
      <c r="V121">
        <v>9.5963528575979087</v>
      </c>
      <c r="W121">
        <v>1269.794215021177</v>
      </c>
      <c r="X121">
        <v>6.9226947867982123</v>
      </c>
      <c r="Y121">
        <v>2874.2411140850568</v>
      </c>
      <c r="Z121">
        <v>9.6178721037406021</v>
      </c>
      <c r="AA121">
        <v>2713.6136986848865</v>
      </c>
      <c r="AB121">
        <v>6.9357624009637613</v>
      </c>
      <c r="AC121">
        <v>2208.9379814343934</v>
      </c>
      <c r="AD121">
        <v>9.6081195758884412</v>
      </c>
      <c r="AE121">
        <v>2009.4268503360847</v>
      </c>
      <c r="AF121">
        <v>6.9298460435151288</v>
      </c>
      <c r="AG121">
        <v>2095.6032896801653</v>
      </c>
      <c r="AH121">
        <v>9.6042747391123093</v>
      </c>
      <c r="AI121">
        <v>1883.8520876647256</v>
      </c>
      <c r="AJ121">
        <v>6.9275109056082096</v>
      </c>
    </row>
    <row r="122" spans="4:36" x14ac:dyDescent="0.45">
      <c r="D122">
        <v>115</v>
      </c>
      <c r="E122">
        <v>13.338589758628089</v>
      </c>
      <c r="F122">
        <v>0.49513669022656626</v>
      </c>
      <c r="G122">
        <v>0.18530470599226107</v>
      </c>
      <c r="H122">
        <v>15.980968845153091</v>
      </c>
      <c r="I122">
        <v>13.637349573857286</v>
      </c>
      <c r="J122">
        <v>0.28698431834130433</v>
      </c>
      <c r="K122">
        <v>0.10696272058289956</v>
      </c>
      <c r="L122">
        <v>15.968703387218513</v>
      </c>
      <c r="M122">
        <v>13.520960224150993</v>
      </c>
      <c r="N122">
        <v>0.36813989655894164</v>
      </c>
      <c r="O122">
        <v>0.13742931639340675</v>
      </c>
      <c r="P122">
        <v>15.973470562896647</v>
      </c>
      <c r="Q122">
        <v>13.48217397706596</v>
      </c>
      <c r="R122">
        <v>0.39516640890344573</v>
      </c>
      <c r="S122">
        <v>0.1475972688791348</v>
      </c>
      <c r="T122">
        <v>15.975062345151443</v>
      </c>
      <c r="U122">
        <v>1600.1751436262266</v>
      </c>
      <c r="V122">
        <v>10.538011644696246</v>
      </c>
      <c r="W122">
        <v>1319.567081686082</v>
      </c>
      <c r="X122">
        <v>7.4727127876739496</v>
      </c>
      <c r="Y122">
        <v>2888.4219982082132</v>
      </c>
      <c r="Z122">
        <v>10.603091853392018</v>
      </c>
      <c r="AA122">
        <v>2720.8028880549296</v>
      </c>
      <c r="AB122">
        <v>7.5094711981193694</v>
      </c>
      <c r="AC122">
        <v>2261.7575057521458</v>
      </c>
      <c r="AD122">
        <v>10.577744453231942</v>
      </c>
      <c r="AE122">
        <v>2041.5176962439582</v>
      </c>
      <c r="AF122">
        <v>7.4951720656122971</v>
      </c>
      <c r="AG122">
        <v>2154.8298245294031</v>
      </c>
      <c r="AH122">
        <v>10.569295787440762</v>
      </c>
      <c r="AI122">
        <v>1920.0074204111195</v>
      </c>
      <c r="AJ122">
        <v>7.4904010172882138</v>
      </c>
    </row>
    <row r="123" spans="4:36" x14ac:dyDescent="0.45">
      <c r="D123">
        <v>116</v>
      </c>
      <c r="E123">
        <v>14.251902637954162</v>
      </c>
      <c r="F123">
        <v>0.51694391784224003</v>
      </c>
      <c r="G123">
        <v>0.19884052255993803</v>
      </c>
      <c r="H123">
        <v>15.03231292164366</v>
      </c>
      <c r="I123">
        <v>14.512547364393162</v>
      </c>
      <c r="J123">
        <v>0.34022247857959476</v>
      </c>
      <c r="K123">
        <v>0.13042199498264967</v>
      </c>
      <c r="L123">
        <v>15.016808162044596</v>
      </c>
      <c r="M123">
        <v>14.422052206086205</v>
      </c>
      <c r="N123">
        <v>0.40162655623806887</v>
      </c>
      <c r="O123">
        <v>0.15414139799139115</v>
      </c>
      <c r="P123">
        <v>15.022179839684329</v>
      </c>
      <c r="Q123">
        <v>14.382093344032398</v>
      </c>
      <c r="R123">
        <v>0.42872422170531094</v>
      </c>
      <c r="S123">
        <v>0.16462680109821232</v>
      </c>
      <c r="T123">
        <v>15.024555633164086</v>
      </c>
      <c r="U123">
        <v>1618.6127114456144</v>
      </c>
      <c r="V123">
        <v>11.264144018747057</v>
      </c>
      <c r="W123">
        <v>1326.1353430217375</v>
      </c>
      <c r="X123">
        <v>7.8847070096561627</v>
      </c>
      <c r="Y123">
        <v>2958.901415734982</v>
      </c>
      <c r="Z123">
        <v>11.32006764833962</v>
      </c>
      <c r="AA123">
        <v>2763.7567718098385</v>
      </c>
      <c r="AB123">
        <v>7.9156457173253871</v>
      </c>
      <c r="AC123">
        <v>2301.6442174424674</v>
      </c>
      <c r="AD123">
        <v>11.300658051492121</v>
      </c>
      <c r="AE123">
        <v>2063.3297411484473</v>
      </c>
      <c r="AF123">
        <v>7.9049182428280016</v>
      </c>
      <c r="AG123">
        <v>2171.3329812257093</v>
      </c>
      <c r="AH123">
        <v>11.292085250411738</v>
      </c>
      <c r="AI123">
        <v>1925.1231052070389</v>
      </c>
      <c r="AJ123">
        <v>7.9001766038735495</v>
      </c>
    </row>
    <row r="124" spans="4:36" x14ac:dyDescent="0.45">
      <c r="D124">
        <v>117</v>
      </c>
      <c r="E124">
        <v>11.962901406657636</v>
      </c>
      <c r="F124">
        <v>0.4608459712728829</v>
      </c>
      <c r="G124">
        <v>0.17059540037776955</v>
      </c>
      <c r="H124">
        <v>17.405657221691712</v>
      </c>
      <c r="I124">
        <v>12.181369044011177</v>
      </c>
      <c r="J124">
        <v>0.29013880072267684</v>
      </c>
      <c r="K124">
        <v>0.10702686060971356</v>
      </c>
      <c r="L124">
        <v>17.421465294656446</v>
      </c>
      <c r="M124">
        <v>12.094498645877948</v>
      </c>
      <c r="N124">
        <v>0.35804692909547242</v>
      </c>
      <c r="O124">
        <v>0.13226057226838625</v>
      </c>
      <c r="P124">
        <v>17.415193852758193</v>
      </c>
      <c r="Q124">
        <v>12.05931612094968</v>
      </c>
      <c r="R124">
        <v>0.38553889030034783</v>
      </c>
      <c r="S124">
        <v>0.14249645794592003</v>
      </c>
      <c r="T124">
        <v>17.412648530804066</v>
      </c>
      <c r="U124">
        <v>1539.9953016560271</v>
      </c>
      <c r="V124">
        <v>9.5122913231732387</v>
      </c>
      <c r="W124">
        <v>1285.4771149910625</v>
      </c>
      <c r="X124">
        <v>6.8853402002024202</v>
      </c>
      <c r="Y124">
        <v>2873.8130527741296</v>
      </c>
      <c r="Z124">
        <v>9.5436096455545343</v>
      </c>
      <c r="AA124">
        <v>2714.1818664754701</v>
      </c>
      <c r="AB124">
        <v>6.9044827310174579</v>
      </c>
      <c r="AC124">
        <v>2227.0893688797046</v>
      </c>
      <c r="AD124">
        <v>9.5311486413014723</v>
      </c>
      <c r="AE124">
        <v>2022.9198791682231</v>
      </c>
      <c r="AF124">
        <v>6.8968769002660162</v>
      </c>
      <c r="AG124">
        <v>2112.4228208754562</v>
      </c>
      <c r="AH124">
        <v>9.526104827650471</v>
      </c>
      <c r="AI124">
        <v>1896.0633616552182</v>
      </c>
      <c r="AJ124">
        <v>6.8937943278380471</v>
      </c>
    </row>
    <row r="125" spans="4:36" x14ac:dyDescent="0.45">
      <c r="D125">
        <v>118</v>
      </c>
      <c r="E125">
        <v>12.077039371958785</v>
      </c>
      <c r="F125">
        <v>0.4508801524195542</v>
      </c>
      <c r="G125">
        <v>0.15517403871685506</v>
      </c>
      <c r="H125">
        <v>17.316906436904823</v>
      </c>
      <c r="I125">
        <v>12.267065694652837</v>
      </c>
      <c r="J125">
        <v>0.30379604405901262</v>
      </c>
      <c r="K125">
        <v>0.10426348310895572</v>
      </c>
      <c r="L125">
        <v>17.324874778179186</v>
      </c>
      <c r="M125">
        <v>12.194686681834815</v>
      </c>
      <c r="N125">
        <v>0.35984088280530507</v>
      </c>
      <c r="O125">
        <v>0.12362857552190382</v>
      </c>
      <c r="P125">
        <v>17.321843859837966</v>
      </c>
      <c r="Q125">
        <v>12.154237693755197</v>
      </c>
      <c r="R125">
        <v>0.39114973373718054</v>
      </c>
      <c r="S125">
        <v>0.13446475197847779</v>
      </c>
      <c r="T125">
        <v>17.320147820529147</v>
      </c>
      <c r="U125">
        <v>1518.962190183634</v>
      </c>
      <c r="V125">
        <v>9.5079545788452293</v>
      </c>
      <c r="W125">
        <v>1275.4438231346937</v>
      </c>
      <c r="X125">
        <v>6.8735764012583997</v>
      </c>
      <c r="Y125">
        <v>2880.7739922887695</v>
      </c>
      <c r="Z125">
        <v>9.5394116170232319</v>
      </c>
      <c r="AA125">
        <v>2721.076029943908</v>
      </c>
      <c r="AB125">
        <v>6.8922831758113361</v>
      </c>
      <c r="AC125">
        <v>2193.3040133141058</v>
      </c>
      <c r="AD125">
        <v>9.5274275768398109</v>
      </c>
      <c r="AE125">
        <v>2001.7316559483734</v>
      </c>
      <c r="AF125">
        <v>6.8851642122649697</v>
      </c>
      <c r="AG125">
        <v>2079.1683726143042</v>
      </c>
      <c r="AH125">
        <v>9.5207315757916273</v>
      </c>
      <c r="AI125">
        <v>1875.2632827311816</v>
      </c>
      <c r="AJ125">
        <v>6.8811824455841029</v>
      </c>
    </row>
    <row r="126" spans="4:36" x14ac:dyDescent="0.45">
      <c r="D126">
        <v>119</v>
      </c>
      <c r="E126">
        <v>11.884212597166048</v>
      </c>
      <c r="F126">
        <v>0.40655692177139935</v>
      </c>
      <c r="G126">
        <v>0.15928240877268959</v>
      </c>
      <c r="H126">
        <v>17.549948072289855</v>
      </c>
      <c r="I126">
        <v>12.059565306599207</v>
      </c>
      <c r="J126">
        <v>0.27673382257864443</v>
      </c>
      <c r="K126">
        <v>0.10811927770016766</v>
      </c>
      <c r="L126">
        <v>17.555581593121989</v>
      </c>
      <c r="M126">
        <v>11.985958315672026</v>
      </c>
      <c r="N126">
        <v>0.33125089448930845</v>
      </c>
      <c r="O126">
        <v>0.12956934118521934</v>
      </c>
      <c r="P126">
        <v>17.553221448653446</v>
      </c>
      <c r="Q126">
        <v>11.948823601373331</v>
      </c>
      <c r="R126">
        <v>0.35874278778384122</v>
      </c>
      <c r="S126">
        <v>0.14040537994402005</v>
      </c>
      <c r="T126">
        <v>17.552028230898802</v>
      </c>
      <c r="U126">
        <v>1470.09298359273</v>
      </c>
      <c r="V126">
        <v>9.3814621363816872</v>
      </c>
      <c r="W126">
        <v>1241.9096512926733</v>
      </c>
      <c r="X126">
        <v>6.8044848479584719</v>
      </c>
      <c r="Y126">
        <v>2878.6139891276125</v>
      </c>
      <c r="Z126">
        <v>9.4079741537122832</v>
      </c>
      <c r="AA126">
        <v>2720.7259916299772</v>
      </c>
      <c r="AB126">
        <v>6.8203485160002897</v>
      </c>
      <c r="AC126">
        <v>2182.0187565766996</v>
      </c>
      <c r="AD126">
        <v>9.3968428296983788</v>
      </c>
      <c r="AE126">
        <v>1994.6850491346079</v>
      </c>
      <c r="AF126">
        <v>6.8136945286770114</v>
      </c>
      <c r="AG126">
        <v>2080.044922398999</v>
      </c>
      <c r="AH126">
        <v>9.3912284461687001</v>
      </c>
      <c r="AI126">
        <v>1877.2547016148294</v>
      </c>
      <c r="AJ126">
        <v>6.8103348395856287</v>
      </c>
    </row>
    <row r="127" spans="4:36" x14ac:dyDescent="0.45">
      <c r="D127">
        <v>120</v>
      </c>
      <c r="E127">
        <v>11.803919918055588</v>
      </c>
      <c r="F127">
        <v>0.41163751232894291</v>
      </c>
      <c r="G127">
        <v>0.16444054492130056</v>
      </c>
      <c r="H127">
        <v>17.620002024694163</v>
      </c>
      <c r="I127">
        <v>11.96978944609341</v>
      </c>
      <c r="J127">
        <v>0.28611993889182102</v>
      </c>
      <c r="K127">
        <v>0.11399626541431318</v>
      </c>
      <c r="L127">
        <v>17.630094349600462</v>
      </c>
      <c r="M127">
        <v>11.906612526220053</v>
      </c>
      <c r="N127">
        <v>0.33394553304668606</v>
      </c>
      <c r="O127">
        <v>0.133184953676977</v>
      </c>
      <c r="P127">
        <v>17.626256987056291</v>
      </c>
      <c r="Q127">
        <v>11.854914251107811</v>
      </c>
      <c r="R127">
        <v>0.37306517500028319</v>
      </c>
      <c r="S127">
        <v>0.14890979684968261</v>
      </c>
      <c r="T127">
        <v>17.623110777042221</v>
      </c>
      <c r="U127">
        <v>1500.3985969302255</v>
      </c>
      <c r="V127">
        <v>9.366433382238915</v>
      </c>
      <c r="W127">
        <v>1262.1243673266474</v>
      </c>
      <c r="X127">
        <v>6.8018203473542531</v>
      </c>
      <c r="Y127">
        <v>2892.1045466857372</v>
      </c>
      <c r="Z127">
        <v>9.3910893973802061</v>
      </c>
      <c r="AA127">
        <v>2728.7455633870973</v>
      </c>
      <c r="AB127">
        <v>6.8168144254310974</v>
      </c>
      <c r="AC127">
        <v>2186.3005658245561</v>
      </c>
      <c r="AD127">
        <v>9.381694693561105</v>
      </c>
      <c r="AE127">
        <v>1996.3566157965647</v>
      </c>
      <c r="AF127">
        <v>6.8111073230613473</v>
      </c>
      <c r="AG127">
        <v>2083.0298718540016</v>
      </c>
      <c r="AH127">
        <v>9.3740102437478292</v>
      </c>
      <c r="AI127">
        <v>1876.881005386515</v>
      </c>
      <c r="AJ127">
        <v>6.8064335948287367</v>
      </c>
    </row>
    <row r="128" spans="4:36" x14ac:dyDescent="0.45">
      <c r="D128">
        <v>121</v>
      </c>
      <c r="E128">
        <v>12.651944062754303</v>
      </c>
      <c r="F128">
        <v>0.42122878186826296</v>
      </c>
      <c r="G128">
        <v>0.13356573016597192</v>
      </c>
      <c r="H128">
        <v>16.793261425211476</v>
      </c>
      <c r="I128">
        <v>12.877300546524692</v>
      </c>
      <c r="J128">
        <v>0.27100286346728775</v>
      </c>
      <c r="K128">
        <v>8.5659768127401573E-2</v>
      </c>
      <c r="L128">
        <v>16.766036821880622</v>
      </c>
      <c r="M128">
        <v>12.770207293114275</v>
      </c>
      <c r="N128">
        <v>0.34243537823151404</v>
      </c>
      <c r="O128">
        <v>0.10840070906245101</v>
      </c>
      <c r="P128">
        <v>16.778956619591753</v>
      </c>
      <c r="Q128">
        <v>12.746358903059724</v>
      </c>
      <c r="R128">
        <v>0.35833208084372087</v>
      </c>
      <c r="S128">
        <v>0.11347093854460438</v>
      </c>
      <c r="T128">
        <v>16.781838077551967</v>
      </c>
      <c r="U128">
        <v>1535.2817155991593</v>
      </c>
      <c r="V128">
        <v>9.937366691024728</v>
      </c>
      <c r="W128">
        <v>1286.8458215734304</v>
      </c>
      <c r="X128">
        <v>7.1288152590562914</v>
      </c>
      <c r="Y128">
        <v>2867.6676600809465</v>
      </c>
      <c r="Z128">
        <v>9.9959164105381682</v>
      </c>
      <c r="AA128">
        <v>2712.3381158893067</v>
      </c>
      <c r="AB128">
        <v>7.1617325347674097</v>
      </c>
      <c r="AC128">
        <v>2207.7780007236024</v>
      </c>
      <c r="AD128">
        <v>9.9681019042972174</v>
      </c>
      <c r="AE128">
        <v>2011.4875173782561</v>
      </c>
      <c r="AF128">
        <v>7.1461075643868455</v>
      </c>
      <c r="AG128">
        <v>2114.9510425258763</v>
      </c>
      <c r="AH128">
        <v>9.9619056554248235</v>
      </c>
      <c r="AI128">
        <v>1901.3553404757861</v>
      </c>
      <c r="AJ128">
        <v>7.1426236797528411</v>
      </c>
    </row>
    <row r="129" spans="4:36" x14ac:dyDescent="0.45">
      <c r="D129">
        <v>122</v>
      </c>
      <c r="E129">
        <v>11.895498900942371</v>
      </c>
      <c r="F129">
        <v>0.43320176984907582</v>
      </c>
      <c r="G129">
        <v>0.14129167929600817</v>
      </c>
      <c r="H129">
        <v>17.530007649912566</v>
      </c>
      <c r="I129">
        <v>12.070653942898886</v>
      </c>
      <c r="J129">
        <v>0.28946151598211828</v>
      </c>
      <c r="K129">
        <v>9.4168850481417363E-2</v>
      </c>
      <c r="L129">
        <v>17.545715690637575</v>
      </c>
      <c r="M129">
        <v>11.958442685326276</v>
      </c>
      <c r="N129">
        <v>0.38156244610470369</v>
      </c>
      <c r="O129">
        <v>0.12433448951570657</v>
      </c>
      <c r="P129">
        <v>17.535660379053315</v>
      </c>
      <c r="Q129">
        <v>11.940085347505988</v>
      </c>
      <c r="R129">
        <v>0.39662465070250474</v>
      </c>
      <c r="S129">
        <v>0.12927730372554722</v>
      </c>
      <c r="T129">
        <v>17.534012698065972</v>
      </c>
      <c r="U129">
        <v>1477.6830449694889</v>
      </c>
      <c r="V129">
        <v>9.3667643304814341</v>
      </c>
      <c r="W129">
        <v>1247.6882497242877</v>
      </c>
      <c r="X129">
        <v>6.7929077316802422</v>
      </c>
      <c r="Y129">
        <v>2869.2050698920461</v>
      </c>
      <c r="Z129">
        <v>9.3922589691769289</v>
      </c>
      <c r="AA129">
        <v>2714.4644656705213</v>
      </c>
      <c r="AB129">
        <v>6.8085640626611328</v>
      </c>
      <c r="AC129">
        <v>2193.6454791569681</v>
      </c>
      <c r="AD129">
        <v>9.3759212418191318</v>
      </c>
      <c r="AE129">
        <v>2001.2327901664682</v>
      </c>
      <c r="AF129">
        <v>6.7985377669835563</v>
      </c>
      <c r="AG129">
        <v>2069.2793282232988</v>
      </c>
      <c r="AH129">
        <v>9.3732500950521374</v>
      </c>
      <c r="AI129">
        <v>1868.5443854739724</v>
      </c>
      <c r="AJ129">
        <v>6.7968962264876138</v>
      </c>
    </row>
    <row r="130" spans="4:36" x14ac:dyDescent="0.45">
      <c r="D130">
        <v>123</v>
      </c>
      <c r="E130">
        <v>12.812707145362449</v>
      </c>
      <c r="F130">
        <v>0.43101623909483661</v>
      </c>
      <c r="G130">
        <v>0.16348810891469254</v>
      </c>
      <c r="H130">
        <v>16.592788506628022</v>
      </c>
      <c r="I130">
        <v>13.037191330094878</v>
      </c>
      <c r="J130">
        <v>0.27605770714576677</v>
      </c>
      <c r="K130">
        <v>0.10437078918413085</v>
      </c>
      <c r="L130">
        <v>16.58238017357521</v>
      </c>
      <c r="M130">
        <v>12.901113236996625</v>
      </c>
      <c r="N130">
        <v>0.37002887840967935</v>
      </c>
      <c r="O130">
        <v>0.14017451825286617</v>
      </c>
      <c r="P130">
        <v>16.58868336634082</v>
      </c>
      <c r="Q130">
        <v>12.902749562529284</v>
      </c>
      <c r="R130">
        <v>0.36889958115699389</v>
      </c>
      <c r="S130">
        <v>0.13974339720709342</v>
      </c>
      <c r="T130">
        <v>16.588607459106626</v>
      </c>
      <c r="U130">
        <v>1563.8859363790018</v>
      </c>
      <c r="V130">
        <v>10.102571742437997</v>
      </c>
      <c r="W130">
        <v>1300.4338938672317</v>
      </c>
      <c r="X130">
        <v>7.2242325622442776</v>
      </c>
      <c r="Y130">
        <v>2900.3320509983437</v>
      </c>
      <c r="Z130">
        <v>10.149293754474789</v>
      </c>
      <c r="AA130">
        <v>2731.4707335630592</v>
      </c>
      <c r="AB130">
        <v>7.2508478745311766</v>
      </c>
      <c r="AC130">
        <v>2230.3712300895131</v>
      </c>
      <c r="AD130">
        <v>10.120975036874334</v>
      </c>
      <c r="AE130">
        <v>2020.5848007658617</v>
      </c>
      <c r="AF130">
        <v>7.2347263708868113</v>
      </c>
      <c r="AG130">
        <v>2139.4302132943208</v>
      </c>
      <c r="AH130">
        <v>10.121315626562494</v>
      </c>
      <c r="AI130">
        <v>1912.85071381234</v>
      </c>
      <c r="AJ130">
        <v>7.2349204525235713</v>
      </c>
    </row>
    <row r="131" spans="4:36" x14ac:dyDescent="0.45">
      <c r="D131">
        <v>124</v>
      </c>
      <c r="E131">
        <v>12.307347750872404</v>
      </c>
      <c r="F131">
        <v>0.46522544288795648</v>
      </c>
      <c r="G131">
        <v>0.15787720638582661</v>
      </c>
      <c r="H131">
        <v>17.069549599853797</v>
      </c>
      <c r="I131">
        <v>12.545695345348328</v>
      </c>
      <c r="J131">
        <v>0.28229602402826548</v>
      </c>
      <c r="K131">
        <v>9.5469124672620309E-2</v>
      </c>
      <c r="L131">
        <v>17.076539505950773</v>
      </c>
      <c r="M131">
        <v>12.409191307632627</v>
      </c>
      <c r="N131">
        <v>0.38709795584746892</v>
      </c>
      <c r="O131">
        <v>0.13116983585680805</v>
      </c>
      <c r="P131">
        <v>17.072540900663093</v>
      </c>
      <c r="Q131">
        <v>12.386348627407184</v>
      </c>
      <c r="R131">
        <v>0.4046260721876625</v>
      </c>
      <c r="S131">
        <v>0.13715472567474868</v>
      </c>
      <c r="T131">
        <v>17.071870574730408</v>
      </c>
      <c r="U131">
        <v>1560.5150871142682</v>
      </c>
      <c r="V131">
        <v>9.7820257300551727</v>
      </c>
      <c r="W131">
        <v>1298.9675358340187</v>
      </c>
      <c r="X131">
        <v>7.046055492347576</v>
      </c>
      <c r="Y131">
        <v>2873.8693418957637</v>
      </c>
      <c r="Z131">
        <v>9.8254829113852047</v>
      </c>
      <c r="AA131">
        <v>2714.2189457084578</v>
      </c>
      <c r="AB131">
        <v>7.071618764389993</v>
      </c>
      <c r="AC131">
        <v>2218.1998300303599</v>
      </c>
      <c r="AD131">
        <v>9.8005919604942608</v>
      </c>
      <c r="AE131">
        <v>2013.2523227813369</v>
      </c>
      <c r="AF131">
        <v>7.0569897480204995</v>
      </c>
      <c r="AG131">
        <v>2119.1332520560568</v>
      </c>
      <c r="AH131">
        <v>9.7964273679268601</v>
      </c>
      <c r="AI131">
        <v>1898.4808732447884</v>
      </c>
      <c r="AJ131">
        <v>7.0545387647598012</v>
      </c>
    </row>
    <row r="132" spans="4:36" x14ac:dyDescent="0.45">
      <c r="D132">
        <v>125</v>
      </c>
      <c r="E132">
        <v>12.11446585296804</v>
      </c>
      <c r="F132">
        <v>0.44160648594144225</v>
      </c>
      <c r="G132">
        <v>0.17069100987165545</v>
      </c>
      <c r="H132">
        <v>17.273236651218859</v>
      </c>
      <c r="I132">
        <v>12.340378314754755</v>
      </c>
      <c r="J132">
        <v>0.27381909094377638</v>
      </c>
      <c r="K132">
        <v>0.10547391728656259</v>
      </c>
      <c r="L132">
        <v>17.280328677014886</v>
      </c>
      <c r="M132">
        <v>12.242235124640693</v>
      </c>
      <c r="N132">
        <v>0.34674688517482982</v>
      </c>
      <c r="O132">
        <v>0.13376426749211234</v>
      </c>
      <c r="P132">
        <v>17.277253722692372</v>
      </c>
      <c r="Q132">
        <v>12.197251411865354</v>
      </c>
      <c r="R132">
        <v>0.38015480789370737</v>
      </c>
      <c r="S132">
        <v>0.14675254420670847</v>
      </c>
      <c r="T132">
        <v>17.275841236034221</v>
      </c>
      <c r="U132">
        <v>1479.998805033392</v>
      </c>
      <c r="V132">
        <v>9.5196930377632416</v>
      </c>
      <c r="W132">
        <v>1248.1105951705365</v>
      </c>
      <c r="X132">
        <v>6.877873793551287</v>
      </c>
      <c r="Y132">
        <v>2845.4952497144354</v>
      </c>
      <c r="Z132">
        <v>9.5596848822695453</v>
      </c>
      <c r="AA132">
        <v>2697.8799358769161</v>
      </c>
      <c r="AB132">
        <v>6.9016505883004093</v>
      </c>
      <c r="AC132">
        <v>2175.8302049707995</v>
      </c>
      <c r="AD132">
        <v>9.5423071094239482</v>
      </c>
      <c r="AE132">
        <v>1990.2545335534026</v>
      </c>
      <c r="AF132">
        <v>6.8913308919673124</v>
      </c>
      <c r="AG132">
        <v>2076.010595103523</v>
      </c>
      <c r="AH132">
        <v>9.5343441483766185</v>
      </c>
      <c r="AI132">
        <v>1874.0704275081991</v>
      </c>
      <c r="AJ132">
        <v>6.8865959420224536</v>
      </c>
    </row>
    <row r="133" spans="4:36" x14ac:dyDescent="0.45">
      <c r="D133">
        <v>126</v>
      </c>
      <c r="E133">
        <v>12.510589734743736</v>
      </c>
      <c r="F133">
        <v>0.43569829084422995</v>
      </c>
      <c r="G133">
        <v>0.19582783732299344</v>
      </c>
      <c r="H133">
        <v>16.857884137089027</v>
      </c>
      <c r="I133">
        <v>12.746381184224509</v>
      </c>
      <c r="J133">
        <v>0.27410484036450972</v>
      </c>
      <c r="K133">
        <v>0.12274935085280322</v>
      </c>
      <c r="L133">
        <v>16.856764624558171</v>
      </c>
      <c r="M133">
        <v>12.65377516524892</v>
      </c>
      <c r="N133">
        <v>0.3376130801798562</v>
      </c>
      <c r="O133">
        <v>0.1514055305802528</v>
      </c>
      <c r="P133">
        <v>16.857206223990971</v>
      </c>
      <c r="Q133">
        <v>12.59680351006517</v>
      </c>
      <c r="R133">
        <v>0.37665600136218269</v>
      </c>
      <c r="S133">
        <v>0.16906381556432956</v>
      </c>
      <c r="T133">
        <v>16.857476673008325</v>
      </c>
      <c r="U133">
        <v>1554.3035688778898</v>
      </c>
      <c r="V133">
        <v>9.9382718980111626</v>
      </c>
      <c r="W133">
        <v>1292.3496124880592</v>
      </c>
      <c r="X133">
        <v>7.1358534600329877</v>
      </c>
      <c r="Y133">
        <v>2903.6427229184005</v>
      </c>
      <c r="Z133">
        <v>9.9851964826313484</v>
      </c>
      <c r="AA133">
        <v>2733.5217927091535</v>
      </c>
      <c r="AB133">
        <v>7.1632039357961919</v>
      </c>
      <c r="AC133">
        <v>2244.6507536421577</v>
      </c>
      <c r="AD133">
        <v>9.9667655705172375</v>
      </c>
      <c r="AE133">
        <v>2032.8174804020914</v>
      </c>
      <c r="AF133">
        <v>7.1524739628874237</v>
      </c>
      <c r="AG133">
        <v>2150.7132626733846</v>
      </c>
      <c r="AH133">
        <v>9.9554277437220886</v>
      </c>
      <c r="AI133">
        <v>1919.6927547952641</v>
      </c>
      <c r="AJ133">
        <v>7.1458652790682367</v>
      </c>
    </row>
    <row r="134" spans="4:36" x14ac:dyDescent="0.45">
      <c r="D134">
        <v>127</v>
      </c>
      <c r="E134">
        <v>13.149060788840172</v>
      </c>
      <c r="F134">
        <v>0.43957351355770508</v>
      </c>
      <c r="G134">
        <v>0.15234339947154488</v>
      </c>
      <c r="H134">
        <v>16.259022298130567</v>
      </c>
      <c r="I134">
        <v>13.36581091871146</v>
      </c>
      <c r="J134">
        <v>0.29363942244192381</v>
      </c>
      <c r="K134">
        <v>0.10144951814271506</v>
      </c>
      <c r="L134">
        <v>16.239100140703894</v>
      </c>
      <c r="M134">
        <v>13.259282034609583</v>
      </c>
      <c r="N134">
        <v>0.36540155392943535</v>
      </c>
      <c r="O134">
        <v>0.12643589181100384</v>
      </c>
      <c r="P134">
        <v>16.248880519649987</v>
      </c>
      <c r="Q134">
        <v>13.247866708908079</v>
      </c>
      <c r="R134">
        <v>0.37308702302857988</v>
      </c>
      <c r="S134">
        <v>0.12911645311968203</v>
      </c>
      <c r="T134">
        <v>16.249929814943656</v>
      </c>
      <c r="U134">
        <v>1520.1948022037375</v>
      </c>
      <c r="V134">
        <v>10.522504682238424</v>
      </c>
      <c r="W134">
        <v>1271.7370602893252</v>
      </c>
      <c r="X134">
        <v>7.4903333549242213</v>
      </c>
      <c r="Y134">
        <v>2924.6336838289158</v>
      </c>
      <c r="Z134">
        <v>10.578249431942822</v>
      </c>
      <c r="AA134">
        <v>2749.6672241363794</v>
      </c>
      <c r="AB134">
        <v>7.5217220234850881</v>
      </c>
      <c r="AC134">
        <v>2210.1464756702271</v>
      </c>
      <c r="AD134">
        <v>10.550857575996599</v>
      </c>
      <c r="AE134">
        <v>2009.3094119546197</v>
      </c>
      <c r="AF134">
        <v>7.5063097097349063</v>
      </c>
      <c r="AG134">
        <v>2105.3702446220977</v>
      </c>
      <c r="AH134">
        <v>10.54792169182393</v>
      </c>
      <c r="AI134">
        <v>1890.8778842885642</v>
      </c>
      <c r="AJ134">
        <v>7.504656496566076</v>
      </c>
    </row>
    <row r="135" spans="4:36" x14ac:dyDescent="0.45">
      <c r="D135">
        <v>128</v>
      </c>
      <c r="E135">
        <v>13.658341034949375</v>
      </c>
      <c r="F135">
        <v>0.50717897479591789</v>
      </c>
      <c r="G135">
        <v>0.17708478516866036</v>
      </c>
      <c r="H135">
        <v>15.657395205086035</v>
      </c>
      <c r="I135">
        <v>13.925953130202148</v>
      </c>
      <c r="J135">
        <v>0.32199845004109018</v>
      </c>
      <c r="K135">
        <v>0.11203437929162295</v>
      </c>
      <c r="L135">
        <v>15.640014040465152</v>
      </c>
      <c r="M135">
        <v>13.823190772700141</v>
      </c>
      <c r="N135">
        <v>0.39315873112900113</v>
      </c>
      <c r="O135">
        <v>0.13697683834939017</v>
      </c>
      <c r="P135">
        <v>15.646673657821463</v>
      </c>
      <c r="Q135">
        <v>13.786831279550324</v>
      </c>
      <c r="R135">
        <v>0.41832145052982522</v>
      </c>
      <c r="S135">
        <v>0.14581292913098373</v>
      </c>
      <c r="T135">
        <v>15.649034340788878</v>
      </c>
      <c r="U135">
        <v>1601.4194572908004</v>
      </c>
      <c r="V135">
        <v>10.861209036282249</v>
      </c>
      <c r="W135">
        <v>1318.2504267647341</v>
      </c>
      <c r="X135">
        <v>7.6677971719918894</v>
      </c>
      <c r="Y135">
        <v>2948.9573904066983</v>
      </c>
      <c r="Z135">
        <v>10.922794524122812</v>
      </c>
      <c r="AA135">
        <v>2760.3927038721158</v>
      </c>
      <c r="AB135">
        <v>7.7021039467941339</v>
      </c>
      <c r="AC135">
        <v>2256.8602354339123</v>
      </c>
      <c r="AD135">
        <v>10.899154626507237</v>
      </c>
      <c r="AE135">
        <v>2035.1836057002686</v>
      </c>
      <c r="AF135">
        <v>7.6889484511914263</v>
      </c>
      <c r="AG135">
        <v>2174.6506039129526</v>
      </c>
      <c r="AH135">
        <v>10.890787724752784</v>
      </c>
      <c r="AI135">
        <v>1931.2765885969434</v>
      </c>
      <c r="AJ135">
        <v>7.6842883487261071</v>
      </c>
    </row>
    <row r="136" spans="4:36" x14ac:dyDescent="0.45">
      <c r="D136">
        <v>129</v>
      </c>
      <c r="E136">
        <v>13.395869608290544</v>
      </c>
      <c r="F136">
        <v>0.43841508296840076</v>
      </c>
      <c r="G136">
        <v>0.15171296598836995</v>
      </c>
      <c r="H136">
        <v>16.01400234275269</v>
      </c>
      <c r="I136">
        <v>13.602797224344904</v>
      </c>
      <c r="J136">
        <v>0.30179406191730063</v>
      </c>
      <c r="K136">
        <v>0.10414046730384886</v>
      </c>
      <c r="L136">
        <v>15.991268246433938</v>
      </c>
      <c r="M136">
        <v>13.495768718174023</v>
      </c>
      <c r="N136">
        <v>0.37249331764065458</v>
      </c>
      <c r="O136">
        <v>0.12872434693471557</v>
      </c>
      <c r="P136">
        <v>16.003013617250623</v>
      </c>
      <c r="Q136">
        <v>13.500490665580166</v>
      </c>
      <c r="R136">
        <v>0.3693757506703248</v>
      </c>
      <c r="S136">
        <v>0.1276387549840694</v>
      </c>
      <c r="T136">
        <v>16.002494828765432</v>
      </c>
      <c r="U136">
        <v>1540.8031113832992</v>
      </c>
      <c r="V136">
        <v>10.469222698436072</v>
      </c>
      <c r="W136">
        <v>1284.3112966699455</v>
      </c>
      <c r="X136">
        <v>7.4254553877628089</v>
      </c>
      <c r="Y136">
        <v>2915.600460952191</v>
      </c>
      <c r="Z136">
        <v>10.518882289276446</v>
      </c>
      <c r="AA136">
        <v>2741.1650996143094</v>
      </c>
      <c r="AB136">
        <v>7.4529241724800857</v>
      </c>
      <c r="AC136">
        <v>2244.2811328529669</v>
      </c>
      <c r="AD136">
        <v>10.493205328891566</v>
      </c>
      <c r="AE136">
        <v>2031.4012921487711</v>
      </c>
      <c r="AF136">
        <v>7.4387297896389351</v>
      </c>
      <c r="AG136">
        <v>2109.282266605157</v>
      </c>
      <c r="AH136">
        <v>10.494338534388122</v>
      </c>
      <c r="AI136">
        <v>1892.002093345267</v>
      </c>
      <c r="AJ136">
        <v>7.4393566199972652</v>
      </c>
    </row>
    <row r="137" spans="4:36" x14ac:dyDescent="0.45">
      <c r="D137">
        <v>130</v>
      </c>
      <c r="E137">
        <v>11.764817683210156</v>
      </c>
      <c r="F137">
        <v>0.45527630829820831</v>
      </c>
      <c r="G137">
        <v>0.16862482713777158</v>
      </c>
      <c r="H137">
        <v>17.611281181353871</v>
      </c>
      <c r="I137">
        <v>12.000573578527677</v>
      </c>
      <c r="J137">
        <v>0.27561346615966553</v>
      </c>
      <c r="K137">
        <v>0.10171925317830088</v>
      </c>
      <c r="L137">
        <v>17.622093702134357</v>
      </c>
      <c r="M137">
        <v>11.912634804196227</v>
      </c>
      <c r="N137">
        <v>0.34266467296078201</v>
      </c>
      <c r="O137">
        <v>0.12663245198101264</v>
      </c>
      <c r="P137">
        <v>17.61806807086198</v>
      </c>
      <c r="Q137">
        <v>11.895824653639202</v>
      </c>
      <c r="R137">
        <v>0.35547721430796037</v>
      </c>
      <c r="S137">
        <v>0.13140060433101092</v>
      </c>
      <c r="T137">
        <v>17.617297527721824</v>
      </c>
      <c r="U137">
        <v>1515.8017936271906</v>
      </c>
      <c r="V137">
        <v>9.3543073078729169</v>
      </c>
      <c r="W137">
        <v>1271.2716956607971</v>
      </c>
      <c r="X137">
        <v>6.7950912266237591</v>
      </c>
      <c r="Y137">
        <v>2865.4808822379555</v>
      </c>
      <c r="Z137">
        <v>9.3948518912337224</v>
      </c>
      <c r="AA137">
        <v>2711.1647083420594</v>
      </c>
      <c r="AB137">
        <v>6.8193313632500265</v>
      </c>
      <c r="AC137">
        <v>2207.031995325804</v>
      </c>
      <c r="AD137">
        <v>9.3797244834772204</v>
      </c>
      <c r="AE137">
        <v>2011.9094402193271</v>
      </c>
      <c r="AF137">
        <v>6.81029995066186</v>
      </c>
      <c r="AG137">
        <v>2085.0928118316169</v>
      </c>
      <c r="AH137">
        <v>9.3768333012394187</v>
      </c>
      <c r="AI137">
        <v>1881.0892969724825</v>
      </c>
      <c r="AJ137">
        <v>6.8085721367754353</v>
      </c>
    </row>
    <row r="138" spans="4:36" x14ac:dyDescent="0.45">
      <c r="D138">
        <v>131</v>
      </c>
      <c r="E138">
        <v>12.490431511202214</v>
      </c>
      <c r="F138">
        <v>0.43050488752804789</v>
      </c>
      <c r="G138">
        <v>0.16476436187304688</v>
      </c>
      <c r="H138">
        <v>16.914299239396676</v>
      </c>
      <c r="I138">
        <v>12.675659194729965</v>
      </c>
      <c r="J138">
        <v>0.29493902365056401</v>
      </c>
      <c r="K138">
        <v>0.11258089174957121</v>
      </c>
      <c r="L138">
        <v>16.916820889869889</v>
      </c>
      <c r="M138">
        <v>12.589155056123175</v>
      </c>
      <c r="N138">
        <v>0.35827514136869987</v>
      </c>
      <c r="O138">
        <v>0.13692594318940168</v>
      </c>
      <c r="P138">
        <v>16.915643859318724</v>
      </c>
      <c r="Q138">
        <v>12.541797321485369</v>
      </c>
      <c r="R138">
        <v>0.39293088645605523</v>
      </c>
      <c r="S138">
        <v>0.15027277099164318</v>
      </c>
      <c r="T138">
        <v>16.914999021066944</v>
      </c>
      <c r="U138">
        <v>1511.6774622145856</v>
      </c>
      <c r="V138">
        <v>9.8596398246185188</v>
      </c>
      <c r="W138">
        <v>1267.0517446797396</v>
      </c>
      <c r="X138">
        <v>7.0845985731336354</v>
      </c>
      <c r="Y138">
        <v>2872.4051940808918</v>
      </c>
      <c r="Z138">
        <v>9.8938460740040846</v>
      </c>
      <c r="AA138">
        <v>2712.6848117464447</v>
      </c>
      <c r="AB138">
        <v>7.1044499442794828</v>
      </c>
      <c r="AC138">
        <v>2218.6456020945238</v>
      </c>
      <c r="AD138">
        <v>9.8778713975721892</v>
      </c>
      <c r="AE138">
        <v>2016.5222641474359</v>
      </c>
      <c r="AF138">
        <v>7.0951864663678617</v>
      </c>
      <c r="AG138">
        <v>2137.6636273701174</v>
      </c>
      <c r="AH138">
        <v>9.8691257490916815</v>
      </c>
      <c r="AI138">
        <v>1913.5352340243548</v>
      </c>
      <c r="AJ138">
        <v>7.0901095737073945</v>
      </c>
    </row>
    <row r="139" spans="4:36" x14ac:dyDescent="0.45">
      <c r="D139">
        <v>132</v>
      </c>
      <c r="E139">
        <v>12.052231607413372</v>
      </c>
      <c r="F139">
        <v>0.47594942585003425</v>
      </c>
      <c r="G139">
        <v>0.1650599216808884</v>
      </c>
      <c r="H139">
        <v>17.306759045055717</v>
      </c>
      <c r="I139">
        <v>12.260777870667257</v>
      </c>
      <c r="J139">
        <v>0.30662926887509889</v>
      </c>
      <c r="K139">
        <v>0.10601323387869827</v>
      </c>
      <c r="L139">
        <v>17.32657962657894</v>
      </c>
      <c r="M139">
        <v>12.183895252858743</v>
      </c>
      <c r="N139">
        <v>0.36907332660133141</v>
      </c>
      <c r="O139">
        <v>0.12774646208654064</v>
      </c>
      <c r="P139">
        <v>17.319284958453387</v>
      </c>
      <c r="Q139">
        <v>12.143591005197974</v>
      </c>
      <c r="R139">
        <v>0.40179795966390203</v>
      </c>
      <c r="S139">
        <v>0.13915592441614297</v>
      </c>
      <c r="T139">
        <v>17.315455110721981</v>
      </c>
      <c r="U139">
        <v>1531.2638305345513</v>
      </c>
      <c r="V139">
        <v>9.5004312566988212</v>
      </c>
      <c r="W139">
        <v>1278.0346298918273</v>
      </c>
      <c r="X139">
        <v>6.8681939875125053</v>
      </c>
      <c r="Y139">
        <v>2895.84353684704</v>
      </c>
      <c r="Z139">
        <v>9.5329674221791727</v>
      </c>
      <c r="AA139">
        <v>2728.9333470863398</v>
      </c>
      <c r="AB139">
        <v>6.8881135259843651</v>
      </c>
      <c r="AC139">
        <v>2204.1145381773154</v>
      </c>
      <c r="AD139">
        <v>9.5209651869676986</v>
      </c>
      <c r="AE139">
        <v>2005.4224589805046</v>
      </c>
      <c r="AF139">
        <v>6.8807755552653642</v>
      </c>
      <c r="AG139">
        <v>2115.4712712766327</v>
      </c>
      <c r="AH139">
        <v>9.514676712009777</v>
      </c>
      <c r="AI139">
        <v>1897.075887842517</v>
      </c>
      <c r="AJ139">
        <v>6.8769261810775051</v>
      </c>
    </row>
    <row r="140" spans="4:36" x14ac:dyDescent="0.45">
      <c r="D140">
        <v>133</v>
      </c>
      <c r="E140">
        <v>12.257256570202154</v>
      </c>
      <c r="F140">
        <v>0.44542826781738287</v>
      </c>
      <c r="G140">
        <v>0.15440998043354673</v>
      </c>
      <c r="H140">
        <v>17.142905181546901</v>
      </c>
      <c r="I140">
        <v>12.459905202541171</v>
      </c>
      <c r="J140">
        <v>0.28844418676859979</v>
      </c>
      <c r="K140">
        <v>9.9698722598943579E-2</v>
      </c>
      <c r="L140">
        <v>17.151951888091268</v>
      </c>
      <c r="M140">
        <v>12.322554178251945</v>
      </c>
      <c r="N140">
        <v>0.3948677302083709</v>
      </c>
      <c r="O140">
        <v>0.13675342858305589</v>
      </c>
      <c r="P140">
        <v>17.145824662956624</v>
      </c>
      <c r="Q140">
        <v>12.325383701044876</v>
      </c>
      <c r="R140">
        <v>0.39267630787128471</v>
      </c>
      <c r="S140">
        <v>0.13598891505841373</v>
      </c>
      <c r="T140">
        <v>17.145951076025426</v>
      </c>
      <c r="U140">
        <v>1463.5146015647426</v>
      </c>
      <c r="V140">
        <v>9.6072024645336747</v>
      </c>
      <c r="W140">
        <v>1235.6214952230287</v>
      </c>
      <c r="X140">
        <v>6.9264297481510981</v>
      </c>
      <c r="Y140">
        <v>2860.2912163704227</v>
      </c>
      <c r="Z140">
        <v>9.6396501735439504</v>
      </c>
      <c r="AA140">
        <v>2707.4250021391372</v>
      </c>
      <c r="AB140">
        <v>6.9455769476242137</v>
      </c>
      <c r="AC140">
        <v>2228.7793307240395</v>
      </c>
      <c r="AD140">
        <v>9.6176560441226968</v>
      </c>
      <c r="AE140">
        <v>2025.1269483303727</v>
      </c>
      <c r="AF140">
        <v>6.9326057768691989</v>
      </c>
      <c r="AG140">
        <v>2092.1233150495505</v>
      </c>
      <c r="AH140">
        <v>9.6181090638821427</v>
      </c>
      <c r="AI140">
        <v>1884.6835919354735</v>
      </c>
      <c r="AJ140">
        <v>6.9328732624640148</v>
      </c>
    </row>
    <row r="141" spans="4:36" x14ac:dyDescent="0.45">
      <c r="D141">
        <v>134</v>
      </c>
      <c r="E141">
        <v>11.716527580448302</v>
      </c>
      <c r="F141">
        <v>0.41687677258833455</v>
      </c>
      <c r="G141">
        <v>0.13023347799600571</v>
      </c>
      <c r="H141">
        <v>17.736362168967357</v>
      </c>
      <c r="I141">
        <v>11.907777394413325</v>
      </c>
      <c r="J141">
        <v>0.27597311343399511</v>
      </c>
      <c r="K141">
        <v>8.5966510884944572E-2</v>
      </c>
      <c r="L141">
        <v>17.730282981267734</v>
      </c>
      <c r="M141">
        <v>11.834162950815129</v>
      </c>
      <c r="N141">
        <v>0.33023440227052014</v>
      </c>
      <c r="O141">
        <v>0.10298287303978752</v>
      </c>
      <c r="P141">
        <v>17.73261977387455</v>
      </c>
      <c r="Q141">
        <v>11.798413938153164</v>
      </c>
      <c r="R141">
        <v>0.35657346784599425</v>
      </c>
      <c r="S141">
        <v>0.11125659178188876</v>
      </c>
      <c r="T141">
        <v>17.733756002218954</v>
      </c>
      <c r="U141">
        <v>1475.7050348211474</v>
      </c>
      <c r="V141">
        <v>9.2127078103850977</v>
      </c>
      <c r="W141">
        <v>1249.7460345550455</v>
      </c>
      <c r="X141">
        <v>6.7043959636690049</v>
      </c>
      <c r="Y141">
        <v>2862.6806959933792</v>
      </c>
      <c r="Z141">
        <v>9.2520156623689633</v>
      </c>
      <c r="AA141">
        <v>2712.1496246459028</v>
      </c>
      <c r="AB141">
        <v>6.72734272221778</v>
      </c>
      <c r="AC141">
        <v>2170.2396817440517</v>
      </c>
      <c r="AD141">
        <v>9.2368869236135591</v>
      </c>
      <c r="AE141">
        <v>1989.7539658282747</v>
      </c>
      <c r="AF141">
        <v>6.7185199308444599</v>
      </c>
      <c r="AG141">
        <v>2053.4343471684774</v>
      </c>
      <c r="AH141">
        <v>9.2295394249308735</v>
      </c>
      <c r="AI141">
        <v>1861.8608802397903</v>
      </c>
      <c r="AJ141">
        <v>6.7142310001152774</v>
      </c>
    </row>
    <row r="142" spans="4:36" x14ac:dyDescent="0.45">
      <c r="D142">
        <v>135</v>
      </c>
      <c r="E142">
        <v>13.910753902200764</v>
      </c>
      <c r="F142">
        <v>0.50914333478313567</v>
      </c>
      <c r="G142">
        <v>0.16750164540856466</v>
      </c>
      <c r="H142">
        <v>15.412601117607533</v>
      </c>
      <c r="I142">
        <v>14.169029002892612</v>
      </c>
      <c r="J142">
        <v>0.32884759327307789</v>
      </c>
      <c r="K142">
        <v>0.10780545782802983</v>
      </c>
      <c r="L142">
        <v>15.394317946006282</v>
      </c>
      <c r="M142">
        <v>14.039694332071319</v>
      </c>
      <c r="N142">
        <v>0.41918241823510821</v>
      </c>
      <c r="O142">
        <v>0.13766189231416343</v>
      </c>
      <c r="P142">
        <v>15.403461357379395</v>
      </c>
      <c r="Q142">
        <v>14.02523394440605</v>
      </c>
      <c r="R142">
        <v>0.42927626107886785</v>
      </c>
      <c r="S142">
        <v>0.1410046428966239</v>
      </c>
      <c r="T142">
        <v>15.404485151618454</v>
      </c>
      <c r="U142">
        <v>1622.8898176669124</v>
      </c>
      <c r="V142">
        <v>11.032143499631731</v>
      </c>
      <c r="W142">
        <v>1330.4590458937562</v>
      </c>
      <c r="X142">
        <v>7.7613311216842504</v>
      </c>
      <c r="Y142">
        <v>2950.940912995472</v>
      </c>
      <c r="Z142">
        <v>11.091367991807788</v>
      </c>
      <c r="AA142">
        <v>2759.4681061059609</v>
      </c>
      <c r="AB142">
        <v>7.7943576831941677</v>
      </c>
      <c r="AC142">
        <v>2305.3969199366411</v>
      </c>
      <c r="AD142">
        <v>11.061717193292827</v>
      </c>
      <c r="AE142">
        <v>2065.480208030875</v>
      </c>
      <c r="AF142">
        <v>7.7778360328805336</v>
      </c>
      <c r="AG142">
        <v>2177.118007666495</v>
      </c>
      <c r="AH142">
        <v>11.058401231401767</v>
      </c>
      <c r="AI142">
        <v>1929.8471055829284</v>
      </c>
      <c r="AJ142">
        <v>7.7759867244486136</v>
      </c>
    </row>
    <row r="143" spans="4:36" x14ac:dyDescent="0.45">
      <c r="D143">
        <v>136</v>
      </c>
      <c r="E143">
        <v>12.702546665492257</v>
      </c>
      <c r="F143">
        <v>0.42179800906732229</v>
      </c>
      <c r="G143">
        <v>0.14576963176585847</v>
      </c>
      <c r="H143">
        <v>16.729885693674561</v>
      </c>
      <c r="I143">
        <v>12.905903271086732</v>
      </c>
      <c r="J143">
        <v>0.28257186408543467</v>
      </c>
      <c r="K143">
        <v>9.7381893498894631E-2</v>
      </c>
      <c r="L143">
        <v>16.71414297132894</v>
      </c>
      <c r="M143">
        <v>12.810549603945223</v>
      </c>
      <c r="N143">
        <v>0.34788812990062251</v>
      </c>
      <c r="O143">
        <v>0.12004825225437769</v>
      </c>
      <c r="P143">
        <v>16.721514013899782</v>
      </c>
      <c r="Q143">
        <v>12.752025203202322</v>
      </c>
      <c r="R143">
        <v>0.38794766932728586</v>
      </c>
      <c r="S143">
        <v>0.13397971272518669</v>
      </c>
      <c r="T143">
        <v>16.72604741474521</v>
      </c>
      <c r="U143">
        <v>1513.6298752158771</v>
      </c>
      <c r="V143">
        <v>10.050430602692735</v>
      </c>
      <c r="W143">
        <v>1271.0761665704545</v>
      </c>
      <c r="X143">
        <v>7.2019219564232992</v>
      </c>
      <c r="Y143">
        <v>2880.9185914694285</v>
      </c>
      <c r="Z143">
        <v>10.095962161182408</v>
      </c>
      <c r="AA143">
        <v>2721.0527455603797</v>
      </c>
      <c r="AB143">
        <v>7.2274987142130147</v>
      </c>
      <c r="AC143">
        <v>2193.9478767752757</v>
      </c>
      <c r="AD143">
        <v>10.0746191666746</v>
      </c>
      <c r="AE143">
        <v>2001.1091239862706</v>
      </c>
      <c r="AF143">
        <v>7.2155183199971145</v>
      </c>
      <c r="AG143">
        <v>2086.7130879607835</v>
      </c>
      <c r="AH143">
        <v>10.061513814194441</v>
      </c>
      <c r="AI143">
        <v>1878.9931679830729</v>
      </c>
      <c r="AJ143">
        <v>7.2081542956570051</v>
      </c>
    </row>
    <row r="144" spans="4:36" x14ac:dyDescent="0.45">
      <c r="D144">
        <v>137</v>
      </c>
      <c r="E144">
        <v>12.249204618971833</v>
      </c>
      <c r="F144">
        <v>0.45601248085705187</v>
      </c>
      <c r="G144">
        <v>0.19118602161765294</v>
      </c>
      <c r="H144">
        <v>17.103596878553478</v>
      </c>
      <c r="I144">
        <v>12.449898819917252</v>
      </c>
      <c r="J144">
        <v>0.30024564236020629</v>
      </c>
      <c r="K144">
        <v>0.12548324168230496</v>
      </c>
      <c r="L144">
        <v>17.124372296040253</v>
      </c>
      <c r="M144">
        <v>12.387437815488417</v>
      </c>
      <c r="N144">
        <v>0.34874612701992586</v>
      </c>
      <c r="O144">
        <v>0.14589584102706424</v>
      </c>
      <c r="P144">
        <v>17.117920216464604</v>
      </c>
      <c r="Q144">
        <v>12.337966702574404</v>
      </c>
      <c r="R144">
        <v>0.3871460068715824</v>
      </c>
      <c r="S144">
        <v>0.16208610955581917</v>
      </c>
      <c r="T144">
        <v>17.112801180998197</v>
      </c>
      <c r="U144">
        <v>1522.3711623088457</v>
      </c>
      <c r="V144">
        <v>9.7734514656241771</v>
      </c>
      <c r="W144">
        <v>1271.7246907164715</v>
      </c>
      <c r="X144">
        <v>7.0422541506156442</v>
      </c>
      <c r="Y144">
        <v>2891.9108103848957</v>
      </c>
      <c r="Z144">
        <v>9.8017688879533562</v>
      </c>
      <c r="AA144">
        <v>2725.6336670580768</v>
      </c>
      <c r="AB144">
        <v>7.05971902829614</v>
      </c>
      <c r="AC144">
        <v>2196.1874046995326</v>
      </c>
      <c r="AD144">
        <v>9.792948409801582</v>
      </c>
      <c r="AE144">
        <v>2000.1881094516964</v>
      </c>
      <c r="AF144">
        <v>7.0542871570213377</v>
      </c>
      <c r="AG144">
        <v>2112.2353045469813</v>
      </c>
      <c r="AH144">
        <v>9.7859670340779523</v>
      </c>
      <c r="AI144">
        <v>1894.6488956408989</v>
      </c>
      <c r="AJ144">
        <v>7.0499826228521076</v>
      </c>
    </row>
    <row r="145" spans="4:36" x14ac:dyDescent="0.45">
      <c r="D145">
        <v>138</v>
      </c>
      <c r="E145">
        <v>11.731992972474735</v>
      </c>
      <c r="F145">
        <v>0.37186672764035417</v>
      </c>
      <c r="G145">
        <v>0.1623820392599008</v>
      </c>
      <c r="H145">
        <v>17.733758260625002</v>
      </c>
      <c r="I145">
        <v>11.906740001650773</v>
      </c>
      <c r="J145">
        <v>0.2509009609238933</v>
      </c>
      <c r="K145">
        <v>0.10924653907599223</v>
      </c>
      <c r="L145">
        <v>17.733112498349342</v>
      </c>
      <c r="M145">
        <v>11.810335636409253</v>
      </c>
      <c r="N145">
        <v>0.31766039558576936</v>
      </c>
      <c r="O145">
        <v>0.13853311479556696</v>
      </c>
      <c r="P145">
        <v>17.733470853209418</v>
      </c>
      <c r="Q145">
        <v>11.798041572132128</v>
      </c>
      <c r="R145">
        <v>0.32616953089170869</v>
      </c>
      <c r="S145">
        <v>0.142272714487681</v>
      </c>
      <c r="T145">
        <v>17.73351618248849</v>
      </c>
      <c r="U145">
        <v>1472.5212073073701</v>
      </c>
      <c r="V145">
        <v>9.191256929406185</v>
      </c>
      <c r="W145">
        <v>1246.6356978748236</v>
      </c>
      <c r="X145">
        <v>6.6876306281498668</v>
      </c>
      <c r="Y145">
        <v>2848.6493987813842</v>
      </c>
      <c r="Z145">
        <v>9.2253157438705315</v>
      </c>
      <c r="AA145">
        <v>2701.0437707957408</v>
      </c>
      <c r="AB145">
        <v>6.7078308614855366</v>
      </c>
      <c r="AC145">
        <v>2167.6040195287851</v>
      </c>
      <c r="AD145">
        <v>9.2065246421187616</v>
      </c>
      <c r="AE145">
        <v>1985.3206452865463</v>
      </c>
      <c r="AF145">
        <v>6.6966940448195578</v>
      </c>
      <c r="AG145">
        <v>2060.1337091400546</v>
      </c>
      <c r="AH145">
        <v>9.2041285610704815</v>
      </c>
      <c r="AI145">
        <v>1865.4556074499767</v>
      </c>
      <c r="AJ145">
        <v>6.6952725342543911</v>
      </c>
    </row>
    <row r="146" spans="4:36" x14ac:dyDescent="0.45">
      <c r="D146">
        <v>139</v>
      </c>
      <c r="E146">
        <v>12.894061946933604</v>
      </c>
      <c r="F146">
        <v>0.42390677190204873</v>
      </c>
      <c r="G146">
        <v>0.16765646321471225</v>
      </c>
      <c r="H146">
        <v>16.514374817949633</v>
      </c>
      <c r="I146">
        <v>13.087281848273891</v>
      </c>
      <c r="J146">
        <v>0.29062598551034263</v>
      </c>
      <c r="K146">
        <v>0.11462126560833884</v>
      </c>
      <c r="L146">
        <v>16.507470900607423</v>
      </c>
      <c r="M146">
        <v>13.030222942514117</v>
      </c>
      <c r="N146">
        <v>0.33000912256056308</v>
      </c>
      <c r="O146">
        <v>0.13026122561294423</v>
      </c>
      <c r="P146">
        <v>16.509506709312383</v>
      </c>
      <c r="Q146">
        <v>12.925500848518251</v>
      </c>
      <c r="R146">
        <v>0.4022367453344996</v>
      </c>
      <c r="S146">
        <v>0.15901287050072888</v>
      </c>
      <c r="T146">
        <v>16.513249535646512</v>
      </c>
      <c r="U146">
        <v>1492.1700269880764</v>
      </c>
      <c r="V146">
        <v>10.1737237475788</v>
      </c>
      <c r="W146">
        <v>1252.2051202169534</v>
      </c>
      <c r="X146">
        <v>7.2670199694035134</v>
      </c>
      <c r="Y146">
        <v>2896.0586915835893</v>
      </c>
      <c r="Z146">
        <v>10.213961978312295</v>
      </c>
      <c r="AA146">
        <v>2729.1911548349817</v>
      </c>
      <c r="AB146">
        <v>7.2899518111755572</v>
      </c>
      <c r="AC146">
        <v>2210.8887743217847</v>
      </c>
      <c r="AD146">
        <v>10.202081283668557</v>
      </c>
      <c r="AE146">
        <v>2011.8864558229736</v>
      </c>
      <c r="AF146">
        <v>7.2831876333188799</v>
      </c>
      <c r="AG146">
        <v>2134.9652843371518</v>
      </c>
      <c r="AH146">
        <v>10.180272162880009</v>
      </c>
      <c r="AI146">
        <v>1909.7705126749404</v>
      </c>
      <c r="AJ146">
        <v>7.2707562993297721</v>
      </c>
    </row>
    <row r="147" spans="4:36" x14ac:dyDescent="0.45">
      <c r="D147">
        <v>140</v>
      </c>
      <c r="E147">
        <v>11.851436423521751</v>
      </c>
      <c r="F147">
        <v>0.47264234355348506</v>
      </c>
      <c r="G147">
        <v>0.15933592464531779</v>
      </c>
      <c r="H147">
        <v>17.516585308279438</v>
      </c>
      <c r="I147">
        <v>12.059312024125218</v>
      </c>
      <c r="J147">
        <v>0.30103063527782475</v>
      </c>
      <c r="K147">
        <v>0.1011807633598804</v>
      </c>
      <c r="L147">
        <v>17.538476577237081</v>
      </c>
      <c r="M147">
        <v>11.977278293931141</v>
      </c>
      <c r="N147">
        <v>0.36877533743572644</v>
      </c>
      <c r="O147">
        <v>0.12409593378978016</v>
      </c>
      <c r="P147">
        <v>17.529850434843354</v>
      </c>
      <c r="Q147">
        <v>11.937685045908028</v>
      </c>
      <c r="R147">
        <v>0.40146192984264761</v>
      </c>
      <c r="S147">
        <v>0.13517190707416996</v>
      </c>
      <c r="T147">
        <v>17.525681117175157</v>
      </c>
      <c r="U147">
        <v>1496.9646433917642</v>
      </c>
      <c r="V147">
        <v>9.3334187495752268</v>
      </c>
      <c r="W147">
        <v>1257.4213648430766</v>
      </c>
      <c r="X147">
        <v>6.7671497742282343</v>
      </c>
      <c r="Y147">
        <v>2868.9308958725951</v>
      </c>
      <c r="Z147">
        <v>9.357949901422602</v>
      </c>
      <c r="AA147">
        <v>2712.4789415752698</v>
      </c>
      <c r="AB147">
        <v>6.782404534539956</v>
      </c>
      <c r="AC147">
        <v>2191.3295701965671</v>
      </c>
      <c r="AD147">
        <v>9.348261999194861</v>
      </c>
      <c r="AE147">
        <v>1999.3782607114917</v>
      </c>
      <c r="AF147">
        <v>6.7763885983210725</v>
      </c>
      <c r="AG147">
        <v>2048.2822506041639</v>
      </c>
      <c r="AH147">
        <v>9.3435895198098695</v>
      </c>
      <c r="AI147">
        <v>1851.630779567379</v>
      </c>
      <c r="AJ147">
        <v>6.7734831582176955</v>
      </c>
    </row>
    <row r="148" spans="4:36" x14ac:dyDescent="0.45">
      <c r="D148">
        <v>141</v>
      </c>
      <c r="E148">
        <v>12.429329826210624</v>
      </c>
      <c r="F148">
        <v>0.47731304309365541</v>
      </c>
      <c r="G148">
        <v>0.18149305850487601</v>
      </c>
      <c r="H148">
        <v>16.911864072190834</v>
      </c>
      <c r="I148">
        <v>12.667632554690226</v>
      </c>
      <c r="J148">
        <v>0.29932794581761868</v>
      </c>
      <c r="K148">
        <v>0.113420079262931</v>
      </c>
      <c r="L148">
        <v>16.919619420229235</v>
      </c>
      <c r="M148">
        <v>12.597830990913033</v>
      </c>
      <c r="N148">
        <v>0.3514945172543813</v>
      </c>
      <c r="O148">
        <v>0.13332213508880292</v>
      </c>
      <c r="P148">
        <v>16.91735235674378</v>
      </c>
      <c r="Q148">
        <v>12.535240555057383</v>
      </c>
      <c r="R148">
        <v>0.39824884790655724</v>
      </c>
      <c r="S148">
        <v>0.15119429951243674</v>
      </c>
      <c r="T148">
        <v>16.915316297523628</v>
      </c>
      <c r="U148">
        <v>1591.8098379320163</v>
      </c>
      <c r="V148">
        <v>9.8324811587951615</v>
      </c>
      <c r="W148">
        <v>1316.8210362329025</v>
      </c>
      <c r="X148">
        <v>7.0646183516263052</v>
      </c>
      <c r="Y148">
        <v>2909.3984932507155</v>
      </c>
      <c r="Z148">
        <v>9.8708340189835457</v>
      </c>
      <c r="AA148">
        <v>2736.0827903731947</v>
      </c>
      <c r="AB148">
        <v>7.0871862793442242</v>
      </c>
      <c r="AC148">
        <v>2254.5227598354436</v>
      </c>
      <c r="AD148">
        <v>9.8595976401920566</v>
      </c>
      <c r="AE148">
        <v>2039.4530989069904</v>
      </c>
      <c r="AF148">
        <v>7.080584010938848</v>
      </c>
      <c r="AG148">
        <v>2139.4118640982024</v>
      </c>
      <c r="AH148">
        <v>9.8495237588742555</v>
      </c>
      <c r="AI148">
        <v>1910.4280738462153</v>
      </c>
      <c r="AJ148">
        <v>7.0746581152765602</v>
      </c>
    </row>
    <row r="149" spans="4:36" x14ac:dyDescent="0.45">
      <c r="D149">
        <v>142</v>
      </c>
      <c r="E149">
        <v>11.850873660686517</v>
      </c>
      <c r="F149">
        <v>0.40738498848006111</v>
      </c>
      <c r="G149">
        <v>0.16263636275819027</v>
      </c>
      <c r="H149">
        <v>17.57910498807523</v>
      </c>
      <c r="I149">
        <v>12.055150446399734</v>
      </c>
      <c r="J149">
        <v>0.26141979762820727</v>
      </c>
      <c r="K149">
        <v>0.10403212906994995</v>
      </c>
      <c r="L149">
        <v>17.579397626902118</v>
      </c>
      <c r="M149">
        <v>11.966321342936432</v>
      </c>
      <c r="N149">
        <v>0.3249244079060814</v>
      </c>
      <c r="O149">
        <v>0.12948237712595095</v>
      </c>
      <c r="P149">
        <v>17.57927187203153</v>
      </c>
      <c r="Q149">
        <v>11.925797498524929</v>
      </c>
      <c r="R149">
        <v>0.35387884554574528</v>
      </c>
      <c r="S149">
        <v>0.14110991597506051</v>
      </c>
      <c r="T149">
        <v>17.579213739954266</v>
      </c>
      <c r="U149">
        <v>1508.8582515989508</v>
      </c>
      <c r="V149">
        <v>9.3384023126031028</v>
      </c>
      <c r="W149">
        <v>1268.524926297388</v>
      </c>
      <c r="X149">
        <v>6.7797956475039518</v>
      </c>
      <c r="Y149">
        <v>2858.5138825582922</v>
      </c>
      <c r="Z149">
        <v>9.3791261647179276</v>
      </c>
      <c r="AA149">
        <v>2706.2489023288858</v>
      </c>
      <c r="AB149">
        <v>6.8037058983806897</v>
      </c>
      <c r="AC149">
        <v>2197.9192758869281</v>
      </c>
      <c r="AD149">
        <v>9.3614172370483573</v>
      </c>
      <c r="AE149">
        <v>2005.4629774430709</v>
      </c>
      <c r="AF149">
        <v>6.7933189841881685</v>
      </c>
      <c r="AG149">
        <v>2106.0355398281808</v>
      </c>
      <c r="AH149">
        <v>9.3533385708241941</v>
      </c>
      <c r="AI149">
        <v>1895.1737444564587</v>
      </c>
      <c r="AJ149">
        <v>6.7885751860464882</v>
      </c>
    </row>
    <row r="150" spans="4:36" x14ac:dyDescent="0.45">
      <c r="D150">
        <v>143</v>
      </c>
      <c r="E150">
        <v>14.040189085373559</v>
      </c>
      <c r="F150">
        <v>0.4985087787576204</v>
      </c>
      <c r="G150">
        <v>0.18597241621555738</v>
      </c>
      <c r="H150">
        <v>15.27532971965325</v>
      </c>
      <c r="I150">
        <v>14.294105493024135</v>
      </c>
      <c r="J150">
        <v>0.3222970132413514</v>
      </c>
      <c r="K150">
        <v>0.11983786710798351</v>
      </c>
      <c r="L150">
        <v>15.263759626626522</v>
      </c>
      <c r="M150">
        <v>14.183270263469144</v>
      </c>
      <c r="N150">
        <v>0.39926098803993665</v>
      </c>
      <c r="O150">
        <v>0.14866872495489122</v>
      </c>
      <c r="P150">
        <v>15.26880002353602</v>
      </c>
      <c r="Q150">
        <v>14.137881552145959</v>
      </c>
      <c r="R150">
        <v>0.43075794087077796</v>
      </c>
      <c r="S150">
        <v>0.16049191773841218</v>
      </c>
      <c r="T150">
        <v>15.270868589244856</v>
      </c>
      <c r="U150">
        <v>1615.3695809473172</v>
      </c>
      <c r="V150">
        <v>11.181054018732576</v>
      </c>
      <c r="W150">
        <v>1325.429141386928</v>
      </c>
      <c r="X150">
        <v>7.852029987231079</v>
      </c>
      <c r="Y150">
        <v>2957.9818910958902</v>
      </c>
      <c r="Z150">
        <v>11.23728447508558</v>
      </c>
      <c r="AA150">
        <v>2764.6063809064685</v>
      </c>
      <c r="AB150">
        <v>7.8833854274129047</v>
      </c>
      <c r="AC150">
        <v>2304.7083988947511</v>
      </c>
      <c r="AD150">
        <v>11.212745559179757</v>
      </c>
      <c r="AE150">
        <v>2066.0132394760562</v>
      </c>
      <c r="AF150">
        <v>7.8697138180577255</v>
      </c>
      <c r="AG150">
        <v>2223.4735359521424</v>
      </c>
      <c r="AH150">
        <v>11.202693899686386</v>
      </c>
      <c r="AI150">
        <v>1962.1213763655221</v>
      </c>
      <c r="AJ150">
        <v>7.8641083490980899</v>
      </c>
    </row>
    <row r="151" spans="4:36" x14ac:dyDescent="0.45">
      <c r="D151">
        <v>144</v>
      </c>
      <c r="E151">
        <v>12.683792973676702</v>
      </c>
      <c r="F151">
        <v>0.43756048853848178</v>
      </c>
      <c r="G151">
        <v>0.16181202835688374</v>
      </c>
      <c r="H151">
        <v>16.716834509427922</v>
      </c>
      <c r="I151">
        <v>12.932783209294001</v>
      </c>
      <c r="J151">
        <v>0.26743045758763168</v>
      </c>
      <c r="K151">
        <v>9.8540683850039432E-2</v>
      </c>
      <c r="L151">
        <v>16.701245649268341</v>
      </c>
      <c r="M151">
        <v>12.825174673355738</v>
      </c>
      <c r="N151">
        <v>0.34100651660592007</v>
      </c>
      <c r="O151">
        <v>0.12584673426028964</v>
      </c>
      <c r="P151">
        <v>16.707972075778059</v>
      </c>
      <c r="Q151">
        <v>12.780563076291918</v>
      </c>
      <c r="R151">
        <v>0.37148723371483588</v>
      </c>
      <c r="S151">
        <v>0.13718423219302919</v>
      </c>
      <c r="T151">
        <v>16.710765457800221</v>
      </c>
      <c r="U151">
        <v>1542.5307412889681</v>
      </c>
      <c r="V151">
        <v>10.031722117623495</v>
      </c>
      <c r="W151">
        <v>1286.8344978711029</v>
      </c>
      <c r="X151">
        <v>7.188929540109906</v>
      </c>
      <c r="Y151">
        <v>2897.784427341051</v>
      </c>
      <c r="Z151">
        <v>10.089804004505325</v>
      </c>
      <c r="AA151">
        <v>2731.7220580025819</v>
      </c>
      <c r="AB151">
        <v>7.2218695180041346</v>
      </c>
      <c r="AC151">
        <v>2235.7633154471009</v>
      </c>
      <c r="AD151">
        <v>10.064708967156475</v>
      </c>
      <c r="AE151">
        <v>2028.5046356798266</v>
      </c>
      <c r="AF151">
        <v>7.2076516989035682</v>
      </c>
      <c r="AG151">
        <v>2155.1614462732014</v>
      </c>
      <c r="AH151">
        <v>10.05430222696865</v>
      </c>
      <c r="AI151">
        <v>1925.9291003622563</v>
      </c>
      <c r="AJ151">
        <v>7.2017492989167682</v>
      </c>
    </row>
    <row r="152" spans="4:36" x14ac:dyDescent="0.45">
      <c r="D152">
        <v>145</v>
      </c>
      <c r="E152">
        <v>11.750783261658764</v>
      </c>
      <c r="F152">
        <v>0.43858390011714254</v>
      </c>
      <c r="G152">
        <v>0.1603538306133393</v>
      </c>
      <c r="H152">
        <v>17.650279007610745</v>
      </c>
      <c r="I152">
        <v>11.957365562869567</v>
      </c>
      <c r="J152">
        <v>0.27718185694132869</v>
      </c>
      <c r="K152">
        <v>0.10100970265829361</v>
      </c>
      <c r="L152">
        <v>17.664442877530824</v>
      </c>
      <c r="M152">
        <v>11.868803576329356</v>
      </c>
      <c r="N152">
        <v>0.34640179683465588</v>
      </c>
      <c r="O152">
        <v>0.12641199223741506</v>
      </c>
      <c r="P152">
        <v>17.658382634598563</v>
      </c>
      <c r="Q152">
        <v>11.830384293722032</v>
      </c>
      <c r="R152">
        <v>0.37641780675421183</v>
      </c>
      <c r="S152">
        <v>0.13744977029262453</v>
      </c>
      <c r="T152">
        <v>17.655748129231135</v>
      </c>
      <c r="U152">
        <v>1517.7199534343119</v>
      </c>
      <c r="V152">
        <v>9.3669346483498579</v>
      </c>
      <c r="W152">
        <v>1274.0426582282807</v>
      </c>
      <c r="X152">
        <v>6.8064111388564621</v>
      </c>
      <c r="Y152">
        <v>2873.9524300683556</v>
      </c>
      <c r="Z152">
        <v>9.3987007327593588</v>
      </c>
      <c r="AA152">
        <v>2717.253767955558</v>
      </c>
      <c r="AB152">
        <v>6.8258438548869425</v>
      </c>
      <c r="AC152">
        <v>2166.6901602454031</v>
      </c>
      <c r="AD152">
        <v>9.3850756164635083</v>
      </c>
      <c r="AE152">
        <v>1982.1611839511734</v>
      </c>
      <c r="AF152">
        <v>6.8175192889099359</v>
      </c>
      <c r="AG152">
        <v>2082.9321396007608</v>
      </c>
      <c r="AH152">
        <v>9.3791681158944868</v>
      </c>
      <c r="AI152">
        <v>1877.8269704532543</v>
      </c>
      <c r="AJ152">
        <v>6.8139050823224814</v>
      </c>
    </row>
    <row r="153" spans="4:36" x14ac:dyDescent="0.45">
      <c r="D153">
        <v>146</v>
      </c>
      <c r="E153">
        <v>12.702694459752376</v>
      </c>
      <c r="F153">
        <v>0.45149020547734292</v>
      </c>
      <c r="G153">
        <v>0.16618170000143015</v>
      </c>
      <c r="H153">
        <v>16.679633634768845</v>
      </c>
      <c r="I153">
        <v>12.90017271976255</v>
      </c>
      <c r="J153">
        <v>0.3066448761198638</v>
      </c>
      <c r="K153">
        <v>0.11255726208099773</v>
      </c>
      <c r="L153">
        <v>16.68062514203659</v>
      </c>
      <c r="M153">
        <v>12.826449491992063</v>
      </c>
      <c r="N153">
        <v>0.36074510398842602</v>
      </c>
      <c r="O153">
        <v>0.13255110870852616</v>
      </c>
      <c r="P153">
        <v>16.680254295310995</v>
      </c>
      <c r="Q153">
        <v>12.777652267737794</v>
      </c>
      <c r="R153">
        <v>0.39653685729179405</v>
      </c>
      <c r="S153">
        <v>0.14580158961621423</v>
      </c>
      <c r="T153">
        <v>16.680009285354199</v>
      </c>
      <c r="U153">
        <v>1576.1416643040127</v>
      </c>
      <c r="V153">
        <v>10.063441408772171</v>
      </c>
      <c r="W153">
        <v>1308.0546076550806</v>
      </c>
      <c r="X153">
        <v>7.2056362051990508</v>
      </c>
      <c r="Y153">
        <v>2903.8952523208845</v>
      </c>
      <c r="Z153">
        <v>10.099368759985509</v>
      </c>
      <c r="AA153">
        <v>2731.8616423825647</v>
      </c>
      <c r="AB153">
        <v>7.2263528135946187</v>
      </c>
      <c r="AC153">
        <v>2240.0878462072442</v>
      </c>
      <c r="AD153">
        <v>10.085956947959119</v>
      </c>
      <c r="AE153">
        <v>2028.6027597386601</v>
      </c>
      <c r="AF153">
        <v>7.2186265464373074</v>
      </c>
      <c r="AG153">
        <v>2136.8857434058264</v>
      </c>
      <c r="AH153">
        <v>10.077079242930658</v>
      </c>
      <c r="AI153">
        <v>1909.1917326010223</v>
      </c>
      <c r="AJ153">
        <v>7.2135075048493622</v>
      </c>
    </row>
    <row r="154" spans="4:36" x14ac:dyDescent="0.45">
      <c r="D154">
        <v>147</v>
      </c>
      <c r="E154">
        <v>11.681126515848575</v>
      </c>
      <c r="F154">
        <v>0.42324985564210199</v>
      </c>
      <c r="G154">
        <v>0.16286578731760987</v>
      </c>
      <c r="H154">
        <v>17.73275784119171</v>
      </c>
      <c r="I154">
        <v>11.842507305478904</v>
      </c>
      <c r="J154">
        <v>0.29862611644294856</v>
      </c>
      <c r="K154">
        <v>0.11460368613795287</v>
      </c>
      <c r="L154">
        <v>17.744262891940181</v>
      </c>
      <c r="M154">
        <v>11.802722095890292</v>
      </c>
      <c r="N154">
        <v>0.32936246056506407</v>
      </c>
      <c r="O154">
        <v>0.12648243279341495</v>
      </c>
      <c r="P154">
        <v>17.741433010751223</v>
      </c>
      <c r="Q154">
        <v>11.757042742599287</v>
      </c>
      <c r="R154">
        <v>0.3646420262580583</v>
      </c>
      <c r="S154">
        <v>0.14013654047000443</v>
      </c>
      <c r="T154">
        <v>17.738178690672648</v>
      </c>
      <c r="U154">
        <v>1485.6978444351037</v>
      </c>
      <c r="V154">
        <v>9.2620339184274645</v>
      </c>
      <c r="W154">
        <v>1254.10579877997</v>
      </c>
      <c r="X154">
        <v>6.7389643958374084</v>
      </c>
      <c r="Y154">
        <v>2892.2194846502334</v>
      </c>
      <c r="Z154">
        <v>9.2872024974886287</v>
      </c>
      <c r="AA154">
        <v>2730.3495784755355</v>
      </c>
      <c r="AB154">
        <v>6.754440194776671</v>
      </c>
      <c r="AC154">
        <v>2168.3596749179928</v>
      </c>
      <c r="AD154">
        <v>9.2809940222353866</v>
      </c>
      <c r="AE154">
        <v>1986.5382857951276</v>
      </c>
      <c r="AF154">
        <v>6.7506278208928912</v>
      </c>
      <c r="AG154">
        <v>2077.7408435184007</v>
      </c>
      <c r="AH154">
        <v>9.2738687141574179</v>
      </c>
      <c r="AI154">
        <v>1876.9371587905032</v>
      </c>
      <c r="AJ154">
        <v>6.7462483358905061</v>
      </c>
    </row>
    <row r="155" spans="4:36" x14ac:dyDescent="0.45">
      <c r="D155">
        <v>148</v>
      </c>
      <c r="E155">
        <v>11.81504019806556</v>
      </c>
      <c r="F155">
        <v>0.44438890630578692</v>
      </c>
      <c r="G155">
        <v>0.15315359758649474</v>
      </c>
      <c r="H155">
        <v>17.587417298042148</v>
      </c>
      <c r="I155">
        <v>12.01013607743733</v>
      </c>
      <c r="J155">
        <v>0.28896894184740335</v>
      </c>
      <c r="K155">
        <v>9.9299873681767278E-2</v>
      </c>
      <c r="L155">
        <v>17.601595107033503</v>
      </c>
      <c r="M155">
        <v>11.910782746672036</v>
      </c>
      <c r="N155">
        <v>0.36814005231582991</v>
      </c>
      <c r="O155">
        <v>0.12669324472504348</v>
      </c>
      <c r="P155">
        <v>17.594383956287103</v>
      </c>
      <c r="Q155">
        <v>11.879954035745643</v>
      </c>
      <c r="R155">
        <v>0.39269671302944098</v>
      </c>
      <c r="S155">
        <v>0.13520663718797751</v>
      </c>
      <c r="T155">
        <v>17.592142614036945</v>
      </c>
      <c r="U155">
        <v>1479.3746788903211</v>
      </c>
      <c r="V155">
        <v>9.3890770639880472</v>
      </c>
      <c r="W155">
        <v>1246.3372158378961</v>
      </c>
      <c r="X155">
        <v>6.8155492664459469</v>
      </c>
      <c r="Y155">
        <v>2867.0810681979597</v>
      </c>
      <c r="Z155">
        <v>9.4186253234439654</v>
      </c>
      <c r="AA155">
        <v>2711.8023406981515</v>
      </c>
      <c r="AB155">
        <v>6.833653653050578</v>
      </c>
      <c r="AC155">
        <v>2197.2437987602939</v>
      </c>
      <c r="AD155">
        <v>9.4035714422966432</v>
      </c>
      <c r="AE155">
        <v>2003.3941289627869</v>
      </c>
      <c r="AF155">
        <v>6.8244394294822452</v>
      </c>
      <c r="AG155">
        <v>2095.0571369251998</v>
      </c>
      <c r="AH155">
        <v>9.3989029759254663</v>
      </c>
      <c r="AI155">
        <v>1886.0957746611157</v>
      </c>
      <c r="AJ155">
        <v>6.8215779992873742</v>
      </c>
    </row>
    <row r="156" spans="4:36" x14ac:dyDescent="0.45">
      <c r="D156">
        <v>149</v>
      </c>
      <c r="E156">
        <v>12.201690362116461</v>
      </c>
      <c r="F156">
        <v>0.44841114793017722</v>
      </c>
      <c r="G156">
        <v>0.16016110602034897</v>
      </c>
      <c r="H156">
        <v>17.189737383933</v>
      </c>
      <c r="I156">
        <v>12.413116449197947</v>
      </c>
      <c r="J156">
        <v>0.28952088540752369</v>
      </c>
      <c r="K156">
        <v>0.10308672920934339</v>
      </c>
      <c r="L156">
        <v>17.194275936185175</v>
      </c>
      <c r="M156">
        <v>12.340376605011647</v>
      </c>
      <c r="N156">
        <v>0.34421408721788627</v>
      </c>
      <c r="O156">
        <v>0.1226920700118227</v>
      </c>
      <c r="P156">
        <v>17.192717237758639</v>
      </c>
      <c r="Q156">
        <v>12.281266035878986</v>
      </c>
      <c r="R156">
        <v>0.38863785920035893</v>
      </c>
      <c r="S156">
        <v>0.1386476396585492</v>
      </c>
      <c r="T156">
        <v>17.191448465262098</v>
      </c>
      <c r="U156">
        <v>1555.7683389885767</v>
      </c>
      <c r="V156">
        <v>9.6509472921293078</v>
      </c>
      <c r="W156">
        <v>1296.3298335336021</v>
      </c>
      <c r="X156">
        <v>6.9623256828303557</v>
      </c>
      <c r="Y156">
        <v>2885.3023169290695</v>
      </c>
      <c r="Z156">
        <v>9.6847808739845203</v>
      </c>
      <c r="AA156">
        <v>2721.5235313406706</v>
      </c>
      <c r="AB156">
        <v>6.9821811681705501</v>
      </c>
      <c r="AC156">
        <v>2201.50326544577</v>
      </c>
      <c r="AD156">
        <v>9.6731396270655257</v>
      </c>
      <c r="AE156">
        <v>2004.1759103161394</v>
      </c>
      <c r="AF156">
        <v>6.9753575378836024</v>
      </c>
      <c r="AG156">
        <v>2127.3402292651426</v>
      </c>
      <c r="AH156">
        <v>9.6636803810333323</v>
      </c>
      <c r="AI156">
        <v>1905.2281688849134</v>
      </c>
      <c r="AJ156">
        <v>6.9698066591444157</v>
      </c>
    </row>
    <row r="157" spans="4:36" x14ac:dyDescent="0.45">
      <c r="D157">
        <v>150</v>
      </c>
      <c r="E157">
        <v>12.209869484238466</v>
      </c>
      <c r="F157">
        <v>0.45048696759624457</v>
      </c>
      <c r="G157">
        <v>0.17891831212964138</v>
      </c>
      <c r="H157">
        <v>17.160725236035642</v>
      </c>
      <c r="I157">
        <v>12.439059703002114</v>
      </c>
      <c r="J157">
        <v>0.27644603776529958</v>
      </c>
      <c r="K157">
        <v>0.10941227306960291</v>
      </c>
      <c r="L157">
        <v>17.175081986163004</v>
      </c>
      <c r="M157">
        <v>12.343605890333741</v>
      </c>
      <c r="N157">
        <v>0.34896561379932095</v>
      </c>
      <c r="O157">
        <v>0.1383143472211335</v>
      </c>
      <c r="P157">
        <v>17.169114148645818</v>
      </c>
      <c r="Q157">
        <v>12.306079372145229</v>
      </c>
      <c r="R157">
        <v>0.3774623740083099</v>
      </c>
      <c r="S157">
        <v>0.14969476798531461</v>
      </c>
      <c r="T157">
        <v>17.166763485861146</v>
      </c>
      <c r="U157">
        <v>1484.8812819382779</v>
      </c>
      <c r="V157">
        <v>9.5665839425661492</v>
      </c>
      <c r="W157">
        <v>1248.2504181034476</v>
      </c>
      <c r="X157">
        <v>6.8978046776362012</v>
      </c>
      <c r="Y157">
        <v>2869.0196559817759</v>
      </c>
      <c r="Z157">
        <v>9.5980244250163587</v>
      </c>
      <c r="AA157">
        <v>2713.0419593791339</v>
      </c>
      <c r="AB157">
        <v>6.9167916021823954</v>
      </c>
      <c r="AC157">
        <v>2194.9553621237678</v>
      </c>
      <c r="AD157">
        <v>9.5849235718587327</v>
      </c>
      <c r="AE157">
        <v>2001.8195963777971</v>
      </c>
      <c r="AF157">
        <v>6.9088904000415248</v>
      </c>
      <c r="AG157">
        <v>2088.3201549948612</v>
      </c>
      <c r="AH157">
        <v>9.5797756323110583</v>
      </c>
      <c r="AI157">
        <v>1880.8563209691069</v>
      </c>
      <c r="AJ157">
        <v>6.9057815978015</v>
      </c>
    </row>
    <row r="158" spans="4:36" x14ac:dyDescent="0.45">
      <c r="D158">
        <v>151</v>
      </c>
      <c r="E158">
        <v>12.156820185985014</v>
      </c>
      <c r="F158">
        <v>0.49006710130254877</v>
      </c>
      <c r="G158">
        <v>0.16781425997619762</v>
      </c>
      <c r="H158">
        <v>17.185298452736223</v>
      </c>
      <c r="I158">
        <v>12.384794683299949</v>
      </c>
      <c r="J158">
        <v>0.30813046436730274</v>
      </c>
      <c r="K158">
        <v>0.10515741922984788</v>
      </c>
      <c r="L158">
        <v>17.20191743310291</v>
      </c>
      <c r="M158">
        <v>12.290490868596736</v>
      </c>
      <c r="N158">
        <v>0.38341992388758572</v>
      </c>
      <c r="O158">
        <v>0.13103415230698648</v>
      </c>
      <c r="P158">
        <v>17.195055055208702</v>
      </c>
      <c r="Q158">
        <v>12.275708758788539</v>
      </c>
      <c r="R158">
        <v>0.39521776121654095</v>
      </c>
      <c r="S158">
        <v>0.13509565748529276</v>
      </c>
      <c r="T158">
        <v>17.193977822509616</v>
      </c>
      <c r="U158">
        <v>1561.2908637254882</v>
      </c>
      <c r="V158">
        <v>9.6618797968976295</v>
      </c>
      <c r="W158">
        <v>1297.5342143186592</v>
      </c>
      <c r="X158">
        <v>6.9706696253778331</v>
      </c>
      <c r="Y158">
        <v>2897.4351258248798</v>
      </c>
      <c r="Z158">
        <v>9.6948271568883779</v>
      </c>
      <c r="AA158">
        <v>2729.1777627233168</v>
      </c>
      <c r="AB158">
        <v>6.9906050488445386</v>
      </c>
      <c r="AC158">
        <v>2214.4281522998212</v>
      </c>
      <c r="AD158">
        <v>9.681191389192632</v>
      </c>
      <c r="AE158">
        <v>2010.7859571601082</v>
      </c>
      <c r="AF158">
        <v>6.9823653979451521</v>
      </c>
      <c r="AG158">
        <v>2131.0197130648849</v>
      </c>
      <c r="AH158">
        <v>9.6790548476297467</v>
      </c>
      <c r="AI158">
        <v>1907.8782418559401</v>
      </c>
      <c r="AJ158">
        <v>6.9810729657920412</v>
      </c>
    </row>
    <row r="159" spans="4:36" x14ac:dyDescent="0.45">
      <c r="D159">
        <v>152</v>
      </c>
      <c r="E159">
        <v>12.346389937561293</v>
      </c>
      <c r="F159">
        <v>0.46390797921531235</v>
      </c>
      <c r="G159">
        <v>0.14944885693552409</v>
      </c>
      <c r="H159">
        <v>17.04025322628787</v>
      </c>
      <c r="I159">
        <v>12.55383536862707</v>
      </c>
      <c r="J159">
        <v>0.30180440758541838</v>
      </c>
      <c r="K159">
        <v>9.6943737827663135E-2</v>
      </c>
      <c r="L159">
        <v>17.047416485959847</v>
      </c>
      <c r="M159">
        <v>12.464833164758085</v>
      </c>
      <c r="N159">
        <v>0.37137939894210048</v>
      </c>
      <c r="O159">
        <v>0.11944096224662043</v>
      </c>
      <c r="P159">
        <v>17.044346474053199</v>
      </c>
      <c r="Q159">
        <v>12.414224058873257</v>
      </c>
      <c r="R159">
        <v>0.41092412760786678</v>
      </c>
      <c r="S159">
        <v>0.13225324420662116</v>
      </c>
      <c r="T159">
        <v>17.042598569312247</v>
      </c>
      <c r="U159">
        <v>1526.1071782393813</v>
      </c>
      <c r="V159">
        <v>9.9110109044326435</v>
      </c>
      <c r="W159">
        <v>1275.5422497396125</v>
      </c>
      <c r="X159">
        <v>7.134490504230758</v>
      </c>
      <c r="Y159">
        <v>2882.7177334916064</v>
      </c>
      <c r="Z159">
        <v>9.9453787551379982</v>
      </c>
      <c r="AA159">
        <v>2719.9773698475774</v>
      </c>
      <c r="AB159">
        <v>7.1546264395771395</v>
      </c>
      <c r="AC159">
        <v>2221.0315600220142</v>
      </c>
      <c r="AD159">
        <v>9.9306325431320275</v>
      </c>
      <c r="AE159">
        <v>2017.715562707484</v>
      </c>
      <c r="AF159">
        <v>7.1459953137428736</v>
      </c>
      <c r="AG159">
        <v>2122.685169937261</v>
      </c>
      <c r="AH159">
        <v>9.9222481495127042</v>
      </c>
      <c r="AI159">
        <v>1901.8322545491737</v>
      </c>
      <c r="AJ159">
        <v>7.1410820879590364</v>
      </c>
    </row>
    <row r="160" spans="4:36" x14ac:dyDescent="0.45">
      <c r="D160">
        <v>153</v>
      </c>
      <c r="E160">
        <v>12.357850234495777</v>
      </c>
      <c r="F160">
        <v>0.46349412582105365</v>
      </c>
      <c r="G160">
        <v>0.15594397001995175</v>
      </c>
      <c r="H160">
        <v>17.022711669663213</v>
      </c>
      <c r="I160">
        <v>12.556308802468822</v>
      </c>
      <c r="J160">
        <v>0.31083283209166096</v>
      </c>
      <c r="K160">
        <v>0.10428352534396992</v>
      </c>
      <c r="L160">
        <v>17.028574840095551</v>
      </c>
      <c r="M160">
        <v>12.467894972154408</v>
      </c>
      <c r="N160">
        <v>0.37886914931587673</v>
      </c>
      <c r="O160">
        <v>0.12727013461396303</v>
      </c>
      <c r="P160">
        <v>17.025965743915748</v>
      </c>
      <c r="Q160">
        <v>12.449954046420405</v>
      </c>
      <c r="R160">
        <v>0.39267012789742473</v>
      </c>
      <c r="S160">
        <v>0.13194009833816683</v>
      </c>
      <c r="T160">
        <v>17.025435727343989</v>
      </c>
      <c r="U160">
        <v>1596.6408400569562</v>
      </c>
      <c r="V160">
        <v>9.7358484307502966</v>
      </c>
      <c r="W160">
        <v>1322.3921279367055</v>
      </c>
      <c r="X160">
        <v>7.0067213106420185</v>
      </c>
      <c r="Y160">
        <v>2921.5062054794762</v>
      </c>
      <c r="Z160">
        <v>9.7691929150825665</v>
      </c>
      <c r="AA160">
        <v>2744.4342703863044</v>
      </c>
      <c r="AB160">
        <v>7.0263038983566624</v>
      </c>
      <c r="AC160">
        <v>2235.3623751894943</v>
      </c>
      <c r="AD160">
        <v>9.7543364049837766</v>
      </c>
      <c r="AE160">
        <v>2023.995717721906</v>
      </c>
      <c r="AF160">
        <v>7.0175871259210112</v>
      </c>
      <c r="AG160">
        <v>2129.9357048912952</v>
      </c>
      <c r="AH160">
        <v>9.7513220072359275</v>
      </c>
      <c r="AI160">
        <v>1904.8110712490782</v>
      </c>
      <c r="AJ160">
        <v>7.015816889430651</v>
      </c>
    </row>
    <row r="161" spans="4:36" x14ac:dyDescent="0.45">
      <c r="D161">
        <v>154</v>
      </c>
      <c r="E161">
        <v>13.103281529817766</v>
      </c>
      <c r="F161">
        <v>0.46017240036584162</v>
      </c>
      <c r="G161">
        <v>0.17443535028813051</v>
      </c>
      <c r="H161">
        <v>16.262110719528259</v>
      </c>
      <c r="I161">
        <v>13.366215495790497</v>
      </c>
      <c r="J161">
        <v>0.28094345291200418</v>
      </c>
      <c r="K161">
        <v>0.10610326689188665</v>
      </c>
      <c r="L161">
        <v>16.246737784405603</v>
      </c>
      <c r="M161">
        <v>13.250608922483403</v>
      </c>
      <c r="N161">
        <v>0.35980099346051247</v>
      </c>
      <c r="O161">
        <v>0.13610503773059579</v>
      </c>
      <c r="P161">
        <v>16.253485046325491</v>
      </c>
      <c r="Q161">
        <v>13.201650529205434</v>
      </c>
      <c r="R161">
        <v>0.39317088040709441</v>
      </c>
      <c r="S161">
        <v>0.14883052952244918</v>
      </c>
      <c r="T161">
        <v>16.25634806086504</v>
      </c>
      <c r="U161">
        <v>1582.4232712709165</v>
      </c>
      <c r="V161">
        <v>10.381450853701192</v>
      </c>
      <c r="W161">
        <v>1309.5954849840514</v>
      </c>
      <c r="X161">
        <v>7.3901957510224126</v>
      </c>
      <c r="Y161">
        <v>2916.164471700899</v>
      </c>
      <c r="Z161">
        <v>10.441204496511492</v>
      </c>
      <c r="AA161">
        <v>2741.1699198296292</v>
      </c>
      <c r="AB161">
        <v>7.4240081373951456</v>
      </c>
      <c r="AC161">
        <v>2230.3905723223006</v>
      </c>
      <c r="AD161">
        <v>10.414937964081689</v>
      </c>
      <c r="AE161">
        <v>2019.9164113847648</v>
      </c>
      <c r="AF161">
        <v>7.409159907579653</v>
      </c>
      <c r="AG161">
        <v>2139.4989273598439</v>
      </c>
      <c r="AH161">
        <v>10.403811533805991</v>
      </c>
      <c r="AI161">
        <v>1909.3960508934845</v>
      </c>
      <c r="AJ161">
        <v>7.4028631574473582</v>
      </c>
    </row>
    <row r="162" spans="4:36" x14ac:dyDescent="0.45">
      <c r="D162">
        <v>155</v>
      </c>
      <c r="E162">
        <v>12.005908272323298</v>
      </c>
      <c r="F162">
        <v>0.38621129785838815</v>
      </c>
      <c r="G162">
        <v>0.14337645195245602</v>
      </c>
      <c r="H162">
        <v>17.464503977865846</v>
      </c>
      <c r="I162">
        <v>12.170519983493712</v>
      </c>
      <c r="J162">
        <v>0.27059804799952503</v>
      </c>
      <c r="K162">
        <v>0.10019478513262556</v>
      </c>
      <c r="L162">
        <v>17.458687183374138</v>
      </c>
      <c r="M162">
        <v>12.108847097229923</v>
      </c>
      <c r="N162">
        <v>0.3139336804172525</v>
      </c>
      <c r="O162">
        <v>0.11635395635131118</v>
      </c>
      <c r="P162">
        <v>17.460865266001509</v>
      </c>
      <c r="Q162">
        <v>12.070030347889469</v>
      </c>
      <c r="R162">
        <v>0.34119653727441879</v>
      </c>
      <c r="S162">
        <v>0.12653622157804023</v>
      </c>
      <c r="T162">
        <v>17.462236893258073</v>
      </c>
      <c r="U162">
        <v>1482.6161492023361</v>
      </c>
      <c r="V162">
        <v>9.493939247104219</v>
      </c>
      <c r="W162">
        <v>1254.2417949431847</v>
      </c>
      <c r="X162">
        <v>6.8786939377782828</v>
      </c>
      <c r="Y162">
        <v>2859.1660908151375</v>
      </c>
      <c r="Z162">
        <v>9.5288624512207036</v>
      </c>
      <c r="AA162">
        <v>2708.1606609590981</v>
      </c>
      <c r="AB162">
        <v>6.89903232631492</v>
      </c>
      <c r="AC162">
        <v>2159.4668135594093</v>
      </c>
      <c r="AD162">
        <v>9.5157787474535436</v>
      </c>
      <c r="AE162">
        <v>1980.9138761148506</v>
      </c>
      <c r="AF162">
        <v>6.8914193322054693</v>
      </c>
      <c r="AG162">
        <v>2073.7620056779015</v>
      </c>
      <c r="AH162">
        <v>9.5075435863015976</v>
      </c>
      <c r="AI162">
        <v>1875.4587153194261</v>
      </c>
      <c r="AJ162">
        <v>6.8866234952844563</v>
      </c>
    </row>
    <row r="163" spans="4:36" x14ac:dyDescent="0.45">
      <c r="D163">
        <v>156</v>
      </c>
      <c r="E163">
        <v>10.878859125975236</v>
      </c>
      <c r="F163">
        <v>0.3891955710055986</v>
      </c>
      <c r="G163">
        <v>0.16104695938939748</v>
      </c>
      <c r="H163">
        <v>18.570898343629768</v>
      </c>
      <c r="I163">
        <v>11.084095582511326</v>
      </c>
      <c r="J163">
        <v>0.23623264482858095</v>
      </c>
      <c r="K163">
        <v>9.7413073790168336E-2</v>
      </c>
      <c r="L163">
        <v>18.582258698869918</v>
      </c>
      <c r="M163">
        <v>10.992401301986073</v>
      </c>
      <c r="N163">
        <v>0.30460372093894494</v>
      </c>
      <c r="O163">
        <v>0.12580075745512484</v>
      </c>
      <c r="P163">
        <v>18.577194219619862</v>
      </c>
      <c r="Q163">
        <v>10.984546179430133</v>
      </c>
      <c r="R163">
        <v>0.31045849056366481</v>
      </c>
      <c r="S163">
        <v>0.12823579067049881</v>
      </c>
      <c r="T163">
        <v>18.576759539335704</v>
      </c>
      <c r="U163">
        <v>1444.1031562756111</v>
      </c>
      <c r="V163">
        <v>8.6402682818876553</v>
      </c>
      <c r="W163">
        <v>1233.7287506668329</v>
      </c>
      <c r="X163">
        <v>6.3734676657357356</v>
      </c>
      <c r="Y163">
        <v>2830.3016052519242</v>
      </c>
      <c r="Z163">
        <v>8.6709080794931257</v>
      </c>
      <c r="AA163">
        <v>2694.8083435314443</v>
      </c>
      <c r="AB163">
        <v>6.392474722694514</v>
      </c>
      <c r="AC163">
        <v>2131.9267780046243</v>
      </c>
      <c r="AD163">
        <v>8.6572123890076931</v>
      </c>
      <c r="AE163">
        <v>1967.57223544508</v>
      </c>
      <c r="AF163">
        <v>6.3839901658918281</v>
      </c>
      <c r="AG163">
        <v>2034.7065334858171</v>
      </c>
      <c r="AH163">
        <v>8.6560396235095585</v>
      </c>
      <c r="AI163">
        <v>1856.0120674526036</v>
      </c>
      <c r="AJ163">
        <v>6.3832627790304945</v>
      </c>
    </row>
    <row r="164" spans="4:36" x14ac:dyDescent="0.45">
      <c r="D164">
        <v>157</v>
      </c>
      <c r="E164">
        <v>13.198562544565453</v>
      </c>
      <c r="F164">
        <v>0.46304079686312477</v>
      </c>
      <c r="G164">
        <v>0.20024246357834019</v>
      </c>
      <c r="H164">
        <v>16.138154194993067</v>
      </c>
      <c r="I164">
        <v>13.468236758962536</v>
      </c>
      <c r="J164">
        <v>0.28830666957225648</v>
      </c>
      <c r="K164">
        <v>0.1241640455309555</v>
      </c>
      <c r="L164">
        <v>16.119292525934245</v>
      </c>
      <c r="M164">
        <v>13.349514626316108</v>
      </c>
      <c r="N164">
        <v>0.36529297148619311</v>
      </c>
      <c r="O164">
        <v>0.15760471855120325</v>
      </c>
      <c r="P164">
        <v>16.127587683646485</v>
      </c>
      <c r="Q164">
        <v>13.338311230841017</v>
      </c>
      <c r="R164">
        <v>0.37255298190186914</v>
      </c>
      <c r="S164">
        <v>0.16076462604662436</v>
      </c>
      <c r="T164">
        <v>16.128371161210488</v>
      </c>
      <c r="U164">
        <v>1600.3328325823181</v>
      </c>
      <c r="V164">
        <v>10.485297517248632</v>
      </c>
      <c r="W164">
        <v>1319.6532372706422</v>
      </c>
      <c r="X164">
        <v>7.4515896448530663</v>
      </c>
      <c r="Y164">
        <v>2934.429655260858</v>
      </c>
      <c r="Z164">
        <v>10.547813438816654</v>
      </c>
      <c r="AA164">
        <v>2751.9959872916743</v>
      </c>
      <c r="AB164">
        <v>7.4868472362541851</v>
      </c>
      <c r="AC164">
        <v>2271.0175510431877</v>
      </c>
      <c r="AD164">
        <v>10.520297518126092</v>
      </c>
      <c r="AE164">
        <v>2046.5046012115217</v>
      </c>
      <c r="AF164">
        <v>7.4713448684199255</v>
      </c>
      <c r="AG164">
        <v>2158.7041145211115</v>
      </c>
      <c r="AH164">
        <v>10.517700429494859</v>
      </c>
      <c r="AI164">
        <v>1922.5648156159978</v>
      </c>
      <c r="AJ164">
        <v>7.4698803867810755</v>
      </c>
    </row>
    <row r="165" spans="4:36" x14ac:dyDescent="0.45">
      <c r="D165">
        <v>158</v>
      </c>
      <c r="E165">
        <v>12.634295415461553</v>
      </c>
      <c r="F165">
        <v>0.43719117723644602</v>
      </c>
      <c r="G165">
        <v>0.16230323305848363</v>
      </c>
      <c r="H165">
        <v>16.766210174243518</v>
      </c>
      <c r="I165">
        <v>12.848053073096658</v>
      </c>
      <c r="J165">
        <v>0.28355742547918705</v>
      </c>
      <c r="K165">
        <v>0.10493473029259354</v>
      </c>
      <c r="L165">
        <v>16.763454771131567</v>
      </c>
      <c r="M165">
        <v>12.722384564475345</v>
      </c>
      <c r="N165">
        <v>0.37391208176895258</v>
      </c>
      <c r="O165">
        <v>0.13862937160321312</v>
      </c>
      <c r="P165">
        <v>16.765073982152494</v>
      </c>
      <c r="Q165">
        <v>12.724487455334554</v>
      </c>
      <c r="R165">
        <v>0.37240089441803254</v>
      </c>
      <c r="S165">
        <v>0.1380647796798016</v>
      </c>
      <c r="T165">
        <v>16.765046870567623</v>
      </c>
      <c r="U165">
        <v>1548.376858137616</v>
      </c>
      <c r="V165">
        <v>10.037822013573811</v>
      </c>
      <c r="W165">
        <v>1289.5124122869429</v>
      </c>
      <c r="X165">
        <v>7.1964123767960642</v>
      </c>
      <c r="Y165">
        <v>2929.1537388325396</v>
      </c>
      <c r="Z165">
        <v>10.080219011177467</v>
      </c>
      <c r="AA165">
        <v>2752.1087259662108</v>
      </c>
      <c r="AB165">
        <v>7.2209482440771611</v>
      </c>
      <c r="AC165">
        <v>2219.8976989313769</v>
      </c>
      <c r="AD165">
        <v>10.055293797831739</v>
      </c>
      <c r="AE165">
        <v>2013.2730352910048</v>
      </c>
      <c r="AF165">
        <v>7.2065336369842576</v>
      </c>
      <c r="AG165">
        <v>2109.5886161895128</v>
      </c>
      <c r="AH165">
        <v>10.055710888592326</v>
      </c>
      <c r="AI165">
        <v>1891.7280441688283</v>
      </c>
      <c r="AJ165">
        <v>7.2067750812067271</v>
      </c>
    </row>
    <row r="166" spans="4:36" x14ac:dyDescent="0.45">
      <c r="D166">
        <v>159</v>
      </c>
      <c r="E166">
        <v>12.789755273891044</v>
      </c>
      <c r="F166">
        <v>0.4700984237054886</v>
      </c>
      <c r="G166">
        <v>0.19435792748604661</v>
      </c>
      <c r="H166">
        <v>16.545788374917414</v>
      </c>
      <c r="I166">
        <v>13.004680957441277</v>
      </c>
      <c r="J166">
        <v>0.31323637441753327</v>
      </c>
      <c r="K166">
        <v>0.12910476222276035</v>
      </c>
      <c r="L166">
        <v>16.552977905918432</v>
      </c>
      <c r="M166">
        <v>12.932773160186168</v>
      </c>
      <c r="N166">
        <v>0.36574738173826782</v>
      </c>
      <c r="O166">
        <v>0.15090328019383531</v>
      </c>
      <c r="P166">
        <v>16.550576177881723</v>
      </c>
      <c r="Q166">
        <v>12.883905151661455</v>
      </c>
      <c r="R166">
        <v>0.4014165502583133</v>
      </c>
      <c r="S166">
        <v>0.16573642000867128</v>
      </c>
      <c r="T166">
        <v>16.54894187807157</v>
      </c>
      <c r="U166">
        <v>1568.99482030173</v>
      </c>
      <c r="V166">
        <v>10.121775234554438</v>
      </c>
      <c r="W166">
        <v>1300.7289212772073</v>
      </c>
      <c r="X166">
        <v>7.2341690320714438</v>
      </c>
      <c r="Y166">
        <v>2918.7668603012735</v>
      </c>
      <c r="Z166">
        <v>10.159404150440814</v>
      </c>
      <c r="AA166">
        <v>2741.5614038536391</v>
      </c>
      <c r="AB166">
        <v>7.2561633912409729</v>
      </c>
      <c r="AC166">
        <v>2211.6481976226464</v>
      </c>
      <c r="AD166">
        <v>10.146812622843989</v>
      </c>
      <c r="AE166">
        <v>2007.1993743812518</v>
      </c>
      <c r="AF166">
        <v>7.2488121439494755</v>
      </c>
      <c r="AG166">
        <v>2143.0360128872189</v>
      </c>
      <c r="AH166">
        <v>10.138256658493964</v>
      </c>
      <c r="AI166">
        <v>1912.6190043625222</v>
      </c>
      <c r="AJ166">
        <v>7.2438120526638548</v>
      </c>
    </row>
    <row r="167" spans="4:36" x14ac:dyDescent="0.45">
      <c r="D167">
        <v>160</v>
      </c>
      <c r="E167">
        <v>13.057699205433561</v>
      </c>
      <c r="F167">
        <v>0.49156944454498797</v>
      </c>
      <c r="G167">
        <v>0.18285199612296762</v>
      </c>
      <c r="H167">
        <v>16.267879353898479</v>
      </c>
      <c r="I167">
        <v>13.327734054805223</v>
      </c>
      <c r="J167">
        <v>0.30286291896499606</v>
      </c>
      <c r="K167">
        <v>0.11224417188193492</v>
      </c>
      <c r="L167">
        <v>16.257158854347836</v>
      </c>
      <c r="M167">
        <v>13.250196716293283</v>
      </c>
      <c r="N167">
        <v>0.35709364492375995</v>
      </c>
      <c r="O167">
        <v>0.13248162375140257</v>
      </c>
      <c r="P167">
        <v>16.260228015031547</v>
      </c>
      <c r="Q167">
        <v>13.182354953756208</v>
      </c>
      <c r="R167">
        <v>0.40451297347284787</v>
      </c>
      <c r="S167">
        <v>0.15021269078986549</v>
      </c>
      <c r="T167">
        <v>16.26291938198106</v>
      </c>
      <c r="U167">
        <v>1553.200659034</v>
      </c>
      <c r="V167">
        <v>10.351811785968186</v>
      </c>
      <c r="W167">
        <v>1286.9965079234023</v>
      </c>
      <c r="X167">
        <v>7.3696523735094832</v>
      </c>
      <c r="Y167">
        <v>2915.1598080251415</v>
      </c>
      <c r="Z167">
        <v>10.406620073765266</v>
      </c>
      <c r="AA167">
        <v>2739.2177492151809</v>
      </c>
      <c r="AB167">
        <v>7.4005907865599116</v>
      </c>
      <c r="AC167">
        <v>2235.3493035574211</v>
      </c>
      <c r="AD167">
        <v>10.390888193716021</v>
      </c>
      <c r="AE167">
        <v>2024.1891792852227</v>
      </c>
      <c r="AF167">
        <v>7.391721927532525</v>
      </c>
      <c r="AG167">
        <v>2155.4464336562141</v>
      </c>
      <c r="AH167">
        <v>10.377119757808385</v>
      </c>
      <c r="AI167">
        <v>1920.5389411086421</v>
      </c>
      <c r="AJ167">
        <v>7.3839523776809326</v>
      </c>
    </row>
    <row r="168" spans="4:36" x14ac:dyDescent="0.45">
      <c r="D168">
        <v>161</v>
      </c>
      <c r="E168">
        <v>12.16047911226341</v>
      </c>
      <c r="F168">
        <v>0.45978419148671951</v>
      </c>
      <c r="G168">
        <v>0.163813584183234</v>
      </c>
      <c r="H168">
        <v>17.215923112066637</v>
      </c>
      <c r="I168">
        <v>12.365862909804521</v>
      </c>
      <c r="J168">
        <v>0.30086348536741103</v>
      </c>
      <c r="K168">
        <v>0.10687117772673194</v>
      </c>
      <c r="L168">
        <v>17.226402427101331</v>
      </c>
      <c r="M168">
        <v>12.275180168905374</v>
      </c>
      <c r="N168">
        <v>0.37105832306168196</v>
      </c>
      <c r="O168">
        <v>0.13197971419343718</v>
      </c>
      <c r="P168">
        <v>17.221781793839519</v>
      </c>
      <c r="Q168">
        <v>12.245820804573606</v>
      </c>
      <c r="R168">
        <v>0.39377546894580234</v>
      </c>
      <c r="S168">
        <v>0.14012002577661734</v>
      </c>
      <c r="T168">
        <v>17.220283700703984</v>
      </c>
      <c r="U168">
        <v>1531.8926512408102</v>
      </c>
      <c r="V168">
        <v>9.6394085209629363</v>
      </c>
      <c r="W168">
        <v>1281.4862848432401</v>
      </c>
      <c r="X168">
        <v>6.958260399846238</v>
      </c>
      <c r="Y168">
        <v>2881.6550259665487</v>
      </c>
      <c r="Z168">
        <v>9.6736240415763408</v>
      </c>
      <c r="AA168">
        <v>2720.1746573690307</v>
      </c>
      <c r="AB168">
        <v>6.9786721448804778</v>
      </c>
      <c r="AC168">
        <v>2214.7933288910872</v>
      </c>
      <c r="AD168">
        <v>9.6585131594398543</v>
      </c>
      <c r="AE168">
        <v>2014.351927157875</v>
      </c>
      <c r="AF168">
        <v>6.9696671011975422</v>
      </c>
      <c r="AG168">
        <v>2101.6793057193768</v>
      </c>
      <c r="AH168">
        <v>9.6536221449617372</v>
      </c>
      <c r="AI168">
        <v>1889.1221981863141</v>
      </c>
      <c r="AJ168">
        <v>6.9667491672110158</v>
      </c>
    </row>
    <row r="169" spans="4:36" x14ac:dyDescent="0.45">
      <c r="D169">
        <v>162</v>
      </c>
      <c r="E169">
        <v>14.115989120997595</v>
      </c>
      <c r="F169">
        <v>0.52960825265306066</v>
      </c>
      <c r="G169">
        <v>0.19679807070882951</v>
      </c>
      <c r="H169">
        <v>15.157604555640525</v>
      </c>
      <c r="I169">
        <v>14.377703158801076</v>
      </c>
      <c r="J169">
        <v>0.34511845254262347</v>
      </c>
      <c r="K169">
        <v>0.12778110553333977</v>
      </c>
      <c r="L169">
        <v>15.149397283122969</v>
      </c>
      <c r="M169">
        <v>14.303325431709501</v>
      </c>
      <c r="N169">
        <v>0.39758954494493698</v>
      </c>
      <c r="O169">
        <v>0.14735890304787755</v>
      </c>
      <c r="P169">
        <v>15.151726120297702</v>
      </c>
      <c r="Q169">
        <v>14.242095382985102</v>
      </c>
      <c r="R169">
        <v>0.44076159002732118</v>
      </c>
      <c r="S169">
        <v>0.1634975836095206</v>
      </c>
      <c r="T169">
        <v>15.153645443378064</v>
      </c>
      <c r="U169">
        <v>1694.6743444476165</v>
      </c>
      <c r="V169">
        <v>11.181867008785362</v>
      </c>
      <c r="W169">
        <v>1374.7879755370816</v>
      </c>
      <c r="X169">
        <v>7.8406541289573095</v>
      </c>
      <c r="Y169">
        <v>2956.4793412009099</v>
      </c>
      <c r="Z169">
        <v>11.23838448935574</v>
      </c>
      <c r="AA169">
        <v>2759.0309331660642</v>
      </c>
      <c r="AB169">
        <v>7.8725312619509236</v>
      </c>
      <c r="AC169">
        <v>2284.3637696106639</v>
      </c>
      <c r="AD169">
        <v>11.222323754637701</v>
      </c>
      <c r="AE169">
        <v>2048.3428306012884</v>
      </c>
      <c r="AF169">
        <v>7.8634836078549988</v>
      </c>
      <c r="AG169">
        <v>2209.2063837589258</v>
      </c>
      <c r="AH169">
        <v>11.209101329828558</v>
      </c>
      <c r="AI169">
        <v>1947.5481529369054</v>
      </c>
      <c r="AJ169">
        <v>7.8560283887089915</v>
      </c>
    </row>
    <row r="170" spans="4:36" x14ac:dyDescent="0.45">
      <c r="D170">
        <v>163</v>
      </c>
      <c r="E170">
        <v>11.387290517152874</v>
      </c>
      <c r="F170">
        <v>0.40135708158295785</v>
      </c>
      <c r="G170">
        <v>0.16203244890602247</v>
      </c>
      <c r="H170">
        <v>18.049319952358147</v>
      </c>
      <c r="I170">
        <v>11.561300415792504</v>
      </c>
      <c r="J170">
        <v>0.26732890789133373</v>
      </c>
      <c r="K170">
        <v>0.10762609848654503</v>
      </c>
      <c r="L170">
        <v>18.063744577829624</v>
      </c>
      <c r="M170">
        <v>11.49179675900608</v>
      </c>
      <c r="N170">
        <v>0.32088260764511078</v>
      </c>
      <c r="O170">
        <v>0.12932878083995353</v>
      </c>
      <c r="P170">
        <v>18.057991852508845</v>
      </c>
      <c r="Q170">
        <v>11.446479018224615</v>
      </c>
      <c r="R170">
        <v>0.35578659399367013</v>
      </c>
      <c r="S170">
        <v>0.14349972013665141</v>
      </c>
      <c r="T170">
        <v>18.054234667645066</v>
      </c>
      <c r="U170">
        <v>1478.2009574231931</v>
      </c>
      <c r="V170">
        <v>8.9438316860708156</v>
      </c>
      <c r="W170">
        <v>1252.1593270604674</v>
      </c>
      <c r="X170">
        <v>6.5391090534505976</v>
      </c>
      <c r="Y170">
        <v>2863.7336503589358</v>
      </c>
      <c r="Z170">
        <v>8.9652329690887349</v>
      </c>
      <c r="AA170">
        <v>2713.2286090932698</v>
      </c>
      <c r="AB170">
        <v>6.5524028582872056</v>
      </c>
      <c r="AC170">
        <v>2150.3842631749108</v>
      </c>
      <c r="AD170">
        <v>8.9566801348530625</v>
      </c>
      <c r="AE170">
        <v>1975.4231131702632</v>
      </c>
      <c r="AF170">
        <v>6.5470965229050488</v>
      </c>
      <c r="AG170">
        <v>2066.9199073828095</v>
      </c>
      <c r="AH170">
        <v>8.9511068478664946</v>
      </c>
      <c r="AI170">
        <v>1871.2593149818274</v>
      </c>
      <c r="AJ170">
        <v>6.5436341723888205</v>
      </c>
    </row>
    <row r="171" spans="4:36" x14ac:dyDescent="0.45">
      <c r="D171">
        <v>164</v>
      </c>
      <c r="E171">
        <v>12.092276595944346</v>
      </c>
      <c r="F171">
        <v>0.43288355622937424</v>
      </c>
      <c r="G171">
        <v>0.16061353434365327</v>
      </c>
      <c r="H171">
        <v>17.314226313482632</v>
      </c>
      <c r="I171">
        <v>12.301927811898111</v>
      </c>
      <c r="J171">
        <v>0.27747361515222552</v>
      </c>
      <c r="K171">
        <v>0.10261992092721919</v>
      </c>
      <c r="L171">
        <v>17.317978652022454</v>
      </c>
      <c r="M171">
        <v>12.215409833619315</v>
      </c>
      <c r="N171">
        <v>0.34163818947756391</v>
      </c>
      <c r="O171">
        <v>0.12651796169433671</v>
      </c>
      <c r="P171">
        <v>17.316434015208774</v>
      </c>
      <c r="Q171">
        <v>12.150707384852609</v>
      </c>
      <c r="R171">
        <v>0.38959555560802034</v>
      </c>
      <c r="S171">
        <v>0.14442173856600696</v>
      </c>
      <c r="T171">
        <v>17.315275320973349</v>
      </c>
      <c r="U171">
        <v>1547.3242631120495</v>
      </c>
      <c r="V171">
        <v>9.4673409560365638</v>
      </c>
      <c r="W171">
        <v>1294.2952321112452</v>
      </c>
      <c r="X171">
        <v>6.8431601009546501</v>
      </c>
      <c r="Y171">
        <v>2866.4691480660645</v>
      </c>
      <c r="Z171">
        <v>9.502789229194164</v>
      </c>
      <c r="AA171">
        <v>2710.6443999081175</v>
      </c>
      <c r="AB171">
        <v>6.8641002045731527</v>
      </c>
      <c r="AC171">
        <v>2208.0959298382345</v>
      </c>
      <c r="AD171">
        <v>9.4881584312913407</v>
      </c>
      <c r="AE171">
        <v>2011.362663255205</v>
      </c>
      <c r="AF171">
        <v>6.855466974640847</v>
      </c>
      <c r="AG171">
        <v>2112.4047266158377</v>
      </c>
      <c r="AH171">
        <v>9.4772187659617781</v>
      </c>
      <c r="AI171">
        <v>1896.7730867610942</v>
      </c>
      <c r="AJ171">
        <v>6.8490030660041308</v>
      </c>
    </row>
    <row r="172" spans="4:36" x14ac:dyDescent="0.45">
      <c r="D172">
        <v>165</v>
      </c>
      <c r="E172">
        <v>12.550510018996235</v>
      </c>
      <c r="F172">
        <v>0.49099058342875679</v>
      </c>
      <c r="G172">
        <v>0.2016554355866359</v>
      </c>
      <c r="H172">
        <v>16.756843961988373</v>
      </c>
      <c r="I172">
        <v>12.791380386781622</v>
      </c>
      <c r="J172">
        <v>0.30918717538902291</v>
      </c>
      <c r="K172">
        <v>0.12652466807119536</v>
      </c>
      <c r="L172">
        <v>16.772907769758167</v>
      </c>
      <c r="M172">
        <v>12.719619354137537</v>
      </c>
      <c r="N172">
        <v>0.36338349987886737</v>
      </c>
      <c r="O172">
        <v>0.1488633959251158</v>
      </c>
      <c r="P172">
        <v>16.768133750058471</v>
      </c>
      <c r="Q172">
        <v>12.660887226696858</v>
      </c>
      <c r="R172">
        <v>0.40771936128601166</v>
      </c>
      <c r="S172">
        <v>0.1671743137398494</v>
      </c>
      <c r="T172">
        <v>16.76421909827727</v>
      </c>
      <c r="U172">
        <v>1560.6515993897535</v>
      </c>
      <c r="V172">
        <v>10.052649261675153</v>
      </c>
      <c r="W172">
        <v>1297.4026473611304</v>
      </c>
      <c r="X172">
        <v>7.2068303690958988</v>
      </c>
      <c r="Y172">
        <v>2899.491756074684</v>
      </c>
      <c r="Z172">
        <v>10.090134409710014</v>
      </c>
      <c r="AA172">
        <v>2730.7687494278957</v>
      </c>
      <c r="AB172">
        <v>7.2292859474747138</v>
      </c>
      <c r="AC172">
        <v>2226.8865251074039</v>
      </c>
      <c r="AD172">
        <v>10.078960276684079</v>
      </c>
      <c r="AE172">
        <v>2021.5966973183656</v>
      </c>
      <c r="AF172">
        <v>7.2226026300221005</v>
      </c>
      <c r="AG172">
        <v>2103.7427889586947</v>
      </c>
      <c r="AH172">
        <v>10.069818946474362</v>
      </c>
      <c r="AI172">
        <v>1887.4087144333648</v>
      </c>
      <c r="AJ172">
        <v>7.2171285017648072</v>
      </c>
    </row>
    <row r="173" spans="4:36" x14ac:dyDescent="0.45">
      <c r="D173">
        <v>166</v>
      </c>
      <c r="E173">
        <v>14.439721321216684</v>
      </c>
      <c r="F173">
        <v>0.53660520230412745</v>
      </c>
      <c r="G173">
        <v>0.1816456554557532</v>
      </c>
      <c r="H173">
        <v>14.842027821023422</v>
      </c>
      <c r="I173">
        <v>14.755792002797666</v>
      </c>
      <c r="J173">
        <v>0.32418967743892751</v>
      </c>
      <c r="K173">
        <v>0.10930993615168944</v>
      </c>
      <c r="L173">
        <v>14.810708383611717</v>
      </c>
      <c r="M173">
        <v>14.640586677192655</v>
      </c>
      <c r="N173">
        <v>0.40168407264973754</v>
      </c>
      <c r="O173">
        <v>0.13563274798339678</v>
      </c>
      <c r="P173">
        <v>14.822096502174203</v>
      </c>
      <c r="Q173">
        <v>14.565217028797248</v>
      </c>
      <c r="R173">
        <v>0.45233884257154094</v>
      </c>
      <c r="S173">
        <v>0.1528802502168323</v>
      </c>
      <c r="T173">
        <v>14.829563878414373</v>
      </c>
      <c r="U173">
        <v>1670.265767542058</v>
      </c>
      <c r="V173">
        <v>11.273616350570967</v>
      </c>
      <c r="W173">
        <v>1358.8769688033451</v>
      </c>
      <c r="X173">
        <v>7.873191169212344</v>
      </c>
      <c r="Y173">
        <v>2944.6452281118945</v>
      </c>
      <c r="Z173">
        <v>11.34914772162832</v>
      </c>
      <c r="AA173">
        <v>2753.3391596031183</v>
      </c>
      <c r="AB173">
        <v>7.9145481769758819</v>
      </c>
      <c r="AC173">
        <v>2292.8261009358657</v>
      </c>
      <c r="AD173">
        <v>11.321632458997792</v>
      </c>
      <c r="AE173">
        <v>2055.2904643453453</v>
      </c>
      <c r="AF173">
        <v>7.8994985790427492</v>
      </c>
      <c r="AG173">
        <v>2198.4348812611261</v>
      </c>
      <c r="AH173">
        <v>11.303621940388167</v>
      </c>
      <c r="AI173">
        <v>1940.6631751200039</v>
      </c>
      <c r="AJ173">
        <v>7.8896375663791387</v>
      </c>
    </row>
    <row r="174" spans="4:36" x14ac:dyDescent="0.45">
      <c r="D174">
        <v>167</v>
      </c>
      <c r="E174">
        <v>13.879477015704452</v>
      </c>
      <c r="F174">
        <v>0.46706187523784037</v>
      </c>
      <c r="G174">
        <v>0.15751749823032599</v>
      </c>
      <c r="H174">
        <v>15.495943610827382</v>
      </c>
      <c r="I174">
        <v>14.104367225914</v>
      </c>
      <c r="J174">
        <v>0.31530430711729396</v>
      </c>
      <c r="K174">
        <v>0.10602263430950548</v>
      </c>
      <c r="L174">
        <v>15.474305832659192</v>
      </c>
      <c r="M174">
        <v>14.002718669121448</v>
      </c>
      <c r="N174">
        <v>0.38393660627245063</v>
      </c>
      <c r="O174">
        <v>0.12927280124119522</v>
      </c>
      <c r="P174">
        <v>15.484071923364924</v>
      </c>
      <c r="Q174">
        <v>13.945698171310688</v>
      </c>
      <c r="R174">
        <v>0.42240821442191423</v>
      </c>
      <c r="S174">
        <v>0.14233323714152391</v>
      </c>
      <c r="T174">
        <v>15.48956037712586</v>
      </c>
      <c r="U174">
        <v>1567.5800202884473</v>
      </c>
      <c r="V174">
        <v>10.959591467488968</v>
      </c>
      <c r="W174">
        <v>1296.6305572258341</v>
      </c>
      <c r="X174">
        <v>7.7177922117559641</v>
      </c>
      <c r="Y174">
        <v>2913.9479066471804</v>
      </c>
      <c r="Z174">
        <v>11.011669105389114</v>
      </c>
      <c r="AA174">
        <v>2735.9126004514605</v>
      </c>
      <c r="AB174">
        <v>7.7464366338551116</v>
      </c>
      <c r="AC174">
        <v>2243.4857115151331</v>
      </c>
      <c r="AD174">
        <v>10.988139425693346</v>
      </c>
      <c r="AE174">
        <v>2026.1475753622728</v>
      </c>
      <c r="AF174">
        <v>7.733503665785757</v>
      </c>
      <c r="AG174">
        <v>2200.6149939994452</v>
      </c>
      <c r="AH174">
        <v>10.974933802146325</v>
      </c>
      <c r="AI174">
        <v>1949.1605927665462</v>
      </c>
      <c r="AJ174">
        <v>7.7262386830018812</v>
      </c>
    </row>
    <row r="175" spans="4:36" x14ac:dyDescent="0.45">
      <c r="D175">
        <v>168</v>
      </c>
      <c r="E175">
        <v>12.903835562635031</v>
      </c>
      <c r="F175">
        <v>0.43674231565962424</v>
      </c>
      <c r="G175">
        <v>0.16243279366012262</v>
      </c>
      <c r="H175">
        <v>16.496989328045224</v>
      </c>
      <c r="I175">
        <v>13.084261156887237</v>
      </c>
      <c r="J175">
        <v>0.31049685844604791</v>
      </c>
      <c r="K175">
        <v>0.11518354419279687</v>
      </c>
      <c r="L175">
        <v>16.490058440473916</v>
      </c>
      <c r="M175">
        <v>13.005937605828393</v>
      </c>
      <c r="N175">
        <v>0.36532533944803869</v>
      </c>
      <c r="O175">
        <v>0.13567366598698477</v>
      </c>
      <c r="P175">
        <v>16.493063388736598</v>
      </c>
      <c r="Q175">
        <v>12.949155732665794</v>
      </c>
      <c r="R175">
        <v>0.40505037531730859</v>
      </c>
      <c r="S175">
        <v>0.15054839875400641</v>
      </c>
      <c r="T175">
        <v>16.4952454932629</v>
      </c>
      <c r="U175">
        <v>1539.2301109593964</v>
      </c>
      <c r="V175">
        <v>10.20904373431887</v>
      </c>
      <c r="W175">
        <v>1284.27866209237</v>
      </c>
      <c r="X175">
        <v>7.291192797575051</v>
      </c>
      <c r="Y175">
        <v>2918.9785749393668</v>
      </c>
      <c r="Z175">
        <v>10.248097152237408</v>
      </c>
      <c r="AA175">
        <v>2743.607047956415</v>
      </c>
      <c r="AB175">
        <v>7.3134355010466772</v>
      </c>
      <c r="AC175">
        <v>2251.9057755219101</v>
      </c>
      <c r="AD175">
        <v>10.23114605893859</v>
      </c>
      <c r="AE175">
        <v>2038.1352051937683</v>
      </c>
      <c r="AF175">
        <v>7.3037881572202865</v>
      </c>
      <c r="AG175">
        <v>2134.1970798695502</v>
      </c>
      <c r="AH175">
        <v>10.218855024065226</v>
      </c>
      <c r="AI175">
        <v>1908.2161932508607</v>
      </c>
      <c r="AJ175">
        <v>7.2967862078542982</v>
      </c>
    </row>
    <row r="176" spans="4:36" x14ac:dyDescent="0.45">
      <c r="D176">
        <v>169</v>
      </c>
      <c r="E176">
        <v>12.769876544046122</v>
      </c>
      <c r="F176">
        <v>0.46342062990395655</v>
      </c>
      <c r="G176">
        <v>0.16193511412483422</v>
      </c>
      <c r="H176">
        <v>16.604767711925085</v>
      </c>
      <c r="I176">
        <v>13.044120416780091</v>
      </c>
      <c r="J176">
        <v>0.27737521975311463</v>
      </c>
      <c r="K176">
        <v>9.6530962295048012E-2</v>
      </c>
      <c r="L176">
        <v>16.58197340117173</v>
      </c>
      <c r="M176">
        <v>12.937446315954421</v>
      </c>
      <c r="N176">
        <v>0.34980060019989934</v>
      </c>
      <c r="O176">
        <v>0.12192787382322554</v>
      </c>
      <c r="P176">
        <v>16.590825210022466</v>
      </c>
      <c r="Q176">
        <v>12.898020679483482</v>
      </c>
      <c r="R176">
        <v>0.3765495626706668</v>
      </c>
      <c r="S176">
        <v>0.13132832263700719</v>
      </c>
      <c r="T176">
        <v>16.594101435208845</v>
      </c>
      <c r="U176">
        <v>1556.5375175052557</v>
      </c>
      <c r="V176">
        <v>10.045026127134919</v>
      </c>
      <c r="W176">
        <v>1295.6457220500411</v>
      </c>
      <c r="X176">
        <v>7.1863473856752105</v>
      </c>
      <c r="Y176">
        <v>2900.7165397753788</v>
      </c>
      <c r="Z176">
        <v>10.108784891380465</v>
      </c>
      <c r="AA176">
        <v>2733.3791202958873</v>
      </c>
      <c r="AB176">
        <v>7.222402201673944</v>
      </c>
      <c r="AC176">
        <v>2208.9389185807745</v>
      </c>
      <c r="AD176">
        <v>10.083992523453775</v>
      </c>
      <c r="AE176">
        <v>2008.9746843184598</v>
      </c>
      <c r="AF176">
        <v>7.2083988921989732</v>
      </c>
      <c r="AG176">
        <v>2149.3425932043142</v>
      </c>
      <c r="AH176">
        <v>10.074826885977604</v>
      </c>
      <c r="AI176">
        <v>1921.7752721119034</v>
      </c>
      <c r="AJ176">
        <v>7.203216646769131</v>
      </c>
    </row>
    <row r="177" spans="4:36" x14ac:dyDescent="0.45">
      <c r="D177">
        <v>170</v>
      </c>
      <c r="E177">
        <v>11.606974738082483</v>
      </c>
      <c r="F177">
        <v>0.42733217068278939</v>
      </c>
      <c r="G177">
        <v>0.17277260821428037</v>
      </c>
      <c r="H177">
        <v>17.792920483020431</v>
      </c>
      <c r="I177">
        <v>11.807714541629505</v>
      </c>
      <c r="J177">
        <v>0.27183230156511218</v>
      </c>
      <c r="K177">
        <v>0.10955383327023083</v>
      </c>
      <c r="L177">
        <v>17.810899323535143</v>
      </c>
      <c r="M177">
        <v>11.731547434115626</v>
      </c>
      <c r="N177">
        <v>0.33085898491021282</v>
      </c>
      <c r="O177">
        <v>0.13350325872374505</v>
      </c>
      <c r="P177">
        <v>17.80409032225041</v>
      </c>
      <c r="Q177">
        <v>11.679744292161461</v>
      </c>
      <c r="R177">
        <v>0.37098704169400337</v>
      </c>
      <c r="S177">
        <v>0.14981819287508502</v>
      </c>
      <c r="T177">
        <v>17.799450473269452</v>
      </c>
      <c r="U177">
        <v>1493.5648443466384</v>
      </c>
      <c r="V177">
        <v>9.1161296957012432</v>
      </c>
      <c r="W177">
        <v>1258.7929546023756</v>
      </c>
      <c r="X177">
        <v>6.6387991302868894</v>
      </c>
      <c r="Y177">
        <v>2865.7923532909981</v>
      </c>
      <c r="Z177">
        <v>9.1436663506942324</v>
      </c>
      <c r="AA177">
        <v>2712.709127668079</v>
      </c>
      <c r="AB177">
        <v>6.6559543926506164</v>
      </c>
      <c r="AC177">
        <v>2177.3062598950983</v>
      </c>
      <c r="AD177">
        <v>9.1332102855835693</v>
      </c>
      <c r="AE177">
        <v>1992.384975828591</v>
      </c>
      <c r="AF177">
        <v>6.649449709477568</v>
      </c>
      <c r="AG177">
        <v>2086.3681273840507</v>
      </c>
      <c r="AH177">
        <v>9.1261042726584503</v>
      </c>
      <c r="AI177">
        <v>1882.0937598166954</v>
      </c>
      <c r="AJ177">
        <v>6.6450225305645692</v>
      </c>
    </row>
    <row r="178" spans="4:36" x14ac:dyDescent="0.45">
      <c r="D178">
        <v>171</v>
      </c>
      <c r="E178">
        <v>12.796302365705715</v>
      </c>
      <c r="F178">
        <v>0.43384748524912453</v>
      </c>
      <c r="G178">
        <v>0.15115198117899317</v>
      </c>
      <c r="H178">
        <v>16.618698167866167</v>
      </c>
      <c r="I178">
        <v>13.017317814596979</v>
      </c>
      <c r="J178">
        <v>0.28074500185233742</v>
      </c>
      <c r="K178">
        <v>9.7500877113155665E-2</v>
      </c>
      <c r="L178">
        <v>16.604436306437538</v>
      </c>
      <c r="M178">
        <v>12.920155085711517</v>
      </c>
      <c r="N178">
        <v>0.34808987171900119</v>
      </c>
      <c r="O178">
        <v>0.12105765411944391</v>
      </c>
      <c r="P178">
        <v>16.610697388450017</v>
      </c>
      <c r="Q178">
        <v>12.872468088959222</v>
      </c>
      <c r="R178">
        <v>0.38112064661865475</v>
      </c>
      <c r="S178">
        <v>0.13263598043560365</v>
      </c>
      <c r="T178">
        <v>16.613775283986516</v>
      </c>
      <c r="U178">
        <v>1538.926382329134</v>
      </c>
      <c r="V178">
        <v>10.02747069867781</v>
      </c>
      <c r="W178">
        <v>1285.7661578316395</v>
      </c>
      <c r="X178">
        <v>7.1734418136351943</v>
      </c>
      <c r="Y178">
        <v>2885.1309351291875</v>
      </c>
      <c r="Z178">
        <v>10.074797175153616</v>
      </c>
      <c r="AA178">
        <v>2722.4464562471412</v>
      </c>
      <c r="AB178">
        <v>7.2001728352219443</v>
      </c>
      <c r="AC178">
        <v>2219.9947843791933</v>
      </c>
      <c r="AD178">
        <v>10.053997053356053</v>
      </c>
      <c r="AE178">
        <v>2017.6457161810661</v>
      </c>
      <c r="AF178">
        <v>7.1884345843993982</v>
      </c>
      <c r="AG178">
        <v>2110.8334959881431</v>
      </c>
      <c r="AH178">
        <v>10.043785291184351</v>
      </c>
      <c r="AI178">
        <v>1894.4189514443631</v>
      </c>
      <c r="AJ178">
        <v>7.1826659391943029</v>
      </c>
    </row>
    <row r="179" spans="4:36" x14ac:dyDescent="0.45">
      <c r="D179">
        <v>172</v>
      </c>
      <c r="E179">
        <v>13.25707577592636</v>
      </c>
      <c r="F179">
        <v>0.45653936956605229</v>
      </c>
      <c r="G179">
        <v>0.16262672508296155</v>
      </c>
      <c r="H179">
        <v>16.123758129424623</v>
      </c>
      <c r="I179">
        <v>13.451467762634902</v>
      </c>
      <c r="J179">
        <v>0.31664657671674529</v>
      </c>
      <c r="K179">
        <v>0.11248785945045023</v>
      </c>
      <c r="L179">
        <v>16.119397801197906</v>
      </c>
      <c r="M179">
        <v>13.350146504756266</v>
      </c>
      <c r="N179">
        <v>0.38958899099806527</v>
      </c>
      <c r="O179">
        <v>0.13859648886771112</v>
      </c>
      <c r="P179">
        <v>16.121668015377946</v>
      </c>
      <c r="Q179">
        <v>13.327740652109172</v>
      </c>
      <c r="R179">
        <v>0.40571123270765463</v>
      </c>
      <c r="S179">
        <v>0.14437734427323956</v>
      </c>
      <c r="T179">
        <v>16.122170770909928</v>
      </c>
      <c r="U179">
        <v>1571.1194194972436</v>
      </c>
      <c r="V179">
        <v>10.491107993760352</v>
      </c>
      <c r="W179">
        <v>1300.9292563247193</v>
      </c>
      <c r="X179">
        <v>7.4511675700317355</v>
      </c>
      <c r="Y179">
        <v>2927.2569642937947</v>
      </c>
      <c r="Z179">
        <v>10.528883975787622</v>
      </c>
      <c r="AA179">
        <v>2745.8676389085545</v>
      </c>
      <c r="AB179">
        <v>7.4726684515272268</v>
      </c>
      <c r="AC179">
        <v>2259.06144063082</v>
      </c>
      <c r="AD179">
        <v>10.50919575793637</v>
      </c>
      <c r="AE179">
        <v>2037.5423786782023</v>
      </c>
      <c r="AF179">
        <v>7.4614698899556222</v>
      </c>
      <c r="AG179">
        <v>2163.8884165949853</v>
      </c>
      <c r="AH179">
        <v>10.504841549955591</v>
      </c>
      <c r="AI179">
        <v>1925.207273538548</v>
      </c>
      <c r="AJ179">
        <v>7.4589910859589947</v>
      </c>
    </row>
    <row r="180" spans="4:36" x14ac:dyDescent="0.45">
      <c r="D180">
        <v>173</v>
      </c>
      <c r="E180">
        <v>11.33552614067491</v>
      </c>
      <c r="F180">
        <v>0.41116665398270874</v>
      </c>
      <c r="G180">
        <v>0.1569724377812371</v>
      </c>
      <c r="H180">
        <v>18.096334767561139</v>
      </c>
      <c r="I180">
        <v>11.477328932131947</v>
      </c>
      <c r="J180">
        <v>0.29313950978091174</v>
      </c>
      <c r="K180">
        <v>0.11166107935604931</v>
      </c>
      <c r="L180">
        <v>18.117870478731085</v>
      </c>
      <c r="M180">
        <v>11.437298758890535</v>
      </c>
      <c r="N180">
        <v>0.32646645216076453</v>
      </c>
      <c r="O180">
        <v>0.12443459490752995</v>
      </c>
      <c r="P180">
        <v>18.111800194041177</v>
      </c>
      <c r="Q180">
        <v>11.370401262375811</v>
      </c>
      <c r="R180">
        <v>0.38214674707089658</v>
      </c>
      <c r="S180">
        <v>0.14581232575954406</v>
      </c>
      <c r="T180">
        <v>18.101639664793748</v>
      </c>
      <c r="U180">
        <v>1503.245632865272</v>
      </c>
      <c r="V180">
        <v>8.9656978312828759</v>
      </c>
      <c r="W180">
        <v>1265.8953860001559</v>
      </c>
      <c r="X180">
        <v>6.5591092903864707</v>
      </c>
      <c r="Y180">
        <v>2868.0262553089465</v>
      </c>
      <c r="Z180">
        <v>8.9780153350131293</v>
      </c>
      <c r="AA180">
        <v>2711.4900684086315</v>
      </c>
      <c r="AB180">
        <v>6.5673962626788907</v>
      </c>
      <c r="AC180">
        <v>2182.4831372039475</v>
      </c>
      <c r="AD180">
        <v>8.9745331242567321</v>
      </c>
      <c r="AE180">
        <v>1995.5102295675003</v>
      </c>
      <c r="AF180">
        <v>6.5650573589310151</v>
      </c>
      <c r="AG180">
        <v>2078.0394703130023</v>
      </c>
      <c r="AH180">
        <v>8.9687225794706524</v>
      </c>
      <c r="AI180">
        <v>1873.6379147338284</v>
      </c>
      <c r="AJ180">
        <v>6.5611478239286427</v>
      </c>
    </row>
    <row r="181" spans="4:36" x14ac:dyDescent="0.45">
      <c r="D181">
        <v>174</v>
      </c>
      <c r="E181">
        <v>12.574151422656898</v>
      </c>
      <c r="F181">
        <v>0.4280186886577913</v>
      </c>
      <c r="G181">
        <v>0.1555174466196291</v>
      </c>
      <c r="H181">
        <v>16.842312442065669</v>
      </c>
      <c r="I181">
        <v>12.765295707624714</v>
      </c>
      <c r="J181">
        <v>0.29559722178911929</v>
      </c>
      <c r="K181">
        <v>0.10710659677137099</v>
      </c>
      <c r="L181">
        <v>16.832000473814777</v>
      </c>
      <c r="M181">
        <v>12.708715361393072</v>
      </c>
      <c r="N181">
        <v>0.33481942224669153</v>
      </c>
      <c r="O181">
        <v>0.12141723245673057</v>
      </c>
      <c r="P181">
        <v>16.835047983903497</v>
      </c>
      <c r="Q181">
        <v>12.66465643089145</v>
      </c>
      <c r="R181">
        <v>0.3653475084447031</v>
      </c>
      <c r="S181">
        <v>0.132572134621285</v>
      </c>
      <c r="T181">
        <v>16.837423926042568</v>
      </c>
      <c r="U181">
        <v>1506.0014895657569</v>
      </c>
      <c r="V181">
        <v>9.9582647715756334</v>
      </c>
      <c r="W181">
        <v>1263.520953588674</v>
      </c>
      <c r="X181">
        <v>7.1479359827148503</v>
      </c>
      <c r="Y181">
        <v>2903.1993930747508</v>
      </c>
      <c r="Z181">
        <v>9.9992866898702175</v>
      </c>
      <c r="AA181">
        <v>2735.0766012000299</v>
      </c>
      <c r="AB181">
        <v>7.171256693187102</v>
      </c>
      <c r="AC181">
        <v>2188.249778515752</v>
      </c>
      <c r="AD181">
        <v>9.9871469796598031</v>
      </c>
      <c r="AE181">
        <v>1996.5972363054022</v>
      </c>
      <c r="AF181">
        <v>7.1643620631517297</v>
      </c>
      <c r="AG181">
        <v>2104.0504167090844</v>
      </c>
      <c r="AH181">
        <v>9.9776920109062637</v>
      </c>
      <c r="AI181">
        <v>1891.5851962719837</v>
      </c>
      <c r="AJ181">
        <v>7.158988307539734</v>
      </c>
    </row>
    <row r="182" spans="4:36" x14ac:dyDescent="0.45">
      <c r="D182">
        <v>175</v>
      </c>
      <c r="E182">
        <v>12.499667233828493</v>
      </c>
      <c r="F182">
        <v>0.39312171877429614</v>
      </c>
      <c r="G182">
        <v>0.14795644534856039</v>
      </c>
      <c r="H182">
        <v>16.959254602048652</v>
      </c>
      <c r="I182">
        <v>12.718321323928715</v>
      </c>
      <c r="J182">
        <v>0.24847898512000607</v>
      </c>
      <c r="K182">
        <v>9.3214350129105589E-2</v>
      </c>
      <c r="L182">
        <v>16.939985340822183</v>
      </c>
      <c r="M182">
        <v>12.627578422917283</v>
      </c>
      <c r="N182">
        <v>0.30854631142924249</v>
      </c>
      <c r="O182">
        <v>0.11590381771038517</v>
      </c>
      <c r="P182">
        <v>16.947971447943075</v>
      </c>
      <c r="Q182">
        <v>12.568195551786149</v>
      </c>
      <c r="R182">
        <v>0.34782447925142124</v>
      </c>
      <c r="S182">
        <v>0.13077410211548429</v>
      </c>
      <c r="T182">
        <v>16.95320586684695</v>
      </c>
      <c r="U182">
        <v>1507.5430005535729</v>
      </c>
      <c r="V182">
        <v>9.8804658933585205</v>
      </c>
      <c r="W182">
        <v>1268.2833771823277</v>
      </c>
      <c r="X182">
        <v>7.1043691138520231</v>
      </c>
      <c r="Y182">
        <v>2841.4080370260513</v>
      </c>
      <c r="Z182">
        <v>9.9324758290902118</v>
      </c>
      <c r="AA182">
        <v>2694.7077419352263</v>
      </c>
      <c r="AB182">
        <v>7.1338110789207576</v>
      </c>
      <c r="AC182">
        <v>2198.0172674772539</v>
      </c>
      <c r="AD182">
        <v>9.9108978731943846</v>
      </c>
      <c r="AE182">
        <v>2006.4384907695285</v>
      </c>
      <c r="AF182">
        <v>7.121607340085891</v>
      </c>
      <c r="AG182">
        <v>2089.2655176469534</v>
      </c>
      <c r="AH182">
        <v>9.8967720982141802</v>
      </c>
      <c r="AI182">
        <v>1883.1699827759019</v>
      </c>
      <c r="AJ182">
        <v>7.1136097298526551</v>
      </c>
    </row>
    <row r="183" spans="4:36" x14ac:dyDescent="0.45">
      <c r="D183">
        <v>176</v>
      </c>
      <c r="E183">
        <v>11.732589984324212</v>
      </c>
      <c r="F183">
        <v>0.43444590208423289</v>
      </c>
      <c r="G183">
        <v>0.1700377652145566</v>
      </c>
      <c r="H183">
        <v>17.662926348376992</v>
      </c>
      <c r="I183">
        <v>11.943881442235808</v>
      </c>
      <c r="J183">
        <v>0.27446402114801222</v>
      </c>
      <c r="K183">
        <v>0.10706639347206658</v>
      </c>
      <c r="L183">
        <v>17.674588143144121</v>
      </c>
      <c r="M183">
        <v>11.875145100153878</v>
      </c>
      <c r="N183">
        <v>0.32653586216175828</v>
      </c>
      <c r="O183">
        <v>0.12751622082611364</v>
      </c>
      <c r="P183">
        <v>17.670802816858252</v>
      </c>
      <c r="Q183">
        <v>11.823298669309494</v>
      </c>
      <c r="R183">
        <v>0.36579524589480628</v>
      </c>
      <c r="S183">
        <v>0.1429638230032805</v>
      </c>
      <c r="T183">
        <v>17.667942261792422</v>
      </c>
      <c r="U183">
        <v>1514.5205505709375</v>
      </c>
      <c r="V183">
        <v>9.3357246277333044</v>
      </c>
      <c r="W183">
        <v>1270.542371282673</v>
      </c>
      <c r="X183">
        <v>6.7856597597608754</v>
      </c>
      <c r="Y183">
        <v>2864.7372593831105</v>
      </c>
      <c r="Z183">
        <v>9.3694739458924534</v>
      </c>
      <c r="AA183">
        <v>2709.7938901701709</v>
      </c>
      <c r="AB183">
        <v>6.8060662591012262</v>
      </c>
      <c r="AC183">
        <v>2184.6982188950733</v>
      </c>
      <c r="AD183">
        <v>9.3584900908857627</v>
      </c>
      <c r="AE183">
        <v>1995.8341016535803</v>
      </c>
      <c r="AF183">
        <v>6.7994344422913873</v>
      </c>
      <c r="AG183">
        <v>2104.9728179794001</v>
      </c>
      <c r="AH183">
        <v>9.3502081694588437</v>
      </c>
      <c r="AI183">
        <v>1893.553521348854</v>
      </c>
      <c r="AJ183">
        <v>6.7944279233957721</v>
      </c>
    </row>
    <row r="184" spans="4:36" x14ac:dyDescent="0.45">
      <c r="D184">
        <v>177</v>
      </c>
      <c r="E184">
        <v>12.884115167073544</v>
      </c>
      <c r="F184">
        <v>0.51557100251173593</v>
      </c>
      <c r="G184">
        <v>0.13931966006892113</v>
      </c>
      <c r="H184">
        <v>16.460994170345792</v>
      </c>
      <c r="I184">
        <v>13.126107425225005</v>
      </c>
      <c r="J184">
        <v>0.33085316368414114</v>
      </c>
      <c r="K184">
        <v>8.9133756049835838E-2</v>
      </c>
      <c r="L184">
        <v>16.453905655041005</v>
      </c>
      <c r="M184">
        <v>13.052706734620411</v>
      </c>
      <c r="N184">
        <v>0.38691341999423778</v>
      </c>
      <c r="O184">
        <v>0.10433213342792273</v>
      </c>
      <c r="P184">
        <v>16.456047711957424</v>
      </c>
      <c r="Q184">
        <v>13.026660516456118</v>
      </c>
      <c r="R184">
        <v>0.40679973627704258</v>
      </c>
      <c r="S184">
        <v>0.10973025870202441</v>
      </c>
      <c r="T184">
        <v>16.456809488564822</v>
      </c>
      <c r="U184">
        <v>1529.2875121791096</v>
      </c>
      <c r="V184">
        <v>10.135180322010655</v>
      </c>
      <c r="W184">
        <v>1277.4072788881749</v>
      </c>
      <c r="X184">
        <v>7.236468098621895</v>
      </c>
      <c r="Y184">
        <v>2881.7307025064715</v>
      </c>
      <c r="Z184">
        <v>10.186095610743974</v>
      </c>
      <c r="AA184">
        <v>2719.1958564931647</v>
      </c>
      <c r="AB184">
        <v>7.2653749146180715</v>
      </c>
      <c r="AC184">
        <v>2186.937792169992</v>
      </c>
      <c r="AD184">
        <v>10.170656470480846</v>
      </c>
      <c r="AE184">
        <v>1994.3423822822072</v>
      </c>
      <c r="AF184">
        <v>7.2566197389782738</v>
      </c>
      <c r="AG184">
        <v>2099.1305570368131</v>
      </c>
      <c r="AH184">
        <v>10.165176979751466</v>
      </c>
      <c r="AI184">
        <v>1887.492619422399</v>
      </c>
      <c r="AJ184">
        <v>7.2535103067906865</v>
      </c>
    </row>
    <row r="185" spans="4:36" x14ac:dyDescent="0.45">
      <c r="D185">
        <v>178</v>
      </c>
      <c r="E185">
        <v>12.694303860911587</v>
      </c>
      <c r="F185">
        <v>0.4588753684643444</v>
      </c>
      <c r="G185">
        <v>0.16292066284643858</v>
      </c>
      <c r="H185">
        <v>16.683900107777628</v>
      </c>
      <c r="I185">
        <v>12.892782950900321</v>
      </c>
      <c r="J185">
        <v>0.30859278191126494</v>
      </c>
      <c r="K185">
        <v>0.1092519186003971</v>
      </c>
      <c r="L185">
        <v>16.689372348588016</v>
      </c>
      <c r="M185">
        <v>12.779842674545749</v>
      </c>
      <c r="N185">
        <v>0.39413361248146545</v>
      </c>
      <c r="O185">
        <v>0.13976207531635007</v>
      </c>
      <c r="P185">
        <v>16.686261637656422</v>
      </c>
      <c r="Q185">
        <v>12.761294621432642</v>
      </c>
      <c r="R185">
        <v>0.40817540293586668</v>
      </c>
      <c r="S185">
        <v>0.14477999983928591</v>
      </c>
      <c r="T185">
        <v>16.685749975792202</v>
      </c>
      <c r="U185">
        <v>1564.4288320614799</v>
      </c>
      <c r="V185">
        <v>10.050532685362141</v>
      </c>
      <c r="W185">
        <v>1298.2656289395777</v>
      </c>
      <c r="X185">
        <v>7.1969960161547935</v>
      </c>
      <c r="Y185">
        <v>2926.0124911285188</v>
      </c>
      <c r="Z185">
        <v>10.085982730170276</v>
      </c>
      <c r="AA185">
        <v>2747.125711393302</v>
      </c>
      <c r="AB185">
        <v>7.2177068974937342</v>
      </c>
      <c r="AC185">
        <v>2274.1330607837258</v>
      </c>
      <c r="AD185">
        <v>10.065809028147333</v>
      </c>
      <c r="AE185">
        <v>2049.8351031723446</v>
      </c>
      <c r="AF185">
        <v>7.2059291498763338</v>
      </c>
      <c r="AG185">
        <v>2169.2947613074621</v>
      </c>
      <c r="AH185">
        <v>10.062496330203205</v>
      </c>
      <c r="AI185">
        <v>1930.9560127314014</v>
      </c>
      <c r="AJ185">
        <v>7.2039930576370734</v>
      </c>
    </row>
    <row r="186" spans="4:36" x14ac:dyDescent="0.45">
      <c r="D186">
        <v>179</v>
      </c>
      <c r="E186">
        <v>11.594851778071574</v>
      </c>
      <c r="F186">
        <v>0.42860870337672635</v>
      </c>
      <c r="G186">
        <v>0.14016785969449364</v>
      </c>
      <c r="H186">
        <v>17.836371658857214</v>
      </c>
      <c r="I186">
        <v>11.803000773185925</v>
      </c>
      <c r="J186">
        <v>0.26733704469923553</v>
      </c>
      <c r="K186">
        <v>8.7140937725297088E-2</v>
      </c>
      <c r="L186">
        <v>17.842521244389552</v>
      </c>
      <c r="M186">
        <v>11.704751705011624</v>
      </c>
      <c r="N186">
        <v>0.3434879176649695</v>
      </c>
      <c r="O186">
        <v>0.11213581061026986</v>
      </c>
      <c r="P186">
        <v>17.839624566713141</v>
      </c>
      <c r="Q186">
        <v>11.681495919832859</v>
      </c>
      <c r="R186">
        <v>0.36150556780137788</v>
      </c>
      <c r="S186">
        <v>0.11806116206440789</v>
      </c>
      <c r="T186">
        <v>17.838937350301361</v>
      </c>
      <c r="U186">
        <v>1492.2252656788389</v>
      </c>
      <c r="V186">
        <v>9.2280946821317187</v>
      </c>
      <c r="W186">
        <v>1260.5539934583101</v>
      </c>
      <c r="X186">
        <v>6.7249883146114557</v>
      </c>
      <c r="Y186">
        <v>2844.0453609662827</v>
      </c>
      <c r="Z186">
        <v>9.2618860759551307</v>
      </c>
      <c r="AA186">
        <v>2698.9298936075206</v>
      </c>
      <c r="AB186">
        <v>6.7452341723561089</v>
      </c>
      <c r="AC186">
        <v>2174.2907425950361</v>
      </c>
      <c r="AD186">
        <v>9.2459329022209236</v>
      </c>
      <c r="AE186">
        <v>1991.3967410185592</v>
      </c>
      <c r="AF186">
        <v>6.7356862319277457</v>
      </c>
      <c r="AG186">
        <v>2073.616905338502</v>
      </c>
      <c r="AH186">
        <v>9.2421575801678415</v>
      </c>
      <c r="AI186">
        <v>1875.9151622024385</v>
      </c>
      <c r="AJ186">
        <v>6.7334240308726967</v>
      </c>
    </row>
    <row r="187" spans="4:36" x14ac:dyDescent="0.45">
      <c r="D187">
        <v>180</v>
      </c>
      <c r="E187">
        <v>11.426205703293491</v>
      </c>
      <c r="F187">
        <v>0.41603672858194812</v>
      </c>
      <c r="G187">
        <v>0.15660440782234553</v>
      </c>
      <c r="H187">
        <v>18.001153160302223</v>
      </c>
      <c r="I187">
        <v>11.600813033730555</v>
      </c>
      <c r="J187">
        <v>0.27662241650037062</v>
      </c>
      <c r="K187">
        <v>0.10383170098039921</v>
      </c>
      <c r="L187">
        <v>18.018732848788662</v>
      </c>
      <c r="M187">
        <v>11.532290386090427</v>
      </c>
      <c r="N187">
        <v>0.33135164210015827</v>
      </c>
      <c r="O187">
        <v>0.12451237517707488</v>
      </c>
      <c r="P187">
        <v>18.011845596632334</v>
      </c>
      <c r="Q187">
        <v>11.4834487271951</v>
      </c>
      <c r="R187">
        <v>0.37034770114466725</v>
      </c>
      <c r="S187">
        <v>0.13927627877499166</v>
      </c>
      <c r="T187">
        <v>18.006927292885237</v>
      </c>
      <c r="U187">
        <v>1481.6085340951477</v>
      </c>
      <c r="V187">
        <v>9.0421725410559048</v>
      </c>
      <c r="W187">
        <v>1249.1012461040827</v>
      </c>
      <c r="X187">
        <v>6.6059579209284136</v>
      </c>
      <c r="Y187">
        <v>2873.5820716930571</v>
      </c>
      <c r="Z187">
        <v>9.0641619433824872</v>
      </c>
      <c r="AA187">
        <v>2716.8304598162395</v>
      </c>
      <c r="AB187">
        <v>6.6199232499487257</v>
      </c>
      <c r="AC187">
        <v>2182.2496284194003</v>
      </c>
      <c r="AD187">
        <v>9.0555252514477012</v>
      </c>
      <c r="AE187">
        <v>1994.54372284378</v>
      </c>
      <c r="AF187">
        <v>6.6144455754322387</v>
      </c>
      <c r="AG187">
        <v>2082.1515625371799</v>
      </c>
      <c r="AH187">
        <v>9.0493748450584501</v>
      </c>
      <c r="AI187">
        <v>1877.4114585804268</v>
      </c>
      <c r="AJ187">
        <v>6.6105389443362954</v>
      </c>
    </row>
    <row r="188" spans="4:36" x14ac:dyDescent="0.45">
      <c r="D188">
        <v>181</v>
      </c>
      <c r="E188">
        <v>14.338142226672982</v>
      </c>
      <c r="F188">
        <v>0.55769235132722772</v>
      </c>
      <c r="G188">
        <v>0.17568839572566694</v>
      </c>
      <c r="H188">
        <v>14.92847702627413</v>
      </c>
      <c r="I188">
        <v>14.63624921687947</v>
      </c>
      <c r="J188">
        <v>0.35266597510966713</v>
      </c>
      <c r="K188">
        <v>0.1106595986157754</v>
      </c>
      <c r="L188">
        <v>14.900425209395092</v>
      </c>
      <c r="M188">
        <v>14.579368531012188</v>
      </c>
      <c r="N188">
        <v>0.39182692233949712</v>
      </c>
      <c r="O188">
        <v>0.12303995404091563</v>
      </c>
      <c r="P188">
        <v>14.905764592607404</v>
      </c>
      <c r="Q188">
        <v>14.48664313535226</v>
      </c>
      <c r="R188">
        <v>0.4556251928180145</v>
      </c>
      <c r="S188">
        <v>0.14324979999083212</v>
      </c>
      <c r="T188">
        <v>14.914481871838879</v>
      </c>
      <c r="U188">
        <v>1680.074612967305</v>
      </c>
      <c r="V188">
        <v>11.298326578432945</v>
      </c>
      <c r="W188">
        <v>1365.9987511400391</v>
      </c>
      <c r="X188">
        <v>7.8995911809831796</v>
      </c>
      <c r="Y188">
        <v>2969.1958487425645</v>
      </c>
      <c r="Z188">
        <v>11.370311751919624</v>
      </c>
      <c r="AA188">
        <v>2769.6259858044473</v>
      </c>
      <c r="AB188">
        <v>7.9392916583744411</v>
      </c>
      <c r="AC188">
        <v>2285.7475000851555</v>
      </c>
      <c r="AD188">
        <v>11.35658374462291</v>
      </c>
      <c r="AE188">
        <v>2052.129168487153</v>
      </c>
      <c r="AF188">
        <v>7.9317308896445988</v>
      </c>
      <c r="AG188">
        <v>2196.3185285581385</v>
      </c>
      <c r="AH188">
        <v>11.334197450040328</v>
      </c>
      <c r="AI188">
        <v>1940.2566421375147</v>
      </c>
      <c r="AJ188">
        <v>7.9193911201247387</v>
      </c>
    </row>
    <row r="189" spans="4:36" x14ac:dyDescent="0.45">
      <c r="D189">
        <v>182</v>
      </c>
      <c r="E189">
        <v>11.926457946680326</v>
      </c>
      <c r="F189">
        <v>0.44004160202027071</v>
      </c>
      <c r="G189">
        <v>0.16375063984035135</v>
      </c>
      <c r="H189">
        <v>17.469749811459042</v>
      </c>
      <c r="I189">
        <v>12.141999381449603</v>
      </c>
      <c r="J189">
        <v>0.27963867300890538</v>
      </c>
      <c r="K189">
        <v>0.10371934978178389</v>
      </c>
      <c r="L189">
        <v>17.474642595759704</v>
      </c>
      <c r="M189">
        <v>12.075210749764867</v>
      </c>
      <c r="N189">
        <v>0.32937039196468104</v>
      </c>
      <c r="O189">
        <v>0.12228888508922099</v>
      </c>
      <c r="P189">
        <v>17.473129973181219</v>
      </c>
      <c r="Q189">
        <v>11.995595760544479</v>
      </c>
      <c r="R189">
        <v>0.38861938006713814</v>
      </c>
      <c r="S189">
        <v>0.14446206674281484</v>
      </c>
      <c r="T189">
        <v>17.47132279264558</v>
      </c>
      <c r="U189">
        <v>1550.1258269741065</v>
      </c>
      <c r="V189">
        <v>9.5154346397999063</v>
      </c>
      <c r="W189">
        <v>1294.3400785648209</v>
      </c>
      <c r="X189">
        <v>6.895906673012191</v>
      </c>
      <c r="Y189">
        <v>2884.5887660741828</v>
      </c>
      <c r="Z189">
        <v>9.5543223438213438</v>
      </c>
      <c r="AA189">
        <v>2722.6987988213109</v>
      </c>
      <c r="AB189">
        <v>6.9189424952897047</v>
      </c>
      <c r="AC189">
        <v>2196.9651935882694</v>
      </c>
      <c r="AD189">
        <v>9.5422703842729213</v>
      </c>
      <c r="AE189">
        <v>2003.1874292081256</v>
      </c>
      <c r="AF189">
        <v>6.911812945181083</v>
      </c>
      <c r="AG189">
        <v>2096.4607372552318</v>
      </c>
      <c r="AH189">
        <v>9.5279063065127154</v>
      </c>
      <c r="AI189">
        <v>1883.8893079712818</v>
      </c>
      <c r="AJ189">
        <v>6.9033043480257765</v>
      </c>
    </row>
    <row r="190" spans="4:36" x14ac:dyDescent="0.45">
      <c r="D190">
        <v>183</v>
      </c>
      <c r="E190">
        <v>12.326293879759277</v>
      </c>
      <c r="F190">
        <v>0.43188962908731116</v>
      </c>
      <c r="G190">
        <v>0.15797364908409334</v>
      </c>
      <c r="H190">
        <v>17.083842842069327</v>
      </c>
      <c r="I190">
        <v>12.521228104404345</v>
      </c>
      <c r="J190">
        <v>0.28628713378878495</v>
      </c>
      <c r="K190">
        <v>0.10441531782604968</v>
      </c>
      <c r="L190">
        <v>17.088069443980814</v>
      </c>
      <c r="M190">
        <v>12.429125861445508</v>
      </c>
      <c r="N190">
        <v>0.35510770262769481</v>
      </c>
      <c r="O190">
        <v>0.12969129474263041</v>
      </c>
      <c r="P190">
        <v>17.086075141184168</v>
      </c>
      <c r="Q190">
        <v>12.384996246233106</v>
      </c>
      <c r="R190">
        <v>0.38806540896135094</v>
      </c>
      <c r="S190">
        <v>0.14182044307336364</v>
      </c>
      <c r="T190">
        <v>17.085117901732168</v>
      </c>
      <c r="U190">
        <v>1521.2875333422305</v>
      </c>
      <c r="V190">
        <v>9.7285519108323797</v>
      </c>
      <c r="W190">
        <v>1272.9062660524025</v>
      </c>
      <c r="X190">
        <v>7.0078623978829011</v>
      </c>
      <c r="Y190">
        <v>2886.3568567214165</v>
      </c>
      <c r="Z190">
        <v>9.7644023808672209</v>
      </c>
      <c r="AA190">
        <v>2722.7524318087376</v>
      </c>
      <c r="AB190">
        <v>7.0290150403323679</v>
      </c>
      <c r="AC190">
        <v>2211.6250557051203</v>
      </c>
      <c r="AD190">
        <v>9.7474614630305414</v>
      </c>
      <c r="AE190">
        <v>2010.853109452773</v>
      </c>
      <c r="AF190">
        <v>7.0190284767883604</v>
      </c>
      <c r="AG190">
        <v>2115.1069511921</v>
      </c>
      <c r="AH190">
        <v>9.7393459197289189</v>
      </c>
      <c r="AI190">
        <v>1896.668250036601</v>
      </c>
      <c r="AJ190">
        <v>7.0142387275270153</v>
      </c>
    </row>
    <row r="191" spans="4:36" x14ac:dyDescent="0.45">
      <c r="D191">
        <v>184</v>
      </c>
      <c r="E191">
        <v>13.261535143225618</v>
      </c>
      <c r="F191">
        <v>0.47084395726654671</v>
      </c>
      <c r="G191">
        <v>0.1860767436413556</v>
      </c>
      <c r="H191">
        <v>16.081544155866478</v>
      </c>
      <c r="I191">
        <v>13.479254475039086</v>
      </c>
      <c r="J191">
        <v>0.31123664478650481</v>
      </c>
      <c r="K191">
        <v>0.12262177945717816</v>
      </c>
      <c r="L191">
        <v>16.086887100717231</v>
      </c>
      <c r="M191">
        <v>13.374921985569811</v>
      </c>
      <c r="N191">
        <v>0.387754443609101</v>
      </c>
      <c r="O191">
        <v>0.15299337965372253</v>
      </c>
      <c r="P191">
        <v>16.084330191167368</v>
      </c>
      <c r="Q191">
        <v>13.327729888170335</v>
      </c>
      <c r="R191">
        <v>0.42234541058318081</v>
      </c>
      <c r="S191">
        <v>0.16675315032723981</v>
      </c>
      <c r="T191">
        <v>16.083171550919253</v>
      </c>
      <c r="U191">
        <v>1606.8488515120882</v>
      </c>
      <c r="V191">
        <v>10.532837555966685</v>
      </c>
      <c r="W191">
        <v>1324.9784365802591</v>
      </c>
      <c r="X191">
        <v>7.4759091967236184</v>
      </c>
      <c r="Y191">
        <v>2919.8942374676412</v>
      </c>
      <c r="Z191">
        <v>10.568796355805608</v>
      </c>
      <c r="AA191">
        <v>2740.7638219360192</v>
      </c>
      <c r="AB191">
        <v>7.4967520580403413</v>
      </c>
      <c r="AC191">
        <v>2237.1568075361997</v>
      </c>
      <c r="AD191">
        <v>10.551562702072108</v>
      </c>
      <c r="AE191">
        <v>2021.6970408937611</v>
      </c>
      <c r="AF191">
        <v>7.4867716074319315</v>
      </c>
      <c r="AG191">
        <v>2170.9207932298823</v>
      </c>
      <c r="AH191">
        <v>10.543768692136775</v>
      </c>
      <c r="AI191">
        <v>1928.603493389714</v>
      </c>
      <c r="AJ191">
        <v>7.4822526403382303</v>
      </c>
    </row>
    <row r="192" spans="4:36" x14ac:dyDescent="0.45">
      <c r="D192">
        <v>185</v>
      </c>
      <c r="E192">
        <v>12.558386689461276</v>
      </c>
      <c r="F192">
        <v>0.49001579220728908</v>
      </c>
      <c r="G192">
        <v>0.17099803530362992</v>
      </c>
      <c r="H192">
        <v>16.780599483027789</v>
      </c>
      <c r="I192">
        <v>12.824435207457325</v>
      </c>
      <c r="J192">
        <v>0.28822378722042324</v>
      </c>
      <c r="K192">
        <v>0.1002082089145143</v>
      </c>
      <c r="L192">
        <v>16.787132796407729</v>
      </c>
      <c r="M192">
        <v>12.69250048925397</v>
      </c>
      <c r="N192">
        <v>0.38834057674356109</v>
      </c>
      <c r="O192">
        <v>0.13526330353361254</v>
      </c>
      <c r="P192">
        <v>16.783895630468859</v>
      </c>
      <c r="Q192">
        <v>12.64637969918018</v>
      </c>
      <c r="R192">
        <v>0.42331685788124335</v>
      </c>
      <c r="S192">
        <v>0.14754070434881544</v>
      </c>
      <c r="T192">
        <v>16.78276273858976</v>
      </c>
      <c r="U192">
        <v>1548.8434526979711</v>
      </c>
      <c r="V192">
        <v>9.9394258249877012</v>
      </c>
      <c r="W192">
        <v>1292.3769002145598</v>
      </c>
      <c r="X192">
        <v>7.1288605148009347</v>
      </c>
      <c r="Y192">
        <v>2859.1242241244272</v>
      </c>
      <c r="Z192">
        <v>9.9866522926160215</v>
      </c>
      <c r="AA192">
        <v>2705.2770403258196</v>
      </c>
      <c r="AB192">
        <v>7.1563624610357106</v>
      </c>
      <c r="AC192">
        <v>2230.1164695793664</v>
      </c>
      <c r="AD192">
        <v>9.9632313159748911</v>
      </c>
      <c r="AE192">
        <v>2024.7831785233261</v>
      </c>
      <c r="AF192">
        <v>7.1427381989363807</v>
      </c>
      <c r="AG192">
        <v>2126.4581960935202</v>
      </c>
      <c r="AH192">
        <v>9.9550445112570642</v>
      </c>
      <c r="AI192">
        <v>1905.6070720897737</v>
      </c>
      <c r="AJ192">
        <v>7.1379690185560012</v>
      </c>
    </row>
    <row r="193" spans="4:36" x14ac:dyDescent="0.45">
      <c r="D193">
        <v>186</v>
      </c>
      <c r="E193">
        <v>13.524740826138562</v>
      </c>
      <c r="F193">
        <v>0.47927059143027573</v>
      </c>
      <c r="G193">
        <v>0.15414125024678924</v>
      </c>
      <c r="H193">
        <v>15.841847332184388</v>
      </c>
      <c r="I193">
        <v>13.777376595292841</v>
      </c>
      <c r="J193">
        <v>0.3018220091353343</v>
      </c>
      <c r="K193">
        <v>9.6741810529377664E-2</v>
      </c>
      <c r="L193">
        <v>15.824059585042441</v>
      </c>
      <c r="M193">
        <v>13.620947275451901</v>
      </c>
      <c r="N193">
        <v>0.41174116109444908</v>
      </c>
      <c r="O193">
        <v>0.13225071857794332</v>
      </c>
      <c r="P193">
        <v>15.835060844875713</v>
      </c>
      <c r="Q193">
        <v>13.601113512594678</v>
      </c>
      <c r="R193">
        <v>0.42566746573771569</v>
      </c>
      <c r="S193">
        <v>0.1367603743427051</v>
      </c>
      <c r="T193">
        <v>15.836458647324891</v>
      </c>
      <c r="U193">
        <v>1586.2196080873334</v>
      </c>
      <c r="V193">
        <v>10.666557341590309</v>
      </c>
      <c r="W193">
        <v>1310.3910226555918</v>
      </c>
      <c r="X193">
        <v>7.5485166983792</v>
      </c>
      <c r="Y193">
        <v>2923.4189401397957</v>
      </c>
      <c r="Z193">
        <v>10.726729130509035</v>
      </c>
      <c r="AA193">
        <v>2744.4125472714595</v>
      </c>
      <c r="AB193">
        <v>7.5822822737195734</v>
      </c>
      <c r="AC193">
        <v>2245.41193688576</v>
      </c>
      <c r="AD193">
        <v>10.689477632725465</v>
      </c>
      <c r="AE193">
        <v>2026.6042649375161</v>
      </c>
      <c r="AF193">
        <v>7.5613914681276642</v>
      </c>
      <c r="AG193">
        <v>2172.3398604226281</v>
      </c>
      <c r="AH193">
        <v>10.684753053426638</v>
      </c>
      <c r="AI193">
        <v>1930.0823848350446</v>
      </c>
      <c r="AJ193">
        <v>7.5587388972750347</v>
      </c>
    </row>
    <row r="194" spans="4:36" x14ac:dyDescent="0.45">
      <c r="D194">
        <v>187</v>
      </c>
      <c r="E194">
        <v>11.23236957103045</v>
      </c>
      <c r="F194">
        <v>0.39831005818132675</v>
      </c>
      <c r="G194">
        <v>0.13518734315290876</v>
      </c>
      <c r="H194">
        <v>18.234133027635334</v>
      </c>
      <c r="I194">
        <v>11.400320748010289</v>
      </c>
      <c r="J194">
        <v>0.26175738679312788</v>
      </c>
      <c r="K194">
        <v>8.8605305162114276E-2</v>
      </c>
      <c r="L194">
        <v>18.249316560034472</v>
      </c>
      <c r="M194">
        <v>11.308370941588816</v>
      </c>
      <c r="N194">
        <v>0.33653326075681333</v>
      </c>
      <c r="O194">
        <v>0.11408245899556964</v>
      </c>
      <c r="P194">
        <v>18.241013338658796</v>
      </c>
      <c r="Q194">
        <v>11.29630571417648</v>
      </c>
      <c r="R194">
        <v>0.34634211998134495</v>
      </c>
      <c r="S194">
        <v>0.11743002972883479</v>
      </c>
      <c r="T194">
        <v>18.239922136113329</v>
      </c>
      <c r="U194">
        <v>1447.7363406290635</v>
      </c>
      <c r="V194">
        <v>8.8061334039235373</v>
      </c>
      <c r="W194">
        <v>1230.7840602450271</v>
      </c>
      <c r="X194">
        <v>6.4584011423420291</v>
      </c>
      <c r="Y194">
        <v>2847.1439550776918</v>
      </c>
      <c r="Z194">
        <v>8.8289337832373427</v>
      </c>
      <c r="AA194">
        <v>2702.0842526013043</v>
      </c>
      <c r="AB194">
        <v>6.472704584019576</v>
      </c>
      <c r="AC194">
        <v>2157.6221107098381</v>
      </c>
      <c r="AD194">
        <v>8.8164453570218413</v>
      </c>
      <c r="AE194">
        <v>1980.1243745652005</v>
      </c>
      <c r="AF194">
        <v>6.4648774082473368</v>
      </c>
      <c r="AG194">
        <v>2041.7331613999133</v>
      </c>
      <c r="AH194">
        <v>8.8148077024104126</v>
      </c>
      <c r="AI194">
        <v>1854.2104992209254</v>
      </c>
      <c r="AJ194">
        <v>6.4638497069292313</v>
      </c>
    </row>
    <row r="195" spans="4:36" x14ac:dyDescent="0.45">
      <c r="D195">
        <v>188</v>
      </c>
      <c r="E195">
        <v>11.218817291371867</v>
      </c>
      <c r="F195">
        <v>0.48398744192860832</v>
      </c>
      <c r="G195">
        <v>0.18651849873265772</v>
      </c>
      <c r="H195">
        <v>18.110676767966858</v>
      </c>
      <c r="I195">
        <v>11.402219083854222</v>
      </c>
      <c r="J195">
        <v>0.31383239598226464</v>
      </c>
      <c r="K195">
        <v>0.1205984371866681</v>
      </c>
      <c r="L195">
        <v>18.163350082976837</v>
      </c>
      <c r="M195">
        <v>11.328555189777344</v>
      </c>
      <c r="N195">
        <v>0.38218353699368707</v>
      </c>
      <c r="O195">
        <v>0.14703257350037974</v>
      </c>
      <c r="P195">
        <v>18.142228699728594</v>
      </c>
      <c r="Q195">
        <v>11.29594336894511</v>
      </c>
      <c r="R195">
        <v>0.41243999100440681</v>
      </c>
      <c r="S195">
        <v>0.15875357344659122</v>
      </c>
      <c r="T195">
        <v>18.13286306660391</v>
      </c>
      <c r="U195">
        <v>1511.5681948733766</v>
      </c>
      <c r="V195">
        <v>8.9586916993981411</v>
      </c>
      <c r="W195">
        <v>1267.2235558059463</v>
      </c>
      <c r="X195">
        <v>6.5563206947472139</v>
      </c>
      <c r="Y195">
        <v>2885.155721417671</v>
      </c>
      <c r="Z195">
        <v>8.9643603280655597</v>
      </c>
      <c r="AA195">
        <v>2723.4449118417692</v>
      </c>
      <c r="AB195">
        <v>6.5621838928423699</v>
      </c>
      <c r="AC195">
        <v>2180.1135808712443</v>
      </c>
      <c r="AD195">
        <v>8.9620638410749294</v>
      </c>
      <c r="AE195">
        <v>1990.1011975669594</v>
      </c>
      <c r="AF195">
        <v>6.5598245019844432</v>
      </c>
      <c r="AG195">
        <v>2078.8939752893803</v>
      </c>
      <c r="AH195">
        <v>8.96105556415454</v>
      </c>
      <c r="AI195">
        <v>1873.0812207413558</v>
      </c>
      <c r="AJ195">
        <v>6.5587818620528706</v>
      </c>
    </row>
    <row r="196" spans="4:36" x14ac:dyDescent="0.45">
      <c r="D196">
        <v>189</v>
      </c>
      <c r="E196">
        <v>12.568277203661689</v>
      </c>
      <c r="F196">
        <v>0.46245938200000364</v>
      </c>
      <c r="G196">
        <v>0.18061231274153991</v>
      </c>
      <c r="H196">
        <v>16.788651101596763</v>
      </c>
      <c r="I196">
        <v>12.795586919208603</v>
      </c>
      <c r="J196">
        <v>0.2948361890492488</v>
      </c>
      <c r="K196">
        <v>0.11477279865580206</v>
      </c>
      <c r="L196">
        <v>16.794804093086338</v>
      </c>
      <c r="M196">
        <v>12.711272071673363</v>
      </c>
      <c r="N196">
        <v>0.35704610751596494</v>
      </c>
      <c r="O196">
        <v>0.13915701895562382</v>
      </c>
      <c r="P196">
        <v>16.792524801855045</v>
      </c>
      <c r="Q196">
        <v>12.645609709297908</v>
      </c>
      <c r="R196">
        <v>0.4054657548943571</v>
      </c>
      <c r="S196">
        <v>0.1581772405183037</v>
      </c>
      <c r="T196">
        <v>16.790747295289439</v>
      </c>
      <c r="U196">
        <v>1531.4678470720496</v>
      </c>
      <c r="V196">
        <v>9.918966480755774</v>
      </c>
      <c r="W196">
        <v>1277.5238654182706</v>
      </c>
      <c r="X196">
        <v>7.1141462225891043</v>
      </c>
      <c r="Y196">
        <v>2897.376623305016</v>
      </c>
      <c r="Z196">
        <v>9.9582031482178639</v>
      </c>
      <c r="AA196">
        <v>2729.7543802938189</v>
      </c>
      <c r="AB196">
        <v>7.1370654570066874</v>
      </c>
      <c r="AC196">
        <v>2213.2045100511873</v>
      </c>
      <c r="AD196">
        <v>9.9436478410848927</v>
      </c>
      <c r="AE196">
        <v>2011.5227478733002</v>
      </c>
      <c r="AF196">
        <v>7.1285732659512124</v>
      </c>
      <c r="AG196">
        <v>2105.1841223443062</v>
      </c>
      <c r="AH196">
        <v>9.9323136997461283</v>
      </c>
      <c r="AI196">
        <v>1887.8434665295206</v>
      </c>
      <c r="AJ196">
        <v>7.1219523270122806</v>
      </c>
    </row>
    <row r="197" spans="4:36" x14ac:dyDescent="0.45">
      <c r="D197">
        <v>190</v>
      </c>
      <c r="E197">
        <v>11.77670663267476</v>
      </c>
      <c r="F197">
        <v>0.41472792908607925</v>
      </c>
      <c r="G197">
        <v>0.15050058884730932</v>
      </c>
      <c r="H197">
        <v>17.658064849391856</v>
      </c>
      <c r="I197">
        <v>11.963878519909214</v>
      </c>
      <c r="J197">
        <v>0.27642390859966776</v>
      </c>
      <c r="K197">
        <v>0.10001843068730561</v>
      </c>
      <c r="L197">
        <v>17.659679140803824</v>
      </c>
      <c r="M197">
        <v>11.905618443838787</v>
      </c>
      <c r="N197">
        <v>0.31949520722993568</v>
      </c>
      <c r="O197">
        <v>0.11570776484949091</v>
      </c>
      <c r="P197">
        <v>17.659178584081783</v>
      </c>
      <c r="Q197">
        <v>11.888076772897893</v>
      </c>
      <c r="R197">
        <v>0.33245975781489173</v>
      </c>
      <c r="S197">
        <v>0.12043593640783168</v>
      </c>
      <c r="T197">
        <v>17.659027532879399</v>
      </c>
      <c r="U197">
        <v>1492.7139854393811</v>
      </c>
      <c r="V197">
        <v>9.2228132752395062</v>
      </c>
      <c r="W197">
        <v>1261.5712047244326</v>
      </c>
      <c r="X197">
        <v>6.7024437384677711</v>
      </c>
      <c r="Y197">
        <v>2854.9384586647934</v>
      </c>
      <c r="Z197">
        <v>9.2557709708114899</v>
      </c>
      <c r="AA197">
        <v>2705.9659576600775</v>
      </c>
      <c r="AB197">
        <v>6.7219518810994092</v>
      </c>
      <c r="AC197">
        <v>2152.9673997846444</v>
      </c>
      <c r="AD197">
        <v>9.2455112819076035</v>
      </c>
      <c r="AE197">
        <v>1977.3166992653537</v>
      </c>
      <c r="AF197">
        <v>6.7158861914744064</v>
      </c>
      <c r="AG197">
        <v>2022.0455814368527</v>
      </c>
      <c r="AH197">
        <v>9.2424223618900943</v>
      </c>
      <c r="AI197">
        <v>1840.0329543235669</v>
      </c>
      <c r="AJ197">
        <v>6.7140587109346468</v>
      </c>
    </row>
    <row r="198" spans="4:36" x14ac:dyDescent="0.45">
      <c r="D198">
        <v>191</v>
      </c>
      <c r="E198">
        <v>12.019166260777633</v>
      </c>
      <c r="F198">
        <v>0.41486259457042313</v>
      </c>
      <c r="G198">
        <v>0.18577001506161817</v>
      </c>
      <c r="H198">
        <v>17.380201129590315</v>
      </c>
      <c r="I198">
        <v>12.218257806133185</v>
      </c>
      <c r="J198">
        <v>0.27286616209420322</v>
      </c>
      <c r="K198">
        <v>0.12180408237341087</v>
      </c>
      <c r="L198">
        <v>17.387071949399196</v>
      </c>
      <c r="M198">
        <v>12.145383124536785</v>
      </c>
      <c r="N198">
        <v>0.3248706557737211</v>
      </c>
      <c r="O198">
        <v>0.14518375857244342</v>
      </c>
      <c r="P198">
        <v>17.384562461117063</v>
      </c>
      <c r="Q198">
        <v>12.126847891678363</v>
      </c>
      <c r="R198">
        <v>0.33809242065840228</v>
      </c>
      <c r="S198">
        <v>0.15113650424608696</v>
      </c>
      <c r="T198">
        <v>17.383923183417156</v>
      </c>
      <c r="U198">
        <v>1496.7796277704999</v>
      </c>
      <c r="V198">
        <v>9.408176271698931</v>
      </c>
      <c r="W198">
        <v>1257.1395180785566</v>
      </c>
      <c r="X198">
        <v>6.8075390889884186</v>
      </c>
      <c r="Y198">
        <v>2890.9929234490746</v>
      </c>
      <c r="Z198">
        <v>9.4404269933858256</v>
      </c>
      <c r="AA198">
        <v>2727.6462070873977</v>
      </c>
      <c r="AB198">
        <v>6.8267275832578544</v>
      </c>
      <c r="AC198">
        <v>2211.7425340704654</v>
      </c>
      <c r="AD198">
        <v>9.4286193535347032</v>
      </c>
      <c r="AE198">
        <v>2013.9808014404223</v>
      </c>
      <c r="AF198">
        <v>6.8197105226140362</v>
      </c>
      <c r="AG198">
        <v>2078.9277990602154</v>
      </c>
      <c r="AH198">
        <v>9.4256166494174014</v>
      </c>
      <c r="AI198">
        <v>1875.0866211832827</v>
      </c>
      <c r="AJ198">
        <v>6.8179245628449481</v>
      </c>
    </row>
    <row r="199" spans="4:36" x14ac:dyDescent="0.45">
      <c r="D199">
        <v>192</v>
      </c>
      <c r="E199">
        <v>12.170116488303821</v>
      </c>
      <c r="F199">
        <v>0.44641076882445097</v>
      </c>
      <c r="G199">
        <v>0.1491370254541356</v>
      </c>
      <c r="H199">
        <v>17.234335717417586</v>
      </c>
      <c r="I199">
        <v>12.391220895746896</v>
      </c>
      <c r="J199">
        <v>0.28421482657683772</v>
      </c>
      <c r="K199">
        <v>9.4644768407487409E-2</v>
      </c>
      <c r="L199">
        <v>17.229919509268779</v>
      </c>
      <c r="M199">
        <v>12.301550135380232</v>
      </c>
      <c r="N199">
        <v>0.35002932544818355</v>
      </c>
      <c r="O199">
        <v>0.11671320918331457</v>
      </c>
      <c r="P199">
        <v>17.231707329988279</v>
      </c>
      <c r="Q199">
        <v>12.277563698681256</v>
      </c>
      <c r="R199">
        <v>0.36762637929819392</v>
      </c>
      <c r="S199">
        <v>0.12262362051728672</v>
      </c>
      <c r="T199">
        <v>17.232186301503255</v>
      </c>
      <c r="U199">
        <v>1508.2256961981593</v>
      </c>
      <c r="V199">
        <v>9.5557021180459785</v>
      </c>
      <c r="W199">
        <v>1266.7786205428765</v>
      </c>
      <c r="X199">
        <v>6.9005553062715626</v>
      </c>
      <c r="Y199">
        <v>2867.5471774753564</v>
      </c>
      <c r="Z199">
        <v>9.6007484002245338</v>
      </c>
      <c r="AA199">
        <v>2712.1358578492759</v>
      </c>
      <c r="AB199">
        <v>6.9266732060956029</v>
      </c>
      <c r="AC199">
        <v>2189.9659068239566</v>
      </c>
      <c r="AD199">
        <v>9.5824810733744172</v>
      </c>
      <c r="AE199">
        <v>1999.0744453119116</v>
      </c>
      <c r="AF199">
        <v>6.9160930565795278</v>
      </c>
      <c r="AG199">
        <v>2076.4635387110866</v>
      </c>
      <c r="AH199">
        <v>9.5775943012377098</v>
      </c>
      <c r="AI199">
        <v>1874.005086074586</v>
      </c>
      <c r="AJ199">
        <v>6.9132601204183146</v>
      </c>
    </row>
    <row r="200" spans="4:36" x14ac:dyDescent="0.45">
      <c r="D200">
        <v>193</v>
      </c>
      <c r="E200">
        <v>12.665302374127556</v>
      </c>
      <c r="F200">
        <v>0.4706388286549319</v>
      </c>
      <c r="G200">
        <v>0.17572061838352729</v>
      </c>
      <c r="H200">
        <v>16.688338178833973</v>
      </c>
      <c r="I200">
        <v>12.892598852739868</v>
      </c>
      <c r="J200">
        <v>0.30232210772855767</v>
      </c>
      <c r="K200">
        <v>0.11250588379097325</v>
      </c>
      <c r="L200">
        <v>16.692573155740586</v>
      </c>
      <c r="M200">
        <v>12.821802007475064</v>
      </c>
      <c r="N200">
        <v>0.35477938913173229</v>
      </c>
      <c r="O200">
        <v>0.13216204144020169</v>
      </c>
      <c r="P200">
        <v>16.691256561952994</v>
      </c>
      <c r="Q200">
        <v>12.753962947927519</v>
      </c>
      <c r="R200">
        <v>0.40501879365455162</v>
      </c>
      <c r="S200">
        <v>0.15102539111178861</v>
      </c>
      <c r="T200">
        <v>16.689992867306145</v>
      </c>
      <c r="U200">
        <v>1551.3191228064784</v>
      </c>
      <c r="V200">
        <v>10.025590108020273</v>
      </c>
      <c r="W200">
        <v>1289.7099413478661</v>
      </c>
      <c r="X200">
        <v>7.1794331305820469</v>
      </c>
      <c r="Y200">
        <v>2899.1983176720769</v>
      </c>
      <c r="Z200">
        <v>10.064712918227382</v>
      </c>
      <c r="AA200">
        <v>2729.5091658929405</v>
      </c>
      <c r="AB200">
        <v>7.2022326884738632</v>
      </c>
      <c r="AC200">
        <v>2227.5921870000257</v>
      </c>
      <c r="AD200">
        <v>10.052525923041175</v>
      </c>
      <c r="AE200">
        <v>2020.8787744159965</v>
      </c>
      <c r="AF200">
        <v>7.1951394902577919</v>
      </c>
      <c r="AG200">
        <v>2125.4385814898333</v>
      </c>
      <c r="AH200">
        <v>10.040849159863178</v>
      </c>
      <c r="AI200">
        <v>1901.1787420973274</v>
      </c>
      <c r="AJ200">
        <v>7.1883356515246861</v>
      </c>
    </row>
    <row r="201" spans="4:36" x14ac:dyDescent="0.45">
      <c r="D201">
        <v>194</v>
      </c>
      <c r="E201">
        <v>12.742581310322008</v>
      </c>
      <c r="F201">
        <v>0.48116777601927835</v>
      </c>
      <c r="G201">
        <v>0.18094304173511511</v>
      </c>
      <c r="H201">
        <v>16.595307871923598</v>
      </c>
      <c r="I201">
        <v>12.961064617755717</v>
      </c>
      <c r="J201">
        <v>0.317734658950796</v>
      </c>
      <c r="K201">
        <v>0.11911238639663953</v>
      </c>
      <c r="L201">
        <v>16.602088336896848</v>
      </c>
      <c r="M201">
        <v>12.877084703498536</v>
      </c>
      <c r="N201">
        <v>0.38058544106277709</v>
      </c>
      <c r="O201">
        <v>0.14284410058860217</v>
      </c>
      <c r="P201">
        <v>16.599485754850093</v>
      </c>
      <c r="Q201">
        <v>12.819659248038416</v>
      </c>
      <c r="R201">
        <v>0.42354065831285237</v>
      </c>
      <c r="S201">
        <v>0.15909661617145623</v>
      </c>
      <c r="T201">
        <v>16.597703477477278</v>
      </c>
      <c r="U201">
        <v>1537.0649446319626</v>
      </c>
      <c r="V201">
        <v>10.031873447392829</v>
      </c>
      <c r="W201">
        <v>1279.2558713100509</v>
      </c>
      <c r="X201">
        <v>7.1746581469561823</v>
      </c>
      <c r="Y201">
        <v>2902.9718745076816</v>
      </c>
      <c r="Z201">
        <v>10.068625379019959</v>
      </c>
      <c r="AA201">
        <v>2731.4396268595456</v>
      </c>
      <c r="AB201">
        <v>7.1960955599195842</v>
      </c>
      <c r="AC201">
        <v>2219.0632026134022</v>
      </c>
      <c r="AD201">
        <v>10.054497194475944</v>
      </c>
      <c r="AE201">
        <v>2013.2425669349643</v>
      </c>
      <c r="AF201">
        <v>7.1878635613087427</v>
      </c>
      <c r="AG201">
        <v>2129.8504572155707</v>
      </c>
      <c r="AH201">
        <v>10.044837486854302</v>
      </c>
      <c r="AI201">
        <v>1903.4958525149761</v>
      </c>
      <c r="AJ201">
        <v>7.18222875858938</v>
      </c>
    </row>
    <row r="202" spans="4:36" x14ac:dyDescent="0.45">
      <c r="D202">
        <v>195</v>
      </c>
      <c r="E202">
        <v>12.731464249867239</v>
      </c>
      <c r="F202">
        <v>0.44347348435919909</v>
      </c>
      <c r="G202">
        <v>0.15265751546919668</v>
      </c>
      <c r="H202">
        <v>16.67240475030437</v>
      </c>
      <c r="I202">
        <v>12.944639843436907</v>
      </c>
      <c r="J202">
        <v>0.29336295854232286</v>
      </c>
      <c r="K202">
        <v>0.10067817555581196</v>
      </c>
      <c r="L202">
        <v>16.661319022464951</v>
      </c>
      <c r="M202">
        <v>12.853306851739701</v>
      </c>
      <c r="N202">
        <v>0.35771068458796584</v>
      </c>
      <c r="O202">
        <v>0.12292083359325978</v>
      </c>
      <c r="P202">
        <v>16.666061630079078</v>
      </c>
      <c r="Q202">
        <v>12.849841509449291</v>
      </c>
      <c r="R202">
        <v>0.36015114650955415</v>
      </c>
      <c r="S202">
        <v>0.123765566022384</v>
      </c>
      <c r="T202">
        <v>16.666241778018783</v>
      </c>
      <c r="U202">
        <v>1490.3265524819337</v>
      </c>
      <c r="V202">
        <v>9.9882437193572393</v>
      </c>
      <c r="W202">
        <v>1253.0222563733444</v>
      </c>
      <c r="X202">
        <v>7.1500679691283668</v>
      </c>
      <c r="Y202">
        <v>2861.8206980384416</v>
      </c>
      <c r="Z202">
        <v>10.030209000619147</v>
      </c>
      <c r="AA202">
        <v>2706.7304403719841</v>
      </c>
      <c r="AB202">
        <v>7.1739004614810691</v>
      </c>
      <c r="AC202">
        <v>2222.9354517735164</v>
      </c>
      <c r="AD202">
        <v>10.012233255664711</v>
      </c>
      <c r="AE202">
        <v>2021.4544949126107</v>
      </c>
      <c r="AF202">
        <v>7.1637007383870204</v>
      </c>
      <c r="AG202">
        <v>2060.6187657843852</v>
      </c>
      <c r="AH202">
        <v>10.011551109045824</v>
      </c>
      <c r="AI202">
        <v>1862.1548056516208</v>
      </c>
      <c r="AJ202">
        <v>7.1633134169008343</v>
      </c>
    </row>
    <row r="203" spans="4:36" x14ac:dyDescent="0.45">
      <c r="D203">
        <v>196</v>
      </c>
      <c r="E203">
        <v>11.094227350479411</v>
      </c>
      <c r="F203">
        <v>0.38692618198777201</v>
      </c>
      <c r="G203">
        <v>0.14231493870355075</v>
      </c>
      <c r="H203">
        <v>18.376531528829279</v>
      </c>
      <c r="I203">
        <v>11.266895981741262</v>
      </c>
      <c r="J203">
        <v>0.24880131583795861</v>
      </c>
      <c r="K203">
        <v>9.1260968892688143E-2</v>
      </c>
      <c r="L203">
        <v>18.393041733528079</v>
      </c>
      <c r="M203">
        <v>11.183139561341326</v>
      </c>
      <c r="N203">
        <v>0.31581984533409219</v>
      </c>
      <c r="O203">
        <v>0.11599712975236218</v>
      </c>
      <c r="P203">
        <v>18.385043463572227</v>
      </c>
      <c r="Q203">
        <v>11.143852247299717</v>
      </c>
      <c r="R203">
        <v>0.34724414692272904</v>
      </c>
      <c r="S203">
        <v>0.12761855872729858</v>
      </c>
      <c r="T203">
        <v>18.381285047050252</v>
      </c>
      <c r="U203">
        <v>1439.8338169191018</v>
      </c>
      <c r="V203">
        <v>8.6924231013780258</v>
      </c>
      <c r="W203">
        <v>1231.5922517169463</v>
      </c>
      <c r="X203">
        <v>6.3900856277705413</v>
      </c>
      <c r="Y203">
        <v>2803.602833598623</v>
      </c>
      <c r="Z203">
        <v>8.7152255623149042</v>
      </c>
      <c r="AA203">
        <v>2674.6964957672585</v>
      </c>
      <c r="AB203">
        <v>6.4044975867969294</v>
      </c>
      <c r="AC203">
        <v>2133.6449980927077</v>
      </c>
      <c r="AD203">
        <v>8.7041583686096473</v>
      </c>
      <c r="AE203">
        <v>1968.7621907193088</v>
      </c>
      <c r="AF203">
        <v>6.3975105442976306</v>
      </c>
      <c r="AG203">
        <v>2026.3817536768854</v>
      </c>
      <c r="AH203">
        <v>8.6989712653025908</v>
      </c>
      <c r="AI203">
        <v>1847.8455759201113</v>
      </c>
      <c r="AJ203">
        <v>6.3942307175319923</v>
      </c>
    </row>
    <row r="204" spans="4:36" x14ac:dyDescent="0.45">
      <c r="D204">
        <v>197</v>
      </c>
      <c r="E204">
        <v>14.652409015395301</v>
      </c>
      <c r="F204">
        <v>0.53074635658111113</v>
      </c>
      <c r="G204">
        <v>0.18156040136731497</v>
      </c>
      <c r="H204">
        <v>14.635284226656262</v>
      </c>
      <c r="I204">
        <v>14.951720121332833</v>
      </c>
      <c r="J204">
        <v>0.33665453362223863</v>
      </c>
      <c r="K204">
        <v>0.11472441585003107</v>
      </c>
      <c r="L204">
        <v>14.596900929194881</v>
      </c>
      <c r="M204">
        <v>14.862741228221767</v>
      </c>
      <c r="N204">
        <v>0.39441315083208889</v>
      </c>
      <c r="O204">
        <v>0.13455939501347508</v>
      </c>
      <c r="P204">
        <v>14.608286225932659</v>
      </c>
      <c r="Q204">
        <v>14.841989177847433</v>
      </c>
      <c r="R204">
        <v>0.40787671075398246</v>
      </c>
      <c r="S204">
        <v>0.13918950374674974</v>
      </c>
      <c r="T204">
        <v>14.610944607651829</v>
      </c>
      <c r="U204">
        <v>1700.6394394893666</v>
      </c>
      <c r="V204">
        <v>11.553892704877111</v>
      </c>
      <c r="W204">
        <v>1380.1180068018762</v>
      </c>
      <c r="X204">
        <v>8.0483719266341307</v>
      </c>
      <c r="Y204">
        <v>2987.3876713083264</v>
      </c>
      <c r="Z204">
        <v>11.632966355272494</v>
      </c>
      <c r="AA204">
        <v>2782.0843755480892</v>
      </c>
      <c r="AB204">
        <v>8.0914609200463463</v>
      </c>
      <c r="AC204">
        <v>2281.7298001403478</v>
      </c>
      <c r="AD204">
        <v>11.609473735975588</v>
      </c>
      <c r="AE204">
        <v>2047.6312200881994</v>
      </c>
      <c r="AF204">
        <v>8.078673355971187</v>
      </c>
      <c r="AG204">
        <v>2196.6338047279719</v>
      </c>
      <c r="AH204">
        <v>11.603992953228323</v>
      </c>
      <c r="AI204">
        <v>1941.8688347046264</v>
      </c>
      <c r="AJ204">
        <v>8.0756883404299522</v>
      </c>
    </row>
    <row r="205" spans="4:36" x14ac:dyDescent="0.45">
      <c r="D205">
        <v>198</v>
      </c>
      <c r="E205">
        <v>11.510087319543477</v>
      </c>
      <c r="F205">
        <v>0.41325073454492139</v>
      </c>
      <c r="G205">
        <v>0.1663080753352757</v>
      </c>
      <c r="H205">
        <v>17.910353870576319</v>
      </c>
      <c r="I205">
        <v>11.722942038579015</v>
      </c>
      <c r="J205">
        <v>0.25737789859818583</v>
      </c>
      <c r="K205">
        <v>0.10322887945478666</v>
      </c>
      <c r="L205">
        <v>17.916451183367997</v>
      </c>
      <c r="M205">
        <v>11.655096834141338</v>
      </c>
      <c r="N205">
        <v>0.3070905416393504</v>
      </c>
      <c r="O205">
        <v>0.12329984717707228</v>
      </c>
      <c r="P205">
        <v>17.91451277704223</v>
      </c>
      <c r="Q205">
        <v>11.603846930725522</v>
      </c>
      <c r="R205">
        <v>0.34462477334468322</v>
      </c>
      <c r="S205">
        <v>0.13848289924756171</v>
      </c>
      <c r="T205">
        <v>17.913045396682236</v>
      </c>
      <c r="U205">
        <v>1492.2646281669811</v>
      </c>
      <c r="V205">
        <v>9.0847169739993667</v>
      </c>
      <c r="W205">
        <v>1257.5050804762143</v>
      </c>
      <c r="X205">
        <v>6.6297573136166017</v>
      </c>
      <c r="Y205">
        <v>2870.0862048097133</v>
      </c>
      <c r="Z205">
        <v>9.1222212460521739</v>
      </c>
      <c r="AA205">
        <v>2716.1253749752755</v>
      </c>
      <c r="AB205">
        <v>6.6522921012459992</v>
      </c>
      <c r="AC205">
        <v>2179.8502623761119</v>
      </c>
      <c r="AD205">
        <v>9.1102638375130311</v>
      </c>
      <c r="AE205">
        <v>1995.1223500982103</v>
      </c>
      <c r="AF205">
        <v>6.6451177019849439</v>
      </c>
      <c r="AG205">
        <v>2087.3998202617631</v>
      </c>
      <c r="AH205">
        <v>9.1012333240294332</v>
      </c>
      <c r="AI205">
        <v>1883.7905992772435</v>
      </c>
      <c r="AJ205">
        <v>6.6396930577062108</v>
      </c>
    </row>
    <row r="206" spans="4:36" x14ac:dyDescent="0.45">
      <c r="D206">
        <v>199</v>
      </c>
      <c r="E206">
        <v>12.424984444428333</v>
      </c>
      <c r="F206">
        <v>0.46643435063735311</v>
      </c>
      <c r="G206">
        <v>0.17465288453589461</v>
      </c>
      <c r="H206">
        <v>16.933928320398426</v>
      </c>
      <c r="I206">
        <v>12.615178933208286</v>
      </c>
      <c r="J206">
        <v>0.31498345302033437</v>
      </c>
      <c r="K206">
        <v>0.117623821832158</v>
      </c>
      <c r="L206">
        <v>16.952213791939204</v>
      </c>
      <c r="M206">
        <v>12.540059063892777</v>
      </c>
      <c r="N206">
        <v>0.37482122639662918</v>
      </c>
      <c r="O206">
        <v>0.14011838013676647</v>
      </c>
      <c r="P206">
        <v>16.945001329573831</v>
      </c>
      <c r="Q206">
        <v>12.499120934220967</v>
      </c>
      <c r="R206">
        <v>0.4074199860114921</v>
      </c>
      <c r="S206">
        <v>0.15239360947132813</v>
      </c>
      <c r="T206">
        <v>16.941065470296209</v>
      </c>
      <c r="U206">
        <v>1559.6736253854003</v>
      </c>
      <c r="V206">
        <v>9.8665410290052957</v>
      </c>
      <c r="W206">
        <v>1296.3844886032523</v>
      </c>
      <c r="X206">
        <v>7.0898253564424936</v>
      </c>
      <c r="Y206">
        <v>2885.3633197520235</v>
      </c>
      <c r="Z206">
        <v>9.8900194885959056</v>
      </c>
      <c r="AA206">
        <v>2718.7136896674324</v>
      </c>
      <c r="AB206">
        <v>7.1041074327017393</v>
      </c>
      <c r="AC206">
        <v>2232.6067887525455</v>
      </c>
      <c r="AD206">
        <v>9.8807414983238555</v>
      </c>
      <c r="AE206">
        <v>2023.2114638286</v>
      </c>
      <c r="AF206">
        <v>7.0984700619656627</v>
      </c>
      <c r="AG206">
        <v>2154.813194297521</v>
      </c>
      <c r="AH206">
        <v>9.8756879274447318</v>
      </c>
      <c r="AI206">
        <v>1922.4934547098467</v>
      </c>
      <c r="AJ206">
        <v>7.0953959285885118</v>
      </c>
    </row>
    <row r="207" spans="4:36" x14ac:dyDescent="0.45">
      <c r="D207">
        <v>200</v>
      </c>
      <c r="E207">
        <v>13.116986119768075</v>
      </c>
      <c r="F207">
        <v>0.51708636303299116</v>
      </c>
      <c r="G207">
        <v>0.19432498675641394</v>
      </c>
      <c r="H207">
        <v>16.171602530442513</v>
      </c>
      <c r="I207">
        <v>13.388968068658357</v>
      </c>
      <c r="J207">
        <v>0.31426157173161223</v>
      </c>
      <c r="K207">
        <v>0.1176608911342652</v>
      </c>
      <c r="L207">
        <v>16.179109468475776</v>
      </c>
      <c r="M207">
        <v>13.311237830006579</v>
      </c>
      <c r="N207">
        <v>0.372267978110501</v>
      </c>
      <c r="O207">
        <v>0.13952692066722899</v>
      </c>
      <c r="P207">
        <v>16.176967271215688</v>
      </c>
      <c r="Q207">
        <v>13.235354514064403</v>
      </c>
      <c r="R207">
        <v>0.42886480662975379</v>
      </c>
      <c r="S207">
        <v>0.1609071861648198</v>
      </c>
      <c r="T207">
        <v>16.174873493141011</v>
      </c>
      <c r="U207">
        <v>1653.5839755453644</v>
      </c>
      <c r="V207">
        <v>10.50770171427998</v>
      </c>
      <c r="W207">
        <v>1352.6011684065584</v>
      </c>
      <c r="X207">
        <v>7.4709526263827435</v>
      </c>
      <c r="Y207">
        <v>2949.5945460474272</v>
      </c>
      <c r="Z207">
        <v>10.55753788313606</v>
      </c>
      <c r="AA207">
        <v>2760.2956665990355</v>
      </c>
      <c r="AB207">
        <v>7.4997860343334217</v>
      </c>
      <c r="AC207">
        <v>2274.3072272397094</v>
      </c>
      <c r="AD207">
        <v>10.543293483655896</v>
      </c>
      <c r="AE207">
        <v>2047.7226398683824</v>
      </c>
      <c r="AF207">
        <v>7.4915569194497644</v>
      </c>
      <c r="AG207">
        <v>2198.1984251848021</v>
      </c>
      <c r="AH207">
        <v>10.529388791637412</v>
      </c>
      <c r="AI207">
        <v>1945.6435256434513</v>
      </c>
      <c r="AJ207">
        <v>7.4835147034403278</v>
      </c>
    </row>
    <row r="208" spans="4:36" x14ac:dyDescent="0.45">
      <c r="D208">
        <v>201</v>
      </c>
      <c r="E208">
        <v>11.99719415852821</v>
      </c>
      <c r="F208">
        <v>0.42818141116342845</v>
      </c>
      <c r="G208">
        <v>0.13972960455912226</v>
      </c>
      <c r="H208">
        <v>17.434894825749222</v>
      </c>
      <c r="I208">
        <v>12.17686370253533</v>
      </c>
      <c r="J208">
        <v>0.29234134721382687</v>
      </c>
      <c r="K208">
        <v>9.5162981711704453E-2</v>
      </c>
      <c r="L208">
        <v>17.435631968539141</v>
      </c>
      <c r="M208">
        <v>12.126510116705912</v>
      </c>
      <c r="N208">
        <v>0.33042941375965101</v>
      </c>
      <c r="O208">
        <v>0.10763628092814025</v>
      </c>
      <c r="P208">
        <v>17.435424188606301</v>
      </c>
      <c r="Q208">
        <v>12.077681094150613</v>
      </c>
      <c r="R208">
        <v>0.36735094626164722</v>
      </c>
      <c r="S208">
        <v>0.11974437852527076</v>
      </c>
      <c r="T208">
        <v>17.435223581062491</v>
      </c>
      <c r="U208">
        <v>1478.8669978107812</v>
      </c>
      <c r="V208">
        <v>9.4855077337037219</v>
      </c>
      <c r="W208">
        <v>1249.4096312402771</v>
      </c>
      <c r="X208">
        <v>6.8709536035495455</v>
      </c>
      <c r="Y208">
        <v>2861.4284926040777</v>
      </c>
      <c r="Z208">
        <v>9.5208584197936705</v>
      </c>
      <c r="AA208">
        <v>2708.8725439850009</v>
      </c>
      <c r="AB208">
        <v>6.8915565229854208</v>
      </c>
      <c r="AC208">
        <v>2189.6782390900053</v>
      </c>
      <c r="AD208">
        <v>9.5109519137951768</v>
      </c>
      <c r="AE208">
        <v>2002.4384733037552</v>
      </c>
      <c r="AF208">
        <v>6.8857890559573711</v>
      </c>
      <c r="AG208">
        <v>2074.1234867850176</v>
      </c>
      <c r="AH208">
        <v>9.5013447865811038</v>
      </c>
      <c r="AI208">
        <v>1874.6316210357786</v>
      </c>
      <c r="AJ208">
        <v>6.8801912937042982</v>
      </c>
    </row>
    <row r="209" spans="4:36" x14ac:dyDescent="0.45">
      <c r="D209">
        <v>202</v>
      </c>
      <c r="E209">
        <v>11.227869787883048</v>
      </c>
      <c r="F209">
        <v>0.43306720414798272</v>
      </c>
      <c r="G209">
        <v>0.16135643325465335</v>
      </c>
      <c r="H209">
        <v>18.177706574714311</v>
      </c>
      <c r="I209">
        <v>11.408997181204525</v>
      </c>
      <c r="J209">
        <v>0.28191485410305916</v>
      </c>
      <c r="K209">
        <v>0.10475244998884191</v>
      </c>
      <c r="L209">
        <v>18.204335514703583</v>
      </c>
      <c r="M209">
        <v>11.339857919505263</v>
      </c>
      <c r="N209">
        <v>0.33962822261352943</v>
      </c>
      <c r="O209">
        <v>0.12632825491734265</v>
      </c>
      <c r="P209">
        <v>18.194185602963856</v>
      </c>
      <c r="Q209">
        <v>11.276308317296575</v>
      </c>
      <c r="R209">
        <v>0.39265820974911347</v>
      </c>
      <c r="S209">
        <v>0.14619326979087549</v>
      </c>
      <c r="T209">
        <v>18.184840203163439</v>
      </c>
      <c r="U209">
        <v>1493.0341126787389</v>
      </c>
      <c r="V209">
        <v>8.8814099172998411</v>
      </c>
      <c r="W209">
        <v>1260.1481952165136</v>
      </c>
      <c r="X209">
        <v>6.5069038877548921</v>
      </c>
      <c r="Y209">
        <v>2871.2879304582648</v>
      </c>
      <c r="Z209">
        <v>8.8974419421698592</v>
      </c>
      <c r="AA209">
        <v>2717.3863080200081</v>
      </c>
      <c r="AB209">
        <v>6.5175891386518421</v>
      </c>
      <c r="AC209">
        <v>2165.8591918003804</v>
      </c>
      <c r="AD209">
        <v>8.891313654288405</v>
      </c>
      <c r="AE209">
        <v>1984.9893696739434</v>
      </c>
      <c r="AF209">
        <v>6.5135116982079149</v>
      </c>
      <c r="AG209">
        <v>2080.9006012831251</v>
      </c>
      <c r="AH209">
        <v>8.885690168518817</v>
      </c>
      <c r="AI209">
        <v>1878.161955971769</v>
      </c>
      <c r="AJ209">
        <v>6.5097625008600213</v>
      </c>
    </row>
    <row r="210" spans="4:36" x14ac:dyDescent="0.45">
      <c r="D210">
        <v>203</v>
      </c>
      <c r="E210">
        <v>14.150371173381577</v>
      </c>
      <c r="F210">
        <v>0.4756669808018506</v>
      </c>
      <c r="G210">
        <v>0.19589697098694814</v>
      </c>
      <c r="H210">
        <v>15.178064874829637</v>
      </c>
      <c r="I210">
        <v>14.393968403436677</v>
      </c>
      <c r="J210">
        <v>0.31025422955790743</v>
      </c>
      <c r="K210">
        <v>0.12735778594378158</v>
      </c>
      <c r="L210">
        <v>15.168419581061622</v>
      </c>
      <c r="M210">
        <v>14.295587771592601</v>
      </c>
      <c r="N210">
        <v>0.37710237491100196</v>
      </c>
      <c r="O210">
        <v>0.15500181802776594</v>
      </c>
      <c r="P210">
        <v>15.172308035468623</v>
      </c>
      <c r="Q210">
        <v>14.237800530347332</v>
      </c>
      <c r="R210">
        <v>0.41634048898444692</v>
      </c>
      <c r="S210">
        <v>0.17126255084481851</v>
      </c>
      <c r="T210">
        <v>15.174596429823401</v>
      </c>
      <c r="U210">
        <v>1659.5095563847269</v>
      </c>
      <c r="V210">
        <v>11.132149185056184</v>
      </c>
      <c r="W210">
        <v>1353.7135075389492</v>
      </c>
      <c r="X210">
        <v>7.8067950862483348</v>
      </c>
      <c r="Y210">
        <v>2972.0694717353849</v>
      </c>
      <c r="Z210">
        <v>11.184981395547279</v>
      </c>
      <c r="AA210">
        <v>2772.4882100259465</v>
      </c>
      <c r="AB210">
        <v>7.8363668191005571</v>
      </c>
      <c r="AC210">
        <v>2314.399199014129</v>
      </c>
      <c r="AD210">
        <v>11.16364783108016</v>
      </c>
      <c r="AE210">
        <v>2070.8495324848618</v>
      </c>
      <c r="AF210">
        <v>7.824436500204663</v>
      </c>
      <c r="AG210">
        <v>2181.5383553504898</v>
      </c>
      <c r="AH210">
        <v>11.151114583374738</v>
      </c>
      <c r="AI210">
        <v>1929.6549180341369</v>
      </c>
      <c r="AJ210">
        <v>7.8174208259527065</v>
      </c>
    </row>
    <row r="211" spans="4:36" x14ac:dyDescent="0.45">
      <c r="D211">
        <v>204</v>
      </c>
      <c r="E211">
        <v>12.770070021602315</v>
      </c>
      <c r="F211">
        <v>0.42476006478788392</v>
      </c>
      <c r="G211">
        <v>0.15532939684272998</v>
      </c>
      <c r="H211">
        <v>16.649840516767071</v>
      </c>
      <c r="I211">
        <v>12.974888591471787</v>
      </c>
      <c r="J211">
        <v>0.28509648246752922</v>
      </c>
      <c r="K211">
        <v>0.10394747436009152</v>
      </c>
      <c r="L211">
        <v>16.636067451700594</v>
      </c>
      <c r="M211">
        <v>12.903272528156073</v>
      </c>
      <c r="N211">
        <v>0.33396160964821836</v>
      </c>
      <c r="O211">
        <v>0.12188970308320614</v>
      </c>
      <c r="P211">
        <v>16.640876159112512</v>
      </c>
      <c r="Q211">
        <v>12.835363717103872</v>
      </c>
      <c r="R211">
        <v>0.38026657801479896</v>
      </c>
      <c r="S211">
        <v>0.13892670047219724</v>
      </c>
      <c r="T211">
        <v>16.645443004409135</v>
      </c>
      <c r="U211">
        <v>1540.0051228791694</v>
      </c>
      <c r="V211">
        <v>10.042773874278248</v>
      </c>
      <c r="W211">
        <v>1286.8574680388808</v>
      </c>
      <c r="X211">
        <v>7.1882125084321604</v>
      </c>
      <c r="Y211">
        <v>2886.9161697680943</v>
      </c>
      <c r="Z211">
        <v>10.088918336266659</v>
      </c>
      <c r="AA211">
        <v>2723.1878244770155</v>
      </c>
      <c r="AB211">
        <v>7.2143581438332678</v>
      </c>
      <c r="AC211">
        <v>2231.6864065094965</v>
      </c>
      <c r="AD211">
        <v>10.072787722890352</v>
      </c>
      <c r="AE211">
        <v>2026.7907441139041</v>
      </c>
      <c r="AF211">
        <v>7.2052270694016238</v>
      </c>
      <c r="AG211">
        <v>2170.4249011173097</v>
      </c>
      <c r="AH211">
        <v>10.05748807904531</v>
      </c>
      <c r="AI211">
        <v>1937.0682202526457</v>
      </c>
      <c r="AJ211">
        <v>7.1965578700332591</v>
      </c>
    </row>
    <row r="212" spans="4:36" x14ac:dyDescent="0.45">
      <c r="D212">
        <v>205</v>
      </c>
      <c r="E212">
        <v>13.246760670115529</v>
      </c>
      <c r="F212">
        <v>0.47602043670951905</v>
      </c>
      <c r="G212">
        <v>0.18028931687340996</v>
      </c>
      <c r="H212">
        <v>16.096929576301537</v>
      </c>
      <c r="I212">
        <v>13.516279005025874</v>
      </c>
      <c r="J212">
        <v>0.2918507124582892</v>
      </c>
      <c r="K212">
        <v>0.11012277947121381</v>
      </c>
      <c r="L212">
        <v>16.08174750304461</v>
      </c>
      <c r="M212">
        <v>13.400820481517789</v>
      </c>
      <c r="N212">
        <v>0.37080302821408401</v>
      </c>
      <c r="O212">
        <v>0.14013729033723382</v>
      </c>
      <c r="P212">
        <v>16.088239199930896</v>
      </c>
      <c r="Q212">
        <v>13.381124105994273</v>
      </c>
      <c r="R212">
        <v>0.38426334924306732</v>
      </c>
      <c r="S212">
        <v>0.1452641032335964</v>
      </c>
      <c r="T212">
        <v>16.089348441529065</v>
      </c>
      <c r="U212">
        <v>1622.9465540419662</v>
      </c>
      <c r="V212">
        <v>10.531376514664656</v>
      </c>
      <c r="W212">
        <v>1336.97746327201</v>
      </c>
      <c r="X212">
        <v>7.480048821883349</v>
      </c>
      <c r="Y212">
        <v>2923.6732666358571</v>
      </c>
      <c r="Z212">
        <v>10.593002014119842</v>
      </c>
      <c r="AA212">
        <v>2745.3930464403975</v>
      </c>
      <c r="AB212">
        <v>7.5148012276989951</v>
      </c>
      <c r="AC212">
        <v>2272.3129814170234</v>
      </c>
      <c r="AD212">
        <v>10.566609017786886</v>
      </c>
      <c r="AE212">
        <v>2048.6911334828665</v>
      </c>
      <c r="AF212">
        <v>7.4999328128997851</v>
      </c>
      <c r="AG212">
        <v>2153.1500525193564</v>
      </c>
      <c r="AH212">
        <v>10.562105576106317</v>
      </c>
      <c r="AI212">
        <v>1919.4286356626528</v>
      </c>
      <c r="AJ212">
        <v>7.4973935271135268</v>
      </c>
    </row>
    <row r="213" spans="4:36" x14ac:dyDescent="0.45">
      <c r="D213">
        <v>206</v>
      </c>
      <c r="E213">
        <v>12.21106058254855</v>
      </c>
      <c r="F213">
        <v>0.44895779068667874</v>
      </c>
      <c r="G213">
        <v>0.15786805365159956</v>
      </c>
      <c r="H213">
        <v>17.182113573113167</v>
      </c>
      <c r="I213">
        <v>12.400028466834131</v>
      </c>
      <c r="J213">
        <v>0.30114280915983732</v>
      </c>
      <c r="K213">
        <v>0.1055858399565381</v>
      </c>
      <c r="L213">
        <v>17.193242884049482</v>
      </c>
      <c r="M213">
        <v>12.300227525007388</v>
      </c>
      <c r="N213">
        <v>0.37923161518412529</v>
      </c>
      <c r="O213">
        <v>0.1331676791423356</v>
      </c>
      <c r="P213">
        <v>17.187373180666132</v>
      </c>
      <c r="Q213">
        <v>12.307957910318219</v>
      </c>
      <c r="R213">
        <v>0.37318478144122991</v>
      </c>
      <c r="S213">
        <v>0.13102882680395933</v>
      </c>
      <c r="T213">
        <v>17.187828481436583</v>
      </c>
      <c r="U213">
        <v>1518.3959150586347</v>
      </c>
      <c r="V213">
        <v>9.5786438755408891</v>
      </c>
      <c r="W213">
        <v>1270.5068324994043</v>
      </c>
      <c r="X213">
        <v>6.9087019407270605</v>
      </c>
      <c r="Y213">
        <v>2887.3821454599533</v>
      </c>
      <c r="Z213">
        <v>9.6062729216840133</v>
      </c>
      <c r="AA213">
        <v>2723.0035323695092</v>
      </c>
      <c r="AB213">
        <v>6.9253953662646452</v>
      </c>
      <c r="AC213">
        <v>2243.4717059156155</v>
      </c>
      <c r="AD213">
        <v>9.5916761399260224</v>
      </c>
      <c r="AE213">
        <v>2032.8877269137656</v>
      </c>
      <c r="AF213">
        <v>6.9165838029611173</v>
      </c>
      <c r="AG213">
        <v>2105.5769785615503</v>
      </c>
      <c r="AH213">
        <v>9.5928063910020533</v>
      </c>
      <c r="AI213">
        <v>1891.8826583855862</v>
      </c>
      <c r="AJ213">
        <v>6.9172667156996148</v>
      </c>
    </row>
    <row r="214" spans="4:36" x14ac:dyDescent="0.45">
      <c r="D214">
        <v>207</v>
      </c>
      <c r="E214">
        <v>11.655135416817636</v>
      </c>
      <c r="F214">
        <v>0.42524896016415625</v>
      </c>
      <c r="G214">
        <v>0.17104923966390667</v>
      </c>
      <c r="H214">
        <v>17.748566383354305</v>
      </c>
      <c r="I214">
        <v>11.853214542625935</v>
      </c>
      <c r="J214">
        <v>0.27437582827332196</v>
      </c>
      <c r="K214">
        <v>0.11000616426598192</v>
      </c>
      <c r="L214">
        <v>17.762403464834772</v>
      </c>
      <c r="M214">
        <v>11.776634967810816</v>
      </c>
      <c r="N214">
        <v>0.33273068514592452</v>
      </c>
      <c r="O214">
        <v>0.13356897216587318</v>
      </c>
      <c r="P214">
        <v>17.757065374877396</v>
      </c>
      <c r="Q214">
        <v>11.741813366872213</v>
      </c>
      <c r="R214">
        <v>0.35925464545847402</v>
      </c>
      <c r="S214">
        <v>0.14429866980907591</v>
      </c>
      <c r="T214">
        <v>17.754633317860225</v>
      </c>
      <c r="U214">
        <v>1507.4683357486276</v>
      </c>
      <c r="V214">
        <v>9.3731121337814045</v>
      </c>
      <c r="W214">
        <v>1267.0468783556696</v>
      </c>
      <c r="X214">
        <v>6.8214310035617762</v>
      </c>
      <c r="Y214">
        <v>2863.1416704763978</v>
      </c>
      <c r="Z214">
        <v>9.4029279308687208</v>
      </c>
      <c r="AA214">
        <v>2709.1986754975856</v>
      </c>
      <c r="AB214">
        <v>6.8396891817191197</v>
      </c>
      <c r="AC214">
        <v>2189.2605867159346</v>
      </c>
      <c r="AD214">
        <v>9.3913947134126499</v>
      </c>
      <c r="AE214">
        <v>1999.3289322406429</v>
      </c>
      <c r="AF214">
        <v>6.8326359287262228</v>
      </c>
      <c r="AG214">
        <v>2081.498857006507</v>
      </c>
      <c r="AH214">
        <v>9.3861529624990911</v>
      </c>
      <c r="AI214">
        <v>1877.6983855556359</v>
      </c>
      <c r="AJ214">
        <v>6.8294264267358313</v>
      </c>
    </row>
    <row r="215" spans="4:36" x14ac:dyDescent="0.45">
      <c r="D215">
        <v>208</v>
      </c>
      <c r="E215">
        <v>12.601951535106069</v>
      </c>
      <c r="F215">
        <v>0.41368634949338062</v>
      </c>
      <c r="G215">
        <v>0.15368037705407217</v>
      </c>
      <c r="H215">
        <v>16.830681738346478</v>
      </c>
      <c r="I215">
        <v>12.778724004397734</v>
      </c>
      <c r="J215">
        <v>0.28842239280363352</v>
      </c>
      <c r="K215">
        <v>0.10686445994662869</v>
      </c>
      <c r="L215">
        <v>16.82598914285202</v>
      </c>
      <c r="M215">
        <v>12.689994937520114</v>
      </c>
      <c r="N215">
        <v>0.35132131423518748</v>
      </c>
      <c r="O215">
        <v>0.13034093558730567</v>
      </c>
      <c r="P215">
        <v>16.8283428126574</v>
      </c>
      <c r="Q215">
        <v>12.650366483954647</v>
      </c>
      <c r="R215">
        <v>0.37939782331686295</v>
      </c>
      <c r="S215">
        <v>0.14084055275937421</v>
      </c>
      <c r="T215">
        <v>16.829395139969112</v>
      </c>
      <c r="U215">
        <v>1517.1323477542901</v>
      </c>
      <c r="V215">
        <v>9.9112314149666414</v>
      </c>
      <c r="W215">
        <v>1269.6208373647746</v>
      </c>
      <c r="X215">
        <v>7.1116569331992325</v>
      </c>
      <c r="Y215">
        <v>2882.3526874830727</v>
      </c>
      <c r="Z215">
        <v>9.9460020284956574</v>
      </c>
      <c r="AA215">
        <v>2718.562196051771</v>
      </c>
      <c r="AB215">
        <v>7.1316157980405501</v>
      </c>
      <c r="AC215">
        <v>2231.1123923735131</v>
      </c>
      <c r="AD215">
        <v>9.9285506536586787</v>
      </c>
      <c r="AE215">
        <v>2023.8352211846548</v>
      </c>
      <c r="AF215">
        <v>7.1216051626503027</v>
      </c>
      <c r="AG215">
        <v>2106.2061955637046</v>
      </c>
      <c r="AH215">
        <v>9.9207555779702012</v>
      </c>
      <c r="AI215">
        <v>1889.441982605716</v>
      </c>
      <c r="AJ215">
        <v>7.1171293053600246</v>
      </c>
    </row>
    <row r="216" spans="4:36" x14ac:dyDescent="0.45">
      <c r="D216">
        <v>209</v>
      </c>
      <c r="E216">
        <v>12.08727803456398</v>
      </c>
      <c r="F216">
        <v>0.46578667647427946</v>
      </c>
      <c r="G216">
        <v>0.19324582817755587</v>
      </c>
      <c r="H216">
        <v>17.253689460784187</v>
      </c>
      <c r="I216">
        <v>12.319456810041331</v>
      </c>
      <c r="J216">
        <v>0.28716456552850084</v>
      </c>
      <c r="K216">
        <v>0.1187060394048107</v>
      </c>
      <c r="L216">
        <v>17.274672585025353</v>
      </c>
      <c r="M216">
        <v>12.223722290903654</v>
      </c>
      <c r="N216">
        <v>0.36085036544819427</v>
      </c>
      <c r="O216">
        <v>0.14938879677966613</v>
      </c>
      <c r="P216">
        <v>17.266038546868465</v>
      </c>
      <c r="Q216">
        <v>12.192617792943102</v>
      </c>
      <c r="R216">
        <v>0.38478081731546238</v>
      </c>
      <c r="S216">
        <v>0.15937347282860959</v>
      </c>
      <c r="T216">
        <v>17.263227916912815</v>
      </c>
      <c r="U216">
        <v>1539.6220223818291</v>
      </c>
      <c r="V216">
        <v>9.6354947602991796</v>
      </c>
      <c r="W216">
        <v>1284.5875022350083</v>
      </c>
      <c r="X216">
        <v>6.9589901377805337</v>
      </c>
      <c r="Y216">
        <v>2879.7933368838872</v>
      </c>
      <c r="Z216">
        <v>9.6689342109322212</v>
      </c>
      <c r="AA216">
        <v>2718.6349092396126</v>
      </c>
      <c r="AB216">
        <v>6.9795947835931358</v>
      </c>
      <c r="AC216">
        <v>2200.9160796925867</v>
      </c>
      <c r="AD216">
        <v>9.6551354034452075</v>
      </c>
      <c r="AE216">
        <v>2003.4657164557507</v>
      </c>
      <c r="AF216">
        <v>6.9711048855383231</v>
      </c>
      <c r="AG216">
        <v>2116.2889065593304</v>
      </c>
      <c r="AH216">
        <v>9.6506553326012963</v>
      </c>
      <c r="AI216">
        <v>1898.7340501498179</v>
      </c>
      <c r="AJ216">
        <v>6.9683446726814884</v>
      </c>
    </row>
    <row r="217" spans="4:36" x14ac:dyDescent="0.45">
      <c r="D217">
        <v>210</v>
      </c>
      <c r="E217">
        <v>13.878378604342045</v>
      </c>
      <c r="F217">
        <v>0.50890190714518169</v>
      </c>
      <c r="G217">
        <v>0.20056555433378861</v>
      </c>
      <c r="H217">
        <v>15.412153934178992</v>
      </c>
      <c r="I217">
        <v>14.131242974730249</v>
      </c>
      <c r="J217">
        <v>0.33151498638799537</v>
      </c>
      <c r="K217">
        <v>0.1301977267122138</v>
      </c>
      <c r="L217">
        <v>15.407044312169537</v>
      </c>
      <c r="M217">
        <v>14.031266281365539</v>
      </c>
      <c r="N217">
        <v>0.40169454756078521</v>
      </c>
      <c r="O217">
        <v>0.15797745418616119</v>
      </c>
      <c r="P217">
        <v>15.409061716887519</v>
      </c>
      <c r="Q217">
        <v>13.989204867650264</v>
      </c>
      <c r="R217">
        <v>0.43120246207438961</v>
      </c>
      <c r="S217">
        <v>0.16968110799805614</v>
      </c>
      <c r="T217">
        <v>15.409911562277278</v>
      </c>
      <c r="U217">
        <v>1601.3982185838213</v>
      </c>
      <c r="V217">
        <v>10.950971099758922</v>
      </c>
      <c r="W217">
        <v>1314.2953057920047</v>
      </c>
      <c r="X217">
        <v>7.7038539819761036</v>
      </c>
      <c r="Y217">
        <v>2942.4306674742024</v>
      </c>
      <c r="Z217">
        <v>11.001200427934682</v>
      </c>
      <c r="AA217">
        <v>2752.6650366452932</v>
      </c>
      <c r="AB217">
        <v>7.7322178792562619</v>
      </c>
      <c r="AC217">
        <v>2281.3739647226189</v>
      </c>
      <c r="AD217">
        <v>10.981342795531223</v>
      </c>
      <c r="AE217">
        <v>2048.9750694010218</v>
      </c>
      <c r="AF217">
        <v>7.7210157778218962</v>
      </c>
      <c r="AG217">
        <v>2173.5739605878221</v>
      </c>
      <c r="AH217">
        <v>10.972987716833382</v>
      </c>
      <c r="AI217">
        <v>1926.4083745229498</v>
      </c>
      <c r="AJ217">
        <v>7.716298122611426</v>
      </c>
    </row>
    <row r="218" spans="4:36" x14ac:dyDescent="0.45">
      <c r="D218">
        <v>211</v>
      </c>
      <c r="E218">
        <v>11.923457980452282</v>
      </c>
      <c r="F218">
        <v>0.44874136058305425</v>
      </c>
      <c r="G218">
        <v>0.15439032653886556</v>
      </c>
      <c r="H218">
        <v>17.473410332425804</v>
      </c>
      <c r="I218">
        <v>12.11586187719973</v>
      </c>
      <c r="J218">
        <v>0.29581281589628683</v>
      </c>
      <c r="K218">
        <v>0.10148752590576969</v>
      </c>
      <c r="L218">
        <v>17.486837780998215</v>
      </c>
      <c r="M218">
        <v>12.027310793584364</v>
      </c>
      <c r="N218">
        <v>0.36621812039804885</v>
      </c>
      <c r="O218">
        <v>0.1258052734875299</v>
      </c>
      <c r="P218">
        <v>17.480665812530056</v>
      </c>
      <c r="Q218">
        <v>12.024311343884015</v>
      </c>
      <c r="R218">
        <v>0.36860226693651132</v>
      </c>
      <c r="S218">
        <v>0.12662986942588514</v>
      </c>
      <c r="T218">
        <v>17.480456519753602</v>
      </c>
      <c r="U218">
        <v>1522.2342104301385</v>
      </c>
      <c r="V218">
        <v>9.3369190875068533</v>
      </c>
      <c r="W218">
        <v>1277.8937170215788</v>
      </c>
      <c r="X218">
        <v>6.7645060597039155</v>
      </c>
      <c r="Y218">
        <v>2860.9896736228447</v>
      </c>
      <c r="Z218">
        <v>9.3627651041831257</v>
      </c>
      <c r="AA218">
        <v>2707.2074176700421</v>
      </c>
      <c r="AB218">
        <v>6.7802922148531666</v>
      </c>
      <c r="AC218">
        <v>2193.7561078757476</v>
      </c>
      <c r="AD218">
        <v>9.3508646772283246</v>
      </c>
      <c r="AE218">
        <v>2001.4854168011245</v>
      </c>
      <c r="AF218">
        <v>6.7730315504229566</v>
      </c>
      <c r="AG218">
        <v>2063.1442213878458</v>
      </c>
      <c r="AH218">
        <v>9.3504617335296274</v>
      </c>
      <c r="AI218">
        <v>1865.1650381553529</v>
      </c>
      <c r="AJ218">
        <v>6.7727854742126956</v>
      </c>
    </row>
    <row r="219" spans="4:36" x14ac:dyDescent="0.45">
      <c r="D219">
        <v>212</v>
      </c>
      <c r="E219">
        <v>14.636522640251389</v>
      </c>
      <c r="F219">
        <v>0.51843504037385935</v>
      </c>
      <c r="G219">
        <v>0.16131928132028345</v>
      </c>
      <c r="H219">
        <v>14.683723038054456</v>
      </c>
      <c r="I219">
        <v>14.966787371104619</v>
      </c>
      <c r="J219">
        <v>0.30837936206998179</v>
      </c>
      <c r="K219">
        <v>9.5556604403504178E-2</v>
      </c>
      <c r="L219">
        <v>14.629276662421907</v>
      </c>
      <c r="M219">
        <v>14.806123785487509</v>
      </c>
      <c r="N219">
        <v>0.41065318158423991</v>
      </c>
      <c r="O219">
        <v>0.12750578896115605</v>
      </c>
      <c r="P219">
        <v>14.655717243967086</v>
      </c>
      <c r="Q219">
        <v>14.766198773469835</v>
      </c>
      <c r="R219">
        <v>0.43604247437306576</v>
      </c>
      <c r="S219">
        <v>0.13545757465996305</v>
      </c>
      <c r="T219">
        <v>14.662301177497122</v>
      </c>
      <c r="U219">
        <v>1657.0224469876789</v>
      </c>
      <c r="V219">
        <v>11.59694453930925</v>
      </c>
      <c r="W219">
        <v>1348.6840287293021</v>
      </c>
      <c r="X219">
        <v>8.0828770335808446</v>
      </c>
      <c r="Y219">
        <v>2968.1588910208484</v>
      </c>
      <c r="Z219">
        <v>11.689577489944233</v>
      </c>
      <c r="AA219">
        <v>2769.5185850869179</v>
      </c>
      <c r="AB219">
        <v>8.1330177537654826</v>
      </c>
      <c r="AC219">
        <v>2294.5208144449434</v>
      </c>
      <c r="AD219">
        <v>11.644540978820965</v>
      </c>
      <c r="AE219">
        <v>2054.2547276326509</v>
      </c>
      <c r="AF219">
        <v>8.1086611817235426</v>
      </c>
      <c r="AG219">
        <v>2236.9119745378671</v>
      </c>
      <c r="AH219">
        <v>11.633341603557941</v>
      </c>
      <c r="AI219">
        <v>1966.9325832655531</v>
      </c>
      <c r="AJ219">
        <v>8.1025982229109292</v>
      </c>
    </row>
    <row r="220" spans="4:36" x14ac:dyDescent="0.45">
      <c r="D220">
        <v>213</v>
      </c>
      <c r="E220">
        <v>14.608958191258656</v>
      </c>
      <c r="F220">
        <v>0.51987278107108026</v>
      </c>
      <c r="G220">
        <v>0.20097022637083875</v>
      </c>
      <c r="H220">
        <v>14.670198801299428</v>
      </c>
      <c r="I220">
        <v>14.881695037135581</v>
      </c>
      <c r="J220">
        <v>0.34339182026174159</v>
      </c>
      <c r="K220">
        <v>0.13229082497764463</v>
      </c>
      <c r="L220">
        <v>14.64262231762503</v>
      </c>
      <c r="M220">
        <v>14.788950290695217</v>
      </c>
      <c r="N220">
        <v>0.40345766238584851</v>
      </c>
      <c r="O220">
        <v>0.15561211443168735</v>
      </c>
      <c r="P220">
        <v>14.651979932487233</v>
      </c>
      <c r="Q220">
        <v>14.748017572100446</v>
      </c>
      <c r="R220">
        <v>0.42995027573576139</v>
      </c>
      <c r="S220">
        <v>0.16591578675191079</v>
      </c>
      <c r="T220">
        <v>14.656116365411876</v>
      </c>
      <c r="U220">
        <v>1670.1152828878558</v>
      </c>
      <c r="V220">
        <v>11.60816307485565</v>
      </c>
      <c r="W220">
        <v>1355.2736811469779</v>
      </c>
      <c r="X220">
        <v>8.0896671526474151</v>
      </c>
      <c r="Y220">
        <v>2973.0294629060695</v>
      </c>
      <c r="Z220">
        <v>11.676858477508622</v>
      </c>
      <c r="AA220">
        <v>2768.9305681195301</v>
      </c>
      <c r="AB220">
        <v>8.1272252711144368</v>
      </c>
      <c r="AC220">
        <v>2330.8384304623742</v>
      </c>
      <c r="AD220">
        <v>11.653509871340134</v>
      </c>
      <c r="AE220">
        <v>2078.2499108784373</v>
      </c>
      <c r="AF220">
        <v>8.1144720083149302</v>
      </c>
      <c r="AG220">
        <v>2241.2609480025972</v>
      </c>
      <c r="AH220">
        <v>11.643201285698403</v>
      </c>
      <c r="AI220">
        <v>1968.3516025987064</v>
      </c>
      <c r="AJ220">
        <v>8.1088373637071953</v>
      </c>
    </row>
    <row r="221" spans="4:36" x14ac:dyDescent="0.45">
      <c r="D221">
        <v>214</v>
      </c>
      <c r="E221">
        <v>12.41320488502369</v>
      </c>
      <c r="F221">
        <v>0.40607595558992754</v>
      </c>
      <c r="G221">
        <v>0.15534805579703476</v>
      </c>
      <c r="H221">
        <v>17.025371103589361</v>
      </c>
      <c r="I221">
        <v>12.597580530853213</v>
      </c>
      <c r="J221">
        <v>0.27983775514638976</v>
      </c>
      <c r="K221">
        <v>0.10675211480789777</v>
      </c>
      <c r="L221">
        <v>17.015829599192507</v>
      </c>
      <c r="M221">
        <v>12.482293334820898</v>
      </c>
      <c r="N221">
        <v>0.35879865264028232</v>
      </c>
      <c r="O221">
        <v>0.13711573808572364</v>
      </c>
      <c r="P221">
        <v>17.021792274453087</v>
      </c>
      <c r="Q221">
        <v>12.4755317058956</v>
      </c>
      <c r="R221">
        <v>0.36342703156418427</v>
      </c>
      <c r="S221">
        <v>0.13889891577495225</v>
      </c>
      <c r="T221">
        <v>17.022142346765257</v>
      </c>
      <c r="U221">
        <v>1511.2525043553924</v>
      </c>
      <c r="V221">
        <v>9.8243948176853664</v>
      </c>
      <c r="W221">
        <v>1267.6653277945627</v>
      </c>
      <c r="X221">
        <v>7.0702360766949255</v>
      </c>
      <c r="Y221">
        <v>2889.2369032009633</v>
      </c>
      <c r="Z221">
        <v>9.8632132653785387</v>
      </c>
      <c r="AA221">
        <v>2725.3019032561242</v>
      </c>
      <c r="AB221">
        <v>7.0924882456470328</v>
      </c>
      <c r="AC221">
        <v>2218.7102145596418</v>
      </c>
      <c r="AD221">
        <v>9.8389428307826226</v>
      </c>
      <c r="AE221">
        <v>2015.6755219292068</v>
      </c>
      <c r="AF221">
        <v>7.0785829173386068</v>
      </c>
      <c r="AG221">
        <v>2087.6814282571868</v>
      </c>
      <c r="AH221">
        <v>9.837519142078909</v>
      </c>
      <c r="AI221">
        <v>1878.7627167784276</v>
      </c>
      <c r="AJ221">
        <v>7.0777664767904742</v>
      </c>
    </row>
    <row r="222" spans="4:36" x14ac:dyDescent="0.45">
      <c r="D222">
        <v>215</v>
      </c>
      <c r="E222">
        <v>14.546503856627528</v>
      </c>
      <c r="F222">
        <v>0.49183261956292734</v>
      </c>
      <c r="G222">
        <v>0.18438163094518215</v>
      </c>
      <c r="H222">
        <v>14.777281892864371</v>
      </c>
      <c r="I222">
        <v>14.801068859325015</v>
      </c>
      <c r="J222">
        <v>0.32842876196757875</v>
      </c>
      <c r="K222">
        <v>0.12270256108360547</v>
      </c>
      <c r="L222">
        <v>14.747799817623795</v>
      </c>
      <c r="M222">
        <v>14.664757280065734</v>
      </c>
      <c r="N222">
        <v>0.41597839107471923</v>
      </c>
      <c r="O222">
        <v>0.15569587980389926</v>
      </c>
      <c r="P222">
        <v>14.763568449055644</v>
      </c>
      <c r="Q222">
        <v>14.667346618592347</v>
      </c>
      <c r="R222">
        <v>0.41431643394123796</v>
      </c>
      <c r="S222">
        <v>0.15506842229498471</v>
      </c>
      <c r="T222">
        <v>14.763268525171432</v>
      </c>
      <c r="U222">
        <v>1672.3577061219273</v>
      </c>
      <c r="V222">
        <v>11.413437407101107</v>
      </c>
      <c r="W222">
        <v>1357.580106338675</v>
      </c>
      <c r="X222">
        <v>7.9636806788485703</v>
      </c>
      <c r="Y222">
        <v>2971.9569919067339</v>
      </c>
      <c r="Z222">
        <v>11.479079073389773</v>
      </c>
      <c r="AA222">
        <v>2768.4210504789758</v>
      </c>
      <c r="AB222">
        <v>7.9996694217742625</v>
      </c>
      <c r="AC222">
        <v>2350.0912223670098</v>
      </c>
      <c r="AD222">
        <v>11.443940281746322</v>
      </c>
      <c r="AE222">
        <v>2089.7505443419991</v>
      </c>
      <c r="AF222">
        <v>7.9804166862365182</v>
      </c>
      <c r="AG222">
        <v>2217.8968794729126</v>
      </c>
      <c r="AH222">
        <v>11.444607988467061</v>
      </c>
      <c r="AI222">
        <v>1952.0610355898575</v>
      </c>
      <c r="AJ222">
        <v>7.9807827932087481</v>
      </c>
    </row>
    <row r="223" spans="4:36" x14ac:dyDescent="0.45">
      <c r="D223">
        <v>216</v>
      </c>
      <c r="E223">
        <v>13.837878156297091</v>
      </c>
      <c r="F223">
        <v>0.44240170692182923</v>
      </c>
      <c r="G223">
        <v>0.14430562428943464</v>
      </c>
      <c r="H223">
        <v>15.575414512491637</v>
      </c>
      <c r="I223">
        <v>14.029297809794278</v>
      </c>
      <c r="J223">
        <v>0.31529516301146343</v>
      </c>
      <c r="K223">
        <v>0.10258930096657085</v>
      </c>
      <c r="L223">
        <v>15.552817726227689</v>
      </c>
      <c r="M223">
        <v>13.931225226113705</v>
      </c>
      <c r="N223">
        <v>0.38044665335524308</v>
      </c>
      <c r="O223">
        <v>0.12394561474442584</v>
      </c>
      <c r="P223">
        <v>15.564382505786632</v>
      </c>
      <c r="Q223">
        <v>13.912398179188072</v>
      </c>
      <c r="R223">
        <v>0.39294679388303616</v>
      </c>
      <c r="S223">
        <v>0.12804941915577595</v>
      </c>
      <c r="T223">
        <v>15.566605607773109</v>
      </c>
      <c r="U223">
        <v>1586.6320519543212</v>
      </c>
      <c r="V223">
        <v>10.826354449625534</v>
      </c>
      <c r="W223">
        <v>1312.1407834763531</v>
      </c>
      <c r="X223">
        <v>7.6325075713280981</v>
      </c>
      <c r="Y223">
        <v>2939.1612168755728</v>
      </c>
      <c r="Z223">
        <v>10.875142355367586</v>
      </c>
      <c r="AA223">
        <v>2753.9819720859423</v>
      </c>
      <c r="AB223">
        <v>7.6594153454264102</v>
      </c>
      <c r="AC223">
        <v>2265.3055558915034</v>
      </c>
      <c r="AD223">
        <v>10.850153071059612</v>
      </c>
      <c r="AE223">
        <v>2042.1364064345173</v>
      </c>
      <c r="AF223">
        <v>7.6456406041673075</v>
      </c>
      <c r="AG223">
        <v>2146.8044229092734</v>
      </c>
      <c r="AH223">
        <v>10.845354216525976</v>
      </c>
      <c r="AI223">
        <v>1913.3324924065223</v>
      </c>
      <c r="AJ223">
        <v>7.6429935568790608</v>
      </c>
    </row>
    <row r="224" spans="4:36" x14ac:dyDescent="0.45">
      <c r="D224">
        <v>217</v>
      </c>
      <c r="E224">
        <v>13.129440938202567</v>
      </c>
      <c r="F224">
        <v>0.51493838688264826</v>
      </c>
      <c r="G224">
        <v>0.16045665802361514</v>
      </c>
      <c r="H224">
        <v>16.195164016891169</v>
      </c>
      <c r="I224">
        <v>13.399459284105406</v>
      </c>
      <c r="J224">
        <v>0.31405475420341178</v>
      </c>
      <c r="K224">
        <v>9.7504710098369043E-2</v>
      </c>
      <c r="L224">
        <v>16.188981251592818</v>
      </c>
      <c r="M224">
        <v>13.294485698498162</v>
      </c>
      <c r="N224">
        <v>0.39219820674944461</v>
      </c>
      <c r="O224">
        <v>0.1219376309207513</v>
      </c>
      <c r="P224">
        <v>16.191378463831644</v>
      </c>
      <c r="Q224">
        <v>13.264109933228063</v>
      </c>
      <c r="R224">
        <v>0.41479914942973012</v>
      </c>
      <c r="S224">
        <v>0.12901726521155454</v>
      </c>
      <c r="T224">
        <v>16.192073652130642</v>
      </c>
      <c r="U224">
        <v>1603.7405790240655</v>
      </c>
      <c r="V224">
        <v>10.367851236057948</v>
      </c>
      <c r="W224">
        <v>1324.2848511510294</v>
      </c>
      <c r="X224">
        <v>7.3735700775013608</v>
      </c>
      <c r="Y224">
        <v>2915.278051576101</v>
      </c>
      <c r="Z224">
        <v>10.423141635406877</v>
      </c>
      <c r="AA224">
        <v>2740.167045990187</v>
      </c>
      <c r="AB224">
        <v>7.405129291831793</v>
      </c>
      <c r="AC224">
        <v>2251.8336567443334</v>
      </c>
      <c r="AD224">
        <v>10.401649174227948</v>
      </c>
      <c r="AE224">
        <v>2035.4816762513849</v>
      </c>
      <c r="AF224">
        <v>7.3928760263770732</v>
      </c>
      <c r="AG224">
        <v>2112.7286552933729</v>
      </c>
      <c r="AH224">
        <v>10.395429403386791</v>
      </c>
      <c r="AI224">
        <v>1891.4489534467414</v>
      </c>
      <c r="AJ224">
        <v>7.3893266139439806</v>
      </c>
    </row>
    <row r="225" spans="4:36" x14ac:dyDescent="0.45">
      <c r="D225">
        <v>218</v>
      </c>
      <c r="E225">
        <v>12.517648283874649</v>
      </c>
      <c r="F225">
        <v>0.5308529352732938</v>
      </c>
      <c r="G225">
        <v>0.1676314746219526</v>
      </c>
      <c r="H225">
        <v>16.783867306230121</v>
      </c>
      <c r="I225">
        <v>12.752168124438711</v>
      </c>
      <c r="J225">
        <v>0.3337187082608099</v>
      </c>
      <c r="K225">
        <v>0.10503680327632774</v>
      </c>
      <c r="L225">
        <v>16.809076364024136</v>
      </c>
      <c r="M225">
        <v>12.670469832629427</v>
      </c>
      <c r="N225">
        <v>0.40241669170401967</v>
      </c>
      <c r="O225">
        <v>0.12680292413351887</v>
      </c>
      <c r="P225">
        <v>16.800310551533034</v>
      </c>
      <c r="Q225">
        <v>12.610141680158696</v>
      </c>
      <c r="R225">
        <v>0.45312900784300836</v>
      </c>
      <c r="S225">
        <v>0.1429026878638906</v>
      </c>
      <c r="T225">
        <v>16.793826624134404</v>
      </c>
      <c r="U225">
        <v>1560.4475601771774</v>
      </c>
      <c r="V225">
        <v>9.895674554292258</v>
      </c>
      <c r="W225">
        <v>1295.7007352815299</v>
      </c>
      <c r="X225">
        <v>7.0960880476299897</v>
      </c>
      <c r="Y225">
        <v>2898.1565368550523</v>
      </c>
      <c r="Z225">
        <v>9.9247042742686773</v>
      </c>
      <c r="AA225">
        <v>2728.90471505393</v>
      </c>
      <c r="AB225">
        <v>7.1139097883707318</v>
      </c>
      <c r="AC225">
        <v>2216.2007629897275</v>
      </c>
      <c r="AD225">
        <v>9.914582530263603</v>
      </c>
      <c r="AE225">
        <v>2012.0902778448462</v>
      </c>
      <c r="AF225">
        <v>7.1077057632626115</v>
      </c>
      <c r="AG225">
        <v>2130.3605305762808</v>
      </c>
      <c r="AH225">
        <v>9.9071144099062511</v>
      </c>
      <c r="AI225">
        <v>1904.4672773251948</v>
      </c>
      <c r="AJ225">
        <v>7.1031215237411329</v>
      </c>
    </row>
    <row r="226" spans="4:36" x14ac:dyDescent="0.45">
      <c r="D226">
        <v>219</v>
      </c>
      <c r="E226">
        <v>12.73893297401024</v>
      </c>
      <c r="F226">
        <v>0.44004889493560534</v>
      </c>
      <c r="G226">
        <v>0.17480546826776938</v>
      </c>
      <c r="H226">
        <v>16.646212662786368</v>
      </c>
      <c r="I226">
        <v>12.971798491920342</v>
      </c>
      <c r="J226">
        <v>0.27733776680403044</v>
      </c>
      <c r="K226">
        <v>0.10977452969327517</v>
      </c>
      <c r="L226">
        <v>16.641089211582369</v>
      </c>
      <c r="M226">
        <v>12.83358810379098</v>
      </c>
      <c r="N226">
        <v>0.37395101141875148</v>
      </c>
      <c r="O226">
        <v>0.14833074587422515</v>
      </c>
      <c r="P226">
        <v>16.644130138916037</v>
      </c>
      <c r="Q226">
        <v>12.862859278389523</v>
      </c>
      <c r="R226">
        <v>0.35349950082030318</v>
      </c>
      <c r="S226">
        <v>0.14015509911431429</v>
      </c>
      <c r="T226">
        <v>16.643486121675846</v>
      </c>
      <c r="U226">
        <v>1529.911780428919</v>
      </c>
      <c r="V226">
        <v>9.9874520615153273</v>
      </c>
      <c r="W226">
        <v>1276.4120358871821</v>
      </c>
      <c r="X226">
        <v>7.1478653262131129</v>
      </c>
      <c r="Y226">
        <v>2891.1925084230352</v>
      </c>
      <c r="Z226">
        <v>10.033521200704008</v>
      </c>
      <c r="AA226">
        <v>2725.5412170938075</v>
      </c>
      <c r="AB226">
        <v>7.1743817900974207</v>
      </c>
      <c r="AC226">
        <v>2221.1359747467386</v>
      </c>
      <c r="AD226">
        <v>10.006178926339441</v>
      </c>
      <c r="AE226">
        <v>2014.5776428697684</v>
      </c>
      <c r="AF226">
        <v>7.1586556384960991</v>
      </c>
      <c r="AG226">
        <v>2100.7770246737782</v>
      </c>
      <c r="AH226">
        <v>10.0119698351964</v>
      </c>
      <c r="AI226">
        <v>1887.1915784458383</v>
      </c>
      <c r="AJ226">
        <v>7.1619891199410892</v>
      </c>
    </row>
    <row r="227" spans="4:36" x14ac:dyDescent="0.45">
      <c r="D227">
        <v>220</v>
      </c>
      <c r="E227">
        <v>12.123482195773626</v>
      </c>
      <c r="F227">
        <v>0.43090002326546395</v>
      </c>
      <c r="G227">
        <v>0.13389884345454139</v>
      </c>
      <c r="H227">
        <v>17.311718937506363</v>
      </c>
      <c r="I227">
        <v>12.308912786767115</v>
      </c>
      <c r="J227">
        <v>0.29168767078866309</v>
      </c>
      <c r="K227">
        <v>9.039142917013443E-2</v>
      </c>
      <c r="L227">
        <v>17.309008113274093</v>
      </c>
      <c r="M227">
        <v>12.232012039344324</v>
      </c>
      <c r="N227">
        <v>0.34944436428750603</v>
      </c>
      <c r="O227">
        <v>0.10841251401022449</v>
      </c>
      <c r="P227">
        <v>17.310131082357941</v>
      </c>
      <c r="Q227">
        <v>12.163905320280838</v>
      </c>
      <c r="R227">
        <v>0.4005687074709246</v>
      </c>
      <c r="S227">
        <v>0.12439886281296621</v>
      </c>
      <c r="T227">
        <v>17.311127109435262</v>
      </c>
      <c r="U227">
        <v>1508.1987011812569</v>
      </c>
      <c r="V227">
        <v>9.5588462498361686</v>
      </c>
      <c r="W227">
        <v>1268.8880010030566</v>
      </c>
      <c r="X227">
        <v>6.9099073122758607</v>
      </c>
      <c r="Y227">
        <v>2855.8615483822578</v>
      </c>
      <c r="Z227">
        <v>9.5960600247440766</v>
      </c>
      <c r="AA227">
        <v>2703.7782804639296</v>
      </c>
      <c r="AB227">
        <v>6.9316121172764644</v>
      </c>
      <c r="AC227">
        <v>2203.0478527103633</v>
      </c>
      <c r="AD227">
        <v>9.5806271745686704</v>
      </c>
      <c r="AE227">
        <v>2009.4407464047958</v>
      </c>
      <c r="AF227">
        <v>6.9226191400184041</v>
      </c>
      <c r="AG227">
        <v>2089.3472068467713</v>
      </c>
      <c r="AH227">
        <v>9.5669588725888826</v>
      </c>
      <c r="AI227">
        <v>1881.8628151440389</v>
      </c>
      <c r="AJ227">
        <v>6.9146447346976254</v>
      </c>
    </row>
    <row r="228" spans="4:36" x14ac:dyDescent="0.45">
      <c r="D228">
        <v>221</v>
      </c>
      <c r="E228">
        <v>11.494219481176</v>
      </c>
      <c r="F228">
        <v>0.41170627330665877</v>
      </c>
      <c r="G228">
        <v>0.15127158181640504</v>
      </c>
      <c r="H228">
        <v>17.942802663700938</v>
      </c>
      <c r="I228">
        <v>11.675230865425943</v>
      </c>
      <c r="J228">
        <v>0.27143773966318685</v>
      </c>
      <c r="K228">
        <v>9.9450837132981987E-2</v>
      </c>
      <c r="L228">
        <v>17.953880557777889</v>
      </c>
      <c r="M228">
        <v>11.59655673839212</v>
      </c>
      <c r="N228">
        <v>0.3324249074451317</v>
      </c>
      <c r="O228">
        <v>0.12194533812413974</v>
      </c>
      <c r="P228">
        <v>17.949073016038611</v>
      </c>
      <c r="Q228">
        <v>11.572573287924024</v>
      </c>
      <c r="R228">
        <v>0.35101005496331333</v>
      </c>
      <c r="S228">
        <v>0.12881142746031507</v>
      </c>
      <c r="T228">
        <v>17.947605229652339</v>
      </c>
      <c r="U228">
        <v>1450.0995243250388</v>
      </c>
      <c r="V228">
        <v>9.0530469654844321</v>
      </c>
      <c r="W228">
        <v>1230.7517039011072</v>
      </c>
      <c r="X228">
        <v>6.6083369780319687</v>
      </c>
      <c r="Y228">
        <v>2865.4539199678907</v>
      </c>
      <c r="Z228">
        <v>9.0791654499786336</v>
      </c>
      <c r="AA228">
        <v>2714.2116403115488</v>
      </c>
      <c r="AB228">
        <v>6.624268506094932</v>
      </c>
      <c r="AC228">
        <v>2151.2547420131559</v>
      </c>
      <c r="AD228">
        <v>9.0678094118850581</v>
      </c>
      <c r="AE228">
        <v>1975.2343266643361</v>
      </c>
      <c r="AF228">
        <v>6.6173491729942127</v>
      </c>
      <c r="AG228">
        <v>2056.3306141570683</v>
      </c>
      <c r="AH228">
        <v>9.0643487929411357</v>
      </c>
      <c r="AI228">
        <v>1863.9414252178506</v>
      </c>
      <c r="AJ228">
        <v>6.6152382961432217</v>
      </c>
    </row>
    <row r="229" spans="4:36" x14ac:dyDescent="0.45">
      <c r="D229">
        <v>222</v>
      </c>
      <c r="E229">
        <v>12.309491907304649</v>
      </c>
      <c r="F229">
        <v>0.43062959107083226</v>
      </c>
      <c r="G229">
        <v>0.15292629050587786</v>
      </c>
      <c r="H229">
        <v>17.106952211118646</v>
      </c>
      <c r="I229">
        <v>12.526674563162588</v>
      </c>
      <c r="J229">
        <v>0.27422481989925274</v>
      </c>
      <c r="K229">
        <v>9.7069116081817161E-2</v>
      </c>
      <c r="L229">
        <v>17.102031500856338</v>
      </c>
      <c r="M229">
        <v>12.416514918562736</v>
      </c>
      <c r="N229">
        <v>0.35359227551979161</v>
      </c>
      <c r="O229">
        <v>0.12536799761469203</v>
      </c>
      <c r="P229">
        <v>17.104524808302774</v>
      </c>
      <c r="Q229">
        <v>12.403287995551121</v>
      </c>
      <c r="R229">
        <v>0.36311704812424406</v>
      </c>
      <c r="S229">
        <v>0.1287704192182883</v>
      </c>
      <c r="T229">
        <v>17.104824537106332</v>
      </c>
      <c r="U229">
        <v>1497.3414812430299</v>
      </c>
      <c r="V229">
        <v>9.777936498137807</v>
      </c>
      <c r="W229">
        <v>1259.6339502763178</v>
      </c>
      <c r="X229">
        <v>7.0465038317493383</v>
      </c>
      <c r="Y229">
        <v>2876.4135658831942</v>
      </c>
      <c r="Z229">
        <v>9.8225268795285441</v>
      </c>
      <c r="AA229">
        <v>2719.035712204241</v>
      </c>
      <c r="AB229">
        <v>7.0723273401565558</v>
      </c>
      <c r="AC229">
        <v>2213.8924318465661</v>
      </c>
      <c r="AD229">
        <v>9.7999108860776438</v>
      </c>
      <c r="AE229">
        <v>2015.8621555062984</v>
      </c>
      <c r="AF229">
        <v>7.0592410644679262</v>
      </c>
      <c r="AG229">
        <v>2101.1244404333197</v>
      </c>
      <c r="AH229">
        <v>9.7971952079693772</v>
      </c>
      <c r="AI229">
        <v>1891.8816894141471</v>
      </c>
      <c r="AJ229">
        <v>7.0576681412960127</v>
      </c>
    </row>
    <row r="230" spans="4:36" x14ac:dyDescent="0.45">
      <c r="D230">
        <v>223</v>
      </c>
      <c r="E230">
        <v>13.0704484111304</v>
      </c>
      <c r="F230">
        <v>0.49640597378599038</v>
      </c>
      <c r="G230">
        <v>0.18309725112268763</v>
      </c>
      <c r="H230">
        <v>16.250048363960918</v>
      </c>
      <c r="I230">
        <v>13.313055225782097</v>
      </c>
      <c r="J230">
        <v>0.317442089976465</v>
      </c>
      <c r="K230">
        <v>0.11670216308974952</v>
      </c>
      <c r="L230">
        <v>16.252800521151677</v>
      </c>
      <c r="M230">
        <v>13.236139628843484</v>
      </c>
      <c r="N230">
        <v>0.37421578833424507</v>
      </c>
      <c r="O230">
        <v>0.1377170246248329</v>
      </c>
      <c r="P230">
        <v>16.251927558197437</v>
      </c>
      <c r="Q230">
        <v>13.18404870377411</v>
      </c>
      <c r="R230">
        <v>0.41264709885595069</v>
      </c>
      <c r="S230">
        <v>0.15196763046177206</v>
      </c>
      <c r="T230">
        <v>16.251336566908165</v>
      </c>
      <c r="U230">
        <v>1576.405067984105</v>
      </c>
      <c r="V230">
        <v>10.306068120030783</v>
      </c>
      <c r="W230">
        <v>1303.8687749639582</v>
      </c>
      <c r="X230">
        <v>7.3343362169397022</v>
      </c>
      <c r="Y230">
        <v>2912.6407399522991</v>
      </c>
      <c r="Z230">
        <v>10.349656368668283</v>
      </c>
      <c r="AA230">
        <v>2736.740451934073</v>
      </c>
      <c r="AB230">
        <v>7.3594942250371504</v>
      </c>
      <c r="AC230">
        <v>2236.4017204404554</v>
      </c>
      <c r="AD230">
        <v>10.335836737166732</v>
      </c>
      <c r="AE230">
        <v>2024.1448214736329</v>
      </c>
      <c r="AF230">
        <v>7.351527823823413</v>
      </c>
      <c r="AG230">
        <v>2143.0190149181931</v>
      </c>
      <c r="AH230">
        <v>10.326477683187729</v>
      </c>
      <c r="AI230">
        <v>1911.5544420724007</v>
      </c>
      <c r="AJ230">
        <v>7.3461275359557527</v>
      </c>
    </row>
    <row r="231" spans="4:36" x14ac:dyDescent="0.45">
      <c r="D231">
        <v>224</v>
      </c>
      <c r="E231">
        <v>13.655492146927971</v>
      </c>
      <c r="F231">
        <v>0.48754035173757487</v>
      </c>
      <c r="G231">
        <v>0.18153375924410037</v>
      </c>
      <c r="H231">
        <v>15.675433742090368</v>
      </c>
      <c r="I231">
        <v>13.879107821104741</v>
      </c>
      <c r="J231">
        <v>0.33099840790488028</v>
      </c>
      <c r="K231">
        <v>0.12285994750580291</v>
      </c>
      <c r="L231">
        <v>15.667033823484564</v>
      </c>
      <c r="M231">
        <v>13.80999218054825</v>
      </c>
      <c r="N231">
        <v>0.37941456904517029</v>
      </c>
      <c r="O231">
        <v>0.14096701208244425</v>
      </c>
      <c r="P231">
        <v>15.669626238324145</v>
      </c>
      <c r="Q231">
        <v>13.750210385930568</v>
      </c>
      <c r="R231">
        <v>0.4212693938685233</v>
      </c>
      <c r="S231">
        <v>0.15664889418722852</v>
      </c>
      <c r="T231">
        <v>15.671871326013685</v>
      </c>
      <c r="U231">
        <v>1625.6114272494056</v>
      </c>
      <c r="V231">
        <v>10.837205039626248</v>
      </c>
      <c r="W231">
        <v>1334.5902953232383</v>
      </c>
      <c r="X231">
        <v>7.6496087969455964</v>
      </c>
      <c r="Y231">
        <v>2940.7286941060538</v>
      </c>
      <c r="Z231">
        <v>10.881369834475089</v>
      </c>
      <c r="AA231">
        <v>2752.4919327716739</v>
      </c>
      <c r="AB231">
        <v>7.6744918242386699</v>
      </c>
      <c r="AC231">
        <v>2298.5593350918498</v>
      </c>
      <c r="AD231">
        <v>10.8677216605175</v>
      </c>
      <c r="AE231">
        <v>2064.0388800357732</v>
      </c>
      <c r="AF231">
        <v>7.6668100690806504</v>
      </c>
      <c r="AG231">
        <v>2177.5688141903779</v>
      </c>
      <c r="AH231">
        <v>10.855914915929828</v>
      </c>
      <c r="AI231">
        <v>1931.2911701399855</v>
      </c>
      <c r="AJ231">
        <v>7.6601591359002441</v>
      </c>
    </row>
    <row r="232" spans="4:36" x14ac:dyDescent="0.45">
      <c r="D232">
        <v>225</v>
      </c>
      <c r="E232">
        <v>11.800035505432993</v>
      </c>
      <c r="F232">
        <v>0.39685954776787524</v>
      </c>
      <c r="G232">
        <v>0.15015950071151443</v>
      </c>
      <c r="H232">
        <v>17.652945446087607</v>
      </c>
      <c r="I232">
        <v>11.994747843054499</v>
      </c>
      <c r="J232">
        <v>0.25942724958385993</v>
      </c>
      <c r="K232">
        <v>9.7866847423234551E-2</v>
      </c>
      <c r="L232">
        <v>17.647958059938404</v>
      </c>
      <c r="M232">
        <v>11.917071944219137</v>
      </c>
      <c r="N232">
        <v>0.31428178136828644</v>
      </c>
      <c r="O232">
        <v>0.11870094640977029</v>
      </c>
      <c r="P232">
        <v>17.649945328002815</v>
      </c>
      <c r="Q232">
        <v>11.908462283326987</v>
      </c>
      <c r="R232">
        <v>0.32035953006487561</v>
      </c>
      <c r="S232">
        <v>0.12101239831742024</v>
      </c>
      <c r="T232">
        <v>17.650165788290717</v>
      </c>
      <c r="U232">
        <v>1471.1673010031379</v>
      </c>
      <c r="V232">
        <v>9.4120057695273456</v>
      </c>
      <c r="W232">
        <v>1244.1201185387347</v>
      </c>
      <c r="X232">
        <v>6.8400291208241537</v>
      </c>
      <c r="Y232">
        <v>2852.0518840617865</v>
      </c>
      <c r="Z232">
        <v>9.451450582785009</v>
      </c>
      <c r="AA232">
        <v>2703.167286197342</v>
      </c>
      <c r="AB232">
        <v>6.8630217739654675</v>
      </c>
      <c r="AC232">
        <v>2173.2777668344102</v>
      </c>
      <c r="AD232">
        <v>9.4357163402968638</v>
      </c>
      <c r="AE232">
        <v>1990.1711510016398</v>
      </c>
      <c r="AF232">
        <v>6.8538593033699842</v>
      </c>
      <c r="AG232">
        <v>2049.218188955334</v>
      </c>
      <c r="AH232">
        <v>9.4339722350589454</v>
      </c>
      <c r="AI232">
        <v>1858.3584915505696</v>
      </c>
      <c r="AJ232">
        <v>6.8528429222988008</v>
      </c>
    </row>
    <row r="233" spans="4:36" x14ac:dyDescent="0.45">
      <c r="D233">
        <v>226</v>
      </c>
      <c r="E233">
        <v>12.751166986920538</v>
      </c>
      <c r="F233">
        <v>0.44802967468678107</v>
      </c>
      <c r="G233">
        <v>0.14611313099859805</v>
      </c>
      <c r="H233">
        <v>16.654690207394093</v>
      </c>
      <c r="I233">
        <v>12.979712917067829</v>
      </c>
      <c r="J233">
        <v>0.28185312780576638</v>
      </c>
      <c r="K233">
        <v>9.1619486435454922E-2</v>
      </c>
      <c r="L233">
        <v>16.646814468690938</v>
      </c>
      <c r="M233">
        <v>12.833880901752469</v>
      </c>
      <c r="N233">
        <v>0.38792315944148181</v>
      </c>
      <c r="O233">
        <v>0.12636091222022489</v>
      </c>
      <c r="P233">
        <v>16.651835026585822</v>
      </c>
      <c r="Q233">
        <v>12.815388586980287</v>
      </c>
      <c r="R233">
        <v>0.40136461991655809</v>
      </c>
      <c r="S233">
        <v>0.1307739146693809</v>
      </c>
      <c r="T233">
        <v>16.652472878433777</v>
      </c>
      <c r="U233">
        <v>1542.6511082664995</v>
      </c>
      <c r="V233">
        <v>10.090486923820661</v>
      </c>
      <c r="W233">
        <v>1285.5190212296218</v>
      </c>
      <c r="X233">
        <v>7.2226801629116633</v>
      </c>
      <c r="Y233">
        <v>2887.415788316308</v>
      </c>
      <c r="Z233">
        <v>10.138270059850006</v>
      </c>
      <c r="AA233">
        <v>2722.838304795303</v>
      </c>
      <c r="AB233">
        <v>7.2499781493646278</v>
      </c>
      <c r="AC233">
        <v>2240.9793562781583</v>
      </c>
      <c r="AD233">
        <v>10.107783173041398</v>
      </c>
      <c r="AE233">
        <v>2028.2653732641534</v>
      </c>
      <c r="AF233">
        <v>7.232571923480676</v>
      </c>
      <c r="AG233">
        <v>2139.3007135191697</v>
      </c>
      <c r="AH233">
        <v>10.103916542772632</v>
      </c>
      <c r="AI233">
        <v>1911.7556978883028</v>
      </c>
      <c r="AJ233">
        <v>7.2303616412908189</v>
      </c>
    </row>
    <row r="234" spans="4:36" x14ac:dyDescent="0.45">
      <c r="D234">
        <v>227</v>
      </c>
      <c r="E234">
        <v>13.391906953391899</v>
      </c>
      <c r="F234">
        <v>0.45234388508437573</v>
      </c>
      <c r="G234">
        <v>0.16422649195626521</v>
      </c>
      <c r="H234">
        <v>15.991522669567452</v>
      </c>
      <c r="I234">
        <v>13.620440762689737</v>
      </c>
      <c r="J234">
        <v>0.2976199700033027</v>
      </c>
      <c r="K234">
        <v>0.10770163196116987</v>
      </c>
      <c r="L234">
        <v>15.9742376353458</v>
      </c>
      <c r="M234">
        <v>13.533516186630141</v>
      </c>
      <c r="N234">
        <v>0.35650950725962094</v>
      </c>
      <c r="O234">
        <v>0.12917154844095471</v>
      </c>
      <c r="P234">
        <v>15.980802757669279</v>
      </c>
      <c r="Q234">
        <v>13.466596346770343</v>
      </c>
      <c r="R234">
        <v>0.40181363161219313</v>
      </c>
      <c r="S234">
        <v>0.14572521398259666</v>
      </c>
      <c r="T234">
        <v>15.985864807634863</v>
      </c>
      <c r="U234">
        <v>1516.8345198038094</v>
      </c>
      <c r="V234">
        <v>10.545041962902044</v>
      </c>
      <c r="W234">
        <v>1263.0163550164038</v>
      </c>
      <c r="X234">
        <v>7.4764979542190222</v>
      </c>
      <c r="Y234">
        <v>2923.8232824443853</v>
      </c>
      <c r="Z234">
        <v>10.596544539733463</v>
      </c>
      <c r="AA234">
        <v>2745.1552292203646</v>
      </c>
      <c r="AB234">
        <v>7.5053973120525068</v>
      </c>
      <c r="AC234">
        <v>2251.0684202906305</v>
      </c>
      <c r="AD234">
        <v>10.576960303300096</v>
      </c>
      <c r="AE234">
        <v>2034.6761063835445</v>
      </c>
      <c r="AF234">
        <v>7.4944182785075251</v>
      </c>
      <c r="AG234">
        <v>2141.359395103284</v>
      </c>
      <c r="AH234">
        <v>10.561878858196593</v>
      </c>
      <c r="AI234">
        <v>1909.8830812545245</v>
      </c>
      <c r="AJ234">
        <v>7.4859550629977978</v>
      </c>
    </row>
    <row r="235" spans="4:36" x14ac:dyDescent="0.45">
      <c r="D235">
        <v>228</v>
      </c>
      <c r="E235">
        <v>11.936571167243342</v>
      </c>
      <c r="F235">
        <v>0.4475375050099647</v>
      </c>
      <c r="G235">
        <v>0.15067106294702992</v>
      </c>
      <c r="H235">
        <v>17.465220264799658</v>
      </c>
      <c r="I235">
        <v>12.12220869798829</v>
      </c>
      <c r="J235">
        <v>0.30076852429602186</v>
      </c>
      <c r="K235">
        <v>0.10099115134465436</v>
      </c>
      <c r="L235">
        <v>17.476031626371054</v>
      </c>
      <c r="M235">
        <v>12.047774085544862</v>
      </c>
      <c r="N235">
        <v>0.35963839632767647</v>
      </c>
      <c r="O235">
        <v>0.12088605104289327</v>
      </c>
      <c r="P235">
        <v>17.471701467084571</v>
      </c>
      <c r="Q235">
        <v>12.012381529872524</v>
      </c>
      <c r="R235">
        <v>0.3876206503933407</v>
      </c>
      <c r="S235">
        <v>0.13035754849413458</v>
      </c>
      <c r="T235">
        <v>17.469640271240003</v>
      </c>
      <c r="U235">
        <v>1509.7027254715956</v>
      </c>
      <c r="V235">
        <v>9.4765089036988268</v>
      </c>
      <c r="W235">
        <v>1269.2815312419882</v>
      </c>
      <c r="X235">
        <v>6.8665105482322897</v>
      </c>
      <c r="Y235">
        <v>2882.4640643537709</v>
      </c>
      <c r="Z235">
        <v>9.5059222082188466</v>
      </c>
      <c r="AA235">
        <v>2722.7497879644106</v>
      </c>
      <c r="AB235">
        <v>6.8841415758012987</v>
      </c>
      <c r="AC235">
        <v>2190.2471761358352</v>
      </c>
      <c r="AD235">
        <v>9.4941255792016079</v>
      </c>
      <c r="AE235">
        <v>1999.7860220797349</v>
      </c>
      <c r="AF235">
        <v>6.8770778629208866</v>
      </c>
      <c r="AG235">
        <v>2078.4962288286483</v>
      </c>
      <c r="AH235">
        <v>9.4885177918886434</v>
      </c>
      <c r="AI235">
        <v>1875.2979900850873</v>
      </c>
      <c r="AJ235">
        <v>6.8737164796079941</v>
      </c>
    </row>
    <row r="236" spans="4:36" x14ac:dyDescent="0.45">
      <c r="D236">
        <v>229</v>
      </c>
      <c r="E236">
        <v>11.489028022718911</v>
      </c>
      <c r="F236">
        <v>0.42839115499660696</v>
      </c>
      <c r="G236">
        <v>0.16172161046206168</v>
      </c>
      <c r="H236">
        <v>17.92085921182241</v>
      </c>
      <c r="I236">
        <v>11.69914373250419</v>
      </c>
      <c r="J236">
        <v>0.26800418503757328</v>
      </c>
      <c r="K236">
        <v>0.10083084565505079</v>
      </c>
      <c r="L236">
        <v>17.932021236803187</v>
      </c>
      <c r="M236">
        <v>11.611157125799101</v>
      </c>
      <c r="N236">
        <v>0.3351964064606448</v>
      </c>
      <c r="O236">
        <v>0.12628929310103973</v>
      </c>
      <c r="P236">
        <v>17.927357174639205</v>
      </c>
      <c r="Q236">
        <v>11.603644303371969</v>
      </c>
      <c r="R236">
        <v>0.34093170698615061</v>
      </c>
      <c r="S236">
        <v>0.1284657294422599</v>
      </c>
      <c r="T236">
        <v>17.926958260199637</v>
      </c>
      <c r="U236">
        <v>1508.9345047668151</v>
      </c>
      <c r="V236">
        <v>9.0665764946008931</v>
      </c>
      <c r="W236">
        <v>1270.0732699749174</v>
      </c>
      <c r="X236">
        <v>6.6166405890123032</v>
      </c>
      <c r="Y236">
        <v>2852.9429284527387</v>
      </c>
      <c r="Z236">
        <v>9.098841308625861</v>
      </c>
      <c r="AA236">
        <v>2703.6593900079383</v>
      </c>
      <c r="AB236">
        <v>6.6363345750294132</v>
      </c>
      <c r="AC236">
        <v>2160.5395315527371</v>
      </c>
      <c r="AD236">
        <v>9.0853243157447476</v>
      </c>
      <c r="AE236">
        <v>1979.7619062301458</v>
      </c>
      <c r="AF236">
        <v>6.6280947802447967</v>
      </c>
      <c r="AG236">
        <v>2076.4569020985919</v>
      </c>
      <c r="AH236">
        <v>9.0841705527648902</v>
      </c>
      <c r="AI236">
        <v>1877.393649758927</v>
      </c>
      <c r="AJ236">
        <v>6.6273907445275011</v>
      </c>
    </row>
    <row r="237" spans="4:36" x14ac:dyDescent="0.45">
      <c r="D237">
        <v>230</v>
      </c>
      <c r="E237">
        <v>13.150196984462701</v>
      </c>
      <c r="F237">
        <v>0.49153288649701371</v>
      </c>
      <c r="G237">
        <v>0.16462178110880374</v>
      </c>
      <c r="H237">
        <v>16.193648347931493</v>
      </c>
      <c r="I237">
        <v>13.387381373567825</v>
      </c>
      <c r="J237">
        <v>0.32031104743854577</v>
      </c>
      <c r="K237">
        <v>0.10692173647267181</v>
      </c>
      <c r="L237">
        <v>16.185385842520969</v>
      </c>
      <c r="M237">
        <v>13.293267458420166</v>
      </c>
      <c r="N237">
        <v>0.38829017482463007</v>
      </c>
      <c r="O237">
        <v>0.12978351432504545</v>
      </c>
      <c r="P237">
        <v>16.188658852430148</v>
      </c>
      <c r="Q237">
        <v>13.236317223333979</v>
      </c>
      <c r="R237">
        <v>0.42940093185761735</v>
      </c>
      <c r="S237">
        <v>0.14363891053098171</v>
      </c>
      <c r="T237">
        <v>16.19064293427742</v>
      </c>
      <c r="U237">
        <v>1587.1003461042194</v>
      </c>
      <c r="V237">
        <v>10.324091203736799</v>
      </c>
      <c r="W237">
        <v>1312.6821893919277</v>
      </c>
      <c r="X237">
        <v>7.3412517893728513</v>
      </c>
      <c r="Y237">
        <v>2923.2151945855485</v>
      </c>
      <c r="Z237">
        <v>10.371826611421307</v>
      </c>
      <c r="AA237">
        <v>2744.5757615634548</v>
      </c>
      <c r="AB237">
        <v>7.3683715659138542</v>
      </c>
      <c r="AC237">
        <v>2252.5431345395768</v>
      </c>
      <c r="AD237">
        <v>10.352888301842594</v>
      </c>
      <c r="AE237">
        <v>2035.2644438735506</v>
      </c>
      <c r="AF237">
        <v>7.3576229678697711</v>
      </c>
      <c r="AG237">
        <v>2142.9108812612271</v>
      </c>
      <c r="AH237">
        <v>10.341426481928394</v>
      </c>
      <c r="AI237">
        <v>1910.9519826856958</v>
      </c>
      <c r="AJ237">
        <v>7.351110860714047</v>
      </c>
    </row>
    <row r="238" spans="4:36" x14ac:dyDescent="0.45">
      <c r="D238">
        <v>231</v>
      </c>
      <c r="E238">
        <v>11.651794599511584</v>
      </c>
      <c r="F238">
        <v>0.40934686527312875</v>
      </c>
      <c r="G238">
        <v>0.16078872312678502</v>
      </c>
      <c r="H238">
        <v>17.778069812088496</v>
      </c>
      <c r="I238">
        <v>11.830988117308195</v>
      </c>
      <c r="J238">
        <v>0.27379512369455489</v>
      </c>
      <c r="K238">
        <v>0.10723509969634977</v>
      </c>
      <c r="L238">
        <v>17.787981659300897</v>
      </c>
      <c r="M238">
        <v>11.749170388098198</v>
      </c>
      <c r="N238">
        <v>0.33570886191650479</v>
      </c>
      <c r="O238">
        <v>0.13165706723087819</v>
      </c>
      <c r="P238">
        <v>17.783463682754423</v>
      </c>
      <c r="Q238">
        <v>11.726214618450784</v>
      </c>
      <c r="R238">
        <v>0.3530733995652654</v>
      </c>
      <c r="S238">
        <v>0.13851822223317578</v>
      </c>
      <c r="T238">
        <v>17.782193759750772</v>
      </c>
      <c r="U238">
        <v>1467.3908688664369</v>
      </c>
      <c r="V238">
        <v>9.1363045181461668</v>
      </c>
      <c r="W238">
        <v>1241.8876084337498</v>
      </c>
      <c r="X238">
        <v>6.650303182580223</v>
      </c>
      <c r="Y238">
        <v>2863.2875971086801</v>
      </c>
      <c r="Z238">
        <v>9.1605656840024778</v>
      </c>
      <c r="AA238">
        <v>2711.2532053389559</v>
      </c>
      <c r="AB238">
        <v>6.6651542599082969</v>
      </c>
      <c r="AC238">
        <v>2153.1125955243147</v>
      </c>
      <c r="AD238">
        <v>9.1494837377390077</v>
      </c>
      <c r="AE238">
        <v>1974.9444949006636</v>
      </c>
      <c r="AF238">
        <v>6.6583777586830921</v>
      </c>
      <c r="AG238">
        <v>2058.0188938493175</v>
      </c>
      <c r="AH238">
        <v>9.1463758290829773</v>
      </c>
      <c r="AI238">
        <v>1863.5013942315513</v>
      </c>
      <c r="AJ238">
        <v>6.6564751588058408</v>
      </c>
    </row>
    <row r="239" spans="4:36" x14ac:dyDescent="0.45">
      <c r="D239">
        <v>232</v>
      </c>
      <c r="E239">
        <v>11.350810204141229</v>
      </c>
      <c r="F239">
        <v>0.37893901465680768</v>
      </c>
      <c r="G239">
        <v>0.15462433962539218</v>
      </c>
      <c r="H239">
        <v>18.115626441576566</v>
      </c>
      <c r="I239">
        <v>11.540142824219069</v>
      </c>
      <c r="J239">
        <v>0.24475267727075528</v>
      </c>
      <c r="K239">
        <v>9.9570088386366162E-2</v>
      </c>
      <c r="L239">
        <v>18.115534410123821</v>
      </c>
      <c r="M239">
        <v>11.473668914751258</v>
      </c>
      <c r="N239">
        <v>0.29189145776661357</v>
      </c>
      <c r="O239">
        <v>0.11887206722765094</v>
      </c>
      <c r="P239">
        <v>18.115567560254487</v>
      </c>
      <c r="Q239">
        <v>11.438198153789491</v>
      </c>
      <c r="R239">
        <v>0.31703321395235329</v>
      </c>
      <c r="S239">
        <v>0.12918375220267123</v>
      </c>
      <c r="T239">
        <v>18.115584880055493</v>
      </c>
      <c r="U239">
        <v>1442.2506204790777</v>
      </c>
      <c r="V239">
        <v>8.9323911815921395</v>
      </c>
      <c r="W239">
        <v>1229.2787664780656</v>
      </c>
      <c r="X239">
        <v>6.5398932694219711</v>
      </c>
      <c r="Y239">
        <v>2842.343492102153</v>
      </c>
      <c r="Z239">
        <v>8.9675919291495809</v>
      </c>
      <c r="AA239">
        <v>2700.4754404631108</v>
      </c>
      <c r="AB239">
        <v>6.5607789285307927</v>
      </c>
      <c r="AC239">
        <v>2137.7197653732146</v>
      </c>
      <c r="AD239">
        <v>8.9552326773373956</v>
      </c>
      <c r="AE239">
        <v>1969.8188989881789</v>
      </c>
      <c r="AF239">
        <v>6.5534543210383749</v>
      </c>
      <c r="AG239">
        <v>2059.2039966257385</v>
      </c>
      <c r="AH239">
        <v>8.9486379099086513</v>
      </c>
      <c r="AI239">
        <v>1870.2124975278748</v>
      </c>
      <c r="AJ239">
        <v>6.5495422374199803</v>
      </c>
    </row>
    <row r="240" spans="4:36" x14ac:dyDescent="0.45">
      <c r="D240">
        <v>233</v>
      </c>
      <c r="E240">
        <v>13.5057349268222</v>
      </c>
      <c r="F240">
        <v>0.51392069113025429</v>
      </c>
      <c r="G240">
        <v>0.18717974854355424</v>
      </c>
      <c r="H240">
        <v>15.793164633503977</v>
      </c>
      <c r="I240">
        <v>13.788984473037175</v>
      </c>
      <c r="J240">
        <v>0.31234100782118845</v>
      </c>
      <c r="K240">
        <v>0.11333718036054569</v>
      </c>
      <c r="L240">
        <v>15.785337338781092</v>
      </c>
      <c r="M240">
        <v>13.656536885897452</v>
      </c>
      <c r="N240">
        <v>0.40665797835302675</v>
      </c>
      <c r="O240">
        <v>0.14781768160647796</v>
      </c>
      <c r="P240">
        <v>15.78898745414303</v>
      </c>
      <c r="Q240">
        <v>13.639568035944539</v>
      </c>
      <c r="R240">
        <v>0.41873427121947615</v>
      </c>
      <c r="S240">
        <v>0.15224134148379381</v>
      </c>
      <c r="T240">
        <v>15.789456351352197</v>
      </c>
      <c r="U240">
        <v>1616.1634506351975</v>
      </c>
      <c r="V240">
        <v>10.765109317768244</v>
      </c>
      <c r="W240">
        <v>1326.2218067916174</v>
      </c>
      <c r="X240">
        <v>7.6141208760670054</v>
      </c>
      <c r="Y240">
        <v>2929.9988801135146</v>
      </c>
      <c r="Z240">
        <v>10.82563604383629</v>
      </c>
      <c r="AA240">
        <v>2746.4570275604669</v>
      </c>
      <c r="AB240">
        <v>7.648298050454895</v>
      </c>
      <c r="AC240">
        <v>2289.8898709056393</v>
      </c>
      <c r="AD240">
        <v>10.797338932870929</v>
      </c>
      <c r="AE240">
        <v>2056.1102324838571</v>
      </c>
      <c r="AF240">
        <v>7.6323356637399575</v>
      </c>
      <c r="AG240">
        <v>2164.8236104696489</v>
      </c>
      <c r="AH240">
        <v>10.793712921221383</v>
      </c>
      <c r="AI240">
        <v>1922.6494972234239</v>
      </c>
      <c r="AJ240">
        <v>7.6302882214422718</v>
      </c>
    </row>
    <row r="241" spans="4:36" x14ac:dyDescent="0.45">
      <c r="D241">
        <v>234</v>
      </c>
      <c r="E241">
        <v>13.496097282064939</v>
      </c>
      <c r="F241">
        <v>0.44785993008166336</v>
      </c>
      <c r="G241">
        <v>0.17602162475078037</v>
      </c>
      <c r="H241">
        <v>15.880021163102617</v>
      </c>
      <c r="I241">
        <v>13.714301703844347</v>
      </c>
      <c r="J241">
        <v>0.30500005272249275</v>
      </c>
      <c r="K241">
        <v>0.11951071950240848</v>
      </c>
      <c r="L241">
        <v>15.861187523930738</v>
      </c>
      <c r="M241">
        <v>13.651324420927169</v>
      </c>
      <c r="N241">
        <v>0.34626401808959817</v>
      </c>
      <c r="O241">
        <v>0.13579774231936712</v>
      </c>
      <c r="P241">
        <v>15.866613818663861</v>
      </c>
      <c r="Q241">
        <v>13.586787226497751</v>
      </c>
      <c r="R241">
        <v>0.38852294260754994</v>
      </c>
      <c r="S241">
        <v>0.15250742859511976</v>
      </c>
      <c r="T241">
        <v>15.872182402299591</v>
      </c>
      <c r="U241">
        <v>1593.595932249953</v>
      </c>
      <c r="V241">
        <v>10.767813057089127</v>
      </c>
      <c r="W241">
        <v>1316.7266859123245</v>
      </c>
      <c r="X241">
        <v>7.6232075193554882</v>
      </c>
      <c r="Y241">
        <v>2912.1267239502954</v>
      </c>
      <c r="Z241">
        <v>10.818797086925185</v>
      </c>
      <c r="AA241">
        <v>2735.3868439721487</v>
      </c>
      <c r="AB241">
        <v>7.651575966131924</v>
      </c>
      <c r="AC241">
        <v>2238.9464429596146</v>
      </c>
      <c r="AD241">
        <v>10.804088080987555</v>
      </c>
      <c r="AE241">
        <v>2025.692689348248</v>
      </c>
      <c r="AF241">
        <v>7.6433994868051478</v>
      </c>
      <c r="AG241">
        <v>2188.7860975044568</v>
      </c>
      <c r="AH241">
        <v>10.789009874836841</v>
      </c>
      <c r="AI241">
        <v>1943.3981705869396</v>
      </c>
      <c r="AJ241">
        <v>7.6350111661507114</v>
      </c>
    </row>
    <row r="242" spans="4:36" x14ac:dyDescent="0.45">
      <c r="D242">
        <v>235</v>
      </c>
      <c r="E242">
        <v>12.783257677377431</v>
      </c>
      <c r="F242">
        <v>0.42179585277787068</v>
      </c>
      <c r="G242">
        <v>0.15219951315991498</v>
      </c>
      <c r="H242">
        <v>16.642746956684771</v>
      </c>
      <c r="I242">
        <v>12.975412963208916</v>
      </c>
      <c r="J242">
        <v>0.29030948148837576</v>
      </c>
      <c r="K242">
        <v>0.10446294998663169</v>
      </c>
      <c r="L242">
        <v>16.629814605316081</v>
      </c>
      <c r="M242">
        <v>12.904006902298473</v>
      </c>
      <c r="N242">
        <v>0.33919839351466607</v>
      </c>
      <c r="O242">
        <v>0.12218072785960536</v>
      </c>
      <c r="P242">
        <v>16.634613976327262</v>
      </c>
      <c r="Q242">
        <v>12.837997943510699</v>
      </c>
      <c r="R242">
        <v>0.38436294917184399</v>
      </c>
      <c r="S242">
        <v>0.13858182558968821</v>
      </c>
      <c r="T242">
        <v>16.639057281727766</v>
      </c>
      <c r="U242">
        <v>1553.9140311134015</v>
      </c>
      <c r="V242">
        <v>10.098219725715689</v>
      </c>
      <c r="W242">
        <v>1294.037148843631</v>
      </c>
      <c r="X242">
        <v>7.2260211199839759</v>
      </c>
      <c r="Y242">
        <v>2918.4836271119225</v>
      </c>
      <c r="Z242">
        <v>10.139918933024489</v>
      </c>
      <c r="AA242">
        <v>2743.4104306184977</v>
      </c>
      <c r="AB242">
        <v>7.249671747535098</v>
      </c>
      <c r="AC242">
        <v>2238.1624233608927</v>
      </c>
      <c r="AD242">
        <v>10.124426610443589</v>
      </c>
      <c r="AE242">
        <v>2028.6431912672433</v>
      </c>
      <c r="AF242">
        <v>7.2408924603912146</v>
      </c>
      <c r="AG242">
        <v>2122.4447213453195</v>
      </c>
      <c r="AH242">
        <v>10.110101726727397</v>
      </c>
      <c r="AI242">
        <v>1899.486781515147</v>
      </c>
      <c r="AJ242">
        <v>7.2327668460767214</v>
      </c>
    </row>
    <row r="243" spans="4:36" x14ac:dyDescent="0.45">
      <c r="D243">
        <v>236</v>
      </c>
      <c r="E243">
        <v>12.199438323964335</v>
      </c>
      <c r="F243">
        <v>0.46373494053744896</v>
      </c>
      <c r="G243">
        <v>0.15382006772090512</v>
      </c>
      <c r="H243">
        <v>17.183006667777303</v>
      </c>
      <c r="I243">
        <v>12.401810121517567</v>
      </c>
      <c r="J243">
        <v>0.30610576440968201</v>
      </c>
      <c r="K243">
        <v>0.10122570386900928</v>
      </c>
      <c r="L243">
        <v>17.190858410203735</v>
      </c>
      <c r="M243">
        <v>12.325525870490022</v>
      </c>
      <c r="N243">
        <v>0.36554856673200148</v>
      </c>
      <c r="O243">
        <v>0.12102115995670619</v>
      </c>
      <c r="P243">
        <v>17.187904402821271</v>
      </c>
      <c r="Q243">
        <v>12.268704050385093</v>
      </c>
      <c r="R243">
        <v>0.40980662389652611</v>
      </c>
      <c r="S243">
        <v>0.13578975386065975</v>
      </c>
      <c r="T243">
        <v>17.185699571857704</v>
      </c>
      <c r="U243">
        <v>1515.1050800114645</v>
      </c>
      <c r="V243">
        <v>9.5837905296742925</v>
      </c>
      <c r="W243">
        <v>1271.5698291702909</v>
      </c>
      <c r="X243">
        <v>6.9139463059381345</v>
      </c>
      <c r="Y243">
        <v>2866.3907834183478</v>
      </c>
      <c r="Z243">
        <v>9.6168929133711547</v>
      </c>
      <c r="AA243">
        <v>2710.4120687072027</v>
      </c>
      <c r="AB243">
        <v>6.9336024352004237</v>
      </c>
      <c r="AC243">
        <v>2199.7964970887451</v>
      </c>
      <c r="AD243">
        <v>9.604411984126191</v>
      </c>
      <c r="AE243">
        <v>2005.9236168497985</v>
      </c>
      <c r="AF243">
        <v>6.9261997892459943</v>
      </c>
      <c r="AG243">
        <v>2094.2831676471187</v>
      </c>
      <c r="AH243">
        <v>9.5951176342362388</v>
      </c>
      <c r="AI243">
        <v>1884.8194839168782</v>
      </c>
      <c r="AJ243">
        <v>6.9206804921223455</v>
      </c>
    </row>
    <row r="244" spans="4:36" x14ac:dyDescent="0.45">
      <c r="D244">
        <v>237</v>
      </c>
      <c r="E244">
        <v>14.195373832296463</v>
      </c>
      <c r="F244">
        <v>0.49222934774187366</v>
      </c>
      <c r="G244">
        <v>0.19945923274144739</v>
      </c>
      <c r="H244">
        <v>15.112937587220218</v>
      </c>
      <c r="I244">
        <v>14.4799363951612</v>
      </c>
      <c r="J244">
        <v>0.31037467709749866</v>
      </c>
      <c r="K244">
        <v>0.125289804188045</v>
      </c>
      <c r="L244">
        <v>15.084399123553272</v>
      </c>
      <c r="M244">
        <v>14.395923663305515</v>
      </c>
      <c r="N244">
        <v>0.36411984979249074</v>
      </c>
      <c r="O244">
        <v>0.14714995032127365</v>
      </c>
      <c r="P244">
        <v>15.092806536580731</v>
      </c>
      <c r="Q244">
        <v>14.334574842040903</v>
      </c>
      <c r="R244">
        <v>0.40333714368649509</v>
      </c>
      <c r="S244">
        <v>0.16313256212331453</v>
      </c>
      <c r="T244">
        <v>15.098955452149301</v>
      </c>
      <c r="U244">
        <v>1612.6919960297666</v>
      </c>
      <c r="V244">
        <v>11.249044120025038</v>
      </c>
      <c r="W244">
        <v>1320.1925357895593</v>
      </c>
      <c r="X244">
        <v>7.8835380446233563</v>
      </c>
      <c r="Y244">
        <v>2979.0400706621872</v>
      </c>
      <c r="Z244">
        <v>11.319022521866447</v>
      </c>
      <c r="AA244">
        <v>2777.7600677443038</v>
      </c>
      <c r="AB244">
        <v>7.9220559799078467</v>
      </c>
      <c r="AC244">
        <v>2251.7621717921616</v>
      </c>
      <c r="AD244">
        <v>11.298373083947604</v>
      </c>
      <c r="AE244">
        <v>2028.2110966476689</v>
      </c>
      <c r="AF244">
        <v>7.910702867029455</v>
      </c>
      <c r="AG244">
        <v>2187.3813790884783</v>
      </c>
      <c r="AH244">
        <v>11.283288605132489</v>
      </c>
      <c r="AI244">
        <v>1935.3230348404693</v>
      </c>
      <c r="AJ244">
        <v>7.9024026051136387</v>
      </c>
    </row>
    <row r="245" spans="4:36" x14ac:dyDescent="0.45">
      <c r="D245">
        <v>238</v>
      </c>
      <c r="E245">
        <v>12.139784337505272</v>
      </c>
      <c r="F245">
        <v>0.44407538750311221</v>
      </c>
      <c r="G245">
        <v>0.15300467863143721</v>
      </c>
      <c r="H245">
        <v>17.263135596360179</v>
      </c>
      <c r="I245">
        <v>12.322322473088263</v>
      </c>
      <c r="J245">
        <v>0.29929078521859109</v>
      </c>
      <c r="K245">
        <v>0.10283841440600587</v>
      </c>
      <c r="L245">
        <v>17.275548327287137</v>
      </c>
      <c r="M245">
        <v>12.238237689897918</v>
      </c>
      <c r="N245">
        <v>0.366004576560577</v>
      </c>
      <c r="O245">
        <v>0.12591951652730712</v>
      </c>
      <c r="P245">
        <v>17.269838217014215</v>
      </c>
      <c r="Q245">
        <v>12.206964266743432</v>
      </c>
      <c r="R245">
        <v>0.39080861190212385</v>
      </c>
      <c r="S245">
        <v>0.13451600448692427</v>
      </c>
      <c r="T245">
        <v>17.267711116867527</v>
      </c>
      <c r="U245">
        <v>1529.2092125181989</v>
      </c>
      <c r="V245">
        <v>9.5801602957504688</v>
      </c>
      <c r="W245">
        <v>1280.9778064750546</v>
      </c>
      <c r="X245">
        <v>6.9181015129653991</v>
      </c>
      <c r="Y245">
        <v>2872.9584084159133</v>
      </c>
      <c r="Z245">
        <v>9.6056933144161185</v>
      </c>
      <c r="AA245">
        <v>2714.168758508858</v>
      </c>
      <c r="AB245">
        <v>6.9335874066612249</v>
      </c>
      <c r="AC245">
        <v>2190.9497607889825</v>
      </c>
      <c r="AD245">
        <v>9.593927180781149</v>
      </c>
      <c r="AE245">
        <v>1997.6365151455275</v>
      </c>
      <c r="AF245">
        <v>6.9264582545881241</v>
      </c>
      <c r="AG245">
        <v>2072.5041582653835</v>
      </c>
      <c r="AH245">
        <v>9.5895530104969353</v>
      </c>
      <c r="AI245">
        <v>1868.3707313475661</v>
      </c>
      <c r="AJ245">
        <v>6.9238048587021632</v>
      </c>
    </row>
    <row r="246" spans="4:36" x14ac:dyDescent="0.45">
      <c r="D246">
        <v>239</v>
      </c>
      <c r="E246">
        <v>12.797663819228518</v>
      </c>
      <c r="F246">
        <v>0.45844883853140206</v>
      </c>
      <c r="G246">
        <v>0.16014426267524612</v>
      </c>
      <c r="H246">
        <v>16.583743079564837</v>
      </c>
      <c r="I246">
        <v>13.036507353577809</v>
      </c>
      <c r="J246">
        <v>0.28853429505353062</v>
      </c>
      <c r="K246">
        <v>0.10044302200520365</v>
      </c>
      <c r="L246">
        <v>16.574515329363468</v>
      </c>
      <c r="M246">
        <v>12.970806755093026</v>
      </c>
      <c r="N246">
        <v>0.3353083500167684</v>
      </c>
      <c r="O246">
        <v>0.11683595543394067</v>
      </c>
      <c r="P246">
        <v>16.577048939456269</v>
      </c>
      <c r="Q246">
        <v>12.884654460657449</v>
      </c>
      <c r="R246">
        <v>0.39660319751804302</v>
      </c>
      <c r="S246">
        <v>0.1383656790797044</v>
      </c>
      <c r="T246">
        <v>16.58037666274479</v>
      </c>
      <c r="U246">
        <v>1522.1580447519132</v>
      </c>
      <c r="V246">
        <v>9.9870960968836684</v>
      </c>
      <c r="W246">
        <v>1272.2567010706468</v>
      </c>
      <c r="X246">
        <v>7.1411750340323055</v>
      </c>
      <c r="Y246">
        <v>2897.3940437349929</v>
      </c>
      <c r="Z246">
        <v>10.035247825699598</v>
      </c>
      <c r="AA246">
        <v>2730.8729836277921</v>
      </c>
      <c r="AB246">
        <v>7.1686686297049143</v>
      </c>
      <c r="AC246">
        <v>2194.7787481097066</v>
      </c>
      <c r="AD246">
        <v>10.022004856348728</v>
      </c>
      <c r="AE246">
        <v>2000.6201632219304</v>
      </c>
      <c r="AF246">
        <v>7.1611167391594588</v>
      </c>
      <c r="AG246">
        <v>2123.5409756463082</v>
      </c>
      <c r="AH246">
        <v>10.004636653136288</v>
      </c>
      <c r="AI246">
        <v>1902.7121424034467</v>
      </c>
      <c r="AJ246">
        <v>7.1512014566135713</v>
      </c>
    </row>
    <row r="247" spans="4:36" x14ac:dyDescent="0.45">
      <c r="D247">
        <v>240</v>
      </c>
      <c r="E247">
        <v>11.215285672070937</v>
      </c>
      <c r="F247">
        <v>0.42694414151397936</v>
      </c>
      <c r="G247">
        <v>0.15238036790938386</v>
      </c>
      <c r="H247">
        <v>18.205389818505694</v>
      </c>
      <c r="I247">
        <v>11.419063147747448</v>
      </c>
      <c r="J247">
        <v>0.2648377932557841</v>
      </c>
      <c r="K247">
        <v>9.4217388385515882E-2</v>
      </c>
      <c r="L247">
        <v>18.221881670611246</v>
      </c>
      <c r="M247">
        <v>11.355553642765614</v>
      </c>
      <c r="N247">
        <v>0.31538214425563282</v>
      </c>
      <c r="O247">
        <v>0.11231157598397959</v>
      </c>
      <c r="P247">
        <v>18.216752636994791</v>
      </c>
      <c r="Q247">
        <v>11.30234839639529</v>
      </c>
      <c r="R247">
        <v>0.35771043741160846</v>
      </c>
      <c r="S247">
        <v>0.12749291434685125</v>
      </c>
      <c r="T247">
        <v>18.212448251846251</v>
      </c>
      <c r="U247">
        <v>1466.2321876070089</v>
      </c>
      <c r="V247">
        <v>8.8921663522238941</v>
      </c>
      <c r="W247">
        <v>1242.2045532610182</v>
      </c>
      <c r="X247">
        <v>6.52002874440611</v>
      </c>
      <c r="Y247">
        <v>2853.5754910442447</v>
      </c>
      <c r="Z247">
        <v>8.922049917113684</v>
      </c>
      <c r="AA247">
        <v>2706.6066255012702</v>
      </c>
      <c r="AB247">
        <v>6.5385710707666771</v>
      </c>
      <c r="AC247">
        <v>2165.8390664504504</v>
      </c>
      <c r="AD247">
        <v>8.9127301254876112</v>
      </c>
      <c r="AE247">
        <v>1988.0102791881384</v>
      </c>
      <c r="AF247">
        <v>6.5327976472514573</v>
      </c>
      <c r="AG247">
        <v>2066.0317150255942</v>
      </c>
      <c r="AH247">
        <v>8.90492678591737</v>
      </c>
      <c r="AI247">
        <v>1871.2746282982553</v>
      </c>
      <c r="AJ247">
        <v>6.5279571330649118</v>
      </c>
    </row>
    <row r="248" spans="4:36" x14ac:dyDescent="0.45">
      <c r="D248">
        <v>241</v>
      </c>
      <c r="E248">
        <v>12.643379542877859</v>
      </c>
      <c r="F248">
        <v>0.45929363714471033</v>
      </c>
      <c r="G248">
        <v>0.16081439723144625</v>
      </c>
      <c r="H248">
        <v>16.736512422745985</v>
      </c>
      <c r="I248">
        <v>12.840934702649587</v>
      </c>
      <c r="J248">
        <v>0.3107543840808189</v>
      </c>
      <c r="K248">
        <v>0.10850312409550238</v>
      </c>
      <c r="L248">
        <v>16.739807789174076</v>
      </c>
      <c r="M248">
        <v>12.762018756712786</v>
      </c>
      <c r="N248">
        <v>0.37011571201082755</v>
      </c>
      <c r="O248">
        <v>0.12937304564400659</v>
      </c>
      <c r="P248">
        <v>16.738492485632381</v>
      </c>
      <c r="Q248">
        <v>12.763028995522328</v>
      </c>
      <c r="R248">
        <v>0.36935601345427055</v>
      </c>
      <c r="S248">
        <v>0.12910565860341</v>
      </c>
      <c r="T248">
        <v>16.738509332420005</v>
      </c>
      <c r="U248">
        <v>1568.0613580272425</v>
      </c>
      <c r="V248">
        <v>10.033822498948993</v>
      </c>
      <c r="W248">
        <v>1303.6321104888953</v>
      </c>
      <c r="X248">
        <v>7.1906253810135103</v>
      </c>
      <c r="Y248">
        <v>2893.1530819595273</v>
      </c>
      <c r="Z248">
        <v>10.069239762313888</v>
      </c>
      <c r="AA248">
        <v>2725.1502654103178</v>
      </c>
      <c r="AB248">
        <v>7.2111669436027448</v>
      </c>
      <c r="AC248">
        <v>2234.9277891960296</v>
      </c>
      <c r="AD248">
        <v>10.055091736389407</v>
      </c>
      <c r="AE248">
        <v>2025.7620328550461</v>
      </c>
      <c r="AF248">
        <v>7.2029689669636197</v>
      </c>
      <c r="AG248">
        <v>2090.356072586399</v>
      </c>
      <c r="AH248">
        <v>10.055272850463796</v>
      </c>
      <c r="AI248">
        <v>1879.4510919475076</v>
      </c>
      <c r="AJ248">
        <v>7.2030739766304217</v>
      </c>
    </row>
    <row r="249" spans="4:36" x14ac:dyDescent="0.45">
      <c r="D249">
        <v>242</v>
      </c>
      <c r="E249">
        <v>13.208676513227674</v>
      </c>
      <c r="F249">
        <v>0.47328199321476239</v>
      </c>
      <c r="G249">
        <v>0.17770728993342699</v>
      </c>
      <c r="H249">
        <v>16.140334203624128</v>
      </c>
      <c r="I249">
        <v>13.45021497298184</v>
      </c>
      <c r="J249">
        <v>0.30310739919774859</v>
      </c>
      <c r="K249">
        <v>0.11342684436433233</v>
      </c>
      <c r="L249">
        <v>16.133250783456077</v>
      </c>
      <c r="M249">
        <v>13.367266063437256</v>
      </c>
      <c r="N249">
        <v>0.36158819208293591</v>
      </c>
      <c r="O249">
        <v>0.13546729748511505</v>
      </c>
      <c r="P249">
        <v>16.13567844699471</v>
      </c>
      <c r="Q249">
        <v>13.340916783994768</v>
      </c>
      <c r="R249">
        <v>0.38015638118673867</v>
      </c>
      <c r="S249">
        <v>0.14247615290776974</v>
      </c>
      <c r="T249">
        <v>16.136450681910727</v>
      </c>
      <c r="U249">
        <v>1601.9752290712531</v>
      </c>
      <c r="V249">
        <v>10.536048466057791</v>
      </c>
      <c r="W249">
        <v>1319.7259095572783</v>
      </c>
      <c r="X249">
        <v>7.4870392452051391</v>
      </c>
      <c r="Y249">
        <v>2930.2370208837033</v>
      </c>
      <c r="Z249">
        <v>10.587541844042839</v>
      </c>
      <c r="AA249">
        <v>2747.7126058879317</v>
      </c>
      <c r="AB249">
        <v>7.5163346465606278</v>
      </c>
      <c r="AC249">
        <v>2235.0929002167009</v>
      </c>
      <c r="AD249">
        <v>10.569860498333737</v>
      </c>
      <c r="AE249">
        <v>2020.9755683233145</v>
      </c>
      <c r="AF249">
        <v>7.5062866286043599</v>
      </c>
      <c r="AG249">
        <v>2148.3155296872578</v>
      </c>
      <c r="AH249">
        <v>10.564243363716203</v>
      </c>
      <c r="AI249">
        <v>1914.3559711835351</v>
      </c>
      <c r="AJ249">
        <v>7.5030920698314416</v>
      </c>
    </row>
    <row r="250" spans="4:36" x14ac:dyDescent="0.45">
      <c r="D250">
        <v>243</v>
      </c>
      <c r="E250">
        <v>12.879213575753129</v>
      </c>
      <c r="F250">
        <v>0.44010011285749207</v>
      </c>
      <c r="G250">
        <v>0.16626258076232728</v>
      </c>
      <c r="H250">
        <v>16.514423730627048</v>
      </c>
      <c r="I250">
        <v>13.087667468884057</v>
      </c>
      <c r="J250">
        <v>0.29586139163573455</v>
      </c>
      <c r="K250">
        <v>0.11143563395151655</v>
      </c>
      <c r="L250">
        <v>16.505035505528689</v>
      </c>
      <c r="M250">
        <v>12.999991979361177</v>
      </c>
      <c r="N250">
        <v>0.35656144929086991</v>
      </c>
      <c r="O250">
        <v>0.13446766744167188</v>
      </c>
      <c r="P250">
        <v>16.508978903906275</v>
      </c>
      <c r="Q250">
        <v>12.953998467550809</v>
      </c>
      <c r="R250">
        <v>0.38838463102674625</v>
      </c>
      <c r="S250">
        <v>0.14656628127479424</v>
      </c>
      <c r="T250">
        <v>16.511050620147643</v>
      </c>
      <c r="U250">
        <v>1588.2486277671389</v>
      </c>
      <c r="V250">
        <v>10.207518015580842</v>
      </c>
      <c r="W250">
        <v>1317.3066701982982</v>
      </c>
      <c r="X250">
        <v>7.2909798898018154</v>
      </c>
      <c r="Y250">
        <v>2943.0848673312626</v>
      </c>
      <c r="Z250">
        <v>10.250155783150429</v>
      </c>
      <c r="AA250">
        <v>2760.6140860769156</v>
      </c>
      <c r="AB250">
        <v>7.3151844740125513</v>
      </c>
      <c r="AC250">
        <v>2222.3531544646453</v>
      </c>
      <c r="AD250">
        <v>10.23222574095435</v>
      </c>
      <c r="AE250">
        <v>2015.9366689991059</v>
      </c>
      <c r="AF250">
        <v>7.3050146706304027</v>
      </c>
      <c r="AG250">
        <v>2167.0222213558663</v>
      </c>
      <c r="AH250">
        <v>10.222817911110875</v>
      </c>
      <c r="AI250">
        <v>1931.2233466440325</v>
      </c>
      <c r="AJ250">
        <v>7.2996735688683314</v>
      </c>
    </row>
    <row r="251" spans="4:36" x14ac:dyDescent="0.45">
      <c r="D251">
        <v>244</v>
      </c>
      <c r="E251">
        <v>13.63465533340444</v>
      </c>
      <c r="F251">
        <v>0.48398884783490181</v>
      </c>
      <c r="G251">
        <v>0.18207139319429469</v>
      </c>
      <c r="H251">
        <v>15.699284425566383</v>
      </c>
      <c r="I251">
        <v>13.883643912174366</v>
      </c>
      <c r="J251">
        <v>0.31361296351283163</v>
      </c>
      <c r="K251">
        <v>0.11757447556872791</v>
      </c>
      <c r="L251">
        <v>15.685168648744089</v>
      </c>
      <c r="M251">
        <v>13.768352132182821</v>
      </c>
      <c r="N251">
        <v>0.39255159225774194</v>
      </c>
      <c r="O251">
        <v>0.14740140460158802</v>
      </c>
      <c r="P251">
        <v>15.691694870957859</v>
      </c>
      <c r="Q251">
        <v>13.752140278736233</v>
      </c>
      <c r="R251">
        <v>0.4036450441371302</v>
      </c>
      <c r="S251">
        <v>0.15160074498867415</v>
      </c>
      <c r="T251">
        <v>15.692613932137954</v>
      </c>
      <c r="U251">
        <v>1603.667175410357</v>
      </c>
      <c r="V251">
        <v>10.719727742165677</v>
      </c>
      <c r="W251">
        <v>1318.9614300612875</v>
      </c>
      <c r="X251">
        <v>7.5711005054593663</v>
      </c>
      <c r="Y251">
        <v>2958.8005414633894</v>
      </c>
      <c r="Z251">
        <v>10.775250714555153</v>
      </c>
      <c r="AA251">
        <v>2766.3863702531808</v>
      </c>
      <c r="AB251">
        <v>7.6022745436146577</v>
      </c>
      <c r="AC251">
        <v>2274.7965323802409</v>
      </c>
      <c r="AD251">
        <v>10.749546528817726</v>
      </c>
      <c r="AE251">
        <v>2045.9745181692065</v>
      </c>
      <c r="AF251">
        <v>7.5878550482276879</v>
      </c>
      <c r="AG251">
        <v>2154.071970313681</v>
      </c>
      <c r="AH251">
        <v>10.745931396953292</v>
      </c>
      <c r="AI251">
        <v>1915.6465767094505</v>
      </c>
      <c r="AJ251">
        <v>7.5858253266792044</v>
      </c>
    </row>
    <row r="252" spans="4:36" x14ac:dyDescent="0.45">
      <c r="D252">
        <v>245</v>
      </c>
      <c r="E252">
        <v>13.484975482672068</v>
      </c>
      <c r="F252">
        <v>0.51538698206300981</v>
      </c>
      <c r="G252">
        <v>0.14689918133637628</v>
      </c>
      <c r="H252">
        <v>15.852738353928554</v>
      </c>
      <c r="I252">
        <v>13.721186223862107</v>
      </c>
      <c r="J252">
        <v>0.33549673988199064</v>
      </c>
      <c r="K252">
        <v>9.5342632078268832E-2</v>
      </c>
      <c r="L252">
        <v>15.847974404177625</v>
      </c>
      <c r="M252">
        <v>13.607771821153738</v>
      </c>
      <c r="N252">
        <v>0.42190449776280292</v>
      </c>
      <c r="O252">
        <v>0.12006837974093128</v>
      </c>
      <c r="P252">
        <v>15.850255301342527</v>
      </c>
      <c r="Q252">
        <v>13.563956865315582</v>
      </c>
      <c r="R252">
        <v>0.45526875401100436</v>
      </c>
      <c r="S252">
        <v>0.12963471980367264</v>
      </c>
      <c r="T252">
        <v>15.851139660869736</v>
      </c>
      <c r="U252">
        <v>1590.2516030719707</v>
      </c>
      <c r="V252">
        <v>10.598549516808692</v>
      </c>
      <c r="W252">
        <v>1310.8759825637799</v>
      </c>
      <c r="X252">
        <v>7.5001146251752644</v>
      </c>
      <c r="Y252">
        <v>2926.7972260420879</v>
      </c>
      <c r="Z252">
        <v>10.643256883726306</v>
      </c>
      <c r="AA252">
        <v>2744.5633949732992</v>
      </c>
      <c r="AB252">
        <v>7.5252562871018833</v>
      </c>
      <c r="AC252">
        <v>2268.8340806989449</v>
      </c>
      <c r="AD252">
        <v>10.62179552982936</v>
      </c>
      <c r="AE252">
        <v>2042.6593884111671</v>
      </c>
      <c r="AF252">
        <v>7.5131968588174951</v>
      </c>
      <c r="AG252">
        <v>2176.1370773990984</v>
      </c>
      <c r="AH252">
        <v>10.613502240171407</v>
      </c>
      <c r="AI252">
        <v>1930.8395572802453</v>
      </c>
      <c r="AJ252">
        <v>7.5085320169540113</v>
      </c>
    </row>
    <row r="253" spans="4:36" x14ac:dyDescent="0.45">
      <c r="D253">
        <v>246</v>
      </c>
      <c r="E253">
        <v>11.398720781958149</v>
      </c>
      <c r="F253">
        <v>0.41726068323064075</v>
      </c>
      <c r="G253">
        <v>0.16346540684670358</v>
      </c>
      <c r="H253">
        <v>18.020553127964504</v>
      </c>
      <c r="I253">
        <v>11.604935921922115</v>
      </c>
      <c r="J253">
        <v>0.26018328359358645</v>
      </c>
      <c r="K253">
        <v>0.10160466134999575</v>
      </c>
      <c r="L253">
        <v>18.033276133134315</v>
      </c>
      <c r="M253">
        <v>11.530064274036487</v>
      </c>
      <c r="N253">
        <v>0.31724162458940453</v>
      </c>
      <c r="O253">
        <v>0.12402941637730874</v>
      </c>
      <c r="P253">
        <v>18.028664684996794</v>
      </c>
      <c r="Q253">
        <v>11.494368001855971</v>
      </c>
      <c r="R253">
        <v>0.34443415740126732</v>
      </c>
      <c r="S253">
        <v>0.13473492179227214</v>
      </c>
      <c r="T253">
        <v>18.0264629189505</v>
      </c>
      <c r="U253">
        <v>1512.5857146760372</v>
      </c>
      <c r="V253">
        <v>9.043338595121158</v>
      </c>
      <c r="W253">
        <v>1274.6879180126173</v>
      </c>
      <c r="X253">
        <v>6.6113501209974261</v>
      </c>
      <c r="Y253">
        <v>2856.502424642536</v>
      </c>
      <c r="Z253">
        <v>9.0767694685587408</v>
      </c>
      <c r="AA253">
        <v>2707.5488859602515</v>
      </c>
      <c r="AB253">
        <v>6.6317353338939187</v>
      </c>
      <c r="AC253">
        <v>2161.045565746103</v>
      </c>
      <c r="AD253">
        <v>9.0646265396938546</v>
      </c>
      <c r="AE253">
        <v>1982.3971870372231</v>
      </c>
      <c r="AF253">
        <v>6.6243411880439957</v>
      </c>
      <c r="AG253">
        <v>2065.4771690291882</v>
      </c>
      <c r="AH253">
        <v>9.0588392007514518</v>
      </c>
      <c r="AI253">
        <v>1869.8532537367601</v>
      </c>
      <c r="AJ253">
        <v>6.6208130245176351</v>
      </c>
    </row>
    <row r="254" spans="4:36" x14ac:dyDescent="0.45">
      <c r="D254">
        <v>247</v>
      </c>
      <c r="E254">
        <v>12.959247985908924</v>
      </c>
      <c r="F254">
        <v>0.45602004958418568</v>
      </c>
      <c r="G254">
        <v>0.14554472535269419</v>
      </c>
      <c r="H254">
        <v>16.439187239154222</v>
      </c>
      <c r="I254">
        <v>13.17659370130955</v>
      </c>
      <c r="J254">
        <v>0.30145711057658436</v>
      </c>
      <c r="K254">
        <v>9.5920175355537499E-2</v>
      </c>
      <c r="L254">
        <v>16.426029012758338</v>
      </c>
      <c r="M254">
        <v>13.104444038722299</v>
      </c>
      <c r="N254">
        <v>0.35279692892441639</v>
      </c>
      <c r="O254">
        <v>0.11236939973443436</v>
      </c>
      <c r="P254">
        <v>16.430389632618848</v>
      </c>
      <c r="Q254">
        <v>13.011606160747567</v>
      </c>
      <c r="R254">
        <v>0.41881210915576395</v>
      </c>
      <c r="S254">
        <v>0.13357037254865509</v>
      </c>
      <c r="T254">
        <v>16.436011357548015</v>
      </c>
      <c r="U254">
        <v>1570.9581728099881</v>
      </c>
      <c r="V254">
        <v>10.182968770700505</v>
      </c>
      <c r="W254">
        <v>1304.8788433591467</v>
      </c>
      <c r="X254">
        <v>7.2666222171900952</v>
      </c>
      <c r="Y254">
        <v>2889.8024864443191</v>
      </c>
      <c r="Z254">
        <v>10.230862167972179</v>
      </c>
      <c r="AA254">
        <v>2722.8255589600126</v>
      </c>
      <c r="AB254">
        <v>7.2936067287284025</v>
      </c>
      <c r="AC254">
        <v>2218.0445093845415</v>
      </c>
      <c r="AD254">
        <v>10.214968523063739</v>
      </c>
      <c r="AE254">
        <v>2014.0804656739947</v>
      </c>
      <c r="AF254">
        <v>7.2846606242745668</v>
      </c>
      <c r="AG254">
        <v>2185.2624644294183</v>
      </c>
      <c r="AH254">
        <v>10.194510299624207</v>
      </c>
      <c r="AI254">
        <v>1943.1515568437594</v>
      </c>
      <c r="AJ254">
        <v>7.2731323582866692</v>
      </c>
    </row>
    <row r="255" spans="4:36" x14ac:dyDescent="0.45">
      <c r="D255">
        <v>248</v>
      </c>
      <c r="E255">
        <v>12.356420329091389</v>
      </c>
      <c r="F255">
        <v>0.4805497635679809</v>
      </c>
      <c r="G255">
        <v>0.17445550128978363</v>
      </c>
      <c r="H255">
        <v>16.988574406050851</v>
      </c>
      <c r="I255">
        <v>12.594552625859066</v>
      </c>
      <c r="J255">
        <v>0.29716446198473029</v>
      </c>
      <c r="K255">
        <v>0.10750484180964379</v>
      </c>
      <c r="L255">
        <v>17.000778070346552</v>
      </c>
      <c r="M255">
        <v>12.494513512918225</v>
      </c>
      <c r="N255">
        <v>0.37424019179436069</v>
      </c>
      <c r="O255">
        <v>0.13558610516977118</v>
      </c>
      <c r="P255">
        <v>16.995660190117658</v>
      </c>
      <c r="Q255">
        <v>12.46929460017723</v>
      </c>
      <c r="R255">
        <v>0.39366210843814187</v>
      </c>
      <c r="S255">
        <v>0.14267528873305774</v>
      </c>
      <c r="T255">
        <v>16.994368002651555</v>
      </c>
      <c r="U255">
        <v>1518.3948329648215</v>
      </c>
      <c r="V255">
        <v>9.8312477148596198</v>
      </c>
      <c r="W255">
        <v>1271.7320909467326</v>
      </c>
      <c r="X255">
        <v>7.0705773822798808</v>
      </c>
      <c r="Y255">
        <v>2883.124258647832</v>
      </c>
      <c r="Z255">
        <v>9.8651398307508344</v>
      </c>
      <c r="AA255">
        <v>2722.465590485584</v>
      </c>
      <c r="AB255">
        <v>7.090814500470942</v>
      </c>
      <c r="AC255">
        <v>2199.229824187943</v>
      </c>
      <c r="AD255">
        <v>9.8508965938690167</v>
      </c>
      <c r="AE255">
        <v>2004.0532113344982</v>
      </c>
      <c r="AF255">
        <v>7.0823206351060506</v>
      </c>
      <c r="AG255">
        <v>2067.0624501129887</v>
      </c>
      <c r="AH255">
        <v>9.8473071918543624</v>
      </c>
      <c r="AI255">
        <v>1865.3305606734161</v>
      </c>
      <c r="AJ255">
        <v>7.0801776553337143</v>
      </c>
    </row>
    <row r="256" spans="4:36" x14ac:dyDescent="0.45">
      <c r="D256">
        <v>249</v>
      </c>
      <c r="E256">
        <v>13.445018290921285</v>
      </c>
      <c r="F256">
        <v>0.47442326685267983</v>
      </c>
      <c r="G256">
        <v>0.16194430223355477</v>
      </c>
      <c r="H256">
        <v>15.918614139992481</v>
      </c>
      <c r="I256">
        <v>13.720447009495086</v>
      </c>
      <c r="J256">
        <v>0.28800316710112045</v>
      </c>
      <c r="K256">
        <v>9.7944127180045137E-2</v>
      </c>
      <c r="L256">
        <v>15.89360569622376</v>
      </c>
      <c r="M256">
        <v>13.59322450551567</v>
      </c>
      <c r="N256">
        <v>0.37417172383519776</v>
      </c>
      <c r="O256">
        <v>0.12746656798415729</v>
      </c>
      <c r="P256">
        <v>15.905137202664967</v>
      </c>
      <c r="Q256">
        <v>13.560895337975342</v>
      </c>
      <c r="R256">
        <v>0.39605217339208071</v>
      </c>
      <c r="S256">
        <v>0.13497948715455216</v>
      </c>
      <c r="T256">
        <v>15.908073001478026</v>
      </c>
      <c r="U256">
        <v>1622.1414387207467</v>
      </c>
      <c r="V256">
        <v>10.602887270136467</v>
      </c>
      <c r="W256">
        <v>1331.8618618486676</v>
      </c>
      <c r="X256">
        <v>7.5121188064935298</v>
      </c>
      <c r="Y256">
        <v>2924.3534529838262</v>
      </c>
      <c r="Z256">
        <v>10.670949743549951</v>
      </c>
      <c r="AA256">
        <v>2743.3442524883594</v>
      </c>
      <c r="AB256">
        <v>7.5501024247666875</v>
      </c>
      <c r="AC256">
        <v>2293.1816554228562</v>
      </c>
      <c r="AD256">
        <v>10.63952205444088</v>
      </c>
      <c r="AE256">
        <v>2059.6612046431214</v>
      </c>
      <c r="AF256">
        <v>7.5325799410015772</v>
      </c>
      <c r="AG256">
        <v>2192.6413388962751</v>
      </c>
      <c r="AH256">
        <v>10.631532844742935</v>
      </c>
      <c r="AI256">
        <v>1942.8480625196335</v>
      </c>
      <c r="AJ256">
        <v>7.528121108578933</v>
      </c>
    </row>
    <row r="257" spans="4:36" x14ac:dyDescent="0.45">
      <c r="D257">
        <v>250</v>
      </c>
      <c r="E257">
        <v>12.753131218375065</v>
      </c>
      <c r="F257">
        <v>0.45186771771467305</v>
      </c>
      <c r="G257">
        <v>0.18301265771070468</v>
      </c>
      <c r="H257">
        <v>16.611988406199565</v>
      </c>
      <c r="I257">
        <v>12.936166362585675</v>
      </c>
      <c r="J257">
        <v>0.31928918357261399</v>
      </c>
      <c r="K257">
        <v>0.12896833497525842</v>
      </c>
      <c r="L257">
        <v>16.61557611886645</v>
      </c>
      <c r="M257">
        <v>12.883385009241396</v>
      </c>
      <c r="N257">
        <v>0.35754063074248049</v>
      </c>
      <c r="O257">
        <v>0.14453083546258705</v>
      </c>
      <c r="P257">
        <v>16.614543524553532</v>
      </c>
      <c r="Q257">
        <v>12.821671615151216</v>
      </c>
      <c r="R257">
        <v>0.40224462408196865</v>
      </c>
      <c r="S257">
        <v>0.16274960776979294</v>
      </c>
      <c r="T257">
        <v>16.613334152997037</v>
      </c>
      <c r="U257">
        <v>1552.3531309647433</v>
      </c>
      <c r="V257">
        <v>9.9959286356564068</v>
      </c>
      <c r="W257">
        <v>1289.039516279031</v>
      </c>
      <c r="X257">
        <v>7.1495158555675964</v>
      </c>
      <c r="Y257">
        <v>2910.6115362674691</v>
      </c>
      <c r="Z257">
        <v>10.027103929994693</v>
      </c>
      <c r="AA257">
        <v>2734.4076871473599</v>
      </c>
      <c r="AB257">
        <v>7.1677561118315891</v>
      </c>
      <c r="AC257">
        <v>2246.960791835806</v>
      </c>
      <c r="AD257">
        <v>10.018112598759199</v>
      </c>
      <c r="AE257">
        <v>2032.3470514259234</v>
      </c>
      <c r="AF257">
        <v>7.1625010556552349</v>
      </c>
      <c r="AG257">
        <v>2152.8870601585245</v>
      </c>
      <c r="AH257">
        <v>10.007601119798469</v>
      </c>
      <c r="AI257">
        <v>1918.6426199462317</v>
      </c>
      <c r="AJ257">
        <v>7.1563517449812668</v>
      </c>
    </row>
    <row r="258" spans="4:36" x14ac:dyDescent="0.45">
      <c r="D258">
        <v>251</v>
      </c>
      <c r="E258">
        <v>12.461692419473209</v>
      </c>
      <c r="F258">
        <v>0.41421250925081832</v>
      </c>
      <c r="G258">
        <v>0.16668382280259536</v>
      </c>
      <c r="H258">
        <v>16.957411248473381</v>
      </c>
      <c r="I258">
        <v>12.669027089278829</v>
      </c>
      <c r="J258">
        <v>0.27273576197472366</v>
      </c>
      <c r="K258">
        <v>0.10941283016501757</v>
      </c>
      <c r="L258">
        <v>16.948824318581423</v>
      </c>
      <c r="M258">
        <v>12.571596365811406</v>
      </c>
      <c r="N258">
        <v>0.33925370017325801</v>
      </c>
      <c r="O258">
        <v>0.13629505355815544</v>
      </c>
      <c r="P258">
        <v>16.952854880457167</v>
      </c>
      <c r="Q258">
        <v>12.541039478070385</v>
      </c>
      <c r="R258">
        <v>0.36010269888041774</v>
      </c>
      <c r="S258">
        <v>0.14473717176557602</v>
      </c>
      <c r="T258">
        <v>16.954120651283624</v>
      </c>
      <c r="U258">
        <v>1568.9834170992283</v>
      </c>
      <c r="V258">
        <v>9.8337284752641878</v>
      </c>
      <c r="W258">
        <v>1305.7826480213698</v>
      </c>
      <c r="X258">
        <v>7.0716969755994308</v>
      </c>
      <c r="Y258">
        <v>2903.1846237502341</v>
      </c>
      <c r="Z258">
        <v>9.8800750834662416</v>
      </c>
      <c r="AA258">
        <v>2733.9440953819044</v>
      </c>
      <c r="AB258">
        <v>7.098294548405355</v>
      </c>
      <c r="AC258">
        <v>2242.0080899540235</v>
      </c>
      <c r="AD258">
        <v>9.8582986062379963</v>
      </c>
      <c r="AE258">
        <v>2031.5708449529907</v>
      </c>
      <c r="AF258">
        <v>7.0858078750941527</v>
      </c>
      <c r="AG258">
        <v>2143.96729222974</v>
      </c>
      <c r="AH258">
        <v>9.8514679267861052</v>
      </c>
      <c r="AI258">
        <v>1917.0911250047943</v>
      </c>
      <c r="AJ258">
        <v>7.0818873309785095</v>
      </c>
    </row>
    <row r="259" spans="4:36" x14ac:dyDescent="0.45">
      <c r="D259">
        <v>252</v>
      </c>
      <c r="E259">
        <v>12.928821908958305</v>
      </c>
      <c r="F259">
        <v>0.45130870126382661</v>
      </c>
      <c r="G259">
        <v>0.17531341005150194</v>
      </c>
      <c r="H259">
        <v>16.444555979726367</v>
      </c>
      <c r="I259">
        <v>13.137165446869608</v>
      </c>
      <c r="J259">
        <v>0.29941561693860369</v>
      </c>
      <c r="K259">
        <v>0.11595162946537244</v>
      </c>
      <c r="L259">
        <v>16.44746730672642</v>
      </c>
      <c r="M259">
        <v>13.046721231844328</v>
      </c>
      <c r="N259">
        <v>0.36538460736517125</v>
      </c>
      <c r="O259">
        <v>0.14168755760276203</v>
      </c>
      <c r="P259">
        <v>16.446206603187751</v>
      </c>
      <c r="Q259">
        <v>13.007933692526638</v>
      </c>
      <c r="R259">
        <v>0.39366148703277681</v>
      </c>
      <c r="S259">
        <v>0.15274034623785157</v>
      </c>
      <c r="T259">
        <v>16.445664474202722</v>
      </c>
      <c r="U259">
        <v>1537.3811256023937</v>
      </c>
      <c r="V259">
        <v>10.156030831488202</v>
      </c>
      <c r="W259">
        <v>1279.8131909675617</v>
      </c>
      <c r="X259">
        <v>7.2455204414735732</v>
      </c>
      <c r="Y259">
        <v>2914.5965052049428</v>
      </c>
      <c r="Z259">
        <v>10.19065393695867</v>
      </c>
      <c r="AA259">
        <v>2739.9195477683365</v>
      </c>
      <c r="AB259">
        <v>7.26563258447751</v>
      </c>
      <c r="AC259">
        <v>2215.8788951307179</v>
      </c>
      <c r="AD259">
        <v>10.175622200333377</v>
      </c>
      <c r="AE259">
        <v>2010.6045732621803</v>
      </c>
      <c r="AF259">
        <v>7.2569090163059879</v>
      </c>
      <c r="AG259">
        <v>2119.3999677184461</v>
      </c>
      <c r="AH259">
        <v>10.169176437712821</v>
      </c>
      <c r="AI259">
        <v>1896.5846514552616</v>
      </c>
      <c r="AJ259">
        <v>7.2531644271703932</v>
      </c>
    </row>
    <row r="260" spans="4:36" x14ac:dyDescent="0.45">
      <c r="D260">
        <v>253</v>
      </c>
      <c r="E260">
        <v>11.505610566811161</v>
      </c>
      <c r="F260">
        <v>0.40321061704566585</v>
      </c>
      <c r="G260">
        <v>0.16732293279892424</v>
      </c>
      <c r="H260">
        <v>17.923855883344256</v>
      </c>
      <c r="I260">
        <v>11.67061645087354</v>
      </c>
      <c r="J260">
        <v>0.2731928684183656</v>
      </c>
      <c r="K260">
        <v>0.11307459400475656</v>
      </c>
      <c r="L260">
        <v>17.943116086703331</v>
      </c>
      <c r="M260">
        <v>11.597847877363925</v>
      </c>
      <c r="N260">
        <v>0.33054842489643421</v>
      </c>
      <c r="O260">
        <v>0.13697034955488827</v>
      </c>
      <c r="P260">
        <v>17.93463334818475</v>
      </c>
      <c r="Q260">
        <v>11.548222852569275</v>
      </c>
      <c r="R260">
        <v>0.36964711700474095</v>
      </c>
      <c r="S260">
        <v>0.15329159330116382</v>
      </c>
      <c r="T260">
        <v>17.928838437124803</v>
      </c>
      <c r="U260">
        <v>1487.8810793185435</v>
      </c>
      <c r="V260">
        <v>9.1246857113075315</v>
      </c>
      <c r="W260">
        <v>1254.812320376217</v>
      </c>
      <c r="X260">
        <v>6.6586953070927581</v>
      </c>
      <c r="Y260">
        <v>2872.7264295947002</v>
      </c>
      <c r="Z260">
        <v>9.1461491268744446</v>
      </c>
      <c r="AA260">
        <v>2716.4775428601965</v>
      </c>
      <c r="AB260">
        <v>6.6722920553694944</v>
      </c>
      <c r="AC260">
        <v>2186.9666301237653</v>
      </c>
      <c r="AD260">
        <v>9.1366770510616941</v>
      </c>
      <c r="AE260">
        <v>1998.0365726817349</v>
      </c>
      <c r="AF260">
        <v>6.6662985566853354</v>
      </c>
      <c r="AG260">
        <v>2090.7226853049301</v>
      </c>
      <c r="AH260">
        <v>9.1302234502310853</v>
      </c>
      <c r="AI260">
        <v>1883.7413938155644</v>
      </c>
      <c r="AJ260">
        <v>6.6622087686788625</v>
      </c>
    </row>
    <row r="261" spans="4:36" x14ac:dyDescent="0.45">
      <c r="D261">
        <v>254</v>
      </c>
      <c r="E261">
        <v>12.094000388123623</v>
      </c>
      <c r="F261">
        <v>0.45804346306783161</v>
      </c>
      <c r="G261">
        <v>0.17853615848451143</v>
      </c>
      <c r="H261">
        <v>17.269419990324021</v>
      </c>
      <c r="I261">
        <v>12.307117922528382</v>
      </c>
      <c r="J261">
        <v>0.30123833496488112</v>
      </c>
      <c r="K261">
        <v>0.11704344811795675</v>
      </c>
      <c r="L261">
        <v>17.274600294388787</v>
      </c>
      <c r="M261">
        <v>12.239496142723535</v>
      </c>
      <c r="N261">
        <v>0.35102108821902284</v>
      </c>
      <c r="O261">
        <v>0.13652326257632985</v>
      </c>
      <c r="P261">
        <v>17.272959506481122</v>
      </c>
      <c r="Q261">
        <v>12.207246326324666</v>
      </c>
      <c r="R261">
        <v>0.37475382608314201</v>
      </c>
      <c r="S261">
        <v>0.14582380617436744</v>
      </c>
      <c r="T261">
        <v>17.272176041417811</v>
      </c>
      <c r="U261">
        <v>1558.9670813896539</v>
      </c>
      <c r="V261">
        <v>9.5867148786440826</v>
      </c>
      <c r="W261">
        <v>1295.8816519265033</v>
      </c>
      <c r="X261">
        <v>6.9277441197284038</v>
      </c>
      <c r="Y261">
        <v>2911.8915200649608</v>
      </c>
      <c r="Z261">
        <v>9.6273046084777327</v>
      </c>
      <c r="AA261">
        <v>2738.4796367034492</v>
      </c>
      <c r="AB261">
        <v>6.9516635079773232</v>
      </c>
      <c r="AC261">
        <v>2239.3267585993144</v>
      </c>
      <c r="AD261">
        <v>9.6144239795404669</v>
      </c>
      <c r="AE261">
        <v>2029.540649624297</v>
      </c>
      <c r="AF261">
        <v>6.9440826811551366</v>
      </c>
      <c r="AG261">
        <v>2125.3624621154186</v>
      </c>
      <c r="AH261">
        <v>9.6082815361917007</v>
      </c>
      <c r="AI261">
        <v>1903.3361370102336</v>
      </c>
      <c r="AJ261">
        <v>6.9404644257352324</v>
      </c>
    </row>
    <row r="262" spans="4:36" x14ac:dyDescent="0.45">
      <c r="D262">
        <v>255</v>
      </c>
      <c r="E262">
        <v>12.700671479629955</v>
      </c>
      <c r="F262">
        <v>0.46595423732886077</v>
      </c>
      <c r="G262">
        <v>0.1671500332638913</v>
      </c>
      <c r="H262">
        <v>16.666224249777315</v>
      </c>
      <c r="I262">
        <v>12.910841135030875</v>
      </c>
      <c r="J262">
        <v>0.30683274987315023</v>
      </c>
      <c r="K262">
        <v>0.10974461967467826</v>
      </c>
      <c r="L262">
        <v>16.672581495421294</v>
      </c>
      <c r="M262">
        <v>12.795338309932115</v>
      </c>
      <c r="N262">
        <v>0.39431018497119075</v>
      </c>
      <c r="O262">
        <v>0.14126082327127967</v>
      </c>
      <c r="P262">
        <v>16.669090681825427</v>
      </c>
      <c r="Q262">
        <v>12.754801525465476</v>
      </c>
      <c r="R262">
        <v>0.42499438477832413</v>
      </c>
      <c r="S262">
        <v>0.15234023582487891</v>
      </c>
      <c r="T262">
        <v>16.667863853931316</v>
      </c>
      <c r="U262">
        <v>1520.8486712158337</v>
      </c>
      <c r="V262">
        <v>10.042336722370361</v>
      </c>
      <c r="W262">
        <v>1268.733968597496</v>
      </c>
      <c r="X262">
        <v>7.1896829257859638</v>
      </c>
      <c r="Y262">
        <v>2878.5793022833086</v>
      </c>
      <c r="Z262">
        <v>10.080120360557107</v>
      </c>
      <c r="AA262">
        <v>2714.7760975354668</v>
      </c>
      <c r="AB262">
        <v>7.2117861922284128</v>
      </c>
      <c r="AC262">
        <v>2225.2966716875558</v>
      </c>
      <c r="AD262">
        <v>10.059353625836245</v>
      </c>
      <c r="AE262">
        <v>2016.7276654717527</v>
      </c>
      <c r="AF262">
        <v>7.1996471924599854</v>
      </c>
      <c r="AG262">
        <v>2113.5377236534109</v>
      </c>
      <c r="AH262">
        <v>10.052066503685291</v>
      </c>
      <c r="AI262">
        <v>1891.6671486029268</v>
      </c>
      <c r="AJ262">
        <v>7.1953821203119581</v>
      </c>
    </row>
    <row r="263" spans="4:36" x14ac:dyDescent="0.45">
      <c r="D263">
        <v>256</v>
      </c>
      <c r="E263">
        <v>12.597159479035136</v>
      </c>
      <c r="F263">
        <v>0.48057301334533986</v>
      </c>
      <c r="G263">
        <v>0.17126303833620987</v>
      </c>
      <c r="H263">
        <v>16.751004469283323</v>
      </c>
      <c r="I263">
        <v>12.814574658530937</v>
      </c>
      <c r="J263">
        <v>0.31265029692394936</v>
      </c>
      <c r="K263">
        <v>0.11107261435317754</v>
      </c>
      <c r="L263">
        <v>16.761702430191939</v>
      </c>
      <c r="M263">
        <v>12.730009948808375</v>
      </c>
      <c r="N263">
        <v>0.37799319136352816</v>
      </c>
      <c r="O263">
        <v>0.13444891553234883</v>
      </c>
      <c r="P263">
        <v>16.757547944295759</v>
      </c>
      <c r="Q263">
        <v>12.666027047409418</v>
      </c>
      <c r="R263">
        <v>0.427408515052983</v>
      </c>
      <c r="S263">
        <v>0.15216535596319741</v>
      </c>
      <c r="T263">
        <v>16.754399081574412</v>
      </c>
      <c r="U263">
        <v>1506.8647437205834</v>
      </c>
      <c r="V263">
        <v>9.9450176313284562</v>
      </c>
      <c r="W263">
        <v>1262.8475230069221</v>
      </c>
      <c r="X263">
        <v>7.1273394670949655</v>
      </c>
      <c r="Y263">
        <v>2870.4511444449486</v>
      </c>
      <c r="Z263">
        <v>9.9772918740816845</v>
      </c>
      <c r="AA263">
        <v>2711.9044087563852</v>
      </c>
      <c r="AB263">
        <v>7.1464670295594059</v>
      </c>
      <c r="AC263">
        <v>2193.5222509734244</v>
      </c>
      <c r="AD263">
        <v>9.9647349433701748</v>
      </c>
      <c r="AE263">
        <v>1999.2474166538343</v>
      </c>
      <c r="AF263">
        <v>7.1390337755357036</v>
      </c>
      <c r="AG263">
        <v>2120.6484870228883</v>
      </c>
      <c r="AH263">
        <v>9.9552373109365746</v>
      </c>
      <c r="AI263">
        <v>1901.3144873035731</v>
      </c>
      <c r="AJ263">
        <v>7.1334041803476778</v>
      </c>
    </row>
    <row r="264" spans="4:36" x14ac:dyDescent="0.45">
      <c r="D264">
        <v>257</v>
      </c>
      <c r="E264">
        <v>13.403923660675048</v>
      </c>
      <c r="F264">
        <v>0.48007992700720681</v>
      </c>
      <c r="G264">
        <v>0.17380060326300717</v>
      </c>
      <c r="H264">
        <v>15.942195809054731</v>
      </c>
      <c r="I264">
        <v>13.661756362809562</v>
      </c>
      <c r="J264">
        <v>0.30138355726907251</v>
      </c>
      <c r="K264">
        <v>0.10873846731700222</v>
      </c>
      <c r="L264">
        <v>15.928121612604356</v>
      </c>
      <c r="M264">
        <v>13.590666044254515</v>
      </c>
      <c r="N264">
        <v>0.35069483540007834</v>
      </c>
      <c r="O264">
        <v>0.12664764621766839</v>
      </c>
      <c r="P264">
        <v>15.931991474127758</v>
      </c>
      <c r="Q264">
        <v>13.506068115549139</v>
      </c>
      <c r="R264">
        <v>0.4093353906948668</v>
      </c>
      <c r="S264">
        <v>0.14798927370145562</v>
      </c>
      <c r="T264">
        <v>15.936607220054549</v>
      </c>
      <c r="U264">
        <v>1566.0050677901147</v>
      </c>
      <c r="V264">
        <v>10.626468662439077</v>
      </c>
      <c r="W264">
        <v>1295.995048145104</v>
      </c>
      <c r="X264">
        <v>7.5309166256569355</v>
      </c>
      <c r="Y264">
        <v>2899.5711445364386</v>
      </c>
      <c r="Z264">
        <v>10.684161944769627</v>
      </c>
      <c r="AA264">
        <v>2727.5442413678543</v>
      </c>
      <c r="AB264">
        <v>7.5632510603893843</v>
      </c>
      <c r="AC264">
        <v>2254.2373755122658</v>
      </c>
      <c r="AD264">
        <v>10.668260746168293</v>
      </c>
      <c r="AE264">
        <v>2037.2061546390798</v>
      </c>
      <c r="AF264">
        <v>7.5543498091628978</v>
      </c>
      <c r="AG264">
        <v>2153.7878946711076</v>
      </c>
      <c r="AH264">
        <v>10.649332145503863</v>
      </c>
      <c r="AI264">
        <v>1918.06552165169</v>
      </c>
      <c r="AJ264">
        <v>7.5437433519052206</v>
      </c>
    </row>
    <row r="265" spans="4:36" x14ac:dyDescent="0.45">
      <c r="D265">
        <v>258</v>
      </c>
      <c r="E265">
        <v>11.671994745351148</v>
      </c>
      <c r="F265">
        <v>0.39178212896185965</v>
      </c>
      <c r="G265">
        <v>0.17577725337566913</v>
      </c>
      <c r="H265">
        <v>17.760445872311333</v>
      </c>
      <c r="I265">
        <v>11.872350595174598</v>
      </c>
      <c r="J265">
        <v>0.25228795077987537</v>
      </c>
      <c r="K265">
        <v>0.11281966380291071</v>
      </c>
      <c r="L265">
        <v>17.762541790242604</v>
      </c>
      <c r="M265">
        <v>11.822623903040501</v>
      </c>
      <c r="N265">
        <v>0.28693394902582903</v>
      </c>
      <c r="O265">
        <v>0.12841721558398755</v>
      </c>
      <c r="P265">
        <v>17.762024932349693</v>
      </c>
      <c r="Q265">
        <v>11.744707399665531</v>
      </c>
      <c r="R265">
        <v>0.34118790963845835</v>
      </c>
      <c r="S265">
        <v>0.1528940277509539</v>
      </c>
      <c r="T265">
        <v>17.761210662945061</v>
      </c>
      <c r="U265">
        <v>1486.7156721388069</v>
      </c>
      <c r="V265">
        <v>9.2804362134531893</v>
      </c>
      <c r="W265">
        <v>1254.2924375684042</v>
      </c>
      <c r="X265">
        <v>6.7559197019212389</v>
      </c>
      <c r="Y265">
        <v>2853.3773269431372</v>
      </c>
      <c r="Z265">
        <v>9.3175658451057455</v>
      </c>
      <c r="AA265">
        <v>2703.6744047018783</v>
      </c>
      <c r="AB265">
        <v>6.7780039232240794</v>
      </c>
      <c r="AC265">
        <v>2178.0800452092335</v>
      </c>
      <c r="AD265">
        <v>9.3083488081077963</v>
      </c>
      <c r="AE265">
        <v>1994.7622586210298</v>
      </c>
      <c r="AF265">
        <v>6.7725295656468596</v>
      </c>
      <c r="AG265">
        <v>2096.6073986643441</v>
      </c>
      <c r="AH265">
        <v>9.2939090130610644</v>
      </c>
      <c r="AI265">
        <v>1889.9450857702275</v>
      </c>
      <c r="AJ265">
        <v>6.7639428701898332</v>
      </c>
    </row>
    <row r="266" spans="4:36" x14ac:dyDescent="0.45">
      <c r="D266">
        <v>259</v>
      </c>
      <c r="E266">
        <v>11.692674421494763</v>
      </c>
      <c r="F266">
        <v>0.41948023771225229</v>
      </c>
      <c r="G266">
        <v>0.15625578642320131</v>
      </c>
      <c r="H266">
        <v>17.731589554369762</v>
      </c>
      <c r="I266">
        <v>11.887574106973096</v>
      </c>
      <c r="J266">
        <v>0.27161131236181468</v>
      </c>
      <c r="K266">
        <v>0.10087034585078818</v>
      </c>
      <c r="L266">
        <v>17.73994423481431</v>
      </c>
      <c r="M266">
        <v>11.808521653943275</v>
      </c>
      <c r="N266">
        <v>0.3316132540871255</v>
      </c>
      <c r="O266">
        <v>0.12330377058360109</v>
      </c>
      <c r="P266">
        <v>17.736561321386002</v>
      </c>
      <c r="Q266">
        <v>11.780495166264613</v>
      </c>
      <c r="R266">
        <v>0.35287744974423041</v>
      </c>
      <c r="S266">
        <v>0.13126729945192619</v>
      </c>
      <c r="T266">
        <v>17.735360084539245</v>
      </c>
      <c r="U266">
        <v>1513.6429276949905</v>
      </c>
      <c r="V266">
        <v>9.2767234216582093</v>
      </c>
      <c r="W266">
        <v>1271.1292190076965</v>
      </c>
      <c r="X266">
        <v>6.7495243394490343</v>
      </c>
      <c r="Y266">
        <v>2870.9902196045241</v>
      </c>
      <c r="Z266">
        <v>9.3077075063428101</v>
      </c>
      <c r="AA266">
        <v>2714.5721158804936</v>
      </c>
      <c r="AB266">
        <v>6.7680624441364863</v>
      </c>
      <c r="AC266">
        <v>2207.4360807955359</v>
      </c>
      <c r="AD266">
        <v>9.2951376053944035</v>
      </c>
      <c r="AE266">
        <v>2011.9830991801396</v>
      </c>
      <c r="AF266">
        <v>6.7605501380268702</v>
      </c>
      <c r="AG266">
        <v>2094.637499346587</v>
      </c>
      <c r="AH266">
        <v>9.2906820355763049</v>
      </c>
      <c r="AI266">
        <v>1887.0752419847252</v>
      </c>
      <c r="AJ266">
        <v>6.7578845608325553</v>
      </c>
    </row>
    <row r="267" spans="4:36" x14ac:dyDescent="0.45">
      <c r="D267">
        <v>260</v>
      </c>
      <c r="E267">
        <v>14.383629235170309</v>
      </c>
      <c r="F267">
        <v>0.50281544374134279</v>
      </c>
      <c r="G267">
        <v>0.17058438063111922</v>
      </c>
      <c r="H267">
        <v>14.942970940457238</v>
      </c>
      <c r="I267">
        <v>14.676122785108591</v>
      </c>
      <c r="J267">
        <v>0.31580904105476004</v>
      </c>
      <c r="K267">
        <v>0.10672542320081724</v>
      </c>
      <c r="L267">
        <v>14.90134275063582</v>
      </c>
      <c r="M267">
        <v>14.551024102809489</v>
      </c>
      <c r="N267">
        <v>0.39585941611174447</v>
      </c>
      <c r="O267">
        <v>0.13399925119137712</v>
      </c>
      <c r="P267">
        <v>14.919117229887402</v>
      </c>
      <c r="Q267">
        <v>14.496336828955974</v>
      </c>
      <c r="R267">
        <v>0.4308217544203557</v>
      </c>
      <c r="S267">
        <v>0.14594008823061005</v>
      </c>
      <c r="T267">
        <v>14.926901328393061</v>
      </c>
      <c r="U267">
        <v>1655.7413680519762</v>
      </c>
      <c r="V267">
        <v>11.404245820210944</v>
      </c>
      <c r="W267">
        <v>1351.7752006503752</v>
      </c>
      <c r="X267">
        <v>7.9755775982318236</v>
      </c>
      <c r="Y267">
        <v>2973.3936770181767</v>
      </c>
      <c r="Z267">
        <v>11.48546672505592</v>
      </c>
      <c r="AA267">
        <v>2774.5668298475503</v>
      </c>
      <c r="AB267">
        <v>8.0199500515414837</v>
      </c>
      <c r="AC267">
        <v>2275.9859285619468</v>
      </c>
      <c r="AD267">
        <v>11.450746004969627</v>
      </c>
      <c r="AE267">
        <v>2044.5247976206854</v>
      </c>
      <c r="AF267">
        <v>8.0009986601193077</v>
      </c>
      <c r="AG267">
        <v>2196.7494599946158</v>
      </c>
      <c r="AH267">
        <v>11.43555967335738</v>
      </c>
      <c r="AI267">
        <v>1941.6404464517966</v>
      </c>
      <c r="AJ267">
        <v>7.9927015752535304</v>
      </c>
    </row>
    <row r="268" spans="4:36" x14ac:dyDescent="0.45">
      <c r="D268">
        <v>261</v>
      </c>
      <c r="E268">
        <v>12.785076849475239</v>
      </c>
      <c r="F268">
        <v>0.51365882233436577</v>
      </c>
      <c r="G268">
        <v>0.1741077447059475</v>
      </c>
      <c r="H268">
        <v>16.527156583484452</v>
      </c>
      <c r="I268">
        <v>13.038970867682028</v>
      </c>
      <c r="J268">
        <v>0.31935234804644047</v>
      </c>
      <c r="K268">
        <v>0.10784265636738208</v>
      </c>
      <c r="L268">
        <v>16.533834127904157</v>
      </c>
      <c r="M268">
        <v>12.93372233007868</v>
      </c>
      <c r="N268">
        <v>0.39993995971801838</v>
      </c>
      <c r="O268">
        <v>0.13526478112575696</v>
      </c>
      <c r="P268">
        <v>16.531072929077528</v>
      </c>
      <c r="Q268">
        <v>12.930604970880788</v>
      </c>
      <c r="R268">
        <v>0.4023260199872149</v>
      </c>
      <c r="S268">
        <v>0.136078011991138</v>
      </c>
      <c r="T268">
        <v>16.530990997140862</v>
      </c>
      <c r="U268">
        <v>1610.6689339074435</v>
      </c>
      <c r="V268">
        <v>10.13433894321105</v>
      </c>
      <c r="W268">
        <v>1329.0882657067036</v>
      </c>
      <c r="X268">
        <v>7.2413964950940715</v>
      </c>
      <c r="Y268">
        <v>2922.6898271732261</v>
      </c>
      <c r="Z268">
        <v>10.179580482238553</v>
      </c>
      <c r="AA268">
        <v>2744.9798472305515</v>
      </c>
      <c r="AB268">
        <v>7.2679252400366527</v>
      </c>
      <c r="AC268">
        <v>2254.9766929879606</v>
      </c>
      <c r="AD268">
        <v>10.1608218174391</v>
      </c>
      <c r="AE268">
        <v>2036.9988509310515</v>
      </c>
      <c r="AF268">
        <v>7.2569391837558284</v>
      </c>
      <c r="AG268">
        <v>2149.9689171257091</v>
      </c>
      <c r="AH268">
        <v>10.160266297629573</v>
      </c>
      <c r="AI268">
        <v>1918.8711155804103</v>
      </c>
      <c r="AJ268">
        <v>7.2566135494401793</v>
      </c>
    </row>
    <row r="269" spans="4:36" x14ac:dyDescent="0.45">
      <c r="D269">
        <v>262</v>
      </c>
      <c r="E269">
        <v>11.796806594060541</v>
      </c>
      <c r="F269">
        <v>0.38632623447101039</v>
      </c>
      <c r="G269">
        <v>0.13169254805603525</v>
      </c>
      <c r="H269">
        <v>17.685174623412419</v>
      </c>
      <c r="I269">
        <v>11.979437437781671</v>
      </c>
      <c r="J269">
        <v>0.25520147439143881</v>
      </c>
      <c r="K269">
        <v>8.6752421041883174E-2</v>
      </c>
      <c r="L269">
        <v>17.678608666785006</v>
      </c>
      <c r="M269">
        <v>11.89993975686971</v>
      </c>
      <c r="N269">
        <v>0.31230449304410424</v>
      </c>
      <c r="O269">
        <v>0.10629208282179027</v>
      </c>
      <c r="P269">
        <v>17.681463667264403</v>
      </c>
      <c r="Q269">
        <v>11.872607747823572</v>
      </c>
      <c r="R269">
        <v>0.3319279602584822</v>
      </c>
      <c r="S269">
        <v>0.11301794714182638</v>
      </c>
      <c r="T269">
        <v>17.6824463447761</v>
      </c>
      <c r="U269">
        <v>1455.1007155657778</v>
      </c>
      <c r="V269">
        <v>9.2890796245075204</v>
      </c>
      <c r="W269">
        <v>1233.7321902872243</v>
      </c>
      <c r="X269">
        <v>6.7541431412511113</v>
      </c>
      <c r="Y269">
        <v>2851.4645221977839</v>
      </c>
      <c r="Z269">
        <v>9.3280477885858826</v>
      </c>
      <c r="AA269">
        <v>2703.4445389132939</v>
      </c>
      <c r="AB269">
        <v>6.7768056393471943</v>
      </c>
      <c r="AC269">
        <v>2198.415577368974</v>
      </c>
      <c r="AD269">
        <v>9.3110869711257465</v>
      </c>
      <c r="AE269">
        <v>2009.1309300512455</v>
      </c>
      <c r="AF269">
        <v>6.7669503997893443</v>
      </c>
      <c r="AG269">
        <v>2054.2528328371222</v>
      </c>
      <c r="AH269">
        <v>9.3052550880049996</v>
      </c>
      <c r="AI269">
        <v>1861.5768489691313</v>
      </c>
      <c r="AJ269">
        <v>6.7635586900786384</v>
      </c>
    </row>
    <row r="270" spans="4:36" x14ac:dyDescent="0.45">
      <c r="D270">
        <v>263</v>
      </c>
      <c r="E270">
        <v>12.612686768058124</v>
      </c>
      <c r="F270">
        <v>0.46481756018790665</v>
      </c>
      <c r="G270">
        <v>0.17175074539576848</v>
      </c>
      <c r="H270">
        <v>16.750744926358202</v>
      </c>
      <c r="I270">
        <v>12.840931123717564</v>
      </c>
      <c r="J270">
        <v>0.29603625486200169</v>
      </c>
      <c r="K270">
        <v>0.1090313178119679</v>
      </c>
      <c r="L270">
        <v>16.754001303608465</v>
      </c>
      <c r="M270">
        <v>12.738465197625677</v>
      </c>
      <c r="N270">
        <v>0.37184376440739109</v>
      </c>
      <c r="O270">
        <v>0.13715042525646959</v>
      </c>
      <c r="P270">
        <v>16.752540612710451</v>
      </c>
      <c r="Q270">
        <v>12.72310214635738</v>
      </c>
      <c r="R270">
        <v>0.38320474278340877</v>
      </c>
      <c r="S270">
        <v>0.1413716720031534</v>
      </c>
      <c r="T270">
        <v>16.752321438856061</v>
      </c>
      <c r="U270">
        <v>1546.4188341500799</v>
      </c>
      <c r="V270">
        <v>9.9588493785094894</v>
      </c>
      <c r="W270">
        <v>1286.9526951325636</v>
      </c>
      <c r="X270">
        <v>7.1382575646183524</v>
      </c>
      <c r="Y270">
        <v>2880.1632836759536</v>
      </c>
      <c r="Z270">
        <v>9.99869410706156</v>
      </c>
      <c r="AA270">
        <v>2716.5182833113349</v>
      </c>
      <c r="AB270">
        <v>7.1614283406428862</v>
      </c>
      <c r="AC270">
        <v>2254.7836216535916</v>
      </c>
      <c r="AD270">
        <v>9.9808058610251713</v>
      </c>
      <c r="AE270">
        <v>2039.4186530396328</v>
      </c>
      <c r="AF270">
        <v>7.15103633441207</v>
      </c>
      <c r="AG270">
        <v>2130.9891630784136</v>
      </c>
      <c r="AH270">
        <v>9.978123918567853</v>
      </c>
      <c r="AI270">
        <v>1907.1506510681716</v>
      </c>
      <c r="AJ270">
        <v>7.1494768199751091</v>
      </c>
    </row>
    <row r="271" spans="4:36" x14ac:dyDescent="0.45">
      <c r="D271">
        <v>264</v>
      </c>
      <c r="E271">
        <v>12.415483208897529</v>
      </c>
      <c r="F271">
        <v>0.4516397016331346</v>
      </c>
      <c r="G271">
        <v>0.16965784848402052</v>
      </c>
      <c r="H271">
        <v>16.96321924098531</v>
      </c>
      <c r="I271">
        <v>12.641775531500809</v>
      </c>
      <c r="J271">
        <v>0.29068293832063169</v>
      </c>
      <c r="K271">
        <v>0.10882713571012356</v>
      </c>
      <c r="L271">
        <v>16.958714394468448</v>
      </c>
      <c r="M271">
        <v>12.530567406385599</v>
      </c>
      <c r="N271">
        <v>0.36982225936078178</v>
      </c>
      <c r="O271">
        <v>0.13868437464803604</v>
      </c>
      <c r="P271">
        <v>16.960925959605582</v>
      </c>
      <c r="Q271">
        <v>12.548374943383742</v>
      </c>
      <c r="R271">
        <v>0.35715493514592855</v>
      </c>
      <c r="S271">
        <v>0.13389859007547519</v>
      </c>
      <c r="T271">
        <v>16.960571531394859</v>
      </c>
      <c r="U271">
        <v>1543.5463262834032</v>
      </c>
      <c r="V271">
        <v>9.8578574956544269</v>
      </c>
      <c r="W271">
        <v>1289.5854373725758</v>
      </c>
      <c r="X271">
        <v>7.089265792742669</v>
      </c>
      <c r="Y271">
        <v>2871.4607380531647</v>
      </c>
      <c r="Z271">
        <v>9.9033928829586095</v>
      </c>
      <c r="AA271">
        <v>2712.940880154023</v>
      </c>
      <c r="AB271">
        <v>7.1156034643311976</v>
      </c>
      <c r="AC271">
        <v>2219.9537463393694</v>
      </c>
      <c r="AD271">
        <v>9.881016280869769</v>
      </c>
      <c r="AE271">
        <v>2017.4047157576006</v>
      </c>
      <c r="AF271">
        <v>7.1026726714276478</v>
      </c>
      <c r="AG271">
        <v>2083.7703862803651</v>
      </c>
      <c r="AH271">
        <v>9.8845995458653331</v>
      </c>
      <c r="AI271">
        <v>1878.0447966488703</v>
      </c>
      <c r="AJ271">
        <v>7.1047448653839087</v>
      </c>
    </row>
    <row r="272" spans="4:36" x14ac:dyDescent="0.45">
      <c r="D272">
        <v>265</v>
      </c>
      <c r="E272">
        <v>11.441455421989723</v>
      </c>
      <c r="F272">
        <v>0.40699044628808534</v>
      </c>
      <c r="G272">
        <v>0.16024155229693374</v>
      </c>
      <c r="H272">
        <v>17.991312579425234</v>
      </c>
      <c r="I272">
        <v>11.610367523857891</v>
      </c>
      <c r="J272">
        <v>0.27494116758340537</v>
      </c>
      <c r="K272">
        <v>0.10797042369924068</v>
      </c>
      <c r="L272">
        <v>18.006720884859472</v>
      </c>
      <c r="M272">
        <v>11.528078446611053</v>
      </c>
      <c r="N272">
        <v>0.339290250510835</v>
      </c>
      <c r="O272">
        <v>0.13340843432150257</v>
      </c>
      <c r="P272">
        <v>17.9992228685566</v>
      </c>
      <c r="Q272">
        <v>11.508181895607683</v>
      </c>
      <c r="R272">
        <v>0.35484385318662492</v>
      </c>
      <c r="S272">
        <v>0.13956672411651155</v>
      </c>
      <c r="T272">
        <v>17.997407527089177</v>
      </c>
      <c r="U272">
        <v>1491.0116974745863</v>
      </c>
      <c r="V272">
        <v>9.0534740739431978</v>
      </c>
      <c r="W272">
        <v>1258.6020073816089</v>
      </c>
      <c r="X272">
        <v>6.6140607520049208</v>
      </c>
      <c r="Y272">
        <v>2881.3272710731376</v>
      </c>
      <c r="Z272">
        <v>9.0763260367133825</v>
      </c>
      <c r="AA272">
        <v>2723.8330875055749</v>
      </c>
      <c r="AB272">
        <v>6.6282424215205751</v>
      </c>
      <c r="AC272">
        <v>2162.3388994851935</v>
      </c>
      <c r="AD272">
        <v>9.0651883498949051</v>
      </c>
      <c r="AE272">
        <v>1980.6376024889144</v>
      </c>
      <c r="AF272">
        <v>6.6213373256312957</v>
      </c>
      <c r="AG272">
        <v>2063.7834652073084</v>
      </c>
      <c r="AH272">
        <v>9.0624967718014755</v>
      </c>
      <c r="AI272">
        <v>1866.8397882902125</v>
      </c>
      <c r="AJ272">
        <v>6.6196666724404105</v>
      </c>
    </row>
    <row r="273" spans="4:36" x14ac:dyDescent="0.45">
      <c r="D273">
        <v>266</v>
      </c>
      <c r="E273">
        <v>12.520397301321767</v>
      </c>
      <c r="F273">
        <v>0.44866440099397636</v>
      </c>
      <c r="G273">
        <v>0.16170267079118394</v>
      </c>
      <c r="H273">
        <v>16.869235626893079</v>
      </c>
      <c r="I273">
        <v>12.728895791626911</v>
      </c>
      <c r="J273">
        <v>0.29541594483325589</v>
      </c>
      <c r="K273">
        <v>0.10614579864215923</v>
      </c>
      <c r="L273">
        <v>16.869542464897677</v>
      </c>
      <c r="M273">
        <v>12.660820746215505</v>
      </c>
      <c r="N273">
        <v>0.34547922052528574</v>
      </c>
      <c r="O273">
        <v>0.12425732112169288</v>
      </c>
      <c r="P273">
        <v>16.869442712137516</v>
      </c>
      <c r="Q273">
        <v>12.611429751168899</v>
      </c>
      <c r="R273">
        <v>0.38178540139362582</v>
      </c>
      <c r="S273">
        <v>0.1374147696779926</v>
      </c>
      <c r="T273">
        <v>16.869370077759484</v>
      </c>
      <c r="U273">
        <v>1505.2810886347634</v>
      </c>
      <c r="V273">
        <v>9.8783654092907831</v>
      </c>
      <c r="W273">
        <v>1260.5879508147004</v>
      </c>
      <c r="X273">
        <v>7.0932444483445396</v>
      </c>
      <c r="Y273">
        <v>2886.9763499752225</v>
      </c>
      <c r="Z273">
        <v>9.9179092332104375</v>
      </c>
      <c r="AA273">
        <v>2722.8409113158864</v>
      </c>
      <c r="AB273">
        <v>7.1162530998308426</v>
      </c>
      <c r="AC273">
        <v>2200.9484823573748</v>
      </c>
      <c r="AD273">
        <v>9.9049976040950405</v>
      </c>
      <c r="AE273">
        <v>2004.311407850646</v>
      </c>
      <c r="AF273">
        <v>7.1087489965526229</v>
      </c>
      <c r="AG273">
        <v>2105.4694410562806</v>
      </c>
      <c r="AH273">
        <v>9.8956300455322008</v>
      </c>
      <c r="AI273">
        <v>1890.6656762429336</v>
      </c>
      <c r="AJ273">
        <v>7.1032995008920183</v>
      </c>
    </row>
    <row r="274" spans="4:36" x14ac:dyDescent="0.45">
      <c r="D274">
        <v>267</v>
      </c>
      <c r="E274">
        <v>12.486649807470776</v>
      </c>
      <c r="F274">
        <v>0.43622244990935943</v>
      </c>
      <c r="G274">
        <v>0.16277658298017175</v>
      </c>
      <c r="H274">
        <v>16.91435115963969</v>
      </c>
      <c r="I274">
        <v>12.713145167802484</v>
      </c>
      <c r="J274">
        <v>0.27459742500460516</v>
      </c>
      <c r="K274">
        <v>0.10212280572104333</v>
      </c>
      <c r="L274">
        <v>16.910134601471853</v>
      </c>
      <c r="M274">
        <v>12.604151537520071</v>
      </c>
      <c r="N274">
        <v>0.35241332451296975</v>
      </c>
      <c r="O274">
        <v>0.13127358184652901</v>
      </c>
      <c r="P274">
        <v>16.912161556120441</v>
      </c>
      <c r="Q274">
        <v>12.560406620706633</v>
      </c>
      <c r="R274">
        <v>0.38362465399571355</v>
      </c>
      <c r="S274">
        <v>0.14299253698416434</v>
      </c>
      <c r="T274">
        <v>16.912976188313504</v>
      </c>
      <c r="U274">
        <v>1545.3114339290244</v>
      </c>
      <c r="V274">
        <v>9.8276474510710337</v>
      </c>
      <c r="W274">
        <v>1288.9489235594465</v>
      </c>
      <c r="X274">
        <v>7.0616809297416143</v>
      </c>
      <c r="Y274">
        <v>2903.3335167930245</v>
      </c>
      <c r="Z274">
        <v>9.8724766917797631</v>
      </c>
      <c r="AA274">
        <v>2735.2565989746399</v>
      </c>
      <c r="AB274">
        <v>7.0875520912237944</v>
      </c>
      <c r="AC274">
        <v>2241.8994310030871</v>
      </c>
      <c r="AD274">
        <v>9.8509054188226859</v>
      </c>
      <c r="AE274">
        <v>2032.1196758647357</v>
      </c>
      <c r="AF274">
        <v>7.0751146694533249</v>
      </c>
      <c r="AG274">
        <v>2130.1753935020683</v>
      </c>
      <c r="AH274">
        <v>9.8422470156889208</v>
      </c>
      <c r="AI274">
        <v>1907.033949289035</v>
      </c>
      <c r="AJ274">
        <v>7.0701165068017691</v>
      </c>
    </row>
    <row r="275" spans="4:36" x14ac:dyDescent="0.45">
      <c r="D275">
        <v>268</v>
      </c>
      <c r="E275">
        <v>13.041117559927816</v>
      </c>
      <c r="F275">
        <v>0.47694087781985045</v>
      </c>
      <c r="G275">
        <v>0.17634881869179839</v>
      </c>
      <c r="H275">
        <v>16.305592743560528</v>
      </c>
      <c r="I275">
        <v>13.285526099269207</v>
      </c>
      <c r="J275">
        <v>0.29984894621128233</v>
      </c>
      <c r="K275">
        <v>0.11047590405144708</v>
      </c>
      <c r="L275">
        <v>16.304149050468059</v>
      </c>
      <c r="M275">
        <v>13.167529082881742</v>
      </c>
      <c r="N275">
        <v>0.38538946167816324</v>
      </c>
      <c r="O275">
        <v>0.14223509444989174</v>
      </c>
      <c r="P275">
        <v>16.304846360990197</v>
      </c>
      <c r="Q275">
        <v>13.169948982877226</v>
      </c>
      <c r="R275">
        <v>0.38363598718369518</v>
      </c>
      <c r="S275">
        <v>0.14158296365026607</v>
      </c>
      <c r="T275">
        <v>16.304832066288828</v>
      </c>
      <c r="U275">
        <v>1603.3739856052018</v>
      </c>
      <c r="V275">
        <v>10.296162424402043</v>
      </c>
      <c r="W275">
        <v>1321.3438651918291</v>
      </c>
      <c r="X275">
        <v>7.3328547792563015</v>
      </c>
      <c r="Y275">
        <v>2916.038015254097</v>
      </c>
      <c r="Z275">
        <v>10.343532210600451</v>
      </c>
      <c r="AA275">
        <v>2738.4312136550479</v>
      </c>
      <c r="AB275">
        <v>7.3601975540453708</v>
      </c>
      <c r="AC275">
        <v>2283.8476743220376</v>
      </c>
      <c r="AD275">
        <v>10.320661729699584</v>
      </c>
      <c r="AE275">
        <v>2054.6368134662462</v>
      </c>
      <c r="AF275">
        <v>7.3470090120130847</v>
      </c>
      <c r="AG275">
        <v>2164.7327566039189</v>
      </c>
      <c r="AH275">
        <v>10.321130741988004</v>
      </c>
      <c r="AI275">
        <v>1926.6094817914752</v>
      </c>
      <c r="AJ275">
        <v>7.3472797113596444</v>
      </c>
    </row>
    <row r="276" spans="4:36" x14ac:dyDescent="0.45">
      <c r="D276">
        <v>269</v>
      </c>
      <c r="E276">
        <v>11.759336330245459</v>
      </c>
      <c r="F276">
        <v>0.3638307877392738</v>
      </c>
      <c r="G276">
        <v>0.15483868953174962</v>
      </c>
      <c r="H276">
        <v>17.7219941924835</v>
      </c>
      <c r="I276">
        <v>11.939282743157202</v>
      </c>
      <c r="J276">
        <v>0.23979967800751659</v>
      </c>
      <c r="K276">
        <v>0.1017613207389981</v>
      </c>
      <c r="L276">
        <v>17.719156258096277</v>
      </c>
      <c r="M276">
        <v>11.827709697396177</v>
      </c>
      <c r="N276">
        <v>0.31672876162845043</v>
      </c>
      <c r="O276">
        <v>0.13464565732640529</v>
      </c>
      <c r="P276">
        <v>17.720915883648956</v>
      </c>
      <c r="Q276">
        <v>11.807437388055328</v>
      </c>
      <c r="R276">
        <v>0.33069751281613585</v>
      </c>
      <c r="S276">
        <v>0.14062950174701655</v>
      </c>
      <c r="T276">
        <v>17.721235597381522</v>
      </c>
      <c r="U276">
        <v>1452.5170088252994</v>
      </c>
      <c r="V276">
        <v>9.2618339412535331</v>
      </c>
      <c r="W276">
        <v>1233.0545303248387</v>
      </c>
      <c r="X276">
        <v>6.737277042285875</v>
      </c>
      <c r="Y276">
        <v>2835.0825111716604</v>
      </c>
      <c r="Z276">
        <v>9.2972557508494926</v>
      </c>
      <c r="AA276">
        <v>2692.3445944484511</v>
      </c>
      <c r="AB276">
        <v>6.7581181709276681</v>
      </c>
      <c r="AC276">
        <v>2158.763261101552</v>
      </c>
      <c r="AD276">
        <v>9.2752926808719547</v>
      </c>
      <c r="AE276">
        <v>1979.2941513518033</v>
      </c>
      <c r="AF276">
        <v>6.7452036760802017</v>
      </c>
      <c r="AG276">
        <v>2061.1133932257835</v>
      </c>
      <c r="AH276">
        <v>9.2713022015715385</v>
      </c>
      <c r="AI276">
        <v>1866.1694764466849</v>
      </c>
      <c r="AJ276">
        <v>6.742854469472837</v>
      </c>
    </row>
    <row r="277" spans="4:36" x14ac:dyDescent="0.45">
      <c r="D277">
        <v>270</v>
      </c>
      <c r="E277">
        <v>11.730562747415963</v>
      </c>
      <c r="F277">
        <v>0.42467954391687157</v>
      </c>
      <c r="G277">
        <v>0.16852792608309347</v>
      </c>
      <c r="H277">
        <v>17.676229782584066</v>
      </c>
      <c r="I277">
        <v>11.910133513155023</v>
      </c>
      <c r="J277">
        <v>0.28177029494528671</v>
      </c>
      <c r="K277">
        <v>0.11150545849041718</v>
      </c>
      <c r="L277">
        <v>17.69659073340927</v>
      </c>
      <c r="M277">
        <v>11.833273490743927</v>
      </c>
      <c r="N277">
        <v>0.34295754947183488</v>
      </c>
      <c r="O277">
        <v>0.13588052097727144</v>
      </c>
      <c r="P277">
        <v>17.687888438806979</v>
      </c>
      <c r="Q277">
        <v>11.796385606195715</v>
      </c>
      <c r="R277">
        <v>0.37231337107518392</v>
      </c>
      <c r="S277">
        <v>0.14759581477397124</v>
      </c>
      <c r="T277">
        <v>17.683705207955136</v>
      </c>
      <c r="U277">
        <v>1506.0704509991947</v>
      </c>
      <c r="V277">
        <v>9.2467868530063413</v>
      </c>
      <c r="W277">
        <v>1265.5174399425562</v>
      </c>
      <c r="X277">
        <v>6.7211675138380356</v>
      </c>
      <c r="Y277">
        <v>2874.6096164288192</v>
      </c>
      <c r="Z277">
        <v>9.2698990394407463</v>
      </c>
      <c r="AA277">
        <v>2716.6192752596671</v>
      </c>
      <c r="AB277">
        <v>6.7357164397277538</v>
      </c>
      <c r="AC277">
        <v>2191.4249671196985</v>
      </c>
      <c r="AD277">
        <v>9.259999167493703</v>
      </c>
      <c r="AE277">
        <v>1999.6228827844714</v>
      </c>
      <c r="AF277">
        <v>6.7294922766395446</v>
      </c>
      <c r="AG277">
        <v>2076.6843877655992</v>
      </c>
      <c r="AH277">
        <v>9.2552517729694053</v>
      </c>
      <c r="AI277">
        <v>1872.6073089646961</v>
      </c>
      <c r="AJ277">
        <v>6.7265034462505806</v>
      </c>
    </row>
    <row r="278" spans="4:36" x14ac:dyDescent="0.45">
      <c r="D278">
        <v>271</v>
      </c>
      <c r="E278">
        <v>14.371507400590783</v>
      </c>
      <c r="F278">
        <v>0.50018484130683849</v>
      </c>
      <c r="G278">
        <v>0.15852746862900025</v>
      </c>
      <c r="H278">
        <v>14.96978028947338</v>
      </c>
      <c r="I278">
        <v>14.649795387711377</v>
      </c>
      <c r="J278">
        <v>0.31892801523860059</v>
      </c>
      <c r="K278">
        <v>0.10072210600345546</v>
      </c>
      <c r="L278">
        <v>14.930554491046582</v>
      </c>
      <c r="M278">
        <v>14.549225420372533</v>
      </c>
      <c r="N278">
        <v>0.3844890884300125</v>
      </c>
      <c r="O278">
        <v>0.12158232263755916</v>
      </c>
      <c r="P278">
        <v>14.944703168559897</v>
      </c>
      <c r="Q278">
        <v>14.484598536380583</v>
      </c>
      <c r="R278">
        <v>0.42658510953734519</v>
      </c>
      <c r="S278">
        <v>0.13500505735132379</v>
      </c>
      <c r="T278">
        <v>14.953811296730759</v>
      </c>
      <c r="U278">
        <v>1613.6166039767152</v>
      </c>
      <c r="V278">
        <v>11.316860717721276</v>
      </c>
      <c r="W278">
        <v>1324.7232744053324</v>
      </c>
      <c r="X278">
        <v>7.9164328348808404</v>
      </c>
      <c r="Y278">
        <v>2956.7612364248489</v>
      </c>
      <c r="Z278">
        <v>11.391793901493688</v>
      </c>
      <c r="AA278">
        <v>2764.249634216827</v>
      </c>
      <c r="AB278">
        <v>7.9572552603367468</v>
      </c>
      <c r="AC278">
        <v>2275.0969038062517</v>
      </c>
      <c r="AD278">
        <v>11.364729695374795</v>
      </c>
      <c r="AE278">
        <v>2046.5160625869078</v>
      </c>
      <c r="AF278">
        <v>7.9425250105765803</v>
      </c>
      <c r="AG278">
        <v>2181.942681220557</v>
      </c>
      <c r="AH278">
        <v>11.347328694610811</v>
      </c>
      <c r="AI278">
        <v>1933.5811781074608</v>
      </c>
      <c r="AJ278">
        <v>7.933045887862364</v>
      </c>
    </row>
    <row r="279" spans="4:36" x14ac:dyDescent="0.45">
      <c r="D279">
        <v>272</v>
      </c>
      <c r="E279">
        <v>11.695012535547544</v>
      </c>
      <c r="F279">
        <v>0.42330818378806379</v>
      </c>
      <c r="G279">
        <v>0.16881897943855537</v>
      </c>
      <c r="H279">
        <v>17.712860301225838</v>
      </c>
      <c r="I279">
        <v>11.87638932082873</v>
      </c>
      <c r="J279">
        <v>0.28309365768272571</v>
      </c>
      <c r="K279">
        <v>0.11256734242523386</v>
      </c>
      <c r="L279">
        <v>17.727949679063304</v>
      </c>
      <c r="M279">
        <v>11.777991890427412</v>
      </c>
      <c r="N279">
        <v>0.3591820744177659</v>
      </c>
      <c r="O279">
        <v>0.14305089845550661</v>
      </c>
      <c r="P279">
        <v>17.719775136699319</v>
      </c>
      <c r="Q279">
        <v>11.784831681653799</v>
      </c>
      <c r="R279">
        <v>0.35389467826261689</v>
      </c>
      <c r="S279">
        <v>0.14092939783171682</v>
      </c>
      <c r="T279">
        <v>17.720344242251858</v>
      </c>
      <c r="U279">
        <v>1512.579200679821</v>
      </c>
      <c r="V279">
        <v>9.2819962071447417</v>
      </c>
      <c r="W279">
        <v>1270.9898554217332</v>
      </c>
      <c r="X279">
        <v>6.7500058723451071</v>
      </c>
      <c r="Y279">
        <v>2883.523744972566</v>
      </c>
      <c r="Z279">
        <v>9.3066477481652043</v>
      </c>
      <c r="AA279">
        <v>2723.373280023402</v>
      </c>
      <c r="AB279">
        <v>6.7654109174343118</v>
      </c>
      <c r="AC279">
        <v>2221.6537751789638</v>
      </c>
      <c r="AD279">
        <v>9.2932668776203471</v>
      </c>
      <c r="AE279">
        <v>2020.8026797709708</v>
      </c>
      <c r="AF279">
        <v>6.7570572669655808</v>
      </c>
      <c r="AG279">
        <v>2083.112025944039</v>
      </c>
      <c r="AH279">
        <v>9.2941964465812532</v>
      </c>
      <c r="AI279">
        <v>1879.3713369246002</v>
      </c>
      <c r="AJ279">
        <v>6.7576382221707076</v>
      </c>
    </row>
    <row r="280" spans="4:36" x14ac:dyDescent="0.45">
      <c r="D280">
        <v>273</v>
      </c>
      <c r="E280">
        <v>13.415257703819963</v>
      </c>
      <c r="F280">
        <v>0.51369782515141182</v>
      </c>
      <c r="G280">
        <v>0.19663276181027792</v>
      </c>
      <c r="H280">
        <v>15.874411709218339</v>
      </c>
      <c r="I280">
        <v>13.657747214094238</v>
      </c>
      <c r="J280">
        <v>0.33720779635089082</v>
      </c>
      <c r="K280">
        <v>0.12863554409002259</v>
      </c>
      <c r="L280">
        <v>15.87640944546486</v>
      </c>
      <c r="M280">
        <v>13.572196429777067</v>
      </c>
      <c r="N280">
        <v>0.39951150970219368</v>
      </c>
      <c r="O280">
        <v>0.15258572775099832</v>
      </c>
      <c r="P280">
        <v>15.875706332769738</v>
      </c>
      <c r="Q280">
        <v>13.536227620348161</v>
      </c>
      <c r="R280">
        <v>0.42569415025255108</v>
      </c>
      <c r="S280">
        <v>0.16266806038036685</v>
      </c>
      <c r="T280">
        <v>15.875410169018924</v>
      </c>
      <c r="U280">
        <v>1609.7612257095311</v>
      </c>
      <c r="V280">
        <v>10.627506103922576</v>
      </c>
      <c r="W280">
        <v>1323.0952533835691</v>
      </c>
      <c r="X280">
        <v>7.5227268161627965</v>
      </c>
      <c r="Y280">
        <v>2947.26003584297</v>
      </c>
      <c r="Z280">
        <v>10.670728393053107</v>
      </c>
      <c r="AA280">
        <v>2757.7684004584612</v>
      </c>
      <c r="AB280">
        <v>7.5476783259669302</v>
      </c>
      <c r="AC280">
        <v>2266.3934708327474</v>
      </c>
      <c r="AD280">
        <v>10.655477457738375</v>
      </c>
      <c r="AE280">
        <v>2041.0610339057339</v>
      </c>
      <c r="AF280">
        <v>7.5388845578046322</v>
      </c>
      <c r="AG280">
        <v>2160.4784306398724</v>
      </c>
      <c r="AH280">
        <v>10.649066039772883</v>
      </c>
      <c r="AI280">
        <v>1920.2321761573696</v>
      </c>
      <c r="AJ280">
        <v>7.5351843518015249</v>
      </c>
    </row>
    <row r="281" spans="4:36" x14ac:dyDescent="0.45">
      <c r="D281">
        <v>274</v>
      </c>
      <c r="E281">
        <v>12.996392327819906</v>
      </c>
      <c r="F281">
        <v>0.49847020185830004</v>
      </c>
      <c r="G281">
        <v>0.17667057303737341</v>
      </c>
      <c r="H281">
        <v>16.328466897284425</v>
      </c>
      <c r="I281">
        <v>13.223427099178384</v>
      </c>
      <c r="J281">
        <v>0.32602722198197703</v>
      </c>
      <c r="K281">
        <v>0.11519490772331684</v>
      </c>
      <c r="L281">
        <v>16.335350771116321</v>
      </c>
      <c r="M281">
        <v>13.138901189835993</v>
      </c>
      <c r="N281">
        <v>0.39025973054267227</v>
      </c>
      <c r="O281">
        <v>0.13804855323209408</v>
      </c>
      <c r="P281">
        <v>16.332790526389246</v>
      </c>
      <c r="Q281">
        <v>13.087243467313291</v>
      </c>
      <c r="R281">
        <v>0.42949697180978114</v>
      </c>
      <c r="S281">
        <v>0.15203526172492907</v>
      </c>
      <c r="T281">
        <v>16.331224299151998</v>
      </c>
      <c r="U281">
        <v>1565.2111169606558</v>
      </c>
      <c r="V281">
        <v>10.290565830141061</v>
      </c>
      <c r="W281">
        <v>1297.5876238830724</v>
      </c>
      <c r="X281">
        <v>7.3312050194289986</v>
      </c>
      <c r="Y281">
        <v>2904.718949292147</v>
      </c>
      <c r="Z281">
        <v>10.328838936144823</v>
      </c>
      <c r="AA281">
        <v>2731.6778045786064</v>
      </c>
      <c r="AB281">
        <v>7.3534181015192948</v>
      </c>
      <c r="AC281">
        <v>2248.7677886891643</v>
      </c>
      <c r="AD281">
        <v>10.314588369711128</v>
      </c>
      <c r="AE281">
        <v>2033.3163205250369</v>
      </c>
      <c r="AF281">
        <v>7.3451564655440214</v>
      </c>
      <c r="AG281">
        <v>2166.2606407328826</v>
      </c>
      <c r="AH281">
        <v>10.305879967072485</v>
      </c>
      <c r="AI281">
        <v>1928.6200487968561</v>
      </c>
      <c r="AJ281">
        <v>7.340102521747581</v>
      </c>
    </row>
    <row r="282" spans="4:36" x14ac:dyDescent="0.45">
      <c r="D282">
        <v>275</v>
      </c>
      <c r="E282">
        <v>12.260299741918132</v>
      </c>
      <c r="F282">
        <v>0.45732093851657368</v>
      </c>
      <c r="G282">
        <v>0.16976394168212705</v>
      </c>
      <c r="H282">
        <v>17.112615377883163</v>
      </c>
      <c r="I282">
        <v>12.486448757456746</v>
      </c>
      <c r="J282">
        <v>0.28646479831860067</v>
      </c>
      <c r="K282">
        <v>0.10597387640277495</v>
      </c>
      <c r="L282">
        <v>17.121112567821875</v>
      </c>
      <c r="M282">
        <v>12.415122723626148</v>
      </c>
      <c r="N282">
        <v>0.34038193407438977</v>
      </c>
      <c r="O282">
        <v>0.12605605143216592</v>
      </c>
      <c r="P282">
        <v>17.118439290867293</v>
      </c>
      <c r="Q282">
        <v>12.35836454145559</v>
      </c>
      <c r="R282">
        <v>0.38326709511893453</v>
      </c>
      <c r="S282">
        <v>0.14206073395709445</v>
      </c>
      <c r="T282">
        <v>17.116307629468395</v>
      </c>
      <c r="U282">
        <v>1523.578936842717</v>
      </c>
      <c r="V282">
        <v>9.6505202419023313</v>
      </c>
      <c r="W282">
        <v>1275.0225031629584</v>
      </c>
      <c r="X282">
        <v>6.9557299929541836</v>
      </c>
      <c r="Y282">
        <v>2886.3865685862079</v>
      </c>
      <c r="Z282">
        <v>9.6907170295790799</v>
      </c>
      <c r="AA282">
        <v>2724.3114838468005</v>
      </c>
      <c r="AB282">
        <v>6.9795848912811911</v>
      </c>
      <c r="AC282">
        <v>2177.138262035458</v>
      </c>
      <c r="AD282">
        <v>9.6780353911181578</v>
      </c>
      <c r="AE282">
        <v>1988.9142063364177</v>
      </c>
      <c r="AF282">
        <v>6.9720694760718223</v>
      </c>
      <c r="AG282">
        <v>2101.1081194415283</v>
      </c>
      <c r="AH282">
        <v>9.66794639072085</v>
      </c>
      <c r="AI282">
        <v>1888.9844004445683</v>
      </c>
      <c r="AJ282">
        <v>6.9660836103771357</v>
      </c>
    </row>
    <row r="283" spans="4:36" x14ac:dyDescent="0.45">
      <c r="D283">
        <v>276</v>
      </c>
      <c r="E283">
        <v>12.256882569899687</v>
      </c>
      <c r="F283">
        <v>0.47611886660846614</v>
      </c>
      <c r="G283">
        <v>0.14843110857011951</v>
      </c>
      <c r="H283">
        <v>17.118567454921735</v>
      </c>
      <c r="I283">
        <v>12.486396169362578</v>
      </c>
      <c r="J283">
        <v>0.29498151402217132</v>
      </c>
      <c r="K283">
        <v>9.1671153625940374E-2</v>
      </c>
      <c r="L283">
        <v>17.126951162989307</v>
      </c>
      <c r="M283">
        <v>12.35356322646073</v>
      </c>
      <c r="N283">
        <v>0.39984745528797688</v>
      </c>
      <c r="O283">
        <v>0.12448687823954857</v>
      </c>
      <c r="P283">
        <v>17.122102440011737</v>
      </c>
      <c r="Q283">
        <v>12.305088115304445</v>
      </c>
      <c r="R283">
        <v>0.43809519982849604</v>
      </c>
      <c r="S283">
        <v>0.13648604027925965</v>
      </c>
      <c r="T283">
        <v>17.120330644587774</v>
      </c>
      <c r="U283">
        <v>1540.0331586895281</v>
      </c>
      <c r="V283">
        <v>9.8249773354037853</v>
      </c>
      <c r="W283">
        <v>1285.7115955722224</v>
      </c>
      <c r="X283">
        <v>7.0817924770100538</v>
      </c>
      <c r="Y283">
        <v>2889.2213201059076</v>
      </c>
      <c r="Z283">
        <v>9.8643915051669779</v>
      </c>
      <c r="AA283">
        <v>2725.8285250260842</v>
      </c>
      <c r="AB283">
        <v>7.1049865042192035</v>
      </c>
      <c r="AC283">
        <v>2226.0235346800741</v>
      </c>
      <c r="AD283">
        <v>9.8415783259673582</v>
      </c>
      <c r="AE283">
        <v>2019.9555522358216</v>
      </c>
      <c r="AF283">
        <v>7.0915727951295882</v>
      </c>
      <c r="AG283">
        <v>2117.4016888455353</v>
      </c>
      <c r="AH283">
        <v>9.8332543408465956</v>
      </c>
      <c r="AI283">
        <v>1896.7993565765485</v>
      </c>
      <c r="AJ283">
        <v>7.0866708427612863</v>
      </c>
    </row>
    <row r="284" spans="4:36" x14ac:dyDescent="0.45">
      <c r="D284">
        <v>277</v>
      </c>
      <c r="E284">
        <v>12.483651105132294</v>
      </c>
      <c r="F284">
        <v>0.40922960673156361</v>
      </c>
      <c r="G284">
        <v>0.14369701504664786</v>
      </c>
      <c r="H284">
        <v>16.963422273089485</v>
      </c>
      <c r="I284">
        <v>12.685650710645218</v>
      </c>
      <c r="J284">
        <v>0.27317541776027948</v>
      </c>
      <c r="K284">
        <v>9.5645227279338815E-2</v>
      </c>
      <c r="L284">
        <v>16.945528644315157</v>
      </c>
      <c r="M284">
        <v>12.594789658848791</v>
      </c>
      <c r="N284">
        <v>0.33440744513862741</v>
      </c>
      <c r="O284">
        <v>0.11723624758374296</v>
      </c>
      <c r="P284">
        <v>16.95356664842884</v>
      </c>
      <c r="Q284">
        <v>12.558096056080167</v>
      </c>
      <c r="R284">
        <v>0.359119968468818</v>
      </c>
      <c r="S284">
        <v>0.12596629224609213</v>
      </c>
      <c r="T284">
        <v>16.956817683204928</v>
      </c>
      <c r="U284">
        <v>1508.9604455523213</v>
      </c>
      <c r="V284">
        <v>9.749426926089491</v>
      </c>
      <c r="W284">
        <v>1269.8265498727492</v>
      </c>
      <c r="X284">
        <v>7.0111374294946387</v>
      </c>
      <c r="Y284">
        <v>2852.6834351594621</v>
      </c>
      <c r="Z284">
        <v>9.7975663055543656</v>
      </c>
      <c r="AA284">
        <v>2702.13764096861</v>
      </c>
      <c r="AB284">
        <v>7.0384310306717222</v>
      </c>
      <c r="AC284">
        <v>2194.4915782007283</v>
      </c>
      <c r="AD284">
        <v>9.7759184148157416</v>
      </c>
      <c r="AE284">
        <v>2003.3919270105216</v>
      </c>
      <c r="AF284">
        <v>7.026167114616868</v>
      </c>
      <c r="AG284">
        <v>2085.7174157899244</v>
      </c>
      <c r="AH284">
        <v>9.7671734811986823</v>
      </c>
      <c r="AI284">
        <v>1881.2451660369543</v>
      </c>
      <c r="AJ284">
        <v>7.0212084285620167</v>
      </c>
    </row>
    <row r="285" spans="4:36" x14ac:dyDescent="0.45">
      <c r="D285">
        <v>278</v>
      </c>
      <c r="E285">
        <v>11.953583757871634</v>
      </c>
      <c r="F285">
        <v>0.47243848404566902</v>
      </c>
      <c r="G285">
        <v>0.15424080306937796</v>
      </c>
      <c r="H285">
        <v>17.419736955013324</v>
      </c>
      <c r="I285">
        <v>12.184284934288256</v>
      </c>
      <c r="J285">
        <v>0.29009187257619723</v>
      </c>
      <c r="K285">
        <v>9.4397756173775701E-2</v>
      </c>
      <c r="L285">
        <v>17.431225436961757</v>
      </c>
      <c r="M285">
        <v>12.077712747065151</v>
      </c>
      <c r="N285">
        <v>0.3743591207357595</v>
      </c>
      <c r="O285">
        <v>0.12200325748698942</v>
      </c>
      <c r="P285">
        <v>17.425924874712088</v>
      </c>
      <c r="Q285">
        <v>12.083015304000538</v>
      </c>
      <c r="R285">
        <v>0.37016766713914301</v>
      </c>
      <c r="S285">
        <v>0.12062815787829766</v>
      </c>
      <c r="T285">
        <v>17.426188870982021</v>
      </c>
      <c r="U285">
        <v>1500.5710663749267</v>
      </c>
      <c r="V285">
        <v>9.3800286510204902</v>
      </c>
      <c r="W285">
        <v>1260.4775109864991</v>
      </c>
      <c r="X285">
        <v>6.7918455803449529</v>
      </c>
      <c r="Y285">
        <v>2880.3117804202288</v>
      </c>
      <c r="Z285">
        <v>9.4151833330059365</v>
      </c>
      <c r="AA285">
        <v>2721.7931064659106</v>
      </c>
      <c r="AB285">
        <v>6.8128462157473981</v>
      </c>
      <c r="AC285">
        <v>2182.3241672035533</v>
      </c>
      <c r="AD285">
        <v>9.3989398314762589</v>
      </c>
      <c r="AE285">
        <v>1992.6731639187558</v>
      </c>
      <c r="AF285">
        <v>6.8031539525501898</v>
      </c>
      <c r="AG285">
        <v>2074.1340797480257</v>
      </c>
      <c r="AH285">
        <v>9.3997478809301587</v>
      </c>
      <c r="AI285">
        <v>1873.1637197778036</v>
      </c>
      <c r="AJ285">
        <v>6.803636557696545</v>
      </c>
    </row>
    <row r="286" spans="4:36" x14ac:dyDescent="0.45">
      <c r="D286">
        <v>279</v>
      </c>
      <c r="E286">
        <v>12.568233905955601</v>
      </c>
      <c r="F286">
        <v>0.46843858871790089</v>
      </c>
      <c r="G286">
        <v>0.17230190798920292</v>
      </c>
      <c r="H286">
        <v>16.791025597337306</v>
      </c>
      <c r="I286">
        <v>12.808013706523464</v>
      </c>
      <c r="J286">
        <v>0.28795932129410218</v>
      </c>
      <c r="K286">
        <v>0.10553317152493957</v>
      </c>
      <c r="L286">
        <v>16.798493800657493</v>
      </c>
      <c r="M286">
        <v>12.667864710762585</v>
      </c>
      <c r="N286">
        <v>0.3934856765378924</v>
      </c>
      <c r="O286">
        <v>0.14451301775076786</v>
      </c>
      <c r="P286">
        <v>16.79413659494875</v>
      </c>
      <c r="Q286">
        <v>12.677202115698009</v>
      </c>
      <c r="R286">
        <v>0.38645830640352996</v>
      </c>
      <c r="S286">
        <v>0.14191199808395472</v>
      </c>
      <c r="T286">
        <v>16.794427579814496</v>
      </c>
      <c r="U286">
        <v>1505.0009994429356</v>
      </c>
      <c r="V286">
        <v>9.9850136673132539</v>
      </c>
      <c r="W286">
        <v>1261.0235791481884</v>
      </c>
      <c r="X286">
        <v>7.161546512894839</v>
      </c>
      <c r="Y286">
        <v>2878.5439398853955</v>
      </c>
      <c r="Z286">
        <v>10.027695046967466</v>
      </c>
      <c r="AA286">
        <v>2718.6138570199214</v>
      </c>
      <c r="AB286">
        <v>7.1867613547462046</v>
      </c>
      <c r="AC286">
        <v>2241.2183230095288</v>
      </c>
      <c r="AD286">
        <v>10.002743176445252</v>
      </c>
      <c r="AE286">
        <v>2031.5369375155146</v>
      </c>
      <c r="AF286">
        <v>7.172033452348737</v>
      </c>
      <c r="AG286">
        <v>2083.7740556587255</v>
      </c>
      <c r="AH286">
        <v>10.004405154432149</v>
      </c>
      <c r="AI286">
        <v>1876.3758319322342</v>
      </c>
      <c r="AJ286">
        <v>7.17301556083346</v>
      </c>
    </row>
    <row r="287" spans="4:36" x14ac:dyDescent="0.45">
      <c r="D287">
        <v>280</v>
      </c>
      <c r="E287">
        <v>11.920911800497382</v>
      </c>
      <c r="F287">
        <v>0.48425944317821545</v>
      </c>
      <c r="G287">
        <v>0.14991026524016807</v>
      </c>
      <c r="H287">
        <v>17.444918491084238</v>
      </c>
      <c r="I287">
        <v>12.130718612132625</v>
      </c>
      <c r="J287">
        <v>0.30542585781198966</v>
      </c>
      <c r="K287">
        <v>9.426233065702283E-2</v>
      </c>
      <c r="L287">
        <v>17.469593199398361</v>
      </c>
      <c r="M287">
        <v>12.04317635570016</v>
      </c>
      <c r="N287">
        <v>0.38006389033783933</v>
      </c>
      <c r="O287">
        <v>0.11744589912391287</v>
      </c>
      <c r="P287">
        <v>17.459313854838083</v>
      </c>
      <c r="Q287">
        <v>12.006405973936431</v>
      </c>
      <c r="R287">
        <v>0.4114058484813935</v>
      </c>
      <c r="S287">
        <v>0.12719886048785725</v>
      </c>
      <c r="T287">
        <v>17.454989317094313</v>
      </c>
      <c r="U287">
        <v>1489.5475470725837</v>
      </c>
      <c r="V287">
        <v>9.4511652462189115</v>
      </c>
      <c r="W287">
        <v>1252.3790822561441</v>
      </c>
      <c r="X287">
        <v>6.8459446482221828</v>
      </c>
      <c r="Y287">
        <v>2876.4392612872389</v>
      </c>
      <c r="Z287">
        <v>9.4790505827831666</v>
      </c>
      <c r="AA287">
        <v>2718.4043747563587</v>
      </c>
      <c r="AB287">
        <v>6.8633755364176787</v>
      </c>
      <c r="AC287">
        <v>2191.2162331873642</v>
      </c>
      <c r="AD287">
        <v>9.4674058199603763</v>
      </c>
      <c r="AE287">
        <v>1999.4146519304857</v>
      </c>
      <c r="AF287">
        <v>6.8561067616445737</v>
      </c>
      <c r="AG287">
        <v>2103.2748768673368</v>
      </c>
      <c r="AH287">
        <v>9.4625187371844159</v>
      </c>
      <c r="AI287">
        <v>1892.0667240468874</v>
      </c>
      <c r="AJ287">
        <v>6.8530518324066572</v>
      </c>
    </row>
    <row r="288" spans="4:36" x14ac:dyDescent="0.45">
      <c r="D288">
        <v>281</v>
      </c>
      <c r="E288">
        <v>12.019602227626505</v>
      </c>
      <c r="F288">
        <v>0.43879980802317858</v>
      </c>
      <c r="G288">
        <v>0.15367422481397724</v>
      </c>
      <c r="H288">
        <v>17.387923739536344</v>
      </c>
      <c r="I288">
        <v>12.228777145818933</v>
      </c>
      <c r="J288">
        <v>0.27757317204477505</v>
      </c>
      <c r="K288">
        <v>9.6900352519226809E-2</v>
      </c>
      <c r="L288">
        <v>17.396749329617073</v>
      </c>
      <c r="M288">
        <v>12.135393489879387</v>
      </c>
      <c r="N288">
        <v>0.34957927600219407</v>
      </c>
      <c r="O288">
        <v>0.1222109770680823</v>
      </c>
      <c r="P288">
        <v>17.392816257050328</v>
      </c>
      <c r="Q288">
        <v>12.10687748019626</v>
      </c>
      <c r="R288">
        <v>0.37155825386314489</v>
      </c>
      <c r="S288">
        <v>0.12995127212825267</v>
      </c>
      <c r="T288">
        <v>17.391612993812341</v>
      </c>
      <c r="U288">
        <v>1521.9194374926387</v>
      </c>
      <c r="V288">
        <v>9.4597185409794751</v>
      </c>
      <c r="W288">
        <v>1276.3417371924259</v>
      </c>
      <c r="X288">
        <v>6.8463051802692281</v>
      </c>
      <c r="Y288">
        <v>2868.9788340213418</v>
      </c>
      <c r="Z288">
        <v>9.4957508897428617</v>
      </c>
      <c r="AA288">
        <v>2713.1159248461313</v>
      </c>
      <c r="AB288">
        <v>6.8678219057175323</v>
      </c>
      <c r="AC288">
        <v>2198.9790372676762</v>
      </c>
      <c r="AD288">
        <v>9.4796606603590536</v>
      </c>
      <c r="AE288">
        <v>2004.9163927172008</v>
      </c>
      <c r="AF288">
        <v>6.8582240986227099</v>
      </c>
      <c r="AG288">
        <v>2104.355853860241</v>
      </c>
      <c r="AH288">
        <v>9.4747485691936149</v>
      </c>
      <c r="AI288">
        <v>1893.2188004816333</v>
      </c>
      <c r="AJ288">
        <v>6.8552906874853932</v>
      </c>
    </row>
    <row r="289" spans="4:36" x14ac:dyDescent="0.45">
      <c r="D289">
        <v>282</v>
      </c>
      <c r="E289">
        <v>12.614658005477873</v>
      </c>
      <c r="F289">
        <v>0.42502003379612974</v>
      </c>
      <c r="G289">
        <v>0.14367906441205655</v>
      </c>
      <c r="H289">
        <v>16.816642896313951</v>
      </c>
      <c r="I289">
        <v>12.828843825767423</v>
      </c>
      <c r="J289">
        <v>0.27671040515798134</v>
      </c>
      <c r="K289">
        <v>9.3252551204758338E-2</v>
      </c>
      <c r="L289">
        <v>16.801193217869852</v>
      </c>
      <c r="M289">
        <v>12.713833540164881</v>
      </c>
      <c r="N289">
        <v>0.35638387726380488</v>
      </c>
      <c r="O289">
        <v>0.12030266341535741</v>
      </c>
      <c r="P289">
        <v>16.809479919155944</v>
      </c>
      <c r="Q289">
        <v>12.698836255551523</v>
      </c>
      <c r="R289">
        <v>0.36676705615150745</v>
      </c>
      <c r="S289">
        <v>0.12383461364183956</v>
      </c>
      <c r="T289">
        <v>16.810562074655113</v>
      </c>
      <c r="U289">
        <v>1506.8025500754168</v>
      </c>
      <c r="V289">
        <v>9.9392089078010581</v>
      </c>
      <c r="W289">
        <v>1264.0639374826194</v>
      </c>
      <c r="X289">
        <v>7.1330771462274525</v>
      </c>
      <c r="Y289">
        <v>2890.5463616416914</v>
      </c>
      <c r="Z289">
        <v>9.9920528072968366</v>
      </c>
      <c r="AA289">
        <v>2727.1755987997026</v>
      </c>
      <c r="AB289">
        <v>7.1631474201646217</v>
      </c>
      <c r="AC289">
        <v>2231.7491812628787</v>
      </c>
      <c r="AD289">
        <v>9.9636823467805069</v>
      </c>
      <c r="AE289">
        <v>2026.206684544811</v>
      </c>
      <c r="AF289">
        <v>7.1470151519320595</v>
      </c>
      <c r="AG289">
        <v>2078.4254296398799</v>
      </c>
      <c r="AH289">
        <v>9.9599820239842938</v>
      </c>
      <c r="AI289">
        <v>1872.7857130851112</v>
      </c>
      <c r="AJ289">
        <v>7.1449090573396408</v>
      </c>
    </row>
    <row r="290" spans="4:36" x14ac:dyDescent="0.45">
      <c r="D290">
        <v>283</v>
      </c>
      <c r="E290">
        <v>12.380057394752136</v>
      </c>
      <c r="F290">
        <v>0.45592632275887074</v>
      </c>
      <c r="G290">
        <v>0.16625136613028724</v>
      </c>
      <c r="H290">
        <v>16.997764916358701</v>
      </c>
      <c r="I290">
        <v>12.565744720755864</v>
      </c>
      <c r="J290">
        <v>0.31174171735544293</v>
      </c>
      <c r="K290">
        <v>0.11335359361669275</v>
      </c>
      <c r="L290">
        <v>17.009159968271995</v>
      </c>
      <c r="M290">
        <v>12.482839307712183</v>
      </c>
      <c r="N290">
        <v>0.37613862025252992</v>
      </c>
      <c r="O290">
        <v>0.13694168165031906</v>
      </c>
      <c r="P290">
        <v>17.004080390384953</v>
      </c>
      <c r="Q290">
        <v>12.457285536291968</v>
      </c>
      <c r="R290">
        <v>0.39598055604002064</v>
      </c>
      <c r="S290">
        <v>0.1442218014126746</v>
      </c>
      <c r="T290">
        <v>17.002512106255349</v>
      </c>
      <c r="U290">
        <v>1517.3595794168884</v>
      </c>
      <c r="V290">
        <v>9.7150398164758105</v>
      </c>
      <c r="W290">
        <v>1272.988259510086</v>
      </c>
      <c r="X290">
        <v>6.9876376030120486</v>
      </c>
      <c r="Y290">
        <v>2858.9033144875925</v>
      </c>
      <c r="Z290">
        <v>9.742265525059171</v>
      </c>
      <c r="AA290">
        <v>2704.1659216895764</v>
      </c>
      <c r="AB290">
        <v>7.0040803889248116</v>
      </c>
      <c r="AC290">
        <v>2213.4111866203953</v>
      </c>
      <c r="AD290">
        <v>9.730104877601331</v>
      </c>
      <c r="AE290">
        <v>2014.4579874928208</v>
      </c>
      <c r="AF290">
        <v>6.996743456918173</v>
      </c>
      <c r="AG290">
        <v>2080.2265131984973</v>
      </c>
      <c r="AH290">
        <v>9.726358230727854</v>
      </c>
      <c r="AI290">
        <v>1874.9859075686304</v>
      </c>
      <c r="AJ290">
        <v>6.9944805767811404</v>
      </c>
    </row>
    <row r="291" spans="4:36" x14ac:dyDescent="0.45">
      <c r="D291">
        <v>284</v>
      </c>
      <c r="E291">
        <v>14.695984732832898</v>
      </c>
      <c r="F291">
        <v>0.50743180443168823</v>
      </c>
      <c r="G291">
        <v>0.16317305214553865</v>
      </c>
      <c r="H291">
        <v>14.633410410589876</v>
      </c>
      <c r="I291">
        <v>14.96823610027915</v>
      </c>
      <c r="J291">
        <v>0.33277461150729459</v>
      </c>
      <c r="K291">
        <v>0.1066354639118821</v>
      </c>
      <c r="L291">
        <v>14.592353824301695</v>
      </c>
      <c r="M291">
        <v>14.859466016738494</v>
      </c>
      <c r="N291">
        <v>0.40261069896659885</v>
      </c>
      <c r="O291">
        <v>0.12919356019383346</v>
      </c>
      <c r="P291">
        <v>14.608729724101071</v>
      </c>
      <c r="Q291">
        <v>14.83131244873416</v>
      </c>
      <c r="R291">
        <v>0.4206744799407543</v>
      </c>
      <c r="S291">
        <v>0.13503884180963927</v>
      </c>
      <c r="T291">
        <v>14.612974229515466</v>
      </c>
      <c r="U291">
        <v>1630.8153359992905</v>
      </c>
      <c r="V291">
        <v>11.627025486981701</v>
      </c>
      <c r="W291">
        <v>1331.9202440507693</v>
      </c>
      <c r="X291">
        <v>8.097691956016563</v>
      </c>
      <c r="Y291">
        <v>2988.9590186685841</v>
      </c>
      <c r="Z291">
        <v>11.70034652831465</v>
      </c>
      <c r="AA291">
        <v>2782.9751831888152</v>
      </c>
      <c r="AB291">
        <v>8.1373857697952161</v>
      </c>
      <c r="AC291">
        <v>2316.4078909676441</v>
      </c>
      <c r="AD291">
        <v>11.671069584285856</v>
      </c>
      <c r="AE291">
        <v>2070.8133794924088</v>
      </c>
      <c r="AF291">
        <v>8.1215492415269317</v>
      </c>
      <c r="AG291">
        <v>2203.4046444721516</v>
      </c>
      <c r="AH291">
        <v>11.663488143725953</v>
      </c>
      <c r="AI291">
        <v>1945.2285374180469</v>
      </c>
      <c r="AJ291">
        <v>8.1174454453576246</v>
      </c>
    </row>
    <row r="292" spans="4:36" x14ac:dyDescent="0.45">
      <c r="D292">
        <v>285</v>
      </c>
      <c r="E292">
        <v>12.785116636449715</v>
      </c>
      <c r="F292">
        <v>0.46715919550923851</v>
      </c>
      <c r="G292">
        <v>0.17095002100194279</v>
      </c>
      <c r="H292">
        <v>16.57677414703911</v>
      </c>
      <c r="I292">
        <v>13.000688150775835</v>
      </c>
      <c r="J292">
        <v>0.30701194474998678</v>
      </c>
      <c r="K292">
        <v>0.11198990585940521</v>
      </c>
      <c r="L292">
        <v>16.580309998614773</v>
      </c>
      <c r="M292">
        <v>12.894094913598055</v>
      </c>
      <c r="N292">
        <v>0.38623185851718034</v>
      </c>
      <c r="O292">
        <v>0.14110810455596601</v>
      </c>
      <c r="P292">
        <v>16.57856512332879</v>
      </c>
      <c r="Q292">
        <v>12.87747870283129</v>
      </c>
      <c r="R292">
        <v>0.39857534098328107</v>
      </c>
      <c r="S292">
        <v>0.14565344422911666</v>
      </c>
      <c r="T292">
        <v>16.578292511956327</v>
      </c>
      <c r="U292">
        <v>1564.290265497938</v>
      </c>
      <c r="V292">
        <v>10.123748661148346</v>
      </c>
      <c r="W292">
        <v>1297.7451277527778</v>
      </c>
      <c r="X292">
        <v>7.2375160357022947</v>
      </c>
      <c r="Y292">
        <v>2921.7805258571357</v>
      </c>
      <c r="Z292">
        <v>10.162282263546924</v>
      </c>
      <c r="AA292">
        <v>2744.3518745719211</v>
      </c>
      <c r="AB292">
        <v>7.260082942356104</v>
      </c>
      <c r="AC292">
        <v>2220.5240592082014</v>
      </c>
      <c r="AD292">
        <v>10.143225738129898</v>
      </c>
      <c r="AE292">
        <v>2012.1085611023614</v>
      </c>
      <c r="AF292">
        <v>7.2489327346506416</v>
      </c>
      <c r="AG292">
        <v>2123.6735578671519</v>
      </c>
      <c r="AH292">
        <v>10.140255632353169</v>
      </c>
      <c r="AI292">
        <v>1899.0759158106925</v>
      </c>
      <c r="AJ292">
        <v>7.2471931170114043</v>
      </c>
    </row>
    <row r="293" spans="4:36" x14ac:dyDescent="0.45">
      <c r="D293">
        <v>286</v>
      </c>
      <c r="E293">
        <v>12.173555665937849</v>
      </c>
      <c r="F293">
        <v>0.4752269596210652</v>
      </c>
      <c r="G293">
        <v>0.15330295517096021</v>
      </c>
      <c r="H293">
        <v>17.19791441927012</v>
      </c>
      <c r="I293">
        <v>12.407443321190714</v>
      </c>
      <c r="J293">
        <v>0.29222935706725706</v>
      </c>
      <c r="K293">
        <v>9.3954833143486127E-2</v>
      </c>
      <c r="L293">
        <v>17.206372488598547</v>
      </c>
      <c r="M293">
        <v>12.314809386929459</v>
      </c>
      <c r="N293">
        <v>0.36474036975039897</v>
      </c>
      <c r="O293">
        <v>0.11742278358906899</v>
      </c>
      <c r="P293">
        <v>17.203027459731064</v>
      </c>
      <c r="Q293">
        <v>12.256611213161293</v>
      </c>
      <c r="R293">
        <v>0.41027426763004576</v>
      </c>
      <c r="S293">
        <v>0.13219187614344891</v>
      </c>
      <c r="T293">
        <v>17.200922643065194</v>
      </c>
      <c r="U293">
        <v>1542.431209175199</v>
      </c>
      <c r="V293">
        <v>9.5687846386892126</v>
      </c>
      <c r="W293">
        <v>1288.4384210384317</v>
      </c>
      <c r="X293">
        <v>6.904966027217939</v>
      </c>
      <c r="Y293">
        <v>2882.4939639655345</v>
      </c>
      <c r="Z293">
        <v>9.6072532801005668</v>
      </c>
      <c r="AA293">
        <v>2721.7322065899157</v>
      </c>
      <c r="AB293">
        <v>6.927794189412773</v>
      </c>
      <c r="AC293">
        <v>2206.8236185204255</v>
      </c>
      <c r="AD293">
        <v>9.592013796215598</v>
      </c>
      <c r="AE293">
        <v>2009.3985602420644</v>
      </c>
      <c r="AF293">
        <v>6.918762214830668</v>
      </c>
      <c r="AG293">
        <v>2103.2311857819677</v>
      </c>
      <c r="AH293">
        <v>9.5824418025443254</v>
      </c>
      <c r="AI293">
        <v>1889.3853927952571</v>
      </c>
      <c r="AJ293">
        <v>6.9130815181587426</v>
      </c>
    </row>
    <row r="294" spans="4:36" x14ac:dyDescent="0.45">
      <c r="D294">
        <v>287</v>
      </c>
      <c r="E294">
        <v>11.626335030084338</v>
      </c>
      <c r="F294">
        <v>0.43608684233699108</v>
      </c>
      <c r="G294">
        <v>0.16636767013521161</v>
      </c>
      <c r="H294">
        <v>17.771210457443456</v>
      </c>
      <c r="I294">
        <v>11.804185833539528</v>
      </c>
      <c r="J294">
        <v>0.2918820824543184</v>
      </c>
      <c r="K294">
        <v>0.11104544735059103</v>
      </c>
      <c r="L294">
        <v>17.792886636655574</v>
      </c>
      <c r="M294">
        <v>11.731543918043165</v>
      </c>
      <c r="N294">
        <v>0.35079896794070919</v>
      </c>
      <c r="O294">
        <v>0.13361064200942643</v>
      </c>
      <c r="P294">
        <v>17.784046472006697</v>
      </c>
      <c r="Q294">
        <v>11.668732277141382</v>
      </c>
      <c r="R294">
        <v>0.40172351345940599</v>
      </c>
      <c r="S294">
        <v>0.1531564069712143</v>
      </c>
      <c r="T294">
        <v>17.776387802428001</v>
      </c>
      <c r="U294">
        <v>1514.7925784128806</v>
      </c>
      <c r="V294">
        <v>9.1304291533670376</v>
      </c>
      <c r="W294">
        <v>1271.1864494079048</v>
      </c>
      <c r="X294">
        <v>6.6462261722958242</v>
      </c>
      <c r="Y294">
        <v>2882.5215956465709</v>
      </c>
      <c r="Z294">
        <v>9.150575225670762</v>
      </c>
      <c r="AA294">
        <v>2721.676639944249</v>
      </c>
      <c r="AB294">
        <v>6.6590466196916092</v>
      </c>
      <c r="AC294">
        <v>2200.8283955248517</v>
      </c>
      <c r="AD294">
        <v>9.142339500308525</v>
      </c>
      <c r="AE294">
        <v>2006.0208242637877</v>
      </c>
      <c r="AF294">
        <v>6.6538126238541624</v>
      </c>
      <c r="AG294">
        <v>2090.2443659659225</v>
      </c>
      <c r="AH294">
        <v>9.135226280015198</v>
      </c>
      <c r="AI294">
        <v>1880.1631547704287</v>
      </c>
      <c r="AJ294">
        <v>6.6492842245800743</v>
      </c>
    </row>
    <row r="295" spans="4:36" x14ac:dyDescent="0.45">
      <c r="D295">
        <v>288</v>
      </c>
      <c r="E295">
        <v>12.714549216741604</v>
      </c>
      <c r="F295">
        <v>0.46019053129996684</v>
      </c>
      <c r="G295">
        <v>0.17489266717954807</v>
      </c>
      <c r="H295">
        <v>16.650367584778888</v>
      </c>
      <c r="I295">
        <v>12.942332977662661</v>
      </c>
      <c r="J295">
        <v>0.29233312958650703</v>
      </c>
      <c r="K295">
        <v>0.11070824822101451</v>
      </c>
      <c r="L295">
        <v>16.654625644529801</v>
      </c>
      <c r="M295">
        <v>12.818624146422692</v>
      </c>
      <c r="N295">
        <v>0.38353254599122677</v>
      </c>
      <c r="O295">
        <v>0.14552355979399217</v>
      </c>
      <c r="P295">
        <v>16.652319747792088</v>
      </c>
      <c r="Q295">
        <v>12.786578858432701</v>
      </c>
      <c r="R295">
        <v>0.40714256591638992</v>
      </c>
      <c r="S295">
        <v>0.15455871033361226</v>
      </c>
      <c r="T295">
        <v>16.651719865317297</v>
      </c>
      <c r="U295">
        <v>1561.0555066610036</v>
      </c>
      <c r="V295">
        <v>10.074515497621647</v>
      </c>
      <c r="W295">
        <v>1296.0004062157386</v>
      </c>
      <c r="X295">
        <v>7.2099985744905268</v>
      </c>
      <c r="Y295">
        <v>2900.3692139015661</v>
      </c>
      <c r="Z295">
        <v>10.114937696794573</v>
      </c>
      <c r="AA295">
        <v>2730.1741835177941</v>
      </c>
      <c r="AB295">
        <v>7.2337384650444463</v>
      </c>
      <c r="AC295">
        <v>2247.2854443165488</v>
      </c>
      <c r="AD295">
        <v>10.092980571225304</v>
      </c>
      <c r="AE295">
        <v>2031.5777051374077</v>
      </c>
      <c r="AF295">
        <v>7.220854527758771</v>
      </c>
      <c r="AG295">
        <v>2148.1965294830452</v>
      </c>
      <c r="AH295">
        <v>10.087294357140287</v>
      </c>
      <c r="AI295">
        <v>1916.071896746274</v>
      </c>
      <c r="AJ295">
        <v>7.2175135660471303</v>
      </c>
    </row>
    <row r="296" spans="4:36" x14ac:dyDescent="0.45">
      <c r="D296">
        <v>289</v>
      </c>
      <c r="E296">
        <v>12.725132463204357</v>
      </c>
      <c r="F296">
        <v>0.41927724296969882</v>
      </c>
      <c r="G296">
        <v>0.15585903440469773</v>
      </c>
      <c r="H296">
        <v>16.699731259421256</v>
      </c>
      <c r="I296">
        <v>12.954211022833361</v>
      </c>
      <c r="J296">
        <v>0.26827900741920152</v>
      </c>
      <c r="K296">
        <v>9.940431817281474E-2</v>
      </c>
      <c r="L296">
        <v>16.678105651574612</v>
      </c>
      <c r="M296">
        <v>12.845930793230297</v>
      </c>
      <c r="N296">
        <v>0.33969690631760968</v>
      </c>
      <c r="O296">
        <v>0.12605934952745451</v>
      </c>
      <c r="P296">
        <v>16.68831295092464</v>
      </c>
      <c r="Q296">
        <v>12.837013440560957</v>
      </c>
      <c r="R296">
        <v>0.34557494527324767</v>
      </c>
      <c r="S296">
        <v>0.12825688294224166</v>
      </c>
      <c r="T296">
        <v>16.689154731223571</v>
      </c>
      <c r="U296">
        <v>1563.2932131957864</v>
      </c>
      <c r="V296">
        <v>10.074094308133102</v>
      </c>
      <c r="W296">
        <v>1302.0063751075179</v>
      </c>
      <c r="X296">
        <v>7.2177914356845934</v>
      </c>
      <c r="Y296">
        <v>2887.6417908130866</v>
      </c>
      <c r="Z296">
        <v>10.133285861011995</v>
      </c>
      <c r="AA296">
        <v>2723.6168404315035</v>
      </c>
      <c r="AB296">
        <v>7.2512353769757993</v>
      </c>
      <c r="AC296">
        <v>2205.5121143808556</v>
      </c>
      <c r="AD296">
        <v>10.105314970971552</v>
      </c>
      <c r="AE296">
        <v>2005.8978430233933</v>
      </c>
      <c r="AF296">
        <v>7.2354447854971866</v>
      </c>
      <c r="AG296">
        <v>2105.5328588454618</v>
      </c>
      <c r="AH296">
        <v>10.103010839657625</v>
      </c>
      <c r="AI296">
        <v>1891.1600103955666</v>
      </c>
      <c r="AJ296">
        <v>7.2341429618194075</v>
      </c>
    </row>
    <row r="297" spans="4:36" x14ac:dyDescent="0.45">
      <c r="D297">
        <v>290</v>
      </c>
      <c r="E297">
        <v>12.409635136970314</v>
      </c>
      <c r="F297">
        <v>0.40918828992620537</v>
      </c>
      <c r="G297">
        <v>0.15585391274002788</v>
      </c>
      <c r="H297">
        <v>17.025322660363468</v>
      </c>
      <c r="I297">
        <v>12.604011449960302</v>
      </c>
      <c r="J297">
        <v>0.27263409548226408</v>
      </c>
      <c r="K297">
        <v>0.10354188464976682</v>
      </c>
      <c r="L297">
        <v>17.019812569907675</v>
      </c>
      <c r="M297">
        <v>12.504935535733194</v>
      </c>
      <c r="N297">
        <v>0.34226709138584355</v>
      </c>
      <c r="O297">
        <v>0.13017888963879981</v>
      </c>
      <c r="P297">
        <v>17.022618483242152</v>
      </c>
      <c r="Q297">
        <v>12.479961175531081</v>
      </c>
      <c r="R297">
        <v>0.35980996658770675</v>
      </c>
      <c r="S297">
        <v>0.13690221391409158</v>
      </c>
      <c r="T297">
        <v>17.02332664396712</v>
      </c>
      <c r="U297">
        <v>1533.9905331474406</v>
      </c>
      <c r="V297">
        <v>9.8487016111367716</v>
      </c>
      <c r="W297">
        <v>1283.694285972419</v>
      </c>
      <c r="X297">
        <v>7.0885895532376288</v>
      </c>
      <c r="Y297">
        <v>2888.8081577503713</v>
      </c>
      <c r="Z297">
        <v>9.8899851583739515</v>
      </c>
      <c r="AA297">
        <v>2725.4561400244347</v>
      </c>
      <c r="AB297">
        <v>7.1124050412174036</v>
      </c>
      <c r="AC297">
        <v>2201.3189134319614</v>
      </c>
      <c r="AD297">
        <v>9.8689439028368682</v>
      </c>
      <c r="AE297">
        <v>2004.2443411181155</v>
      </c>
      <c r="AF297">
        <v>7.1002759346069872</v>
      </c>
      <c r="AG297">
        <v>2115.8924390975899</v>
      </c>
      <c r="AH297">
        <v>9.8636394935911511</v>
      </c>
      <c r="AI297">
        <v>1899.2946476592185</v>
      </c>
      <c r="AJ297">
        <v>7.0972152670585631</v>
      </c>
    </row>
    <row r="298" spans="4:36" x14ac:dyDescent="0.45">
      <c r="D298">
        <v>291</v>
      </c>
      <c r="E298">
        <v>12.615346696026398</v>
      </c>
      <c r="F298">
        <v>0.45158936162702829</v>
      </c>
      <c r="G298">
        <v>0.18583094720660881</v>
      </c>
      <c r="H298">
        <v>16.74723299513996</v>
      </c>
      <c r="I298">
        <v>12.862260233712545</v>
      </c>
      <c r="J298">
        <v>0.28050141358184544</v>
      </c>
      <c r="K298">
        <v>0.11500206277377438</v>
      </c>
      <c r="L298">
        <v>16.742236289931824</v>
      </c>
      <c r="M298">
        <v>12.77524246977995</v>
      </c>
      <c r="N298">
        <v>0.34084085438935069</v>
      </c>
      <c r="O298">
        <v>0.13992150660617489</v>
      </c>
      <c r="P298">
        <v>16.743995169224519</v>
      </c>
      <c r="Q298">
        <v>12.729736820103811</v>
      </c>
      <c r="R298">
        <v>0.37237604846495576</v>
      </c>
      <c r="S298">
        <v>0.15297126805363342</v>
      </c>
      <c r="T298">
        <v>16.744915863377582</v>
      </c>
      <c r="U298">
        <v>1583.3457111439502</v>
      </c>
      <c r="V298">
        <v>9.936504677332417</v>
      </c>
      <c r="W298">
        <v>1310.8931936764182</v>
      </c>
      <c r="X298">
        <v>7.1218438030110702</v>
      </c>
      <c r="Y298">
        <v>2912.1393095205999</v>
      </c>
      <c r="Z298">
        <v>9.982866443923875</v>
      </c>
      <c r="AA298">
        <v>2738.392752867288</v>
      </c>
      <c r="AB298">
        <v>7.1485763916806242</v>
      </c>
      <c r="AC298">
        <v>2250.6536685054593</v>
      </c>
      <c r="AD298">
        <v>9.9665285342948522</v>
      </c>
      <c r="AE298">
        <v>2035.9962090600764</v>
      </c>
      <c r="AF298">
        <v>7.1391674870387192</v>
      </c>
      <c r="AG298">
        <v>2133.4739665996854</v>
      </c>
      <c r="AH298">
        <v>9.9579842480620471</v>
      </c>
      <c r="AI298">
        <v>1906.6777960664483</v>
      </c>
      <c r="AJ298">
        <v>7.134241851100116</v>
      </c>
    </row>
    <row r="299" spans="4:36" x14ac:dyDescent="0.45">
      <c r="D299">
        <v>292</v>
      </c>
      <c r="E299">
        <v>11.392836542972177</v>
      </c>
      <c r="F299">
        <v>0.41416134783042174</v>
      </c>
      <c r="G299">
        <v>0.15810244482568236</v>
      </c>
      <c r="H299">
        <v>18.034899664371721</v>
      </c>
      <c r="I299">
        <v>11.603765632045929</v>
      </c>
      <c r="J299">
        <v>0.25634842679822523</v>
      </c>
      <c r="K299">
        <v>9.7520782666860109E-2</v>
      </c>
      <c r="L299">
        <v>18.042365158488977</v>
      </c>
      <c r="M299">
        <v>11.525452353925552</v>
      </c>
      <c r="N299">
        <v>0.31497106811239639</v>
      </c>
      <c r="O299">
        <v>0.11997546787491721</v>
      </c>
      <c r="P299">
        <v>18.03960111008713</v>
      </c>
      <c r="Q299">
        <v>11.508010072268791</v>
      </c>
      <c r="R299">
        <v>0.32802292564556967</v>
      </c>
      <c r="S299">
        <v>0.12498274849210039</v>
      </c>
      <c r="T299">
        <v>18.038984253593537</v>
      </c>
      <c r="U299">
        <v>1452.6929944837884</v>
      </c>
      <c r="V299">
        <v>9.0092333029265976</v>
      </c>
      <c r="W299">
        <v>1232.3718997163464</v>
      </c>
      <c r="X299">
        <v>6.5870613819335047</v>
      </c>
      <c r="Y299">
        <v>2839.9772425210676</v>
      </c>
      <c r="Z299">
        <v>9.043674106295402</v>
      </c>
      <c r="AA299">
        <v>2696.6783704449444</v>
      </c>
      <c r="AB299">
        <v>6.6079100924765397</v>
      </c>
      <c r="AC299">
        <v>2164.4246518282871</v>
      </c>
      <c r="AD299">
        <v>9.0308825798033485</v>
      </c>
      <c r="AE299">
        <v>1986.2288223575069</v>
      </c>
      <c r="AF299">
        <v>6.6001774096914225</v>
      </c>
      <c r="AG299">
        <v>2047.358742049546</v>
      </c>
      <c r="AH299">
        <v>9.0280343014664108</v>
      </c>
      <c r="AI299">
        <v>1859.1208170567313</v>
      </c>
      <c r="AJ299">
        <v>6.5984538764774818</v>
      </c>
    </row>
    <row r="300" spans="4:36" x14ac:dyDescent="0.45">
      <c r="D300">
        <v>293</v>
      </c>
      <c r="E300">
        <v>11.787150549708256</v>
      </c>
      <c r="F300">
        <v>0.45225636891932008</v>
      </c>
      <c r="G300">
        <v>0.15523934421362692</v>
      </c>
      <c r="H300">
        <v>17.605353737158786</v>
      </c>
      <c r="I300">
        <v>11.991152944664966</v>
      </c>
      <c r="J300">
        <v>0.28891359909894804</v>
      </c>
      <c r="K300">
        <v>9.8861045778491252E-2</v>
      </c>
      <c r="L300">
        <v>17.62107241045759</v>
      </c>
      <c r="M300">
        <v>11.925265173415101</v>
      </c>
      <c r="N300">
        <v>0.34169084064244859</v>
      </c>
      <c r="O300">
        <v>0.11703821599060131</v>
      </c>
      <c r="P300">
        <v>17.616005769951848</v>
      </c>
      <c r="Q300">
        <v>11.866565954906427</v>
      </c>
      <c r="R300">
        <v>0.38869267583495182</v>
      </c>
      <c r="S300">
        <v>0.13325754857651728</v>
      </c>
      <c r="T300">
        <v>17.61148382068211</v>
      </c>
      <c r="U300">
        <v>1503.9575979303609</v>
      </c>
      <c r="V300">
        <v>9.3869816629595881</v>
      </c>
      <c r="W300">
        <v>1264.4770945694029</v>
      </c>
      <c r="X300">
        <v>6.8155480162696431</v>
      </c>
      <c r="Y300">
        <v>2866.8049645417664</v>
      </c>
      <c r="Z300">
        <v>9.4151247327986507</v>
      </c>
      <c r="AA300">
        <v>2712.1037586674574</v>
      </c>
      <c r="AB300">
        <v>6.8327935406663913</v>
      </c>
      <c r="AC300">
        <v>2177.4099671945196</v>
      </c>
      <c r="AD300">
        <v>9.4060295918308601</v>
      </c>
      <c r="AE300">
        <v>1991.6175774850283</v>
      </c>
      <c r="AF300">
        <v>6.8272284421769793</v>
      </c>
      <c r="AG300">
        <v>2098.2022289200618</v>
      </c>
      <c r="AH300">
        <v>9.3979312590180744</v>
      </c>
      <c r="AI300">
        <v>1889.3814729105809</v>
      </c>
      <c r="AJ300">
        <v>6.8222666845241511</v>
      </c>
    </row>
    <row r="301" spans="4:36" x14ac:dyDescent="0.45">
      <c r="D301">
        <v>294</v>
      </c>
      <c r="E301">
        <v>12.914947317292498</v>
      </c>
      <c r="F301">
        <v>0.44745338687669189</v>
      </c>
      <c r="G301">
        <v>0.17243661355861545</v>
      </c>
      <c r="H301">
        <v>16.465162682272204</v>
      </c>
      <c r="I301">
        <v>13.132603592961095</v>
      </c>
      <c r="J301">
        <v>0.29226393203049583</v>
      </c>
      <c r="K301">
        <v>0.11227751105432104</v>
      </c>
      <c r="L301">
        <v>16.462854963954076</v>
      </c>
      <c r="M301">
        <v>13.010694513068353</v>
      </c>
      <c r="N301">
        <v>0.37922034782531061</v>
      </c>
      <c r="O301">
        <v>0.14593883594023013</v>
      </c>
      <c r="P301">
        <v>16.464146303166089</v>
      </c>
      <c r="Q301">
        <v>13.008713069006994</v>
      </c>
      <c r="R301">
        <v>0.38063295776136202</v>
      </c>
      <c r="S301">
        <v>0.146486655937343</v>
      </c>
      <c r="T301">
        <v>16.46416731729428</v>
      </c>
      <c r="U301">
        <v>1563.0793407600497</v>
      </c>
      <c r="V301">
        <v>10.190642463535713</v>
      </c>
      <c r="W301">
        <v>1295.0252697940884</v>
      </c>
      <c r="X301">
        <v>7.2737870228650845</v>
      </c>
      <c r="Y301">
        <v>2924.1865952233775</v>
      </c>
      <c r="Z301">
        <v>10.232250019720817</v>
      </c>
      <c r="AA301">
        <v>2745.0246121245045</v>
      </c>
      <c r="AB301">
        <v>7.2976793810112746</v>
      </c>
      <c r="AC301">
        <v>2264.8368442836827</v>
      </c>
      <c r="AD301">
        <v>10.208946542640104</v>
      </c>
      <c r="AE301">
        <v>2041.6774125748868</v>
      </c>
      <c r="AF301">
        <v>7.2843073865908483</v>
      </c>
      <c r="AG301">
        <v>2150.6645025937041</v>
      </c>
      <c r="AH301">
        <v>10.208567762181438</v>
      </c>
      <c r="AI301">
        <v>1916.9928769560079</v>
      </c>
      <c r="AJ301">
        <v>7.2840898340733711</v>
      </c>
    </row>
    <row r="302" spans="4:36" x14ac:dyDescent="0.45">
      <c r="D302">
        <v>295</v>
      </c>
      <c r="E302">
        <v>11.947772026544575</v>
      </c>
      <c r="F302">
        <v>0.44739303935890146</v>
      </c>
      <c r="G302">
        <v>0.15821955342503111</v>
      </c>
      <c r="H302">
        <v>17.44661538067151</v>
      </c>
      <c r="I302">
        <v>12.140402774521144</v>
      </c>
      <c r="J302">
        <v>0.29374505080022734</v>
      </c>
      <c r="K302">
        <v>0.103587372337791</v>
      </c>
      <c r="L302">
        <v>17.46226480234084</v>
      </c>
      <c r="M302">
        <v>12.082607794291796</v>
      </c>
      <c r="N302">
        <v>0.33986256813029214</v>
      </c>
      <c r="O302">
        <v>0.11995223766136599</v>
      </c>
      <c r="P302">
        <v>17.457577399916556</v>
      </c>
      <c r="Q302">
        <v>12.034519794622691</v>
      </c>
      <c r="R302">
        <v>0.37822233099537345</v>
      </c>
      <c r="S302">
        <v>0.13358574106808963</v>
      </c>
      <c r="T302">
        <v>17.453672133313844</v>
      </c>
      <c r="U302">
        <v>1519.2371097177631</v>
      </c>
      <c r="V302">
        <v>9.4643847973451809</v>
      </c>
      <c r="W302">
        <v>1274.6778514457042</v>
      </c>
      <c r="X302">
        <v>6.8554824407423025</v>
      </c>
      <c r="Y302">
        <v>2869.9121994309648</v>
      </c>
      <c r="Z302">
        <v>9.4931275147486129</v>
      </c>
      <c r="AA302">
        <v>2713.1371544289295</v>
      </c>
      <c r="AB302">
        <v>6.8730071708789788</v>
      </c>
      <c r="AC302">
        <v>2178.6148220531736</v>
      </c>
      <c r="AD302">
        <v>9.4844991092931146</v>
      </c>
      <c r="AE302">
        <v>1991.6156427485055</v>
      </c>
      <c r="AF302">
        <v>6.8677536495831841</v>
      </c>
      <c r="AG302">
        <v>2073.8526714666677</v>
      </c>
      <c r="AH302">
        <v>9.4773229723270731</v>
      </c>
      <c r="AI302">
        <v>1871.2979329488787</v>
      </c>
      <c r="AJ302">
        <v>6.8633796097977964</v>
      </c>
    </row>
    <row r="303" spans="4:36" x14ac:dyDescent="0.45">
      <c r="D303">
        <v>296</v>
      </c>
      <c r="E303">
        <v>12.313982349747528</v>
      </c>
      <c r="F303">
        <v>0.43899905415330159</v>
      </c>
      <c r="G303">
        <v>0.16502944755372248</v>
      </c>
      <c r="H303">
        <v>17.081989148545428</v>
      </c>
      <c r="I303">
        <v>12.517829405205811</v>
      </c>
      <c r="J303">
        <v>0.28515918244084282</v>
      </c>
      <c r="K303">
        <v>0.10686553896256749</v>
      </c>
      <c r="L303">
        <v>17.090145873390775</v>
      </c>
      <c r="M303">
        <v>12.428372133134959</v>
      </c>
      <c r="N303">
        <v>0.3526990086397066</v>
      </c>
      <c r="O303">
        <v>0.13235600781825543</v>
      </c>
      <c r="P303">
        <v>17.08657285040708</v>
      </c>
      <c r="Q303">
        <v>12.378479436829998</v>
      </c>
      <c r="R303">
        <v>0.39034881222237594</v>
      </c>
      <c r="S303">
        <v>0.14659608497655857</v>
      </c>
      <c r="T303">
        <v>17.084575665971077</v>
      </c>
      <c r="U303">
        <v>1532.0863617855739</v>
      </c>
      <c r="V303">
        <v>9.7344606669205582</v>
      </c>
      <c r="W303">
        <v>1278.8450003197149</v>
      </c>
      <c r="X303">
        <v>7.0116928195814365</v>
      </c>
      <c r="Y303">
        <v>2901.2139838958369</v>
      </c>
      <c r="Z303">
        <v>9.768643035046324</v>
      </c>
      <c r="AA303">
        <v>2732.7463625033888</v>
      </c>
      <c r="AB303">
        <v>7.0319384934550708</v>
      </c>
      <c r="AC303">
        <v>2209.0663992799164</v>
      </c>
      <c r="AD303">
        <v>9.7536391334463239</v>
      </c>
      <c r="AE303">
        <v>2008.1398575069231</v>
      </c>
      <c r="AF303">
        <v>7.0230610366686204</v>
      </c>
      <c r="AG303">
        <v>2116.4380694682723</v>
      </c>
      <c r="AH303">
        <v>9.7452731854529677</v>
      </c>
      <c r="AI303">
        <v>1896.2743808039195</v>
      </c>
      <c r="AJ303">
        <v>7.0181049278925389</v>
      </c>
    </row>
    <row r="304" spans="4:36" x14ac:dyDescent="0.45">
      <c r="D304">
        <v>297</v>
      </c>
      <c r="E304">
        <v>11.663137623593776</v>
      </c>
      <c r="F304">
        <v>0.42723694752166747</v>
      </c>
      <c r="G304">
        <v>0.18032571396222927</v>
      </c>
      <c r="H304">
        <v>17.729299714922316</v>
      </c>
      <c r="I304">
        <v>11.86750318018696</v>
      </c>
      <c r="J304">
        <v>0.26963651980650249</v>
      </c>
      <c r="K304">
        <v>0.11343545922472965</v>
      </c>
      <c r="L304">
        <v>17.74942484078181</v>
      </c>
      <c r="M304">
        <v>11.761630132614929</v>
      </c>
      <c r="N304">
        <v>0.35131038214846927</v>
      </c>
      <c r="O304">
        <v>0.14804494723398079</v>
      </c>
      <c r="P304">
        <v>17.739014538002621</v>
      </c>
      <c r="Q304">
        <v>11.775853111457639</v>
      </c>
      <c r="R304">
        <v>0.34034178403126514</v>
      </c>
      <c r="S304">
        <v>0.14339009839404943</v>
      </c>
      <c r="T304">
        <v>17.74041500611705</v>
      </c>
      <c r="U304">
        <v>1503.1723296217901</v>
      </c>
      <c r="V304">
        <v>9.212032502722721</v>
      </c>
      <c r="W304">
        <v>1263.0491275717388</v>
      </c>
      <c r="X304">
        <v>6.7013279351675346</v>
      </c>
      <c r="Y304">
        <v>2885.388052982205</v>
      </c>
      <c r="Z304">
        <v>9.238225895650432</v>
      </c>
      <c r="AA304">
        <v>2725.4573747767413</v>
      </c>
      <c r="AB304">
        <v>6.7177880843846598</v>
      </c>
      <c r="AC304">
        <v>2215.3774020985466</v>
      </c>
      <c r="AD304">
        <v>9.224646753965855</v>
      </c>
      <c r="AE304">
        <v>2016.2961374516881</v>
      </c>
      <c r="AF304">
        <v>6.70926498326748</v>
      </c>
      <c r="AG304">
        <v>2082.7160115344177</v>
      </c>
      <c r="AH304">
        <v>9.2264697973842171</v>
      </c>
      <c r="AI304">
        <v>1879.6796169734678</v>
      </c>
      <c r="AJ304">
        <v>6.7104104977193906</v>
      </c>
    </row>
    <row r="305" spans="4:36" x14ac:dyDescent="0.45">
      <c r="D305">
        <v>298</v>
      </c>
      <c r="E305">
        <v>11.587801708606241</v>
      </c>
      <c r="F305">
        <v>0.41921686896505228</v>
      </c>
      <c r="G305">
        <v>0.13480044986267309</v>
      </c>
      <c r="H305">
        <v>17.858180972566036</v>
      </c>
      <c r="I305">
        <v>11.762284923294718</v>
      </c>
      <c r="J305">
        <v>0.28266279959504176</v>
      </c>
      <c r="K305">
        <v>9.0656825678099254E-2</v>
      </c>
      <c r="L305">
        <v>17.864395451432134</v>
      </c>
      <c r="M305">
        <v>11.700597298157092</v>
      </c>
      <c r="N305">
        <v>0.33095864448125173</v>
      </c>
      <c r="O305">
        <v>0.10624299459266172</v>
      </c>
      <c r="P305">
        <v>17.862201062768989</v>
      </c>
      <c r="Q305">
        <v>11.665495903448537</v>
      </c>
      <c r="R305">
        <v>0.35843117008350522</v>
      </c>
      <c r="S305">
        <v>0.11512182959998103</v>
      </c>
      <c r="T305">
        <v>17.860951096867979</v>
      </c>
      <c r="U305">
        <v>1489.6381398984897</v>
      </c>
      <c r="V305">
        <v>9.1679926381908352</v>
      </c>
      <c r="W305">
        <v>1259.6102710134801</v>
      </c>
      <c r="X305">
        <v>6.6836793444277713</v>
      </c>
      <c r="Y305">
        <v>2854.9224554521184</v>
      </c>
      <c r="Z305">
        <v>9.1963156421397017</v>
      </c>
      <c r="AA305">
        <v>2705.8772482056293</v>
      </c>
      <c r="AB305">
        <v>6.7006127883453415</v>
      </c>
      <c r="AC305">
        <v>2165.1895363537092</v>
      </c>
      <c r="AD305">
        <v>9.1863006705271939</v>
      </c>
      <c r="AE305">
        <v>1985.8874221242197</v>
      </c>
      <c r="AF305">
        <v>6.6946316157946741</v>
      </c>
      <c r="AG305">
        <v>2040.6231817225346</v>
      </c>
      <c r="AH305">
        <v>9.1806027083611266</v>
      </c>
      <c r="AI305">
        <v>1852.176550041351</v>
      </c>
      <c r="AJ305">
        <v>6.6912255156511407</v>
      </c>
    </row>
    <row r="306" spans="4:36" x14ac:dyDescent="0.45">
      <c r="D306">
        <v>299</v>
      </c>
      <c r="E306">
        <v>11.176375666577439</v>
      </c>
      <c r="F306">
        <v>0.40806107764490002</v>
      </c>
      <c r="G306">
        <v>0.16681704654171403</v>
      </c>
      <c r="H306">
        <v>18.248746209235954</v>
      </c>
      <c r="I306">
        <v>11.340701498427251</v>
      </c>
      <c r="J306">
        <v>0.2771345681005643</v>
      </c>
      <c r="K306">
        <v>0.11299534256396954</v>
      </c>
      <c r="L306">
        <v>18.269168590908208</v>
      </c>
      <c r="M306">
        <v>11.2776761261186</v>
      </c>
      <c r="N306">
        <v>0.32736581733060943</v>
      </c>
      <c r="O306">
        <v>0.13361060279550249</v>
      </c>
      <c r="P306">
        <v>18.261347453755299</v>
      </c>
      <c r="Q306">
        <v>11.243720916349487</v>
      </c>
      <c r="R306">
        <v>0.35441999554012754</v>
      </c>
      <c r="S306">
        <v>0.14473129639505874</v>
      </c>
      <c r="T306">
        <v>18.257127791715327</v>
      </c>
      <c r="U306">
        <v>1466.2875822098522</v>
      </c>
      <c r="V306">
        <v>8.7635665355872323</v>
      </c>
      <c r="W306">
        <v>1241.0779522031148</v>
      </c>
      <c r="X306">
        <v>6.4287287306170828</v>
      </c>
      <c r="Y306">
        <v>2850.9053139297889</v>
      </c>
      <c r="Z306">
        <v>8.7820561555864121</v>
      </c>
      <c r="AA306">
        <v>2701.7785838941268</v>
      </c>
      <c r="AB306">
        <v>6.4407235409674612</v>
      </c>
      <c r="AC306">
        <v>2172.6583112198728</v>
      </c>
      <c r="AD306">
        <v>8.7749577357615003</v>
      </c>
      <c r="AE306">
        <v>1989.8958112173286</v>
      </c>
      <c r="AF306">
        <v>6.4361250928035902</v>
      </c>
      <c r="AG306">
        <v>2068.2520495773365</v>
      </c>
      <c r="AH306">
        <v>8.771136992843342</v>
      </c>
      <c r="AI306">
        <v>1870.8476868543382</v>
      </c>
      <c r="AJ306">
        <v>6.4336466149023916</v>
      </c>
    </row>
    <row r="307" spans="4:36" x14ac:dyDescent="0.45">
      <c r="D307">
        <v>300</v>
      </c>
      <c r="E307">
        <v>11.772293320697058</v>
      </c>
      <c r="F307">
        <v>0.42087172158877034</v>
      </c>
      <c r="G307">
        <v>0.14776757579055116</v>
      </c>
      <c r="H307">
        <v>17.659067381923613</v>
      </c>
      <c r="I307">
        <v>11.9870035563578</v>
      </c>
      <c r="J307">
        <v>0.26208336289602163</v>
      </c>
      <c r="K307">
        <v>9.1719782535216968E-2</v>
      </c>
      <c r="L307">
        <v>17.659193298210951</v>
      </c>
      <c r="M307">
        <v>11.931521179391124</v>
      </c>
      <c r="N307">
        <v>0.30314109523354554</v>
      </c>
      <c r="O307">
        <v>0.10617681996348233</v>
      </c>
      <c r="P307">
        <v>17.659160905411856</v>
      </c>
      <c r="Q307">
        <v>11.875954444148308</v>
      </c>
      <c r="R307">
        <v>0.34424323694109971</v>
      </c>
      <c r="S307">
        <v>0.12067395611383061</v>
      </c>
      <c r="T307">
        <v>17.659128362796768</v>
      </c>
      <c r="U307">
        <v>1460.9875402182129</v>
      </c>
      <c r="V307">
        <v>9.2645302030505619</v>
      </c>
      <c r="W307">
        <v>1238.293851404386</v>
      </c>
      <c r="X307">
        <v>6.7339664412506162</v>
      </c>
      <c r="Y307">
        <v>2835.0805330739836</v>
      </c>
      <c r="Z307">
        <v>9.3054235405194543</v>
      </c>
      <c r="AA307">
        <v>2692.7804922683476</v>
      </c>
      <c r="AB307">
        <v>6.7580326463476235</v>
      </c>
      <c r="AC307">
        <v>2140.7429121884957</v>
      </c>
      <c r="AD307">
        <v>9.2948561858648304</v>
      </c>
      <c r="AE307">
        <v>1969.8621523209299</v>
      </c>
      <c r="AF307">
        <v>6.7518224003913812</v>
      </c>
      <c r="AG307">
        <v>2029.8532412387774</v>
      </c>
      <c r="AH307">
        <v>9.2842729572678042</v>
      </c>
      <c r="AI307">
        <v>1845.1872954389053</v>
      </c>
      <c r="AJ307">
        <v>6.7455967347742076</v>
      </c>
    </row>
    <row r="308" spans="4:36" x14ac:dyDescent="0.45">
      <c r="D308">
        <v>301</v>
      </c>
      <c r="E308">
        <v>13.854676134548981</v>
      </c>
      <c r="F308">
        <v>0.5241545801768287</v>
      </c>
      <c r="G308">
        <v>0.16869241370008525</v>
      </c>
      <c r="H308">
        <v>15.452476871574101</v>
      </c>
      <c r="I308">
        <v>14.116466246293312</v>
      </c>
      <c r="J308">
        <v>0.33718122830683689</v>
      </c>
      <c r="K308">
        <v>0.10815942323263029</v>
      </c>
      <c r="L308">
        <v>15.438193102167206</v>
      </c>
      <c r="M308">
        <v>14.032594897362486</v>
      </c>
      <c r="N308">
        <v>0.39712552989457128</v>
      </c>
      <c r="O308">
        <v>0.12752229412620658</v>
      </c>
      <c r="P308">
        <v>15.442757278616732</v>
      </c>
      <c r="Q308">
        <v>13.981192288270904</v>
      </c>
      <c r="R308">
        <v>0.43384415746104821</v>
      </c>
      <c r="S308">
        <v>0.13940344169918034</v>
      </c>
      <c r="T308">
        <v>15.445560112568858</v>
      </c>
      <c r="U308">
        <v>1636.5103839669005</v>
      </c>
      <c r="V308">
        <v>10.938611085464052</v>
      </c>
      <c r="W308">
        <v>1339.6028718879943</v>
      </c>
      <c r="X308">
        <v>7.6999391940032531</v>
      </c>
      <c r="Y308">
        <v>2947.0867592857762</v>
      </c>
      <c r="Z308">
        <v>10.995186008149993</v>
      </c>
      <c r="AA308">
        <v>2756.5047696552729</v>
      </c>
      <c r="AB308">
        <v>7.7314575176007754</v>
      </c>
      <c r="AC308">
        <v>2319.4332422042567</v>
      </c>
      <c r="AD308">
        <v>10.977067269439145</v>
      </c>
      <c r="AE308">
        <v>2077.358109898109</v>
      </c>
      <c r="AF308">
        <v>7.7213743053644821</v>
      </c>
      <c r="AG308">
        <v>2197.9422928362987</v>
      </c>
      <c r="AH308">
        <v>10.96595973091368</v>
      </c>
      <c r="AI308">
        <v>1944.7060367009342</v>
      </c>
      <c r="AJ308">
        <v>7.7151878358511041</v>
      </c>
    </row>
    <row r="309" spans="4:36" x14ac:dyDescent="0.45">
      <c r="D309">
        <v>302</v>
      </c>
      <c r="E309">
        <v>12.087483330833688</v>
      </c>
      <c r="F309">
        <v>0.39694525524259844</v>
      </c>
      <c r="G309">
        <v>0.1706706179493275</v>
      </c>
      <c r="H309">
        <v>17.344900795974386</v>
      </c>
      <c r="I309">
        <v>12.282543367974091</v>
      </c>
      <c r="J309">
        <v>0.26323138192863899</v>
      </c>
      <c r="K309">
        <v>0.11283603037602438</v>
      </c>
      <c r="L309">
        <v>17.341389219721236</v>
      </c>
      <c r="M309">
        <v>12.226605990721861</v>
      </c>
      <c r="N309">
        <v>0.30160231020281547</v>
      </c>
      <c r="O309">
        <v>0.12939604712729666</v>
      </c>
      <c r="P309">
        <v>17.342395651948035</v>
      </c>
      <c r="Q309">
        <v>12.19978943848858</v>
      </c>
      <c r="R309">
        <v>0.31999012668920024</v>
      </c>
      <c r="S309">
        <v>0.13734213012042382</v>
      </c>
      <c r="T309">
        <v>17.342878304701795</v>
      </c>
      <c r="U309">
        <v>1533.2256799172892</v>
      </c>
      <c r="V309">
        <v>9.5946462791436531</v>
      </c>
      <c r="W309">
        <v>1285.5313472037897</v>
      </c>
      <c r="X309">
        <v>6.9398321573751334</v>
      </c>
      <c r="Y309">
        <v>2887.2471118079638</v>
      </c>
      <c r="Z309">
        <v>9.6351386186131123</v>
      </c>
      <c r="AA309">
        <v>2725.9446607543832</v>
      </c>
      <c r="AB309">
        <v>6.9634372559296045</v>
      </c>
      <c r="AC309">
        <v>2192.2347060150773</v>
      </c>
      <c r="AD309">
        <v>9.6235269077644894</v>
      </c>
      <c r="AE309">
        <v>2001.9910321208743</v>
      </c>
      <c r="AF309">
        <v>6.9566760926701239</v>
      </c>
      <c r="AG309">
        <v>2080.4189281526542</v>
      </c>
      <c r="AH309">
        <v>9.6179601378657811</v>
      </c>
      <c r="AI309">
        <v>1877.9423398223184</v>
      </c>
      <c r="AJ309">
        <v>6.9534324805279564</v>
      </c>
    </row>
    <row r="310" spans="4:36" x14ac:dyDescent="0.45">
      <c r="D310">
        <v>303</v>
      </c>
      <c r="E310">
        <v>11.696739522267087</v>
      </c>
      <c r="F310">
        <v>0.4697570763775854</v>
      </c>
      <c r="G310">
        <v>0.15364390386936033</v>
      </c>
      <c r="H310">
        <v>17.679859497485978</v>
      </c>
      <c r="I310">
        <v>11.905687397091006</v>
      </c>
      <c r="J310">
        <v>0.29650372178681811</v>
      </c>
      <c r="K310">
        <v>9.6672742662429562E-2</v>
      </c>
      <c r="L310">
        <v>17.701136138459738</v>
      </c>
      <c r="M310">
        <v>11.842465016341787</v>
      </c>
      <c r="N310">
        <v>0.34894503352407319</v>
      </c>
      <c r="O310">
        <v>0.11387878038189532</v>
      </c>
      <c r="P310">
        <v>17.694711169752232</v>
      </c>
      <c r="Q310">
        <v>11.791126759746673</v>
      </c>
      <c r="R310">
        <v>0.39151656531497464</v>
      </c>
      <c r="S310">
        <v>0.1278708960342238</v>
      </c>
      <c r="T310">
        <v>17.689485778904114</v>
      </c>
      <c r="U310">
        <v>1532.7443181081301</v>
      </c>
      <c r="V310">
        <v>9.3260375449622792</v>
      </c>
      <c r="W310">
        <v>1283.3989117265949</v>
      </c>
      <c r="X310">
        <v>6.7796625829992658</v>
      </c>
      <c r="Y310">
        <v>2881.1699373775627</v>
      </c>
      <c r="Z310">
        <v>9.3535976924535298</v>
      </c>
      <c r="AA310">
        <v>2721.5095397060595</v>
      </c>
      <c r="AB310">
        <v>6.7969155151324046</v>
      </c>
      <c r="AC310">
        <v>2171.2185232141051</v>
      </c>
      <c r="AD310">
        <v>9.3452507186629319</v>
      </c>
      <c r="AE310">
        <v>1985.9556824447018</v>
      </c>
      <c r="AF310">
        <v>6.7916991594076785</v>
      </c>
      <c r="AG310">
        <v>2100.4362325284501</v>
      </c>
      <c r="AH310">
        <v>9.338477818862108</v>
      </c>
      <c r="AI310">
        <v>1890.1526884583755</v>
      </c>
      <c r="AJ310">
        <v>6.7874608321107672</v>
      </c>
    </row>
    <row r="311" spans="4:36" x14ac:dyDescent="0.45">
      <c r="D311">
        <v>304</v>
      </c>
      <c r="E311">
        <v>12.106737739205887</v>
      </c>
      <c r="F311">
        <v>0.46043173439166002</v>
      </c>
      <c r="G311">
        <v>0.18073624339561778</v>
      </c>
      <c r="H311">
        <v>17.252094283006844</v>
      </c>
      <c r="I311">
        <v>12.343697254990174</v>
      </c>
      <c r="J311">
        <v>0.2786570276175202</v>
      </c>
      <c r="K311">
        <v>0.10900359120016279</v>
      </c>
      <c r="L311">
        <v>17.268642126192137</v>
      </c>
      <c r="M311">
        <v>12.265043827721399</v>
      </c>
      <c r="N311">
        <v>0.3390260183901298</v>
      </c>
      <c r="O311">
        <v>0.13277066904772117</v>
      </c>
      <c r="P311">
        <v>17.263159484840738</v>
      </c>
      <c r="Q311">
        <v>12.204041311339692</v>
      </c>
      <c r="R311">
        <v>0.38582492769891513</v>
      </c>
      <c r="S311">
        <v>0.15123338594501504</v>
      </c>
      <c r="T311">
        <v>17.258900375016363</v>
      </c>
      <c r="U311">
        <v>1532.6463197634996</v>
      </c>
      <c r="V311">
        <v>9.5671292604259826</v>
      </c>
      <c r="W311">
        <v>1280.7512110013397</v>
      </c>
      <c r="X311">
        <v>6.9087672684834951</v>
      </c>
      <c r="Y311">
        <v>2871.4602444940565</v>
      </c>
      <c r="Z311">
        <v>9.5996376303618316</v>
      </c>
      <c r="AA311">
        <v>2713.7731505612201</v>
      </c>
      <c r="AB311">
        <v>6.9283314779958696</v>
      </c>
      <c r="AC311">
        <v>2200.8071071268155</v>
      </c>
      <c r="AD311">
        <v>9.5888421091553422</v>
      </c>
      <c r="AE311">
        <v>2005.7670551008446</v>
      </c>
      <c r="AF311">
        <v>6.9218443993347289</v>
      </c>
      <c r="AG311">
        <v>2106.510069495625</v>
      </c>
      <c r="AH311">
        <v>9.5804727231389357</v>
      </c>
      <c r="AI311">
        <v>1892.2074694002904</v>
      </c>
      <c r="AJ311">
        <v>6.9168084638987191</v>
      </c>
    </row>
    <row r="312" spans="4:36" x14ac:dyDescent="0.45">
      <c r="D312">
        <v>305</v>
      </c>
      <c r="E312">
        <v>13.170720990878486</v>
      </c>
      <c r="F312">
        <v>0.44606077394916238</v>
      </c>
      <c r="G312">
        <v>0.16003331201582691</v>
      </c>
      <c r="H312">
        <v>16.223184923156527</v>
      </c>
      <c r="I312">
        <v>13.409530062737709</v>
      </c>
      <c r="J312">
        <v>0.28624863720658256</v>
      </c>
      <c r="K312">
        <v>0.10236361869671987</v>
      </c>
      <c r="L312">
        <v>16.20185768135897</v>
      </c>
      <c r="M312">
        <v>13.321263909449849</v>
      </c>
      <c r="N312">
        <v>0.34536010888963237</v>
      </c>
      <c r="O312">
        <v>0.12365013793973045</v>
      </c>
      <c r="P312">
        <v>16.209725843720779</v>
      </c>
      <c r="Q312">
        <v>13.266351687974945</v>
      </c>
      <c r="R312">
        <v>0.38210902565122107</v>
      </c>
      <c r="S312">
        <v>0.1369098904104275</v>
      </c>
      <c r="T312">
        <v>16.214629395963406</v>
      </c>
      <c r="U312">
        <v>1541.3259679930347</v>
      </c>
      <c r="V312">
        <v>10.312203938860712</v>
      </c>
      <c r="W312">
        <v>1284.0104060421052</v>
      </c>
      <c r="X312">
        <v>7.3364332465361937</v>
      </c>
      <c r="Y312">
        <v>2904.4354080604026</v>
      </c>
      <c r="Z312">
        <v>10.368666488275544</v>
      </c>
      <c r="AA312">
        <v>2734.1519693018963</v>
      </c>
      <c r="AB312">
        <v>7.3680190160310763</v>
      </c>
      <c r="AC312">
        <v>2234.176603576554</v>
      </c>
      <c r="AD312">
        <v>10.3478053616194</v>
      </c>
      <c r="AE312">
        <v>2025.8570265470546</v>
      </c>
      <c r="AF312">
        <v>7.3563604101677402</v>
      </c>
      <c r="AG312">
        <v>2112.3409104706943</v>
      </c>
      <c r="AH312">
        <v>10.334822513322772</v>
      </c>
      <c r="AI312">
        <v>1893.1945713395889</v>
      </c>
      <c r="AJ312">
        <v>7.3490980371012755</v>
      </c>
    </row>
    <row r="313" spans="4:36" x14ac:dyDescent="0.45">
      <c r="D313">
        <v>306</v>
      </c>
      <c r="E313">
        <v>11.994984339139728</v>
      </c>
      <c r="F313">
        <v>0.48740210628668945</v>
      </c>
      <c r="G313">
        <v>0.16983495244043861</v>
      </c>
      <c r="H313">
        <v>17.347778602133129</v>
      </c>
      <c r="I313">
        <v>12.207639991690959</v>
      </c>
      <c r="J313">
        <v>0.31129824220939106</v>
      </c>
      <c r="K313">
        <v>0.10813918417464652</v>
      </c>
      <c r="L313">
        <v>17.372922581925003</v>
      </c>
      <c r="M313">
        <v>12.116962682657487</v>
      </c>
      <c r="N313">
        <v>0.38641256360921949</v>
      </c>
      <c r="O313">
        <v>0.13440760402020116</v>
      </c>
      <c r="P313">
        <v>17.362217149713089</v>
      </c>
      <c r="Q313">
        <v>12.092409153628916</v>
      </c>
      <c r="R313">
        <v>0.4067461344647082</v>
      </c>
      <c r="S313">
        <v>0.14153046622571164</v>
      </c>
      <c r="T313">
        <v>17.359314245680647</v>
      </c>
      <c r="U313">
        <v>1548.6294340064017</v>
      </c>
      <c r="V313">
        <v>9.4867823854828721</v>
      </c>
      <c r="W313">
        <v>1290.5355139808341</v>
      </c>
      <c r="X313">
        <v>6.8607890883160021</v>
      </c>
      <c r="Y313">
        <v>2899.5468478306389</v>
      </c>
      <c r="Z313">
        <v>9.5113404733798923</v>
      </c>
      <c r="AA313">
        <v>2731.7453758113411</v>
      </c>
      <c r="AB313">
        <v>6.8761251878949778</v>
      </c>
      <c r="AC313">
        <v>2222.850995172781</v>
      </c>
      <c r="AD313">
        <v>9.500860268355801</v>
      </c>
      <c r="AE313">
        <v>2018.2374146282548</v>
      </c>
      <c r="AF313">
        <v>6.8695895981955619</v>
      </c>
      <c r="AG313">
        <v>2140.927118710053</v>
      </c>
      <c r="AH313">
        <v>9.4980246200711509</v>
      </c>
      <c r="AI313">
        <v>1915.8650121024195</v>
      </c>
      <c r="AJ313">
        <v>6.8678189319090022</v>
      </c>
    </row>
    <row r="314" spans="4:36" x14ac:dyDescent="0.45">
      <c r="D314">
        <v>307</v>
      </c>
      <c r="E314">
        <v>12.998815412264474</v>
      </c>
      <c r="F314">
        <v>0.51172227466897102</v>
      </c>
      <c r="G314">
        <v>0.15499676421357447</v>
      </c>
      <c r="H314">
        <v>16.334465548852972</v>
      </c>
      <c r="I314">
        <v>13.21803353800925</v>
      </c>
      <c r="J314">
        <v>0.34128098020195247</v>
      </c>
      <c r="K314">
        <v>0.10306161770159686</v>
      </c>
      <c r="L314">
        <v>16.337623864087185</v>
      </c>
      <c r="M314">
        <v>13.128150834488562</v>
      </c>
      <c r="N314">
        <v>0.41119287107059188</v>
      </c>
      <c r="O314">
        <v>0.12432620310361565</v>
      </c>
      <c r="P314">
        <v>16.336330091337221</v>
      </c>
      <c r="Q314">
        <v>13.084301116317583</v>
      </c>
      <c r="R314">
        <v>0.44528544022003208</v>
      </c>
      <c r="S314">
        <v>0.13471512119242668</v>
      </c>
      <c r="T314">
        <v>16.335698322269948</v>
      </c>
      <c r="U314">
        <v>1517.334979562004</v>
      </c>
      <c r="V314">
        <v>10.311589916444168</v>
      </c>
      <c r="W314">
        <v>1265.0885527040796</v>
      </c>
      <c r="X314">
        <v>7.3471184346604526</v>
      </c>
      <c r="Y314">
        <v>2922.3167718077302</v>
      </c>
      <c r="Z314">
        <v>10.351580851046734</v>
      </c>
      <c r="AA314">
        <v>2745.0346618214821</v>
      </c>
      <c r="AB314">
        <v>7.3702682624966434</v>
      </c>
      <c r="AC314">
        <v>2245.2295050817434</v>
      </c>
      <c r="AD314">
        <v>10.335183010295193</v>
      </c>
      <c r="AE314">
        <v>2031.5386982588425</v>
      </c>
      <c r="AF314">
        <v>7.3607853898958755</v>
      </c>
      <c r="AG314">
        <v>2161.7269568547017</v>
      </c>
      <c r="AH314">
        <v>10.327183726551304</v>
      </c>
      <c r="AI314">
        <v>1926.6868524587881</v>
      </c>
      <c r="AJ314">
        <v>7.3561546507988469</v>
      </c>
    </row>
    <row r="315" spans="4:36" x14ac:dyDescent="0.45">
      <c r="D315">
        <v>308</v>
      </c>
      <c r="E315">
        <v>11.376177091820731</v>
      </c>
      <c r="F315">
        <v>0.44974787321147164</v>
      </c>
      <c r="G315">
        <v>0.16073559839663465</v>
      </c>
      <c r="H315">
        <v>18.013339436571179</v>
      </c>
      <c r="I315">
        <v>11.591750390588221</v>
      </c>
      <c r="J315">
        <v>0.26853218438218118</v>
      </c>
      <c r="K315">
        <v>9.5648514947084026E-2</v>
      </c>
      <c r="L315">
        <v>18.044068910082498</v>
      </c>
      <c r="M315">
        <v>11.50223232888896</v>
      </c>
      <c r="N315">
        <v>0.34380552491568778</v>
      </c>
      <c r="O315">
        <v>0.12263058169377399</v>
      </c>
      <c r="P315">
        <v>18.031331564501567</v>
      </c>
      <c r="Q315">
        <v>11.453962426030218</v>
      </c>
      <c r="R315">
        <v>0.38438118669944898</v>
      </c>
      <c r="S315">
        <v>0.13720670733275714</v>
      </c>
      <c r="T315">
        <v>18.024449679937575</v>
      </c>
      <c r="U315">
        <v>1502.6327183814742</v>
      </c>
      <c r="V315">
        <v>8.944876011995623</v>
      </c>
      <c r="W315">
        <v>1265.0258388065654</v>
      </c>
      <c r="X315">
        <v>6.5372517722413672</v>
      </c>
      <c r="Y315">
        <v>2841.9094689580656</v>
      </c>
      <c r="Z315">
        <v>8.9692092140181021</v>
      </c>
      <c r="AA315">
        <v>2696.4319434439108</v>
      </c>
      <c r="AB315">
        <v>6.5531384644928377</v>
      </c>
      <c r="AC315">
        <v>2175.8691667441963</v>
      </c>
      <c r="AD315">
        <v>8.9590909622314303</v>
      </c>
      <c r="AE315">
        <v>1991.3935596997594</v>
      </c>
      <c r="AF315">
        <v>6.546544313211915</v>
      </c>
      <c r="AG315">
        <v>2082.3442137628072</v>
      </c>
      <c r="AH315">
        <v>8.95364307859451</v>
      </c>
      <c r="AI315">
        <v>1879.2609920294924</v>
      </c>
      <c r="AJ315">
        <v>6.5429869218239451</v>
      </c>
    </row>
    <row r="316" spans="4:36" x14ac:dyDescent="0.45">
      <c r="D316">
        <v>309</v>
      </c>
      <c r="E316">
        <v>12.483202795447117</v>
      </c>
      <c r="F316">
        <v>0.44291283306039503</v>
      </c>
      <c r="G316">
        <v>0.16680145312559913</v>
      </c>
      <c r="H316">
        <v>16.907082918366875</v>
      </c>
      <c r="I316">
        <v>12.704685357724555</v>
      </c>
      <c r="J316">
        <v>0.2865446591683109</v>
      </c>
      <c r="K316">
        <v>0.10755315557306104</v>
      </c>
      <c r="L316">
        <v>16.901216827534071</v>
      </c>
      <c r="M316">
        <v>12.612372566922263</v>
      </c>
      <c r="N316">
        <v>0.35175517078974466</v>
      </c>
      <c r="O316">
        <v>0.13221277256086109</v>
      </c>
      <c r="P316">
        <v>16.903659489727133</v>
      </c>
      <c r="Q316">
        <v>12.602253595449305</v>
      </c>
      <c r="R316">
        <v>0.35890008721441186</v>
      </c>
      <c r="S316">
        <v>0.13491887364968858</v>
      </c>
      <c r="T316">
        <v>16.903927443686577</v>
      </c>
      <c r="U316">
        <v>1555.9313260236765</v>
      </c>
      <c r="V316">
        <v>9.8603156325316039</v>
      </c>
      <c r="W316">
        <v>1296.8077359107547</v>
      </c>
      <c r="X316">
        <v>7.084881031811495</v>
      </c>
      <c r="Y316">
        <v>2897.384041527238</v>
      </c>
      <c r="Z316">
        <v>9.9055496170963622</v>
      </c>
      <c r="AA316">
        <v>2730.4413227315204</v>
      </c>
      <c r="AB316">
        <v>7.1109471495731267</v>
      </c>
      <c r="AC316">
        <v>2211.6956967717483</v>
      </c>
      <c r="AD316">
        <v>9.8866979085730904</v>
      </c>
      <c r="AE316">
        <v>2010.898881865334</v>
      </c>
      <c r="AF316">
        <v>7.1000947841594861</v>
      </c>
      <c r="AG316">
        <v>2113.1357483140523</v>
      </c>
      <c r="AH316">
        <v>9.8846313199797855</v>
      </c>
      <c r="AI316">
        <v>1897.218735938899</v>
      </c>
      <c r="AJ316">
        <v>7.098904164680981</v>
      </c>
    </row>
    <row r="317" spans="4:36" x14ac:dyDescent="0.45">
      <c r="D317">
        <v>310</v>
      </c>
      <c r="E317">
        <v>11.005933652899131</v>
      </c>
      <c r="F317">
        <v>0.40159822906754172</v>
      </c>
      <c r="G317">
        <v>0.16466116522658078</v>
      </c>
      <c r="H317">
        <v>18.427806952806744</v>
      </c>
      <c r="I317">
        <v>11.18246566092764</v>
      </c>
      <c r="J317">
        <v>0.26088085548062917</v>
      </c>
      <c r="K317">
        <v>0.10666080429533914</v>
      </c>
      <c r="L317">
        <v>18.449992679296408</v>
      </c>
      <c r="M317">
        <v>11.10994264365347</v>
      </c>
      <c r="N317">
        <v>0.31870927325824239</v>
      </c>
      <c r="O317">
        <v>0.13045585288170253</v>
      </c>
      <c r="P317">
        <v>18.440892230206565</v>
      </c>
      <c r="Q317">
        <v>11.072932439989307</v>
      </c>
      <c r="R317">
        <v>0.34821040137317472</v>
      </c>
      <c r="S317">
        <v>0.14261655536747936</v>
      </c>
      <c r="T317">
        <v>18.436240603270022</v>
      </c>
      <c r="U317">
        <v>1432.0309759282379</v>
      </c>
      <c r="V317">
        <v>8.7429323131862109</v>
      </c>
      <c r="W317">
        <v>1219.4633254927512</v>
      </c>
      <c r="X317">
        <v>6.433899396920121</v>
      </c>
      <c r="Y317">
        <v>2821.2440313678048</v>
      </c>
      <c r="Z317">
        <v>8.7654962173363185</v>
      </c>
      <c r="AA317">
        <v>2683.4094428515282</v>
      </c>
      <c r="AB317">
        <v>6.4484554376352534</v>
      </c>
      <c r="AC317">
        <v>2129.0703084884594</v>
      </c>
      <c r="AD317">
        <v>8.7562181480094825</v>
      </c>
      <c r="AE317">
        <v>1960.9714494439017</v>
      </c>
      <c r="AF317">
        <v>6.4424786757752814</v>
      </c>
      <c r="AG317">
        <v>2033.4563844857637</v>
      </c>
      <c r="AH317">
        <v>8.7514878047613909</v>
      </c>
      <c r="AI317">
        <v>1848.4198914495159</v>
      </c>
      <c r="AJ317">
        <v>6.4394269007802389</v>
      </c>
    </row>
    <row r="318" spans="4:36" x14ac:dyDescent="0.45">
      <c r="D318">
        <v>311</v>
      </c>
      <c r="E318">
        <v>12.014522493203208</v>
      </c>
      <c r="F318">
        <v>0.45628966405984112</v>
      </c>
      <c r="G318">
        <v>0.1730051504006889</v>
      </c>
      <c r="H318">
        <v>17.356182692336276</v>
      </c>
      <c r="I318">
        <v>12.217429398871031</v>
      </c>
      <c r="J318">
        <v>0.29725205283583545</v>
      </c>
      <c r="K318">
        <v>0.11235259896219381</v>
      </c>
      <c r="L318">
        <v>17.372965949330947</v>
      </c>
      <c r="M318">
        <v>12.13331197699803</v>
      </c>
      <c r="N318">
        <v>0.36320798838808332</v>
      </c>
      <c r="O318">
        <v>0.13745965174224731</v>
      </c>
      <c r="P318">
        <v>17.366020382871632</v>
      </c>
      <c r="Q318">
        <v>12.112442146892992</v>
      </c>
      <c r="R318">
        <v>0.37956641883785369</v>
      </c>
      <c r="S318">
        <v>0.14369691964009518</v>
      </c>
      <c r="T318">
        <v>17.364294514629055</v>
      </c>
      <c r="U318">
        <v>1559.2272766995413</v>
      </c>
      <c r="V318">
        <v>9.4553962034332528</v>
      </c>
      <c r="W318">
        <v>1298.7715746761053</v>
      </c>
      <c r="X318">
        <v>6.837847536701263</v>
      </c>
      <c r="Y318">
        <v>2896.5196044964664</v>
      </c>
      <c r="Z318">
        <v>9.481054834274186</v>
      </c>
      <c r="AA318">
        <v>2729.3737810882649</v>
      </c>
      <c r="AB318">
        <v>6.8536718577742546</v>
      </c>
      <c r="AC318">
        <v>2231.40383355318</v>
      </c>
      <c r="AD318">
        <v>9.4704106821811447</v>
      </c>
      <c r="AE318">
        <v>2024.7475244126053</v>
      </c>
      <c r="AF318">
        <v>6.8471158710291089</v>
      </c>
      <c r="AG318">
        <v>2118.7897433778699</v>
      </c>
      <c r="AH318">
        <v>9.4677713738484623</v>
      </c>
      <c r="AI318">
        <v>1900.279732037623</v>
      </c>
      <c r="AJ318">
        <v>6.8454883977376682</v>
      </c>
    </row>
    <row r="319" spans="4:36" x14ac:dyDescent="0.45">
      <c r="D319">
        <v>312</v>
      </c>
      <c r="E319">
        <v>11.039283474528615</v>
      </c>
      <c r="F319">
        <v>0.40667634227470695</v>
      </c>
      <c r="G319">
        <v>0.14673097722671274</v>
      </c>
      <c r="H319">
        <v>18.407309205969959</v>
      </c>
      <c r="I319">
        <v>11.23147221378755</v>
      </c>
      <c r="J319">
        <v>0.25856562649362858</v>
      </c>
      <c r="K319">
        <v>9.2998360517411588E-2</v>
      </c>
      <c r="L319">
        <v>18.416963799201412</v>
      </c>
      <c r="M319">
        <v>11.142668552983391</v>
      </c>
      <c r="N319">
        <v>0.32702762939752533</v>
      </c>
      <c r="O319">
        <v>0.11779285219781059</v>
      </c>
      <c r="P319">
        <v>18.412510965421269</v>
      </c>
      <c r="Q319">
        <v>11.13120878959012</v>
      </c>
      <c r="R319">
        <v>0.33585923330007605</v>
      </c>
      <c r="S319">
        <v>0.12099665610409176</v>
      </c>
      <c r="T319">
        <v>18.411935321005707</v>
      </c>
      <c r="U319">
        <v>1444.2741632109664</v>
      </c>
      <c r="V319">
        <v>8.7428266671822552</v>
      </c>
      <c r="W319">
        <v>1231.4046539746553</v>
      </c>
      <c r="X319">
        <v>6.4326778309237467</v>
      </c>
      <c r="Y319">
        <v>2837.7590618549216</v>
      </c>
      <c r="Z319">
        <v>8.7750610656230208</v>
      </c>
      <c r="AA319">
        <v>2697.8597539504017</v>
      </c>
      <c r="AB319">
        <v>6.4523921916743223</v>
      </c>
      <c r="AC319">
        <v>2142.7333492194484</v>
      </c>
      <c r="AD319">
        <v>8.7601621539884036</v>
      </c>
      <c r="AE319">
        <v>1972.9816802884152</v>
      </c>
      <c r="AF319">
        <v>6.4432904782043954</v>
      </c>
      <c r="AG319">
        <v>2034.2653709699828</v>
      </c>
      <c r="AH319">
        <v>8.7582400724414917</v>
      </c>
      <c r="AI319">
        <v>1852.7688472487071</v>
      </c>
      <c r="AJ319">
        <v>6.4421149914201941</v>
      </c>
    </row>
    <row r="320" spans="4:36" x14ac:dyDescent="0.45">
      <c r="D320">
        <v>313</v>
      </c>
      <c r="E320">
        <v>12.224597796580188</v>
      </c>
      <c r="F320">
        <v>0.42569632438203447</v>
      </c>
      <c r="G320">
        <v>0.14902325465790922</v>
      </c>
      <c r="H320">
        <v>17.200682624379887</v>
      </c>
      <c r="I320">
        <v>12.408327689640046</v>
      </c>
      <c r="J320">
        <v>0.29088302855631781</v>
      </c>
      <c r="K320">
        <v>0.10156866074474072</v>
      </c>
      <c r="L320">
        <v>17.199220621058885</v>
      </c>
      <c r="M320">
        <v>12.345130588375413</v>
      </c>
      <c r="N320">
        <v>0.33727668543671874</v>
      </c>
      <c r="O320">
        <v>0.1178715333455566</v>
      </c>
      <c r="P320">
        <v>17.199721192842322</v>
      </c>
      <c r="Q320">
        <v>12.271113693169262</v>
      </c>
      <c r="R320">
        <v>0.39158362185410039</v>
      </c>
      <c r="S320">
        <v>0.13699214632968992</v>
      </c>
      <c r="T320">
        <v>17.200310538646935</v>
      </c>
      <c r="U320">
        <v>1494.8516912154648</v>
      </c>
      <c r="V320">
        <v>9.6580033663088773</v>
      </c>
      <c r="W320">
        <v>1258.060114090616</v>
      </c>
      <c r="X320">
        <v>6.969720257656868</v>
      </c>
      <c r="Y320">
        <v>2870.9826233454028</v>
      </c>
      <c r="Z320">
        <v>9.6928299195155727</v>
      </c>
      <c r="AA320">
        <v>2713.8104872583526</v>
      </c>
      <c r="AB320">
        <v>6.9898193642508799</v>
      </c>
      <c r="AC320">
        <v>2190.4498739455144</v>
      </c>
      <c r="AD320">
        <v>9.6808523885417301</v>
      </c>
      <c r="AE320">
        <v>1999.9784822670108</v>
      </c>
      <c r="AF320">
        <v>6.9829134266459674</v>
      </c>
      <c r="AG320">
        <v>2098.3674066502276</v>
      </c>
      <c r="AH320">
        <v>9.666821997891784</v>
      </c>
      <c r="AI320">
        <v>1887.7327330909309</v>
      </c>
      <c r="AJ320">
        <v>6.9748151651049177</v>
      </c>
    </row>
    <row r="321" spans="4:36" x14ac:dyDescent="0.45">
      <c r="D321">
        <v>314</v>
      </c>
      <c r="E321">
        <v>13.052049328390641</v>
      </c>
      <c r="F321">
        <v>0.51437486360508211</v>
      </c>
      <c r="G321">
        <v>0.15438008401548178</v>
      </c>
      <c r="H321">
        <v>16.279195723988806</v>
      </c>
      <c r="I321">
        <v>13.29820735136364</v>
      </c>
      <c r="J321">
        <v>0.33116626642900493</v>
      </c>
      <c r="K321">
        <v>9.9063912115515573E-2</v>
      </c>
      <c r="L321">
        <v>16.27156247009183</v>
      </c>
      <c r="M321">
        <v>13.216631189058958</v>
      </c>
      <c r="N321">
        <v>0.39191769834753742</v>
      </c>
      <c r="O321">
        <v>0.11736529704884922</v>
      </c>
      <c r="P321">
        <v>16.274085815544634</v>
      </c>
      <c r="Q321">
        <v>13.154557209364008</v>
      </c>
      <c r="R321">
        <v>0.43812126798400913</v>
      </c>
      <c r="S321">
        <v>0.13131144638562139</v>
      </c>
      <c r="T321">
        <v>16.276010076266374</v>
      </c>
      <c r="U321">
        <v>1625.8404098031797</v>
      </c>
      <c r="V321">
        <v>10.310892855365367</v>
      </c>
      <c r="W321">
        <v>1337.6754168280211</v>
      </c>
      <c r="X321">
        <v>7.3402158616412452</v>
      </c>
      <c r="Y321">
        <v>2960.9021269401605</v>
      </c>
      <c r="Z321">
        <v>10.357518202076205</v>
      </c>
      <c r="AA321">
        <v>2769.9822411666623</v>
      </c>
      <c r="AB321">
        <v>7.3667329384948914</v>
      </c>
      <c r="AC321">
        <v>2275.4656376078183</v>
      </c>
      <c r="AD321">
        <v>10.342069690814133</v>
      </c>
      <c r="AE321">
        <v>2050.5246025158663</v>
      </c>
      <c r="AF321">
        <v>7.3579571065872713</v>
      </c>
      <c r="AG321">
        <v>2187.2042641305261</v>
      </c>
      <c r="AH321">
        <v>10.33031241838683</v>
      </c>
      <c r="AI321">
        <v>1941.0332743986369</v>
      </c>
      <c r="AJ321">
        <v>7.3512714460305304</v>
      </c>
    </row>
    <row r="322" spans="4:36" x14ac:dyDescent="0.45">
      <c r="D322">
        <v>315</v>
      </c>
      <c r="E322">
        <v>12.095970339087161</v>
      </c>
      <c r="F322">
        <v>0.42802319019344776</v>
      </c>
      <c r="G322">
        <v>0.14943906171446805</v>
      </c>
      <c r="H322">
        <v>17.326567409004937</v>
      </c>
      <c r="I322">
        <v>12.284266309870086</v>
      </c>
      <c r="J322">
        <v>0.28983253729345526</v>
      </c>
      <c r="K322">
        <v>0.10091342152697205</v>
      </c>
      <c r="L322">
        <v>17.324987731309484</v>
      </c>
      <c r="M322">
        <v>12.210054390543734</v>
      </c>
      <c r="N322">
        <v>0.34432166673940218</v>
      </c>
      <c r="O322">
        <v>0.12001495367879439</v>
      </c>
      <c r="P322">
        <v>17.325608989038059</v>
      </c>
      <c r="Q322">
        <v>12.179675215635314</v>
      </c>
      <c r="R322">
        <v>0.36661785915588413</v>
      </c>
      <c r="S322">
        <v>0.12784312232060657</v>
      </c>
      <c r="T322">
        <v>17.325863802888179</v>
      </c>
      <c r="U322">
        <v>1504.037551125271</v>
      </c>
      <c r="V322">
        <v>9.5393706122259498</v>
      </c>
      <c r="W322">
        <v>1264.4328207739031</v>
      </c>
      <c r="X322">
        <v>6.8972080724657072</v>
      </c>
      <c r="Y322">
        <v>2877.1928147295625</v>
      </c>
      <c r="Z322">
        <v>9.5747145330936974</v>
      </c>
      <c r="AA322">
        <v>2718.2723510690444</v>
      </c>
      <c r="AB322">
        <v>6.9177663333113095</v>
      </c>
      <c r="AC322">
        <v>2191.4297718810917</v>
      </c>
      <c r="AD322">
        <v>9.5607854580598381</v>
      </c>
      <c r="AE322">
        <v>2000.0487418725127</v>
      </c>
      <c r="AF322">
        <v>6.9096719263824404</v>
      </c>
      <c r="AG322">
        <v>2091.5736867020919</v>
      </c>
      <c r="AH322">
        <v>9.555083191674445</v>
      </c>
      <c r="AI322">
        <v>1884.5234831698401</v>
      </c>
      <c r="AJ322">
        <v>6.9063553987909154</v>
      </c>
    </row>
    <row r="323" spans="4:36" x14ac:dyDescent="0.45">
      <c r="D323">
        <v>316</v>
      </c>
      <c r="E323">
        <v>11.47055050199598</v>
      </c>
      <c r="F323">
        <v>0.42860595351918152</v>
      </c>
      <c r="G323">
        <v>0.14344973805091371</v>
      </c>
      <c r="H323">
        <v>17.957393806433931</v>
      </c>
      <c r="I323">
        <v>11.684368375920696</v>
      </c>
      <c r="J323">
        <v>0.26210668333370596</v>
      </c>
      <c r="K323">
        <v>8.7437118145418699E-2</v>
      </c>
      <c r="L323">
        <v>17.966087822600187</v>
      </c>
      <c r="M323">
        <v>11.600669531293649</v>
      </c>
      <c r="N323">
        <v>0.32731120556570337</v>
      </c>
      <c r="O323">
        <v>0.10932852417869096</v>
      </c>
      <c r="P323">
        <v>17.96269073896196</v>
      </c>
      <c r="Q323">
        <v>11.55879507658511</v>
      </c>
      <c r="R323">
        <v>0.3599192495270242</v>
      </c>
      <c r="S323">
        <v>0.120297466852129</v>
      </c>
      <c r="T323">
        <v>17.960988207035715</v>
      </c>
      <c r="U323">
        <v>1430.2670982499756</v>
      </c>
      <c r="V323">
        <v>9.023903024082383</v>
      </c>
      <c r="W323">
        <v>1217.806235256111</v>
      </c>
      <c r="X323">
        <v>6.5895502494226346</v>
      </c>
      <c r="Y323">
        <v>2842.9698891115941</v>
      </c>
      <c r="Z323">
        <v>9.0580207170123384</v>
      </c>
      <c r="AA323">
        <v>2700.2721552710159</v>
      </c>
      <c r="AB323">
        <v>6.6101131198764644</v>
      </c>
      <c r="AC323">
        <v>2135.6541004131195</v>
      </c>
      <c r="AD323">
        <v>9.0446617363267094</v>
      </c>
      <c r="AE323">
        <v>1966.4392313607698</v>
      </c>
      <c r="AF323">
        <v>6.6020721120598642</v>
      </c>
      <c r="AG323">
        <v>2026.4440965018402</v>
      </c>
      <c r="AH323">
        <v>9.0379799996064705</v>
      </c>
      <c r="AI323">
        <v>1843.7661287694145</v>
      </c>
      <c r="AJ323">
        <v>6.5980452083026506</v>
      </c>
    </row>
    <row r="324" spans="4:36" x14ac:dyDescent="0.45">
      <c r="D324">
        <v>317</v>
      </c>
      <c r="E324">
        <v>12.780154967537433</v>
      </c>
      <c r="F324">
        <v>0.43519494458851149</v>
      </c>
      <c r="G324">
        <v>0.1436939504951221</v>
      </c>
      <c r="H324">
        <v>16.640956137378932</v>
      </c>
      <c r="I324">
        <v>12.98661927604951</v>
      </c>
      <c r="J324">
        <v>0.28809831061835356</v>
      </c>
      <c r="K324">
        <v>9.4848157319735032E-2</v>
      </c>
      <c r="L324">
        <v>16.630434256012411</v>
      </c>
      <c r="M324">
        <v>12.901916812667713</v>
      </c>
      <c r="N324">
        <v>0.34847613447301939</v>
      </c>
      <c r="O324">
        <v>0.11486263191257667</v>
      </c>
      <c r="P324">
        <v>16.634744420946699</v>
      </c>
      <c r="Q324">
        <v>12.832126886211409</v>
      </c>
      <c r="R324">
        <v>0.39819152696986981</v>
      </c>
      <c r="S324">
        <v>0.13137909794406175</v>
      </c>
      <c r="T324">
        <v>16.638302488874647</v>
      </c>
      <c r="U324">
        <v>1558.1631098802047</v>
      </c>
      <c r="V324">
        <v>10.037938580066029</v>
      </c>
      <c r="W324">
        <v>1300.6519774801257</v>
      </c>
      <c r="X324">
        <v>7.1838595880185201</v>
      </c>
      <c r="Y324">
        <v>2881.751367187509</v>
      </c>
      <c r="Z324">
        <v>10.083246264438268</v>
      </c>
      <c r="AA324">
        <v>2720.2512419745831</v>
      </c>
      <c r="AB324">
        <v>7.2095864141180996</v>
      </c>
      <c r="AC324">
        <v>2214.4105630509039</v>
      </c>
      <c r="AD324">
        <v>10.064662551802929</v>
      </c>
      <c r="AE324">
        <v>2014.5142916642114</v>
      </c>
      <c r="AF324">
        <v>7.1990432620198535</v>
      </c>
      <c r="AG324">
        <v>2102.5838760838024</v>
      </c>
      <c r="AH324">
        <v>10.04934661016765</v>
      </c>
      <c r="AI324">
        <v>1888.3140648650731</v>
      </c>
      <c r="AJ324">
        <v>7.1903444897290223</v>
      </c>
    </row>
    <row r="325" spans="4:36" x14ac:dyDescent="0.45">
      <c r="D325">
        <v>318</v>
      </c>
      <c r="E325">
        <v>12.407472643106784</v>
      </c>
      <c r="F325">
        <v>0.46163557225428548</v>
      </c>
      <c r="G325">
        <v>0.17097125367160301</v>
      </c>
      <c r="H325">
        <v>16.959920530967324</v>
      </c>
      <c r="I325">
        <v>12.624001502880233</v>
      </c>
      <c r="J325">
        <v>0.30014757473488807</v>
      </c>
      <c r="K325">
        <v>0.11080881009179372</v>
      </c>
      <c r="L325">
        <v>16.965042112293098</v>
      </c>
      <c r="M325">
        <v>12.544137684996791</v>
      </c>
      <c r="N325">
        <v>0.35974082492576698</v>
      </c>
      <c r="O325">
        <v>0.13296504607161669</v>
      </c>
      <c r="P325">
        <v>16.963156444005829</v>
      </c>
      <c r="Q325">
        <v>12.523227285606689</v>
      </c>
      <c r="R325">
        <v>0.37533799967470177</v>
      </c>
      <c r="S325">
        <v>0.13877263277860608</v>
      </c>
      <c r="T325">
        <v>16.962662081940017</v>
      </c>
      <c r="U325">
        <v>1524.4574061679177</v>
      </c>
      <c r="V325">
        <v>9.8562078124604504</v>
      </c>
      <c r="W325">
        <v>1274.3924746727293</v>
      </c>
      <c r="X325">
        <v>7.0868648148096423</v>
      </c>
      <c r="Y325">
        <v>2889.7716753511909</v>
      </c>
      <c r="Z325">
        <v>9.8936621014267967</v>
      </c>
      <c r="AA325">
        <v>2725.0820172106755</v>
      </c>
      <c r="AB325">
        <v>7.1088435635786142</v>
      </c>
      <c r="AC325">
        <v>2193.2255828575521</v>
      </c>
      <c r="AD325">
        <v>9.8798457729988822</v>
      </c>
      <c r="AE325">
        <v>1998.3573629776104</v>
      </c>
      <c r="AF325">
        <v>7.1007453340763869</v>
      </c>
      <c r="AG325">
        <v>2089.9367498882239</v>
      </c>
      <c r="AH325">
        <v>9.8762286505762589</v>
      </c>
      <c r="AI325">
        <v>1880.681687217515</v>
      </c>
      <c r="AJ325">
        <v>7.0986234077601829</v>
      </c>
    </row>
    <row r="326" spans="4:36" x14ac:dyDescent="0.45">
      <c r="D326">
        <v>319</v>
      </c>
      <c r="E326">
        <v>11.7183253823969</v>
      </c>
      <c r="F326">
        <v>0.44189880430362971</v>
      </c>
      <c r="G326">
        <v>0.13955950322496299</v>
      </c>
      <c r="H326">
        <v>17.700216310074495</v>
      </c>
      <c r="I326">
        <v>11.881567780870721</v>
      </c>
      <c r="J326">
        <v>0.30475209986394214</v>
      </c>
      <c r="K326">
        <v>9.6014052288594179E-2</v>
      </c>
      <c r="L326">
        <v>17.717666066976729</v>
      </c>
      <c r="M326">
        <v>11.814047567559765</v>
      </c>
      <c r="N326">
        <v>0.36149134314474507</v>
      </c>
      <c r="O326">
        <v>0.11400351943512256</v>
      </c>
      <c r="P326">
        <v>17.71045756986037</v>
      </c>
      <c r="Q326">
        <v>11.771118733748322</v>
      </c>
      <c r="R326">
        <v>0.39755641111821266</v>
      </c>
      <c r="S326">
        <v>0.1254570247880053</v>
      </c>
      <c r="T326">
        <v>17.705867830345458</v>
      </c>
      <c r="U326">
        <v>1506.2934065505779</v>
      </c>
      <c r="V326">
        <v>9.3294414721927108</v>
      </c>
      <c r="W326">
        <v>1268.0408035373573</v>
      </c>
      <c r="X326">
        <v>6.7841392988450151</v>
      </c>
      <c r="Y326">
        <v>2856.3532542445096</v>
      </c>
      <c r="Z326">
        <v>9.3516674846806538</v>
      </c>
      <c r="AA326">
        <v>2703.9231012284231</v>
      </c>
      <c r="AB326">
        <v>6.7979714995424567</v>
      </c>
      <c r="AC326">
        <v>2180.442056870002</v>
      </c>
      <c r="AD326">
        <v>9.3424692095890602</v>
      </c>
      <c r="AE326">
        <v>1993.1261199077592</v>
      </c>
      <c r="AF326">
        <v>6.7922532789081975</v>
      </c>
      <c r="AG326">
        <v>2069.316552987063</v>
      </c>
      <c r="AH326">
        <v>9.3366247989696447</v>
      </c>
      <c r="AI326">
        <v>1868.4845209255047</v>
      </c>
      <c r="AJ326">
        <v>6.7886154505540057</v>
      </c>
    </row>
    <row r="327" spans="4:36" x14ac:dyDescent="0.45">
      <c r="D327">
        <v>320</v>
      </c>
      <c r="E327">
        <v>13.011231562604864</v>
      </c>
      <c r="F327">
        <v>0.46983068220381624</v>
      </c>
      <c r="G327">
        <v>0.1661300778686996</v>
      </c>
      <c r="H327">
        <v>16.352807677322602</v>
      </c>
      <c r="I327">
        <v>13.253240557387095</v>
      </c>
      <c r="J327">
        <v>0.29887186223377149</v>
      </c>
      <c r="K327">
        <v>0.10532001455644135</v>
      </c>
      <c r="L327">
        <v>16.342567565822698</v>
      </c>
      <c r="M327">
        <v>13.163827252399562</v>
      </c>
      <c r="N327">
        <v>0.36207605707380935</v>
      </c>
      <c r="O327">
        <v>0.12775273593410258</v>
      </c>
      <c r="P327">
        <v>16.34634395459253</v>
      </c>
      <c r="Q327">
        <v>13.102650611141138</v>
      </c>
      <c r="R327">
        <v>0.40529262408595967</v>
      </c>
      <c r="S327">
        <v>0.14312432537788541</v>
      </c>
      <c r="T327">
        <v>16.348932439395021</v>
      </c>
      <c r="U327">
        <v>1590.0659967183105</v>
      </c>
      <c r="V327">
        <v>10.273359215938456</v>
      </c>
      <c r="W327">
        <v>1317.4231280229419</v>
      </c>
      <c r="X327">
        <v>7.3219949389326633</v>
      </c>
      <c r="Y327">
        <v>2912.1563049173378</v>
      </c>
      <c r="Z327">
        <v>10.324303579371998</v>
      </c>
      <c r="AA327">
        <v>2738.8860315590859</v>
      </c>
      <c r="AB327">
        <v>7.3509486018749746</v>
      </c>
      <c r="AC327">
        <v>2225.3532600872368</v>
      </c>
      <c r="AD327">
        <v>10.305485129624165</v>
      </c>
      <c r="AE327">
        <v>2018.4968178688571</v>
      </c>
      <c r="AF327">
        <v>7.340264849741299</v>
      </c>
      <c r="AG327">
        <v>2151.6901759089351</v>
      </c>
      <c r="AH327">
        <v>10.2926071157446</v>
      </c>
      <c r="AI327">
        <v>1919.8454725867555</v>
      </c>
      <c r="AJ327">
        <v>7.3329459097049599</v>
      </c>
    </row>
    <row r="328" spans="4:36" x14ac:dyDescent="0.45">
      <c r="D328">
        <v>321</v>
      </c>
      <c r="E328">
        <v>13.081856227379529</v>
      </c>
      <c r="F328">
        <v>0.41764728714225169</v>
      </c>
      <c r="G328">
        <v>0.15904090626714809</v>
      </c>
      <c r="H328">
        <v>16.341455579211079</v>
      </c>
      <c r="I328">
        <v>13.284818220697558</v>
      </c>
      <c r="J328">
        <v>0.28482293273698489</v>
      </c>
      <c r="K328">
        <v>0.10814474545563736</v>
      </c>
      <c r="L328">
        <v>16.322214101109811</v>
      </c>
      <c r="M328">
        <v>13.190290045458767</v>
      </c>
      <c r="N328">
        <v>0.34671957680413429</v>
      </c>
      <c r="O328">
        <v>0.13182497300992058</v>
      </c>
      <c r="P328">
        <v>16.331165404727191</v>
      </c>
      <c r="Q328">
        <v>13.175481984051881</v>
      </c>
      <c r="R328">
        <v>0.35641038430686756</v>
      </c>
      <c r="S328">
        <v>0.13553836500377248</v>
      </c>
      <c r="T328">
        <v>16.332569266637488</v>
      </c>
      <c r="U328">
        <v>1531.6623862291769</v>
      </c>
      <c r="V328">
        <v>10.294698639455111</v>
      </c>
      <c r="W328">
        <v>1278.1676457724291</v>
      </c>
      <c r="X328">
        <v>7.3353289306730893</v>
      </c>
      <c r="Y328">
        <v>2913.0159695848643</v>
      </c>
      <c r="Z328">
        <v>10.342757705347559</v>
      </c>
      <c r="AA328">
        <v>2739.7879112895889</v>
      </c>
      <c r="AB328">
        <v>7.3622492575466412</v>
      </c>
      <c r="AC328">
        <v>2246.7627732263113</v>
      </c>
      <c r="AD328">
        <v>10.320380568509252</v>
      </c>
      <c r="AE328">
        <v>2034.0662583766816</v>
      </c>
      <c r="AF328">
        <v>7.349723639877646</v>
      </c>
      <c r="AG328">
        <v>2124.3045978510777</v>
      </c>
      <c r="AH328">
        <v>10.316874185162648</v>
      </c>
      <c r="AI328">
        <v>1902.7989566329179</v>
      </c>
      <c r="AJ328">
        <v>7.3477595307709311</v>
      </c>
    </row>
    <row r="329" spans="4:36" x14ac:dyDescent="0.45">
      <c r="D329">
        <v>322</v>
      </c>
      <c r="E329">
        <v>13.122291759729626</v>
      </c>
      <c r="F329">
        <v>0.50258088751853358</v>
      </c>
      <c r="G329">
        <v>0.13686638710746929</v>
      </c>
      <c r="H329">
        <v>16.238260965644354</v>
      </c>
      <c r="I329">
        <v>13.374540626307594</v>
      </c>
      <c r="J329">
        <v>0.31151215423602019</v>
      </c>
      <c r="K329">
        <v>8.456098813221094E-2</v>
      </c>
      <c r="L329">
        <v>16.229386231324177</v>
      </c>
      <c r="M329">
        <v>13.266880387811179</v>
      </c>
      <c r="N329">
        <v>0.39310109347850064</v>
      </c>
      <c r="O329">
        <v>0.10685438564988249</v>
      </c>
      <c r="P329">
        <v>16.233164133060438</v>
      </c>
      <c r="Q329">
        <v>13.208714651752235</v>
      </c>
      <c r="R329">
        <v>0.43715624733842273</v>
      </c>
      <c r="S329">
        <v>0.11891779486150612</v>
      </c>
      <c r="T329">
        <v>16.235211306047852</v>
      </c>
      <c r="U329">
        <v>1585.1359668764051</v>
      </c>
      <c r="V329">
        <v>10.389770979832251</v>
      </c>
      <c r="W329">
        <v>1310.5871418071813</v>
      </c>
      <c r="X329">
        <v>7.3934891682383519</v>
      </c>
      <c r="Y329">
        <v>2929.9463972626345</v>
      </c>
      <c r="Z329">
        <v>10.443656370896488</v>
      </c>
      <c r="AA329">
        <v>2750.1049976894178</v>
      </c>
      <c r="AB329">
        <v>7.4240182346738868</v>
      </c>
      <c r="AC329">
        <v>2258.4864366533325</v>
      </c>
      <c r="AD329">
        <v>10.420662961493731</v>
      </c>
      <c r="AE329">
        <v>2039.2658296787492</v>
      </c>
      <c r="AF329">
        <v>7.4110040728214805</v>
      </c>
      <c r="AG329">
        <v>2140.8123584930522</v>
      </c>
      <c r="AH329">
        <v>10.408237216987349</v>
      </c>
      <c r="AI329">
        <v>1908.9862192922251</v>
      </c>
      <c r="AJ329">
        <v>7.4039632075622936</v>
      </c>
    </row>
    <row r="330" spans="4:36" x14ac:dyDescent="0.45">
      <c r="D330">
        <v>323</v>
      </c>
      <c r="E330">
        <v>12.964738305066271</v>
      </c>
      <c r="F330">
        <v>0.46398991596693057</v>
      </c>
      <c r="G330">
        <v>0.18454531962718806</v>
      </c>
      <c r="H330">
        <v>16.386726459339616</v>
      </c>
      <c r="I330">
        <v>13.200236079860147</v>
      </c>
      <c r="J330">
        <v>0.29964329272693674</v>
      </c>
      <c r="K330">
        <v>0.11878261997133756</v>
      </c>
      <c r="L330">
        <v>16.381338007441578</v>
      </c>
      <c r="M330">
        <v>13.106018402564866</v>
      </c>
      <c r="N330">
        <v>0.36543613028772226</v>
      </c>
      <c r="O330">
        <v>0.145056032001911</v>
      </c>
      <c r="P330">
        <v>16.38348943514551</v>
      </c>
      <c r="Q330">
        <v>13.083365613198442</v>
      </c>
      <c r="R330">
        <v>0.38124655918647615</v>
      </c>
      <c r="S330">
        <v>0.15138025733393096</v>
      </c>
      <c r="T330">
        <v>16.384007570281149</v>
      </c>
      <c r="U330">
        <v>1557.1286812453195</v>
      </c>
      <c r="V330">
        <v>10.212950795686858</v>
      </c>
      <c r="W330">
        <v>1292.1580578187588</v>
      </c>
      <c r="X330">
        <v>7.2831318434539014</v>
      </c>
      <c r="Y330">
        <v>2919.8869160772492</v>
      </c>
      <c r="Z330">
        <v>10.261589437717655</v>
      </c>
      <c r="AA330">
        <v>2743.0574946867873</v>
      </c>
      <c r="AB330">
        <v>7.3109555040424636</v>
      </c>
      <c r="AC330">
        <v>2265.0924912277096</v>
      </c>
      <c r="AD330">
        <v>10.242132146560527</v>
      </c>
      <c r="AE330">
        <v>2045.1392115273559</v>
      </c>
      <c r="AF330">
        <v>7.2998364419560628</v>
      </c>
      <c r="AG330">
        <v>2125.5528777823483</v>
      </c>
      <c r="AH330">
        <v>10.237453627246264</v>
      </c>
      <c r="AI330">
        <v>1901.1544361895012</v>
      </c>
      <c r="AJ330">
        <v>7.2971605901670253</v>
      </c>
    </row>
    <row r="331" spans="4:36" x14ac:dyDescent="0.45">
      <c r="D331">
        <v>324</v>
      </c>
      <c r="E331">
        <v>11.687047686127377</v>
      </c>
      <c r="F331">
        <v>0.43700957246795163</v>
      </c>
      <c r="G331">
        <v>0.17004381361761786</v>
      </c>
      <c r="H331">
        <v>17.705898927787064</v>
      </c>
      <c r="I331">
        <v>11.876742115272803</v>
      </c>
      <c r="J331">
        <v>0.28713717154327173</v>
      </c>
      <c r="K331">
        <v>0.11140111135847156</v>
      </c>
      <c r="L331">
        <v>17.724719601825448</v>
      </c>
      <c r="M331">
        <v>11.793941674561696</v>
      </c>
      <c r="N331">
        <v>0.35257754138685699</v>
      </c>
      <c r="O331">
        <v>0.13696417096837052</v>
      </c>
      <c r="P331">
        <v>17.71651661308308</v>
      </c>
      <c r="Q331">
        <v>11.773341538130341</v>
      </c>
      <c r="R331">
        <v>0.36885334430610972</v>
      </c>
      <c r="S331">
        <v>0.14333225352168749</v>
      </c>
      <c r="T331">
        <v>17.714472864041863</v>
      </c>
      <c r="U331">
        <v>1451.6137235612921</v>
      </c>
      <c r="V331">
        <v>9.3127919668181391</v>
      </c>
      <c r="W331">
        <v>1228.6934318738658</v>
      </c>
      <c r="X331">
        <v>6.7728437514186064</v>
      </c>
      <c r="Y331">
        <v>2858.0325563195033</v>
      </c>
      <c r="Z331">
        <v>9.3378822016365071</v>
      </c>
      <c r="AA331">
        <v>2706.721395615893</v>
      </c>
      <c r="AB331">
        <v>6.7884010792265403</v>
      </c>
      <c r="AC331">
        <v>2182.7633201881604</v>
      </c>
      <c r="AD331">
        <v>9.3269240071795423</v>
      </c>
      <c r="AE331">
        <v>1995.7659729315144</v>
      </c>
      <c r="AF331">
        <v>6.7816146004750362</v>
      </c>
      <c r="AG331">
        <v>2052.190221371708</v>
      </c>
      <c r="AH331">
        <v>9.3241992393693174</v>
      </c>
      <c r="AI331">
        <v>1858.4523470819558</v>
      </c>
      <c r="AJ331">
        <v>6.7799251691021913</v>
      </c>
    </row>
    <row r="332" spans="4:36" x14ac:dyDescent="0.45">
      <c r="D332">
        <v>325</v>
      </c>
      <c r="E332">
        <v>12.391378696287159</v>
      </c>
      <c r="F332">
        <v>0.43682362258070367</v>
      </c>
      <c r="G332">
        <v>0.14322891276021146</v>
      </c>
      <c r="H332">
        <v>17.028568768371915</v>
      </c>
      <c r="I332">
        <v>12.635169409830375</v>
      </c>
      <c r="J332">
        <v>0.26617417787131342</v>
      </c>
      <c r="K332">
        <v>8.6971829007775919E-2</v>
      </c>
      <c r="L332">
        <v>17.011684583290538</v>
      </c>
      <c r="M332">
        <v>12.548551235185814</v>
      </c>
      <c r="N332">
        <v>0.32684850612081257</v>
      </c>
      <c r="O332">
        <v>0.10692853704741348</v>
      </c>
      <c r="P332">
        <v>17.017671721645964</v>
      </c>
      <c r="Q332">
        <v>12.524817718412159</v>
      </c>
      <c r="R332">
        <v>0.34346512639418497</v>
      </c>
      <c r="S332">
        <v>0.11240269620671663</v>
      </c>
      <c r="T332">
        <v>17.019314458986955</v>
      </c>
      <c r="U332">
        <v>1500.5492385454913</v>
      </c>
      <c r="V332">
        <v>9.7815789568235179</v>
      </c>
      <c r="W332">
        <v>1262.9062252367737</v>
      </c>
      <c r="X332">
        <v>7.0412389528321917</v>
      </c>
      <c r="Y332">
        <v>2850.4282845757425</v>
      </c>
      <c r="Z332">
        <v>9.8355203178881165</v>
      </c>
      <c r="AA332">
        <v>2701.6245243900735</v>
      </c>
      <c r="AB332">
        <v>7.0718332735697595</v>
      </c>
      <c r="AC332">
        <v>2189.0954152557815</v>
      </c>
      <c r="AD332">
        <v>9.8163623468609185</v>
      </c>
      <c r="AE332">
        <v>2000.7804284401475</v>
      </c>
      <c r="AF332">
        <v>7.060979622616772</v>
      </c>
      <c r="AG332">
        <v>2090.1410182714612</v>
      </c>
      <c r="AH332">
        <v>9.8111116454463083</v>
      </c>
      <c r="AI332">
        <v>1886.3131373507895</v>
      </c>
      <c r="AJ332">
        <v>7.0580025642737567</v>
      </c>
    </row>
    <row r="333" spans="4:36" x14ac:dyDescent="0.45">
      <c r="D333">
        <v>326</v>
      </c>
      <c r="E333">
        <v>13.312403417309936</v>
      </c>
      <c r="F333">
        <v>0.50586147392895808</v>
      </c>
      <c r="G333">
        <v>0.20184398837210998</v>
      </c>
      <c r="H333">
        <v>15.979891120388977</v>
      </c>
      <c r="I333">
        <v>13.539937073108995</v>
      </c>
      <c r="J333">
        <v>0.33630671122380235</v>
      </c>
      <c r="K333">
        <v>0.13375342967275144</v>
      </c>
      <c r="L333">
        <v>15.990002785994436</v>
      </c>
      <c r="M333">
        <v>13.44808303200637</v>
      </c>
      <c r="N333">
        <v>0.40478842561633122</v>
      </c>
      <c r="O333">
        <v>0.16120041846546471</v>
      </c>
      <c r="P333">
        <v>15.985928123911847</v>
      </c>
      <c r="Q333">
        <v>13.413793127377172</v>
      </c>
      <c r="R333">
        <v>0.43034168086463581</v>
      </c>
      <c r="S333">
        <v>0.17146071868262228</v>
      </c>
      <c r="T333">
        <v>15.984404473075561</v>
      </c>
      <c r="U333">
        <v>1575.1038347132896</v>
      </c>
      <c r="V333">
        <v>10.496895654257694</v>
      </c>
      <c r="W333">
        <v>1299.1926594857769</v>
      </c>
      <c r="X333">
        <v>7.4417494513016935</v>
      </c>
      <c r="Y333">
        <v>2941.7747163134127</v>
      </c>
      <c r="Z333">
        <v>10.535552627549485</v>
      </c>
      <c r="AA333">
        <v>2754.1347425427502</v>
      </c>
      <c r="AB333">
        <v>7.4643904169976398</v>
      </c>
      <c r="AC333">
        <v>2255.9662529785946</v>
      </c>
      <c r="AD333">
        <v>10.5199424900163</v>
      </c>
      <c r="AE333">
        <v>2033.4667376014866</v>
      </c>
      <c r="AF333">
        <v>7.4552577826938649</v>
      </c>
      <c r="AG333">
        <v>2180.4243079710391</v>
      </c>
      <c r="AH333">
        <v>10.514116659984333</v>
      </c>
      <c r="AI333">
        <v>1934.3669994641371</v>
      </c>
      <c r="AJ333">
        <v>7.4518459368795824</v>
      </c>
    </row>
    <row r="334" spans="4:36" x14ac:dyDescent="0.45">
      <c r="D334">
        <v>327</v>
      </c>
      <c r="E334">
        <v>13.55901245838538</v>
      </c>
      <c r="F334">
        <v>0.49736928130816471</v>
      </c>
      <c r="G334">
        <v>0.18224134977485154</v>
      </c>
      <c r="H334">
        <v>15.761376910531604</v>
      </c>
      <c r="I334">
        <v>13.808962815847591</v>
      </c>
      <c r="J334">
        <v>0.32023182740576717</v>
      </c>
      <c r="K334">
        <v>0.1169452759012353</v>
      </c>
      <c r="L334">
        <v>15.753860080845406</v>
      </c>
      <c r="M334">
        <v>13.711262519299209</v>
      </c>
      <c r="N334">
        <v>0.38951469127781302</v>
      </c>
      <c r="O334">
        <v>0.14243150176270519</v>
      </c>
      <c r="P334">
        <v>15.756791287660263</v>
      </c>
      <c r="Q334">
        <v>13.67969957524555</v>
      </c>
      <c r="R334">
        <v>0.41188522675164996</v>
      </c>
      <c r="S334">
        <v>0.15067505749795551</v>
      </c>
      <c r="T334">
        <v>15.757740140504829</v>
      </c>
      <c r="U334">
        <v>1597.6805339614243</v>
      </c>
      <c r="V334">
        <v>10.735169931902949</v>
      </c>
      <c r="W334">
        <v>1314.8887192659297</v>
      </c>
      <c r="X334">
        <v>7.588183713100495</v>
      </c>
      <c r="Y334">
        <v>2927.7589247467868</v>
      </c>
      <c r="Z334">
        <v>10.786493595739728</v>
      </c>
      <c r="AA334">
        <v>2744.6608634931208</v>
      </c>
      <c r="AB334">
        <v>7.6171271659148791</v>
      </c>
      <c r="AC334">
        <v>2289.484694323949</v>
      </c>
      <c r="AD334">
        <v>10.766436119410644</v>
      </c>
      <c r="AE334">
        <v>2057.5710022686226</v>
      </c>
      <c r="AF334">
        <v>7.6058272693911615</v>
      </c>
      <c r="AG334">
        <v>2172.7631195922122</v>
      </c>
      <c r="AH334">
        <v>10.759955321922458</v>
      </c>
      <c r="AI334">
        <v>1929.3036864608277</v>
      </c>
      <c r="AJ334">
        <v>7.6021730583699751</v>
      </c>
    </row>
    <row r="335" spans="4:36" x14ac:dyDescent="0.45">
      <c r="D335">
        <v>328</v>
      </c>
      <c r="E335">
        <v>13.091235332509436</v>
      </c>
      <c r="F335">
        <v>0.46141049453071603</v>
      </c>
      <c r="G335">
        <v>0.19984705770302452</v>
      </c>
      <c r="H335">
        <v>16.247507115256834</v>
      </c>
      <c r="I335">
        <v>13.331856897729375</v>
      </c>
      <c r="J335">
        <v>0.29093519241864008</v>
      </c>
      <c r="K335">
        <v>0.12555812760133525</v>
      </c>
      <c r="L335">
        <v>16.251649782250663</v>
      </c>
      <c r="M335">
        <v>13.20941017657711</v>
      </c>
      <c r="N335">
        <v>0.37772952422059608</v>
      </c>
      <c r="O335">
        <v>0.16331316308437718</v>
      </c>
      <c r="P335">
        <v>16.249547136117926</v>
      </c>
      <c r="Q335">
        <v>13.191154233585307</v>
      </c>
      <c r="R335">
        <v>0.3906622677727945</v>
      </c>
      <c r="S335">
        <v>0.16895081736330073</v>
      </c>
      <c r="T335">
        <v>16.249232681278581</v>
      </c>
      <c r="U335">
        <v>1581.1123262132073</v>
      </c>
      <c r="V335">
        <v>10.520503979549421</v>
      </c>
      <c r="W335">
        <v>1305.544801273039</v>
      </c>
      <c r="X335">
        <v>7.486587419554998</v>
      </c>
      <c r="Y335">
        <v>2940.2636806964661</v>
      </c>
      <c r="Z335">
        <v>10.566471813721121</v>
      </c>
      <c r="AA335">
        <v>2755.7812936918313</v>
      </c>
      <c r="AB335">
        <v>7.5133392227619664</v>
      </c>
      <c r="AC335">
        <v>2271.7110648178168</v>
      </c>
      <c r="AD335">
        <v>10.543076320375638</v>
      </c>
      <c r="AE335">
        <v>2045.6863651336757</v>
      </c>
      <c r="AF335">
        <v>7.4997366220497312</v>
      </c>
      <c r="AG335">
        <v>2158.8431805113073</v>
      </c>
      <c r="AH335">
        <v>10.539588841362054</v>
      </c>
      <c r="AI335">
        <v>1920.9112547560042</v>
      </c>
      <c r="AJ335">
        <v>7.4977066668820775</v>
      </c>
    </row>
    <row r="336" spans="4:36" x14ac:dyDescent="0.45">
      <c r="D336">
        <v>329</v>
      </c>
      <c r="E336">
        <v>15.240432135065342</v>
      </c>
      <c r="F336">
        <v>0.52071017511410578</v>
      </c>
      <c r="G336">
        <v>0.19858167562678247</v>
      </c>
      <c r="H336">
        <v>14.040276014193763</v>
      </c>
      <c r="I336">
        <v>15.523058086163356</v>
      </c>
      <c r="J336">
        <v>0.34532918029271104</v>
      </c>
      <c r="K336">
        <v>0.13122456553365899</v>
      </c>
      <c r="L336">
        <v>14.000388168010289</v>
      </c>
      <c r="M336">
        <v>15.444139875329761</v>
      </c>
      <c r="N336">
        <v>0.39435306513787399</v>
      </c>
      <c r="O336">
        <v>0.15000319058564626</v>
      </c>
      <c r="P336">
        <v>14.011503868946715</v>
      </c>
      <c r="Q336">
        <v>15.366462360031594</v>
      </c>
      <c r="R336">
        <v>0.44256711583975517</v>
      </c>
      <c r="S336">
        <v>0.16850893178128939</v>
      </c>
      <c r="T336">
        <v>14.022461592347382</v>
      </c>
      <c r="U336">
        <v>1668.4689618853424</v>
      </c>
      <c r="V336">
        <v>11.971838600092548</v>
      </c>
      <c r="W336">
        <v>1352.3395390431469</v>
      </c>
      <c r="X336">
        <v>8.2771520630661684</v>
      </c>
      <c r="Y336">
        <v>2992.8889524549613</v>
      </c>
      <c r="Z336">
        <v>12.04796602317526</v>
      </c>
      <c r="AA336">
        <v>2781.5135627589716</v>
      </c>
      <c r="AB336">
        <v>8.3183569456614759</v>
      </c>
      <c r="AC336">
        <v>2350.2490255404018</v>
      </c>
      <c r="AD336">
        <v>12.026720967408899</v>
      </c>
      <c r="AE336">
        <v>2090.8204641016869</v>
      </c>
      <c r="AF336">
        <v>8.3068693126832951</v>
      </c>
      <c r="AG336">
        <v>2237.7181536143148</v>
      </c>
      <c r="AH336">
        <v>12.005800750381795</v>
      </c>
      <c r="AI336">
        <v>1963.4077900036154</v>
      </c>
      <c r="AJ336">
        <v>8.2955486579266111</v>
      </c>
    </row>
    <row r="337" spans="4:36" x14ac:dyDescent="0.45">
      <c r="D337">
        <v>330</v>
      </c>
      <c r="E337">
        <v>14.397482558735055</v>
      </c>
      <c r="F337">
        <v>0.52584892938228667</v>
      </c>
      <c r="G337">
        <v>0.19075385209982781</v>
      </c>
      <c r="H337">
        <v>14.885914659782834</v>
      </c>
      <c r="I337">
        <v>14.685852841045836</v>
      </c>
      <c r="J337">
        <v>0.33729526256625431</v>
      </c>
      <c r="K337">
        <v>0.12189341057546541</v>
      </c>
      <c r="L337">
        <v>14.854958485812446</v>
      </c>
      <c r="M337">
        <v>14.567771487990706</v>
      </c>
      <c r="N337">
        <v>0.41456772230303007</v>
      </c>
      <c r="O337">
        <v>0.15004950500246481</v>
      </c>
      <c r="P337">
        <v>14.867611284703813</v>
      </c>
      <c r="Q337">
        <v>14.537967218328053</v>
      </c>
      <c r="R337">
        <v>0.43405771260385523</v>
      </c>
      <c r="S337">
        <v>0.15716512572153191</v>
      </c>
      <c r="T337">
        <v>14.870809943346549</v>
      </c>
      <c r="U337">
        <v>1668.0152800369976</v>
      </c>
      <c r="V337">
        <v>11.29549198853541</v>
      </c>
      <c r="W337">
        <v>1355.6509005767914</v>
      </c>
      <c r="X337">
        <v>7.8914786775864023</v>
      </c>
      <c r="Y337">
        <v>2983.2073675066608</v>
      </c>
      <c r="Z337">
        <v>11.361709294605703</v>
      </c>
      <c r="AA337">
        <v>2777.9573616708253</v>
      </c>
      <c r="AB337">
        <v>7.9276618871182478</v>
      </c>
      <c r="AC337">
        <v>2323.4036215159394</v>
      </c>
      <c r="AD337">
        <v>11.334608452414969</v>
      </c>
      <c r="AE337">
        <v>2074.0377836966768</v>
      </c>
      <c r="AF337">
        <v>7.9128667208169006</v>
      </c>
      <c r="AG337">
        <v>2202.5115998226825</v>
      </c>
      <c r="AH337">
        <v>11.327765087589929</v>
      </c>
      <c r="AI337">
        <v>1942.7924038376775</v>
      </c>
      <c r="AJ337">
        <v>7.9091277608863466</v>
      </c>
    </row>
    <row r="338" spans="4:36" x14ac:dyDescent="0.45">
      <c r="D338">
        <v>331</v>
      </c>
      <c r="E338">
        <v>11.786102839948827</v>
      </c>
      <c r="F338">
        <v>0.44495382105367171</v>
      </c>
      <c r="G338">
        <v>0.17332804100367155</v>
      </c>
      <c r="H338">
        <v>17.595615297993831</v>
      </c>
      <c r="I338">
        <v>11.983751562697114</v>
      </c>
      <c r="J338">
        <v>0.2871403025350544</v>
      </c>
      <c r="K338">
        <v>0.11150123862932822</v>
      </c>
      <c r="L338">
        <v>17.617606896138508</v>
      </c>
      <c r="M338">
        <v>11.878446553687276</v>
      </c>
      <c r="N338">
        <v>0.37124482691333938</v>
      </c>
      <c r="O338">
        <v>0.14440181788297343</v>
      </c>
      <c r="P338">
        <v>17.605906801516419</v>
      </c>
      <c r="Q338">
        <v>11.864280763458831</v>
      </c>
      <c r="R338">
        <v>0.38255465913826037</v>
      </c>
      <c r="S338">
        <v>0.14883460117025502</v>
      </c>
      <c r="T338">
        <v>17.604329976232648</v>
      </c>
      <c r="U338">
        <v>1515.5044657855583</v>
      </c>
      <c r="V338">
        <v>9.3976386152565219</v>
      </c>
      <c r="W338">
        <v>1271.4911951146803</v>
      </c>
      <c r="X338">
        <v>6.8217568811936991</v>
      </c>
      <c r="Y338">
        <v>2868.0362062999543</v>
      </c>
      <c r="Z338">
        <v>9.4216068657617313</v>
      </c>
      <c r="AA338">
        <v>2711.8666239157997</v>
      </c>
      <c r="AB338">
        <v>6.8369080509356754</v>
      </c>
      <c r="AC338">
        <v>2219.8564291394655</v>
      </c>
      <c r="AD338">
        <v>9.4088273859636438</v>
      </c>
      <c r="AE338">
        <v>2018.6416995250918</v>
      </c>
      <c r="AF338">
        <v>6.8288389344605509</v>
      </c>
      <c r="AG338">
        <v>2116.0696825999639</v>
      </c>
      <c r="AH338">
        <v>9.4071099128790454</v>
      </c>
      <c r="AI338">
        <v>1901.2081005587663</v>
      </c>
      <c r="AJ338">
        <v>6.8277529003617072</v>
      </c>
    </row>
    <row r="339" spans="4:36" x14ac:dyDescent="0.45">
      <c r="D339">
        <v>332</v>
      </c>
      <c r="E339">
        <v>12.662909120647475</v>
      </c>
      <c r="F339">
        <v>0.51547616742908819</v>
      </c>
      <c r="G339">
        <v>0.18081230121196581</v>
      </c>
      <c r="H339">
        <v>16.64080241071148</v>
      </c>
      <c r="I339">
        <v>12.890105577115831</v>
      </c>
      <c r="J339">
        <v>0.33175670600937296</v>
      </c>
      <c r="K339">
        <v>0.11599284397929875</v>
      </c>
      <c r="L339">
        <v>16.66214487289551</v>
      </c>
      <c r="M339">
        <v>12.789927401814037</v>
      </c>
      <c r="N339">
        <v>0.41279236836198685</v>
      </c>
      <c r="O339">
        <v>0.1445311145356758</v>
      </c>
      <c r="P339">
        <v>16.652749115288316</v>
      </c>
      <c r="Q339">
        <v>12.776546727874706</v>
      </c>
      <c r="R339">
        <v>0.42361288505357902</v>
      </c>
      <c r="S339">
        <v>0.14834801294527042</v>
      </c>
      <c r="T339">
        <v>16.651492374126448</v>
      </c>
      <c r="U339">
        <v>1615.4490484191028</v>
      </c>
      <c r="V339">
        <v>10.090217976549493</v>
      </c>
      <c r="W339">
        <v>1330.1973760881599</v>
      </c>
      <c r="X339">
        <v>7.2216743104463088</v>
      </c>
      <c r="Y339">
        <v>2922.1689059114128</v>
      </c>
      <c r="Z339">
        <v>10.124295298643959</v>
      </c>
      <c r="AA339">
        <v>2742.292722952126</v>
      </c>
      <c r="AB339">
        <v>7.2423167093553076</v>
      </c>
      <c r="AC339">
        <v>2250.7353201279734</v>
      </c>
      <c r="AD339">
        <v>10.109260769977862</v>
      </c>
      <c r="AE339">
        <v>2031.2250285842485</v>
      </c>
      <c r="AF339">
        <v>7.2332207854947814</v>
      </c>
      <c r="AG339">
        <v>2154.2721393445909</v>
      </c>
      <c r="AH339">
        <v>10.107253666935781</v>
      </c>
      <c r="AI339">
        <v>1918.6214931903291</v>
      </c>
      <c r="AJ339">
        <v>7.2320051454567995</v>
      </c>
    </row>
    <row r="340" spans="4:36" x14ac:dyDescent="0.45">
      <c r="D340">
        <v>333</v>
      </c>
      <c r="E340">
        <v>13.134444169474534</v>
      </c>
      <c r="F340">
        <v>0.47396498132757825</v>
      </c>
      <c r="G340">
        <v>0.16759945456048364</v>
      </c>
      <c r="H340">
        <v>16.223991394637416</v>
      </c>
      <c r="I340">
        <v>13.34691492233758</v>
      </c>
      <c r="J340">
        <v>0.32154844978163932</v>
      </c>
      <c r="K340">
        <v>0.11336856392539481</v>
      </c>
      <c r="L340">
        <v>16.218168063955389</v>
      </c>
      <c r="M340">
        <v>13.260218482257278</v>
      </c>
      <c r="N340">
        <v>0.38377233935499244</v>
      </c>
      <c r="O340">
        <v>0.13546907157544566</v>
      </c>
      <c r="P340">
        <v>16.22054010681228</v>
      </c>
      <c r="Q340">
        <v>13.240336673751278</v>
      </c>
      <c r="R340">
        <v>0.398035755237789</v>
      </c>
      <c r="S340">
        <v>0.14054269691942295</v>
      </c>
      <c r="T340">
        <v>16.221084874091524</v>
      </c>
      <c r="U340">
        <v>1557.7113811525537</v>
      </c>
      <c r="V340">
        <v>10.427808961495373</v>
      </c>
      <c r="W340">
        <v>1292.0684877953854</v>
      </c>
      <c r="X340">
        <v>7.4184817101269482</v>
      </c>
      <c r="Y340">
        <v>2926.6814146502879</v>
      </c>
      <c r="Z340">
        <v>10.471817394129221</v>
      </c>
      <c r="AA340">
        <v>2746.4293518856171</v>
      </c>
      <c r="AB340">
        <v>7.443526701907512</v>
      </c>
      <c r="AC340">
        <v>2272.8388671891817</v>
      </c>
      <c r="AD340">
        <v>10.453862448856238</v>
      </c>
      <c r="AE340">
        <v>2049.4656183809793</v>
      </c>
      <c r="AF340">
        <v>7.433317686025811</v>
      </c>
      <c r="AG340">
        <v>2152.9478901891189</v>
      </c>
      <c r="AH340">
        <v>10.449744469059445</v>
      </c>
      <c r="AI340">
        <v>1919.6832691374916</v>
      </c>
      <c r="AJ340">
        <v>7.4309744886137175</v>
      </c>
    </row>
    <row r="341" spans="4:36" x14ac:dyDescent="0.45">
      <c r="D341">
        <v>334</v>
      </c>
      <c r="E341">
        <v>11.813436855305097</v>
      </c>
      <c r="F341">
        <v>0.45921168038878613</v>
      </c>
      <c r="G341">
        <v>0.14153403771066392</v>
      </c>
      <c r="H341">
        <v>17.585817426595444</v>
      </c>
      <c r="I341">
        <v>12.033950593507138</v>
      </c>
      <c r="J341">
        <v>0.28643634826836811</v>
      </c>
      <c r="K341">
        <v>8.799195020097178E-2</v>
      </c>
      <c r="L341">
        <v>17.59162110802351</v>
      </c>
      <c r="M341">
        <v>11.905073079669936</v>
      </c>
      <c r="N341">
        <v>0.38744347617317998</v>
      </c>
      <c r="O341">
        <v>0.1192499394422343</v>
      </c>
      <c r="P341">
        <v>17.588233504714637</v>
      </c>
      <c r="Q341">
        <v>11.909354313159534</v>
      </c>
      <c r="R341">
        <v>0.38408942793834772</v>
      </c>
      <c r="S341">
        <v>0.11821002601997793</v>
      </c>
      <c r="T341">
        <v>17.588346232882138</v>
      </c>
      <c r="U341">
        <v>1498.4194052523646</v>
      </c>
      <c r="V341">
        <v>9.3369508262700389</v>
      </c>
      <c r="W341">
        <v>1262.7435291765487</v>
      </c>
      <c r="X341">
        <v>6.7787641784190313</v>
      </c>
      <c r="Y341">
        <v>2853.7078482202464</v>
      </c>
      <c r="Z341">
        <v>9.3749002893762512</v>
      </c>
      <c r="AA341">
        <v>2704.4852243028504</v>
      </c>
      <c r="AB341">
        <v>6.8012414981126703</v>
      </c>
      <c r="AC341">
        <v>2191.9758550424312</v>
      </c>
      <c r="AD341">
        <v>9.3527191561205818</v>
      </c>
      <c r="AE341">
        <v>2001.0570090016483</v>
      </c>
      <c r="AF341">
        <v>6.7881147020504109</v>
      </c>
      <c r="AG341">
        <v>2061.8841562540679</v>
      </c>
      <c r="AH341">
        <v>9.3534559159410833</v>
      </c>
      <c r="AI341">
        <v>1865.5666913024952</v>
      </c>
      <c r="AJ341">
        <v>6.7885512111678752</v>
      </c>
    </row>
    <row r="342" spans="4:36" x14ac:dyDescent="0.45">
      <c r="D342">
        <v>335</v>
      </c>
      <c r="E342">
        <v>12.590203858759809</v>
      </c>
      <c r="F342">
        <v>0.42137940385168671</v>
      </c>
      <c r="G342">
        <v>0.15581110813402985</v>
      </c>
      <c r="H342">
        <v>16.832605629254463</v>
      </c>
      <c r="I342">
        <v>12.783468893922436</v>
      </c>
      <c r="J342">
        <v>0.28597037064969194</v>
      </c>
      <c r="K342">
        <v>0.1054450930114916</v>
      </c>
      <c r="L342">
        <v>16.825115642416378</v>
      </c>
      <c r="M342">
        <v>12.704481644149535</v>
      </c>
      <c r="N342">
        <v>0.34134020193507481</v>
      </c>
      <c r="O342">
        <v>0.12600548463101624</v>
      </c>
      <c r="P342">
        <v>16.828172669284385</v>
      </c>
      <c r="Q342">
        <v>12.674741093648992</v>
      </c>
      <c r="R342">
        <v>0.36217814105244445</v>
      </c>
      <c r="S342">
        <v>0.13375558103106214</v>
      </c>
      <c r="T342">
        <v>16.8293251842675</v>
      </c>
      <c r="U342">
        <v>1506.9869199033155</v>
      </c>
      <c r="V342">
        <v>9.8745051375523651</v>
      </c>
      <c r="W342">
        <v>1264.0737876887956</v>
      </c>
      <c r="X342">
        <v>7.0864564690628509</v>
      </c>
      <c r="Y342">
        <v>2890.4673661936681</v>
      </c>
      <c r="Z342">
        <v>9.9149309840869133</v>
      </c>
      <c r="AA342">
        <v>2726.1965534658593</v>
      </c>
      <c r="AB342">
        <v>7.109614859331308</v>
      </c>
      <c r="AC342">
        <v>2208.4832081399363</v>
      </c>
      <c r="AD342">
        <v>9.8984111561316528</v>
      </c>
      <c r="AE342">
        <v>2010.2178225525222</v>
      </c>
      <c r="AF342">
        <v>7.1001594109181356</v>
      </c>
      <c r="AG342">
        <v>2119.1611997060149</v>
      </c>
      <c r="AH342">
        <v>9.8921902753440438</v>
      </c>
      <c r="AI342">
        <v>1902.1803300004647</v>
      </c>
      <c r="AJ342">
        <v>7.0965958710938359</v>
      </c>
    </row>
    <row r="343" spans="4:36" x14ac:dyDescent="0.45">
      <c r="D343">
        <v>336</v>
      </c>
      <c r="E343">
        <v>11.920979850242</v>
      </c>
      <c r="F343">
        <v>0.43767507715993736</v>
      </c>
      <c r="G343">
        <v>0.16614547387085507</v>
      </c>
      <c r="H343">
        <v>17.475199598727212</v>
      </c>
      <c r="I343">
        <v>12.11562181793866</v>
      </c>
      <c r="J343">
        <v>0.28818180716948594</v>
      </c>
      <c r="K343">
        <v>0.10908526690034645</v>
      </c>
      <c r="L343">
        <v>17.487111107991517</v>
      </c>
      <c r="M343">
        <v>12.024065106215437</v>
      </c>
      <c r="N343">
        <v>0.35852639815951143</v>
      </c>
      <c r="O343">
        <v>0.13589410384852618</v>
      </c>
      <c r="P343">
        <v>17.481514391776521</v>
      </c>
      <c r="Q343">
        <v>11.984118034873134</v>
      </c>
      <c r="R343">
        <v>0.38920444667390292</v>
      </c>
      <c r="S343">
        <v>0.14760851613045364</v>
      </c>
      <c r="T343">
        <v>17.479069002322511</v>
      </c>
      <c r="U343">
        <v>1466.8095736711361</v>
      </c>
      <c r="V343">
        <v>9.4681088932235973</v>
      </c>
      <c r="W343">
        <v>1236.7728117241043</v>
      </c>
      <c r="X343">
        <v>6.8608773522947226</v>
      </c>
      <c r="Y343">
        <v>2863.3001435934934</v>
      </c>
      <c r="Z343">
        <v>9.4964697701954588</v>
      </c>
      <c r="AA343">
        <v>2708.4852687387238</v>
      </c>
      <c r="AB343">
        <v>6.8778782939525911</v>
      </c>
      <c r="AC343">
        <v>2199.8805644106938</v>
      </c>
      <c r="AD343">
        <v>9.483126208829411</v>
      </c>
      <c r="AE343">
        <v>2005.3098060757957</v>
      </c>
      <c r="AF343">
        <v>6.8698873458518364</v>
      </c>
      <c r="AG343">
        <v>2085.8393898033569</v>
      </c>
      <c r="AH343">
        <v>9.4773059637545494</v>
      </c>
      <c r="AI343">
        <v>1878.8176066269987</v>
      </c>
      <c r="AJ343">
        <v>6.8663974652359236</v>
      </c>
    </row>
    <row r="344" spans="4:36" x14ac:dyDescent="0.45">
      <c r="D344">
        <v>337</v>
      </c>
      <c r="E344">
        <v>10.967416961715871</v>
      </c>
      <c r="F344">
        <v>0.39062870282230328</v>
      </c>
      <c r="G344">
        <v>0.11452935127833391</v>
      </c>
      <c r="H344">
        <v>18.52742498418349</v>
      </c>
      <c r="I344">
        <v>11.130770852913548</v>
      </c>
      <c r="J344">
        <v>0.25963628299418401</v>
      </c>
      <c r="K344">
        <v>7.592824945312128E-2</v>
      </c>
      <c r="L344">
        <v>18.533664614639143</v>
      </c>
      <c r="M344">
        <v>11.059269242118559</v>
      </c>
      <c r="N344">
        <v>0.31698903344309903</v>
      </c>
      <c r="O344">
        <v>9.2804400399458808E-2</v>
      </c>
      <c r="P344">
        <v>18.530937324038899</v>
      </c>
      <c r="Q344">
        <v>11.016354854070055</v>
      </c>
      <c r="R344">
        <v>0.35139945427831976</v>
      </c>
      <c r="S344">
        <v>0.10294813156848669</v>
      </c>
      <c r="T344">
        <v>18.529297560083133</v>
      </c>
      <c r="U344">
        <v>1432.2794001218108</v>
      </c>
      <c r="V344">
        <v>8.622800030175469</v>
      </c>
      <c r="W344">
        <v>1226.3791536436891</v>
      </c>
      <c r="X344">
        <v>6.3559468196780191</v>
      </c>
      <c r="Y344">
        <v>2813.2293205827605</v>
      </c>
      <c r="Z344">
        <v>8.6499567870037488</v>
      </c>
      <c r="AA344">
        <v>2681.390329462909</v>
      </c>
      <c r="AB344">
        <v>6.3724961870700794</v>
      </c>
      <c r="AC344">
        <v>2135.8079727581057</v>
      </c>
      <c r="AD344">
        <v>8.6380675392137682</v>
      </c>
      <c r="AE344">
        <v>1970.7757645154836</v>
      </c>
      <c r="AF344">
        <v>6.3652580560986207</v>
      </c>
      <c r="AG344">
        <v>2022.9109671158105</v>
      </c>
      <c r="AH344">
        <v>8.6309335994959664</v>
      </c>
      <c r="AI344">
        <v>1845.5027664856404</v>
      </c>
      <c r="AJ344">
        <v>6.3609095757271561</v>
      </c>
    </row>
    <row r="345" spans="4:36" x14ac:dyDescent="0.45">
      <c r="D345">
        <v>338</v>
      </c>
      <c r="E345">
        <v>13.115399740191947</v>
      </c>
      <c r="F345">
        <v>0.4451698913367565</v>
      </c>
      <c r="G345">
        <v>0.16544061256375506</v>
      </c>
      <c r="H345">
        <v>16.273989755907547</v>
      </c>
      <c r="I345">
        <v>13.359284890186743</v>
      </c>
      <c r="J345">
        <v>0.28275984555986833</v>
      </c>
      <c r="K345">
        <v>0.10472266250331941</v>
      </c>
      <c r="L345">
        <v>16.253232601750071</v>
      </c>
      <c r="M345">
        <v>13.275296090453915</v>
      </c>
      <c r="N345">
        <v>0.33873457629900666</v>
      </c>
      <c r="O345">
        <v>0.12560131102398467</v>
      </c>
      <c r="P345">
        <v>16.260368022223101</v>
      </c>
      <c r="Q345">
        <v>13.24242459522441</v>
      </c>
      <c r="R345">
        <v>0.36062935001220098</v>
      </c>
      <c r="S345">
        <v>0.13378170321828414</v>
      </c>
      <c r="T345">
        <v>16.263164351545104</v>
      </c>
      <c r="U345">
        <v>1533.3136127562079</v>
      </c>
      <c r="V345">
        <v>10.286706139569393</v>
      </c>
      <c r="W345">
        <v>1277.7009608120325</v>
      </c>
      <c r="X345">
        <v>7.3232156111956321</v>
      </c>
      <c r="Y345">
        <v>2905.3216521800673</v>
      </c>
      <c r="Z345">
        <v>10.342587942983222</v>
      </c>
      <c r="AA345">
        <v>2734.6377340125778</v>
      </c>
      <c r="AB345">
        <v>7.3545111508255046</v>
      </c>
      <c r="AC345">
        <v>2226.468366802103</v>
      </c>
      <c r="AD345">
        <v>10.323351032316795</v>
      </c>
      <c r="AE345">
        <v>2020.3424032458572</v>
      </c>
      <c r="AF345">
        <v>7.3437491411726512</v>
      </c>
      <c r="AG345">
        <v>2117.2006175000233</v>
      </c>
      <c r="AH345">
        <v>10.31581994138247</v>
      </c>
      <c r="AI345">
        <v>1897.6404746585338</v>
      </c>
      <c r="AJ345">
        <v>7.3395327018096763</v>
      </c>
    </row>
    <row r="346" spans="4:36" x14ac:dyDescent="0.45">
      <c r="D346">
        <v>339</v>
      </c>
      <c r="E346">
        <v>13.222128545383953</v>
      </c>
      <c r="F346">
        <v>0.44092130178393257</v>
      </c>
      <c r="G346">
        <v>0.13147333982988815</v>
      </c>
      <c r="H346">
        <v>16.205476813002228</v>
      </c>
      <c r="I346">
        <v>13.414093610387589</v>
      </c>
      <c r="J346">
        <v>0.30641843597464724</v>
      </c>
      <c r="K346">
        <v>9.1129359232677107E-2</v>
      </c>
      <c r="L346">
        <v>16.188358594405102</v>
      </c>
      <c r="M346">
        <v>13.342584849602444</v>
      </c>
      <c r="N346">
        <v>0.35654817624137358</v>
      </c>
      <c r="O346">
        <v>0.10614075566937657</v>
      </c>
      <c r="P346">
        <v>16.194726218486789</v>
      </c>
      <c r="Q346">
        <v>13.266968557829321</v>
      </c>
      <c r="R346">
        <v>0.40952365655311312</v>
      </c>
      <c r="S346">
        <v>0.12203648502596458</v>
      </c>
      <c r="T346">
        <v>16.201471300591606</v>
      </c>
      <c r="U346">
        <v>1537.7744245981014</v>
      </c>
      <c r="V346">
        <v>10.307486460957634</v>
      </c>
      <c r="W346">
        <v>1284.8862779612894</v>
      </c>
      <c r="X346">
        <v>7.3292031134881341</v>
      </c>
      <c r="Y346">
        <v>2920.9652410196622</v>
      </c>
      <c r="Z346">
        <v>10.349714698044927</v>
      </c>
      <c r="AA346">
        <v>2746.7062602507513</v>
      </c>
      <c r="AB346">
        <v>7.3526683581946779</v>
      </c>
      <c r="AC346">
        <v>2222.782223295394</v>
      </c>
      <c r="AD346">
        <v>10.333990146870908</v>
      </c>
      <c r="AE346">
        <v>2019.4535011369717</v>
      </c>
      <c r="AF346">
        <v>7.3439371741243873</v>
      </c>
      <c r="AG346">
        <v>2155.4332817831514</v>
      </c>
      <c r="AH346">
        <v>10.317354809888171</v>
      </c>
      <c r="AI346">
        <v>1925.0213892563008</v>
      </c>
      <c r="AJ346">
        <v>7.33469178300001</v>
      </c>
    </row>
    <row r="347" spans="4:36" x14ac:dyDescent="0.45">
      <c r="D347">
        <v>340</v>
      </c>
      <c r="E347">
        <v>12.962104656698269</v>
      </c>
      <c r="F347">
        <v>0.50938015725751029</v>
      </c>
      <c r="G347">
        <v>0.17325493981630466</v>
      </c>
      <c r="H347">
        <v>16.355260246227925</v>
      </c>
      <c r="I347">
        <v>13.222432200757003</v>
      </c>
      <c r="J347">
        <v>0.31041667087589353</v>
      </c>
      <c r="K347">
        <v>0.1051937680847139</v>
      </c>
      <c r="L347">
        <v>16.361957360282382</v>
      </c>
      <c r="M347">
        <v>13.12847947997801</v>
      </c>
      <c r="N347">
        <v>0.3822630145007081</v>
      </c>
      <c r="O347">
        <v>0.12971228751170702</v>
      </c>
      <c r="P347">
        <v>16.35954521800959</v>
      </c>
      <c r="Q347">
        <v>13.067500521723645</v>
      </c>
      <c r="R347">
        <v>0.42886997368458674</v>
      </c>
      <c r="S347">
        <v>0.14565278575414803</v>
      </c>
      <c r="T347">
        <v>16.357976718837623</v>
      </c>
      <c r="U347">
        <v>1604.2214338219028</v>
      </c>
      <c r="V347">
        <v>10.192441490630449</v>
      </c>
      <c r="W347">
        <v>1322.1477599049711</v>
      </c>
      <c r="X347">
        <v>7.2642347538536711</v>
      </c>
      <c r="Y347">
        <v>2923.939326892285</v>
      </c>
      <c r="Z347">
        <v>10.236679334251686</v>
      </c>
      <c r="AA347">
        <v>2744.9490887931261</v>
      </c>
      <c r="AB347">
        <v>7.2899412774341341</v>
      </c>
      <c r="AC347">
        <v>2266.2555813118624</v>
      </c>
      <c r="AD347">
        <v>10.220711528938773</v>
      </c>
      <c r="AE347">
        <v>2044.4228411739189</v>
      </c>
      <c r="AF347">
        <v>7.2806745854739754</v>
      </c>
      <c r="AG347">
        <v>2176.980442778166</v>
      </c>
      <c r="AH347">
        <v>10.210349177270837</v>
      </c>
      <c r="AI347">
        <v>1934.1056277011219</v>
      </c>
      <c r="AJ347">
        <v>7.2746536213003248</v>
      </c>
    </row>
    <row r="348" spans="4:36" x14ac:dyDescent="0.45">
      <c r="D348">
        <v>341</v>
      </c>
      <c r="E348">
        <v>13.037795245539353</v>
      </c>
      <c r="F348">
        <v>0.47419942014565725</v>
      </c>
      <c r="G348">
        <v>0.18835662895711147</v>
      </c>
      <c r="H348">
        <v>16.299648705357885</v>
      </c>
      <c r="I348">
        <v>13.283213634814155</v>
      </c>
      <c r="J348">
        <v>0.29677487717304313</v>
      </c>
      <c r="K348">
        <v>0.11745991269853971</v>
      </c>
      <c r="L348">
        <v>16.302551575314261</v>
      </c>
      <c r="M348">
        <v>13.135491504181909</v>
      </c>
      <c r="N348">
        <v>0.40361202696328807</v>
      </c>
      <c r="O348">
        <v>0.16008884951678196</v>
      </c>
      <c r="P348">
        <v>16.300807619338027</v>
      </c>
      <c r="Q348">
        <v>13.133579746347646</v>
      </c>
      <c r="R348">
        <v>0.40499384188896281</v>
      </c>
      <c r="S348">
        <v>0.16064142786890273</v>
      </c>
      <c r="T348">
        <v>16.300784983894488</v>
      </c>
      <c r="U348">
        <v>1571.0650311017198</v>
      </c>
      <c r="V348">
        <v>10.272412728871309</v>
      </c>
      <c r="W348">
        <v>1302.3291620303994</v>
      </c>
      <c r="X348">
        <v>7.3144193128507098</v>
      </c>
      <c r="Y348">
        <v>2892.7851314190452</v>
      </c>
      <c r="Z348">
        <v>10.314467290447096</v>
      </c>
      <c r="AA348">
        <v>2724.5006096844049</v>
      </c>
      <c r="AB348">
        <v>7.3387356905133059</v>
      </c>
      <c r="AC348">
        <v>2264.5366708516026</v>
      </c>
      <c r="AD348">
        <v>10.289152506465774</v>
      </c>
      <c r="AE348">
        <v>2042.6653729398604</v>
      </c>
      <c r="AF348">
        <v>7.3241094744647528</v>
      </c>
      <c r="AG348">
        <v>2125.2124552125329</v>
      </c>
      <c r="AH348">
        <v>10.288824919210747</v>
      </c>
      <c r="AI348">
        <v>1899.9292298373523</v>
      </c>
      <c r="AJ348">
        <v>7.3239199850759782</v>
      </c>
    </row>
    <row r="349" spans="4:36" x14ac:dyDescent="0.45">
      <c r="D349">
        <v>342</v>
      </c>
      <c r="E349">
        <v>11.239750340152286</v>
      </c>
      <c r="F349">
        <v>0.4020829381903287</v>
      </c>
      <c r="G349">
        <v>0.16913963789063574</v>
      </c>
      <c r="H349">
        <v>18.18902708376676</v>
      </c>
      <c r="I349">
        <v>11.403335861808463</v>
      </c>
      <c r="J349">
        <v>0.27130223838740036</v>
      </c>
      <c r="K349">
        <v>0.11381594381052379</v>
      </c>
      <c r="L349">
        <v>18.211545955993618</v>
      </c>
      <c r="M349">
        <v>11.326058320088416</v>
      </c>
      <c r="N349">
        <v>0.33309913227475385</v>
      </c>
      <c r="O349">
        <v>0.13991973195923038</v>
      </c>
      <c r="P349">
        <v>18.200922815677597</v>
      </c>
      <c r="Q349">
        <v>11.297026269506327</v>
      </c>
      <c r="R349">
        <v>0.3563078030479549</v>
      </c>
      <c r="S349">
        <v>0.14974087479370882</v>
      </c>
      <c r="T349">
        <v>18.196925052652009</v>
      </c>
      <c r="U349">
        <v>1478.3346116933726</v>
      </c>
      <c r="V349">
        <v>8.8337282622373134</v>
      </c>
      <c r="W349">
        <v>1250.8134735422416</v>
      </c>
      <c r="X349">
        <v>6.473423744497615</v>
      </c>
      <c r="Y349">
        <v>2860.2003139716894</v>
      </c>
      <c r="Z349">
        <v>8.8504196745321835</v>
      </c>
      <c r="AA349">
        <v>2709.376662390302</v>
      </c>
      <c r="AB349">
        <v>6.4843477606139048</v>
      </c>
      <c r="AC349">
        <v>2151.7391683376432</v>
      </c>
      <c r="AD349">
        <v>8.8425271309274684</v>
      </c>
      <c r="AE349">
        <v>1974.207368252884</v>
      </c>
      <c r="AF349">
        <v>6.4791888749825324</v>
      </c>
      <c r="AG349">
        <v>2058.1967738152193</v>
      </c>
      <c r="AH349">
        <v>8.8395655002901439</v>
      </c>
      <c r="AI349">
        <v>1863.5309483907902</v>
      </c>
      <c r="AJ349">
        <v>6.4772500175833958</v>
      </c>
    </row>
    <row r="350" spans="4:36" x14ac:dyDescent="0.45">
      <c r="D350">
        <v>343</v>
      </c>
      <c r="E350">
        <v>11.897160232704671</v>
      </c>
      <c r="F350">
        <v>0.4403766616438895</v>
      </c>
      <c r="G350">
        <v>0.1590131492115896</v>
      </c>
      <c r="H350">
        <v>17.503449956439859</v>
      </c>
      <c r="I350">
        <v>12.091520338215163</v>
      </c>
      <c r="J350">
        <v>0.2883217479399387</v>
      </c>
      <c r="K350">
        <v>0.10380919079731506</v>
      </c>
      <c r="L350">
        <v>17.516348723047575</v>
      </c>
      <c r="M350">
        <v>12.008115001414744</v>
      </c>
      <c r="N350">
        <v>0.35359619777449924</v>
      </c>
      <c r="O350">
        <v>0.12746781584733763</v>
      </c>
      <c r="P350">
        <v>17.510820984963413</v>
      </c>
      <c r="Q350">
        <v>11.997567926495153</v>
      </c>
      <c r="R350">
        <v>0.36184801843809689</v>
      </c>
      <c r="S350">
        <v>0.13046288179923179</v>
      </c>
      <c r="T350">
        <v>17.510121173267517</v>
      </c>
      <c r="U350">
        <v>1478.3240662955557</v>
      </c>
      <c r="V350">
        <v>9.4074785097417966</v>
      </c>
      <c r="W350">
        <v>1247.8568257586526</v>
      </c>
      <c r="X350">
        <v>6.8208957437319633</v>
      </c>
      <c r="Y350">
        <v>2840.967602487859</v>
      </c>
      <c r="Z350">
        <v>9.4384878414104527</v>
      </c>
      <c r="AA350">
        <v>2694.100773850058</v>
      </c>
      <c r="AB350">
        <v>6.8395865218527394</v>
      </c>
      <c r="AC350">
        <v>2169.836315330333</v>
      </c>
      <c r="AD350">
        <v>9.4251767633905548</v>
      </c>
      <c r="AE350">
        <v>1986.1191255107849</v>
      </c>
      <c r="AF350">
        <v>6.8315720444301276</v>
      </c>
      <c r="AG350">
        <v>2049.8903892485455</v>
      </c>
      <c r="AH350">
        <v>9.4234939409126817</v>
      </c>
      <c r="AI350">
        <v>1857.1548026669425</v>
      </c>
      <c r="AJ350">
        <v>6.8305579021074392</v>
      </c>
    </row>
    <row r="351" spans="4:36" x14ac:dyDescent="0.45">
      <c r="D351">
        <v>344</v>
      </c>
      <c r="E351">
        <v>13.700591128311611</v>
      </c>
      <c r="F351">
        <v>0.44284570385342814</v>
      </c>
      <c r="G351">
        <v>0.16891028004620393</v>
      </c>
      <c r="H351">
        <v>15.68765288778876</v>
      </c>
      <c r="I351">
        <v>13.963624674530921</v>
      </c>
      <c r="J351">
        <v>0.2816433809575003</v>
      </c>
      <c r="K351">
        <v>0.10704434360719432</v>
      </c>
      <c r="L351">
        <v>15.647687600904366</v>
      </c>
      <c r="M351">
        <v>13.866668561012503</v>
      </c>
      <c r="N351">
        <v>0.34112024330092927</v>
      </c>
      <c r="O351">
        <v>0.12981840326085753</v>
      </c>
      <c r="P351">
        <v>15.662392792425694</v>
      </c>
      <c r="Q351">
        <v>13.804594629184971</v>
      </c>
      <c r="R351">
        <v>0.37916442813538942</v>
      </c>
      <c r="S351">
        <v>0.14441741802942301</v>
      </c>
      <c r="T351">
        <v>15.671823524650236</v>
      </c>
      <c r="U351">
        <v>1573.4256062055401</v>
      </c>
      <c r="V351">
        <v>10.773740986245061</v>
      </c>
      <c r="W351">
        <v>1302.8203644555078</v>
      </c>
      <c r="X351">
        <v>7.6084237484922079</v>
      </c>
      <c r="Y351">
        <v>2930.0115861901268</v>
      </c>
      <c r="Z351">
        <v>10.844456094476071</v>
      </c>
      <c r="AA351">
        <v>2749.7542406009356</v>
      </c>
      <c r="AB351">
        <v>7.6471693395110085</v>
      </c>
      <c r="AC351">
        <v>2259.8585549607546</v>
      </c>
      <c r="AD351">
        <v>10.818405657291825</v>
      </c>
      <c r="AE351">
        <v>2040.8982092047404</v>
      </c>
      <c r="AF351">
        <v>7.6329094864378968</v>
      </c>
      <c r="AG351">
        <v>2140.9952336511974</v>
      </c>
      <c r="AH351">
        <v>10.801717886415233</v>
      </c>
      <c r="AI351">
        <v>1910.1307833980247</v>
      </c>
      <c r="AJ351">
        <v>7.623766477022949</v>
      </c>
    </row>
    <row r="352" spans="4:36" x14ac:dyDescent="0.45">
      <c r="D352">
        <v>345</v>
      </c>
      <c r="E352">
        <v>13.546688713220627</v>
      </c>
      <c r="F352">
        <v>0.4811067675732123</v>
      </c>
      <c r="G352">
        <v>0.17716599066557112</v>
      </c>
      <c r="H352">
        <v>15.795038528540596</v>
      </c>
      <c r="I352">
        <v>13.799382121088101</v>
      </c>
      <c r="J352">
        <v>0.30658016722548498</v>
      </c>
      <c r="K352">
        <v>0.1124980407755784</v>
      </c>
      <c r="L352">
        <v>15.781539670910837</v>
      </c>
      <c r="M352">
        <v>13.727431016638565</v>
      </c>
      <c r="N352">
        <v>0.35631407309911944</v>
      </c>
      <c r="O352">
        <v>0.13087880800922283</v>
      </c>
      <c r="P352">
        <v>15.785376102253094</v>
      </c>
      <c r="Q352">
        <v>13.651188384604778</v>
      </c>
      <c r="R352">
        <v>0.40897993462990523</v>
      </c>
      <c r="S352">
        <v>0.15038409914191467</v>
      </c>
      <c r="T352">
        <v>15.789447581623406</v>
      </c>
      <c r="U352">
        <v>1585.4315221718189</v>
      </c>
      <c r="V352">
        <v>10.617641558756247</v>
      </c>
      <c r="W352">
        <v>1304.6063934836056</v>
      </c>
      <c r="X352">
        <v>7.5072242872294597</v>
      </c>
      <c r="Y352">
        <v>2933.7177241306786</v>
      </c>
      <c r="Z352">
        <v>10.669550326395171</v>
      </c>
      <c r="AA352">
        <v>2748.1574205313732</v>
      </c>
      <c r="AB352">
        <v>7.5364232468305099</v>
      </c>
      <c r="AC352">
        <v>2263.1745138247611</v>
      </c>
      <c r="AD352">
        <v>10.654773788046269</v>
      </c>
      <c r="AE352">
        <v>2039.2906241144574</v>
      </c>
      <c r="AF352">
        <v>7.528121182826113</v>
      </c>
      <c r="AG352">
        <v>2189.8983655373577</v>
      </c>
      <c r="AH352">
        <v>10.639112615883125</v>
      </c>
      <c r="AI352">
        <v>1939.3806153739108</v>
      </c>
      <c r="AJ352">
        <v>7.5193136027050675</v>
      </c>
    </row>
    <row r="353" spans="4:36" x14ac:dyDescent="0.45">
      <c r="D353">
        <v>346</v>
      </c>
      <c r="E353">
        <v>11.326137103777256</v>
      </c>
      <c r="F353">
        <v>0.4131247813199771</v>
      </c>
      <c r="G353">
        <v>0.14264994195517217</v>
      </c>
      <c r="H353">
        <v>18.118088172947608</v>
      </c>
      <c r="I353">
        <v>11.485398193646368</v>
      </c>
      <c r="J353">
        <v>0.28357317944704119</v>
      </c>
      <c r="K353">
        <v>9.767596854454294E-2</v>
      </c>
      <c r="L353">
        <v>18.13335265836206</v>
      </c>
      <c r="M353">
        <v>11.409028102368611</v>
      </c>
      <c r="N353">
        <v>0.34571125624850957</v>
      </c>
      <c r="O353">
        <v>0.1192193235397091</v>
      </c>
      <c r="P353">
        <v>18.126041317843161</v>
      </c>
      <c r="Q353">
        <v>11.377563692464083</v>
      </c>
      <c r="R353">
        <v>0.37130432974276584</v>
      </c>
      <c r="S353">
        <v>0.12810741939539796</v>
      </c>
      <c r="T353">
        <v>18.123024558397766</v>
      </c>
      <c r="U353">
        <v>1444.9003882569016</v>
      </c>
      <c r="V353">
        <v>9.0135034430541232</v>
      </c>
      <c r="W353">
        <v>1227.9861423107811</v>
      </c>
      <c r="X353">
        <v>6.5984181926231713</v>
      </c>
      <c r="Y353">
        <v>2853.9087469995879</v>
      </c>
      <c r="Z353">
        <v>9.0351220376054151</v>
      </c>
      <c r="AA353">
        <v>2705.5891490973786</v>
      </c>
      <c r="AB353">
        <v>6.6119267086619331</v>
      </c>
      <c r="AC353">
        <v>2181.6741117451361</v>
      </c>
      <c r="AD353">
        <v>9.024750477284444</v>
      </c>
      <c r="AE353">
        <v>1997.5272408576777</v>
      </c>
      <c r="AF353">
        <v>6.6054523343022833</v>
      </c>
      <c r="AG353">
        <v>2065.3338449790936</v>
      </c>
      <c r="AH353">
        <v>9.0204799960707014</v>
      </c>
      <c r="AI353">
        <v>1870.0186986862218</v>
      </c>
      <c r="AJ353">
        <v>6.602783116903173</v>
      </c>
    </row>
    <row r="354" spans="4:36" x14ac:dyDescent="0.45">
      <c r="D354">
        <v>347</v>
      </c>
      <c r="E354">
        <v>12.904790235796751</v>
      </c>
      <c r="F354">
        <v>0.44672456721311521</v>
      </c>
      <c r="G354">
        <v>0.16145217398753928</v>
      </c>
      <c r="H354">
        <v>16.487033023002606</v>
      </c>
      <c r="I354">
        <v>13.134438632259332</v>
      </c>
      <c r="J354">
        <v>0.28637590776838417</v>
      </c>
      <c r="K354">
        <v>0.10316064859656029</v>
      </c>
      <c r="L354">
        <v>16.476024811375726</v>
      </c>
      <c r="M354">
        <v>13.048232245965879</v>
      </c>
      <c r="N354">
        <v>0.34660661228111495</v>
      </c>
      <c r="O354">
        <v>0.12501077443179007</v>
      </c>
      <c r="P354">
        <v>16.480150367321222</v>
      </c>
      <c r="Q354">
        <v>12.988173499082823</v>
      </c>
      <c r="R354">
        <v>0.38854131474219372</v>
      </c>
      <c r="S354">
        <v>0.14025582084511917</v>
      </c>
      <c r="T354">
        <v>16.483029365329866</v>
      </c>
      <c r="U354">
        <v>1587.5480603571064</v>
      </c>
      <c r="V354">
        <v>10.262081583170609</v>
      </c>
      <c r="W354">
        <v>1314.6838385636252</v>
      </c>
      <c r="X354">
        <v>7.327800341765391</v>
      </c>
      <c r="Y354">
        <v>2919.7837867460726</v>
      </c>
      <c r="Z354">
        <v>10.311243771188597</v>
      </c>
      <c r="AA354">
        <v>2743.6203971828868</v>
      </c>
      <c r="AB354">
        <v>7.3556664369927125</v>
      </c>
      <c r="AC354">
        <v>2222.0645091476958</v>
      </c>
      <c r="AD354">
        <v>10.292793422961587</v>
      </c>
      <c r="AE354">
        <v>2015.2519614004891</v>
      </c>
      <c r="AF354">
        <v>7.345218938832053</v>
      </c>
      <c r="AG354">
        <v>2148.8018366564338</v>
      </c>
      <c r="AH354">
        <v>10.279936242106951</v>
      </c>
      <c r="AI354">
        <v>1916.7260498601765</v>
      </c>
      <c r="AJ354">
        <v>7.3379311206312883</v>
      </c>
    </row>
    <row r="355" spans="4:36" x14ac:dyDescent="0.45">
      <c r="D355">
        <v>348</v>
      </c>
      <c r="E355">
        <v>12.282229751242918</v>
      </c>
      <c r="F355">
        <v>0.49695179621458557</v>
      </c>
      <c r="G355">
        <v>0.17061874829785403</v>
      </c>
      <c r="H355">
        <v>17.05019970424464</v>
      </c>
      <c r="I355">
        <v>12.521515962025072</v>
      </c>
      <c r="J355">
        <v>0.29973400961949931</v>
      </c>
      <c r="K355">
        <v>0.10254059728400221</v>
      </c>
      <c r="L355">
        <v>17.076209431071426</v>
      </c>
      <c r="M355">
        <v>12.396232041407274</v>
      </c>
      <c r="N355">
        <v>0.40302167194707789</v>
      </c>
      <c r="O355">
        <v>0.13813318974544056</v>
      </c>
      <c r="P355">
        <v>17.062613096900208</v>
      </c>
      <c r="Q355">
        <v>12.356953804451825</v>
      </c>
      <c r="R355">
        <v>0.43539039632403137</v>
      </c>
      <c r="S355">
        <v>0.14931511766114547</v>
      </c>
      <c r="T355">
        <v>17.058340681563003</v>
      </c>
      <c r="U355">
        <v>1552.2521908621068</v>
      </c>
      <c r="V355">
        <v>9.6973699431554206</v>
      </c>
      <c r="W355">
        <v>1287.0920798874183</v>
      </c>
      <c r="X355">
        <v>6.9806222476356368</v>
      </c>
      <c r="Y355">
        <v>2892.9636952306287</v>
      </c>
      <c r="Z355">
        <v>9.7253848562505389</v>
      </c>
      <c r="AA355">
        <v>2724.6689274156665</v>
      </c>
      <c r="AB355">
        <v>6.9980436364027439</v>
      </c>
      <c r="AC355">
        <v>2263.8171866869238</v>
      </c>
      <c r="AD355">
        <v>9.7107053865975743</v>
      </c>
      <c r="AE355">
        <v>2042.3482006128745</v>
      </c>
      <c r="AF355">
        <v>6.9889267384049418</v>
      </c>
      <c r="AG355">
        <v>2144.3499771127167</v>
      </c>
      <c r="AH355">
        <v>9.7061084056153142</v>
      </c>
      <c r="AI355">
        <v>1911.3912242634574</v>
      </c>
      <c r="AJ355">
        <v>6.9860664457040347</v>
      </c>
    </row>
    <row r="356" spans="4:36" x14ac:dyDescent="0.45">
      <c r="D356">
        <v>349</v>
      </c>
      <c r="E356">
        <v>13.039020884869169</v>
      </c>
      <c r="F356">
        <v>0.43813119799566391</v>
      </c>
      <c r="G356">
        <v>0.16230210306666207</v>
      </c>
      <c r="H356">
        <v>16.360545814068502</v>
      </c>
      <c r="I356">
        <v>13.23894241266388</v>
      </c>
      <c r="J356">
        <v>0.29949346235405194</v>
      </c>
      <c r="K356">
        <v>0.11062433191057668</v>
      </c>
      <c r="L356">
        <v>16.350939793071497</v>
      </c>
      <c r="M356">
        <v>13.150609990724289</v>
      </c>
      <c r="N356">
        <v>0.36077928454176583</v>
      </c>
      <c r="O356">
        <v>0.13343143522105591</v>
      </c>
      <c r="P356">
        <v>16.355179289512893</v>
      </c>
      <c r="Q356">
        <v>13.081902996222061</v>
      </c>
      <c r="R356">
        <v>0.40841519720722996</v>
      </c>
      <c r="S356">
        <v>0.15119970971681007</v>
      </c>
      <c r="T356">
        <v>16.358482096853898</v>
      </c>
      <c r="U356">
        <v>1539.7922512289731</v>
      </c>
      <c r="V356">
        <v>10.354733331503818</v>
      </c>
      <c r="W356">
        <v>1283.4100816136552</v>
      </c>
      <c r="X356">
        <v>7.379472238444019</v>
      </c>
      <c r="Y356">
        <v>2906.6338363232826</v>
      </c>
      <c r="Z356">
        <v>10.396401477613207</v>
      </c>
      <c r="AA356">
        <v>2734.7808439546184</v>
      </c>
      <c r="AB356">
        <v>7.4030749395068289</v>
      </c>
      <c r="AC356">
        <v>2236.0962177630936</v>
      </c>
      <c r="AD356">
        <v>10.377994096789299</v>
      </c>
      <c r="AE356">
        <v>2026.1573359188546</v>
      </c>
      <c r="AF356">
        <v>7.3926562892909322</v>
      </c>
      <c r="AG356">
        <v>2136.2975280813453</v>
      </c>
      <c r="AH356">
        <v>10.363673040723738</v>
      </c>
      <c r="AI356">
        <v>1908.452157838329</v>
      </c>
      <c r="AJ356">
        <v>7.3845416500850263</v>
      </c>
    </row>
    <row r="357" spans="4:36" x14ac:dyDescent="0.45">
      <c r="D357">
        <v>350</v>
      </c>
      <c r="E357">
        <v>11.717412536479495</v>
      </c>
      <c r="F357">
        <v>0.43449083022217044</v>
      </c>
      <c r="G357">
        <v>0.17789553654934756</v>
      </c>
      <c r="H357">
        <v>17.670201096748983</v>
      </c>
      <c r="I357">
        <v>11.912691309861888</v>
      </c>
      <c r="J357">
        <v>0.27796715655055892</v>
      </c>
      <c r="K357">
        <v>0.11345973323389943</v>
      </c>
      <c r="L357">
        <v>17.695881800353636</v>
      </c>
      <c r="M357">
        <v>11.830625462540558</v>
      </c>
      <c r="N357">
        <v>0.34376817060127529</v>
      </c>
      <c r="O357">
        <v>0.14049901010951893</v>
      </c>
      <c r="P357">
        <v>17.685107356748638</v>
      </c>
      <c r="Q357">
        <v>11.803315681602239</v>
      </c>
      <c r="R357">
        <v>0.36565831326392717</v>
      </c>
      <c r="S357">
        <v>0.14950987846775329</v>
      </c>
      <c r="T357">
        <v>17.681516126666089</v>
      </c>
      <c r="U357">
        <v>1533.5449876381424</v>
      </c>
      <c r="V357">
        <v>9.2398801880053369</v>
      </c>
      <c r="W357">
        <v>1284.2059686526663</v>
      </c>
      <c r="X357">
        <v>6.7142251421725465</v>
      </c>
      <c r="Y357">
        <v>2877.8044111440695</v>
      </c>
      <c r="Z357">
        <v>9.2604124200861335</v>
      </c>
      <c r="AA357">
        <v>2718.9056342614581</v>
      </c>
      <c r="AB357">
        <v>6.7276196361740599</v>
      </c>
      <c r="AC357">
        <v>2192.065808671191</v>
      </c>
      <c r="AD357">
        <v>9.2517726715555888</v>
      </c>
      <c r="AE357">
        <v>1999.5483767350561</v>
      </c>
      <c r="AF357">
        <v>6.7219923702329325</v>
      </c>
      <c r="AG357">
        <v>2098.4217315903898</v>
      </c>
      <c r="AH357">
        <v>9.2489010964283374</v>
      </c>
      <c r="AI357">
        <v>1888.5800090673279</v>
      </c>
      <c r="AJ357">
        <v>6.7201191701134739</v>
      </c>
    </row>
    <row r="358" spans="4:36" x14ac:dyDescent="0.45">
      <c r="D358">
        <v>351</v>
      </c>
      <c r="E358">
        <v>12.484537837777916</v>
      </c>
      <c r="F358">
        <v>0.49084094483495433</v>
      </c>
      <c r="G358">
        <v>0.17085836104102362</v>
      </c>
      <c r="H358">
        <v>16.853762856346087</v>
      </c>
      <c r="I358">
        <v>12.695171401036285</v>
      </c>
      <c r="J358">
        <v>0.32535340903382254</v>
      </c>
      <c r="K358">
        <v>0.11290252366440383</v>
      </c>
      <c r="L358">
        <v>16.866572666265501</v>
      </c>
      <c r="M358">
        <v>12.623326593829935</v>
      </c>
      <c r="N358">
        <v>0.38182364126366475</v>
      </c>
      <c r="O358">
        <v>0.13263816243323295</v>
      </c>
      <c r="P358">
        <v>16.862211602473174</v>
      </c>
      <c r="Q358">
        <v>12.563962270902275</v>
      </c>
      <c r="R358">
        <v>0.4284652947092582</v>
      </c>
      <c r="S358">
        <v>0.14897071841362422</v>
      </c>
      <c r="T358">
        <v>16.858601715974839</v>
      </c>
      <c r="U358">
        <v>1609.4727400449726</v>
      </c>
      <c r="V358">
        <v>9.8870470095955749</v>
      </c>
      <c r="W358">
        <v>1328.2146240624149</v>
      </c>
      <c r="X358">
        <v>7.097441424859193</v>
      </c>
      <c r="Y358">
        <v>2914.9920178942371</v>
      </c>
      <c r="Z358">
        <v>9.9191632258412294</v>
      </c>
      <c r="AA358">
        <v>2737.7775577590742</v>
      </c>
      <c r="AB358">
        <v>7.116658878298451</v>
      </c>
      <c r="AC358">
        <v>2252.8940356325629</v>
      </c>
      <c r="AD358">
        <v>9.9082040322713762</v>
      </c>
      <c r="AE358">
        <v>2035.5399205345964</v>
      </c>
      <c r="AF358">
        <v>7.1101096597171578</v>
      </c>
      <c r="AG358">
        <v>2151.8111843184852</v>
      </c>
      <c r="AH358">
        <v>9.899152271688747</v>
      </c>
      <c r="AI358">
        <v>1916.6555525084968</v>
      </c>
      <c r="AJ358">
        <v>7.1046937427406238</v>
      </c>
    </row>
    <row r="359" spans="4:36" x14ac:dyDescent="0.45">
      <c r="D359">
        <v>352</v>
      </c>
      <c r="E359">
        <v>13.792209749282961</v>
      </c>
      <c r="F359">
        <v>0.50598199654399489</v>
      </c>
      <c r="G359">
        <v>0.17491654335940229</v>
      </c>
      <c r="H359">
        <v>15.526891710813631</v>
      </c>
      <c r="I359">
        <v>14.046343261970305</v>
      </c>
      <c r="J359">
        <v>0.32406384874164618</v>
      </c>
      <c r="K359">
        <v>0.11164645059473642</v>
      </c>
      <c r="L359">
        <v>15.517946438693302</v>
      </c>
      <c r="M359">
        <v>13.928243259717121</v>
      </c>
      <c r="N359">
        <v>0.40864989365349252</v>
      </c>
      <c r="O359">
        <v>0.14101045583874261</v>
      </c>
      <c r="P359">
        <v>15.522096390790638</v>
      </c>
      <c r="Q359">
        <v>13.909957619858934</v>
      </c>
      <c r="R359">
        <v>0.42173943969795935</v>
      </c>
      <c r="S359">
        <v>0.14556291344620409</v>
      </c>
      <c r="T359">
        <v>15.522740026996907</v>
      </c>
      <c r="U359">
        <v>1610.947479020637</v>
      </c>
      <c r="V359">
        <v>10.884897222520022</v>
      </c>
      <c r="W359">
        <v>1322.2287081391887</v>
      </c>
      <c r="X359">
        <v>7.6685815810171869</v>
      </c>
      <c r="Y359">
        <v>2940.9243094130607</v>
      </c>
      <c r="Z359">
        <v>10.935952996571579</v>
      </c>
      <c r="AA359">
        <v>2752.775823427874</v>
      </c>
      <c r="AB359">
        <v>7.6972367880245933</v>
      </c>
      <c r="AC359">
        <v>2284.2010441095654</v>
      </c>
      <c r="AD359">
        <v>10.91223089269119</v>
      </c>
      <c r="AE359">
        <v>2051.2487662426893</v>
      </c>
      <c r="AF359">
        <v>7.6839342233973182</v>
      </c>
      <c r="AG359">
        <v>2180.7379570596099</v>
      </c>
      <c r="AH359">
        <v>10.908557283545955</v>
      </c>
      <c r="AI359">
        <v>1932.9807744659245</v>
      </c>
      <c r="AJ359">
        <v>7.6818724037156931</v>
      </c>
    </row>
    <row r="360" spans="4:36" x14ac:dyDescent="0.45">
      <c r="D360">
        <v>353</v>
      </c>
      <c r="E360">
        <v>12.204925444861763</v>
      </c>
      <c r="F360">
        <v>0.47720648694135698</v>
      </c>
      <c r="G360">
        <v>0.18981552959212972</v>
      </c>
      <c r="H360">
        <v>17.128052538604749</v>
      </c>
      <c r="I360">
        <v>12.430017561398138</v>
      </c>
      <c r="J360">
        <v>0.30206701356419385</v>
      </c>
      <c r="K360">
        <v>0.11974502260248808</v>
      </c>
      <c r="L360">
        <v>17.14817040243517</v>
      </c>
      <c r="M360">
        <v>12.371141105015857</v>
      </c>
      <c r="N360">
        <v>0.3479023402826607</v>
      </c>
      <c r="O360">
        <v>0.13803658383121947</v>
      </c>
      <c r="P360">
        <v>17.14291997087026</v>
      </c>
      <c r="Q360">
        <v>12.292290641125325</v>
      </c>
      <c r="R360">
        <v>0.40926001806835183</v>
      </c>
      <c r="S360">
        <v>0.16257398442499049</v>
      </c>
      <c r="T360">
        <v>17.135875356381323</v>
      </c>
      <c r="U360">
        <v>1541.0232604777093</v>
      </c>
      <c r="V360">
        <v>9.7260386282372195</v>
      </c>
      <c r="W360">
        <v>1282.4623588526199</v>
      </c>
      <c r="X360">
        <v>7.0105778941473718</v>
      </c>
      <c r="Y360">
        <v>2924.0420682491995</v>
      </c>
      <c r="Z360">
        <v>9.7578302075581149</v>
      </c>
      <c r="AA360">
        <v>2748.0638770975888</v>
      </c>
      <c r="AB360">
        <v>7.030166605437663</v>
      </c>
      <c r="AC360">
        <v>2201.5479157374539</v>
      </c>
      <c r="AD360">
        <v>9.7495067306351437</v>
      </c>
      <c r="AE360">
        <v>2003.3526502149532</v>
      </c>
      <c r="AF360">
        <v>7.0250471479347913</v>
      </c>
      <c r="AG360">
        <v>2139.6616788438523</v>
      </c>
      <c r="AH360">
        <v>9.738368203278549</v>
      </c>
      <c r="AI360">
        <v>1911.8058337401753</v>
      </c>
      <c r="AJ360">
        <v>7.0181861667394703</v>
      </c>
    </row>
    <row r="361" spans="4:36" x14ac:dyDescent="0.45">
      <c r="D361">
        <v>354</v>
      </c>
      <c r="E361">
        <v>13.234878286758741</v>
      </c>
      <c r="F361">
        <v>0.44783389332699197</v>
      </c>
      <c r="G361">
        <v>0.14454070743832698</v>
      </c>
      <c r="H361">
        <v>16.172747112475935</v>
      </c>
      <c r="I361">
        <v>13.501078312847755</v>
      </c>
      <c r="J361">
        <v>0.27249969362435716</v>
      </c>
      <c r="K361">
        <v>8.763241642597977E-2</v>
      </c>
      <c r="L361">
        <v>16.138789577101907</v>
      </c>
      <c r="M361">
        <v>13.350590124015179</v>
      </c>
      <c r="N361">
        <v>0.37167748836169101</v>
      </c>
      <c r="O361">
        <v>0.11977105797249346</v>
      </c>
      <c r="P361">
        <v>16.157961329650625</v>
      </c>
      <c r="Q361">
        <v>13.313003025954757</v>
      </c>
      <c r="R361">
        <v>0.39642547305736242</v>
      </c>
      <c r="S361">
        <v>0.12781151669528146</v>
      </c>
      <c r="T361">
        <v>16.162759984292588</v>
      </c>
      <c r="U361">
        <v>1582.6917220007747</v>
      </c>
      <c r="V361">
        <v>10.45183389418764</v>
      </c>
      <c r="W361">
        <v>1312.4712169196227</v>
      </c>
      <c r="X361">
        <v>7.4308635352569503</v>
      </c>
      <c r="Y361">
        <v>2905.5767466523771</v>
      </c>
      <c r="Z361">
        <v>10.52081526753639</v>
      </c>
      <c r="AA361">
        <v>2735.2639147981768</v>
      </c>
      <c r="AB361">
        <v>7.4690983772206456</v>
      </c>
      <c r="AC361">
        <v>2263.0866356793731</v>
      </c>
      <c r="AD361">
        <v>10.481833353547264</v>
      </c>
      <c r="AE361">
        <v>2043.8672573383853</v>
      </c>
      <c r="AF361">
        <v>7.4475070171632272</v>
      </c>
      <c r="AG361">
        <v>2131.8242524125094</v>
      </c>
      <c r="AH361">
        <v>10.472091004347771</v>
      </c>
      <c r="AI361">
        <v>1905.2596830300095</v>
      </c>
      <c r="AJ361">
        <v>7.4421046594439879</v>
      </c>
    </row>
    <row r="362" spans="4:36" x14ac:dyDescent="0.45">
      <c r="D362">
        <v>355</v>
      </c>
      <c r="E362">
        <v>12.08956385457522</v>
      </c>
      <c r="F362">
        <v>0.43219435738964684</v>
      </c>
      <c r="G362">
        <v>0.14445001372038269</v>
      </c>
      <c r="H362">
        <v>17.333791774314754</v>
      </c>
      <c r="I362">
        <v>12.296279421593338</v>
      </c>
      <c r="J362">
        <v>0.2807447207176178</v>
      </c>
      <c r="K362">
        <v>9.3536034641453672E-2</v>
      </c>
      <c r="L362">
        <v>17.329439823047597</v>
      </c>
      <c r="M362">
        <v>12.199499929766571</v>
      </c>
      <c r="N362">
        <v>0.35168138957939687</v>
      </c>
      <c r="O362">
        <v>0.1173427636312229</v>
      </c>
      <c r="P362">
        <v>17.331475917022807</v>
      </c>
      <c r="Q362">
        <v>12.201362955222395</v>
      </c>
      <c r="R362">
        <v>0.35031636391675552</v>
      </c>
      <c r="S362">
        <v>0.11688398211515229</v>
      </c>
      <c r="T362">
        <v>17.331436698745712</v>
      </c>
      <c r="U362">
        <v>1471.2128064672838</v>
      </c>
      <c r="V362">
        <v>9.5825818658144293</v>
      </c>
      <c r="W362">
        <v>1245.5241724051345</v>
      </c>
      <c r="X362">
        <v>6.9296772582663007</v>
      </c>
      <c r="Y362">
        <v>2838.245445926811</v>
      </c>
      <c r="Z362">
        <v>9.6241775945969099</v>
      </c>
      <c r="AA362">
        <v>2694.1227556592403</v>
      </c>
      <c r="AB362">
        <v>6.9538621275581178</v>
      </c>
      <c r="AC362">
        <v>2203.4146725795617</v>
      </c>
      <c r="AD362">
        <v>9.6047043345054899</v>
      </c>
      <c r="AE362">
        <v>2012.4891396494295</v>
      </c>
      <c r="AF362">
        <v>6.9425501928170963</v>
      </c>
      <c r="AG362">
        <v>2061.6832835070982</v>
      </c>
      <c r="AH362">
        <v>9.6050792138683168</v>
      </c>
      <c r="AI362">
        <v>1868.313490810232</v>
      </c>
      <c r="AJ362">
        <v>6.9427681295727472</v>
      </c>
    </row>
    <row r="363" spans="4:36" x14ac:dyDescent="0.45">
      <c r="D363">
        <v>356</v>
      </c>
      <c r="E363">
        <v>14.183475837924513</v>
      </c>
      <c r="F363">
        <v>0.54149952506232102</v>
      </c>
      <c r="G363">
        <v>0.16984332759905546</v>
      </c>
      <c r="H363">
        <v>15.105181309414112</v>
      </c>
      <c r="I363">
        <v>14.408677615588708</v>
      </c>
      <c r="J363">
        <v>0.37203173751086177</v>
      </c>
      <c r="K363">
        <v>0.11634365156269663</v>
      </c>
      <c r="L363">
        <v>15.102946995337733</v>
      </c>
      <c r="M363">
        <v>14.297376040786963</v>
      </c>
      <c r="N363">
        <v>0.45581970504695735</v>
      </c>
      <c r="O363">
        <v>0.14275457053779</v>
      </c>
      <c r="P363">
        <v>15.104049683628277</v>
      </c>
      <c r="Q363">
        <v>14.260533792770667</v>
      </c>
      <c r="R363">
        <v>0.48354092951064037</v>
      </c>
      <c r="S363">
        <v>0.15150991277988049</v>
      </c>
      <c r="T363">
        <v>15.104415364938806</v>
      </c>
      <c r="U363">
        <v>1656.6507180008641</v>
      </c>
      <c r="V363">
        <v>11.209963850343154</v>
      </c>
      <c r="W363">
        <v>1350.0393725009321</v>
      </c>
      <c r="X363">
        <v>7.8535473178567443</v>
      </c>
      <c r="Y363">
        <v>2956.7442848783589</v>
      </c>
      <c r="Z363">
        <v>11.25374175871927</v>
      </c>
      <c r="AA363">
        <v>2759.2845756029446</v>
      </c>
      <c r="AB363">
        <v>7.8782188394960952</v>
      </c>
      <c r="AC363">
        <v>2320.3295573294854</v>
      </c>
      <c r="AD363">
        <v>11.232106536150422</v>
      </c>
      <c r="AE363">
        <v>2071.8643705954955</v>
      </c>
      <c r="AF363">
        <v>7.8660349698998147</v>
      </c>
      <c r="AG363">
        <v>2221.3104819642936</v>
      </c>
      <c r="AH363">
        <v>11.224944505302714</v>
      </c>
      <c r="AI363">
        <v>1955.5869008371205</v>
      </c>
      <c r="AJ363">
        <v>7.8619978554932226</v>
      </c>
    </row>
    <row r="364" spans="4:36" x14ac:dyDescent="0.45">
      <c r="D364">
        <v>357</v>
      </c>
      <c r="E364">
        <v>12.700125480306145</v>
      </c>
      <c r="F364">
        <v>0.4940116646615319</v>
      </c>
      <c r="G364">
        <v>0.18234885133272172</v>
      </c>
      <c r="H364">
        <v>16.623514003699597</v>
      </c>
      <c r="I364">
        <v>12.918925664940872</v>
      </c>
      <c r="J364">
        <v>0.3241897057873101</v>
      </c>
      <c r="K364">
        <v>0.11929412291538141</v>
      </c>
      <c r="L364">
        <v>16.637590506356446</v>
      </c>
      <c r="M364">
        <v>12.839459944134761</v>
      </c>
      <c r="N364">
        <v>0.38589468767141705</v>
      </c>
      <c r="O364">
        <v>0.14215929727542184</v>
      </c>
      <c r="P364">
        <v>16.6324860709184</v>
      </c>
      <c r="Q364">
        <v>12.803322238333056</v>
      </c>
      <c r="R364">
        <v>0.413945176637249</v>
      </c>
      <c r="S364">
        <v>0.15257080203937171</v>
      </c>
      <c r="T364">
        <v>16.630161782990324</v>
      </c>
      <c r="U364">
        <v>1562.278342591959</v>
      </c>
      <c r="V364">
        <v>10.059843222877483</v>
      </c>
      <c r="W364">
        <v>1294.6132362721887</v>
      </c>
      <c r="X364">
        <v>7.1974646951032062</v>
      </c>
      <c r="Y364">
        <v>2940.4966554420976</v>
      </c>
      <c r="Z364">
        <v>10.093640582931572</v>
      </c>
      <c r="AA364">
        <v>2756.7340698392277</v>
      </c>
      <c r="AB364">
        <v>7.2175617823564124</v>
      </c>
      <c r="AC364">
        <v>2246.0980437717089</v>
      </c>
      <c r="AD364">
        <v>10.081361183535499</v>
      </c>
      <c r="AE364">
        <v>2030.8693135779456</v>
      </c>
      <c r="AF364">
        <v>7.2102690576436022</v>
      </c>
      <c r="AG364">
        <v>2141.6762173459529</v>
      </c>
      <c r="AH364">
        <v>10.07577874677769</v>
      </c>
      <c r="AI364">
        <v>1911.1845455240875</v>
      </c>
      <c r="AJ364">
        <v>7.2069502617206362</v>
      </c>
    </row>
    <row r="365" spans="4:36" x14ac:dyDescent="0.45">
      <c r="D365">
        <v>358</v>
      </c>
      <c r="E365">
        <v>12.117585952906239</v>
      </c>
      <c r="F365">
        <v>0.45338474455751249</v>
      </c>
      <c r="G365">
        <v>0.17051095864494503</v>
      </c>
      <c r="H365">
        <v>17.258518343891279</v>
      </c>
      <c r="I365">
        <v>12.346669816950271</v>
      </c>
      <c r="J365">
        <v>0.28305785537529649</v>
      </c>
      <c r="K365">
        <v>0.10610363034837919</v>
      </c>
      <c r="L365">
        <v>17.264168697326046</v>
      </c>
      <c r="M365">
        <v>12.278810103601808</v>
      </c>
      <c r="N365">
        <v>0.3335436621404041</v>
      </c>
      <c r="O365">
        <v>0.12514951845893033</v>
      </c>
      <c r="P365">
        <v>17.262496715798846</v>
      </c>
      <c r="Q365">
        <v>12.255724207829724</v>
      </c>
      <c r="R365">
        <v>0.35071299050683669</v>
      </c>
      <c r="S365">
        <v>0.13163523459985252</v>
      </c>
      <c r="T365">
        <v>17.261927567063584</v>
      </c>
      <c r="U365">
        <v>1502.4857470753566</v>
      </c>
      <c r="V365">
        <v>9.7100715592157183</v>
      </c>
      <c r="W365">
        <v>1259.580749693685</v>
      </c>
      <c r="X365">
        <v>7.0143530897777833</v>
      </c>
      <c r="Y365">
        <v>2868.420079466644</v>
      </c>
      <c r="Z365">
        <v>9.7512485128387141</v>
      </c>
      <c r="AA365">
        <v>2711.3185529780953</v>
      </c>
      <c r="AB365">
        <v>7.0385877135963746</v>
      </c>
      <c r="AC365">
        <v>2175.517602012018</v>
      </c>
      <c r="AD365">
        <v>9.7390496693058619</v>
      </c>
      <c r="AE365">
        <v>1987.9850113822633</v>
      </c>
      <c r="AF365">
        <v>7.0314181077869193</v>
      </c>
      <c r="AG365">
        <v>2092.1688829826153</v>
      </c>
      <c r="AH365">
        <v>9.7348998708948287</v>
      </c>
      <c r="AI365">
        <v>1884.7409733676914</v>
      </c>
      <c r="AJ365">
        <v>7.0289772470558605</v>
      </c>
    </row>
    <row r="366" spans="4:36" x14ac:dyDescent="0.45">
      <c r="D366">
        <v>359</v>
      </c>
      <c r="E366">
        <v>12.39588456474238</v>
      </c>
      <c r="F366">
        <v>0.4300611605850192</v>
      </c>
      <c r="G366">
        <v>0.17351429972699903</v>
      </c>
      <c r="H366">
        <v>17.000539974945603</v>
      </c>
      <c r="I366">
        <v>12.616163093709124</v>
      </c>
      <c r="J366">
        <v>0.2717342863938389</v>
      </c>
      <c r="K366">
        <v>0.10927793588043075</v>
      </c>
      <c r="L366">
        <v>17.002824684016613</v>
      </c>
      <c r="M366">
        <v>12.514154293529021</v>
      </c>
      <c r="N366">
        <v>0.34509032519011928</v>
      </c>
      <c r="O366">
        <v>0.13898709425689554</v>
      </c>
      <c r="P366">
        <v>17.00176828702395</v>
      </c>
      <c r="Q366">
        <v>12.493399158409835</v>
      </c>
      <c r="R366">
        <v>0.36000798245413096</v>
      </c>
      <c r="S366">
        <v>0.14503985378254358</v>
      </c>
      <c r="T366">
        <v>17.00155300535349</v>
      </c>
      <c r="U366">
        <v>1532.7386251458406</v>
      </c>
      <c r="V366">
        <v>9.7492815827256827</v>
      </c>
      <c r="W366">
        <v>1280.7197359648126</v>
      </c>
      <c r="X366">
        <v>7.0142399162391724</v>
      </c>
      <c r="Y366">
        <v>2879.8586002173765</v>
      </c>
      <c r="Z366">
        <v>9.789958289023339</v>
      </c>
      <c r="AA366">
        <v>2718.8108411539524</v>
      </c>
      <c r="AB366">
        <v>7.0380264479747598</v>
      </c>
      <c r="AC366">
        <v>2206.0137401590991</v>
      </c>
      <c r="AD366">
        <v>9.7711200182220868</v>
      </c>
      <c r="AE366">
        <v>2007.0802656596097</v>
      </c>
      <c r="AF366">
        <v>7.0270212669670862</v>
      </c>
      <c r="AG366">
        <v>2110.1270402659252</v>
      </c>
      <c r="AH366">
        <v>9.7672873770454363</v>
      </c>
      <c r="AI366">
        <v>1894.7498106113676</v>
      </c>
      <c r="AJ366">
        <v>7.0247799784381382</v>
      </c>
    </row>
    <row r="367" spans="4:36" x14ac:dyDescent="0.45">
      <c r="D367">
        <v>360</v>
      </c>
      <c r="E367">
        <v>13.960981403606578</v>
      </c>
      <c r="F367">
        <v>0.51296814319928163</v>
      </c>
      <c r="G367">
        <v>0.17391893267639416</v>
      </c>
      <c r="H367">
        <v>15.352131520517741</v>
      </c>
      <c r="I367">
        <v>14.163327074189766</v>
      </c>
      <c r="J367">
        <v>0.36629891245385665</v>
      </c>
      <c r="K367">
        <v>0.12386296856846185</v>
      </c>
      <c r="L367">
        <v>15.34651104478791</v>
      </c>
      <c r="M367">
        <v>14.117992438977872</v>
      </c>
      <c r="N367">
        <v>0.39917910059738315</v>
      </c>
      <c r="O367">
        <v>0.13506107729472852</v>
      </c>
      <c r="P367">
        <v>15.347767383130016</v>
      </c>
      <c r="Q367">
        <v>14.063329921700035</v>
      </c>
      <c r="R367">
        <v>0.43880958588092245</v>
      </c>
      <c r="S367">
        <v>0.14857605036559474</v>
      </c>
      <c r="T367">
        <v>15.349284442053458</v>
      </c>
      <c r="U367">
        <v>1619.7081220754485</v>
      </c>
      <c r="V367">
        <v>11.02275150172199</v>
      </c>
      <c r="W367">
        <v>1327.6293193911197</v>
      </c>
      <c r="X367">
        <v>7.7484963056052596</v>
      </c>
      <c r="Y367">
        <v>2957.1043676589661</v>
      </c>
      <c r="Z367">
        <v>11.065427967887201</v>
      </c>
      <c r="AA367">
        <v>2761.0053199552276</v>
      </c>
      <c r="AB367">
        <v>7.7724882414724936</v>
      </c>
      <c r="AC367">
        <v>2284.8336365452856</v>
      </c>
      <c r="AD367">
        <v>11.05586805158172</v>
      </c>
      <c r="AE367">
        <v>2052.1170244440923</v>
      </c>
      <c r="AF367">
        <v>7.7671191894855642</v>
      </c>
      <c r="AG367">
        <v>2203.1173994977812</v>
      </c>
      <c r="AH367">
        <v>11.044339935016176</v>
      </c>
      <c r="AI367">
        <v>1947.3236529440137</v>
      </c>
      <c r="AJ367">
        <v>7.7606406558701684</v>
      </c>
    </row>
    <row r="368" spans="4:36" x14ac:dyDescent="0.45">
      <c r="D368">
        <v>361</v>
      </c>
      <c r="E368">
        <v>12.194208602621048</v>
      </c>
      <c r="F368">
        <v>0.45504422257010546</v>
      </c>
      <c r="G368">
        <v>0.17009651597970224</v>
      </c>
      <c r="H368">
        <v>17.180650658829151</v>
      </c>
      <c r="I368">
        <v>12.407273802054966</v>
      </c>
      <c r="J368">
        <v>0.29271410364354244</v>
      </c>
      <c r="K368">
        <v>0.1090587716325178</v>
      </c>
      <c r="L368">
        <v>17.190953322668971</v>
      </c>
      <c r="M368">
        <v>12.305939017268013</v>
      </c>
      <c r="N368">
        <v>0.36994946600074013</v>
      </c>
      <c r="O368">
        <v>0.13804938530966032</v>
      </c>
      <c r="P368">
        <v>17.186062131421579</v>
      </c>
      <c r="Q368">
        <v>12.300915427982286</v>
      </c>
      <c r="R368">
        <v>0.3737769164916771</v>
      </c>
      <c r="S368">
        <v>0.1394884144476225</v>
      </c>
      <c r="T368">
        <v>17.185819241078413</v>
      </c>
      <c r="U368">
        <v>1525.7825884189131</v>
      </c>
      <c r="V368">
        <v>9.6328812414944345</v>
      </c>
      <c r="W368">
        <v>1274.657612257234</v>
      </c>
      <c r="X368">
        <v>6.9488545117497305</v>
      </c>
      <c r="Y368">
        <v>2882.47694662509</v>
      </c>
      <c r="Z368">
        <v>9.6666430321622823</v>
      </c>
      <c r="AA368">
        <v>2719.6460398149106</v>
      </c>
      <c r="AB368">
        <v>6.9690670942374453</v>
      </c>
      <c r="AC368">
        <v>2237.2772199716155</v>
      </c>
      <c r="AD368">
        <v>9.6505808031994249</v>
      </c>
      <c r="AE368">
        <v>2028.5292409847007</v>
      </c>
      <c r="AF368">
        <v>6.9594611208358286</v>
      </c>
      <c r="AG368">
        <v>2091.5533878587025</v>
      </c>
      <c r="AH368">
        <v>9.6497847646171699</v>
      </c>
      <c r="AI368">
        <v>1881.0444107975843</v>
      </c>
      <c r="AJ368">
        <v>6.9589845734328035</v>
      </c>
    </row>
    <row r="369" spans="4:36" x14ac:dyDescent="0.45">
      <c r="D369">
        <v>362</v>
      </c>
      <c r="E369">
        <v>12.187473813901969</v>
      </c>
      <c r="F369">
        <v>0.44817649722357811</v>
      </c>
      <c r="G369">
        <v>0.15890575517603558</v>
      </c>
      <c r="H369">
        <v>17.205443933698426</v>
      </c>
      <c r="I369">
        <v>12.420060018762859</v>
      </c>
      <c r="J369">
        <v>0.27606138934500996</v>
      </c>
      <c r="K369">
        <v>9.7541547886487778E-2</v>
      </c>
      <c r="L369">
        <v>17.206337044005636</v>
      </c>
      <c r="M369">
        <v>12.343207094952326</v>
      </c>
      <c r="N369">
        <v>0.33296736677841676</v>
      </c>
      <c r="O369">
        <v>0.11778253176188046</v>
      </c>
      <c r="P369">
        <v>17.206043006507368</v>
      </c>
      <c r="Q369">
        <v>12.275046508155505</v>
      </c>
      <c r="R369">
        <v>0.38340877705360349</v>
      </c>
      <c r="S369">
        <v>0.13576336990467622</v>
      </c>
      <c r="T369">
        <v>17.205781344886205</v>
      </c>
      <c r="U369">
        <v>1521.444280404502</v>
      </c>
      <c r="V369">
        <v>9.6334531326708106</v>
      </c>
      <c r="W369">
        <v>1273.8334186559075</v>
      </c>
      <c r="X369">
        <v>6.9525851482324752</v>
      </c>
      <c r="Y369">
        <v>2884.4392798972563</v>
      </c>
      <c r="Z369">
        <v>9.6756010191393926</v>
      </c>
      <c r="AA369">
        <v>2723.5044322946178</v>
      </c>
      <c r="AB369">
        <v>6.9771741558521976</v>
      </c>
      <c r="AC369">
        <v>2192.4252763469722</v>
      </c>
      <c r="AD369">
        <v>9.6616740819973188</v>
      </c>
      <c r="AE369">
        <v>2000.3173303192355</v>
      </c>
      <c r="AF369">
        <v>6.9690597680042243</v>
      </c>
      <c r="AG369">
        <v>2107.9886701101163</v>
      </c>
      <c r="AH369">
        <v>9.6493224192034965</v>
      </c>
      <c r="AI369">
        <v>1893.6801015092208</v>
      </c>
      <c r="AJ369">
        <v>6.9618545099729658</v>
      </c>
    </row>
    <row r="370" spans="4:36" x14ac:dyDescent="0.45">
      <c r="D370">
        <v>363</v>
      </c>
      <c r="E370">
        <v>13.443547472587474</v>
      </c>
      <c r="F370">
        <v>0.47342839460525488</v>
      </c>
      <c r="G370">
        <v>0.16284963334744873</v>
      </c>
      <c r="H370">
        <v>15.920174499459836</v>
      </c>
      <c r="I370">
        <v>13.659676207149115</v>
      </c>
      <c r="J370">
        <v>0.32155586938710223</v>
      </c>
      <c r="K370">
        <v>0.110286969292148</v>
      </c>
      <c r="L370">
        <v>15.908480954171631</v>
      </c>
      <c r="M370">
        <v>13.567453079906473</v>
      </c>
      <c r="N370">
        <v>0.38639478754864071</v>
      </c>
      <c r="O370">
        <v>0.13268951467594267</v>
      </c>
      <c r="P370">
        <v>15.913462617868928</v>
      </c>
      <c r="Q370">
        <v>13.554297504990595</v>
      </c>
      <c r="R370">
        <v>0.39563988642338738</v>
      </c>
      <c r="S370">
        <v>0.13588838969081435</v>
      </c>
      <c r="T370">
        <v>15.914174218895216</v>
      </c>
      <c r="U370">
        <v>1564.0209759345803</v>
      </c>
      <c r="V370">
        <v>10.587946446224931</v>
      </c>
      <c r="W370">
        <v>1294.7860171803923</v>
      </c>
      <c r="X370">
        <v>7.5000458130197032</v>
      </c>
      <c r="Y370">
        <v>2922.6202139282263</v>
      </c>
      <c r="Z370">
        <v>10.63454226377679</v>
      </c>
      <c r="AA370">
        <v>2742.3210053514231</v>
      </c>
      <c r="AB370">
        <v>7.5261762454473073</v>
      </c>
      <c r="AC370">
        <v>2263.3249169849387</v>
      </c>
      <c r="AD370">
        <v>10.614664399402942</v>
      </c>
      <c r="AE370">
        <v>2040.9496245712066</v>
      </c>
      <c r="AF370">
        <v>7.5150378565454803</v>
      </c>
      <c r="AG370">
        <v>2129.172406839265</v>
      </c>
      <c r="AH370">
        <v>10.611828255548501</v>
      </c>
      <c r="AI370">
        <v>1901.2885307793856</v>
      </c>
      <c r="AJ370">
        <v>7.5134475728956929</v>
      </c>
    </row>
    <row r="371" spans="4:36" x14ac:dyDescent="0.45">
      <c r="D371">
        <v>364</v>
      </c>
      <c r="E371">
        <v>12.554000607616061</v>
      </c>
      <c r="F371">
        <v>0.47227611021770644</v>
      </c>
      <c r="G371">
        <v>0.18424862911439996</v>
      </c>
      <c r="H371">
        <v>16.78947465305184</v>
      </c>
      <c r="I371">
        <v>12.782786631550294</v>
      </c>
      <c r="J371">
        <v>0.29848423847276095</v>
      </c>
      <c r="K371">
        <v>0.11605189387151382</v>
      </c>
      <c r="L371">
        <v>16.802677236105435</v>
      </c>
      <c r="M371">
        <v>12.704361982497664</v>
      </c>
      <c r="N371">
        <v>0.35808897441120219</v>
      </c>
      <c r="O371">
        <v>0.13938810679342689</v>
      </c>
      <c r="P371">
        <v>16.798160936297691</v>
      </c>
      <c r="Q371">
        <v>12.624672291293857</v>
      </c>
      <c r="R371">
        <v>0.41862180240299762</v>
      </c>
      <c r="S371">
        <v>0.16314409494085602</v>
      </c>
      <c r="T371">
        <v>16.793561811362288</v>
      </c>
      <c r="U371">
        <v>1560.248978573414</v>
      </c>
      <c r="V371">
        <v>9.9152873343736534</v>
      </c>
      <c r="W371">
        <v>1294.2102463180697</v>
      </c>
      <c r="X371">
        <v>7.1106679031124997</v>
      </c>
      <c r="Y371">
        <v>2898.3359903304513</v>
      </c>
      <c r="Z371">
        <v>9.9503695639991498</v>
      </c>
      <c r="AA371">
        <v>2728.0835486483988</v>
      </c>
      <c r="AB371">
        <v>7.1316199517798617</v>
      </c>
      <c r="AC371">
        <v>2229.9146297650605</v>
      </c>
      <c r="AD371">
        <v>9.9383383953714084</v>
      </c>
      <c r="AE371">
        <v>2020.9745305418996</v>
      </c>
      <c r="AF371">
        <v>7.1244445384722326</v>
      </c>
      <c r="AG371">
        <v>2167.619961194217</v>
      </c>
      <c r="AH371">
        <v>9.9261189853187446</v>
      </c>
      <c r="AI371">
        <v>1928.9470651417996</v>
      </c>
      <c r="AJ371">
        <v>7.1171462930492044</v>
      </c>
    </row>
    <row r="372" spans="4:36" x14ac:dyDescent="0.45">
      <c r="D372">
        <v>365</v>
      </c>
      <c r="E372">
        <v>12.029607954581694</v>
      </c>
      <c r="F372">
        <v>0.42979170472198353</v>
      </c>
      <c r="G372">
        <v>0.14579358074502249</v>
      </c>
      <c r="H372">
        <v>17.394806759951297</v>
      </c>
      <c r="I372">
        <v>12.196662910449914</v>
      </c>
      <c r="J372">
        <v>0.29643807312217474</v>
      </c>
      <c r="K372">
        <v>0.10031685626842846</v>
      </c>
      <c r="L372">
        <v>17.406582160159488</v>
      </c>
      <c r="M372">
        <v>12.108657278451441</v>
      </c>
      <c r="N372">
        <v>0.36670609019274814</v>
      </c>
      <c r="O372">
        <v>0.1242523820203297</v>
      </c>
      <c r="P372">
        <v>17.400384249335477</v>
      </c>
      <c r="Q372">
        <v>12.101299125470414</v>
      </c>
      <c r="R372">
        <v>0.3725795449403001</v>
      </c>
      <c r="S372">
        <v>0.1262558356108795</v>
      </c>
      <c r="T372">
        <v>17.399865493978407</v>
      </c>
      <c r="U372">
        <v>1502.4304313207369</v>
      </c>
      <c r="V372">
        <v>9.529446888594542</v>
      </c>
      <c r="W372">
        <v>1263.5280360092811</v>
      </c>
      <c r="X372">
        <v>6.8958040733344239</v>
      </c>
      <c r="Y372">
        <v>2880.8399936299743</v>
      </c>
      <c r="Z372">
        <v>9.5536708498848153</v>
      </c>
      <c r="AA372">
        <v>2720.7256189294812</v>
      </c>
      <c r="AB372">
        <v>6.9104563342779821</v>
      </c>
      <c r="AC372">
        <v>2205.5621253377681</v>
      </c>
      <c r="AD372">
        <v>9.5409062041418657</v>
      </c>
      <c r="AE372">
        <v>2008.9586974132917</v>
      </c>
      <c r="AF372">
        <v>6.9027414594192837</v>
      </c>
      <c r="AG372">
        <v>2074.6151794621064</v>
      </c>
      <c r="AH372">
        <v>9.5398392844034419</v>
      </c>
      <c r="AI372">
        <v>1872.1015419980854</v>
      </c>
      <c r="AJ372">
        <v>6.9020960134526623</v>
      </c>
    </row>
    <row r="373" spans="4:36" x14ac:dyDescent="0.45">
      <c r="D373">
        <v>366</v>
      </c>
      <c r="E373">
        <v>13.552903851850342</v>
      </c>
      <c r="F373">
        <v>0.52983510420034052</v>
      </c>
      <c r="G373">
        <v>0.17731322775652014</v>
      </c>
      <c r="H373">
        <v>15.739947816192796</v>
      </c>
      <c r="I373">
        <v>13.823252810586817</v>
      </c>
      <c r="J373">
        <v>0.33175417810429059</v>
      </c>
      <c r="K373">
        <v>0.11062290965375399</v>
      </c>
      <c r="L373">
        <v>15.734370101655131</v>
      </c>
      <c r="M373">
        <v>13.711850108351141</v>
      </c>
      <c r="N373">
        <v>0.41342604974663605</v>
      </c>
      <c r="O373">
        <v>0.13806099085046525</v>
      </c>
      <c r="P373">
        <v>15.736662851051758</v>
      </c>
      <c r="Q373">
        <v>13.688734216900414</v>
      </c>
      <c r="R373">
        <v>0.43036433418489833</v>
      </c>
      <c r="S373">
        <v>0.14376186732735288</v>
      </c>
      <c r="T373">
        <v>15.737139581587321</v>
      </c>
      <c r="U373">
        <v>1606.2683960444808</v>
      </c>
      <c r="V373">
        <v>10.701333829083975</v>
      </c>
      <c r="W373">
        <v>1320.6464825490659</v>
      </c>
      <c r="X373">
        <v>7.5628532757832945</v>
      </c>
      <c r="Y373">
        <v>2936.6025359734499</v>
      </c>
      <c r="Z373">
        <v>10.756568603817074</v>
      </c>
      <c r="AA373">
        <v>2751.3311724299256</v>
      </c>
      <c r="AB373">
        <v>7.5941531178912269</v>
      </c>
      <c r="AC373">
        <v>2265.8179061058527</v>
      </c>
      <c r="AD373">
        <v>10.733810836513115</v>
      </c>
      <c r="AE373">
        <v>2040.5608583414862</v>
      </c>
      <c r="AF373">
        <v>7.5812708157700293</v>
      </c>
      <c r="AG373">
        <v>2148.7217739539456</v>
      </c>
      <c r="AH373">
        <v>10.729088140528317</v>
      </c>
      <c r="AI373">
        <v>1912.4814151327867</v>
      </c>
      <c r="AJ373">
        <v>7.5785950648681544</v>
      </c>
    </row>
    <row r="374" spans="4:36" x14ac:dyDescent="0.45">
      <c r="D374">
        <v>367</v>
      </c>
      <c r="E374">
        <v>12.457511691030968</v>
      </c>
      <c r="F374">
        <v>0.42948292586304526</v>
      </c>
      <c r="G374">
        <v>0.16437089606708355</v>
      </c>
      <c r="H374">
        <v>16.948634487038905</v>
      </c>
      <c r="I374">
        <v>12.660768845127565</v>
      </c>
      <c r="J374">
        <v>0.28011401372784872</v>
      </c>
      <c r="K374">
        <v>0.10687382710503282</v>
      </c>
      <c r="L374">
        <v>16.952243314039571</v>
      </c>
      <c r="M374">
        <v>12.539998812328177</v>
      </c>
      <c r="N374">
        <v>0.36889380877520578</v>
      </c>
      <c r="O374">
        <v>0.14100463200837646</v>
      </c>
      <c r="P374">
        <v>16.950102746888238</v>
      </c>
      <c r="Q374">
        <v>12.531327971552711</v>
      </c>
      <c r="R374">
        <v>0.3752646406073053</v>
      </c>
      <c r="S374">
        <v>0.14345874150218887</v>
      </c>
      <c r="T374">
        <v>16.949948646337784</v>
      </c>
      <c r="U374">
        <v>1517.0724423262311</v>
      </c>
      <c r="V374">
        <v>9.7836817769628563</v>
      </c>
      <c r="W374">
        <v>1270.8963089046363</v>
      </c>
      <c r="X374">
        <v>7.0322038406014133</v>
      </c>
      <c r="Y374">
        <v>2898.2668479100307</v>
      </c>
      <c r="Z374">
        <v>9.8180285209285056</v>
      </c>
      <c r="AA374">
        <v>2732.3906639607412</v>
      </c>
      <c r="AB374">
        <v>7.0523038463080674</v>
      </c>
      <c r="AC374">
        <v>2206.6891041301137</v>
      </c>
      <c r="AD374">
        <v>9.7976191419569894</v>
      </c>
      <c r="AE374">
        <v>2006.9556158121177</v>
      </c>
      <c r="AF374">
        <v>7.0403684230358543</v>
      </c>
      <c r="AG374">
        <v>2119.8564199262955</v>
      </c>
      <c r="AH374">
        <v>9.7961539870550904</v>
      </c>
      <c r="AI374">
        <v>1901.8656695514123</v>
      </c>
      <c r="AJ374">
        <v>7.0395106652672075</v>
      </c>
    </row>
    <row r="375" spans="4:36" x14ac:dyDescent="0.45">
      <c r="D375">
        <v>368</v>
      </c>
      <c r="E375">
        <v>12.685886060554008</v>
      </c>
      <c r="F375">
        <v>0.45264220551981366</v>
      </c>
      <c r="G375">
        <v>0.15921469347273864</v>
      </c>
      <c r="H375">
        <v>16.702257040453453</v>
      </c>
      <c r="I375">
        <v>12.902195147531165</v>
      </c>
      <c r="J375">
        <v>0.29578526605279293</v>
      </c>
      <c r="K375">
        <v>0.10373259928150119</v>
      </c>
      <c r="L375">
        <v>16.698286987134527</v>
      </c>
      <c r="M375">
        <v>12.794600400916314</v>
      </c>
      <c r="N375">
        <v>0.37384208358969584</v>
      </c>
      <c r="O375">
        <v>0.13130039520130479</v>
      </c>
      <c r="P375">
        <v>16.700257120292672</v>
      </c>
      <c r="Q375">
        <v>12.781698366249893</v>
      </c>
      <c r="R375">
        <v>0.38319758827895639</v>
      </c>
      <c r="S375">
        <v>0.13461006878957851</v>
      </c>
      <c r="T375">
        <v>16.700493976681567</v>
      </c>
      <c r="U375">
        <v>1524.7195235955614</v>
      </c>
      <c r="V375">
        <v>9.9681808085606995</v>
      </c>
      <c r="W375">
        <v>1274.1211501082698</v>
      </c>
      <c r="X375">
        <v>7.1389418810035519</v>
      </c>
      <c r="Y375">
        <v>2889.1384273475051</v>
      </c>
      <c r="Z375">
        <v>10.006770558686485</v>
      </c>
      <c r="AA375">
        <v>2724.2107746112029</v>
      </c>
      <c r="AB375">
        <v>7.1609828864819489</v>
      </c>
      <c r="AC375">
        <v>2208.6335888169224</v>
      </c>
      <c r="AD375">
        <v>9.9875784564703789</v>
      </c>
      <c r="AE375">
        <v>2007.5696684043849</v>
      </c>
      <c r="AF375">
        <v>7.150029778231306</v>
      </c>
      <c r="AG375">
        <v>2098.982022839597</v>
      </c>
      <c r="AH375">
        <v>9.985276684883349</v>
      </c>
      <c r="AI375">
        <v>1885.6707762828407</v>
      </c>
      <c r="AJ375">
        <v>7.1487149855576346</v>
      </c>
    </row>
    <row r="376" spans="4:36" x14ac:dyDescent="0.45">
      <c r="D376">
        <v>369</v>
      </c>
      <c r="E376">
        <v>13.665804669226079</v>
      </c>
      <c r="F376">
        <v>0.46615844916692861</v>
      </c>
      <c r="G376">
        <v>0.192743378389749</v>
      </c>
      <c r="H376">
        <v>15.675293503217249</v>
      </c>
      <c r="I376">
        <v>13.916494432235616</v>
      </c>
      <c r="J376">
        <v>0.29501874085992225</v>
      </c>
      <c r="K376">
        <v>0.12154549112462669</v>
      </c>
      <c r="L376">
        <v>15.666941335779832</v>
      </c>
      <c r="M376">
        <v>13.796171911379382</v>
      </c>
      <c r="N376">
        <v>0.37720855315206142</v>
      </c>
      <c r="O376">
        <v>0.15567356720500747</v>
      </c>
      <c r="P376">
        <v>15.670945968263551</v>
      </c>
      <c r="Q376">
        <v>13.753599968789821</v>
      </c>
      <c r="R376">
        <v>0.40626714032744388</v>
      </c>
      <c r="S376">
        <v>0.16776820488108393</v>
      </c>
      <c r="T376">
        <v>15.672364686001638</v>
      </c>
      <c r="U376">
        <v>1583.9904493179804</v>
      </c>
      <c r="V376">
        <v>10.749606043223009</v>
      </c>
      <c r="W376">
        <v>1306.7664230492678</v>
      </c>
      <c r="X376">
        <v>7.5874194792438274</v>
      </c>
      <c r="Y376">
        <v>2933.6174720214467</v>
      </c>
      <c r="Z376">
        <v>10.798671794451344</v>
      </c>
      <c r="AA376">
        <v>2750.248977232442</v>
      </c>
      <c r="AB376">
        <v>7.6151699952381824</v>
      </c>
      <c r="AC376">
        <v>2276.7284831657225</v>
      </c>
      <c r="AD376">
        <v>10.775124098482964</v>
      </c>
      <c r="AE376">
        <v>2048.8840369457439</v>
      </c>
      <c r="AF376">
        <v>7.6018635969820689</v>
      </c>
      <c r="AG376">
        <v>2154.5466674439567</v>
      </c>
      <c r="AH376">
        <v>10.766791599743014</v>
      </c>
      <c r="AI376">
        <v>1916.226208519583</v>
      </c>
      <c r="AJ376">
        <v>7.5971499080413585</v>
      </c>
    </row>
    <row r="377" spans="4:36" x14ac:dyDescent="0.45">
      <c r="D377">
        <v>370</v>
      </c>
      <c r="E377">
        <v>12.587067836368755</v>
      </c>
      <c r="F377">
        <v>0.4190211450297926</v>
      </c>
      <c r="G377">
        <v>0.18478810762788311</v>
      </c>
      <c r="H377">
        <v>16.809122910973574</v>
      </c>
      <c r="I377">
        <v>12.790248147159421</v>
      </c>
      <c r="J377">
        <v>0.28255925980848806</v>
      </c>
      <c r="K377">
        <v>0.12422922320970854</v>
      </c>
      <c r="L377">
        <v>16.802963369822397</v>
      </c>
      <c r="M377">
        <v>12.69396241490703</v>
      </c>
      <c r="N377">
        <v>0.3472619929161021</v>
      </c>
      <c r="O377">
        <v>0.15289618725454815</v>
      </c>
      <c r="P377">
        <v>16.805879404922337</v>
      </c>
      <c r="Q377">
        <v>12.672914100344906</v>
      </c>
      <c r="R377">
        <v>0.36139795199126945</v>
      </c>
      <c r="S377">
        <v>0.15917038913351267</v>
      </c>
      <c r="T377">
        <v>16.806517558530313</v>
      </c>
      <c r="U377">
        <v>1542.6680096848149</v>
      </c>
      <c r="V377">
        <v>9.9109033644493572</v>
      </c>
      <c r="W377">
        <v>1288.7643050660909</v>
      </c>
      <c r="X377">
        <v>7.110039725011096</v>
      </c>
      <c r="Y377">
        <v>2881.2586084340669</v>
      </c>
      <c r="Z377">
        <v>9.951121723722725</v>
      </c>
      <c r="AA377">
        <v>2718.9461756763108</v>
      </c>
      <c r="AB377">
        <v>7.1331116485588799</v>
      </c>
      <c r="AC377">
        <v>2220.3980325665689</v>
      </c>
      <c r="AD377">
        <v>9.9320644896149872</v>
      </c>
      <c r="AE377">
        <v>2017.3169535106692</v>
      </c>
      <c r="AF377">
        <v>7.1221880213719242</v>
      </c>
      <c r="AG377">
        <v>2109.7884935824054</v>
      </c>
      <c r="AH377">
        <v>9.9278980577332199</v>
      </c>
      <c r="AI377">
        <v>1894.3779372327288</v>
      </c>
      <c r="AJ377">
        <v>7.1197976984998936</v>
      </c>
    </row>
    <row r="378" spans="4:36" x14ac:dyDescent="0.45">
      <c r="D378">
        <v>371</v>
      </c>
      <c r="E378">
        <v>12.62291810081271</v>
      </c>
      <c r="F378">
        <v>0.45184532440336317</v>
      </c>
      <c r="G378">
        <v>0.16723263876322583</v>
      </c>
      <c r="H378">
        <v>16.7580039360207</v>
      </c>
      <c r="I378">
        <v>12.853686328857096</v>
      </c>
      <c r="J378">
        <v>0.287430137214642</v>
      </c>
      <c r="K378">
        <v>0.10601986781089515</v>
      </c>
      <c r="L378">
        <v>16.752863666117371</v>
      </c>
      <c r="M378">
        <v>12.736334080523308</v>
      </c>
      <c r="N378">
        <v>0.37108042007211617</v>
      </c>
      <c r="O378">
        <v>0.13711057554660946</v>
      </c>
      <c r="P378">
        <v>16.755474923857975</v>
      </c>
      <c r="Q378">
        <v>12.714034256522938</v>
      </c>
      <c r="R378">
        <v>0.38696660389812393</v>
      </c>
      <c r="S378">
        <v>0.14302737857352329</v>
      </c>
      <c r="T378">
        <v>16.755971761005426</v>
      </c>
      <c r="U378">
        <v>1531.5828337738485</v>
      </c>
      <c r="V378">
        <v>9.9299285682134304</v>
      </c>
      <c r="W378">
        <v>1276.6468220898882</v>
      </c>
      <c r="X378">
        <v>7.1190025945966955</v>
      </c>
      <c r="Y378">
        <v>2891.8909114885164</v>
      </c>
      <c r="Z378">
        <v>9.9768192143276124</v>
      </c>
      <c r="AA378">
        <v>2725.2336730653142</v>
      </c>
      <c r="AB378">
        <v>7.1460767094140616</v>
      </c>
      <c r="AC378">
        <v>2230.3418750632636</v>
      </c>
      <c r="AD378">
        <v>9.9529747347559976</v>
      </c>
      <c r="AE378">
        <v>2021.3617921540151</v>
      </c>
      <c r="AF378">
        <v>7.1323213574771476</v>
      </c>
      <c r="AG378">
        <v>2125.2714042359853</v>
      </c>
      <c r="AH378">
        <v>9.9484435186516116</v>
      </c>
      <c r="AI378">
        <v>1902.2210107311362</v>
      </c>
      <c r="AJ378">
        <v>7.1297045628989135</v>
      </c>
    </row>
    <row r="379" spans="4:36" x14ac:dyDescent="0.45">
      <c r="D379">
        <v>372</v>
      </c>
      <c r="E379">
        <v>13.511813021208187</v>
      </c>
      <c r="F379">
        <v>0.49682402264318859</v>
      </c>
      <c r="G379">
        <v>0.15711599216497829</v>
      </c>
      <c r="H379">
        <v>15.834246963983654</v>
      </c>
      <c r="I379">
        <v>13.774161024397422</v>
      </c>
      <c r="J379">
        <v>0.31051933044569857</v>
      </c>
      <c r="K379">
        <v>9.7854760249457814E-2</v>
      </c>
      <c r="L379">
        <v>15.817464884907423</v>
      </c>
      <c r="M379">
        <v>13.68539732567795</v>
      </c>
      <c r="N379">
        <v>0.37359932213671798</v>
      </c>
      <c r="O379">
        <v>0.11787248176519899</v>
      </c>
      <c r="P379">
        <v>15.823130870420137</v>
      </c>
      <c r="Q379">
        <v>13.622712717326539</v>
      </c>
      <c r="R379">
        <v>0.41811854267121679</v>
      </c>
      <c r="S379">
        <v>0.13202913445189043</v>
      </c>
      <c r="T379">
        <v>15.827139605550357</v>
      </c>
      <c r="U379">
        <v>1621.3234700988419</v>
      </c>
      <c r="V379">
        <v>10.651425184140006</v>
      </c>
      <c r="W379">
        <v>1334.748126363917</v>
      </c>
      <c r="X379">
        <v>7.536273244956603</v>
      </c>
      <c r="Y379">
        <v>2925.1496152067189</v>
      </c>
      <c r="Z379">
        <v>10.708078297220647</v>
      </c>
      <c r="AA379">
        <v>2745.36985416371</v>
      </c>
      <c r="AB379">
        <v>7.5678531188162923</v>
      </c>
      <c r="AC379">
        <v>2251.5108886681428</v>
      </c>
      <c r="AD379">
        <v>10.688917934721768</v>
      </c>
      <c r="AE379">
        <v>2033.9867786345612</v>
      </c>
      <c r="AF379">
        <v>7.5571841946762568</v>
      </c>
      <c r="AG379">
        <v>2171.4251191966669</v>
      </c>
      <c r="AH379">
        <v>10.675382143552374</v>
      </c>
      <c r="AI379">
        <v>1930.3985372484397</v>
      </c>
      <c r="AJ379">
        <v>7.549640078507494</v>
      </c>
    </row>
    <row r="380" spans="4:36" x14ac:dyDescent="0.45">
      <c r="D380">
        <v>373</v>
      </c>
      <c r="E380">
        <v>12.747968363802519</v>
      </c>
      <c r="F380">
        <v>0.46586370427596668</v>
      </c>
      <c r="G380">
        <v>0.17710971586402244</v>
      </c>
      <c r="H380">
        <v>16.609058216057473</v>
      </c>
      <c r="I380">
        <v>12.998427799472529</v>
      </c>
      <c r="J380">
        <v>0.28637823804934759</v>
      </c>
      <c r="K380">
        <v>0.10849089479734329</v>
      </c>
      <c r="L380">
        <v>16.606703067680776</v>
      </c>
      <c r="M380">
        <v>12.882897394893771</v>
      </c>
      <c r="N380">
        <v>0.36921675957747679</v>
      </c>
      <c r="O380">
        <v>0.14009978979184454</v>
      </c>
      <c r="P380">
        <v>16.607786055736906</v>
      </c>
      <c r="Q380">
        <v>12.864186668232273</v>
      </c>
      <c r="R380">
        <v>0.38262540159875541</v>
      </c>
      <c r="S380">
        <v>0.14522593723520913</v>
      </c>
      <c r="T380">
        <v>16.607961992933763</v>
      </c>
      <c r="U380">
        <v>1601.6907256036834</v>
      </c>
      <c r="V380">
        <v>10.118176156614039</v>
      </c>
      <c r="W380">
        <v>1324.6204411909189</v>
      </c>
      <c r="X380">
        <v>7.2371814584829188</v>
      </c>
      <c r="Y380">
        <v>2916.2951544882576</v>
      </c>
      <c r="Z380">
        <v>10.162949250153741</v>
      </c>
      <c r="AA380">
        <v>2741.9171251037651</v>
      </c>
      <c r="AB380">
        <v>7.2628289670353814</v>
      </c>
      <c r="AC380">
        <v>2245.5782251530713</v>
      </c>
      <c r="AD380">
        <v>10.142299196883743</v>
      </c>
      <c r="AE380">
        <v>2031.2960602867215</v>
      </c>
      <c r="AF380">
        <v>7.2510117406182353</v>
      </c>
      <c r="AG380">
        <v>2111.4283448898</v>
      </c>
      <c r="AH380">
        <v>10.138954399530924</v>
      </c>
      <c r="AI380">
        <v>1891.3522909344069</v>
      </c>
      <c r="AJ380">
        <v>7.2490957500879336</v>
      </c>
    </row>
    <row r="381" spans="4:36" x14ac:dyDescent="0.45">
      <c r="D381">
        <v>374</v>
      </c>
      <c r="E381">
        <v>12.830918129950344</v>
      </c>
      <c r="F381">
        <v>0.40403089373952011</v>
      </c>
      <c r="G381">
        <v>0.14847868992945734</v>
      </c>
      <c r="H381">
        <v>16.616572286380674</v>
      </c>
      <c r="I381">
        <v>13.028000750744846</v>
      </c>
      <c r="J381">
        <v>0.272847762829107</v>
      </c>
      <c r="K381">
        <v>9.9988000621156314E-2</v>
      </c>
      <c r="L381">
        <v>16.599163485804898</v>
      </c>
      <c r="M381">
        <v>12.936747077956264</v>
      </c>
      <c r="N381">
        <v>0.33362075953718451</v>
      </c>
      <c r="O381">
        <v>0.12241777621503885</v>
      </c>
      <c r="P381">
        <v>16.607214386291506</v>
      </c>
      <c r="Q381">
        <v>12.908466358872944</v>
      </c>
      <c r="R381">
        <v>0.35244385035864112</v>
      </c>
      <c r="S381">
        <v>0.12937691575677276</v>
      </c>
      <c r="T381">
        <v>16.609712875011645</v>
      </c>
      <c r="U381">
        <v>1550.0271959732106</v>
      </c>
      <c r="V381">
        <v>10.035277349234137</v>
      </c>
      <c r="W381">
        <v>1294.9763419431029</v>
      </c>
      <c r="X381">
        <v>7.179188671951505</v>
      </c>
      <c r="Y381">
        <v>2890.0723468286733</v>
      </c>
      <c r="Z381">
        <v>10.082491857786508</v>
      </c>
      <c r="AA381">
        <v>2725.9770218804756</v>
      </c>
      <c r="AB381">
        <v>7.2058212664229027</v>
      </c>
      <c r="AC381">
        <v>2209.8437802973485</v>
      </c>
      <c r="AD381">
        <v>10.060635698042413</v>
      </c>
      <c r="AE381">
        <v>2010.67253784015</v>
      </c>
      <c r="AF381">
        <v>7.1935017046020437</v>
      </c>
      <c r="AG381">
        <v>2081.4513674518066</v>
      </c>
      <c r="AH381">
        <v>10.053860364564569</v>
      </c>
      <c r="AI381">
        <v>1874.5673180090241</v>
      </c>
      <c r="AJ381">
        <v>7.1896795492200445</v>
      </c>
    </row>
    <row r="382" spans="4:36" x14ac:dyDescent="0.45">
      <c r="D382">
        <v>375</v>
      </c>
      <c r="E382">
        <v>10.781138747567551</v>
      </c>
      <c r="F382">
        <v>0.40283295877198599</v>
      </c>
      <c r="G382">
        <v>0.15675160259080645</v>
      </c>
      <c r="H382">
        <v>18.659276691069664</v>
      </c>
      <c r="I382">
        <v>10.950143858725113</v>
      </c>
      <c r="J382">
        <v>0.25748988798850397</v>
      </c>
      <c r="K382">
        <v>9.9910771779497323E-2</v>
      </c>
      <c r="L382">
        <v>18.692455481506897</v>
      </c>
      <c r="M382">
        <v>10.884012288721202</v>
      </c>
      <c r="N382">
        <v>0.31437494833952162</v>
      </c>
      <c r="O382">
        <v>0.12211850100174865</v>
      </c>
      <c r="P382">
        <v>18.679494261937535</v>
      </c>
      <c r="Q382">
        <v>10.853766583124921</v>
      </c>
      <c r="R382">
        <v>0.34038639257601644</v>
      </c>
      <c r="S382">
        <v>0.13228989258758686</v>
      </c>
      <c r="T382">
        <v>18.673557131711469</v>
      </c>
      <c r="U382">
        <v>1436.4520434125975</v>
      </c>
      <c r="V382">
        <v>8.550205002267397</v>
      </c>
      <c r="W382">
        <v>1225.5109621552194</v>
      </c>
      <c r="X382">
        <v>6.3138852183087941</v>
      </c>
      <c r="Y382">
        <v>2821.421352904732</v>
      </c>
      <c r="Z382">
        <v>8.561260553501965</v>
      </c>
      <c r="AA382">
        <v>2685.7111421948225</v>
      </c>
      <c r="AB382">
        <v>6.3222683674336428</v>
      </c>
      <c r="AC382">
        <v>2140.859110771235</v>
      </c>
      <c r="AD382">
        <v>8.5569216595719535</v>
      </c>
      <c r="AE382">
        <v>1972.3830853175532</v>
      </c>
      <c r="AF382">
        <v>6.3189869861257231</v>
      </c>
      <c r="AG382">
        <v>2044.1792235510443</v>
      </c>
      <c r="AH382">
        <v>8.5549427326951992</v>
      </c>
      <c r="AI382">
        <v>1859.5580570342868</v>
      </c>
      <c r="AJ382">
        <v>6.3174866788176489</v>
      </c>
    </row>
    <row r="383" spans="4:36" x14ac:dyDescent="0.45">
      <c r="D383">
        <v>376</v>
      </c>
      <c r="E383">
        <v>12.749280802077971</v>
      </c>
      <c r="F383">
        <v>0.4592105762427946</v>
      </c>
      <c r="G383">
        <v>0.13778713065625842</v>
      </c>
      <c r="H383">
        <v>16.653721491022971</v>
      </c>
      <c r="I383">
        <v>12.936423508940768</v>
      </c>
      <c r="J383">
        <v>0.31644384295570288</v>
      </c>
      <c r="K383">
        <v>9.4698221218931247E-2</v>
      </c>
      <c r="L383">
        <v>16.652434426884589</v>
      </c>
      <c r="M383">
        <v>12.860073045119213</v>
      </c>
      <c r="N383">
        <v>0.37471184022615056</v>
      </c>
      <c r="O383">
        <v>0.11225630212951349</v>
      </c>
      <c r="P383">
        <v>16.652958812525114</v>
      </c>
      <c r="Q383">
        <v>12.801850940978367</v>
      </c>
      <c r="R383">
        <v>0.41912453460668259</v>
      </c>
      <c r="S383">
        <v>0.12566517742343977</v>
      </c>
      <c r="T383">
        <v>16.653359346991518</v>
      </c>
      <c r="U383">
        <v>1511.7886827893553</v>
      </c>
      <c r="V383">
        <v>10.023870094844218</v>
      </c>
      <c r="W383">
        <v>1264.9418964572626</v>
      </c>
      <c r="X383">
        <v>7.1740623236702348</v>
      </c>
      <c r="Y383">
        <v>2906.4459595810586</v>
      </c>
      <c r="Z383">
        <v>10.059150829267193</v>
      </c>
      <c r="AA383">
        <v>2735.6037510925667</v>
      </c>
      <c r="AB383">
        <v>7.1943993363349463</v>
      </c>
      <c r="AC383">
        <v>2219.0792776478229</v>
      </c>
      <c r="AD383">
        <v>10.044757491561427</v>
      </c>
      <c r="AE383">
        <v>2015.5563597354901</v>
      </c>
      <c r="AF383">
        <v>7.186109579790779</v>
      </c>
      <c r="AG383">
        <v>2112.9286454480425</v>
      </c>
      <c r="AH383">
        <v>10.033781196737589</v>
      </c>
      <c r="AI383">
        <v>1893.7212078795012</v>
      </c>
      <c r="AJ383">
        <v>7.1797813326582691</v>
      </c>
    </row>
    <row r="384" spans="4:36" x14ac:dyDescent="0.45">
      <c r="D384">
        <v>377</v>
      </c>
      <c r="E384">
        <v>13.217669682687259</v>
      </c>
      <c r="F384">
        <v>0.45737653330514449</v>
      </c>
      <c r="G384">
        <v>0.18856002675418676</v>
      </c>
      <c r="H384">
        <v>16.136393757253398</v>
      </c>
      <c r="I384">
        <v>13.470679619103697</v>
      </c>
      <c r="J384">
        <v>0.29187943228209084</v>
      </c>
      <c r="K384">
        <v>0.11986890054764848</v>
      </c>
      <c r="L384">
        <v>16.11757204806656</v>
      </c>
      <c r="M384">
        <v>13.371020735277682</v>
      </c>
      <c r="N384">
        <v>0.35711886970247009</v>
      </c>
      <c r="O384">
        <v>0.14688297515239504</v>
      </c>
      <c r="P384">
        <v>16.124977419867466</v>
      </c>
      <c r="Q384">
        <v>13.368043942104924</v>
      </c>
      <c r="R384">
        <v>0.35906654059046383</v>
      </c>
      <c r="S384">
        <v>0.14769073367796398</v>
      </c>
      <c r="T384">
        <v>16.125198783626647</v>
      </c>
      <c r="U384">
        <v>1593.1076186610526</v>
      </c>
      <c r="V384">
        <v>10.447559614798243</v>
      </c>
      <c r="W384">
        <v>1318.5476337888972</v>
      </c>
      <c r="X384">
        <v>7.4231960370400545</v>
      </c>
      <c r="Y384">
        <v>2896.969557960575</v>
      </c>
      <c r="Z384">
        <v>10.505061990991718</v>
      </c>
      <c r="AA384">
        <v>2727.3019310679051</v>
      </c>
      <c r="AB384">
        <v>7.4557304939540732</v>
      </c>
      <c r="AC384">
        <v>2228.7538745226034</v>
      </c>
      <c r="AD384">
        <v>10.482416389484829</v>
      </c>
      <c r="AE384">
        <v>2019.7919311586086</v>
      </c>
      <c r="AF384">
        <v>7.4429313630188982</v>
      </c>
      <c r="AG384">
        <v>2122.846690685813</v>
      </c>
      <c r="AH384">
        <v>10.481739885949143</v>
      </c>
      <c r="AI384">
        <v>1900.8468864713298</v>
      </c>
      <c r="AJ384">
        <v>7.4425487380673472</v>
      </c>
    </row>
    <row r="385" spans="4:36" x14ac:dyDescent="0.45">
      <c r="D385">
        <v>378</v>
      </c>
      <c r="E385">
        <v>14.015374984280429</v>
      </c>
      <c r="F385">
        <v>0.48196790399303141</v>
      </c>
      <c r="G385">
        <v>0.16904613359544385</v>
      </c>
      <c r="H385">
        <v>15.3336109781311</v>
      </c>
      <c r="I385">
        <v>14.233451066739926</v>
      </c>
      <c r="J385">
        <v>0.33519247674674335</v>
      </c>
      <c r="K385">
        <v>0.11722482825779067</v>
      </c>
      <c r="L385">
        <v>15.314131628255547</v>
      </c>
      <c r="M385">
        <v>14.139781899157153</v>
      </c>
      <c r="N385">
        <v>0.39827251961171395</v>
      </c>
      <c r="O385">
        <v>0.13945869780767386</v>
      </c>
      <c r="P385">
        <v>15.322486883423473</v>
      </c>
      <c r="Q385">
        <v>14.126025839536027</v>
      </c>
      <c r="R385">
        <v>0.40753173729366909</v>
      </c>
      <c r="S385">
        <v>0.14272703702494777</v>
      </c>
      <c r="T385">
        <v>15.323715386145343</v>
      </c>
      <c r="U385">
        <v>1617.1871005939756</v>
      </c>
      <c r="V385">
        <v>11.108843445649377</v>
      </c>
      <c r="W385">
        <v>1326.8270148937554</v>
      </c>
      <c r="X385">
        <v>7.806571159266789</v>
      </c>
      <c r="Y385">
        <v>2953.766985274362</v>
      </c>
      <c r="Z385">
        <v>11.160610618879986</v>
      </c>
      <c r="AA385">
        <v>2760.0097614225238</v>
      </c>
      <c r="AB385">
        <v>7.8352294369953697</v>
      </c>
      <c r="AC385">
        <v>2313.493769248736</v>
      </c>
      <c r="AD385">
        <v>11.138381765282837</v>
      </c>
      <c r="AE385">
        <v>2071.4432936531948</v>
      </c>
      <c r="AF385">
        <v>7.8229325609291775</v>
      </c>
      <c r="AG385">
        <v>2192.323948040133</v>
      </c>
      <c r="AH385">
        <v>11.135116467164595</v>
      </c>
      <c r="AI385">
        <v>1940.8544829287896</v>
      </c>
      <c r="AJ385">
        <v>7.8211250797418579</v>
      </c>
    </row>
    <row r="386" spans="4:36" x14ac:dyDescent="0.45">
      <c r="D386">
        <v>379</v>
      </c>
      <c r="E386">
        <v>13.335851140642403</v>
      </c>
      <c r="F386">
        <v>0.44151287525513927</v>
      </c>
      <c r="G386">
        <v>0.16018998882430016</v>
      </c>
      <c r="H386">
        <v>16.062445995278146</v>
      </c>
      <c r="I386">
        <v>13.508124596386637</v>
      </c>
      <c r="J386">
        <v>0.31962173404982464</v>
      </c>
      <c r="K386">
        <v>0.11568992653888621</v>
      </c>
      <c r="L386">
        <v>16.056563743024661</v>
      </c>
      <c r="M386">
        <v>13.419079033646819</v>
      </c>
      <c r="N386">
        <v>0.38264749376790791</v>
      </c>
      <c r="O386">
        <v>0.13867256058245192</v>
      </c>
      <c r="P386">
        <v>16.059600912002836</v>
      </c>
      <c r="Q386">
        <v>13.375075793993048</v>
      </c>
      <c r="R386">
        <v>0.41377524376323793</v>
      </c>
      <c r="S386">
        <v>0.15004459992065805</v>
      </c>
      <c r="T386">
        <v>16.061104362323064</v>
      </c>
      <c r="U386">
        <v>1577.1662328205387</v>
      </c>
      <c r="V386">
        <v>10.450850212779372</v>
      </c>
      <c r="W386">
        <v>1307.3338778210739</v>
      </c>
      <c r="X386">
        <v>7.4159157972369192</v>
      </c>
      <c r="Y386">
        <v>2904.8903524334132</v>
      </c>
      <c r="Z386">
        <v>10.484947848455411</v>
      </c>
      <c r="AA386">
        <v>2730.4257875387466</v>
      </c>
      <c r="AB386">
        <v>7.4351936205734779</v>
      </c>
      <c r="AC386">
        <v>2243.5725693507197</v>
      </c>
      <c r="AD386">
        <v>10.467325266380154</v>
      </c>
      <c r="AE386">
        <v>2027.8800384735848</v>
      </c>
      <c r="AF386">
        <v>7.4252359350107904</v>
      </c>
      <c r="AG386">
        <v>2176.4298329515186</v>
      </c>
      <c r="AH386">
        <v>10.458615238382421</v>
      </c>
      <c r="AI386">
        <v>1934.4974636065429</v>
      </c>
      <c r="AJ386">
        <v>7.420309882063707</v>
      </c>
    </row>
    <row r="387" spans="4:36" x14ac:dyDescent="0.45">
      <c r="D387">
        <v>380</v>
      </c>
      <c r="E387">
        <v>12.318182478303767</v>
      </c>
      <c r="F387">
        <v>0.40657333806285761</v>
      </c>
      <c r="G387">
        <v>0.16115905390595883</v>
      </c>
      <c r="H387">
        <v>17.114085129727403</v>
      </c>
      <c r="I387">
        <v>12.514719378204607</v>
      </c>
      <c r="J387">
        <v>0.26920716772575598</v>
      </c>
      <c r="K387">
        <v>0.10639694524462162</v>
      </c>
      <c r="L387">
        <v>17.109676508825014</v>
      </c>
      <c r="M387">
        <v>12.420350609427086</v>
      </c>
      <c r="N387">
        <v>0.33519534881701679</v>
      </c>
      <c r="O387">
        <v>0.13266300786409624</v>
      </c>
      <c r="P387">
        <v>17.111791033891787</v>
      </c>
      <c r="Q387">
        <v>12.434466019337842</v>
      </c>
      <c r="R387">
        <v>0.32532861929189755</v>
      </c>
      <c r="S387">
        <v>0.12873088230045462</v>
      </c>
      <c r="T387">
        <v>17.111474479069795</v>
      </c>
      <c r="U387">
        <v>1492.5828462388088</v>
      </c>
      <c r="V387">
        <v>9.7412461244026041</v>
      </c>
      <c r="W387">
        <v>1253.9049535531603</v>
      </c>
      <c r="X387">
        <v>7.0199600091585657</v>
      </c>
      <c r="Y387">
        <v>2892.1931633749182</v>
      </c>
      <c r="Z387">
        <v>9.7801208460205764</v>
      </c>
      <c r="AA387">
        <v>2728.1901901289207</v>
      </c>
      <c r="AB387">
        <v>7.0424394281827913</v>
      </c>
      <c r="AC387">
        <v>2199.1016888753397</v>
      </c>
      <c r="AD387">
        <v>9.7614560877585532</v>
      </c>
      <c r="AE387">
        <v>2003.1961702234353</v>
      </c>
      <c r="AF387">
        <v>7.0316552675678006</v>
      </c>
      <c r="AG387">
        <v>2082.9586205421801</v>
      </c>
      <c r="AH387">
        <v>9.7642480551730184</v>
      </c>
      <c r="AI387">
        <v>1878.2427998565863</v>
      </c>
      <c r="AJ387">
        <v>7.0332694429543841</v>
      </c>
    </row>
    <row r="388" spans="4:36" x14ac:dyDescent="0.45">
      <c r="D388">
        <v>381</v>
      </c>
      <c r="E388">
        <v>13.03831011664079</v>
      </c>
      <c r="F388">
        <v>0.50273765395057191</v>
      </c>
      <c r="G388">
        <v>0.16188580214712597</v>
      </c>
      <c r="H388">
        <v>16.297066427261502</v>
      </c>
      <c r="I388">
        <v>13.282692033744897</v>
      </c>
      <c r="J388">
        <v>0.31935571572800242</v>
      </c>
      <c r="K388">
        <v>0.1024855382075941</v>
      </c>
      <c r="L388">
        <v>16.295466712319509</v>
      </c>
      <c r="M388">
        <v>13.172032933125793</v>
      </c>
      <c r="N388">
        <v>0.40243285858735417</v>
      </c>
      <c r="O388">
        <v>0.12934462366886987</v>
      </c>
      <c r="P388">
        <v>16.296189584617991</v>
      </c>
      <c r="Q388">
        <v>13.164657070948046</v>
      </c>
      <c r="R388">
        <v>0.40796795752479104</v>
      </c>
      <c r="S388">
        <v>0.13113711695547531</v>
      </c>
      <c r="T388">
        <v>16.296237854571679</v>
      </c>
      <c r="U388">
        <v>1614.3502898449242</v>
      </c>
      <c r="V388">
        <v>10.354772850726906</v>
      </c>
      <c r="W388">
        <v>1328.2233030858708</v>
      </c>
      <c r="X388">
        <v>7.3751437207564363</v>
      </c>
      <c r="Y388">
        <v>2931.57424044953</v>
      </c>
      <c r="Z388">
        <v>10.405038419532247</v>
      </c>
      <c r="AA388">
        <v>2748.6302513508867</v>
      </c>
      <c r="AB388">
        <v>7.4040758341617439</v>
      </c>
      <c r="AC388">
        <v>2259.9384068080558</v>
      </c>
      <c r="AD388">
        <v>10.382277555074248</v>
      </c>
      <c r="AE388">
        <v>2037.0001193781447</v>
      </c>
      <c r="AF388">
        <v>7.3909881463480573</v>
      </c>
      <c r="AG388">
        <v>2149.0680486341234</v>
      </c>
      <c r="AH388">
        <v>10.380760454656238</v>
      </c>
      <c r="AI388">
        <v>1914.2991987582493</v>
      </c>
      <c r="AJ388">
        <v>7.3901150329546326</v>
      </c>
    </row>
    <row r="389" spans="4:36" x14ac:dyDescent="0.45">
      <c r="D389">
        <v>382</v>
      </c>
      <c r="E389">
        <v>13.051266212914824</v>
      </c>
      <c r="F389">
        <v>0.50855684404368584</v>
      </c>
      <c r="G389">
        <v>0.18599932328151492</v>
      </c>
      <c r="H389">
        <v>16.254177619759972</v>
      </c>
      <c r="I389">
        <v>13.273897595781694</v>
      </c>
      <c r="J389">
        <v>0.33896875147971245</v>
      </c>
      <c r="K389">
        <v>0.12359298246283701</v>
      </c>
      <c r="L389">
        <v>16.263540670275756</v>
      </c>
      <c r="M389">
        <v>13.205589527514265</v>
      </c>
      <c r="N389">
        <v>0.39102914860940319</v>
      </c>
      <c r="O389">
        <v>0.14270911125980684</v>
      </c>
      <c r="P389">
        <v>16.260672212616527</v>
      </c>
      <c r="Q389">
        <v>13.169676065267632</v>
      </c>
      <c r="R389">
        <v>0.41839068266601492</v>
      </c>
      <c r="S389">
        <v>0.15277068184012266</v>
      </c>
      <c r="T389">
        <v>16.259162570226252</v>
      </c>
      <c r="U389">
        <v>1567.6304827233471</v>
      </c>
      <c r="V389">
        <v>10.440902427209902</v>
      </c>
      <c r="W389">
        <v>1298.2003825466745</v>
      </c>
      <c r="X389">
        <v>7.4312955388296196</v>
      </c>
      <c r="Y389">
        <v>2911.8622891359651</v>
      </c>
      <c r="Z389">
        <v>10.479833393459124</v>
      </c>
      <c r="AA389">
        <v>2735.5941688600301</v>
      </c>
      <c r="AB389">
        <v>7.4540587325869065</v>
      </c>
      <c r="AC389">
        <v>2219.9770745370824</v>
      </c>
      <c r="AD389">
        <v>10.467885776609723</v>
      </c>
      <c r="AE389">
        <v>2012.3242517302415</v>
      </c>
      <c r="AF389">
        <v>7.4470815643080472</v>
      </c>
      <c r="AG389">
        <v>2151.4646266259037</v>
      </c>
      <c r="AH389">
        <v>10.461605207849205</v>
      </c>
      <c r="AI389">
        <v>1918.4335429852122</v>
      </c>
      <c r="AJ389">
        <v>7.4434107721917284</v>
      </c>
    </row>
    <row r="390" spans="4:36" x14ac:dyDescent="0.45">
      <c r="D390">
        <v>383</v>
      </c>
      <c r="E390">
        <v>11.472403755579869</v>
      </c>
      <c r="F390">
        <v>0.42812765808389819</v>
      </c>
      <c r="G390">
        <v>0.15110540858837754</v>
      </c>
      <c r="H390">
        <v>17.948363177747847</v>
      </c>
      <c r="I390">
        <v>11.647168487825237</v>
      </c>
      <c r="J390">
        <v>0.2900324923131527</v>
      </c>
      <c r="K390">
        <v>0.1020785642600376</v>
      </c>
      <c r="L390">
        <v>17.96072045560156</v>
      </c>
      <c r="M390">
        <v>11.569008448964645</v>
      </c>
      <c r="N390">
        <v>0.35181176140271742</v>
      </c>
      <c r="O390">
        <v>0.12397711123814993</v>
      </c>
      <c r="P390">
        <v>17.955202678394496</v>
      </c>
      <c r="Q390">
        <v>11.532796875745175</v>
      </c>
      <c r="R390">
        <v>0.38042374163887638</v>
      </c>
      <c r="S390">
        <v>0.13413788924984404</v>
      </c>
      <c r="T390">
        <v>17.952641493366109</v>
      </c>
      <c r="U390">
        <v>1477.8801641070802</v>
      </c>
      <c r="V390">
        <v>9.0984933043568823</v>
      </c>
      <c r="W390">
        <v>1249.2404256600544</v>
      </c>
      <c r="X390">
        <v>6.6435341141516862</v>
      </c>
      <c r="Y390">
        <v>2876.8238085282205</v>
      </c>
      <c r="Z390">
        <v>9.1262101920776342</v>
      </c>
      <c r="AA390">
        <v>2720.6341970828853</v>
      </c>
      <c r="AB390">
        <v>6.6605391807714724</v>
      </c>
      <c r="AC390">
        <v>2188.1228298861611</v>
      </c>
      <c r="AD390">
        <v>9.1138094506323739</v>
      </c>
      <c r="AE390">
        <v>2000.2380854766166</v>
      </c>
      <c r="AF390">
        <v>6.6529390417390308</v>
      </c>
      <c r="AG390">
        <v>2066.5522930879629</v>
      </c>
      <c r="AH390">
        <v>9.1080668723899976</v>
      </c>
      <c r="AI390">
        <v>1868.5523675441145</v>
      </c>
      <c r="AJ390">
        <v>6.6494151401995572</v>
      </c>
    </row>
    <row r="391" spans="4:36" x14ac:dyDescent="0.45">
      <c r="D391">
        <v>384</v>
      </c>
      <c r="E391">
        <v>13.724656703280143</v>
      </c>
      <c r="F391">
        <v>0.47357098231692185</v>
      </c>
      <c r="G391">
        <v>0.15307108413497605</v>
      </c>
      <c r="H391">
        <v>15.64870123026796</v>
      </c>
      <c r="I391">
        <v>14.007172826169905</v>
      </c>
      <c r="J391">
        <v>0.29635998803624125</v>
      </c>
      <c r="K391">
        <v>9.5440362701148279E-2</v>
      </c>
      <c r="L391">
        <v>15.601026823092715</v>
      </c>
      <c r="M391">
        <v>13.909531912286623</v>
      </c>
      <c r="N391">
        <v>0.35766809820899004</v>
      </c>
      <c r="O391">
        <v>0.11532968108160153</v>
      </c>
      <c r="P391">
        <v>15.617470308422801</v>
      </c>
      <c r="Q391">
        <v>13.861363660649582</v>
      </c>
      <c r="R391">
        <v>0.38788866479494283</v>
      </c>
      <c r="S391">
        <v>0.12515254544783475</v>
      </c>
      <c r="T391">
        <v>15.625595129107628</v>
      </c>
      <c r="U391">
        <v>1576.3910039943576</v>
      </c>
      <c r="V391">
        <v>10.836593739465929</v>
      </c>
      <c r="W391">
        <v>1306.1389598369333</v>
      </c>
      <c r="X391">
        <v>7.6493053463590028</v>
      </c>
      <c r="Y391">
        <v>2936.7700598790193</v>
      </c>
      <c r="Z391">
        <v>10.913951615541976</v>
      </c>
      <c r="AA391">
        <v>2755.5284039142525</v>
      </c>
      <c r="AB391">
        <v>7.6914346264678075</v>
      </c>
      <c r="AC391">
        <v>2258.1746132197145</v>
      </c>
      <c r="AD391">
        <v>10.887236221996718</v>
      </c>
      <c r="AE391">
        <v>2041.0037390018992</v>
      </c>
      <c r="AF391">
        <v>7.676900139179188</v>
      </c>
      <c r="AG391">
        <v>2111.279994118081</v>
      </c>
      <c r="AH391">
        <v>10.8740490738879</v>
      </c>
      <c r="AI391">
        <v>1891.113834735776</v>
      </c>
      <c r="AJ391">
        <v>7.6697199640660561</v>
      </c>
    </row>
    <row r="392" spans="4:36" x14ac:dyDescent="0.45">
      <c r="D392">
        <v>385</v>
      </c>
      <c r="E392">
        <v>11.598460943711263</v>
      </c>
      <c r="F392">
        <v>0.37921636119821167</v>
      </c>
      <c r="G392">
        <v>0.14366734633735567</v>
      </c>
      <c r="H392">
        <v>17.878655348753163</v>
      </c>
      <c r="I392">
        <v>11.758487233635638</v>
      </c>
      <c r="J392">
        <v>0.26615629452147382</v>
      </c>
      <c r="K392">
        <v>0.10058083199491483</v>
      </c>
      <c r="L392">
        <v>17.874775639847975</v>
      </c>
      <c r="M392">
        <v>11.692989343612942</v>
      </c>
      <c r="N392">
        <v>0.31245118424350621</v>
      </c>
      <c r="O392">
        <v>0.11819698117761217</v>
      </c>
      <c r="P392">
        <v>17.876362490965949</v>
      </c>
      <c r="Q392">
        <v>11.672837329736291</v>
      </c>
      <c r="R392">
        <v>0.32668936391681791</v>
      </c>
      <c r="S392">
        <v>0.12362227816786843</v>
      </c>
      <c r="T392">
        <v>17.876851028179029</v>
      </c>
      <c r="U392">
        <v>1448.7527033378349</v>
      </c>
      <c r="V392">
        <v>9.160090002940569</v>
      </c>
      <c r="W392">
        <v>1234.2995115633855</v>
      </c>
      <c r="X392">
        <v>6.6811488307253644</v>
      </c>
      <c r="Y392">
        <v>2858.823432943313</v>
      </c>
      <c r="Z392">
        <v>9.1937755872842821</v>
      </c>
      <c r="AA392">
        <v>2711.1200757896127</v>
      </c>
      <c r="AB392">
        <v>6.7009708259679837</v>
      </c>
      <c r="AC392">
        <v>2158.5795057714431</v>
      </c>
      <c r="AD392">
        <v>9.1799884455132759</v>
      </c>
      <c r="AE392">
        <v>1983.8031003095089</v>
      </c>
      <c r="AF392">
        <v>6.6928647983220317</v>
      </c>
      <c r="AG392">
        <v>2010.7350474237242</v>
      </c>
      <c r="AH392">
        <v>9.1757464455996978</v>
      </c>
      <c r="AI392">
        <v>1834.0975463280329</v>
      </c>
      <c r="AJ392">
        <v>6.6903688362024001</v>
      </c>
    </row>
    <row r="393" spans="4:36" x14ac:dyDescent="0.45">
      <c r="D393">
        <v>386</v>
      </c>
      <c r="E393">
        <v>12.239412954037682</v>
      </c>
      <c r="F393">
        <v>0.43849466743788468</v>
      </c>
      <c r="G393">
        <v>0.17847687853687857</v>
      </c>
      <c r="H393">
        <v>17.143615499987561</v>
      </c>
      <c r="I393">
        <v>12.421666651295954</v>
      </c>
      <c r="J393">
        <v>0.30114545698400391</v>
      </c>
      <c r="K393">
        <v>0.12222792227553136</v>
      </c>
      <c r="L393">
        <v>17.154959969444523</v>
      </c>
      <c r="M393">
        <v>12.340602306746655</v>
      </c>
      <c r="N393">
        <v>0.36225940081735386</v>
      </c>
      <c r="O393">
        <v>0.14721638107308946</v>
      </c>
      <c r="P393">
        <v>17.149921911362892</v>
      </c>
      <c r="Q393">
        <v>12.339004180565915</v>
      </c>
      <c r="R393">
        <v>0.36346385637593281</v>
      </c>
      <c r="S393">
        <v>0.14770949903899674</v>
      </c>
      <c r="T393">
        <v>17.149822464019167</v>
      </c>
      <c r="U393">
        <v>1535.767125432483</v>
      </c>
      <c r="V393">
        <v>9.6843849922041692</v>
      </c>
      <c r="W393">
        <v>1284.1713618792828</v>
      </c>
      <c r="X393">
        <v>6.9818251492300751</v>
      </c>
      <c r="Y393">
        <v>2890.1621247271673</v>
      </c>
      <c r="Z393">
        <v>9.7128389127977073</v>
      </c>
      <c r="AA393">
        <v>2725.1417593436704</v>
      </c>
      <c r="AB393">
        <v>6.9990038792259304</v>
      </c>
      <c r="AC393">
        <v>2206.8052618718907</v>
      </c>
      <c r="AD393">
        <v>9.700178219123071</v>
      </c>
      <c r="AE393">
        <v>2007.8132626333522</v>
      </c>
      <c r="AF393">
        <v>6.9913677462716253</v>
      </c>
      <c r="AG393">
        <v>2084.1523055886732</v>
      </c>
      <c r="AH393">
        <v>9.6999286981692574</v>
      </c>
      <c r="AI393">
        <v>1877.2761548343115</v>
      </c>
      <c r="AJ393">
        <v>6.9912171288992582</v>
      </c>
    </row>
    <row r="394" spans="4:36" x14ac:dyDescent="0.45">
      <c r="D394">
        <v>387</v>
      </c>
      <c r="E394">
        <v>13.485189417702454</v>
      </c>
      <c r="F394">
        <v>0.48931121455666132</v>
      </c>
      <c r="G394">
        <v>0.15612208293925309</v>
      </c>
      <c r="H394">
        <v>15.869377284801628</v>
      </c>
      <c r="I394">
        <v>13.741626355162429</v>
      </c>
      <c r="J394">
        <v>0.30464896576637929</v>
      </c>
      <c r="K394">
        <v>9.688230001777251E-2</v>
      </c>
      <c r="L394">
        <v>15.856842379053422</v>
      </c>
      <c r="M394">
        <v>13.614327253379566</v>
      </c>
      <c r="N394">
        <v>0.39636497720595232</v>
      </c>
      <c r="O394">
        <v>0.12625519479498926</v>
      </c>
      <c r="P394">
        <v>15.863052574619497</v>
      </c>
      <c r="Q394">
        <v>13.578861590203168</v>
      </c>
      <c r="R394">
        <v>0.42190072809656987</v>
      </c>
      <c r="S394">
        <v>0.13445063078967437</v>
      </c>
      <c r="T394">
        <v>15.864787050910593</v>
      </c>
      <c r="U394">
        <v>1623.3934617717714</v>
      </c>
      <c r="V394">
        <v>10.710220310454414</v>
      </c>
      <c r="W394">
        <v>1333.0169315065914</v>
      </c>
      <c r="X394">
        <v>7.5816684307752693</v>
      </c>
      <c r="Y394">
        <v>2942.4497276250268</v>
      </c>
      <c r="Z394">
        <v>10.766206304122051</v>
      </c>
      <c r="AA394">
        <v>2755.7955036136868</v>
      </c>
      <c r="AB394">
        <v>7.6131129111574909</v>
      </c>
      <c r="AC394">
        <v>2270.9724183517519</v>
      </c>
      <c r="AD394">
        <v>10.738420405004879</v>
      </c>
      <c r="AE394">
        <v>2043.2949705381184</v>
      </c>
      <c r="AF394">
        <v>7.5975199719034112</v>
      </c>
      <c r="AG394">
        <v>2150.329276169221</v>
      </c>
      <c r="AH394">
        <v>10.730676992837177</v>
      </c>
      <c r="AI394">
        <v>1911.950779576782</v>
      </c>
      <c r="AJ394">
        <v>7.5931699687393088</v>
      </c>
    </row>
    <row r="395" spans="4:36" x14ac:dyDescent="0.45">
      <c r="D395">
        <v>388</v>
      </c>
      <c r="E395">
        <v>12.836910122676276</v>
      </c>
      <c r="F395">
        <v>0.40939109664883233</v>
      </c>
      <c r="G395">
        <v>0.14227912453184519</v>
      </c>
      <c r="H395">
        <v>16.611419656143049</v>
      </c>
      <c r="I395">
        <v>13.041656700626701</v>
      </c>
      <c r="J395">
        <v>0.2739342286987792</v>
      </c>
      <c r="K395">
        <v>9.4928532012781508E-2</v>
      </c>
      <c r="L395">
        <v>16.589480538661739</v>
      </c>
      <c r="M395">
        <v>12.970072182244534</v>
      </c>
      <c r="N395">
        <v>0.32132540120970782</v>
      </c>
      <c r="O395">
        <v>0.11146320240596258</v>
      </c>
      <c r="P395">
        <v>16.597139214139787</v>
      </c>
      <c r="Q395">
        <v>12.894526763077803</v>
      </c>
      <c r="R395">
        <v>0.37130149612238356</v>
      </c>
      <c r="S395">
        <v>0.12893636699886818</v>
      </c>
      <c r="T395">
        <v>16.605235373800951</v>
      </c>
      <c r="U395">
        <v>1501.8779971265994</v>
      </c>
      <c r="V395">
        <v>10.014520283663627</v>
      </c>
      <c r="W395">
        <v>1262.9973074745058</v>
      </c>
      <c r="X395">
        <v>7.1631556668685237</v>
      </c>
      <c r="Y395">
        <v>2885.2593473123497</v>
      </c>
      <c r="Z395">
        <v>10.062411898340729</v>
      </c>
      <c r="AA395">
        <v>2724.4592359546564</v>
      </c>
      <c r="AB395">
        <v>7.1899145392749038</v>
      </c>
      <c r="AC395">
        <v>2189.5096936895293</v>
      </c>
      <c r="AD395">
        <v>10.045674773464292</v>
      </c>
      <c r="AE395">
        <v>1999.3237837108177</v>
      </c>
      <c r="AF395">
        <v>7.1805710484975149</v>
      </c>
      <c r="AG395">
        <v>2089.5208002034005</v>
      </c>
      <c r="AH395">
        <v>10.02800343172917</v>
      </c>
      <c r="AI395">
        <v>1881.7777607681239</v>
      </c>
      <c r="AJ395">
        <v>7.1706965166197643</v>
      </c>
    </row>
    <row r="396" spans="4:36" x14ac:dyDescent="0.45">
      <c r="D396">
        <v>389</v>
      </c>
      <c r="E396">
        <v>12.430731950474589</v>
      </c>
      <c r="F396">
        <v>0.44862913062523241</v>
      </c>
      <c r="G396">
        <v>0.16557511794105292</v>
      </c>
      <c r="H396">
        <v>16.955063800959131</v>
      </c>
      <c r="I396">
        <v>12.653600167584386</v>
      </c>
      <c r="J396">
        <v>0.28689733380789562</v>
      </c>
      <c r="K396">
        <v>0.10554172149932776</v>
      </c>
      <c r="L396">
        <v>16.953960777108382</v>
      </c>
      <c r="M396">
        <v>12.578166588027404</v>
      </c>
      <c r="N396">
        <v>0.34167114748907629</v>
      </c>
      <c r="O396">
        <v>0.12582904053643726</v>
      </c>
      <c r="P396">
        <v>16.954333223947074</v>
      </c>
      <c r="Q396">
        <v>12.535965994556973</v>
      </c>
      <c r="R396">
        <v>0.37229920059459654</v>
      </c>
      <c r="S396">
        <v>0.13719282333666008</v>
      </c>
      <c r="T396">
        <v>16.954541981511774</v>
      </c>
      <c r="U396">
        <v>1558.1163163757383</v>
      </c>
      <c r="V396">
        <v>9.7401089645350503</v>
      </c>
      <c r="W396">
        <v>1297.2856702839151</v>
      </c>
      <c r="X396">
        <v>7.0017264992448052</v>
      </c>
      <c r="Y396">
        <v>2897.0276060070737</v>
      </c>
      <c r="Z396">
        <v>9.7785302447062534</v>
      </c>
      <c r="AA396">
        <v>2729.7556497146484</v>
      </c>
      <c r="AB396">
        <v>7.0240382655103311</v>
      </c>
      <c r="AC396">
        <v>2213.5035861349825</v>
      </c>
      <c r="AD396">
        <v>9.7655260430181237</v>
      </c>
      <c r="AE396">
        <v>2012.5023197413252</v>
      </c>
      <c r="AF396">
        <v>7.0164955039878665</v>
      </c>
      <c r="AG396">
        <v>2118.3741909818095</v>
      </c>
      <c r="AH396">
        <v>9.7582509043537247</v>
      </c>
      <c r="AI396">
        <v>1899.4368872110015</v>
      </c>
      <c r="AJ396">
        <v>7.012271763528183</v>
      </c>
    </row>
    <row r="397" spans="4:36" x14ac:dyDescent="0.45">
      <c r="D397">
        <v>390</v>
      </c>
      <c r="E397">
        <v>13.157139321404467</v>
      </c>
      <c r="F397">
        <v>0.44651512257206583</v>
      </c>
      <c r="G397">
        <v>0.16923008978816081</v>
      </c>
      <c r="H397">
        <v>16.22711546623529</v>
      </c>
      <c r="I397">
        <v>13.402026278412036</v>
      </c>
      <c r="J397">
        <v>0.27868431662629239</v>
      </c>
      <c r="K397">
        <v>0.10524017443452555</v>
      </c>
      <c r="L397">
        <v>16.214049230527145</v>
      </c>
      <c r="M397">
        <v>13.278611782462534</v>
      </c>
      <c r="N397">
        <v>0.36331251716666602</v>
      </c>
      <c r="O397">
        <v>0.13744809693889001</v>
      </c>
      <c r="P397">
        <v>16.220627603431918</v>
      </c>
      <c r="Q397">
        <v>13.226081644961397</v>
      </c>
      <c r="R397">
        <v>0.39930455475560234</v>
      </c>
      <c r="S397">
        <v>0.15118214623489445</v>
      </c>
      <c r="T397">
        <v>16.223431654048124</v>
      </c>
      <c r="U397">
        <v>1561.3501517854565</v>
      </c>
      <c r="V397">
        <v>10.359426591331882</v>
      </c>
      <c r="W397">
        <v>1297.8551042339343</v>
      </c>
      <c r="X397">
        <v>7.3691254924452281</v>
      </c>
      <c r="Y397">
        <v>2892.1926668638512</v>
      </c>
      <c r="Z397">
        <v>10.411702090931215</v>
      </c>
      <c r="AA397">
        <v>2725.6865559240678</v>
      </c>
      <c r="AB397">
        <v>7.3987601016776017</v>
      </c>
      <c r="AC397">
        <v>2246.4027991560579</v>
      </c>
      <c r="AD397">
        <v>10.385360802302056</v>
      </c>
      <c r="AE397">
        <v>2033.0109771526463</v>
      </c>
      <c r="AF397">
        <v>7.383840084142153</v>
      </c>
      <c r="AG397">
        <v>2159.6173089330414</v>
      </c>
      <c r="AH397">
        <v>10.374146595850878</v>
      </c>
      <c r="AI397">
        <v>1925.434559508622</v>
      </c>
      <c r="AJ397">
        <v>7.3774804362091029</v>
      </c>
    </row>
    <row r="398" spans="4:36" x14ac:dyDescent="0.45">
      <c r="D398">
        <v>391</v>
      </c>
      <c r="E398">
        <v>12.267362476030117</v>
      </c>
      <c r="F398">
        <v>0.47368420061030142</v>
      </c>
      <c r="G398">
        <v>0.1789421645574332</v>
      </c>
      <c r="H398">
        <v>17.080011158802176</v>
      </c>
      <c r="I398">
        <v>12.506849406627921</v>
      </c>
      <c r="J398">
        <v>0.28489889875892593</v>
      </c>
      <c r="K398">
        <v>0.10724307699550241</v>
      </c>
      <c r="L398">
        <v>17.101008617617641</v>
      </c>
      <c r="M398">
        <v>12.409667237866838</v>
      </c>
      <c r="N398">
        <v>0.36154028270661642</v>
      </c>
      <c r="O398">
        <v>0.13628852152231111</v>
      </c>
      <c r="P398">
        <v>17.092503957904228</v>
      </c>
      <c r="Q398">
        <v>12.353020386645905</v>
      </c>
      <c r="R398">
        <v>0.40619294643679732</v>
      </c>
      <c r="S398">
        <v>0.15325004580245147</v>
      </c>
      <c r="T398">
        <v>17.087536621114843</v>
      </c>
      <c r="U398">
        <v>1564.5148975390819</v>
      </c>
      <c r="V398">
        <v>9.7660320415299697</v>
      </c>
      <c r="W398">
        <v>1301.1439003995179</v>
      </c>
      <c r="X398">
        <v>7.0344350612309752</v>
      </c>
      <c r="Y398">
        <v>2887.4229081416916</v>
      </c>
      <c r="Z398">
        <v>9.8003578465328864</v>
      </c>
      <c r="AA398">
        <v>2723.8026528612177</v>
      </c>
      <c r="AB398">
        <v>7.0553520508294483</v>
      </c>
      <c r="AC398">
        <v>2220.3313110958848</v>
      </c>
      <c r="AD398">
        <v>9.7864194583469448</v>
      </c>
      <c r="AE398">
        <v>2016.818512609502</v>
      </c>
      <c r="AF398">
        <v>7.0468707757578182</v>
      </c>
      <c r="AG398">
        <v>2143.1263675432378</v>
      </c>
      <c r="AH398">
        <v>9.7783006463241922</v>
      </c>
      <c r="AI398">
        <v>1915.706365640779</v>
      </c>
      <c r="AJ398">
        <v>7.0419228943003134</v>
      </c>
    </row>
    <row r="399" spans="4:36" x14ac:dyDescent="0.45">
      <c r="D399">
        <v>392</v>
      </c>
      <c r="E399">
        <v>12.341781991736958</v>
      </c>
      <c r="F399">
        <v>0.45733995616103074</v>
      </c>
      <c r="G399">
        <v>0.19707266641942489</v>
      </c>
      <c r="H399">
        <v>17.003805385682593</v>
      </c>
      <c r="I399">
        <v>12.532546226058143</v>
      </c>
      <c r="J399">
        <v>0.30706529652421832</v>
      </c>
      <c r="K399">
        <v>0.13193017689913689</v>
      </c>
      <c r="L399">
        <v>17.028458300518498</v>
      </c>
      <c r="M399">
        <v>12.446810115207148</v>
      </c>
      <c r="N399">
        <v>0.37462585423447442</v>
      </c>
      <c r="O399">
        <v>0.16116904678923982</v>
      </c>
      <c r="P399">
        <v>17.017394983769133</v>
      </c>
      <c r="Q399">
        <v>12.409152629586115</v>
      </c>
      <c r="R399">
        <v>0.40428891316262783</v>
      </c>
      <c r="S399">
        <v>0.1740312884541477</v>
      </c>
      <c r="T399">
        <v>17.012527168797117</v>
      </c>
      <c r="U399">
        <v>1560.4903205698204</v>
      </c>
      <c r="V399">
        <v>9.7399697715050273</v>
      </c>
      <c r="W399">
        <v>1297.653967938583</v>
      </c>
      <c r="X399">
        <v>7.0054860178845964</v>
      </c>
      <c r="Y399">
        <v>2912.2469115719377</v>
      </c>
      <c r="Z399">
        <v>9.7597054729202597</v>
      </c>
      <c r="AA399">
        <v>2738.7240443712185</v>
      </c>
      <c r="AB399">
        <v>7.0180158409013984</v>
      </c>
      <c r="AC399">
        <v>2248.06417701183</v>
      </c>
      <c r="AD399">
        <v>9.7508268644447949</v>
      </c>
      <c r="AE399">
        <v>2034.3447551795075</v>
      </c>
      <c r="AF399">
        <v>7.0123862912025805</v>
      </c>
      <c r="AG399">
        <v>2131.7440461860424</v>
      </c>
      <c r="AH399">
        <v>9.7469316276374833</v>
      </c>
      <c r="AI399">
        <v>1905.9817354180373</v>
      </c>
      <c r="AJ399">
        <v>7.0099127288946432</v>
      </c>
    </row>
    <row r="400" spans="4:36" x14ac:dyDescent="0.45">
      <c r="D400">
        <v>393</v>
      </c>
      <c r="E400">
        <v>11.552453252913446</v>
      </c>
      <c r="F400">
        <v>0.42843321019530001</v>
      </c>
      <c r="G400">
        <v>0.14696272623286899</v>
      </c>
      <c r="H400">
        <v>17.872150810658386</v>
      </c>
      <c r="I400">
        <v>11.738595262760239</v>
      </c>
      <c r="J400">
        <v>0.27993454691406389</v>
      </c>
      <c r="K400">
        <v>9.5749340278214315E-2</v>
      </c>
      <c r="L400">
        <v>17.885720850047477</v>
      </c>
      <c r="M400">
        <v>11.637518507360319</v>
      </c>
      <c r="N400">
        <v>0.36059149369046761</v>
      </c>
      <c r="O400">
        <v>0.12352894106794689</v>
      </c>
      <c r="P400">
        <v>17.878361057881257</v>
      </c>
      <c r="Q400">
        <v>11.588534058395602</v>
      </c>
      <c r="R400">
        <v>0.39966215775247771</v>
      </c>
      <c r="S400">
        <v>0.13701703686840269</v>
      </c>
      <c r="T400">
        <v>17.874786746983521</v>
      </c>
      <c r="U400">
        <v>1459.7329877269776</v>
      </c>
      <c r="V400">
        <v>9.1854767221232283</v>
      </c>
      <c r="W400">
        <v>1238.1813106714192</v>
      </c>
      <c r="X400">
        <v>6.6980240492784331</v>
      </c>
      <c r="Y400">
        <v>2853.0724690691031</v>
      </c>
      <c r="Z400">
        <v>9.2129157392700609</v>
      </c>
      <c r="AA400">
        <v>2705.5399156023318</v>
      </c>
      <c r="AB400">
        <v>6.7148045404745043</v>
      </c>
      <c r="AC400">
        <v>2165.4494760603693</v>
      </c>
      <c r="AD400">
        <v>9.1980112983498312</v>
      </c>
      <c r="AE400">
        <v>1984.8420827514608</v>
      </c>
      <c r="AF400">
        <v>6.705697939724816</v>
      </c>
      <c r="AG400">
        <v>2062.3681129743791</v>
      </c>
      <c r="AH400">
        <v>9.1907923229270825</v>
      </c>
      <c r="AI400">
        <v>1866.1224981998237</v>
      </c>
      <c r="AJ400">
        <v>6.7012800732606328</v>
      </c>
    </row>
    <row r="401" spans="4:36" x14ac:dyDescent="0.45">
      <c r="D401">
        <v>394</v>
      </c>
      <c r="E401">
        <v>13.143268737936879</v>
      </c>
      <c r="F401">
        <v>0.48613216692696426</v>
      </c>
      <c r="G401">
        <v>0.19260218868666121</v>
      </c>
      <c r="H401">
        <v>16.177996906449501</v>
      </c>
      <c r="I401">
        <v>13.395392067853328</v>
      </c>
      <c r="J401">
        <v>0.29866426858139811</v>
      </c>
      <c r="K401">
        <v>0.11789199984175876</v>
      </c>
      <c r="L401">
        <v>16.188051663723527</v>
      </c>
      <c r="M401">
        <v>13.238098070650315</v>
      </c>
      <c r="N401">
        <v>0.41566176150484335</v>
      </c>
      <c r="O401">
        <v>0.16445227694543052</v>
      </c>
      <c r="P401">
        <v>16.1817878908994</v>
      </c>
      <c r="Q401">
        <v>13.212921565790198</v>
      </c>
      <c r="R401">
        <v>0.43437594420373932</v>
      </c>
      <c r="S401">
        <v>0.1719199931821952</v>
      </c>
      <c r="T401">
        <v>16.180782496823866</v>
      </c>
      <c r="U401">
        <v>1595.6040991333393</v>
      </c>
      <c r="V401">
        <v>10.386715759013486</v>
      </c>
      <c r="W401">
        <v>1316.5137241707446</v>
      </c>
      <c r="X401">
        <v>7.3840001716437751</v>
      </c>
      <c r="Y401">
        <v>2916.5000124800899</v>
      </c>
      <c r="Z401">
        <v>10.430729962029604</v>
      </c>
      <c r="AA401">
        <v>2739.7711731583067</v>
      </c>
      <c r="AB401">
        <v>7.409786689915749</v>
      </c>
      <c r="AC401">
        <v>2281.2683772441424</v>
      </c>
      <c r="AD401">
        <v>10.403265268203914</v>
      </c>
      <c r="AE401">
        <v>2051.648174300024</v>
      </c>
      <c r="AF401">
        <v>7.393708541596431</v>
      </c>
      <c r="AG401">
        <v>2166.2813592103635</v>
      </c>
      <c r="AH401">
        <v>10.398870872572092</v>
      </c>
      <c r="AI401">
        <v>1924.9880217480202</v>
      </c>
      <c r="AJ401">
        <v>7.3911321621061825</v>
      </c>
    </row>
    <row r="402" spans="4:36" x14ac:dyDescent="0.45">
      <c r="D402">
        <v>395</v>
      </c>
      <c r="E402">
        <v>11.482103644793485</v>
      </c>
      <c r="F402">
        <v>0.43008209528079255</v>
      </c>
      <c r="G402">
        <v>0.16089938989937433</v>
      </c>
      <c r="H402">
        <v>17.926914870026337</v>
      </c>
      <c r="I402">
        <v>11.680722301879081</v>
      </c>
      <c r="J402">
        <v>0.27444612420346182</v>
      </c>
      <c r="K402">
        <v>0.10236247069704589</v>
      </c>
      <c r="L402">
        <v>17.9424691032204</v>
      </c>
      <c r="M402">
        <v>11.600491189387693</v>
      </c>
      <c r="N402">
        <v>0.33733899759968117</v>
      </c>
      <c r="O402">
        <v>0.12597402466537533</v>
      </c>
      <c r="P402">
        <v>17.936195788347263</v>
      </c>
      <c r="Q402">
        <v>11.583717885201866</v>
      </c>
      <c r="R402">
        <v>0.35048336145306697</v>
      </c>
      <c r="S402">
        <v>0.13091614185895473</v>
      </c>
      <c r="T402">
        <v>17.934882611486113</v>
      </c>
      <c r="U402">
        <v>1486.5308032472706</v>
      </c>
      <c r="V402">
        <v>9.0458785945273856</v>
      </c>
      <c r="W402">
        <v>1255.4182701009997</v>
      </c>
      <c r="X402">
        <v>6.6034153471602419</v>
      </c>
      <c r="Y402">
        <v>2855.1789708401584</v>
      </c>
      <c r="Z402">
        <v>9.0774197933932808</v>
      </c>
      <c r="AA402">
        <v>2706.0044546158001</v>
      </c>
      <c r="AB402">
        <v>6.6227941263919652</v>
      </c>
      <c r="AC402">
        <v>2168.7421877878742</v>
      </c>
      <c r="AD402">
        <v>9.0646727079173743</v>
      </c>
      <c r="AE402">
        <v>1987.1444928229271</v>
      </c>
      <c r="AF402">
        <v>6.6149724621147383</v>
      </c>
      <c r="AG402">
        <v>2064.5920801053749</v>
      </c>
      <c r="AH402">
        <v>9.0620088233485578</v>
      </c>
      <c r="AI402">
        <v>1869.485195732145</v>
      </c>
      <c r="AJ402">
        <v>6.6133361722444173</v>
      </c>
    </row>
    <row r="403" spans="4:36" x14ac:dyDescent="0.45">
      <c r="D403">
        <v>396</v>
      </c>
      <c r="E403">
        <v>13.797445792799987</v>
      </c>
      <c r="F403">
        <v>0.4962501919529077</v>
      </c>
      <c r="G403">
        <v>0.19470447051993686</v>
      </c>
      <c r="H403">
        <v>15.51159954472717</v>
      </c>
      <c r="I403">
        <v>14.071226690077465</v>
      </c>
      <c r="J403">
        <v>0.31764913921409543</v>
      </c>
      <c r="K403">
        <v>0.12416552097809383</v>
      </c>
      <c r="L403">
        <v>15.486958649730344</v>
      </c>
      <c r="M403">
        <v>13.963494151720344</v>
      </c>
      <c r="N403">
        <v>0.38798709497469436</v>
      </c>
      <c r="O403">
        <v>0.15188174799157972</v>
      </c>
      <c r="P403">
        <v>15.496637005313382</v>
      </c>
      <c r="Q403">
        <v>13.968636757048158</v>
      </c>
      <c r="R403">
        <v>0.3846312359247232</v>
      </c>
      <c r="S403">
        <v>0.15055751955747107</v>
      </c>
      <c r="T403">
        <v>15.496174487469629</v>
      </c>
      <c r="U403">
        <v>1597.9034566670484</v>
      </c>
      <c r="V403">
        <v>10.973123299015521</v>
      </c>
      <c r="W403">
        <v>1314.6214949661601</v>
      </c>
      <c r="X403">
        <v>7.7314286603941857</v>
      </c>
      <c r="Y403">
        <v>2950.4890396101482</v>
      </c>
      <c r="Z403">
        <v>11.039306493331983</v>
      </c>
      <c r="AA403">
        <v>2760.5141080589524</v>
      </c>
      <c r="AB403">
        <v>7.7681773239992662</v>
      </c>
      <c r="AC403">
        <v>2299.9985436959405</v>
      </c>
      <c r="AD403">
        <v>11.013273403624815</v>
      </c>
      <c r="AE403">
        <v>2064.5883232087099</v>
      </c>
      <c r="AF403">
        <v>7.7537367548811904</v>
      </c>
      <c r="AG403">
        <v>2138.3770664673157</v>
      </c>
      <c r="AH403">
        <v>11.014516382689798</v>
      </c>
      <c r="AI403">
        <v>1906.3016562104865</v>
      </c>
      <c r="AJ403">
        <v>7.7544266600144018</v>
      </c>
    </row>
    <row r="404" spans="4:36" x14ac:dyDescent="0.45">
      <c r="D404">
        <v>397</v>
      </c>
      <c r="E404">
        <v>12.558403612797596</v>
      </c>
      <c r="F404">
        <v>0.43639158387121557</v>
      </c>
      <c r="G404">
        <v>0.15347751807475532</v>
      </c>
      <c r="H404">
        <v>16.851727285256434</v>
      </c>
      <c r="I404">
        <v>12.769960703936938</v>
      </c>
      <c r="J404">
        <v>0.28447388981391486</v>
      </c>
      <c r="K404">
        <v>9.9735358149841746E-2</v>
      </c>
      <c r="L404">
        <v>16.845830048099316</v>
      </c>
      <c r="M404">
        <v>12.700790959277102</v>
      </c>
      <c r="N404">
        <v>0.33417375996073106</v>
      </c>
      <c r="O404">
        <v>0.11727952881534877</v>
      </c>
      <c r="P404">
        <v>16.847755751946806</v>
      </c>
      <c r="Q404">
        <v>12.640614355446367</v>
      </c>
      <c r="R404">
        <v>0.37738858962133853</v>
      </c>
      <c r="S404">
        <v>0.13256405522596895</v>
      </c>
      <c r="T404">
        <v>16.84943299970633</v>
      </c>
      <c r="U404">
        <v>1526.8868289189184</v>
      </c>
      <c r="V404">
        <v>9.8835120724066616</v>
      </c>
      <c r="W404">
        <v>1277.0027404303421</v>
      </c>
      <c r="X404">
        <v>7.0951028525279201</v>
      </c>
      <c r="Y404">
        <v>2890.8901821673562</v>
      </c>
      <c r="Z404">
        <v>9.9271451242736539</v>
      </c>
      <c r="AA404">
        <v>2726.3982657975316</v>
      </c>
      <c r="AB404">
        <v>7.1202589776577518</v>
      </c>
      <c r="AC404">
        <v>2235.0518880997352</v>
      </c>
      <c r="AD404">
        <v>9.9128801171957868</v>
      </c>
      <c r="AE404">
        <v>2029.6462507810404</v>
      </c>
      <c r="AF404">
        <v>7.1120437504442107</v>
      </c>
      <c r="AG404">
        <v>2115.7864461093427</v>
      </c>
      <c r="AH404">
        <v>9.9004689491930531</v>
      </c>
      <c r="AI404">
        <v>1898.33245765683</v>
      </c>
      <c r="AJ404">
        <v>7.1048889895186758</v>
      </c>
    </row>
    <row r="405" spans="4:36" x14ac:dyDescent="0.45">
      <c r="D405">
        <v>398</v>
      </c>
      <c r="E405">
        <v>11.958277393449144</v>
      </c>
      <c r="F405">
        <v>0.43468362138098243</v>
      </c>
      <c r="G405">
        <v>0.1774175050011699</v>
      </c>
      <c r="H405">
        <v>17.429621480168706</v>
      </c>
      <c r="I405">
        <v>12.146153228596637</v>
      </c>
      <c r="J405">
        <v>0.29046664205797523</v>
      </c>
      <c r="K405">
        <v>0.11822429081450042</v>
      </c>
      <c r="L405">
        <v>17.445155838530887</v>
      </c>
      <c r="M405">
        <v>12.072388345762679</v>
      </c>
      <c r="N405">
        <v>0.3471123581080281</v>
      </c>
      <c r="O405">
        <v>0.14143433726039467</v>
      </c>
      <c r="P405">
        <v>17.43906495886888</v>
      </c>
      <c r="Q405">
        <v>12.038263830731479</v>
      </c>
      <c r="R405">
        <v>0.37330756441271823</v>
      </c>
      <c r="S405">
        <v>0.15218498265946934</v>
      </c>
      <c r="T405">
        <v>17.436243622196333</v>
      </c>
      <c r="U405">
        <v>1520.3436858400364</v>
      </c>
      <c r="V405">
        <v>9.4801958706761837</v>
      </c>
      <c r="W405">
        <v>1269.5895118240435</v>
      </c>
      <c r="X405">
        <v>6.8656700635388566</v>
      </c>
      <c r="Y405">
        <v>2909.3379366671807</v>
      </c>
      <c r="Z405">
        <v>9.5091120214936335</v>
      </c>
      <c r="AA405">
        <v>2737.5021217950707</v>
      </c>
      <c r="AB405">
        <v>6.8832813473909011</v>
      </c>
      <c r="AC405">
        <v>2230.5980275466786</v>
      </c>
      <c r="AD405">
        <v>9.4977537016074667</v>
      </c>
      <c r="AE405">
        <v>2023.4319336186513</v>
      </c>
      <c r="AF405">
        <v>6.876371678858856</v>
      </c>
      <c r="AG405">
        <v>2119.2171594957967</v>
      </c>
      <c r="AH405">
        <v>9.4925014292811127</v>
      </c>
      <c r="AI405">
        <v>1898.847647939416</v>
      </c>
      <c r="AJ405">
        <v>6.8731730170757253</v>
      </c>
    </row>
    <row r="406" spans="4:36" x14ac:dyDescent="0.45">
      <c r="D406">
        <v>399</v>
      </c>
      <c r="E406">
        <v>12.031364132773456</v>
      </c>
      <c r="F406">
        <v>0.41423281193196937</v>
      </c>
      <c r="G406">
        <v>0.16304474826298535</v>
      </c>
      <c r="H406">
        <v>17.391358307031581</v>
      </c>
      <c r="I406">
        <v>12.219511071381497</v>
      </c>
      <c r="J406">
        <v>0.27691116226231377</v>
      </c>
      <c r="K406">
        <v>0.10866715288468171</v>
      </c>
      <c r="L406">
        <v>17.394910613471492</v>
      </c>
      <c r="M406">
        <v>12.11946053221441</v>
      </c>
      <c r="N406">
        <v>0.34996074855830767</v>
      </c>
      <c r="O406">
        <v>0.13755258919948066</v>
      </c>
      <c r="P406">
        <v>17.393026130027813</v>
      </c>
      <c r="Q406">
        <v>12.113138527289069</v>
      </c>
      <c r="R406">
        <v>0.35457461254186262</v>
      </c>
      <c r="S406">
        <v>0.13938015058410366</v>
      </c>
      <c r="T406">
        <v>17.392906709584949</v>
      </c>
      <c r="U406">
        <v>1509.6163123749898</v>
      </c>
      <c r="V406">
        <v>9.5072721214652631</v>
      </c>
      <c r="W406">
        <v>1268.6527518259231</v>
      </c>
      <c r="X406">
        <v>6.8805273039312205</v>
      </c>
      <c r="Y406">
        <v>2862.5209963369143</v>
      </c>
      <c r="Z406">
        <v>9.5411331771229602</v>
      </c>
      <c r="AA406">
        <v>2708.0182961921746</v>
      </c>
      <c r="AB406">
        <v>6.9006090932216306</v>
      </c>
      <c r="AC406">
        <v>2182.258699178718</v>
      </c>
      <c r="AD406">
        <v>9.5231244558381238</v>
      </c>
      <c r="AE406">
        <v>1992.1611981749154</v>
      </c>
      <c r="AF406">
        <v>6.88993741802933</v>
      </c>
      <c r="AG406">
        <v>2099.9871011400614</v>
      </c>
      <c r="AH406">
        <v>9.5219867080888854</v>
      </c>
      <c r="AI406">
        <v>1890.8148523997334</v>
      </c>
      <c r="AJ406">
        <v>6.8892625493760375</v>
      </c>
    </row>
    <row r="407" spans="4:36" x14ac:dyDescent="0.45">
      <c r="D407">
        <v>400</v>
      </c>
      <c r="E407">
        <v>12.620337322403541</v>
      </c>
      <c r="F407">
        <v>0.46602732130337021</v>
      </c>
      <c r="G407">
        <v>0.18656070725322368</v>
      </c>
      <c r="H407">
        <v>16.727074649039853</v>
      </c>
      <c r="I407">
        <v>12.834305466280105</v>
      </c>
      <c r="J407">
        <v>0.30795819134599584</v>
      </c>
      <c r="K407">
        <v>0.12290744796287449</v>
      </c>
      <c r="L407">
        <v>16.734828894411024</v>
      </c>
      <c r="M407">
        <v>12.742823894510181</v>
      </c>
      <c r="N407">
        <v>0.37557197660720898</v>
      </c>
      <c r="O407">
        <v>0.15008688586330102</v>
      </c>
      <c r="P407">
        <v>16.731517243019326</v>
      </c>
      <c r="Q407">
        <v>12.695666644670881</v>
      </c>
      <c r="R407">
        <v>0.41040732631626925</v>
      </c>
      <c r="S407">
        <v>0.16411801687868033</v>
      </c>
      <c r="T407">
        <v>16.729808012134175</v>
      </c>
      <c r="U407">
        <v>1561.2668616003218</v>
      </c>
      <c r="V407">
        <v>9.9992684498539912</v>
      </c>
      <c r="W407">
        <v>1296.1273034563528</v>
      </c>
      <c r="X407">
        <v>7.1646397409061278</v>
      </c>
      <c r="Y407">
        <v>2906.311938017087</v>
      </c>
      <c r="Z407">
        <v>10.033924721998423</v>
      </c>
      <c r="AA407">
        <v>2733.4475980191341</v>
      </c>
      <c r="AB407">
        <v>7.184952560901734</v>
      </c>
      <c r="AC407">
        <v>2243.4373173017871</v>
      </c>
      <c r="AD407">
        <v>10.01910556446923</v>
      </c>
      <c r="AE407">
        <v>2029.7874193564255</v>
      </c>
      <c r="AF407">
        <v>7.1762755558336702</v>
      </c>
      <c r="AG407">
        <v>2117.7523415839742</v>
      </c>
      <c r="AH407">
        <v>10.011467667168619</v>
      </c>
      <c r="AI407">
        <v>1894.2277646519044</v>
      </c>
      <c r="AJ407">
        <v>7.1717982296354181</v>
      </c>
    </row>
    <row r="408" spans="4:36" x14ac:dyDescent="0.45">
      <c r="D408">
        <v>401</v>
      </c>
      <c r="E408">
        <v>13.768990978264107</v>
      </c>
      <c r="F408">
        <v>0.54218650456746809</v>
      </c>
      <c r="G408">
        <v>0.1718655820059638</v>
      </c>
      <c r="H408">
        <v>15.51695693516246</v>
      </c>
      <c r="I408">
        <v>14.026644923532256</v>
      </c>
      <c r="J408">
        <v>0.35440186957153913</v>
      </c>
      <c r="K408">
        <v>0.1119686630837264</v>
      </c>
      <c r="L408">
        <v>15.506984543812468</v>
      </c>
      <c r="M408">
        <v>13.927318828203981</v>
      </c>
      <c r="N408">
        <v>0.42683646835505246</v>
      </c>
      <c r="O408">
        <v>0.13502504953650346</v>
      </c>
      <c r="P408">
        <v>15.510819653904456</v>
      </c>
      <c r="Q408">
        <v>13.889465960624786</v>
      </c>
      <c r="R408">
        <v>0.45442684539261041</v>
      </c>
      <c r="S408">
        <v>0.14382294630278553</v>
      </c>
      <c r="T408">
        <v>15.512284247679826</v>
      </c>
      <c r="U408">
        <v>1590.4507004242905</v>
      </c>
      <c r="V408">
        <v>10.916561238808013</v>
      </c>
      <c r="W408">
        <v>1306.7722155614927</v>
      </c>
      <c r="X408">
        <v>7.6910857190534188</v>
      </c>
      <c r="Y408">
        <v>2966.7189948610835</v>
      </c>
      <c r="Z408">
        <v>10.968907894033993</v>
      </c>
      <c r="AA408">
        <v>2769.8854721206067</v>
      </c>
      <c r="AB408">
        <v>7.7203272548606749</v>
      </c>
      <c r="AC408">
        <v>2280.2143135421597</v>
      </c>
      <c r="AD408">
        <v>10.948734126768482</v>
      </c>
      <c r="AE408">
        <v>2048.4154126479052</v>
      </c>
      <c r="AF408">
        <v>7.7090689586569878</v>
      </c>
      <c r="AG408">
        <v>2174.3177479049364</v>
      </c>
      <c r="AH408">
        <v>10.941044004461865</v>
      </c>
      <c r="AI408">
        <v>1927.4747652468241</v>
      </c>
      <c r="AJ408">
        <v>7.7047737353598045</v>
      </c>
    </row>
    <row r="409" spans="4:36" x14ac:dyDescent="0.45">
      <c r="D409">
        <v>402</v>
      </c>
      <c r="E409">
        <v>12.276644857141354</v>
      </c>
      <c r="F409">
        <v>0.43731943701983972</v>
      </c>
      <c r="G409">
        <v>0.17019578266133595</v>
      </c>
      <c r="H409">
        <v>17.115839923177464</v>
      </c>
      <c r="I409">
        <v>12.496964108846194</v>
      </c>
      <c r="J409">
        <v>0.28107500276533742</v>
      </c>
      <c r="K409">
        <v>0.10903606115669233</v>
      </c>
      <c r="L409">
        <v>17.112924827231765</v>
      </c>
      <c r="M409">
        <v>12.400053716893638</v>
      </c>
      <c r="N409">
        <v>0.34983847162247006</v>
      </c>
      <c r="O409">
        <v>0.13590321326832339</v>
      </c>
      <c r="P409">
        <v>17.114204598215551</v>
      </c>
      <c r="Q409">
        <v>12.364705133566998</v>
      </c>
      <c r="R409">
        <v>0.37490579974288529</v>
      </c>
      <c r="S409">
        <v>0.14571670190278646</v>
      </c>
      <c r="T409">
        <v>17.114672364787332</v>
      </c>
      <c r="U409">
        <v>1540.4491172652674</v>
      </c>
      <c r="V409">
        <v>9.5848647993383302</v>
      </c>
      <c r="W409">
        <v>1288.5178139755717</v>
      </c>
      <c r="X409">
        <v>6.9087707012935615</v>
      </c>
      <c r="Y409">
        <v>2892.1728266498535</v>
      </c>
      <c r="Z409">
        <v>9.6274518051150881</v>
      </c>
      <c r="AA409">
        <v>2728.6933570798647</v>
      </c>
      <c r="AB409">
        <v>6.9334169050061485</v>
      </c>
      <c r="AC409">
        <v>2193.6853335513379</v>
      </c>
      <c r="AD409">
        <v>9.6087208848907668</v>
      </c>
      <c r="AE409">
        <v>1999.9404610162601</v>
      </c>
      <c r="AF409">
        <v>6.9225875157992043</v>
      </c>
      <c r="AG409">
        <v>2106.2739053042901</v>
      </c>
      <c r="AH409">
        <v>9.6018880786405632</v>
      </c>
      <c r="AI409">
        <v>1893.1185359878432</v>
      </c>
      <c r="AJ409">
        <v>6.9186329320993734</v>
      </c>
    </row>
    <row r="410" spans="4:36" x14ac:dyDescent="0.45">
      <c r="D410">
        <v>403</v>
      </c>
      <c r="E410">
        <v>11.793137332426021</v>
      </c>
      <c r="F410">
        <v>0.46496300191364531</v>
      </c>
      <c r="G410">
        <v>0.1459598922177377</v>
      </c>
      <c r="H410">
        <v>17.595939773442613</v>
      </c>
      <c r="I410">
        <v>11.99218849968838</v>
      </c>
      <c r="J410">
        <v>0.3045336496923392</v>
      </c>
      <c r="K410">
        <v>9.5309615530702774E-2</v>
      </c>
      <c r="L410">
        <v>17.607968235088588</v>
      </c>
      <c r="M410">
        <v>11.951136173524633</v>
      </c>
      <c r="N410">
        <v>0.3376356096607494</v>
      </c>
      <c r="O410">
        <v>0.10573509417925983</v>
      </c>
      <c r="P410">
        <v>17.605493122635369</v>
      </c>
      <c r="Q410">
        <v>11.90122443792256</v>
      </c>
      <c r="R410">
        <v>0.37787077269723002</v>
      </c>
      <c r="S410">
        <v>0.11842485656079538</v>
      </c>
      <c r="T410">
        <v>17.602479932819392</v>
      </c>
      <c r="U410">
        <v>1528.0584636956673</v>
      </c>
      <c r="V410">
        <v>9.4333007039779027</v>
      </c>
      <c r="W410">
        <v>1281.0642395657878</v>
      </c>
      <c r="X410">
        <v>6.8493097509806216</v>
      </c>
      <c r="Y410">
        <v>2885.9886486422133</v>
      </c>
      <c r="Z410">
        <v>9.4645430430014024</v>
      </c>
      <c r="AA410">
        <v>2724.8134829321207</v>
      </c>
      <c r="AB410">
        <v>6.8682083113720402</v>
      </c>
      <c r="AC410">
        <v>2192.597238909756</v>
      </c>
      <c r="AD410">
        <v>9.4580964806696262</v>
      </c>
      <c r="AE410">
        <v>2002.9648709686662</v>
      </c>
      <c r="AF410">
        <v>6.8643149680099951</v>
      </c>
      <c r="AG410">
        <v>2088.0190878505155</v>
      </c>
      <c r="AH410">
        <v>9.4502608885311687</v>
      </c>
      <c r="AI410">
        <v>1882.7234593951266</v>
      </c>
      <c r="AJ410">
        <v>6.859578419768142</v>
      </c>
    </row>
    <row r="411" spans="4:36" x14ac:dyDescent="0.45">
      <c r="D411">
        <v>404</v>
      </c>
      <c r="E411">
        <v>11.657276325158112</v>
      </c>
      <c r="F411">
        <v>0.42799343093214648</v>
      </c>
      <c r="G411">
        <v>0.14619285682340402</v>
      </c>
      <c r="H411">
        <v>17.768537387086319</v>
      </c>
      <c r="I411">
        <v>11.836762234313406</v>
      </c>
      <c r="J411">
        <v>0.28358868275630517</v>
      </c>
      <c r="K411">
        <v>9.6605822055294999E-2</v>
      </c>
      <c r="L411">
        <v>17.783043260874994</v>
      </c>
      <c r="M411">
        <v>11.740157916783689</v>
      </c>
      <c r="N411">
        <v>0.36133012600726205</v>
      </c>
      <c r="O411">
        <v>0.12326762145885999</v>
      </c>
      <c r="P411">
        <v>17.775244335750198</v>
      </c>
      <c r="Q411">
        <v>11.710720323300022</v>
      </c>
      <c r="R411">
        <v>0.38501107404749368</v>
      </c>
      <c r="S411">
        <v>0.13140473082242202</v>
      </c>
      <c r="T411">
        <v>17.772863871830065</v>
      </c>
      <c r="U411">
        <v>1499.2124381898038</v>
      </c>
      <c r="V411">
        <v>9.2778256945311615</v>
      </c>
      <c r="W411">
        <v>1259.9507422530999</v>
      </c>
      <c r="X411">
        <v>6.7542545413167545</v>
      </c>
      <c r="Y411">
        <v>2875.8890257963062</v>
      </c>
      <c r="Z411">
        <v>9.3053368526587388</v>
      </c>
      <c r="AA411">
        <v>2717.2202433632419</v>
      </c>
      <c r="AB411">
        <v>6.7711911286925943</v>
      </c>
      <c r="AC411">
        <v>2218.3275690512369</v>
      </c>
      <c r="AD411">
        <v>9.2905239200154188</v>
      </c>
      <c r="AE411">
        <v>2017.4852159256093</v>
      </c>
      <c r="AF411">
        <v>6.7620801586583816</v>
      </c>
      <c r="AG411">
        <v>2106.8656681358557</v>
      </c>
      <c r="AH411">
        <v>9.2860126908431422</v>
      </c>
      <c r="AI411">
        <v>1893.357845571792</v>
      </c>
      <c r="AJ411">
        <v>6.7593016274896316</v>
      </c>
    </row>
    <row r="412" spans="4:36" x14ac:dyDescent="0.45">
      <c r="D412">
        <v>405</v>
      </c>
      <c r="E412">
        <v>13.533569883903162</v>
      </c>
      <c r="F412">
        <v>0.52690625918134704</v>
      </c>
      <c r="G412">
        <v>0.20064714325504485</v>
      </c>
      <c r="H412">
        <v>15.738876713660428</v>
      </c>
      <c r="I412">
        <v>13.821199970983594</v>
      </c>
      <c r="J412">
        <v>0.31967017915446805</v>
      </c>
      <c r="K412">
        <v>0.12125621807418888</v>
      </c>
      <c r="L412">
        <v>15.737873631787757</v>
      </c>
      <c r="M412">
        <v>13.701105450611973</v>
      </c>
      <c r="N412">
        <v>0.4062549224334745</v>
      </c>
      <c r="O412">
        <v>0.15434966564180388</v>
      </c>
      <c r="P412">
        <v>15.738289961312748</v>
      </c>
      <c r="Q412">
        <v>13.687651088134814</v>
      </c>
      <c r="R412">
        <v>0.41595005292911891</v>
      </c>
      <c r="S412">
        <v>0.15806203494898927</v>
      </c>
      <c r="T412">
        <v>15.738336823987082</v>
      </c>
      <c r="U412">
        <v>1655.4381847307639</v>
      </c>
      <c r="V412">
        <v>10.683595965148308</v>
      </c>
      <c r="W412">
        <v>1351.8471147425366</v>
      </c>
      <c r="X412">
        <v>7.5493846188766804</v>
      </c>
      <c r="Y412">
        <v>2937.8690963784293</v>
      </c>
      <c r="Z412">
        <v>10.735976998104865</v>
      </c>
      <c r="AA412">
        <v>2750.6569105171293</v>
      </c>
      <c r="AB412">
        <v>7.5791101056766577</v>
      </c>
      <c r="AC412">
        <v>2272.6302060140997</v>
      </c>
      <c r="AD412">
        <v>10.714108687877456</v>
      </c>
      <c r="AE412">
        <v>2042.8114263848406</v>
      </c>
      <c r="AF412">
        <v>7.566714287598165</v>
      </c>
      <c r="AG412">
        <v>2181.6745632175157</v>
      </c>
      <c r="AH412">
        <v>10.711658536302211</v>
      </c>
      <c r="AI412">
        <v>1933.7339925921103</v>
      </c>
      <c r="AJ412">
        <v>7.5653241913497506</v>
      </c>
    </row>
    <row r="413" spans="4:36" x14ac:dyDescent="0.45">
      <c r="D413">
        <v>406</v>
      </c>
      <c r="E413">
        <v>11.782041303125775</v>
      </c>
      <c r="F413">
        <v>0.47494693793744081</v>
      </c>
      <c r="G413">
        <v>0.16935100758417612</v>
      </c>
      <c r="H413">
        <v>17.573660751352616</v>
      </c>
      <c r="I413">
        <v>11.995348869772458</v>
      </c>
      <c r="J413">
        <v>0.29703706407970487</v>
      </c>
      <c r="K413">
        <v>0.10556918624891597</v>
      </c>
      <c r="L413">
        <v>17.602044879898923</v>
      </c>
      <c r="M413">
        <v>11.889047031990264</v>
      </c>
      <c r="N413">
        <v>0.3857215044543606</v>
      </c>
      <c r="O413">
        <v>0.13731043221274267</v>
      </c>
      <c r="P413">
        <v>17.587921031342621</v>
      </c>
      <c r="Q413">
        <v>11.842478702702227</v>
      </c>
      <c r="R413">
        <v>0.42455767856048565</v>
      </c>
      <c r="S413">
        <v>0.15124326182490463</v>
      </c>
      <c r="T413">
        <v>17.581720356912395</v>
      </c>
      <c r="U413">
        <v>1527.8888068650531</v>
      </c>
      <c r="V413">
        <v>9.2694525476351206</v>
      </c>
      <c r="W413">
        <v>1276.2056115399089</v>
      </c>
      <c r="X413">
        <v>6.7255677228161383</v>
      </c>
      <c r="Y413">
        <v>2871.6037431577388</v>
      </c>
      <c r="Z413">
        <v>9.289904176626143</v>
      </c>
      <c r="AA413">
        <v>2712.4962671396311</v>
      </c>
      <c r="AB413">
        <v>6.7389177991815989</v>
      </c>
      <c r="AC413">
        <v>2215.020576479601</v>
      </c>
      <c r="AD413">
        <v>9.2796995745843187</v>
      </c>
      <c r="AE413">
        <v>2012.3982570042594</v>
      </c>
      <c r="AF413">
        <v>6.7322666435079501</v>
      </c>
      <c r="AG413">
        <v>2118.4565982146937</v>
      </c>
      <c r="AH413">
        <v>9.2752370022256159</v>
      </c>
      <c r="AI413">
        <v>1897.8126850767628</v>
      </c>
      <c r="AJ413">
        <v>6.729351772068207</v>
      </c>
    </row>
    <row r="414" spans="4:36" x14ac:dyDescent="0.45">
      <c r="D414">
        <v>407</v>
      </c>
      <c r="E414">
        <v>11.927347715532605</v>
      </c>
      <c r="F414">
        <v>0.41011032681326504</v>
      </c>
      <c r="G414">
        <v>0.15680696849362413</v>
      </c>
      <c r="H414">
        <v>17.505734989160523</v>
      </c>
      <c r="I414">
        <v>12.125055954586475</v>
      </c>
      <c r="J414">
        <v>0.262852181741344</v>
      </c>
      <c r="K414">
        <v>0.10019879678293697</v>
      </c>
      <c r="L414">
        <v>17.51189306688924</v>
      </c>
      <c r="M414">
        <v>12.028821933712518</v>
      </c>
      <c r="N414">
        <v>0.33455775746094818</v>
      </c>
      <c r="O414">
        <v>0.12772011245535156</v>
      </c>
      <c r="P414">
        <v>17.508900196371194</v>
      </c>
      <c r="Q414">
        <v>12.007957947280817</v>
      </c>
      <c r="R414">
        <v>0.35009687304005005</v>
      </c>
      <c r="S414">
        <v>0.13369498848388114</v>
      </c>
      <c r="T414">
        <v>17.508250191195248</v>
      </c>
      <c r="U414">
        <v>1521.3213204593042</v>
      </c>
      <c r="V414">
        <v>9.429122730874905</v>
      </c>
      <c r="W414">
        <v>1275.2903808124711</v>
      </c>
      <c r="X414">
        <v>6.8359009737495509</v>
      </c>
      <c r="Y414">
        <v>2870.4054780379342</v>
      </c>
      <c r="Z414">
        <v>9.4630551211684946</v>
      </c>
      <c r="AA414">
        <v>2713.4901440777126</v>
      </c>
      <c r="AB414">
        <v>6.856094400835949</v>
      </c>
      <c r="AC414">
        <v>2204.7862002570405</v>
      </c>
      <c r="AD414">
        <v>9.4465359172669263</v>
      </c>
      <c r="AE414">
        <v>2007.9811141439679</v>
      </c>
      <c r="AF414">
        <v>6.8462729709763908</v>
      </c>
      <c r="AG414">
        <v>2094.2931912552663</v>
      </c>
      <c r="AH414">
        <v>9.4429551478865541</v>
      </c>
      <c r="AI414">
        <v>1885.1426143673418</v>
      </c>
      <c r="AJ414">
        <v>6.8441417269056082</v>
      </c>
    </row>
    <row r="415" spans="4:36" x14ac:dyDescent="0.45">
      <c r="D415">
        <v>408</v>
      </c>
      <c r="E415">
        <v>12.253873267751477</v>
      </c>
      <c r="F415">
        <v>0.48820752510509186</v>
      </c>
      <c r="G415">
        <v>0.17657458548677532</v>
      </c>
      <c r="H415">
        <v>17.081344621656644</v>
      </c>
      <c r="I415">
        <v>12.463400198756647</v>
      </c>
      <c r="J415">
        <v>0.31579010492752729</v>
      </c>
      <c r="K415">
        <v>0.11386465561009584</v>
      </c>
      <c r="L415">
        <v>17.106945040705725</v>
      </c>
      <c r="M415">
        <v>12.352763135228216</v>
      </c>
      <c r="N415">
        <v>0.4068550526192562</v>
      </c>
      <c r="O415">
        <v>0.1469372249765668</v>
      </c>
      <c r="P415">
        <v>17.093444587175963</v>
      </c>
      <c r="Q415">
        <v>12.377974917311841</v>
      </c>
      <c r="R415">
        <v>0.38610782062482463</v>
      </c>
      <c r="S415">
        <v>0.13939280571967369</v>
      </c>
      <c r="T415">
        <v>17.096524456343658</v>
      </c>
      <c r="U415">
        <v>1529.6217723575292</v>
      </c>
      <c r="V415">
        <v>9.8168016691501272</v>
      </c>
      <c r="W415">
        <v>1278.9557572360131</v>
      </c>
      <c r="X415">
        <v>7.0708295851720973</v>
      </c>
      <c r="Y415">
        <v>2873.9042250413459</v>
      </c>
      <c r="Z415">
        <v>9.8429903673526429</v>
      </c>
      <c r="AA415">
        <v>2714.283435117783</v>
      </c>
      <c r="AB415">
        <v>7.0871794825785397</v>
      </c>
      <c r="AC415">
        <v>2206.7721298821975</v>
      </c>
      <c r="AD415">
        <v>9.8291520667218322</v>
      </c>
      <c r="AE415">
        <v>2006.9095657043265</v>
      </c>
      <c r="AF415">
        <v>7.0785498000586013</v>
      </c>
      <c r="AG415">
        <v>2084.3200230154935</v>
      </c>
      <c r="AH415">
        <v>9.8323035924930444</v>
      </c>
      <c r="AI415">
        <v>1878.1082900809495</v>
      </c>
      <c r="AJ415">
        <v>7.0805170206067292</v>
      </c>
    </row>
    <row r="416" spans="4:36" x14ac:dyDescent="0.45">
      <c r="D416">
        <v>409</v>
      </c>
      <c r="E416">
        <v>11.272100106160384</v>
      </c>
      <c r="F416">
        <v>0.39794399441681927</v>
      </c>
      <c r="G416">
        <v>0.12452846972082514</v>
      </c>
      <c r="H416">
        <v>18.205427429701967</v>
      </c>
      <c r="I416">
        <v>11.423061022912629</v>
      </c>
      <c r="J416">
        <v>0.27808070896619191</v>
      </c>
      <c r="K416">
        <v>8.6819291056176862E-2</v>
      </c>
      <c r="L416">
        <v>18.212038977064996</v>
      </c>
      <c r="M416">
        <v>11.362007765428029</v>
      </c>
      <c r="N416">
        <v>0.3265708194319229</v>
      </c>
      <c r="O416">
        <v>0.10205316146746313</v>
      </c>
      <c r="P416">
        <v>18.20936825367259</v>
      </c>
      <c r="Q416">
        <v>11.345300895368355</v>
      </c>
      <c r="R416">
        <v>0.33983662495408939</v>
      </c>
      <c r="S416">
        <v>0.10622580686266656</v>
      </c>
      <c r="T416">
        <v>18.208636672814894</v>
      </c>
      <c r="U416">
        <v>1463.2910018457767</v>
      </c>
      <c r="V416">
        <v>8.9555903121022524</v>
      </c>
      <c r="W416">
        <v>1244.9128868797995</v>
      </c>
      <c r="X416">
        <v>6.5656430459922221</v>
      </c>
      <c r="Y416">
        <v>2844.3972615832681</v>
      </c>
      <c r="Z416">
        <v>8.9799944622385599</v>
      </c>
      <c r="AA416">
        <v>2700.4906249550772</v>
      </c>
      <c r="AB416">
        <v>6.580399252418708</v>
      </c>
      <c r="AC416">
        <v>2155.5292505291013</v>
      </c>
      <c r="AD416">
        <v>8.9701229210217743</v>
      </c>
      <c r="AE416">
        <v>1981.5448604953799</v>
      </c>
      <c r="AF416">
        <v>6.5744358405268937</v>
      </c>
      <c r="AG416">
        <v>2018.5793298889673</v>
      </c>
      <c r="AH416">
        <v>8.967422043720406</v>
      </c>
      <c r="AI416">
        <v>1839.8948302218744</v>
      </c>
      <c r="AJ416">
        <v>6.5728029374181309</v>
      </c>
    </row>
    <row r="417" spans="4:36" x14ac:dyDescent="0.45">
      <c r="D417">
        <v>410</v>
      </c>
      <c r="E417">
        <v>13.452785543951824</v>
      </c>
      <c r="F417">
        <v>0.46948489896509921</v>
      </c>
      <c r="G417">
        <v>0.16667343912336957</v>
      </c>
      <c r="H417">
        <v>15.911056117959713</v>
      </c>
      <c r="I417">
        <v>13.690883480831975</v>
      </c>
      <c r="J417">
        <v>0.30428589096957437</v>
      </c>
      <c r="K417">
        <v>0.10766818951662373</v>
      </c>
      <c r="L417">
        <v>15.897162438681823</v>
      </c>
      <c r="M417">
        <v>13.596547181090841</v>
      </c>
      <c r="N417">
        <v>0.36978045427133005</v>
      </c>
      <c r="O417">
        <v>0.13101384566551286</v>
      </c>
      <c r="P417">
        <v>15.902658518972315</v>
      </c>
      <c r="Q417">
        <v>13.556199957418739</v>
      </c>
      <c r="R417">
        <v>0.39777566356459992</v>
      </c>
      <c r="S417">
        <v>0.14101173495642111</v>
      </c>
      <c r="T417">
        <v>15.905012644060243</v>
      </c>
      <c r="U417">
        <v>1600.8251882581553</v>
      </c>
      <c r="V417">
        <v>10.655352061992772</v>
      </c>
      <c r="W417">
        <v>1319.4157395495649</v>
      </c>
      <c r="X417">
        <v>7.5465350776083238</v>
      </c>
      <c r="Y417">
        <v>2927.7886449768735</v>
      </c>
      <c r="Z417">
        <v>10.707421102457065</v>
      </c>
      <c r="AA417">
        <v>2746.0163796074266</v>
      </c>
      <c r="AB417">
        <v>7.5758161947853289</v>
      </c>
      <c r="AC417">
        <v>2263.8038232663225</v>
      </c>
      <c r="AD417">
        <v>10.686795688669585</v>
      </c>
      <c r="AE417">
        <v>2040.9803154922815</v>
      </c>
      <c r="AF417">
        <v>7.564228391372632</v>
      </c>
      <c r="AG417">
        <v>2163.3366638009338</v>
      </c>
      <c r="AH417">
        <v>10.677972391042019</v>
      </c>
      <c r="AI417">
        <v>1923.8626134837648</v>
      </c>
      <c r="AJ417">
        <v>7.5592669099101801</v>
      </c>
    </row>
    <row r="418" spans="4:36" x14ac:dyDescent="0.45">
      <c r="D418">
        <v>411</v>
      </c>
      <c r="E418">
        <v>11.580714659755921</v>
      </c>
      <c r="F418">
        <v>0.43648079509491755</v>
      </c>
      <c r="G418">
        <v>0.15568472130383773</v>
      </c>
      <c r="H418">
        <v>17.827119823845326</v>
      </c>
      <c r="I418">
        <v>11.7948095611741</v>
      </c>
      <c r="J418">
        <v>0.26830844810184851</v>
      </c>
      <c r="K418">
        <v>9.5386674555081277E-2</v>
      </c>
      <c r="L418">
        <v>17.841495316168974</v>
      </c>
      <c r="M418">
        <v>11.710843388594853</v>
      </c>
      <c r="N418">
        <v>0.33429193487359382</v>
      </c>
      <c r="O418">
        <v>0.11899716575811421</v>
      </c>
      <c r="P418">
        <v>17.835867510773454</v>
      </c>
      <c r="Q418">
        <v>11.678465104501527</v>
      </c>
      <c r="R418">
        <v>0.35972636730485275</v>
      </c>
      <c r="S418">
        <v>0.12811464279428067</v>
      </c>
      <c r="T418">
        <v>17.833693885399345</v>
      </c>
      <c r="U418">
        <v>1512.4858163047732</v>
      </c>
      <c r="V418">
        <v>9.2234589624294827</v>
      </c>
      <c r="W418">
        <v>1272.7320920693096</v>
      </c>
      <c r="X418">
        <v>6.7221999379601636</v>
      </c>
      <c r="Y418">
        <v>2866.6722267903697</v>
      </c>
      <c r="Z418">
        <v>9.2587650331806284</v>
      </c>
      <c r="AA418">
        <v>2714.1410310450606</v>
      </c>
      <c r="AB418">
        <v>6.7437185957874757</v>
      </c>
      <c r="AC418">
        <v>2163.7964689812216</v>
      </c>
      <c r="AD418">
        <v>9.2449120347830736</v>
      </c>
      <c r="AE418">
        <v>1982.8123266848499</v>
      </c>
      <c r="AF418">
        <v>6.7352868678104985</v>
      </c>
      <c r="AG418">
        <v>2043.7606282398415</v>
      </c>
      <c r="AH418">
        <v>9.2395723158560603</v>
      </c>
      <c r="AI418">
        <v>1852.4394059829531</v>
      </c>
      <c r="AJ418">
        <v>6.7320328578490161</v>
      </c>
    </row>
    <row r="419" spans="4:36" x14ac:dyDescent="0.45">
      <c r="D419">
        <v>412</v>
      </c>
      <c r="E419">
        <v>13.002282796478493</v>
      </c>
      <c r="F419">
        <v>0.52333858524206955</v>
      </c>
      <c r="G419">
        <v>0.18066108143911963</v>
      </c>
      <c r="H419">
        <v>16.293717536840315</v>
      </c>
      <c r="I419">
        <v>13.308804829896491</v>
      </c>
      <c r="J419">
        <v>0.29802390168040915</v>
      </c>
      <c r="K419">
        <v>0.10244082066900842</v>
      </c>
      <c r="L419">
        <v>16.290730447754083</v>
      </c>
      <c r="M419">
        <v>13.187667283203314</v>
      </c>
      <c r="N419">
        <v>0.38713119073160263</v>
      </c>
      <c r="O419">
        <v>0.13329406302593982</v>
      </c>
      <c r="P419">
        <v>16.291907463039131</v>
      </c>
      <c r="Q419">
        <v>13.153535962922266</v>
      </c>
      <c r="R419">
        <v>0.41222300682938745</v>
      </c>
      <c r="S419">
        <v>0.14200111843049182</v>
      </c>
      <c r="T419">
        <v>16.292239911817852</v>
      </c>
      <c r="U419">
        <v>1574.975316680835</v>
      </c>
      <c r="V419">
        <v>10.295748435121501</v>
      </c>
      <c r="W419">
        <v>1299.4610419239818</v>
      </c>
      <c r="X419">
        <v>7.3336095599927464</v>
      </c>
      <c r="Y419">
        <v>2923.6706435627038</v>
      </c>
      <c r="Z419">
        <v>10.357256148940275</v>
      </c>
      <c r="AA419">
        <v>2745.276903345442</v>
      </c>
      <c r="AB419">
        <v>7.3688593678879748</v>
      </c>
      <c r="AC419">
        <v>2249.0464430763659</v>
      </c>
      <c r="AD419">
        <v>10.332950225164137</v>
      </c>
      <c r="AE419">
        <v>2031.1980117163127</v>
      </c>
      <c r="AF419">
        <v>7.3549486711219361</v>
      </c>
      <c r="AG419">
        <v>2163.5942464335126</v>
      </c>
      <c r="AH419">
        <v>10.326101414079433</v>
      </c>
      <c r="AI419">
        <v>1925.2122825145627</v>
      </c>
      <c r="AJ419">
        <v>7.3510245434759458</v>
      </c>
    </row>
    <row r="420" spans="4:36" x14ac:dyDescent="0.45">
      <c r="D420">
        <v>413</v>
      </c>
      <c r="E420">
        <v>12.560862570615042</v>
      </c>
      <c r="F420">
        <v>0.44118267859434102</v>
      </c>
      <c r="G420">
        <v>0.16617266621712912</v>
      </c>
      <c r="H420">
        <v>16.831782084573508</v>
      </c>
      <c r="I420">
        <v>12.788414866293923</v>
      </c>
      <c r="J420">
        <v>0.28070477958794215</v>
      </c>
      <c r="K420">
        <v>0.10537816324321625</v>
      </c>
      <c r="L420">
        <v>16.825502190874918</v>
      </c>
      <c r="M420">
        <v>12.675510820456196</v>
      </c>
      <c r="N420">
        <v>0.36036885930886992</v>
      </c>
      <c r="O420">
        <v>0.13550647387031428</v>
      </c>
      <c r="P420">
        <v>16.828613846364615</v>
      </c>
      <c r="Q420">
        <v>12.663770458440796</v>
      </c>
      <c r="R420">
        <v>0.36864822893773841</v>
      </c>
      <c r="S420">
        <v>0.13864342418339548</v>
      </c>
      <c r="T420">
        <v>16.828937888438073</v>
      </c>
      <c r="U420">
        <v>1528.858262412894</v>
      </c>
      <c r="V420">
        <v>9.9230893848461506</v>
      </c>
      <c r="W420">
        <v>1278.8606621391014</v>
      </c>
      <c r="X420">
        <v>7.1208893102786774</v>
      </c>
      <c r="Y420">
        <v>2892.9115913998635</v>
      </c>
      <c r="Z420">
        <v>9.9667017469884627</v>
      </c>
      <c r="AA420">
        <v>2728.6170204122977</v>
      </c>
      <c r="AB420">
        <v>7.1458893186295196</v>
      </c>
      <c r="AC420">
        <v>2194.2224677254917</v>
      </c>
      <c r="AD420">
        <v>9.9450654567447039</v>
      </c>
      <c r="AE420">
        <v>1998.8674624757759</v>
      </c>
      <c r="AF420">
        <v>7.1334974257802468</v>
      </c>
      <c r="AG420">
        <v>2095.5299264514283</v>
      </c>
      <c r="AH420">
        <v>9.9428152913081398</v>
      </c>
      <c r="AI420">
        <v>1885.0051431477666</v>
      </c>
      <c r="AJ420">
        <v>7.1322074672828748</v>
      </c>
    </row>
    <row r="421" spans="4:36" x14ac:dyDescent="0.45">
      <c r="D421">
        <v>414</v>
      </c>
      <c r="E421">
        <v>14.626071824992092</v>
      </c>
      <c r="F421">
        <v>0.49367549689567047</v>
      </c>
      <c r="G421">
        <v>0.18987149657357133</v>
      </c>
      <c r="H421">
        <v>14.690381181538662</v>
      </c>
      <c r="I421">
        <v>14.866922184263657</v>
      </c>
      <c r="J421">
        <v>0.33663976537876034</v>
      </c>
      <c r="K421">
        <v>0.12907467820656726</v>
      </c>
      <c r="L421">
        <v>14.66736337215101</v>
      </c>
      <c r="M421">
        <v>14.752839883408727</v>
      </c>
      <c r="N421">
        <v>0.4110676411837742</v>
      </c>
      <c r="O421">
        <v>0.15784196618391114</v>
      </c>
      <c r="P421">
        <v>14.678250509223584</v>
      </c>
      <c r="Q421">
        <v>14.713782456245356</v>
      </c>
      <c r="R421">
        <v>0.43653009940551973</v>
      </c>
      <c r="S421">
        <v>0.1677031685156572</v>
      </c>
      <c r="T421">
        <v>14.681984275833457</v>
      </c>
      <c r="U421">
        <v>1678.7424811035487</v>
      </c>
      <c r="V421">
        <v>11.579283022387655</v>
      </c>
      <c r="W421">
        <v>1364.8960167204448</v>
      </c>
      <c r="X421">
        <v>8.0705285155229234</v>
      </c>
      <c r="Y421">
        <v>2975.7259520881835</v>
      </c>
      <c r="Z421">
        <v>11.63927778324992</v>
      </c>
      <c r="AA421">
        <v>2772.4740388101891</v>
      </c>
      <c r="AB421">
        <v>8.1033447352950851</v>
      </c>
      <c r="AC421">
        <v>2294.8526946511297</v>
      </c>
      <c r="AD421">
        <v>11.610869927825126</v>
      </c>
      <c r="AE421">
        <v>2053.927752529632</v>
      </c>
      <c r="AF421">
        <v>8.0878166156582711</v>
      </c>
      <c r="AG421">
        <v>2211.4510628477601</v>
      </c>
      <c r="AH421">
        <v>11.601140227563576</v>
      </c>
      <c r="AI421">
        <v>1948.5146040558436</v>
      </c>
      <c r="AJ421">
        <v>8.0824938829517077</v>
      </c>
    </row>
    <row r="422" spans="4:36" x14ac:dyDescent="0.45">
      <c r="D422">
        <v>415</v>
      </c>
      <c r="E422">
        <v>11.81932105620908</v>
      </c>
      <c r="F422">
        <v>0.3879412755877803</v>
      </c>
      <c r="G422">
        <v>0.13810024061247483</v>
      </c>
      <c r="H422">
        <v>17.654637427590679</v>
      </c>
      <c r="I422">
        <v>11.989876392815729</v>
      </c>
      <c r="J422">
        <v>0.26480640544156087</v>
      </c>
      <c r="K422">
        <v>9.4021574337619207E-2</v>
      </c>
      <c r="L422">
        <v>17.651295627405105</v>
      </c>
      <c r="M422">
        <v>11.906059934065203</v>
      </c>
      <c r="N422">
        <v>0.32534127894241599</v>
      </c>
      <c r="O422">
        <v>0.11566224397676017</v>
      </c>
      <c r="P422">
        <v>17.65293654301562</v>
      </c>
      <c r="Q422">
        <v>11.880696453387296</v>
      </c>
      <c r="R422">
        <v>0.34365107465587724</v>
      </c>
      <c r="S422">
        <v>0.12221886104618242</v>
      </c>
      <c r="T422">
        <v>17.653433610910643</v>
      </c>
      <c r="U422">
        <v>1487.9128154151467</v>
      </c>
      <c r="V422">
        <v>9.255504745705279</v>
      </c>
      <c r="W422">
        <v>1259.4349518816698</v>
      </c>
      <c r="X422">
        <v>6.7260041968660165</v>
      </c>
      <c r="Y422">
        <v>2881.1756689351473</v>
      </c>
      <c r="Z422">
        <v>9.2895136835911813</v>
      </c>
      <c r="AA422">
        <v>2725.5860920846208</v>
      </c>
      <c r="AB422">
        <v>6.7458903860481207</v>
      </c>
      <c r="AC422">
        <v>2173.2493480315788</v>
      </c>
      <c r="AD422">
        <v>9.2728011705123965</v>
      </c>
      <c r="AE422">
        <v>1991.2472118641826</v>
      </c>
      <c r="AF422">
        <v>6.7361253195803936</v>
      </c>
      <c r="AG422">
        <v>2067.6643822671867</v>
      </c>
      <c r="AH422">
        <v>9.2677436165074951</v>
      </c>
      <c r="AI422">
        <v>1872.0702042786277</v>
      </c>
      <c r="AJ422">
        <v>6.7331674308824789</v>
      </c>
    </row>
    <row r="423" spans="4:36" x14ac:dyDescent="0.45">
      <c r="D423">
        <v>416</v>
      </c>
      <c r="E423">
        <v>11.677168178974545</v>
      </c>
      <c r="F423">
        <v>0.42340060417049091</v>
      </c>
      <c r="G423">
        <v>0.16367503468349842</v>
      </c>
      <c r="H423">
        <v>17.735756182171478</v>
      </c>
      <c r="I423">
        <v>11.88256697678637</v>
      </c>
      <c r="J423">
        <v>0.26497274326126724</v>
      </c>
      <c r="K423">
        <v>0.10210721371750892</v>
      </c>
      <c r="L423">
        <v>17.750353066234869</v>
      </c>
      <c r="M423">
        <v>11.763062940029375</v>
      </c>
      <c r="N423">
        <v>0.35717576366127435</v>
      </c>
      <c r="O423">
        <v>0.13789079781354144</v>
      </c>
      <c r="P423">
        <v>17.741870498495818</v>
      </c>
      <c r="Q423">
        <v>11.776796277380829</v>
      </c>
      <c r="R423">
        <v>0.34658370167577818</v>
      </c>
      <c r="S423">
        <v>0.1337732851143946</v>
      </c>
      <c r="T423">
        <v>17.742846735828987</v>
      </c>
      <c r="U423">
        <v>1471.9987044600248</v>
      </c>
      <c r="V423">
        <v>9.2699094235038739</v>
      </c>
      <c r="W423">
        <v>1243.1175786121262</v>
      </c>
      <c r="X423">
        <v>6.7450274508161483</v>
      </c>
      <c r="Y423">
        <v>2862.8939486366621</v>
      </c>
      <c r="Z423">
        <v>9.300738831262457</v>
      </c>
      <c r="AA423">
        <v>2711.0363769209871</v>
      </c>
      <c r="AB423">
        <v>6.7638338258303241</v>
      </c>
      <c r="AC423">
        <v>2181.7944028206684</v>
      </c>
      <c r="AD423">
        <v>9.2827960442944573</v>
      </c>
      <c r="AE423">
        <v>1993.3735450325175</v>
      </c>
      <c r="AF423">
        <v>6.7528983587380793</v>
      </c>
      <c r="AG423">
        <v>2059.3097850381746</v>
      </c>
      <c r="AH423">
        <v>9.2848572041033979</v>
      </c>
      <c r="AI423">
        <v>1864.1106863110899</v>
      </c>
      <c r="AJ423">
        <v>6.7541559516099312</v>
      </c>
    </row>
    <row r="424" spans="4:36" x14ac:dyDescent="0.45">
      <c r="D424">
        <v>417</v>
      </c>
      <c r="E424">
        <v>12.111012007362493</v>
      </c>
      <c r="F424">
        <v>0.5079395706743276</v>
      </c>
      <c r="G424">
        <v>0.19143389641353883</v>
      </c>
      <c r="H424">
        <v>17.189614525549644</v>
      </c>
      <c r="I424">
        <v>12.371871299195769</v>
      </c>
      <c r="J424">
        <v>0.29549816424152486</v>
      </c>
      <c r="K424">
        <v>0.11093450437449194</v>
      </c>
      <c r="L424">
        <v>17.221696032188198</v>
      </c>
      <c r="M424">
        <v>12.268406817908048</v>
      </c>
      <c r="N424">
        <v>0.37979437883334533</v>
      </c>
      <c r="O424">
        <v>0.14280028966186589</v>
      </c>
      <c r="P424">
        <v>17.208998513596747</v>
      </c>
      <c r="Q424">
        <v>12.222649234703871</v>
      </c>
      <c r="R424">
        <v>0.41705981644765211</v>
      </c>
      <c r="S424">
        <v>0.15691921413198257</v>
      </c>
      <c r="T424">
        <v>17.203371734716484</v>
      </c>
      <c r="U424">
        <v>1530.4452851691892</v>
      </c>
      <c r="V424">
        <v>9.744236915088365</v>
      </c>
      <c r="W424">
        <v>1275.795292771732</v>
      </c>
      <c r="X424">
        <v>7.0289614004044232</v>
      </c>
      <c r="Y424">
        <v>2878.7454868502014</v>
      </c>
      <c r="Z424">
        <v>9.7706445672761824</v>
      </c>
      <c r="AA424">
        <v>2717.9671311514398</v>
      </c>
      <c r="AB424">
        <v>7.0457755908999262</v>
      </c>
      <c r="AC424">
        <v>2212.5883977809467</v>
      </c>
      <c r="AD424">
        <v>9.7601553635899663</v>
      </c>
      <c r="AE424">
        <v>2011.3815724076969</v>
      </c>
      <c r="AF424">
        <v>7.0391100509602511</v>
      </c>
      <c r="AG424">
        <v>2120.6746648026497</v>
      </c>
      <c r="AH424">
        <v>9.7555227950927659</v>
      </c>
      <c r="AI424">
        <v>1900.3592418090798</v>
      </c>
      <c r="AJ424">
        <v>7.0361607460740272</v>
      </c>
    </row>
    <row r="425" spans="4:36" x14ac:dyDescent="0.45">
      <c r="D425">
        <v>418</v>
      </c>
      <c r="E425">
        <v>12.107250110840303</v>
      </c>
      <c r="F425">
        <v>0.41342020997911921</v>
      </c>
      <c r="G425">
        <v>0.13969619187627375</v>
      </c>
      <c r="H425">
        <v>17.339633487304297</v>
      </c>
      <c r="I425">
        <v>12.280159449975418</v>
      </c>
      <c r="J425">
        <v>0.28836801466709905</v>
      </c>
      <c r="K425">
        <v>9.7178132874691389E-2</v>
      </c>
      <c r="L425">
        <v>17.334294402482808</v>
      </c>
      <c r="M425">
        <v>12.214827349416009</v>
      </c>
      <c r="N425">
        <v>0.33563904662081068</v>
      </c>
      <c r="O425">
        <v>0.11322307379245591</v>
      </c>
      <c r="P425">
        <v>17.33631053017071</v>
      </c>
      <c r="Q425">
        <v>12.190278897928224</v>
      </c>
      <c r="R425">
        <v>0.35339441349406275</v>
      </c>
      <c r="S425">
        <v>0.11925822702738853</v>
      </c>
      <c r="T425">
        <v>17.337068461550338</v>
      </c>
      <c r="U425">
        <v>1550.3972386220169</v>
      </c>
      <c r="V425">
        <v>9.5051957873974544</v>
      </c>
      <c r="W425">
        <v>1299.5407041819917</v>
      </c>
      <c r="X425">
        <v>6.8731380249099683</v>
      </c>
      <c r="Y425">
        <v>2887.2761338778837</v>
      </c>
      <c r="Z425">
        <v>9.5393159245431747</v>
      </c>
      <c r="AA425">
        <v>2725.8753063173349</v>
      </c>
      <c r="AB425">
        <v>6.8929615657832022</v>
      </c>
      <c r="AC425">
        <v>2171.5346869676005</v>
      </c>
      <c r="AD425">
        <v>9.5264245780955932</v>
      </c>
      <c r="AE425">
        <v>1986.4605293805619</v>
      </c>
      <c r="AF425">
        <v>6.8854784815620258</v>
      </c>
      <c r="AG425">
        <v>2101.4294814095965</v>
      </c>
      <c r="AH425">
        <v>9.5215804792290601</v>
      </c>
      <c r="AI425">
        <v>1892.9126339920349</v>
      </c>
      <c r="AJ425">
        <v>6.8826645189715014</v>
      </c>
    </row>
    <row r="426" spans="4:36" x14ac:dyDescent="0.45">
      <c r="D426">
        <v>419</v>
      </c>
      <c r="E426">
        <v>13.207358484646814</v>
      </c>
      <c r="F426">
        <v>0.44149115924328119</v>
      </c>
      <c r="G426">
        <v>0.14873780580087853</v>
      </c>
      <c r="H426">
        <v>16.202412550309035</v>
      </c>
      <c r="I426">
        <v>13.447366830826066</v>
      </c>
      <c r="J426">
        <v>0.27799889245134918</v>
      </c>
      <c r="K426">
        <v>9.3344042787233628E-2</v>
      </c>
      <c r="L426">
        <v>16.181290233935368</v>
      </c>
      <c r="M426">
        <v>13.299628756383749</v>
      </c>
      <c r="N426">
        <v>0.3786805504307687</v>
      </c>
      <c r="O426">
        <v>0.12741192235298818</v>
      </c>
      <c r="P426">
        <v>16.194278770832476</v>
      </c>
      <c r="Q426">
        <v>13.293247122138796</v>
      </c>
      <c r="R426">
        <v>0.38302643593006286</v>
      </c>
      <c r="S426">
        <v>0.12888566060626228</v>
      </c>
      <c r="T426">
        <v>16.194840781324888</v>
      </c>
      <c r="U426">
        <v>1604.1042633375794</v>
      </c>
      <c r="V426">
        <v>10.330018122305663</v>
      </c>
      <c r="W426">
        <v>1326.699922670228</v>
      </c>
      <c r="X426">
        <v>7.3457957888015368</v>
      </c>
      <c r="Y426">
        <v>2916.6183080774144</v>
      </c>
      <c r="Z426">
        <v>10.384855547544088</v>
      </c>
      <c r="AA426">
        <v>2741.8387062936172</v>
      </c>
      <c r="AB426">
        <v>7.3764339131826189</v>
      </c>
      <c r="AC426">
        <v>2263.1679189654542</v>
      </c>
      <c r="AD426">
        <v>10.351108111056964</v>
      </c>
      <c r="AE426">
        <v>2042.1436068523838</v>
      </c>
      <c r="AF426">
        <v>7.3575901601220366</v>
      </c>
      <c r="AG426">
        <v>2141.4891624172492</v>
      </c>
      <c r="AH426">
        <v>10.349649798261884</v>
      </c>
      <c r="AI426">
        <v>1911.7802464848758</v>
      </c>
      <c r="AJ426">
        <v>7.3567750670305099</v>
      </c>
    </row>
    <row r="427" spans="4:36" x14ac:dyDescent="0.45">
      <c r="D427">
        <v>420</v>
      </c>
      <c r="E427">
        <v>11.559775156471465</v>
      </c>
      <c r="F427">
        <v>0.42410586919728915</v>
      </c>
      <c r="G427">
        <v>0.15711304264872544</v>
      </c>
      <c r="H427">
        <v>17.859005931682528</v>
      </c>
      <c r="I427">
        <v>11.76109119452312</v>
      </c>
      <c r="J427">
        <v>0.26715506903851016</v>
      </c>
      <c r="K427">
        <v>9.8646135445228933E-2</v>
      </c>
      <c r="L427">
        <v>17.873107600993148</v>
      </c>
      <c r="M427">
        <v>11.673686800596141</v>
      </c>
      <c r="N427">
        <v>0.33532350634226121</v>
      </c>
      <c r="O427">
        <v>0.1239924623619915</v>
      </c>
      <c r="P427">
        <v>17.866997230699596</v>
      </c>
      <c r="Q427">
        <v>11.624928086426197</v>
      </c>
      <c r="R427">
        <v>0.37333418932492973</v>
      </c>
      <c r="S427">
        <v>0.13815720888974212</v>
      </c>
      <c r="T427">
        <v>17.863580515359136</v>
      </c>
      <c r="U427">
        <v>1488.0184667764183</v>
      </c>
      <c r="V427">
        <v>9.1625282129195504</v>
      </c>
      <c r="W427">
        <v>1256.62509614022</v>
      </c>
      <c r="X427">
        <v>6.679471896795115</v>
      </c>
      <c r="Y427">
        <v>2861.1189855860262</v>
      </c>
      <c r="Z427">
        <v>9.1920456475856085</v>
      </c>
      <c r="AA427">
        <v>2710.7165851646673</v>
      </c>
      <c r="AB427">
        <v>6.6976597651745324</v>
      </c>
      <c r="AC427">
        <v>2182.5567903248666</v>
      </c>
      <c r="AD427">
        <v>9.1792231615117981</v>
      </c>
      <c r="AE427">
        <v>1997.1592110078006</v>
      </c>
      <c r="AF427">
        <v>6.6897689321884508</v>
      </c>
      <c r="AG427">
        <v>2061.646205197555</v>
      </c>
      <c r="AH427">
        <v>9.1720747974946484</v>
      </c>
      <c r="AI427">
        <v>1865.1995556484694</v>
      </c>
      <c r="AJ427">
        <v>6.6853632244264434</v>
      </c>
    </row>
    <row r="428" spans="4:36" x14ac:dyDescent="0.45">
      <c r="D428">
        <v>421</v>
      </c>
      <c r="E428">
        <v>12.00247490507936</v>
      </c>
      <c r="F428">
        <v>0.45147215583393396</v>
      </c>
      <c r="G428">
        <v>0.15128608430655327</v>
      </c>
      <c r="H428">
        <v>17.394766854780144</v>
      </c>
      <c r="I428">
        <v>12.204083690517152</v>
      </c>
      <c r="J428">
        <v>0.29679090890167864</v>
      </c>
      <c r="K428">
        <v>9.9163107530630248E-2</v>
      </c>
      <c r="L428">
        <v>17.399962293050557</v>
      </c>
      <c r="M428">
        <v>12.151657408014728</v>
      </c>
      <c r="N428">
        <v>0.33703497045388403</v>
      </c>
      <c r="O428">
        <v>0.11269449999118039</v>
      </c>
      <c r="P428">
        <v>17.398613121540215</v>
      </c>
      <c r="Q428">
        <v>12.084878280600114</v>
      </c>
      <c r="R428">
        <v>0.38827562064318627</v>
      </c>
      <c r="S428">
        <v>0.12995339039444298</v>
      </c>
      <c r="T428">
        <v>17.396892708362248</v>
      </c>
      <c r="U428">
        <v>1526.4724610573307</v>
      </c>
      <c r="V428">
        <v>9.5158230847747802</v>
      </c>
      <c r="W428">
        <v>1280.6568291616788</v>
      </c>
      <c r="X428">
        <v>6.8871862136607733</v>
      </c>
      <c r="Y428">
        <v>2881.5064694433395</v>
      </c>
      <c r="Z428">
        <v>9.5491051917817504</v>
      </c>
      <c r="AA428">
        <v>2721.9624919616413</v>
      </c>
      <c r="AB428">
        <v>6.9068257652402361</v>
      </c>
      <c r="AC428">
        <v>2220.1551466138062</v>
      </c>
      <c r="AD428">
        <v>9.5404495471164541</v>
      </c>
      <c r="AE428">
        <v>2022.7694596008241</v>
      </c>
      <c r="AF428">
        <v>6.9017248498008739</v>
      </c>
      <c r="AG428">
        <v>2093.3202491502925</v>
      </c>
      <c r="AH428">
        <v>9.529425221038025</v>
      </c>
      <c r="AI428">
        <v>1885.5611842289914</v>
      </c>
      <c r="AJ428">
        <v>6.8952212157529251</v>
      </c>
    </row>
    <row r="429" spans="4:36" x14ac:dyDescent="0.45">
      <c r="D429">
        <v>422</v>
      </c>
      <c r="E429">
        <v>13.494487683591077</v>
      </c>
      <c r="F429">
        <v>0.46794895752217058</v>
      </c>
      <c r="G429">
        <v>0.18692070489355814</v>
      </c>
      <c r="H429">
        <v>15.850642653993201</v>
      </c>
      <c r="I429">
        <v>13.730363062613863</v>
      </c>
      <c r="J429">
        <v>0.31121973409607029</v>
      </c>
      <c r="K429">
        <v>0.1238858455845171</v>
      </c>
      <c r="L429">
        <v>15.834531357705558</v>
      </c>
      <c r="M429">
        <v>13.658478761924368</v>
      </c>
      <c r="N429">
        <v>0.35902207314158657</v>
      </c>
      <c r="O429">
        <v>0.14306447456684868</v>
      </c>
      <c r="P429">
        <v>15.83943469036719</v>
      </c>
      <c r="Q429">
        <v>13.642469801251115</v>
      </c>
      <c r="R429">
        <v>0.36966332772573929</v>
      </c>
      <c r="S429">
        <v>0.14733939344058475</v>
      </c>
      <c r="T429">
        <v>15.840527477582567</v>
      </c>
      <c r="U429">
        <v>1632.3020535533119</v>
      </c>
      <c r="V429">
        <v>10.682016991490713</v>
      </c>
      <c r="W429">
        <v>1338.9483254560782</v>
      </c>
      <c r="X429">
        <v>7.5591396491173999</v>
      </c>
      <c r="Y429">
        <v>2932.4159817653422</v>
      </c>
      <c r="Z429">
        <v>10.73319700479286</v>
      </c>
      <c r="AA429">
        <v>2746.7678762757214</v>
      </c>
      <c r="AB429">
        <v>7.5877913749683046</v>
      </c>
      <c r="AC429">
        <v>2264.7513687298347</v>
      </c>
      <c r="AD429">
        <v>10.717604369282085</v>
      </c>
      <c r="AE429">
        <v>2040.1253176742327</v>
      </c>
      <c r="AF429">
        <v>7.5790715083334925</v>
      </c>
      <c r="AG429">
        <v>2144.5242691829253</v>
      </c>
      <c r="AH429">
        <v>10.71413125401337</v>
      </c>
      <c r="AI429">
        <v>1910.1548719874536</v>
      </c>
      <c r="AJ429">
        <v>7.5771281425690908</v>
      </c>
    </row>
    <row r="430" spans="4:36" x14ac:dyDescent="0.45">
      <c r="D430">
        <v>423</v>
      </c>
      <c r="E430">
        <v>12.294009027704623</v>
      </c>
      <c r="F430">
        <v>0.44571142518521006</v>
      </c>
      <c r="G430">
        <v>0.17600611532308166</v>
      </c>
      <c r="H430">
        <v>17.0842734317871</v>
      </c>
      <c r="I430">
        <v>12.509795975249947</v>
      </c>
      <c r="J430">
        <v>0.28544794016264563</v>
      </c>
      <c r="K430">
        <v>0.11234333499925747</v>
      </c>
      <c r="L430">
        <v>17.092412749588146</v>
      </c>
      <c r="M430">
        <v>12.426156089697182</v>
      </c>
      <c r="N430">
        <v>0.34759807432437761</v>
      </c>
      <c r="O430">
        <v>0.13698047903080143</v>
      </c>
      <c r="P430">
        <v>17.089265356947635</v>
      </c>
      <c r="Q430">
        <v>12.395786413687507</v>
      </c>
      <c r="R430">
        <v>0.37015502407924539</v>
      </c>
      <c r="S430">
        <v>0.14593834501202066</v>
      </c>
      <c r="T430">
        <v>17.088120217221221</v>
      </c>
      <c r="U430">
        <v>1506.3093737726256</v>
      </c>
      <c r="V430">
        <v>9.7048515799657267</v>
      </c>
      <c r="W430">
        <v>1261.5324150984011</v>
      </c>
      <c r="X430">
        <v>6.9906873680748989</v>
      </c>
      <c r="Y430">
        <v>2886.2595315140238</v>
      </c>
      <c r="Z430">
        <v>9.7414641455398794</v>
      </c>
      <c r="AA430">
        <v>2723.1275592454899</v>
      </c>
      <c r="AB430">
        <v>7.0125368212057939</v>
      </c>
      <c r="AC430">
        <v>2205.8250949008479</v>
      </c>
      <c r="AD430">
        <v>9.7272680738394488</v>
      </c>
      <c r="AE430">
        <v>2007.721321433411</v>
      </c>
      <c r="AF430">
        <v>7.0040753850653452</v>
      </c>
      <c r="AG430">
        <v>2091.7993827605933</v>
      </c>
      <c r="AH430">
        <v>9.7221150011174817</v>
      </c>
      <c r="AI430">
        <v>1881.71223160566</v>
      </c>
      <c r="AJ430">
        <v>7.0010006964065603</v>
      </c>
    </row>
    <row r="431" spans="4:36" x14ac:dyDescent="0.45">
      <c r="D431">
        <v>424</v>
      </c>
      <c r="E431">
        <v>11.628422852824972</v>
      </c>
      <c r="F431">
        <v>0.40094279599966476</v>
      </c>
      <c r="G431">
        <v>0.14212206216325893</v>
      </c>
      <c r="H431">
        <v>17.828512289012096</v>
      </c>
      <c r="I431">
        <v>11.78946027038187</v>
      </c>
      <c r="J431">
        <v>0.27445791789794166</v>
      </c>
      <c r="K431">
        <v>9.7038107200713222E-2</v>
      </c>
      <c r="L431">
        <v>17.839043704519465</v>
      </c>
      <c r="M431">
        <v>11.689836528449897</v>
      </c>
      <c r="N431">
        <v>0.35272170698640037</v>
      </c>
      <c r="O431">
        <v>0.12490664113372292</v>
      </c>
      <c r="P431">
        <v>17.83253512342997</v>
      </c>
      <c r="Q431">
        <v>11.681917442064401</v>
      </c>
      <c r="R431">
        <v>0.358940733841147</v>
      </c>
      <c r="S431">
        <v>0.12712497631792508</v>
      </c>
      <c r="T431">
        <v>17.832016847776529</v>
      </c>
      <c r="U431">
        <v>1471.3571448375726</v>
      </c>
      <c r="V431">
        <v>9.2222784478497868</v>
      </c>
      <c r="W431">
        <v>1247.5629179882526</v>
      </c>
      <c r="X431">
        <v>6.7190997730538102</v>
      </c>
      <c r="Y431">
        <v>2841.1819250408239</v>
      </c>
      <c r="Z431">
        <v>9.2465111743499708</v>
      </c>
      <c r="AA431">
        <v>2696.4729340936306</v>
      </c>
      <c r="AB431">
        <v>6.7339297673617802</v>
      </c>
      <c r="AC431">
        <v>2157.1152187631192</v>
      </c>
      <c r="AD431">
        <v>9.2315161224649049</v>
      </c>
      <c r="AE431">
        <v>1978.337269358781</v>
      </c>
      <c r="AF431">
        <v>6.7247591428794866</v>
      </c>
      <c r="AG431">
        <v>2054.090646536938</v>
      </c>
      <c r="AH431">
        <v>9.2303246921616502</v>
      </c>
      <c r="AI431">
        <v>1862.0335005044551</v>
      </c>
      <c r="AJ431">
        <v>6.7240296481586572</v>
      </c>
    </row>
    <row r="432" spans="4:36" x14ac:dyDescent="0.45">
      <c r="D432">
        <v>425</v>
      </c>
      <c r="E432">
        <v>13.944616969886019</v>
      </c>
      <c r="F432">
        <v>0.5256191699512166</v>
      </c>
      <c r="G432">
        <v>0.16566881965147762</v>
      </c>
      <c r="H432">
        <v>15.364095040511289</v>
      </c>
      <c r="I432">
        <v>14.201934744910641</v>
      </c>
      <c r="J432">
        <v>0.3360337007820367</v>
      </c>
      <c r="K432">
        <v>0.10557176790965733</v>
      </c>
      <c r="L432">
        <v>15.356459786397668</v>
      </c>
      <c r="M432">
        <v>14.098097805505589</v>
      </c>
      <c r="N432">
        <v>0.41258064985758375</v>
      </c>
      <c r="O432">
        <v>0.1297890367382914</v>
      </c>
      <c r="P432">
        <v>15.359532507898521</v>
      </c>
      <c r="Q432">
        <v>14.005559423866986</v>
      </c>
      <c r="R432">
        <v>0.48075021043683092</v>
      </c>
      <c r="S432">
        <v>0.15140995232981486</v>
      </c>
      <c r="T432">
        <v>15.362280413366367</v>
      </c>
      <c r="U432">
        <v>1593.5948335412495</v>
      </c>
      <c r="V432">
        <v>11.0546543074667</v>
      </c>
      <c r="W432">
        <v>1309.0634079624895</v>
      </c>
      <c r="X432">
        <v>7.7716762500386158</v>
      </c>
      <c r="Y432">
        <v>2942.8732038472676</v>
      </c>
      <c r="Z432">
        <v>11.107330986652647</v>
      </c>
      <c r="AA432">
        <v>2753.6196298593809</v>
      </c>
      <c r="AB432">
        <v>7.8012210531381774</v>
      </c>
      <c r="AC432">
        <v>2307.1644635539628</v>
      </c>
      <c r="AD432">
        <v>11.086078287070883</v>
      </c>
      <c r="AE432">
        <v>2067.5844620087287</v>
      </c>
      <c r="AF432">
        <v>7.7893124652265939</v>
      </c>
      <c r="AG432">
        <v>2186.5797096759316</v>
      </c>
      <c r="AH432">
        <v>11.067133297911557</v>
      </c>
      <c r="AI432">
        <v>1933.4429014419277</v>
      </c>
      <c r="AJ432">
        <v>7.7786839645692929</v>
      </c>
    </row>
    <row r="433" spans="4:36" x14ac:dyDescent="0.45">
      <c r="D433">
        <v>426</v>
      </c>
      <c r="E433">
        <v>12.137764275880979</v>
      </c>
      <c r="F433">
        <v>0.44731716666685234</v>
      </c>
      <c r="G433">
        <v>0.18105006705583321</v>
      </c>
      <c r="H433">
        <v>17.233868490396329</v>
      </c>
      <c r="I433">
        <v>12.316595815574171</v>
      </c>
      <c r="J433">
        <v>0.30627565711339205</v>
      </c>
      <c r="K433">
        <v>0.12362919952342917</v>
      </c>
      <c r="L433">
        <v>17.253499327789008</v>
      </c>
      <c r="M433">
        <v>12.23876944990049</v>
      </c>
      <c r="N433">
        <v>0.36767526423173486</v>
      </c>
      <c r="O433">
        <v>0.14858754463002172</v>
      </c>
      <c r="P433">
        <v>17.244967741237744</v>
      </c>
      <c r="Q433">
        <v>12.197997247781792</v>
      </c>
      <c r="R433">
        <v>0.39982990536448565</v>
      </c>
      <c r="S433">
        <v>0.16168182810847856</v>
      </c>
      <c r="T433">
        <v>17.240491018745246</v>
      </c>
      <c r="U433">
        <v>1496.12473272015</v>
      </c>
      <c r="V433">
        <v>9.623065253155227</v>
      </c>
      <c r="W433">
        <v>1253.7425233273584</v>
      </c>
      <c r="X433">
        <v>6.9467369761358135</v>
      </c>
      <c r="Y433">
        <v>2891.7379640748372</v>
      </c>
      <c r="Z433">
        <v>9.6459477327066256</v>
      </c>
      <c r="AA433">
        <v>2725.2651618358805</v>
      </c>
      <c r="AB433">
        <v>6.9609637675011715</v>
      </c>
      <c r="AC433">
        <v>2211.4524822256176</v>
      </c>
      <c r="AD433">
        <v>9.6359828246631594</v>
      </c>
      <c r="AE433">
        <v>2010.0141744089083</v>
      </c>
      <c r="AF433">
        <v>6.954775291075971</v>
      </c>
      <c r="AG433">
        <v>2100.5412416051472</v>
      </c>
      <c r="AH433">
        <v>9.6307663891525088</v>
      </c>
      <c r="AI433">
        <v>1885.4536961288429</v>
      </c>
      <c r="AJ433">
        <v>6.9515314311254119</v>
      </c>
    </row>
    <row r="434" spans="4:36" x14ac:dyDescent="0.45">
      <c r="D434">
        <v>427</v>
      </c>
      <c r="E434">
        <v>12.835882472429887</v>
      </c>
      <c r="F434">
        <v>0.46900904923296521</v>
      </c>
      <c r="G434">
        <v>0.17012191511847552</v>
      </c>
      <c r="H434">
        <v>16.524986563218675</v>
      </c>
      <c r="I434">
        <v>13.0735395925481</v>
      </c>
      <c r="J434">
        <v>0.29781725413226495</v>
      </c>
      <c r="K434">
        <v>0.1076530997190531</v>
      </c>
      <c r="L434">
        <v>16.520990053600567</v>
      </c>
      <c r="M434">
        <v>12.986190042762162</v>
      </c>
      <c r="N434">
        <v>0.36077650098904851</v>
      </c>
      <c r="O434">
        <v>0.13057631997501343</v>
      </c>
      <c r="P434">
        <v>16.522457136273779</v>
      </c>
      <c r="Q434">
        <v>12.927564090550719</v>
      </c>
      <c r="R434">
        <v>0.40300742284311381</v>
      </c>
      <c r="S434">
        <v>0.14598551807203186</v>
      </c>
      <c r="T434">
        <v>16.523442968534141</v>
      </c>
      <c r="U434">
        <v>1610.5709515419471</v>
      </c>
      <c r="V434">
        <v>10.190492030398962</v>
      </c>
      <c r="W434">
        <v>1329.0978042105949</v>
      </c>
      <c r="X434">
        <v>7.2809714624398527</v>
      </c>
      <c r="Y434">
        <v>2926.8859525622106</v>
      </c>
      <c r="Z434">
        <v>10.237280331636315</v>
      </c>
      <c r="AA434">
        <v>2747.5614170277104</v>
      </c>
      <c r="AB434">
        <v>7.3077605253127977</v>
      </c>
      <c r="AC434">
        <v>2244.943482841928</v>
      </c>
      <c r="AD434">
        <v>10.220085486301061</v>
      </c>
      <c r="AE434">
        <v>2030.243878874029</v>
      </c>
      <c r="AF434">
        <v>7.2979264227897671</v>
      </c>
      <c r="AG434">
        <v>2162.6458195204596</v>
      </c>
      <c r="AH434">
        <v>10.208543652797699</v>
      </c>
      <c r="AI434">
        <v>1925.1809214820119</v>
      </c>
      <c r="AJ434">
        <v>7.2913182845727471</v>
      </c>
    </row>
    <row r="435" spans="4:36" x14ac:dyDescent="0.45">
      <c r="D435">
        <v>428</v>
      </c>
      <c r="E435">
        <v>13.068181116522442</v>
      </c>
      <c r="F435">
        <v>0.49744856059806464</v>
      </c>
      <c r="G435">
        <v>0.18170366725536627</v>
      </c>
      <c r="H435">
        <v>16.252666655624143</v>
      </c>
      <c r="I435">
        <v>13.278834921643261</v>
      </c>
      <c r="J435">
        <v>0.3352576420212276</v>
      </c>
      <c r="K435">
        <v>0.12210018933519379</v>
      </c>
      <c r="L435">
        <v>16.263807247000319</v>
      </c>
      <c r="M435">
        <v>13.196862248658114</v>
      </c>
      <c r="N435">
        <v>0.39839812619748549</v>
      </c>
      <c r="O435">
        <v>0.14526137538846584</v>
      </c>
      <c r="P435">
        <v>16.259478249755944</v>
      </c>
      <c r="Q435">
        <v>13.140144918685365</v>
      </c>
      <c r="R435">
        <v>0.44206573208232458</v>
      </c>
      <c r="S435">
        <v>0.16131096104267717</v>
      </c>
      <c r="T435">
        <v>16.256478388189631</v>
      </c>
      <c r="U435">
        <v>1581.9374991580696</v>
      </c>
      <c r="V435">
        <v>10.327467571521757</v>
      </c>
      <c r="W435">
        <v>1306.6004763624228</v>
      </c>
      <c r="X435">
        <v>7.3494407348408561</v>
      </c>
      <c r="Y435">
        <v>2927.273356914021</v>
      </c>
      <c r="Z435">
        <v>10.361582774123731</v>
      </c>
      <c r="AA435">
        <v>2745.1341637078422</v>
      </c>
      <c r="AB435">
        <v>7.3694596337506484</v>
      </c>
      <c r="AC435">
        <v>2272.6782795302429</v>
      </c>
      <c r="AD435">
        <v>10.348304113911491</v>
      </c>
      <c r="AE435">
        <v>2047.432072496021</v>
      </c>
      <c r="AF435">
        <v>7.3616759202923037</v>
      </c>
      <c r="AG435">
        <v>2158.5738532159553</v>
      </c>
      <c r="AH435">
        <v>10.33911895999832</v>
      </c>
      <c r="AI435">
        <v>1919.5299370322884</v>
      </c>
      <c r="AJ435">
        <v>7.3562856214142629</v>
      </c>
    </row>
    <row r="436" spans="4:36" x14ac:dyDescent="0.45">
      <c r="D436">
        <v>429</v>
      </c>
      <c r="E436">
        <v>12.109419887717278</v>
      </c>
      <c r="F436">
        <v>0.47076821255078266</v>
      </c>
      <c r="G436">
        <v>0.1761333862144267</v>
      </c>
      <c r="H436">
        <v>17.243678513517519</v>
      </c>
      <c r="I436">
        <v>12.362772528129282</v>
      </c>
      <c r="J436">
        <v>0.27696766203156042</v>
      </c>
      <c r="K436">
        <v>0.10323742808686515</v>
      </c>
      <c r="L436">
        <v>17.257022381752293</v>
      </c>
      <c r="M436">
        <v>12.250659119140071</v>
      </c>
      <c r="N436">
        <v>0.36277034680742948</v>
      </c>
      <c r="O436">
        <v>0.13544289737409534</v>
      </c>
      <c r="P436">
        <v>17.251127636678415</v>
      </c>
      <c r="Q436">
        <v>12.211410000326106</v>
      </c>
      <c r="R436">
        <v>0.39279272065552906</v>
      </c>
      <c r="S436">
        <v>0.14673710033621312</v>
      </c>
      <c r="T436">
        <v>17.249060178682157</v>
      </c>
      <c r="U436">
        <v>1525.2305637037048</v>
      </c>
      <c r="V436">
        <v>9.6079403754124009</v>
      </c>
      <c r="W436">
        <v>1274.0779493673126</v>
      </c>
      <c r="X436">
        <v>6.9368033984150381</v>
      </c>
      <c r="Y436">
        <v>2876.3613483693975</v>
      </c>
      <c r="Z436">
        <v>9.6428951239609386</v>
      </c>
      <c r="AA436">
        <v>2717.1912970494786</v>
      </c>
      <c r="AB436">
        <v>6.9577446233982041</v>
      </c>
      <c r="AC436">
        <v>2221.6005664842401</v>
      </c>
      <c r="AD436">
        <v>9.6274213474152361</v>
      </c>
      <c r="AE436">
        <v>2018.6056827647044</v>
      </c>
      <c r="AF436">
        <v>6.9484867291917922</v>
      </c>
      <c r="AG436">
        <v>2103.2687571384058</v>
      </c>
      <c r="AH436">
        <v>9.6220063282626889</v>
      </c>
      <c r="AI436">
        <v>1888.9111591159569</v>
      </c>
      <c r="AJ436">
        <v>6.9452423284553522</v>
      </c>
    </row>
    <row r="437" spans="4:36" x14ac:dyDescent="0.45">
      <c r="D437">
        <v>430</v>
      </c>
      <c r="E437">
        <v>13.192778165123658</v>
      </c>
      <c r="F437">
        <v>0.45271857691761702</v>
      </c>
      <c r="G437">
        <v>0.185097213471352</v>
      </c>
      <c r="H437">
        <v>16.169406044487353</v>
      </c>
      <c r="I437">
        <v>13.429572631780447</v>
      </c>
      <c r="J437">
        <v>0.29225750040546894</v>
      </c>
      <c r="K437">
        <v>0.11909593515477733</v>
      </c>
      <c r="L437">
        <v>16.159073932659314</v>
      </c>
      <c r="M437">
        <v>13.331132012351734</v>
      </c>
      <c r="N437">
        <v>0.35900831279363415</v>
      </c>
      <c r="O437">
        <v>0.14649807887082031</v>
      </c>
      <c r="P437">
        <v>16.163361595983801</v>
      </c>
      <c r="Q437">
        <v>13.30487632104677</v>
      </c>
      <c r="R437">
        <v>0.3768013730460022</v>
      </c>
      <c r="S437">
        <v>0.15381529727705914</v>
      </c>
      <c r="T437">
        <v>16.164507008630167</v>
      </c>
      <c r="U437">
        <v>1621.4023850887011</v>
      </c>
      <c r="V437">
        <v>10.393136785698069</v>
      </c>
      <c r="W437">
        <v>1334.8204074790867</v>
      </c>
      <c r="X437">
        <v>7.3870492088986168</v>
      </c>
      <c r="Y437">
        <v>2971.9986919734579</v>
      </c>
      <c r="Z437">
        <v>10.440720218162022</v>
      </c>
      <c r="AA437">
        <v>2778.0695286205214</v>
      </c>
      <c r="AB437">
        <v>7.413945441611534</v>
      </c>
      <c r="AC437">
        <v>2279.9551330896197</v>
      </c>
      <c r="AD437">
        <v>10.42094294282254</v>
      </c>
      <c r="AE437">
        <v>2052.8566875458041</v>
      </c>
      <c r="AF437">
        <v>7.4027769658428069</v>
      </c>
      <c r="AG437">
        <v>2161.8574859580986</v>
      </c>
      <c r="AH437">
        <v>10.415667022499676</v>
      </c>
      <c r="AI437">
        <v>1923.9280898800134</v>
      </c>
      <c r="AJ437">
        <v>7.3997950748031016</v>
      </c>
    </row>
    <row r="438" spans="4:36" x14ac:dyDescent="0.45">
      <c r="D438">
        <v>431</v>
      </c>
      <c r="E438">
        <v>13.9381582535113</v>
      </c>
      <c r="F438">
        <v>0.54091678874063609</v>
      </c>
      <c r="G438">
        <v>0.18490646462130642</v>
      </c>
      <c r="H438">
        <v>15.336018493126772</v>
      </c>
      <c r="I438">
        <v>14.200697742017523</v>
      </c>
      <c r="J438">
        <v>0.34980079627965954</v>
      </c>
      <c r="K438">
        <v>0.11917824499639489</v>
      </c>
      <c r="L438">
        <v>15.330323216706415</v>
      </c>
      <c r="M438">
        <v>14.09072181530698</v>
      </c>
      <c r="N438">
        <v>0.42990379489354663</v>
      </c>
      <c r="O438">
        <v>0.14667299767571387</v>
      </c>
      <c r="P438">
        <v>15.332701392123758</v>
      </c>
      <c r="Q438">
        <v>14.082568769771543</v>
      </c>
      <c r="R438">
        <v>0.43583959633314634</v>
      </c>
      <c r="S438">
        <v>0.14871350618814061</v>
      </c>
      <c r="T438">
        <v>15.332878127707165</v>
      </c>
      <c r="U438">
        <v>1688.8497416830667</v>
      </c>
      <c r="V438">
        <v>11.16000365521861</v>
      </c>
      <c r="W438">
        <v>1371.0722724155637</v>
      </c>
      <c r="X438">
        <v>7.8437461639888619</v>
      </c>
      <c r="Y438">
        <v>2969.2340552819201</v>
      </c>
      <c r="Z438">
        <v>11.213014760055326</v>
      </c>
      <c r="AA438">
        <v>2768.4292255072182</v>
      </c>
      <c r="AB438">
        <v>7.8734523740183162</v>
      </c>
      <c r="AC438">
        <v>2311.0096726761476</v>
      </c>
      <c r="AD438">
        <v>11.190813466510754</v>
      </c>
      <c r="AE438">
        <v>2065.6252730349406</v>
      </c>
      <c r="AF438">
        <v>7.8610230833304628</v>
      </c>
      <c r="AG438">
        <v>2214.5279508081153</v>
      </c>
      <c r="AH438">
        <v>11.18916731044755</v>
      </c>
      <c r="AI438">
        <v>1952.6996744915809</v>
      </c>
      <c r="AJ438">
        <v>7.8601008168561073</v>
      </c>
    </row>
    <row r="439" spans="4:36" x14ac:dyDescent="0.45">
      <c r="D439">
        <v>432</v>
      </c>
      <c r="E439">
        <v>11.613892447830217</v>
      </c>
      <c r="F439">
        <v>0.41210796397485455</v>
      </c>
      <c r="G439">
        <v>0.15684076843465561</v>
      </c>
      <c r="H439">
        <v>17.817158819760269</v>
      </c>
      <c r="I439">
        <v>11.802282388873762</v>
      </c>
      <c r="J439">
        <v>0.26596708918763268</v>
      </c>
      <c r="K439">
        <v>0.10091957747632632</v>
      </c>
      <c r="L439">
        <v>17.830830944462264</v>
      </c>
      <c r="M439">
        <v>11.705340008741018</v>
      </c>
      <c r="N439">
        <v>0.34119211630219348</v>
      </c>
      <c r="O439">
        <v>0.12966225679650667</v>
      </c>
      <c r="P439">
        <v>17.823805618160279</v>
      </c>
      <c r="Q439">
        <v>11.678307066496357</v>
      </c>
      <c r="R439">
        <v>0.36216025307581334</v>
      </c>
      <c r="S439">
        <v>0.13768993222878406</v>
      </c>
      <c r="T439">
        <v>17.821842748199039</v>
      </c>
      <c r="U439">
        <v>1479.5631602835297</v>
      </c>
      <c r="V439">
        <v>9.1608490347714948</v>
      </c>
      <c r="W439">
        <v>1248.9987036584928</v>
      </c>
      <c r="X439">
        <v>6.6733115325391656</v>
      </c>
      <c r="Y439">
        <v>2848.8688158873751</v>
      </c>
      <c r="Z439">
        <v>9.1876915067722962</v>
      </c>
      <c r="AA439">
        <v>2700.3388801609517</v>
      </c>
      <c r="AB439">
        <v>6.6898417277190987</v>
      </c>
      <c r="AC439">
        <v>2180.9606043430422</v>
      </c>
      <c r="AD439">
        <v>9.1738727981943295</v>
      </c>
      <c r="AE439">
        <v>1993.5853757290517</v>
      </c>
      <c r="AF439">
        <v>6.68134046933565</v>
      </c>
      <c r="AG439">
        <v>2070.3839663219633</v>
      </c>
      <c r="AH439">
        <v>9.1700216379901871</v>
      </c>
      <c r="AI439">
        <v>1870.4400472913894</v>
      </c>
      <c r="AJ439">
        <v>6.6789679946008986</v>
      </c>
    </row>
    <row r="440" spans="4:36" x14ac:dyDescent="0.45">
      <c r="D440">
        <v>433</v>
      </c>
      <c r="E440">
        <v>12.933280275401829</v>
      </c>
      <c r="F440">
        <v>0.50461304920419014</v>
      </c>
      <c r="G440">
        <v>0.14743161171133212</v>
      </c>
      <c r="H440">
        <v>16.414675063682655</v>
      </c>
      <c r="I440">
        <v>13.155637126139489</v>
      </c>
      <c r="J440">
        <v>0.33034369030612981</v>
      </c>
      <c r="K440">
        <v>9.6239704152780256E-2</v>
      </c>
      <c r="L440">
        <v>16.417779479401606</v>
      </c>
      <c r="M440">
        <v>13.077987695613867</v>
      </c>
      <c r="N440">
        <v>0.39122733712371432</v>
      </c>
      <c r="O440">
        <v>0.11409059790959092</v>
      </c>
      <c r="P440">
        <v>16.416694369352836</v>
      </c>
      <c r="Q440">
        <v>13.032990378344962</v>
      </c>
      <c r="R440">
        <v>0.42649583672582431</v>
      </c>
      <c r="S440">
        <v>0.12444773516476257</v>
      </c>
      <c r="T440">
        <v>16.416066049764453</v>
      </c>
      <c r="U440">
        <v>1584.5930336478843</v>
      </c>
      <c r="V440">
        <v>10.282264396010724</v>
      </c>
      <c r="W440">
        <v>1309.7229341509369</v>
      </c>
      <c r="X440">
        <v>7.335863521314578</v>
      </c>
      <c r="Y440">
        <v>2931.1178830569502</v>
      </c>
      <c r="Z440">
        <v>10.325520826989679</v>
      </c>
      <c r="AA440">
        <v>2749.4051025147128</v>
      </c>
      <c r="AB440">
        <v>7.3607644613678431</v>
      </c>
      <c r="AC440">
        <v>2276.9265775165586</v>
      </c>
      <c r="AD440">
        <v>10.3104158361825</v>
      </c>
      <c r="AE440">
        <v>2052.4225956233113</v>
      </c>
      <c r="AF440">
        <v>7.3520785219661153</v>
      </c>
      <c r="AG440">
        <v>2179.1824356824559</v>
      </c>
      <c r="AH440">
        <v>10.301662291812152</v>
      </c>
      <c r="AI440">
        <v>1936.9937358804907</v>
      </c>
      <c r="AJ440">
        <v>7.3470403174843275</v>
      </c>
    </row>
    <row r="441" spans="4:36" x14ac:dyDescent="0.45">
      <c r="D441">
        <v>434</v>
      </c>
      <c r="E441">
        <v>12.530494746182853</v>
      </c>
      <c r="F441">
        <v>0.4753414665272116</v>
      </c>
      <c r="G441">
        <v>0.16277864261895003</v>
      </c>
      <c r="H441">
        <v>16.831385144670985</v>
      </c>
      <c r="I441">
        <v>12.759185758639948</v>
      </c>
      <c r="J441">
        <v>0.30174003043692027</v>
      </c>
      <c r="K441">
        <v>0.10300661003160902</v>
      </c>
      <c r="L441">
        <v>16.836067600891518</v>
      </c>
      <c r="M441">
        <v>12.659302419252333</v>
      </c>
      <c r="N441">
        <v>0.37759668234969324</v>
      </c>
      <c r="O441">
        <v>0.1290778347146708</v>
      </c>
      <c r="P441">
        <v>16.834023063683311</v>
      </c>
      <c r="Q441">
        <v>12.621526514117017</v>
      </c>
      <c r="R441">
        <v>0.40627187173670221</v>
      </c>
      <c r="S441">
        <v>0.13895202905555093</v>
      </c>
      <c r="T441">
        <v>16.833249585090737</v>
      </c>
      <c r="U441">
        <v>1550.7222250873272</v>
      </c>
      <c r="V441">
        <v>9.9866456334433398</v>
      </c>
      <c r="W441">
        <v>1290.5251767062935</v>
      </c>
      <c r="X441">
        <v>7.1667960404478679</v>
      </c>
      <c r="Y441">
        <v>2895.0838243919238</v>
      </c>
      <c r="Z441">
        <v>10.025711480357938</v>
      </c>
      <c r="AA441">
        <v>2727.625422393764</v>
      </c>
      <c r="AB441">
        <v>7.1895343353065817</v>
      </c>
      <c r="AC441">
        <v>2223.7931872309964</v>
      </c>
      <c r="AD441">
        <v>10.008648622088677</v>
      </c>
      <c r="AE441">
        <v>2017.6467698642994</v>
      </c>
      <c r="AF441">
        <v>7.1796131581564229</v>
      </c>
      <c r="AG441">
        <v>2132.384831610731</v>
      </c>
      <c r="AH441">
        <v>10.002195612951459</v>
      </c>
      <c r="AI441">
        <v>1907.4708752794984</v>
      </c>
      <c r="AJ441">
        <v>7.1758569317068872</v>
      </c>
    </row>
    <row r="442" spans="4:36" x14ac:dyDescent="0.45">
      <c r="D442">
        <v>435</v>
      </c>
      <c r="E442">
        <v>11.893932018175855</v>
      </c>
      <c r="F442">
        <v>0.47244927822004817</v>
      </c>
      <c r="G442">
        <v>0.16730186225375454</v>
      </c>
      <c r="H442">
        <v>17.466316841350345</v>
      </c>
      <c r="I442">
        <v>12.079861037455496</v>
      </c>
      <c r="J442">
        <v>0.31929009651568641</v>
      </c>
      <c r="K442">
        <v>0.11275659672732993</v>
      </c>
      <c r="L442">
        <v>17.488092269301468</v>
      </c>
      <c r="M442">
        <v>12.041576624808805</v>
      </c>
      <c r="N442">
        <v>0.35083890149265157</v>
      </c>
      <c r="O442">
        <v>0.12396750909432849</v>
      </c>
      <c r="P442">
        <v>17.483616964604224</v>
      </c>
      <c r="Q442">
        <v>11.97233805488653</v>
      </c>
      <c r="R442">
        <v>0.40788016959405377</v>
      </c>
      <c r="S442">
        <v>0.14426963117508218</v>
      </c>
      <c r="T442">
        <v>17.475512144344322</v>
      </c>
      <c r="U442">
        <v>1503.2826050815622</v>
      </c>
      <c r="V442">
        <v>9.4138925508627462</v>
      </c>
      <c r="W442">
        <v>1259.6164279652435</v>
      </c>
      <c r="X442">
        <v>6.8202402825134785</v>
      </c>
      <c r="Y442">
        <v>2895.5589654022224</v>
      </c>
      <c r="Z442">
        <v>9.4359194076889956</v>
      </c>
      <c r="AA442">
        <v>2728.8121994955432</v>
      </c>
      <c r="AB442">
        <v>6.8341185301224892</v>
      </c>
      <c r="AC442">
        <v>2199.4794671319669</v>
      </c>
      <c r="AD442">
        <v>9.4313788746908855</v>
      </c>
      <c r="AE442">
        <v>2004.8996780646278</v>
      </c>
      <c r="AF442">
        <v>6.8312627573717988</v>
      </c>
      <c r="AG442">
        <v>2120.4519778974895</v>
      </c>
      <c r="AH442">
        <v>9.4231737559193807</v>
      </c>
      <c r="AI442">
        <v>1901.7079999957289</v>
      </c>
      <c r="AJ442">
        <v>6.826095536954174</v>
      </c>
    </row>
    <row r="443" spans="4:36" x14ac:dyDescent="0.45">
      <c r="D443">
        <v>436</v>
      </c>
      <c r="E443">
        <v>12.209172992083777</v>
      </c>
      <c r="F443">
        <v>0.45405787881079041</v>
      </c>
      <c r="G443">
        <v>0.17411821114614617</v>
      </c>
      <c r="H443">
        <v>17.162650917959297</v>
      </c>
      <c r="I443">
        <v>12.423338267987054</v>
      </c>
      <c r="J443">
        <v>0.29443642018816202</v>
      </c>
      <c r="K443">
        <v>0.11255498122312872</v>
      </c>
      <c r="L443">
        <v>17.169670330601662</v>
      </c>
      <c r="M443">
        <v>12.368741956697139</v>
      </c>
      <c r="N443">
        <v>0.33515270788330648</v>
      </c>
      <c r="O443">
        <v>0.1282214677306289</v>
      </c>
      <c r="P443">
        <v>17.167883867688936</v>
      </c>
      <c r="Q443">
        <v>12.326978033317182</v>
      </c>
      <c r="R443">
        <v>0.36628766404881186</v>
      </c>
      <c r="S443">
        <v>0.14021837074091056</v>
      </c>
      <c r="T443">
        <v>17.16651593189308</v>
      </c>
      <c r="U443">
        <v>1534.6546623261584</v>
      </c>
      <c r="V443">
        <v>9.6803109874983413</v>
      </c>
      <c r="W443">
        <v>1282.4810351967619</v>
      </c>
      <c r="X443">
        <v>6.9831704909102355</v>
      </c>
      <c r="Y443">
        <v>2885.1993219694332</v>
      </c>
      <c r="Z443">
        <v>9.7200160258242292</v>
      </c>
      <c r="AA443">
        <v>2722.284531106302</v>
      </c>
      <c r="AB443">
        <v>7.0066530577704897</v>
      </c>
      <c r="AC443">
        <v>2194.9945160857392</v>
      </c>
      <c r="AD443">
        <v>9.7098919900254685</v>
      </c>
      <c r="AE443">
        <v>2001.6386578325753</v>
      </c>
      <c r="AF443">
        <v>7.0006738858823105</v>
      </c>
      <c r="AG443">
        <v>2105.3223944399738</v>
      </c>
      <c r="AH443">
        <v>9.70214852654866</v>
      </c>
      <c r="AI443">
        <v>1892.6649369226191</v>
      </c>
      <c r="AJ443">
        <v>6.9960967840729102</v>
      </c>
    </row>
    <row r="444" spans="4:36" x14ac:dyDescent="0.45">
      <c r="D444">
        <v>437</v>
      </c>
      <c r="E444">
        <v>11.619921710719364</v>
      </c>
      <c r="F444">
        <v>0.45614878032519418</v>
      </c>
      <c r="G444">
        <v>0.13761209346023801</v>
      </c>
      <c r="H444">
        <v>17.786317415495219</v>
      </c>
      <c r="I444">
        <v>11.822662912008994</v>
      </c>
      <c r="J444">
        <v>0.28454601652880318</v>
      </c>
      <c r="K444">
        <v>8.5582927349586863E-2</v>
      </c>
      <c r="L444">
        <v>17.807208144112622</v>
      </c>
      <c r="M444">
        <v>11.729932213845432</v>
      </c>
      <c r="N444">
        <v>0.36305392290823074</v>
      </c>
      <c r="O444">
        <v>0.10934656963124033</v>
      </c>
      <c r="P444">
        <v>17.797667293615103</v>
      </c>
      <c r="Q444">
        <v>11.676713151015447</v>
      </c>
      <c r="R444">
        <v>0.40809560942184209</v>
      </c>
      <c r="S444">
        <v>0.12301035644259425</v>
      </c>
      <c r="T444">
        <v>17.792180883120093</v>
      </c>
      <c r="U444">
        <v>1495.9310597362407</v>
      </c>
      <c r="V444">
        <v>9.1649044838552012</v>
      </c>
      <c r="W444">
        <v>1261.2825122778847</v>
      </c>
      <c r="X444">
        <v>6.6712432817483789</v>
      </c>
      <c r="Y444">
        <v>2852.8518585743959</v>
      </c>
      <c r="Z444">
        <v>9.1855158033214508</v>
      </c>
      <c r="AA444">
        <v>2704.1639171546058</v>
      </c>
      <c r="AB444">
        <v>6.6843717297747034</v>
      </c>
      <c r="AC444">
        <v>2173.0678976631248</v>
      </c>
      <c r="AD444">
        <v>9.1760798785662825</v>
      </c>
      <c r="AE444">
        <v>1989.1241411289311</v>
      </c>
      <c r="AF444">
        <v>6.6783698777571141</v>
      </c>
      <c r="AG444">
        <v>2077.1096125892091</v>
      </c>
      <c r="AH444">
        <v>9.1706710602534187</v>
      </c>
      <c r="AI444">
        <v>1875.0570555706438</v>
      </c>
      <c r="AJ444">
        <v>6.6749231566027127</v>
      </c>
    </row>
    <row r="445" spans="4:36" x14ac:dyDescent="0.45">
      <c r="D445">
        <v>438</v>
      </c>
      <c r="E445">
        <v>12.908374529169892</v>
      </c>
      <c r="F445">
        <v>0.4938676346710994</v>
      </c>
      <c r="G445">
        <v>0.1788575942781136</v>
      </c>
      <c r="H445">
        <v>16.418900241880891</v>
      </c>
      <c r="I445">
        <v>13.163503067782965</v>
      </c>
      <c r="J445">
        <v>0.30703750558285092</v>
      </c>
      <c r="K445">
        <v>0.11079227348031083</v>
      </c>
      <c r="L445">
        <v>16.418667153153869</v>
      </c>
      <c r="M445">
        <v>13.055259587358128</v>
      </c>
      <c r="N445">
        <v>0.38634915293846961</v>
      </c>
      <c r="O445">
        <v>0.13962547821465851</v>
      </c>
      <c r="P445">
        <v>16.418765781488748</v>
      </c>
      <c r="Q445">
        <v>13.021158714656883</v>
      </c>
      <c r="R445">
        <v>0.41132165044890906</v>
      </c>
      <c r="S445">
        <v>0.14872270136843999</v>
      </c>
      <c r="T445">
        <v>16.418796933525766</v>
      </c>
      <c r="U445">
        <v>1592.183212969542</v>
      </c>
      <c r="V445">
        <v>10.171901478892098</v>
      </c>
      <c r="W445">
        <v>1316.1081330159698</v>
      </c>
      <c r="X445">
        <v>7.2567616172956821</v>
      </c>
      <c r="Y445">
        <v>2893.7331579606935</v>
      </c>
      <c r="Z445">
        <v>10.220171516830094</v>
      </c>
      <c r="AA445">
        <v>2724.4277364650025</v>
      </c>
      <c r="AB445">
        <v>7.2846642329847562</v>
      </c>
      <c r="AC445">
        <v>2227.4065580095657</v>
      </c>
      <c r="AD445">
        <v>10.1996912360993</v>
      </c>
      <c r="AE445">
        <v>2017.336642956685</v>
      </c>
      <c r="AF445">
        <v>7.2728389425390585</v>
      </c>
      <c r="AG445">
        <v>2161.9352048684991</v>
      </c>
      <c r="AH445">
        <v>10.193239380609265</v>
      </c>
      <c r="AI445">
        <v>1925.8318536185268</v>
      </c>
      <c r="AJ445">
        <v>7.2691095826362133</v>
      </c>
    </row>
    <row r="446" spans="4:36" x14ac:dyDescent="0.45">
      <c r="D446">
        <v>439</v>
      </c>
      <c r="E446">
        <v>11.388640361794634</v>
      </c>
      <c r="F446">
        <v>0.40080513702732407</v>
      </c>
      <c r="G446">
        <v>0.15782463898261645</v>
      </c>
      <c r="H446">
        <v>18.052729862195424</v>
      </c>
      <c r="I446">
        <v>11.576609304469923</v>
      </c>
      <c r="J446">
        <v>0.26187343328623403</v>
      </c>
      <c r="K446">
        <v>0.1028133957902387</v>
      </c>
      <c r="L446">
        <v>18.058703866453587</v>
      </c>
      <c r="M446">
        <v>11.505887668755856</v>
      </c>
      <c r="N446">
        <v>0.31417004820800348</v>
      </c>
      <c r="O446">
        <v>0.12348207424778954</v>
      </c>
      <c r="P446">
        <v>18.056460208788348</v>
      </c>
      <c r="Q446">
        <v>11.479823334033179</v>
      </c>
      <c r="R446">
        <v>0.3334363541658798</v>
      </c>
      <c r="S446">
        <v>0.13110821374150544</v>
      </c>
      <c r="T446">
        <v>18.055632098059434</v>
      </c>
      <c r="U446">
        <v>1473.0700567837689</v>
      </c>
      <c r="V446">
        <v>8.955304779522903</v>
      </c>
      <c r="W446">
        <v>1247.690631515118</v>
      </c>
      <c r="X446">
        <v>6.5497618100046893</v>
      </c>
      <c r="Y446">
        <v>2857.2551076620243</v>
      </c>
      <c r="Z446">
        <v>8.9863482876138612</v>
      </c>
      <c r="AA446">
        <v>2708.4103373000266</v>
      </c>
      <c r="AB446">
        <v>6.568382331236081</v>
      </c>
      <c r="AC446">
        <v>2182.9171851746564</v>
      </c>
      <c r="AD446">
        <v>8.9746664638003661</v>
      </c>
      <c r="AE446">
        <v>1999.2957997135618</v>
      </c>
      <c r="AF446">
        <v>6.5613834539041944</v>
      </c>
      <c r="AG446">
        <v>2051.3760123920501</v>
      </c>
      <c r="AH446">
        <v>8.9703617484860914</v>
      </c>
      <c r="AI446">
        <v>1861.0096864784621</v>
      </c>
      <c r="AJ446">
        <v>6.5588019323129139</v>
      </c>
    </row>
    <row r="447" spans="4:36" x14ac:dyDescent="0.45">
      <c r="D447">
        <v>440</v>
      </c>
      <c r="E447">
        <v>12.018137029074628</v>
      </c>
      <c r="F447">
        <v>0.42236767404720615</v>
      </c>
      <c r="G447">
        <v>0.15094883636077808</v>
      </c>
      <c r="H447">
        <v>17.408546460517385</v>
      </c>
      <c r="I447">
        <v>12.19883529906528</v>
      </c>
      <c r="J447">
        <v>0.28519480545590153</v>
      </c>
      <c r="K447">
        <v>0.10164538923680161</v>
      </c>
      <c r="L447">
        <v>17.414324506242021</v>
      </c>
      <c r="M447">
        <v>12.099157007453922</v>
      </c>
      <c r="N447">
        <v>0.36088534156126578</v>
      </c>
      <c r="O447">
        <v>0.12881653810774926</v>
      </c>
      <c r="P447">
        <v>17.411141112877065</v>
      </c>
      <c r="Q447">
        <v>12.081197153715491</v>
      </c>
      <c r="R447">
        <v>0.37451735946877573</v>
      </c>
      <c r="S447">
        <v>0.13371898014375472</v>
      </c>
      <c r="T447">
        <v>17.410566506671969</v>
      </c>
      <c r="U447">
        <v>1542.9526606059806</v>
      </c>
      <c r="V447">
        <v>9.4853901956870281</v>
      </c>
      <c r="W447">
        <v>1293.8222538186571</v>
      </c>
      <c r="X447">
        <v>6.866124852291863</v>
      </c>
      <c r="Y447">
        <v>2874.6441337157394</v>
      </c>
      <c r="Z447">
        <v>9.5161040521589033</v>
      </c>
      <c r="AA447">
        <v>2717.1875784395202</v>
      </c>
      <c r="AB447">
        <v>6.8844142596504305</v>
      </c>
      <c r="AC447">
        <v>2204.5007742388671</v>
      </c>
      <c r="AD447">
        <v>9.4991589204687443</v>
      </c>
      <c r="AE447">
        <v>2008.7674832946527</v>
      </c>
      <c r="AF447">
        <v>6.8743314193678016</v>
      </c>
      <c r="AG447">
        <v>2094.5233529871284</v>
      </c>
      <c r="AH447">
        <v>9.4961064289643424</v>
      </c>
      <c r="AI447">
        <v>1886.5891006804818</v>
      </c>
      <c r="AJ447">
        <v>6.87251311655828</v>
      </c>
    </row>
    <row r="448" spans="4:36" x14ac:dyDescent="0.45">
      <c r="D448">
        <v>441</v>
      </c>
      <c r="E448">
        <v>12.63438477013516</v>
      </c>
      <c r="F448">
        <v>0.4653793887068664</v>
      </c>
      <c r="G448">
        <v>0.18821329296811665</v>
      </c>
      <c r="H448">
        <v>16.712022548189864</v>
      </c>
      <c r="I448">
        <v>12.857723632307096</v>
      </c>
      <c r="J448">
        <v>0.3022579548212061</v>
      </c>
      <c r="K448">
        <v>0.12183948483642498</v>
      </c>
      <c r="L448">
        <v>16.718178928035258</v>
      </c>
      <c r="M448">
        <v>12.765596935642142</v>
      </c>
      <c r="N448">
        <v>0.36958011778129768</v>
      </c>
      <c r="O448">
        <v>0.14917890537826525</v>
      </c>
      <c r="P448">
        <v>16.715644041198281</v>
      </c>
      <c r="Q448">
        <v>12.735714470036122</v>
      </c>
      <c r="R448">
        <v>0.39140640016136824</v>
      </c>
      <c r="S448">
        <v>0.15805869432563452</v>
      </c>
      <c r="T448">
        <v>16.714820435476877</v>
      </c>
      <c r="U448">
        <v>1565.5888975366872</v>
      </c>
      <c r="V448">
        <v>9.9742859402303967</v>
      </c>
      <c r="W448">
        <v>1298.9022640000942</v>
      </c>
      <c r="X448">
        <v>7.145630596513195</v>
      </c>
      <c r="Y448">
        <v>2903.61941575532</v>
      </c>
      <c r="Z448">
        <v>10.012704345601088</v>
      </c>
      <c r="AA448">
        <v>2731.7137282544359</v>
      </c>
      <c r="AB448">
        <v>7.1681270040027965</v>
      </c>
      <c r="AC448">
        <v>2242.1983167053027</v>
      </c>
      <c r="AD448">
        <v>9.9968545102782276</v>
      </c>
      <c r="AE448">
        <v>2029.0577182108941</v>
      </c>
      <c r="AF448">
        <v>7.1588560661193776</v>
      </c>
      <c r="AG448">
        <v>2103.2680601115926</v>
      </c>
      <c r="AH448">
        <v>9.9917141185963505</v>
      </c>
      <c r="AI448">
        <v>1884.9829482735047</v>
      </c>
      <c r="AJ448">
        <v>7.1558462865002239</v>
      </c>
    </row>
    <row r="449" spans="4:36" x14ac:dyDescent="0.45">
      <c r="D449">
        <v>442</v>
      </c>
      <c r="E449">
        <v>13.510238416663729</v>
      </c>
      <c r="F449">
        <v>0.48357387943538754</v>
      </c>
      <c r="G449">
        <v>0.16324391154436343</v>
      </c>
      <c r="H449">
        <v>15.842943792356534</v>
      </c>
      <c r="I449">
        <v>13.766977838163532</v>
      </c>
      <c r="J449">
        <v>0.30925874887942711</v>
      </c>
      <c r="K449">
        <v>0.10404929889712196</v>
      </c>
      <c r="L449">
        <v>15.819714114059929</v>
      </c>
      <c r="M449">
        <v>13.655217468248187</v>
      </c>
      <c r="N449">
        <v>0.38519030234492257</v>
      </c>
      <c r="O449">
        <v>0.12978482967506205</v>
      </c>
      <c r="P449">
        <v>15.829807399731832</v>
      </c>
      <c r="Q449">
        <v>13.619870595973957</v>
      </c>
      <c r="R449">
        <v>0.40918914717799754</v>
      </c>
      <c r="S449">
        <v>0.13793462421955807</v>
      </c>
      <c r="T449">
        <v>15.833005632628485</v>
      </c>
      <c r="U449">
        <v>1589.7213660410252</v>
      </c>
      <c r="V449">
        <v>10.745074181593704</v>
      </c>
      <c r="W449">
        <v>1310.2672619238137</v>
      </c>
      <c r="X449">
        <v>7.6045929612854453</v>
      </c>
      <c r="Y449">
        <v>2943.5704211307607</v>
      </c>
      <c r="Z449">
        <v>10.807032145925463</v>
      </c>
      <c r="AA449">
        <v>2756.6869475849458</v>
      </c>
      <c r="AB449">
        <v>7.6390162647820974</v>
      </c>
      <c r="AC449">
        <v>2260.3798740506154</v>
      </c>
      <c r="AD449">
        <v>10.78007201977713</v>
      </c>
      <c r="AE449">
        <v>2037.2190182141039</v>
      </c>
      <c r="AF449">
        <v>7.6240507239996891</v>
      </c>
      <c r="AG449">
        <v>2168.8134771382493</v>
      </c>
      <c r="AH449">
        <v>10.771541856167108</v>
      </c>
      <c r="AI449">
        <v>1926.721302791573</v>
      </c>
      <c r="AJ449">
        <v>7.6193113990895691</v>
      </c>
    </row>
    <row r="450" spans="4:36" x14ac:dyDescent="0.45">
      <c r="D450">
        <v>443</v>
      </c>
      <c r="E450">
        <v>14.061789890426837</v>
      </c>
      <c r="F450">
        <v>0.50839211431146225</v>
      </c>
      <c r="G450">
        <v>0.18397532038778289</v>
      </c>
      <c r="H450">
        <v>15.245842674873927</v>
      </c>
      <c r="I450">
        <v>14.326782263930779</v>
      </c>
      <c r="J450">
        <v>0.32896972215253772</v>
      </c>
      <c r="K450">
        <v>0.11861989752701566</v>
      </c>
      <c r="L450">
        <v>15.225628116389659</v>
      </c>
      <c r="M450">
        <v>14.215084425679017</v>
      </c>
      <c r="N450">
        <v>0.40465138258382272</v>
      </c>
      <c r="O450">
        <v>0.14612912448573509</v>
      </c>
      <c r="P450">
        <v>15.234135067251431</v>
      </c>
      <c r="Q450">
        <v>14.184959654785985</v>
      </c>
      <c r="R450">
        <v>0.42504953439666371</v>
      </c>
      <c r="S450">
        <v>0.15355801142677733</v>
      </c>
      <c r="T450">
        <v>15.236432799390569</v>
      </c>
      <c r="U450">
        <v>1638.2947415453255</v>
      </c>
      <c r="V450">
        <v>11.122594338812734</v>
      </c>
      <c r="W450">
        <v>1337.445421559212</v>
      </c>
      <c r="X450">
        <v>7.8085631474592887</v>
      </c>
      <c r="Y450">
        <v>2974.829862015928</v>
      </c>
      <c r="Z450">
        <v>11.185513505924337</v>
      </c>
      <c r="AA450">
        <v>2773.7254829312806</v>
      </c>
      <c r="AB450">
        <v>7.8435214257315753</v>
      </c>
      <c r="AC450">
        <v>2300.3239191276411</v>
      </c>
      <c r="AD450">
        <v>11.15899990504882</v>
      </c>
      <c r="AE450">
        <v>2059.7402045921317</v>
      </c>
      <c r="AF450">
        <v>7.8288038225595882</v>
      </c>
      <c r="AG450">
        <v>2187.3778738803876</v>
      </c>
      <c r="AH450">
        <v>11.151847313163625</v>
      </c>
      <c r="AI450">
        <v>1934.0679947081289</v>
      </c>
      <c r="AJ450">
        <v>7.8248300889804323</v>
      </c>
    </row>
    <row r="451" spans="4:36" x14ac:dyDescent="0.45">
      <c r="D451">
        <v>444</v>
      </c>
      <c r="E451">
        <v>12.690962443890369</v>
      </c>
      <c r="F451">
        <v>0.49297086606547563</v>
      </c>
      <c r="G451">
        <v>0.17628104719815058</v>
      </c>
      <c r="H451">
        <v>16.639785642846004</v>
      </c>
      <c r="I451">
        <v>12.919702747449067</v>
      </c>
      <c r="J451">
        <v>0.31983919415430678</v>
      </c>
      <c r="K451">
        <v>0.11398531270404105</v>
      </c>
      <c r="L451">
        <v>16.646472745692591</v>
      </c>
      <c r="M451">
        <v>12.855732061219269</v>
      </c>
      <c r="N451">
        <v>0.36828614929696235</v>
      </c>
      <c r="O451">
        <v>0.13137438499575724</v>
      </c>
      <c r="P451">
        <v>16.644607404488006</v>
      </c>
      <c r="Q451">
        <v>12.794393392785409</v>
      </c>
      <c r="R451">
        <v>0.41471940891586362</v>
      </c>
      <c r="S451">
        <v>0.14807187847404313</v>
      </c>
      <c r="T451">
        <v>16.642815319824692</v>
      </c>
      <c r="U451">
        <v>1587.2622835054669</v>
      </c>
      <c r="V451">
        <v>10.069306442385045</v>
      </c>
      <c r="W451">
        <v>1315.1841188018113</v>
      </c>
      <c r="X451">
        <v>7.2051868461117099</v>
      </c>
      <c r="Y451">
        <v>2879.0457082607718</v>
      </c>
      <c r="Z451">
        <v>10.106760024387945</v>
      </c>
      <c r="AA451">
        <v>2714.4775646176108</v>
      </c>
      <c r="AB451">
        <v>7.2272629409400118</v>
      </c>
      <c r="AC451">
        <v>2216.0443502005814</v>
      </c>
      <c r="AD451">
        <v>10.09628226822282</v>
      </c>
      <c r="AE451">
        <v>2012.4528144669243</v>
      </c>
      <c r="AF451">
        <v>7.2210958172028858</v>
      </c>
      <c r="AG451">
        <v>2117.963957989421</v>
      </c>
      <c r="AH451">
        <v>10.086238003086285</v>
      </c>
      <c r="AI451">
        <v>1896.1034399481696</v>
      </c>
      <c r="AJ451">
        <v>7.2151775067712238</v>
      </c>
    </row>
    <row r="452" spans="4:36" x14ac:dyDescent="0.45">
      <c r="D452">
        <v>445</v>
      </c>
      <c r="E452">
        <v>12.656507967795017</v>
      </c>
      <c r="F452">
        <v>0.4865151540923966</v>
      </c>
      <c r="G452">
        <v>0.15808797309942302</v>
      </c>
      <c r="H452">
        <v>16.69888890501316</v>
      </c>
      <c r="I452">
        <v>12.883191400024799</v>
      </c>
      <c r="J452">
        <v>0.31256905488301401</v>
      </c>
      <c r="K452">
        <v>0.10123541255095612</v>
      </c>
      <c r="L452">
        <v>16.703004132541224</v>
      </c>
      <c r="M452">
        <v>12.782087421777968</v>
      </c>
      <c r="N452">
        <v>0.39018416794943861</v>
      </c>
      <c r="O452">
        <v>0.12655668197895831</v>
      </c>
      <c r="P452">
        <v>16.701171728293634</v>
      </c>
      <c r="Q452">
        <v>12.780956947602535</v>
      </c>
      <c r="R452">
        <v>0.39105170950537688</v>
      </c>
      <c r="S452">
        <v>0.1268401308450961</v>
      </c>
      <c r="T452">
        <v>16.701151212046987</v>
      </c>
      <c r="U452">
        <v>1565.0970900296154</v>
      </c>
      <c r="V452">
        <v>9.9710984629961725</v>
      </c>
      <c r="W452">
        <v>1300.5756829853281</v>
      </c>
      <c r="X452">
        <v>7.1419775441029465</v>
      </c>
      <c r="Y452">
        <v>2897.4066978173655</v>
      </c>
      <c r="Z452">
        <v>10.011152268969971</v>
      </c>
      <c r="AA452">
        <v>2728.8035535719405</v>
      </c>
      <c r="AB452">
        <v>7.1653032771689942</v>
      </c>
      <c r="AC452">
        <v>2248.8220605133324</v>
      </c>
      <c r="AD452">
        <v>9.9932863647798804</v>
      </c>
      <c r="AE452">
        <v>2035.1491692339694</v>
      </c>
      <c r="AF452">
        <v>7.154909469657329</v>
      </c>
      <c r="AG452">
        <v>2104.9802500500732</v>
      </c>
      <c r="AH452">
        <v>9.9930866128997291</v>
      </c>
      <c r="AI452">
        <v>1889.2416628413494</v>
      </c>
      <c r="AJ452">
        <v>7.1547931647016325</v>
      </c>
    </row>
    <row r="453" spans="4:36" x14ac:dyDescent="0.45">
      <c r="D453">
        <v>446</v>
      </c>
      <c r="E453">
        <v>13.37277436308081</v>
      </c>
      <c r="F453">
        <v>0.51010402570295188</v>
      </c>
      <c r="G453">
        <v>0.19766149056959265</v>
      </c>
      <c r="H453">
        <v>15.919460120646631</v>
      </c>
      <c r="I453">
        <v>13.61220537811387</v>
      </c>
      <c r="J453">
        <v>0.33379312629788338</v>
      </c>
      <c r="K453">
        <v>0.12890556123495775</v>
      </c>
      <c r="L453">
        <v>15.925095934353307</v>
      </c>
      <c r="M453">
        <v>13.500532477427138</v>
      </c>
      <c r="N453">
        <v>0.41606538639258422</v>
      </c>
      <c r="O453">
        <v>0.16093046226726235</v>
      </c>
      <c r="P453">
        <v>15.922471673913035</v>
      </c>
      <c r="Q453">
        <v>13.469299132099312</v>
      </c>
      <c r="R453">
        <v>0.43906356825598897</v>
      </c>
      <c r="S453">
        <v>0.16990094632333758</v>
      </c>
      <c r="T453">
        <v>15.921736353321354</v>
      </c>
      <c r="U453">
        <v>1622.1447193810425</v>
      </c>
      <c r="V453">
        <v>10.544013766461701</v>
      </c>
      <c r="W453">
        <v>1328.7776392674455</v>
      </c>
      <c r="X453">
        <v>7.4683025155769007</v>
      </c>
      <c r="Y453">
        <v>2972.110191567479</v>
      </c>
      <c r="Z453">
        <v>10.584423684256519</v>
      </c>
      <c r="AA453">
        <v>2773.5020938200973</v>
      </c>
      <c r="AB453">
        <v>7.4916686876548404</v>
      </c>
      <c r="AC453">
        <v>2306.3674499480476</v>
      </c>
      <c r="AD453">
        <v>10.565573807960003</v>
      </c>
      <c r="AE453">
        <v>2065.5424176329939</v>
      </c>
      <c r="AF453">
        <v>7.4807797017893582</v>
      </c>
      <c r="AG453">
        <v>2174.2369768113904</v>
      </c>
      <c r="AH453">
        <v>10.56030248068144</v>
      </c>
      <c r="AI453">
        <v>1926.1233953944331</v>
      </c>
      <c r="AJ453">
        <v>7.4777313332707109</v>
      </c>
    </row>
    <row r="454" spans="4:36" x14ac:dyDescent="0.45">
      <c r="D454">
        <v>447</v>
      </c>
      <c r="E454">
        <v>13.776762052546681</v>
      </c>
      <c r="F454">
        <v>0.39595565139669647</v>
      </c>
      <c r="G454">
        <v>0.17645620512723442</v>
      </c>
      <c r="H454">
        <v>15.650826090929389</v>
      </c>
      <c r="I454">
        <v>14.006294875351898</v>
      </c>
      <c r="J454">
        <v>0.26055197401133645</v>
      </c>
      <c r="K454">
        <v>0.11572444254011341</v>
      </c>
      <c r="L454">
        <v>15.617428708096639</v>
      </c>
      <c r="M454">
        <v>13.867659834736623</v>
      </c>
      <c r="N454">
        <v>0.34237964590261483</v>
      </c>
      <c r="O454">
        <v>0.1523764326045515</v>
      </c>
      <c r="P454">
        <v>15.637584086756222</v>
      </c>
      <c r="Q454">
        <v>13.840907308608557</v>
      </c>
      <c r="R454">
        <v>0.35815406416404993</v>
      </c>
      <c r="S454">
        <v>0.15945945077326532</v>
      </c>
      <c r="T454">
        <v>15.641479176454137</v>
      </c>
      <c r="U454">
        <v>1588.3191545423394</v>
      </c>
      <c r="V454">
        <v>10.894374460567624</v>
      </c>
      <c r="W454">
        <v>1314.819524501959</v>
      </c>
      <c r="X454">
        <v>7.6891019143081083</v>
      </c>
      <c r="Y454">
        <v>2901.5208011371064</v>
      </c>
      <c r="Z454">
        <v>10.959595547144223</v>
      </c>
      <c r="AA454">
        <v>2729.9417122373984</v>
      </c>
      <c r="AB454">
        <v>7.7251822887611992</v>
      </c>
      <c r="AC454">
        <v>2259.0109322501585</v>
      </c>
      <c r="AD454">
        <v>10.920212041943188</v>
      </c>
      <c r="AE454">
        <v>2038.7824182359686</v>
      </c>
      <c r="AF454">
        <v>7.7034072046626809</v>
      </c>
      <c r="AG454">
        <v>2140.7528819507015</v>
      </c>
      <c r="AH454">
        <v>10.912608934752544</v>
      </c>
      <c r="AI454">
        <v>1909.8735301337288</v>
      </c>
      <c r="AJ454">
        <v>7.6991992858674845</v>
      </c>
    </row>
    <row r="455" spans="4:36" x14ac:dyDescent="0.45">
      <c r="D455">
        <v>448</v>
      </c>
      <c r="E455">
        <v>12.840751303639767</v>
      </c>
      <c r="F455">
        <v>0.44599858950665094</v>
      </c>
      <c r="G455">
        <v>0.16045524072444114</v>
      </c>
      <c r="H455">
        <v>16.552794866129126</v>
      </c>
      <c r="I455">
        <v>13.033605995264613</v>
      </c>
      <c r="J455">
        <v>0.30906910270765209</v>
      </c>
      <c r="K455">
        <v>0.11089292283873931</v>
      </c>
      <c r="L455">
        <v>16.546431979188991</v>
      </c>
      <c r="M455">
        <v>12.946012361055429</v>
      </c>
      <c r="N455">
        <v>0.37128971556169243</v>
      </c>
      <c r="O455">
        <v>0.13338032352439561</v>
      </c>
      <c r="P455">
        <v>16.54931759985849</v>
      </c>
      <c r="Q455">
        <v>12.979639283159772</v>
      </c>
      <c r="R455">
        <v>0.34740888644379742</v>
      </c>
      <c r="S455">
        <v>0.12474286676773304</v>
      </c>
      <c r="T455">
        <v>16.54820896362871</v>
      </c>
      <c r="U455">
        <v>1584.09031942708</v>
      </c>
      <c r="V455">
        <v>10.132781963335049</v>
      </c>
      <c r="W455">
        <v>1314.8895880783516</v>
      </c>
      <c r="X455">
        <v>7.2434207458124318</v>
      </c>
      <c r="Y455">
        <v>2914.9094935798812</v>
      </c>
      <c r="Z455">
        <v>10.175131682748976</v>
      </c>
      <c r="AA455">
        <v>2740.092867429682</v>
      </c>
      <c r="AB455">
        <v>7.2675873183381263</v>
      </c>
      <c r="AC455">
        <v>2235.6985690137449</v>
      </c>
      <c r="AD455">
        <v>10.155899057379234</v>
      </c>
      <c r="AE455">
        <v>2025.2271670722312</v>
      </c>
      <c r="AF455">
        <v>7.2566207292055704</v>
      </c>
      <c r="AG455">
        <v>2113.3150792593606</v>
      </c>
      <c r="AH455">
        <v>10.163282872792156</v>
      </c>
      <c r="AI455">
        <v>1896.561536054654</v>
      </c>
      <c r="AJ455">
        <v>7.2608326747862213</v>
      </c>
    </row>
    <row r="456" spans="4:36" x14ac:dyDescent="0.45">
      <c r="D456">
        <v>449</v>
      </c>
      <c r="E456">
        <v>11.529213363652948</v>
      </c>
      <c r="F456">
        <v>0.46208047156331106</v>
      </c>
      <c r="G456">
        <v>0.13841402792626256</v>
      </c>
      <c r="H456">
        <v>17.870292136857479</v>
      </c>
      <c r="I456">
        <v>11.709612879516982</v>
      </c>
      <c r="J456">
        <v>0.30547930741402185</v>
      </c>
      <c r="K456">
        <v>9.1270964128526311E-2</v>
      </c>
      <c r="L456">
        <v>17.893636848940467</v>
      </c>
      <c r="M456">
        <v>11.636399571212829</v>
      </c>
      <c r="N456">
        <v>0.36904742473488117</v>
      </c>
      <c r="O456">
        <v>0.11037800379355384</v>
      </c>
      <c r="P456">
        <v>17.884175000258743</v>
      </c>
      <c r="Q456">
        <v>11.616657039623201</v>
      </c>
      <c r="R456">
        <v>0.38618599693327094</v>
      </c>
      <c r="S456">
        <v>0.11553630535517408</v>
      </c>
      <c r="T456">
        <v>17.881620658088362</v>
      </c>
      <c r="U456">
        <v>1507.3487009434182</v>
      </c>
      <c r="V456">
        <v>9.1163040652272613</v>
      </c>
      <c r="W456">
        <v>1269.9064527204748</v>
      </c>
      <c r="X456">
        <v>6.6474094690326773</v>
      </c>
      <c r="Y456">
        <v>2851.712314501362</v>
      </c>
      <c r="Z456">
        <v>9.138284144731502</v>
      </c>
      <c r="AA456">
        <v>2702.1576236533565</v>
      </c>
      <c r="AB456">
        <v>6.661394281147774</v>
      </c>
      <c r="AC456">
        <v>2174.9506036171592</v>
      </c>
      <c r="AD456">
        <v>9.1293562941468576</v>
      </c>
      <c r="AE456">
        <v>1990.5818643904547</v>
      </c>
      <c r="AF456">
        <v>6.6557215793433846</v>
      </c>
      <c r="AG456">
        <v>2056.4931076187072</v>
      </c>
      <c r="AH456">
        <v>9.1269505689975201</v>
      </c>
      <c r="AI456">
        <v>1862.1591124240761</v>
      </c>
      <c r="AJ456">
        <v>6.6541912188546961</v>
      </c>
    </row>
    <row r="457" spans="4:36" x14ac:dyDescent="0.45">
      <c r="D457">
        <v>450</v>
      </c>
      <c r="E457">
        <v>12.584379283868602</v>
      </c>
      <c r="F457">
        <v>0.47577062584133523</v>
      </c>
      <c r="G457">
        <v>0.16263438933592567</v>
      </c>
      <c r="H457">
        <v>16.77721570095413</v>
      </c>
      <c r="I457">
        <v>12.836387802006394</v>
      </c>
      <c r="J457">
        <v>0.28765246171303382</v>
      </c>
      <c r="K457">
        <v>9.7961571811924969E-2</v>
      </c>
      <c r="L457">
        <v>16.777998164468652</v>
      </c>
      <c r="M457">
        <v>12.714810153082134</v>
      </c>
      <c r="N457">
        <v>0.37845106029419934</v>
      </c>
      <c r="O457">
        <v>0.12911567786637282</v>
      </c>
      <c r="P457">
        <v>16.777623108757293</v>
      </c>
      <c r="Q457">
        <v>12.711398406438779</v>
      </c>
      <c r="R457">
        <v>0.38099790209912704</v>
      </c>
      <c r="S457">
        <v>0.12999117260766097</v>
      </c>
      <c r="T457">
        <v>16.777612518854443</v>
      </c>
      <c r="U457">
        <v>1551.4630872602984</v>
      </c>
      <c r="V457">
        <v>10.035386917866052</v>
      </c>
      <c r="W457">
        <v>1292.063488748895</v>
      </c>
      <c r="X457">
        <v>7.1973669677706615</v>
      </c>
      <c r="Y457">
        <v>2892.02666868509</v>
      </c>
      <c r="Z457">
        <v>10.085743289381877</v>
      </c>
      <c r="AA457">
        <v>2727.1033751320506</v>
      </c>
      <c r="AB457">
        <v>7.2266998956728328</v>
      </c>
      <c r="AC457">
        <v>2228.0480519377675</v>
      </c>
      <c r="AD457">
        <v>10.06144777633099</v>
      </c>
      <c r="AE457">
        <v>2021.4606291722071</v>
      </c>
      <c r="AF457">
        <v>7.2125626622233634</v>
      </c>
      <c r="AG457">
        <v>2115.0576875269853</v>
      </c>
      <c r="AH457">
        <v>10.060766038255181</v>
      </c>
      <c r="AI457">
        <v>1897.6801741331519</v>
      </c>
      <c r="AJ457">
        <v>7.2121655651998555</v>
      </c>
    </row>
    <row r="458" spans="4:36" x14ac:dyDescent="0.45">
      <c r="D458">
        <v>451</v>
      </c>
      <c r="E458">
        <v>11.993075569436506</v>
      </c>
      <c r="F458">
        <v>0.45614172883625625</v>
      </c>
      <c r="G458">
        <v>0.17594133833116837</v>
      </c>
      <c r="H458">
        <v>17.374841363396065</v>
      </c>
      <c r="I458">
        <v>12.182530402203028</v>
      </c>
      <c r="J458">
        <v>0.30741651815126214</v>
      </c>
      <c r="K458">
        <v>0.11822848424332728</v>
      </c>
      <c r="L458">
        <v>17.391824595402376</v>
      </c>
      <c r="M458">
        <v>12.108218485776165</v>
      </c>
      <c r="N458">
        <v>0.3657739912937425</v>
      </c>
      <c r="O458">
        <v>0.14083324122254459</v>
      </c>
      <c r="P458">
        <v>17.385174281707549</v>
      </c>
      <c r="Q458">
        <v>12.092640011607367</v>
      </c>
      <c r="R458">
        <v>0.37800434987329734</v>
      </c>
      <c r="S458">
        <v>0.1455773297687179</v>
      </c>
      <c r="T458">
        <v>17.3837783087506</v>
      </c>
      <c r="U458">
        <v>1471.3317566317389</v>
      </c>
      <c r="V458">
        <v>9.4789343430921953</v>
      </c>
      <c r="W458">
        <v>1237.8243904515994</v>
      </c>
      <c r="X458">
        <v>6.8586449460994086</v>
      </c>
      <c r="Y458">
        <v>2899.4761635874847</v>
      </c>
      <c r="Z458">
        <v>9.5061550664700185</v>
      </c>
      <c r="AA458">
        <v>2732.727799593501</v>
      </c>
      <c r="AB458">
        <v>6.8753354830365021</v>
      </c>
      <c r="AC458">
        <v>2206.9125270755981</v>
      </c>
      <c r="AD458">
        <v>9.4954719442202968</v>
      </c>
      <c r="AE458">
        <v>2009.2019025210066</v>
      </c>
      <c r="AF458">
        <v>6.8687931086304213</v>
      </c>
      <c r="AG458">
        <v>2101.6001585240651</v>
      </c>
      <c r="AH458">
        <v>9.4932333591676539</v>
      </c>
      <c r="AI458">
        <v>1890.4908820816981</v>
      </c>
      <c r="AJ458">
        <v>6.8674208836437964</v>
      </c>
    </row>
    <row r="459" spans="4:36" x14ac:dyDescent="0.45">
      <c r="D459">
        <v>452</v>
      </c>
      <c r="E459">
        <v>12.846072973840331</v>
      </c>
      <c r="F459">
        <v>0.49357828048040953</v>
      </c>
      <c r="G459">
        <v>0.16021022032466678</v>
      </c>
      <c r="H459">
        <v>16.500138525354604</v>
      </c>
      <c r="I459">
        <v>13.101660206817835</v>
      </c>
      <c r="J459">
        <v>0.30191261994939361</v>
      </c>
      <c r="K459">
        <v>9.766290962667093E-2</v>
      </c>
      <c r="L459">
        <v>16.498764263606098</v>
      </c>
      <c r="M459">
        <v>13.003571784302206</v>
      </c>
      <c r="N459">
        <v>0.37551115391423728</v>
      </c>
      <c r="O459">
        <v>0.12162940923319321</v>
      </c>
      <c r="P459">
        <v>16.499287652550368</v>
      </c>
      <c r="Q459">
        <v>12.967703428261901</v>
      </c>
      <c r="R459">
        <v>0.40241128276407895</v>
      </c>
      <c r="S459">
        <v>0.13040500370050101</v>
      </c>
      <c r="T459">
        <v>16.49948028527351</v>
      </c>
      <c r="U459">
        <v>1572.3324911146301</v>
      </c>
      <c r="V459">
        <v>10.083610494303407</v>
      </c>
      <c r="W459">
        <v>1303.824947207919</v>
      </c>
      <c r="X459">
        <v>7.2022134486368588</v>
      </c>
      <c r="Y459">
        <v>2905.6336502689819</v>
      </c>
      <c r="Z459">
        <v>10.131936071379489</v>
      </c>
      <c r="AA459">
        <v>2734.5579392146637</v>
      </c>
      <c r="AB459">
        <v>7.2299642933941586</v>
      </c>
      <c r="AC459">
        <v>2241.4065104047372</v>
      </c>
      <c r="AD459">
        <v>10.113391611922586</v>
      </c>
      <c r="AE459">
        <v>2029.7044017706307</v>
      </c>
      <c r="AF459">
        <v>7.2193276037327214</v>
      </c>
      <c r="AG459">
        <v>2112.4012345423248</v>
      </c>
      <c r="AH459">
        <v>10.106609843694395</v>
      </c>
      <c r="AI459">
        <v>1892.5564222404744</v>
      </c>
      <c r="AJ459">
        <v>7.2154338901960662</v>
      </c>
    </row>
    <row r="460" spans="4:36" x14ac:dyDescent="0.45">
      <c r="D460">
        <v>453</v>
      </c>
      <c r="E460">
        <v>12.551827601411063</v>
      </c>
      <c r="F460">
        <v>0.47556298718337164</v>
      </c>
      <c r="G460">
        <v>0.16367071564708741</v>
      </c>
      <c r="H460">
        <v>16.808938695758485</v>
      </c>
      <c r="I460">
        <v>12.804724948592556</v>
      </c>
      <c r="J460">
        <v>0.28584911360044002</v>
      </c>
      <c r="K460">
        <v>9.802545164641302E-2</v>
      </c>
      <c r="L460">
        <v>16.811400486160597</v>
      </c>
      <c r="M460">
        <v>12.675007553586807</v>
      </c>
      <c r="N460">
        <v>0.38320190150342975</v>
      </c>
      <c r="O460">
        <v>0.13165188757203242</v>
      </c>
      <c r="P460">
        <v>16.810138657337717</v>
      </c>
      <c r="Q460">
        <v>12.666145207862421</v>
      </c>
      <c r="R460">
        <v>0.38984973282423219</v>
      </c>
      <c r="S460">
        <v>0.13395267851914397</v>
      </c>
      <c r="T460">
        <v>16.81005238079419</v>
      </c>
      <c r="U460">
        <v>1564.3971244867732</v>
      </c>
      <c r="V460">
        <v>9.9656186601737566</v>
      </c>
      <c r="W460">
        <v>1300.9104943486475</v>
      </c>
      <c r="X460">
        <v>7.1522954612684995</v>
      </c>
      <c r="Y460">
        <v>2889.6056168169057</v>
      </c>
      <c r="Z460">
        <v>10.018802094988594</v>
      </c>
      <c r="AA460">
        <v>2725.2015241001982</v>
      </c>
      <c r="AB460">
        <v>7.1831993179056228</v>
      </c>
      <c r="AC460">
        <v>2228.3815142106728</v>
      </c>
      <c r="AD460">
        <v>9.9915223445399199</v>
      </c>
      <c r="AE460">
        <v>2020.9377014742238</v>
      </c>
      <c r="AF460">
        <v>7.1673632507043159</v>
      </c>
      <c r="AG460">
        <v>2126.3534230096138</v>
      </c>
      <c r="AH460">
        <v>9.9896586292427969</v>
      </c>
      <c r="AI460">
        <v>1904.7734648608518</v>
      </c>
      <c r="AJ460">
        <v>7.1662801546997077</v>
      </c>
    </row>
    <row r="461" spans="4:36" x14ac:dyDescent="0.45">
      <c r="D461">
        <v>454</v>
      </c>
      <c r="E461">
        <v>11.982750006919854</v>
      </c>
      <c r="F461">
        <v>0.47191460036050203</v>
      </c>
      <c r="G461">
        <v>0.15463563855725596</v>
      </c>
      <c r="H461">
        <v>17.390699754162391</v>
      </c>
      <c r="I461">
        <v>12.225401829531014</v>
      </c>
      <c r="J461">
        <v>0.28717226863788869</v>
      </c>
      <c r="K461">
        <v>9.3773653554970721E-2</v>
      </c>
      <c r="L461">
        <v>17.39365224827613</v>
      </c>
      <c r="M461">
        <v>12.145573785277572</v>
      </c>
      <c r="N461">
        <v>0.34798442863278056</v>
      </c>
      <c r="O461">
        <v>0.11376051076215435</v>
      </c>
      <c r="P461">
        <v>17.39268127532749</v>
      </c>
      <c r="Q461">
        <v>12.100968636206849</v>
      </c>
      <c r="R461">
        <v>0.38194915788065253</v>
      </c>
      <c r="S461">
        <v>0.12494362423575968</v>
      </c>
      <c r="T461">
        <v>17.392138581676733</v>
      </c>
      <c r="U461">
        <v>1504.1342969022535</v>
      </c>
      <c r="V461">
        <v>9.5030296920955202</v>
      </c>
      <c r="W461">
        <v>1265.8028550900101</v>
      </c>
      <c r="X461">
        <v>6.8786952365778058</v>
      </c>
      <c r="Y461">
        <v>2842.6537109134238</v>
      </c>
      <c r="Z461">
        <v>9.5460668843676313</v>
      </c>
      <c r="AA461">
        <v>2696.2127211645957</v>
      </c>
      <c r="AB461">
        <v>6.9039704847585526</v>
      </c>
      <c r="AC461">
        <v>2170.8409255885313</v>
      </c>
      <c r="AD461">
        <v>9.531907856226562</v>
      </c>
      <c r="AE461">
        <v>1988.2157612105159</v>
      </c>
      <c r="AF461">
        <v>6.8956667179854749</v>
      </c>
      <c r="AG461">
        <v>2067.2141388704645</v>
      </c>
      <c r="AH461">
        <v>9.5239965256742103</v>
      </c>
      <c r="AI461">
        <v>1869.376594257536</v>
      </c>
      <c r="AJ461">
        <v>6.8910220500988846</v>
      </c>
    </row>
    <row r="462" spans="4:36" x14ac:dyDescent="0.45">
      <c r="D462">
        <v>455</v>
      </c>
      <c r="E462">
        <v>13.849435185868503</v>
      </c>
      <c r="F462">
        <v>0.52940779011574002</v>
      </c>
      <c r="G462">
        <v>0.1707706809724166</v>
      </c>
      <c r="H462">
        <v>15.450386343043331</v>
      </c>
      <c r="I462">
        <v>14.100033218731626</v>
      </c>
      <c r="J462">
        <v>0.34470052354600184</v>
      </c>
      <c r="K462">
        <v>0.11083338684271846</v>
      </c>
      <c r="L462">
        <v>15.444432870879632</v>
      </c>
      <c r="M462">
        <v>13.981420845739548</v>
      </c>
      <c r="N462">
        <v>0.43216754533895424</v>
      </c>
      <c r="O462">
        <v>0.13916759405762247</v>
      </c>
      <c r="P462">
        <v>15.447244014863875</v>
      </c>
      <c r="Q462">
        <v>13.952350939530975</v>
      </c>
      <c r="R462">
        <v>0.45359280182332029</v>
      </c>
      <c r="S462">
        <v>0.14612143965033805</v>
      </c>
      <c r="T462">
        <v>15.447934818995355</v>
      </c>
      <c r="U462">
        <v>1612.8364332842068</v>
      </c>
      <c r="V462">
        <v>10.908688013191449</v>
      </c>
      <c r="W462">
        <v>1324.3621536548092</v>
      </c>
      <c r="X462">
        <v>7.6777742398262401</v>
      </c>
      <c r="Y462">
        <v>2953.4362047642876</v>
      </c>
      <c r="Z462">
        <v>10.957394248196845</v>
      </c>
      <c r="AA462">
        <v>2761.7165497087749</v>
      </c>
      <c r="AB462">
        <v>7.7051091083468322</v>
      </c>
      <c r="AC462">
        <v>2304.2488628472647</v>
      </c>
      <c r="AD462">
        <v>10.934344849171298</v>
      </c>
      <c r="AE462">
        <v>2065.7584127109949</v>
      </c>
      <c r="AF462">
        <v>7.6921841220113985</v>
      </c>
      <c r="AG462">
        <v>2186.2181760408807</v>
      </c>
      <c r="AH462">
        <v>10.928694707120002</v>
      </c>
      <c r="AI462">
        <v>1936.6846223722303</v>
      </c>
      <c r="AJ462">
        <v>7.6890128534439643</v>
      </c>
    </row>
    <row r="463" spans="4:36" x14ac:dyDescent="0.45">
      <c r="D463">
        <v>456</v>
      </c>
      <c r="E463">
        <v>13.589550130347614</v>
      </c>
      <c r="F463">
        <v>0.48301843755378721</v>
      </c>
      <c r="G463">
        <v>0.14967551869853774</v>
      </c>
      <c r="H463">
        <v>15.777755913400068</v>
      </c>
      <c r="I463">
        <v>13.778179581344792</v>
      </c>
      <c r="J463">
        <v>0.34576733612785066</v>
      </c>
      <c r="K463">
        <v>0.106875635724028</v>
      </c>
      <c r="L463">
        <v>15.769177446803324</v>
      </c>
      <c r="M463">
        <v>13.686268113439807</v>
      </c>
      <c r="N463">
        <v>0.41266900949247609</v>
      </c>
      <c r="O463">
        <v>0.12771068944241024</v>
      </c>
      <c r="P463">
        <v>15.773352187625299</v>
      </c>
      <c r="Q463">
        <v>13.657173968881558</v>
      </c>
      <c r="R463">
        <v>0.43383662688029201</v>
      </c>
      <c r="S463">
        <v>0.13431366883962756</v>
      </c>
      <c r="T463">
        <v>15.774675735398537</v>
      </c>
      <c r="U463">
        <v>1564.8405045437967</v>
      </c>
      <c r="V463">
        <v>10.579465194289352</v>
      </c>
      <c r="W463">
        <v>1297.3365861612492</v>
      </c>
      <c r="X463">
        <v>7.478170723714392</v>
      </c>
      <c r="Y463">
        <v>2938.8623171341778</v>
      </c>
      <c r="Z463">
        <v>10.617719956869298</v>
      </c>
      <c r="AA463">
        <v>2754.0681941363796</v>
      </c>
      <c r="AB463">
        <v>7.4996494536548211</v>
      </c>
      <c r="AC463">
        <v>2261.821938933329</v>
      </c>
      <c r="AD463">
        <v>10.599082929822046</v>
      </c>
      <c r="AE463">
        <v>2040.316387125702</v>
      </c>
      <c r="AF463">
        <v>7.4891919315838011</v>
      </c>
      <c r="AG463">
        <v>2131.843640677399</v>
      </c>
      <c r="AH463">
        <v>10.593182295146782</v>
      </c>
      <c r="AI463">
        <v>1902.9214796545696</v>
      </c>
      <c r="AJ463">
        <v>7.4858784176950079</v>
      </c>
    </row>
    <row r="464" spans="4:36" x14ac:dyDescent="0.45">
      <c r="D464">
        <v>457</v>
      </c>
      <c r="E464">
        <v>11.589037912971913</v>
      </c>
      <c r="F464">
        <v>0.46413267684510284</v>
      </c>
      <c r="G464">
        <v>0.14232268528268435</v>
      </c>
      <c r="H464">
        <v>17.804506724900303</v>
      </c>
      <c r="I464">
        <v>11.804149511910801</v>
      </c>
      <c r="J464">
        <v>0.28884589058169707</v>
      </c>
      <c r="K464">
        <v>8.8294046499654721E-2</v>
      </c>
      <c r="L464">
        <v>17.818710551007847</v>
      </c>
      <c r="M464">
        <v>11.73316002067261</v>
      </c>
      <c r="N464">
        <v>0.34671566786805297</v>
      </c>
      <c r="O464">
        <v>0.1060931984594219</v>
      </c>
      <c r="P464">
        <v>17.814031112999906</v>
      </c>
      <c r="Q464">
        <v>11.683930761342818</v>
      </c>
      <c r="R464">
        <v>0.38683352960451256</v>
      </c>
      <c r="S464">
        <v>0.11845426873643045</v>
      </c>
      <c r="T464">
        <v>17.810781440316244</v>
      </c>
      <c r="U464">
        <v>1470.7471523032179</v>
      </c>
      <c r="V464">
        <v>9.1838107389665957</v>
      </c>
      <c r="W464">
        <v>1242.9404325380283</v>
      </c>
      <c r="X464">
        <v>6.6908078881619062</v>
      </c>
      <c r="Y464">
        <v>2869.8508231423557</v>
      </c>
      <c r="Z464">
        <v>9.216607405696406</v>
      </c>
      <c r="AA464">
        <v>2716.6923483192518</v>
      </c>
      <c r="AB464">
        <v>6.7106213541125257</v>
      </c>
      <c r="AC464">
        <v>2188.8495180832851</v>
      </c>
      <c r="AD464">
        <v>9.2057802505610109</v>
      </c>
      <c r="AE464">
        <v>2002.4444539136857</v>
      </c>
      <c r="AF464">
        <v>6.7040897825030372</v>
      </c>
      <c r="AG464">
        <v>2069.7820388497698</v>
      </c>
      <c r="AH464">
        <v>9.1982741347464163</v>
      </c>
      <c r="AI464">
        <v>1871.8821056810957</v>
      </c>
      <c r="AJ464">
        <v>6.6995562204552748</v>
      </c>
    </row>
    <row r="465" spans="4:36" x14ac:dyDescent="0.45">
      <c r="D465">
        <v>458</v>
      </c>
      <c r="E465">
        <v>12.127719420464951</v>
      </c>
      <c r="F465">
        <v>0.42803314587515923</v>
      </c>
      <c r="G465">
        <v>0.18425782376430588</v>
      </c>
      <c r="H465">
        <v>17.259989609895577</v>
      </c>
      <c r="I465">
        <v>12.326516189438484</v>
      </c>
      <c r="J465">
        <v>0.28221640205167636</v>
      </c>
      <c r="K465">
        <v>0.12110773375139836</v>
      </c>
      <c r="L465">
        <v>17.270159674758442</v>
      </c>
      <c r="M465">
        <v>12.247695545081811</v>
      </c>
      <c r="N465">
        <v>0.34005886791143319</v>
      </c>
      <c r="O465">
        <v>0.14611013385680327</v>
      </c>
      <c r="P465">
        <v>17.26613545314996</v>
      </c>
      <c r="Q465">
        <v>12.218565609877242</v>
      </c>
      <c r="R465">
        <v>0.36142663534793185</v>
      </c>
      <c r="S465">
        <v>0.15536222341302805</v>
      </c>
      <c r="T465">
        <v>17.264645531361783</v>
      </c>
      <c r="U465">
        <v>1522.2372392193297</v>
      </c>
      <c r="V465">
        <v>9.4709611927009192</v>
      </c>
      <c r="W465">
        <v>1276.3006160725213</v>
      </c>
      <c r="X465">
        <v>6.8389399069694363</v>
      </c>
      <c r="Y465">
        <v>2884.7352746186025</v>
      </c>
      <c r="Z465">
        <v>9.4992351796107997</v>
      </c>
      <c r="AA465">
        <v>2723.4456700511946</v>
      </c>
      <c r="AB465">
        <v>6.8560005066669625</v>
      </c>
      <c r="AC465">
        <v>2181.7943131173693</v>
      </c>
      <c r="AD465">
        <v>9.4880201478758721</v>
      </c>
      <c r="AE465">
        <v>1992.2964046491838</v>
      </c>
      <c r="AF465">
        <v>6.8492413564034491</v>
      </c>
      <c r="AG465">
        <v>2064.8754836773851</v>
      </c>
      <c r="AH465">
        <v>9.4838769448080313</v>
      </c>
      <c r="AI465">
        <v>1864.3612098611316</v>
      </c>
      <c r="AJ465">
        <v>6.84674164538347</v>
      </c>
    </row>
    <row r="466" spans="4:36" x14ac:dyDescent="0.45">
      <c r="D466">
        <v>459</v>
      </c>
      <c r="E466">
        <v>13.157124544469086</v>
      </c>
      <c r="F466">
        <v>0.49689213703256957</v>
      </c>
      <c r="G466">
        <v>0.15732614067089157</v>
      </c>
      <c r="H466">
        <v>16.188657177827466</v>
      </c>
      <c r="I466">
        <v>13.397702776952345</v>
      </c>
      <c r="J466">
        <v>0.31498960206574789</v>
      </c>
      <c r="K466">
        <v>9.9416744076446073E-2</v>
      </c>
      <c r="L466">
        <v>16.187890876905438</v>
      </c>
      <c r="M466">
        <v>13.276331840755986</v>
      </c>
      <c r="N466">
        <v>0.40679660365547027</v>
      </c>
      <c r="O466">
        <v>0.12859733013082081</v>
      </c>
      <c r="P466">
        <v>16.188274225457718</v>
      </c>
      <c r="Q466">
        <v>13.220173757743193</v>
      </c>
      <c r="R466">
        <v>0.44924955116430593</v>
      </c>
      <c r="S466">
        <v>0.14212285996436197</v>
      </c>
      <c r="T466">
        <v>16.18845383112814</v>
      </c>
      <c r="U466">
        <v>1576.2622207765476</v>
      </c>
      <c r="V466">
        <v>10.314154765196927</v>
      </c>
      <c r="W466">
        <v>1302.6392932158524</v>
      </c>
      <c r="X466">
        <v>7.3328488397952594</v>
      </c>
      <c r="Y466">
        <v>2928.3913470927937</v>
      </c>
      <c r="Z466">
        <v>10.356579162380754</v>
      </c>
      <c r="AA466">
        <v>2747.4970080087073</v>
      </c>
      <c r="AB466">
        <v>7.3569787766935004</v>
      </c>
      <c r="AC466">
        <v>2277.011723389392</v>
      </c>
      <c r="AD466">
        <v>10.335178917850094</v>
      </c>
      <c r="AE466">
        <v>2049.9274125780089</v>
      </c>
      <c r="AF466">
        <v>7.3448169744021596</v>
      </c>
      <c r="AG466">
        <v>2177.4743906212166</v>
      </c>
      <c r="AH466">
        <v>10.325275195530288</v>
      </c>
      <c r="AI466">
        <v>1932.5868499547328</v>
      </c>
      <c r="AJ466">
        <v>7.339181713096484</v>
      </c>
    </row>
    <row r="467" spans="4:36" x14ac:dyDescent="0.45">
      <c r="D467">
        <v>460</v>
      </c>
      <c r="E467">
        <v>11.878420867620669</v>
      </c>
      <c r="F467">
        <v>0.42843162503094279</v>
      </c>
      <c r="G467">
        <v>0.14749512650552243</v>
      </c>
      <c r="H467">
        <v>17.54565238084286</v>
      </c>
      <c r="I467">
        <v>12.092490340472393</v>
      </c>
      <c r="J467">
        <v>0.26998570966036278</v>
      </c>
      <c r="K467">
        <v>9.2634694843163751E-2</v>
      </c>
      <c r="L467">
        <v>17.544889255024078</v>
      </c>
      <c r="M467">
        <v>11.988579916143021</v>
      </c>
      <c r="N467">
        <v>0.34692957053779844</v>
      </c>
      <c r="O467">
        <v>0.11922897830389245</v>
      </c>
      <c r="P467">
        <v>17.545261535015289</v>
      </c>
      <c r="Q467">
        <v>11.973634121658883</v>
      </c>
      <c r="R467">
        <v>0.35799150664076607</v>
      </c>
      <c r="S467">
        <v>0.12305957653996104</v>
      </c>
      <c r="T467">
        <v>17.54531479516038</v>
      </c>
      <c r="U467">
        <v>1470.9246647909631</v>
      </c>
      <c r="V467">
        <v>9.3258228549724489</v>
      </c>
      <c r="W467">
        <v>1242.8362382886849</v>
      </c>
      <c r="X467">
        <v>6.7658043848139275</v>
      </c>
      <c r="Y467">
        <v>2860.9170378976164</v>
      </c>
      <c r="Z467">
        <v>9.3659569866077845</v>
      </c>
      <c r="AA467">
        <v>2709.6534411785783</v>
      </c>
      <c r="AB467">
        <v>6.7894646525040905</v>
      </c>
      <c r="AC467">
        <v>2180.9453052555946</v>
      </c>
      <c r="AD467">
        <v>9.3464742455055223</v>
      </c>
      <c r="AE467">
        <v>1994.2912134609996</v>
      </c>
      <c r="AF467">
        <v>6.7779903536656425</v>
      </c>
      <c r="AG467">
        <v>2068.4278956658241</v>
      </c>
      <c r="AH467">
        <v>9.3436721959860627</v>
      </c>
      <c r="AI467">
        <v>1870.5341068096072</v>
      </c>
      <c r="AJ467">
        <v>6.7763383411804812</v>
      </c>
    </row>
    <row r="468" spans="4:36" x14ac:dyDescent="0.45">
      <c r="D468">
        <v>461</v>
      </c>
      <c r="E468">
        <v>11.621548867146995</v>
      </c>
      <c r="F468">
        <v>0.41446016313785117</v>
      </c>
      <c r="G468">
        <v>0.18208774981324471</v>
      </c>
      <c r="H468">
        <v>17.781903219901917</v>
      </c>
      <c r="I468">
        <v>11.814783396180944</v>
      </c>
      <c r="J468">
        <v>0.26814228645884813</v>
      </c>
      <c r="K468">
        <v>0.11743284309972833</v>
      </c>
      <c r="L468">
        <v>17.799641474260483</v>
      </c>
      <c r="M468">
        <v>11.726586313713256</v>
      </c>
      <c r="N468">
        <v>0.33495138522833806</v>
      </c>
      <c r="O468">
        <v>0.14690302309443129</v>
      </c>
      <c r="P468">
        <v>17.791559277963984</v>
      </c>
      <c r="Q468">
        <v>11.730006122838965</v>
      </c>
      <c r="R468">
        <v>0.33236169610011074</v>
      </c>
      <c r="S468">
        <v>0.14575908326261711</v>
      </c>
      <c r="T468">
        <v>17.791873097798316</v>
      </c>
      <c r="U468">
        <v>1518.1168943058881</v>
      </c>
      <c r="V468">
        <v>9.2214667623715325</v>
      </c>
      <c r="W468">
        <v>1274.2320119029921</v>
      </c>
      <c r="X468">
        <v>6.7142608865207647</v>
      </c>
      <c r="Y468">
        <v>2884.0393731672248</v>
      </c>
      <c r="Z468">
        <v>9.2485866290316849</v>
      </c>
      <c r="AA468">
        <v>2724.0296786071599</v>
      </c>
      <c r="AB468">
        <v>6.7312171938827019</v>
      </c>
      <c r="AC468">
        <v>2200.4569684503413</v>
      </c>
      <c r="AD468">
        <v>9.2361999678664084</v>
      </c>
      <c r="AE468">
        <v>2006.0847413005106</v>
      </c>
      <c r="AF468">
        <v>6.7234822681331687</v>
      </c>
      <c r="AG468">
        <v>2048.8692803740419</v>
      </c>
      <c r="AH468">
        <v>9.2366799920978018</v>
      </c>
      <c r="AI468">
        <v>1854.8899820570559</v>
      </c>
      <c r="AJ468">
        <v>6.7237823226117142</v>
      </c>
    </row>
    <row r="469" spans="4:36" x14ac:dyDescent="0.45">
      <c r="D469">
        <v>462</v>
      </c>
      <c r="E469">
        <v>14.356753353522196</v>
      </c>
      <c r="F469">
        <v>0.48548119385743943</v>
      </c>
      <c r="G469">
        <v>0.1784111978869978</v>
      </c>
      <c r="H469">
        <v>14.97935425473338</v>
      </c>
      <c r="I469">
        <v>14.623747302110516</v>
      </c>
      <c r="J469">
        <v>0.31299371483672084</v>
      </c>
      <c r="K469">
        <v>0.11460738780772876</v>
      </c>
      <c r="L469">
        <v>14.948651595245018</v>
      </c>
      <c r="M469">
        <v>14.507656763262904</v>
      </c>
      <c r="N469">
        <v>0.38804878383658714</v>
      </c>
      <c r="O469">
        <v>0.14231282684556154</v>
      </c>
      <c r="P469">
        <v>14.961981626054939</v>
      </c>
      <c r="Q469">
        <v>14.471563958449439</v>
      </c>
      <c r="R469">
        <v>0.4113659217749735</v>
      </c>
      <c r="S469">
        <v>0.15093801523478928</v>
      </c>
      <c r="T469">
        <v>14.966132104540812</v>
      </c>
      <c r="U469">
        <v>1627.0627236648882</v>
      </c>
      <c r="V469">
        <v>11.348776733315981</v>
      </c>
      <c r="W469">
        <v>1331.5036114049326</v>
      </c>
      <c r="X469">
        <v>7.938144964247023</v>
      </c>
      <c r="Y469">
        <v>2966.8919626692464</v>
      </c>
      <c r="Z469">
        <v>11.414612005259531</v>
      </c>
      <c r="AA469">
        <v>2769.4572130501629</v>
      </c>
      <c r="AB469">
        <v>7.9741901178480274</v>
      </c>
      <c r="AC469">
        <v>2288.3587828312125</v>
      </c>
      <c r="AD469">
        <v>11.385998561905687</v>
      </c>
      <c r="AE469">
        <v>2052.7812166298431</v>
      </c>
      <c r="AF469">
        <v>7.9585370833008531</v>
      </c>
      <c r="AG469">
        <v>2193.0944796378717</v>
      </c>
      <c r="AH469">
        <v>11.377098793617831</v>
      </c>
      <c r="AI469">
        <v>1939.342042431256</v>
      </c>
      <c r="AJ469">
        <v>7.9536643997682264</v>
      </c>
    </row>
    <row r="470" spans="4:36" x14ac:dyDescent="0.45">
      <c r="D470">
        <v>463</v>
      </c>
      <c r="E470">
        <v>12.681880605975467</v>
      </c>
      <c r="F470">
        <v>0.44567751793073046</v>
      </c>
      <c r="G470">
        <v>0.15535867870391579</v>
      </c>
      <c r="H470">
        <v>16.717083197389893</v>
      </c>
      <c r="I470">
        <v>12.924108757124412</v>
      </c>
      <c r="J470">
        <v>0.27769596270480396</v>
      </c>
      <c r="K470">
        <v>9.6476455057071961E-2</v>
      </c>
      <c r="L470">
        <v>16.701718825113709</v>
      </c>
      <c r="M470">
        <v>12.838308394652636</v>
      </c>
      <c r="N470">
        <v>0.33723973133245466</v>
      </c>
      <c r="O470">
        <v>0.11730219587988837</v>
      </c>
      <c r="P470">
        <v>16.707149678135014</v>
      </c>
      <c r="Q470">
        <v>12.837603991892689</v>
      </c>
      <c r="R470">
        <v>0.337728381069201</v>
      </c>
      <c r="S470">
        <v>0.11747331127794484</v>
      </c>
      <c r="T470">
        <v>16.707194315760187</v>
      </c>
      <c r="U470">
        <v>1539.4631560631858</v>
      </c>
      <c r="V470">
        <v>10.037462819879032</v>
      </c>
      <c r="W470">
        <v>1286.8242390436601</v>
      </c>
      <c r="X470">
        <v>7.1927554085288135</v>
      </c>
      <c r="Y470">
        <v>2903.1918062883233</v>
      </c>
      <c r="Z470">
        <v>10.09292771738647</v>
      </c>
      <c r="AA470">
        <v>2736.5649322207141</v>
      </c>
      <c r="AB470">
        <v>7.2241752880568688</v>
      </c>
      <c r="AC470">
        <v>2208.5953175507079</v>
      </c>
      <c r="AD470">
        <v>10.073287782100254</v>
      </c>
      <c r="AE470">
        <v>2011.3440934824137</v>
      </c>
      <c r="AF470">
        <v>7.2130618566987286</v>
      </c>
      <c r="AG470">
        <v>2071.6798568795116</v>
      </c>
      <c r="AH470">
        <v>10.073126513283229</v>
      </c>
      <c r="AI470">
        <v>1870.4463162122941</v>
      </c>
      <c r="AJ470">
        <v>7.2129705461173561</v>
      </c>
    </row>
    <row r="471" spans="4:36" x14ac:dyDescent="0.45">
      <c r="D471">
        <v>464</v>
      </c>
      <c r="E471">
        <v>11.273131618350554</v>
      </c>
      <c r="F471">
        <v>0.42124260965148463</v>
      </c>
      <c r="G471">
        <v>0.14587122342349168</v>
      </c>
      <c r="H471">
        <v>18.15975454857448</v>
      </c>
      <c r="I471">
        <v>11.468010573950957</v>
      </c>
      <c r="J471">
        <v>0.26774970723564084</v>
      </c>
      <c r="K471">
        <v>9.2429432389657548E-2</v>
      </c>
      <c r="L471">
        <v>18.171810286423742</v>
      </c>
      <c r="M471">
        <v>11.386365777800327</v>
      </c>
      <c r="N471">
        <v>0.33207939811095827</v>
      </c>
      <c r="O471">
        <v>0.11478604370608277</v>
      </c>
      <c r="P471">
        <v>18.166768780382629</v>
      </c>
      <c r="Q471">
        <v>11.344035684302243</v>
      </c>
      <c r="R471">
        <v>0.36541880887510669</v>
      </c>
      <c r="S471">
        <v>0.1263958192749606</v>
      </c>
      <c r="T471">
        <v>18.164149687547699</v>
      </c>
      <c r="U471">
        <v>1459.483184748753</v>
      </c>
      <c r="V471">
        <v>8.8830684043490322</v>
      </c>
      <c r="W471">
        <v>1239.5555373742586</v>
      </c>
      <c r="X471">
        <v>6.5083752919549092</v>
      </c>
      <c r="Y471">
        <v>2842.1430993010899</v>
      </c>
      <c r="Z471">
        <v>8.9134978842569321</v>
      </c>
      <c r="AA471">
        <v>2699.1133352299435</v>
      </c>
      <c r="AB471">
        <v>6.5270479591657597</v>
      </c>
      <c r="AC471">
        <v>2153.8685443124778</v>
      </c>
      <c r="AD471">
        <v>8.9007440313491255</v>
      </c>
      <c r="AE471">
        <v>1979.2658097781307</v>
      </c>
      <c r="AF471">
        <v>6.5192314905302506</v>
      </c>
      <c r="AG471">
        <v>2049.3009022331366</v>
      </c>
      <c r="AH471">
        <v>8.894134631189516</v>
      </c>
      <c r="AI471">
        <v>1859.9150096053068</v>
      </c>
      <c r="AJ471">
        <v>6.5151752543742596</v>
      </c>
    </row>
    <row r="472" spans="4:36" x14ac:dyDescent="0.45">
      <c r="D472">
        <v>465</v>
      </c>
      <c r="E472">
        <v>12.834915540083776</v>
      </c>
      <c r="F472">
        <v>0.46650967216305422</v>
      </c>
      <c r="G472">
        <v>0.15392207431854735</v>
      </c>
      <c r="H472">
        <v>16.544652713434644</v>
      </c>
      <c r="I472">
        <v>13.055094529826276</v>
      </c>
      <c r="J472">
        <v>0.30254450445703235</v>
      </c>
      <c r="K472">
        <v>9.9515994300046762E-2</v>
      </c>
      <c r="L472">
        <v>16.542844971416642</v>
      </c>
      <c r="M472">
        <v>12.936064908897288</v>
      </c>
      <c r="N472">
        <v>0.39121783202173011</v>
      </c>
      <c r="O472">
        <v>0.12889690881448687</v>
      </c>
      <c r="P472">
        <v>16.5438203502665</v>
      </c>
      <c r="Q472">
        <v>12.87281630865615</v>
      </c>
      <c r="R472">
        <v>0.43830438243185782</v>
      </c>
      <c r="S472">
        <v>0.14453886276005218</v>
      </c>
      <c r="T472">
        <v>16.544340446151942</v>
      </c>
      <c r="U472">
        <v>1536.9456930547433</v>
      </c>
      <c r="V472">
        <v>10.148012943581783</v>
      </c>
      <c r="W472">
        <v>1282.7173634541439</v>
      </c>
      <c r="X472">
        <v>7.2525722433120388</v>
      </c>
      <c r="Y472">
        <v>2898.1455451331672</v>
      </c>
      <c r="Z472">
        <v>10.192057916932434</v>
      </c>
      <c r="AA472">
        <v>2730.6992993733584</v>
      </c>
      <c r="AB472">
        <v>7.2779478074451633</v>
      </c>
      <c r="AC472">
        <v>2250.9410933876684</v>
      </c>
      <c r="AD472">
        <v>10.168247625605808</v>
      </c>
      <c r="AE472">
        <v>2037.4382613780688</v>
      </c>
      <c r="AF472">
        <v>7.2642405651721553</v>
      </c>
      <c r="AG472">
        <v>2124.469836836206</v>
      </c>
      <c r="AH472">
        <v>10.155595018109684</v>
      </c>
      <c r="AI472">
        <v>1900.8835181747791</v>
      </c>
      <c r="AJ472">
        <v>7.2569465608314463</v>
      </c>
    </row>
    <row r="473" spans="4:36" x14ac:dyDescent="0.45">
      <c r="D473">
        <v>466</v>
      </c>
      <c r="E473">
        <v>11.632604300530538</v>
      </c>
      <c r="F473">
        <v>0.45079984075423135</v>
      </c>
      <c r="G473">
        <v>0.13191888580781855</v>
      </c>
      <c r="H473">
        <v>17.784676972907413</v>
      </c>
      <c r="I473">
        <v>11.817591105635344</v>
      </c>
      <c r="J473">
        <v>0.29740635806087257</v>
      </c>
      <c r="K473">
        <v>8.6782245474084072E-2</v>
      </c>
      <c r="L473">
        <v>17.798220290829718</v>
      </c>
      <c r="M473">
        <v>11.71272278995375</v>
      </c>
      <c r="N473">
        <v>0.38438213793249593</v>
      </c>
      <c r="O473">
        <v>0.11234307277527457</v>
      </c>
      <c r="P473">
        <v>17.790551999338483</v>
      </c>
      <c r="Q473">
        <v>11.708949861987236</v>
      </c>
      <c r="R473">
        <v>0.38751047637802599</v>
      </c>
      <c r="S473">
        <v>0.11326400565315507</v>
      </c>
      <c r="T473">
        <v>17.790275655981574</v>
      </c>
      <c r="U473">
        <v>1511.0577693734656</v>
      </c>
      <c r="V473">
        <v>9.1507509833884733</v>
      </c>
      <c r="W473">
        <v>1271.399982545174</v>
      </c>
      <c r="X473">
        <v>6.6628490938379272</v>
      </c>
      <c r="Y473">
        <v>2857.7820916759397</v>
      </c>
      <c r="Z473">
        <v>9.1771695562468505</v>
      </c>
      <c r="AA473">
        <v>2705.8689792656692</v>
      </c>
      <c r="AB473">
        <v>6.6791069537310435</v>
      </c>
      <c r="AC473">
        <v>2201.4712591888451</v>
      </c>
      <c r="AD473">
        <v>9.1621873469265633</v>
      </c>
      <c r="AE473">
        <v>2007.1433222443241</v>
      </c>
      <c r="AF473">
        <v>6.6698951093996319</v>
      </c>
      <c r="AG473">
        <v>2083.6680986586812</v>
      </c>
      <c r="AH473">
        <v>9.1616485938045482</v>
      </c>
      <c r="AI473">
        <v>1880.2228894270656</v>
      </c>
      <c r="AJ473">
        <v>6.6695634606547731</v>
      </c>
    </row>
    <row r="474" spans="4:36" x14ac:dyDescent="0.45">
      <c r="D474">
        <v>467</v>
      </c>
      <c r="E474">
        <v>14.650929588338462</v>
      </c>
      <c r="F474">
        <v>0.46328964541853224</v>
      </c>
      <c r="G474">
        <v>0.16902000527073058</v>
      </c>
      <c r="H474">
        <v>14.716760760972269</v>
      </c>
      <c r="I474">
        <v>14.884267513972356</v>
      </c>
      <c r="J474">
        <v>0.31657329286861896</v>
      </c>
      <c r="K474">
        <v>0.11514958754176936</v>
      </c>
      <c r="L474">
        <v>14.684009605617256</v>
      </c>
      <c r="M474">
        <v>14.78249756468232</v>
      </c>
      <c r="N474">
        <v>0.38060727878112688</v>
      </c>
      <c r="O474">
        <v>0.13862095411310182</v>
      </c>
      <c r="P474">
        <v>14.698274202423434</v>
      </c>
      <c r="Q474">
        <v>14.722653299320587</v>
      </c>
      <c r="R474">
        <v>0.41822985487169545</v>
      </c>
      <c r="S474">
        <v>0.15244032279430858</v>
      </c>
      <c r="T474">
        <v>14.706676523013401</v>
      </c>
      <c r="U474">
        <v>1615.4658972617465</v>
      </c>
      <c r="V474">
        <v>11.470441809962203</v>
      </c>
      <c r="W474">
        <v>1324.3401186178955</v>
      </c>
      <c r="X474">
        <v>7.9955970879782798</v>
      </c>
      <c r="Y474">
        <v>2965.5890254387532</v>
      </c>
      <c r="Z474">
        <v>11.531653542070249</v>
      </c>
      <c r="AA474">
        <v>2767.9538336736632</v>
      </c>
      <c r="AB474">
        <v>8.0289353208958207</v>
      </c>
      <c r="AC474">
        <v>2293.316166651096</v>
      </c>
      <c r="AD474">
        <v>11.504966670473399</v>
      </c>
      <c r="AE474">
        <v>2056.3809488924339</v>
      </c>
      <c r="AF474">
        <v>8.0144106378573543</v>
      </c>
      <c r="AG474">
        <v>2201.5848906623437</v>
      </c>
      <c r="AH474">
        <v>11.489266279991639</v>
      </c>
      <c r="AI474">
        <v>1944.4325424821982</v>
      </c>
      <c r="AJ474">
        <v>8.0058582881166949</v>
      </c>
    </row>
    <row r="475" spans="4:36" x14ac:dyDescent="0.45">
      <c r="D475">
        <v>468</v>
      </c>
      <c r="E475">
        <v>11.378124310969447</v>
      </c>
      <c r="F475">
        <v>0.39865292124579038</v>
      </c>
      <c r="G475">
        <v>0.15682197755718597</v>
      </c>
      <c r="H475">
        <v>18.066400790227569</v>
      </c>
      <c r="I475">
        <v>11.566520359847168</v>
      </c>
      <c r="J475">
        <v>0.25765508542917642</v>
      </c>
      <c r="K475">
        <v>0.10105206710611445</v>
      </c>
      <c r="L475">
        <v>18.074772487617558</v>
      </c>
      <c r="M475">
        <v>11.501403198646971</v>
      </c>
      <c r="N475">
        <v>0.30641289392026444</v>
      </c>
      <c r="O475">
        <v>0.12029922497241839</v>
      </c>
      <c r="P475">
        <v>18.071884682460365</v>
      </c>
      <c r="Q475">
        <v>11.449090366015803</v>
      </c>
      <c r="R475">
        <v>0.34556537607053861</v>
      </c>
      <c r="S475">
        <v>0.135783950440898</v>
      </c>
      <c r="T475">
        <v>18.06956030747277</v>
      </c>
      <c r="U475">
        <v>1441.2536889722332</v>
      </c>
      <c r="V475">
        <v>9.0383231455055597</v>
      </c>
      <c r="W475">
        <v>1224.9987078604936</v>
      </c>
      <c r="X475">
        <v>6.6117665585392285</v>
      </c>
      <c r="Y475">
        <v>2840.6747833214231</v>
      </c>
      <c r="Z475">
        <v>9.0697352401874696</v>
      </c>
      <c r="AA475">
        <v>2696.9682383031786</v>
      </c>
      <c r="AB475">
        <v>6.6308621379094737</v>
      </c>
      <c r="AC475">
        <v>2163.5372655069186</v>
      </c>
      <c r="AD475">
        <v>9.0588741320401365</v>
      </c>
      <c r="AE475">
        <v>1986.1433565173518</v>
      </c>
      <c r="AF475">
        <v>6.624268160572119</v>
      </c>
      <c r="AG475">
        <v>2073.0840604450741</v>
      </c>
      <c r="AH475">
        <v>9.0501516300094167</v>
      </c>
      <c r="AI475">
        <v>1876.4809882876307</v>
      </c>
      <c r="AJ475">
        <v>6.6189660541462327</v>
      </c>
    </row>
    <row r="476" spans="4:36" x14ac:dyDescent="0.45">
      <c r="D476">
        <v>469</v>
      </c>
      <c r="E476">
        <v>12.76460733621821</v>
      </c>
      <c r="F476">
        <v>0.42485795562128725</v>
      </c>
      <c r="G476">
        <v>0.15808814460421211</v>
      </c>
      <c r="H476">
        <v>16.652446563556293</v>
      </c>
      <c r="I476">
        <v>12.973422390225798</v>
      </c>
      <c r="J476">
        <v>0.28005796247179304</v>
      </c>
      <c r="K476">
        <v>0.10389631573623649</v>
      </c>
      <c r="L476">
        <v>16.642623331566188</v>
      </c>
      <c r="M476">
        <v>12.873013993717398</v>
      </c>
      <c r="N476">
        <v>0.34971920785728522</v>
      </c>
      <c r="O476">
        <v>0.12992604641954952</v>
      </c>
      <c r="P476">
        <v>16.647340752005768</v>
      </c>
      <c r="Q476">
        <v>12.836147951891174</v>
      </c>
      <c r="R476">
        <v>0.37528014703297086</v>
      </c>
      <c r="S476">
        <v>0.13949628404231126</v>
      </c>
      <c r="T476">
        <v>16.64907561703356</v>
      </c>
      <c r="U476">
        <v>1536.3224176129938</v>
      </c>
      <c r="V476">
        <v>10.051983831190352</v>
      </c>
      <c r="W476">
        <v>1281.3091141537113</v>
      </c>
      <c r="X476">
        <v>7.1945473959806572</v>
      </c>
      <c r="Y476">
        <v>2874.4675581655656</v>
      </c>
      <c r="Z476">
        <v>10.095994253707438</v>
      </c>
      <c r="AA476">
        <v>2712.7467131199196</v>
      </c>
      <c r="AB476">
        <v>7.2195659680939359</v>
      </c>
      <c r="AC476">
        <v>2253.5087462864944</v>
      </c>
      <c r="AD476">
        <v>10.074835607813217</v>
      </c>
      <c r="AE476">
        <v>2039.0111257017434</v>
      </c>
      <c r="AF476">
        <v>7.2075472782362082</v>
      </c>
      <c r="AG476">
        <v>2116.7445004888864</v>
      </c>
      <c r="AH476">
        <v>10.06706526471925</v>
      </c>
      <c r="AI476">
        <v>1896.2552596693138</v>
      </c>
      <c r="AJ476">
        <v>7.2031291775975124</v>
      </c>
    </row>
    <row r="477" spans="4:36" x14ac:dyDescent="0.45">
      <c r="D477">
        <v>470</v>
      </c>
      <c r="E477">
        <v>14.063912663287454</v>
      </c>
      <c r="F477">
        <v>0.47626399456453611</v>
      </c>
      <c r="G477">
        <v>0.16786198729272139</v>
      </c>
      <c r="H477">
        <v>15.291961354855276</v>
      </c>
      <c r="I477">
        <v>14.341189712221619</v>
      </c>
      <c r="J477">
        <v>0.2999036989120189</v>
      </c>
      <c r="K477">
        <v>0.10531020115293339</v>
      </c>
      <c r="L477">
        <v>15.253596387713445</v>
      </c>
      <c r="M477">
        <v>14.247727217925423</v>
      </c>
      <c r="N477">
        <v>0.35940703355284193</v>
      </c>
      <c r="O477">
        <v>0.12636211310612494</v>
      </c>
      <c r="P477">
        <v>15.266503635415608</v>
      </c>
      <c r="Q477">
        <v>14.189564139685992</v>
      </c>
      <c r="R477">
        <v>0.39640763222364361</v>
      </c>
      <c r="S477">
        <v>0.13947968499487012</v>
      </c>
      <c r="T477">
        <v>15.274548543095475</v>
      </c>
      <c r="U477">
        <v>1628.3717853293833</v>
      </c>
      <c r="V477">
        <v>11.042762412359329</v>
      </c>
      <c r="W477">
        <v>1335.9514477666773</v>
      </c>
      <c r="X477">
        <v>7.7576386900447529</v>
      </c>
      <c r="Y477">
        <v>2953.8610244517977</v>
      </c>
      <c r="Z477">
        <v>11.116873659727174</v>
      </c>
      <c r="AA477">
        <v>2763.0603965689343</v>
      </c>
      <c r="AB477">
        <v>7.7981417089231551</v>
      </c>
      <c r="AC477">
        <v>2309.1219155636213</v>
      </c>
      <c r="AD477">
        <v>11.091908125421529</v>
      </c>
      <c r="AE477">
        <v>2071.6406902635467</v>
      </c>
      <c r="AF477">
        <v>7.7845114408679557</v>
      </c>
      <c r="AG477">
        <v>2188.5185579912886</v>
      </c>
      <c r="AH477">
        <v>11.076363869143414</v>
      </c>
      <c r="AI477">
        <v>1939.5830684612552</v>
      </c>
      <c r="AJ477">
        <v>7.7760177926216487</v>
      </c>
    </row>
    <row r="478" spans="4:36" x14ac:dyDescent="0.45">
      <c r="D478">
        <v>471</v>
      </c>
      <c r="E478">
        <v>11.649165326826946</v>
      </c>
      <c r="F478">
        <v>0.41144202394903495</v>
      </c>
      <c r="G478">
        <v>0.15731418333645861</v>
      </c>
      <c r="H478">
        <v>17.782078465887551</v>
      </c>
      <c r="I478">
        <v>11.822600006731516</v>
      </c>
      <c r="J478">
        <v>0.27503313683273589</v>
      </c>
      <c r="K478">
        <v>0.1048748241985982</v>
      </c>
      <c r="L478">
        <v>17.797492032237162</v>
      </c>
      <c r="M478">
        <v>11.727684612771135</v>
      </c>
      <c r="N478">
        <v>0.34970428648470231</v>
      </c>
      <c r="O478">
        <v>0.13354492762887737</v>
      </c>
      <c r="P478">
        <v>17.789066173115295</v>
      </c>
      <c r="Q478">
        <v>11.675686618521894</v>
      </c>
      <c r="R478">
        <v>0.39059250174344701</v>
      </c>
      <c r="S478">
        <v>0.14928042124274188</v>
      </c>
      <c r="T478">
        <v>17.784440458491932</v>
      </c>
      <c r="U478">
        <v>1481.948564579392</v>
      </c>
      <c r="V478">
        <v>9.216635588867069</v>
      </c>
      <c r="W478">
        <v>1251.9389560104546</v>
      </c>
      <c r="X478">
        <v>6.7100559736462966</v>
      </c>
      <c r="Y478">
        <v>2870.2001718099405</v>
      </c>
      <c r="Z478">
        <v>9.239836673686602</v>
      </c>
      <c r="AA478">
        <v>2715.9327923609899</v>
      </c>
      <c r="AB478">
        <v>6.7244228060534255</v>
      </c>
      <c r="AC478">
        <v>2186.1876560850778</v>
      </c>
      <c r="AD478">
        <v>9.2271341242576437</v>
      </c>
      <c r="AE478">
        <v>1997.6722022091635</v>
      </c>
      <c r="AF478">
        <v>6.7165639631041918</v>
      </c>
      <c r="AG478">
        <v>2107.4903289140643</v>
      </c>
      <c r="AH478">
        <v>9.2201806665029533</v>
      </c>
      <c r="AI478">
        <v>1896.3450344209482</v>
      </c>
      <c r="AJ478">
        <v>6.7122548489915559</v>
      </c>
    </row>
    <row r="479" spans="4:36" x14ac:dyDescent="0.45">
      <c r="D479">
        <v>472</v>
      </c>
      <c r="E479">
        <v>12.331587304844378</v>
      </c>
      <c r="F479">
        <v>0.44624293187007008</v>
      </c>
      <c r="G479">
        <v>0.17548725492848019</v>
      </c>
      <c r="H479">
        <v>17.046682508357073</v>
      </c>
      <c r="I479">
        <v>12.591437862791086</v>
      </c>
      <c r="J479">
        <v>0.26188898282373241</v>
      </c>
      <c r="K479">
        <v>0.10257263687160237</v>
      </c>
      <c r="L479">
        <v>17.044100517513581</v>
      </c>
      <c r="M479">
        <v>12.479540369888099</v>
      </c>
      <c r="N479">
        <v>0.34132725292327648</v>
      </c>
      <c r="O479">
        <v>0.13391813198082686</v>
      </c>
      <c r="P479">
        <v>17.045214245207791</v>
      </c>
      <c r="Q479">
        <v>12.455866334117413</v>
      </c>
      <c r="R479">
        <v>0.35812402144276501</v>
      </c>
      <c r="S479">
        <v>0.14056012725259492</v>
      </c>
      <c r="T479">
        <v>17.045449517187212</v>
      </c>
      <c r="U479">
        <v>1572.3299590606925</v>
      </c>
      <c r="V479">
        <v>9.8528240256927617</v>
      </c>
      <c r="W479">
        <v>1308.4221891403745</v>
      </c>
      <c r="X479">
        <v>7.095805299573736</v>
      </c>
      <c r="Y479">
        <v>2864.5884378149731</v>
      </c>
      <c r="Z479">
        <v>9.9088365267461462</v>
      </c>
      <c r="AA479">
        <v>2708.7394465188218</v>
      </c>
      <c r="AB479">
        <v>7.1284791108672003</v>
      </c>
      <c r="AC479">
        <v>2197.042964884904</v>
      </c>
      <c r="AD479">
        <v>9.884714883190691</v>
      </c>
      <c r="AE479">
        <v>2001.0898145762478</v>
      </c>
      <c r="AF479">
        <v>7.1144255900717059</v>
      </c>
      <c r="AG479">
        <v>2108.4193182377003</v>
      </c>
      <c r="AH479">
        <v>9.8796117617636128</v>
      </c>
      <c r="AI479">
        <v>1893.8851393027815</v>
      </c>
      <c r="AJ479">
        <v>7.1114491102434219</v>
      </c>
    </row>
    <row r="480" spans="4:36" x14ac:dyDescent="0.45">
      <c r="D480">
        <v>473</v>
      </c>
      <c r="E480">
        <v>14.753866635973175</v>
      </c>
      <c r="F480">
        <v>0.52238755448923524</v>
      </c>
      <c r="G480">
        <v>0.17769353585754291</v>
      </c>
      <c r="H480">
        <v>14.546052273680043</v>
      </c>
      <c r="I480">
        <v>15.033072133925932</v>
      </c>
      <c r="J480">
        <v>0.34498680071548382</v>
      </c>
      <c r="K480">
        <v>0.11693185878581532</v>
      </c>
      <c r="L480">
        <v>14.505009206572749</v>
      </c>
      <c r="M480">
        <v>14.930044274799567</v>
      </c>
      <c r="N480">
        <v>0.41050690960227726</v>
      </c>
      <c r="O480">
        <v>0.13932186821125592</v>
      </c>
      <c r="P480">
        <v>14.520126947386881</v>
      </c>
      <c r="Q480">
        <v>14.872915346685263</v>
      </c>
      <c r="R480">
        <v>0.44680838207120832</v>
      </c>
      <c r="S480">
        <v>0.15175283187727676</v>
      </c>
      <c r="T480">
        <v>14.528523439366245</v>
      </c>
      <c r="U480">
        <v>1636.6841769396217</v>
      </c>
      <c r="V480">
        <v>11.603029699803074</v>
      </c>
      <c r="W480">
        <v>1335.6727430943449</v>
      </c>
      <c r="X480">
        <v>8.0722956908607557</v>
      </c>
      <c r="Y480">
        <v>2978.8628663451477</v>
      </c>
      <c r="Z480">
        <v>11.676621810572223</v>
      </c>
      <c r="AA480">
        <v>2775.490660275977</v>
      </c>
      <c r="AB480">
        <v>8.1121923436641872</v>
      </c>
      <c r="AC480">
        <v>2323.2212430624595</v>
      </c>
      <c r="AD480">
        <v>11.649481513117955</v>
      </c>
      <c r="AE480">
        <v>2075.4945151337783</v>
      </c>
      <c r="AF480">
        <v>8.0974918765561998</v>
      </c>
      <c r="AG480">
        <v>2210.874577062863</v>
      </c>
      <c r="AH480">
        <v>11.634424460011997</v>
      </c>
      <c r="AI480">
        <v>1949.2651886582639</v>
      </c>
      <c r="AJ480">
        <v>8.0893296601136822</v>
      </c>
    </row>
    <row r="481" spans="4:36" x14ac:dyDescent="0.45">
      <c r="D481">
        <v>474</v>
      </c>
      <c r="E481">
        <v>12.850740079965078</v>
      </c>
      <c r="F481">
        <v>0.43677355646220684</v>
      </c>
      <c r="G481">
        <v>0.16269844291263447</v>
      </c>
      <c r="H481">
        <v>16.54978792066008</v>
      </c>
      <c r="I481">
        <v>13.06491078414402</v>
      </c>
      <c r="J481">
        <v>0.29137763272824491</v>
      </c>
      <c r="K481">
        <v>0.10819350673132246</v>
      </c>
      <c r="L481">
        <v>16.535518076396414</v>
      </c>
      <c r="M481">
        <v>12.973458659107617</v>
      </c>
      <c r="N481">
        <v>0.35349901268682604</v>
      </c>
      <c r="O481">
        <v>0.13143801822826948</v>
      </c>
      <c r="P481">
        <v>16.541604309977295</v>
      </c>
      <c r="Q481">
        <v>12.928607066732361</v>
      </c>
      <c r="R481">
        <v>0.38394587576576156</v>
      </c>
      <c r="S481">
        <v>0.14285398536017954</v>
      </c>
      <c r="T481">
        <v>16.544593072141691</v>
      </c>
      <c r="U481">
        <v>1515.7296329972337</v>
      </c>
      <c r="V481">
        <v>10.20934576123957</v>
      </c>
      <c r="W481">
        <v>1268.4814317845785</v>
      </c>
      <c r="X481">
        <v>7.297158981162009</v>
      </c>
      <c r="Y481">
        <v>2914.8255784221769</v>
      </c>
      <c r="Z481">
        <v>10.258154525208017</v>
      </c>
      <c r="AA481">
        <v>2742.7248411575879</v>
      </c>
      <c r="AB481">
        <v>7.3248027270155491</v>
      </c>
      <c r="AC481">
        <v>2225.8000020900517</v>
      </c>
      <c r="AD481">
        <v>10.237317373666427</v>
      </c>
      <c r="AE481">
        <v>2021.115493006625</v>
      </c>
      <c r="AF481">
        <v>7.3130114373417179</v>
      </c>
      <c r="AG481">
        <v>2136.0152538939028</v>
      </c>
      <c r="AH481">
        <v>10.227095614282213</v>
      </c>
      <c r="AI481">
        <v>1911.9815379685779</v>
      </c>
      <c r="AJ481">
        <v>7.3072216207251053</v>
      </c>
    </row>
    <row r="482" spans="4:36" x14ac:dyDescent="0.45">
      <c r="D482">
        <v>475</v>
      </c>
      <c r="E482">
        <v>14.077661429751199</v>
      </c>
      <c r="F482">
        <v>0.50336365466017496</v>
      </c>
      <c r="G482">
        <v>0.16617705523945736</v>
      </c>
      <c r="H482">
        <v>15.25279786034918</v>
      </c>
      <c r="I482">
        <v>14.329235798687312</v>
      </c>
      <c r="J482">
        <v>0.32880045368810834</v>
      </c>
      <c r="K482">
        <v>0.10820186025834977</v>
      </c>
      <c r="L482">
        <v>15.233761887366231</v>
      </c>
      <c r="M482">
        <v>14.232347399815804</v>
      </c>
      <c r="N482">
        <v>0.39607405500335008</v>
      </c>
      <c r="O482">
        <v>0.13049995709863724</v>
      </c>
      <c r="P482">
        <v>15.241078588082205</v>
      </c>
      <c r="Q482">
        <v>14.172196427396813</v>
      </c>
      <c r="R482">
        <v>0.43781146692151712</v>
      </c>
      <c r="S482">
        <v>0.1443619454529709</v>
      </c>
      <c r="T482">
        <v>15.245630160228689</v>
      </c>
      <c r="U482">
        <v>1646.5990316108989</v>
      </c>
      <c r="V482">
        <v>11.136461289160776</v>
      </c>
      <c r="W482">
        <v>1346.3474672754257</v>
      </c>
      <c r="X482">
        <v>7.8178748940036193</v>
      </c>
      <c r="Y482">
        <v>2948.3963864651937</v>
      </c>
      <c r="Z482">
        <v>11.193722974641881</v>
      </c>
      <c r="AA482">
        <v>2756.865325989791</v>
      </c>
      <c r="AB482">
        <v>7.8494949711147672</v>
      </c>
      <c r="AC482">
        <v>2295.3944167051131</v>
      </c>
      <c r="AD482">
        <v>11.171678456644434</v>
      </c>
      <c r="AE482">
        <v>2059.0029680310922</v>
      </c>
      <c r="AF482">
        <v>7.837332742471216</v>
      </c>
      <c r="AG482">
        <v>2191.0052030644106</v>
      </c>
      <c r="AH482">
        <v>11.157987229978598</v>
      </c>
      <c r="AI482">
        <v>1937.9995879437188</v>
      </c>
      <c r="AJ482">
        <v>7.8297723310426637</v>
      </c>
    </row>
    <row r="483" spans="4:36" x14ac:dyDescent="0.45">
      <c r="D483">
        <v>476</v>
      </c>
      <c r="E483">
        <v>11.076871790382224</v>
      </c>
      <c r="F483">
        <v>0.41201940979708113</v>
      </c>
      <c r="G483">
        <v>0.14030601990277622</v>
      </c>
      <c r="H483">
        <v>18.37080277991792</v>
      </c>
      <c r="I483">
        <v>11.243093200207641</v>
      </c>
      <c r="J483">
        <v>0.27652340777495632</v>
      </c>
      <c r="K483">
        <v>9.3921671059487413E-2</v>
      </c>
      <c r="L483">
        <v>18.3864617209579</v>
      </c>
      <c r="M483">
        <v>11.179829808173253</v>
      </c>
      <c r="N483">
        <v>0.32810776958437748</v>
      </c>
      <c r="O483">
        <v>0.11155189549841418</v>
      </c>
      <c r="P483">
        <v>18.380510526743947</v>
      </c>
      <c r="Q483">
        <v>11.141226018171341</v>
      </c>
      <c r="R483">
        <v>0.35957591260534788</v>
      </c>
      <c r="S483">
        <v>0.12232415574879993</v>
      </c>
      <c r="T483">
        <v>18.376873913474515</v>
      </c>
      <c r="U483">
        <v>1461.1562776485694</v>
      </c>
      <c r="V483">
        <v>8.725529790824476</v>
      </c>
      <c r="W483">
        <v>1242.8883326230734</v>
      </c>
      <c r="X483">
        <v>6.415088813465621</v>
      </c>
      <c r="Y483">
        <v>2840.902164102396</v>
      </c>
      <c r="Z483">
        <v>8.7484632326951086</v>
      </c>
      <c r="AA483">
        <v>2698.4112222230979</v>
      </c>
      <c r="AB483">
        <v>6.4294017599681821</v>
      </c>
      <c r="AC483">
        <v>2151.0146707263525</v>
      </c>
      <c r="AD483">
        <v>8.7397303094765757</v>
      </c>
      <c r="AE483">
        <v>1978.5706676481821</v>
      </c>
      <c r="AF483">
        <v>6.4239581427004424</v>
      </c>
      <c r="AG483">
        <v>2018.9055068608636</v>
      </c>
      <c r="AH483">
        <v>8.7344041372972168</v>
      </c>
      <c r="AI483">
        <v>1839.0676906222975</v>
      </c>
      <c r="AJ483">
        <v>6.4206340915958231</v>
      </c>
    </row>
    <row r="484" spans="4:36" x14ac:dyDescent="0.45">
      <c r="D484">
        <v>477</v>
      </c>
      <c r="E484">
        <v>15.111043998639198</v>
      </c>
      <c r="F484">
        <v>0.55878504747516289</v>
      </c>
      <c r="G484">
        <v>0.15834045248550066</v>
      </c>
      <c r="H484">
        <v>14.171830501400134</v>
      </c>
      <c r="I484">
        <v>15.41322703950123</v>
      </c>
      <c r="J484">
        <v>0.35167252622213391</v>
      </c>
      <c r="K484">
        <v>9.9289779107491968E-2</v>
      </c>
      <c r="L484">
        <v>14.135810655169129</v>
      </c>
      <c r="M484">
        <v>15.279039535654677</v>
      </c>
      <c r="N484">
        <v>0.44370769181180902</v>
      </c>
      <c r="O484">
        <v>0.12547631453085337</v>
      </c>
      <c r="P484">
        <v>14.151776458002642</v>
      </c>
      <c r="Q484">
        <v>15.211542392856314</v>
      </c>
      <c r="R484">
        <v>0.48996299669771243</v>
      </c>
      <c r="S484">
        <v>0.13866969231827486</v>
      </c>
      <c r="T484">
        <v>14.159824918127704</v>
      </c>
      <c r="U484">
        <v>1695.6151159531441</v>
      </c>
      <c r="V484">
        <v>11.87969961044775</v>
      </c>
      <c r="W484">
        <v>1373.3663420757505</v>
      </c>
      <c r="X484">
        <v>8.2269525467327114</v>
      </c>
      <c r="Y484">
        <v>2972.3605059026058</v>
      </c>
      <c r="Z484">
        <v>11.958113132118111</v>
      </c>
      <c r="AA484">
        <v>2769.8006464847176</v>
      </c>
      <c r="AB484">
        <v>8.26943406490029</v>
      </c>
      <c r="AC484">
        <v>2306.2636029683063</v>
      </c>
      <c r="AD484">
        <v>11.923309760935689</v>
      </c>
      <c r="AE484">
        <v>2060.6994322641253</v>
      </c>
      <c r="AF484">
        <v>8.2505945878397338</v>
      </c>
      <c r="AG484">
        <v>2256.0597730047125</v>
      </c>
      <c r="AH484">
        <v>11.905793240955044</v>
      </c>
      <c r="AI484">
        <v>1977.1068689739998</v>
      </c>
      <c r="AJ484">
        <v>8.2411032474422541</v>
      </c>
    </row>
    <row r="485" spans="4:36" x14ac:dyDescent="0.45">
      <c r="D485">
        <v>478</v>
      </c>
      <c r="E485">
        <v>13.200311169750661</v>
      </c>
      <c r="F485">
        <v>0.46671323276711341</v>
      </c>
      <c r="G485">
        <v>0.17285356558433887</v>
      </c>
      <c r="H485">
        <v>16.160122031897895</v>
      </c>
      <c r="I485">
        <v>13.400390785646557</v>
      </c>
      <c r="J485">
        <v>0.32649684185648264</v>
      </c>
      <c r="K485">
        <v>0.12058495530878313</v>
      </c>
      <c r="L485">
        <v>16.152527417188182</v>
      </c>
      <c r="M485">
        <v>13.309527645345742</v>
      </c>
      <c r="N485">
        <v>0.3902042345441315</v>
      </c>
      <c r="O485">
        <v>0.14429642634207218</v>
      </c>
      <c r="P485">
        <v>16.155971693768038</v>
      </c>
      <c r="Q485">
        <v>13.307517827001684</v>
      </c>
      <c r="R485">
        <v>0.39161282342178189</v>
      </c>
      <c r="S485">
        <v>0.14482138312289528</v>
      </c>
      <c r="T485">
        <v>16.156047966453656</v>
      </c>
      <c r="U485">
        <v>1553.628098894211</v>
      </c>
      <c r="V485">
        <v>10.380606781334322</v>
      </c>
      <c r="W485">
        <v>1291.1992837430507</v>
      </c>
      <c r="X485">
        <v>7.3777002934707916</v>
      </c>
      <c r="Y485">
        <v>2917.2550960570975</v>
      </c>
      <c r="Z485">
        <v>10.42139660726184</v>
      </c>
      <c r="AA485">
        <v>2740.3949635999306</v>
      </c>
      <c r="AB485">
        <v>7.4007968512553912</v>
      </c>
      <c r="AC485">
        <v>2251.1249292181897</v>
      </c>
      <c r="AD485">
        <v>10.402875286890955</v>
      </c>
      <c r="AE485">
        <v>2034.7447063270233</v>
      </c>
      <c r="AF485">
        <v>7.3903173281171375</v>
      </c>
      <c r="AG485">
        <v>2137.5317524880725</v>
      </c>
      <c r="AH485">
        <v>10.402465558655697</v>
      </c>
      <c r="AI485">
        <v>1910.3784212096716</v>
      </c>
      <c r="AJ485">
        <v>7.3900853530986774</v>
      </c>
    </row>
    <row r="486" spans="4:36" x14ac:dyDescent="0.45">
      <c r="D486">
        <v>479</v>
      </c>
      <c r="E486">
        <v>11.997279727816631</v>
      </c>
      <c r="F486">
        <v>0.40786675728746852</v>
      </c>
      <c r="G486">
        <v>0.15280538730401663</v>
      </c>
      <c r="H486">
        <v>17.442048127591875</v>
      </c>
      <c r="I486">
        <v>12.16549714212006</v>
      </c>
      <c r="J486">
        <v>0.28118966470205187</v>
      </c>
      <c r="K486">
        <v>0.10508335496246006</v>
      </c>
      <c r="L486">
        <v>17.448229838215429</v>
      </c>
      <c r="M486">
        <v>12.06372330127658</v>
      </c>
      <c r="N486">
        <v>0.35784992689113171</v>
      </c>
      <c r="O486">
        <v>0.13393403715874574</v>
      </c>
      <c r="P486">
        <v>17.444492734673545</v>
      </c>
      <c r="Q486">
        <v>12.038533002865504</v>
      </c>
      <c r="R486">
        <v>0.37681538227792266</v>
      </c>
      <c r="S486">
        <v>0.14108523708588985</v>
      </c>
      <c r="T486">
        <v>17.443566377770672</v>
      </c>
      <c r="U486">
        <v>1457.7275361952159</v>
      </c>
      <c r="V486">
        <v>9.4510068037014285</v>
      </c>
      <c r="W486">
        <v>1233.4139274820279</v>
      </c>
      <c r="X486">
        <v>6.8445936490852066</v>
      </c>
      <c r="Y486">
        <v>2877.3141455386253</v>
      </c>
      <c r="Z486">
        <v>9.478725240222003</v>
      </c>
      <c r="AA486">
        <v>2719.861483520172</v>
      </c>
      <c r="AB486">
        <v>6.86104736476653</v>
      </c>
      <c r="AC486">
        <v>2212.4300328074769</v>
      </c>
      <c r="AD486">
        <v>9.4619536819655785</v>
      </c>
      <c r="AE486">
        <v>2015.3100807526419</v>
      </c>
      <c r="AF486">
        <v>6.8510977777752826</v>
      </c>
      <c r="AG486">
        <v>2091.2461908017517</v>
      </c>
      <c r="AH486">
        <v>9.457803231360618</v>
      </c>
      <c r="AI486">
        <v>1884.5902986642429</v>
      </c>
      <c r="AJ486">
        <v>6.8486327062033183</v>
      </c>
    </row>
    <row r="487" spans="4:36" x14ac:dyDescent="0.45">
      <c r="D487">
        <v>480</v>
      </c>
      <c r="E487">
        <v>13.130310584038989</v>
      </c>
      <c r="F487">
        <v>0.46008320972061606</v>
      </c>
      <c r="G487">
        <v>0.16827368571074322</v>
      </c>
      <c r="H487">
        <v>16.241332520529642</v>
      </c>
      <c r="I487">
        <v>13.389568071298207</v>
      </c>
      <c r="J487">
        <v>0.28038076030570414</v>
      </c>
      <c r="K487">
        <v>0.10217538989327954</v>
      </c>
      <c r="L487">
        <v>16.227875778502796</v>
      </c>
      <c r="M487">
        <v>13.251656515229065</v>
      </c>
      <c r="N487">
        <v>0.37602513638462337</v>
      </c>
      <c r="O487">
        <v>0.13729449872024752</v>
      </c>
      <c r="P487">
        <v>16.235023849666067</v>
      </c>
      <c r="Q487">
        <v>13.215699867134221</v>
      </c>
      <c r="R487">
        <v>0.40094241845116102</v>
      </c>
      <c r="S487">
        <v>0.14646639632339375</v>
      </c>
      <c r="T487">
        <v>16.236891318091232</v>
      </c>
      <c r="U487">
        <v>1582.1781663964875</v>
      </c>
      <c r="V487">
        <v>10.333077955811296</v>
      </c>
      <c r="W487">
        <v>1310.5173120485504</v>
      </c>
      <c r="X487">
        <v>7.3531018737757918</v>
      </c>
      <c r="Y487">
        <v>2922.8739661460272</v>
      </c>
      <c r="Z487">
        <v>10.389150181749061</v>
      </c>
      <c r="AA487">
        <v>2746.6691031728001</v>
      </c>
      <c r="AB487">
        <v>7.3846936049433838</v>
      </c>
      <c r="AC487">
        <v>2234.6978316576433</v>
      </c>
      <c r="AD487">
        <v>10.359329454648588</v>
      </c>
      <c r="AE487">
        <v>2022.6719855535266</v>
      </c>
      <c r="AF487">
        <v>7.3679059913474108</v>
      </c>
      <c r="AG487">
        <v>2132.2955531034468</v>
      </c>
      <c r="AH487">
        <v>10.351551989860999</v>
      </c>
      <c r="AI487">
        <v>1904.6179500951082</v>
      </c>
      <c r="AJ487">
        <v>7.363522550466608</v>
      </c>
    </row>
    <row r="488" spans="4:36" x14ac:dyDescent="0.45">
      <c r="D488">
        <v>481</v>
      </c>
      <c r="E488">
        <v>14.581098277264276</v>
      </c>
      <c r="F488">
        <v>0.4719373900055408</v>
      </c>
      <c r="G488">
        <v>0.18373403995814735</v>
      </c>
      <c r="H488">
        <v>14.763230292772045</v>
      </c>
      <c r="I488">
        <v>14.84541977345093</v>
      </c>
      <c r="J488">
        <v>0.3099424850081165</v>
      </c>
      <c r="K488">
        <v>0.12023497752953211</v>
      </c>
      <c r="L488">
        <v>14.724402764011403</v>
      </c>
      <c r="M488">
        <v>14.749351795735363</v>
      </c>
      <c r="N488">
        <v>0.36887419375066111</v>
      </c>
      <c r="O488">
        <v>0.14328163345339814</v>
      </c>
      <c r="P488">
        <v>14.738492377060586</v>
      </c>
      <c r="Q488">
        <v>14.655322738476988</v>
      </c>
      <c r="R488">
        <v>0.42649507126184272</v>
      </c>
      <c r="S488">
        <v>0.16587463297795207</v>
      </c>
      <c r="T488">
        <v>14.752307557283217</v>
      </c>
      <c r="U488">
        <v>1651.5533453580692</v>
      </c>
      <c r="V488">
        <v>11.508342596228042</v>
      </c>
      <c r="W488">
        <v>1346.4602920242787</v>
      </c>
      <c r="X488">
        <v>8.0276405776735231</v>
      </c>
      <c r="Y488">
        <v>2974.7650564938112</v>
      </c>
      <c r="Z488">
        <v>11.579107232640201</v>
      </c>
      <c r="AA488">
        <v>2773.0684793589257</v>
      </c>
      <c r="AB488">
        <v>8.06619155634246</v>
      </c>
      <c r="AC488">
        <v>2308.3251105360746</v>
      </c>
      <c r="AD488">
        <v>11.553400565760439</v>
      </c>
      <c r="AE488">
        <v>2065.5892374345513</v>
      </c>
      <c r="AF488">
        <v>8.0521996083390679</v>
      </c>
      <c r="AG488">
        <v>2225.7018613904934</v>
      </c>
      <c r="AH488">
        <v>11.52822533822313</v>
      </c>
      <c r="AI488">
        <v>1958.3919098276783</v>
      </c>
      <c r="AJ488">
        <v>8.0384831716117091</v>
      </c>
    </row>
    <row r="489" spans="4:36" x14ac:dyDescent="0.45">
      <c r="D489">
        <v>482</v>
      </c>
      <c r="E489">
        <v>14.030409794522695</v>
      </c>
      <c r="F489">
        <v>0.44795893887937949</v>
      </c>
      <c r="G489">
        <v>0.14255097013188311</v>
      </c>
      <c r="H489">
        <v>15.37908029646605</v>
      </c>
      <c r="I489">
        <v>14.250619539176057</v>
      </c>
      <c r="J489">
        <v>0.30530311714827046</v>
      </c>
      <c r="K489">
        <v>9.6893253809411384E-2</v>
      </c>
      <c r="L489">
        <v>15.34718408986625</v>
      </c>
      <c r="M489">
        <v>14.117843808237394</v>
      </c>
      <c r="N489">
        <v>0.39135558076593946</v>
      </c>
      <c r="O489">
        <v>0.12440483597452115</v>
      </c>
      <c r="P489">
        <v>15.36639577502214</v>
      </c>
      <c r="Q489">
        <v>14.082134275953353</v>
      </c>
      <c r="R489">
        <v>0.41447942482943578</v>
      </c>
      <c r="S489">
        <v>0.13181317957656954</v>
      </c>
      <c r="T489">
        <v>15.371573119640633</v>
      </c>
      <c r="U489">
        <v>1570.5994188889988</v>
      </c>
      <c r="V489">
        <v>10.948724095787668</v>
      </c>
      <c r="W489">
        <v>1299.8534457439187</v>
      </c>
      <c r="X489">
        <v>7.699233683173202</v>
      </c>
      <c r="Y489">
        <v>2916.4263628971025</v>
      </c>
      <c r="Z489">
        <v>11.007730871451368</v>
      </c>
      <c r="AA489">
        <v>2738.231444853765</v>
      </c>
      <c r="AB489">
        <v>7.7313798916191168</v>
      </c>
      <c r="AC489">
        <v>2280.1184157024709</v>
      </c>
      <c r="AD489">
        <v>10.972164494628183</v>
      </c>
      <c r="AE489">
        <v>2051.4697960399994</v>
      </c>
      <c r="AF489">
        <v>7.7120128835556079</v>
      </c>
      <c r="AG489">
        <v>2180.0791562594395</v>
      </c>
      <c r="AH489">
        <v>10.962592932223863</v>
      </c>
      <c r="AI489">
        <v>1935.0162362322988</v>
      </c>
      <c r="AJ489">
        <v>7.7067961387403363</v>
      </c>
    </row>
    <row r="490" spans="4:36" x14ac:dyDescent="0.45">
      <c r="D490">
        <v>483</v>
      </c>
      <c r="E490">
        <v>13.325751486864638</v>
      </c>
      <c r="F490">
        <v>0.48827247285761727</v>
      </c>
      <c r="G490">
        <v>0.16952871302036249</v>
      </c>
      <c r="H490">
        <v>16.016447327257374</v>
      </c>
      <c r="I490">
        <v>13.541368561768033</v>
      </c>
      <c r="J490">
        <v>0.33365673373482302</v>
      </c>
      <c r="K490">
        <v>0.11551328943488208</v>
      </c>
      <c r="L490">
        <v>16.009461415062265</v>
      </c>
      <c r="M490">
        <v>13.461334366437804</v>
      </c>
      <c r="N490">
        <v>0.39107955371678599</v>
      </c>
      <c r="O490">
        <v>0.13553729415476931</v>
      </c>
      <c r="P490">
        <v>16.012048785690666</v>
      </c>
      <c r="Q490">
        <v>13.379248841815819</v>
      </c>
      <c r="R490">
        <v>0.44993558705431952</v>
      </c>
      <c r="S490">
        <v>0.15610611479480857</v>
      </c>
      <c r="T490">
        <v>16.014709456335062</v>
      </c>
      <c r="U490">
        <v>1581.6502918694887</v>
      </c>
      <c r="V490">
        <v>10.605375698269727</v>
      </c>
      <c r="W490">
        <v>1304.7502964067153</v>
      </c>
      <c r="X490">
        <v>7.5230277248834563</v>
      </c>
      <c r="Y490">
        <v>2956.3290595339699</v>
      </c>
      <c r="Z490">
        <v>10.650175406762047</v>
      </c>
      <c r="AA490">
        <v>2764.3728293000877</v>
      </c>
      <c r="AB490">
        <v>7.5483165006943578</v>
      </c>
      <c r="AC490">
        <v>2252.2989072971459</v>
      </c>
      <c r="AD490">
        <v>10.633549799278146</v>
      </c>
      <c r="AE490">
        <v>2031.5188430674161</v>
      </c>
      <c r="AF490">
        <v>7.5389400837194502</v>
      </c>
      <c r="AG490">
        <v>2183.231585736783</v>
      </c>
      <c r="AH490">
        <v>10.616493845262555</v>
      </c>
      <c r="AI490">
        <v>1934.4957189914276</v>
      </c>
      <c r="AJ490">
        <v>7.5293105688146564</v>
      </c>
    </row>
    <row r="491" spans="4:36" x14ac:dyDescent="0.45">
      <c r="D491">
        <v>484</v>
      </c>
      <c r="E491">
        <v>12.42215326289133</v>
      </c>
      <c r="F491">
        <v>0.42876442348951954</v>
      </c>
      <c r="G491">
        <v>0.18225581362965393</v>
      </c>
      <c r="H491">
        <v>16.966826499989498</v>
      </c>
      <c r="I491">
        <v>12.653073459199961</v>
      </c>
      <c r="J491">
        <v>0.26881981348329742</v>
      </c>
      <c r="K491">
        <v>0.11387778280216145</v>
      </c>
      <c r="L491">
        <v>16.96422894451457</v>
      </c>
      <c r="M491">
        <v>12.561114266541745</v>
      </c>
      <c r="N491">
        <v>0.33255551499406272</v>
      </c>
      <c r="O491">
        <v>0.14106865742154046</v>
      </c>
      <c r="P491">
        <v>16.965261561042659</v>
      </c>
      <c r="Q491">
        <v>12.501574753884253</v>
      </c>
      <c r="R491">
        <v>0.37379265808648421</v>
      </c>
      <c r="S491">
        <v>0.15870118239021316</v>
      </c>
      <c r="T491">
        <v>16.965931405639058</v>
      </c>
      <c r="U491">
        <v>1566.4279157093997</v>
      </c>
      <c r="V491">
        <v>9.7827632499372221</v>
      </c>
      <c r="W491">
        <v>1302.4968804707548</v>
      </c>
      <c r="X491">
        <v>7.0357571663752845</v>
      </c>
      <c r="Y491">
        <v>2901.5205486348132</v>
      </c>
      <c r="Z491">
        <v>9.8284531350096156</v>
      </c>
      <c r="AA491">
        <v>2732.9559453693641</v>
      </c>
      <c r="AB491">
        <v>7.0621370564809967</v>
      </c>
      <c r="AC491">
        <v>2208.2738368657792</v>
      </c>
      <c r="AD491">
        <v>9.810259662850271</v>
      </c>
      <c r="AE491">
        <v>2007.5962208599735</v>
      </c>
      <c r="AF491">
        <v>7.0516441799569769</v>
      </c>
      <c r="AG491">
        <v>2129.6161939498534</v>
      </c>
      <c r="AH491">
        <v>9.7984790820592185</v>
      </c>
      <c r="AI491">
        <v>1905.3655238004312</v>
      </c>
      <c r="AJ491">
        <v>7.0448418076756445</v>
      </c>
    </row>
    <row r="492" spans="4:36" x14ac:dyDescent="0.45">
      <c r="D492">
        <v>485</v>
      </c>
      <c r="E492">
        <v>11.621503167777428</v>
      </c>
      <c r="F492">
        <v>0.38884261953403476</v>
      </c>
      <c r="G492">
        <v>0.15626562454933007</v>
      </c>
      <c r="H492">
        <v>17.833388588139201</v>
      </c>
      <c r="I492">
        <v>11.814691953338668</v>
      </c>
      <c r="J492">
        <v>0.24646191819960125</v>
      </c>
      <c r="K492">
        <v>9.8745853047531015E-2</v>
      </c>
      <c r="L492">
        <v>17.840100275414212</v>
      </c>
      <c r="M492">
        <v>11.712811969962599</v>
      </c>
      <c r="N492">
        <v>0.32157546191020958</v>
      </c>
      <c r="O492">
        <v>0.12904648344584879</v>
      </c>
      <c r="P492">
        <v>17.836566084681351</v>
      </c>
      <c r="Q492">
        <v>11.67658518126753</v>
      </c>
      <c r="R492">
        <v>0.34826969445871303</v>
      </c>
      <c r="S492">
        <v>0.13983857208975226</v>
      </c>
      <c r="T492">
        <v>17.835306552184015</v>
      </c>
      <c r="U492">
        <v>1453.8700597813902</v>
      </c>
      <c r="V492">
        <v>9.1533091013276255</v>
      </c>
      <c r="W492">
        <v>1232.8278720902715</v>
      </c>
      <c r="X492">
        <v>6.6701277548266606</v>
      </c>
      <c r="Y492">
        <v>2857.9994727670405</v>
      </c>
      <c r="Z492">
        <v>9.18610851038863</v>
      </c>
      <c r="AA492">
        <v>2709.1141111503825</v>
      </c>
      <c r="AB492">
        <v>6.6898951505050697</v>
      </c>
      <c r="AC492">
        <v>2148.6724384664599</v>
      </c>
      <c r="AD492">
        <v>9.168807638428552</v>
      </c>
      <c r="AE492">
        <v>1972.1727259731695</v>
      </c>
      <c r="AF492">
        <v>6.6794778642588497</v>
      </c>
      <c r="AG492">
        <v>2068.6075122082016</v>
      </c>
      <c r="AH492">
        <v>9.1626577735595909</v>
      </c>
      <c r="AI492">
        <v>1870.9515375356614</v>
      </c>
      <c r="AJ492">
        <v>6.6757697705743873</v>
      </c>
    </row>
    <row r="493" spans="4:36" x14ac:dyDescent="0.45">
      <c r="D493">
        <v>486</v>
      </c>
      <c r="E493">
        <v>14.24994781385753</v>
      </c>
      <c r="F493">
        <v>0.48473941846302926</v>
      </c>
      <c r="G493">
        <v>0.17196921429491463</v>
      </c>
      <c r="H493">
        <v>15.093343553384527</v>
      </c>
      <c r="I493">
        <v>14.52264956688618</v>
      </c>
      <c r="J493">
        <v>0.30742378937519599</v>
      </c>
      <c r="K493">
        <v>0.10867297725820546</v>
      </c>
      <c r="L493">
        <v>15.061253666480409</v>
      </c>
      <c r="M493">
        <v>14.359017818652012</v>
      </c>
      <c r="N493">
        <v>0.41387760196190138</v>
      </c>
      <c r="O493">
        <v>0.1466182357760232</v>
      </c>
      <c r="P493">
        <v>15.080486343610078</v>
      </c>
      <c r="Q493">
        <v>14.366076380696878</v>
      </c>
      <c r="R493">
        <v>0.40928906323475411</v>
      </c>
      <c r="S493">
        <v>0.14497923856425576</v>
      </c>
      <c r="T493">
        <v>15.079655317504093</v>
      </c>
      <c r="U493">
        <v>1625.6774966188002</v>
      </c>
      <c r="V493">
        <v>11.133688083796198</v>
      </c>
      <c r="W493">
        <v>1331.0016027407553</v>
      </c>
      <c r="X493">
        <v>7.7998994943609601</v>
      </c>
      <c r="Y493">
        <v>2970.0448118960571</v>
      </c>
      <c r="Z493">
        <v>11.201589516166958</v>
      </c>
      <c r="AA493">
        <v>2772.3550314011686</v>
      </c>
      <c r="AB493">
        <v>7.8370544957294008</v>
      </c>
      <c r="AC493">
        <v>2308.5536633877023</v>
      </c>
      <c r="AD493">
        <v>11.160859477774189</v>
      </c>
      <c r="AE493">
        <v>2065.5126222853582</v>
      </c>
      <c r="AF493">
        <v>7.8147807499793753</v>
      </c>
      <c r="AG493">
        <v>2189.0043761769643</v>
      </c>
      <c r="AH493">
        <v>11.162617275960514</v>
      </c>
      <c r="AI493">
        <v>1936.9728311778433</v>
      </c>
      <c r="AJ493">
        <v>7.8157428463537268</v>
      </c>
    </row>
    <row r="494" spans="4:36" x14ac:dyDescent="0.45">
      <c r="D494">
        <v>487</v>
      </c>
      <c r="E494">
        <v>11.844648844728459</v>
      </c>
      <c r="F494">
        <v>0.43463196229955042</v>
      </c>
      <c r="G494">
        <v>0.18408154763050258</v>
      </c>
      <c r="H494">
        <v>17.536637645341493</v>
      </c>
      <c r="I494">
        <v>12.036884772659697</v>
      </c>
      <c r="J494">
        <v>0.28784898222091115</v>
      </c>
      <c r="K494">
        <v>0.1215311497338285</v>
      </c>
      <c r="L494">
        <v>17.55373509538558</v>
      </c>
      <c r="M494">
        <v>11.970345321431216</v>
      </c>
      <c r="N494">
        <v>0.33867831448511909</v>
      </c>
      <c r="O494">
        <v>0.14314657267530395</v>
      </c>
      <c r="P494">
        <v>17.547829791408368</v>
      </c>
      <c r="Q494">
        <v>11.939151586936832</v>
      </c>
      <c r="R494">
        <v>0.36249888870235086</v>
      </c>
      <c r="S494">
        <v>0.15329275667486444</v>
      </c>
      <c r="T494">
        <v>17.545056767685953</v>
      </c>
      <c r="U494">
        <v>1494.630140458866</v>
      </c>
      <c r="V494">
        <v>9.4074936781682155</v>
      </c>
      <c r="W494">
        <v>1256.6650967246576</v>
      </c>
      <c r="X494">
        <v>6.8237279070244634</v>
      </c>
      <c r="Y494">
        <v>2868.9103933141582</v>
      </c>
      <c r="Z494">
        <v>9.4348238805206286</v>
      </c>
      <c r="AA494">
        <v>2712.1553588979759</v>
      </c>
      <c r="AB494">
        <v>6.8405868844328399</v>
      </c>
      <c r="AC494">
        <v>2173.6216373479747</v>
      </c>
      <c r="AD494">
        <v>9.4253574067726138</v>
      </c>
      <c r="AE494">
        <v>1987.2453409900374</v>
      </c>
      <c r="AF494">
        <v>6.8347555412533172</v>
      </c>
      <c r="AG494">
        <v>2068.4007336897157</v>
      </c>
      <c r="AH494">
        <v>9.4209218967502313</v>
      </c>
      <c r="AI494">
        <v>1867.6804859470187</v>
      </c>
      <c r="AJ494">
        <v>6.8320203067769745</v>
      </c>
    </row>
    <row r="495" spans="4:36" x14ac:dyDescent="0.45">
      <c r="D495">
        <v>488</v>
      </c>
      <c r="E495">
        <v>13.175374055246664</v>
      </c>
      <c r="F495">
        <v>0.46034998557635171</v>
      </c>
      <c r="G495">
        <v>0.19065925391704777</v>
      </c>
      <c r="H495">
        <v>16.173616705259931</v>
      </c>
      <c r="I495">
        <v>13.419759164213115</v>
      </c>
      <c r="J495">
        <v>0.2947110580942795</v>
      </c>
      <c r="K495">
        <v>0.12163650186888345</v>
      </c>
      <c r="L495">
        <v>16.163893275823717</v>
      </c>
      <c r="M495">
        <v>13.30809376377654</v>
      </c>
      <c r="N495">
        <v>0.37044298644282686</v>
      </c>
      <c r="O495">
        <v>0.1531342752905161</v>
      </c>
      <c r="P495">
        <v>16.168328974490102</v>
      </c>
      <c r="Q495">
        <v>13.258345287715168</v>
      </c>
      <c r="R495">
        <v>0.40415691941441317</v>
      </c>
      <c r="S495">
        <v>0.1671887812360377</v>
      </c>
      <c r="T495">
        <v>16.170309011634373</v>
      </c>
      <c r="U495">
        <v>1626.9380342578374</v>
      </c>
      <c r="V495">
        <v>10.47786041485605</v>
      </c>
      <c r="W495">
        <v>1339.5557571128911</v>
      </c>
      <c r="X495">
        <v>7.4500117110275363</v>
      </c>
      <c r="Y495">
        <v>2931.7634386845948</v>
      </c>
      <c r="Z495">
        <v>10.532444484133894</v>
      </c>
      <c r="AA495">
        <v>2750.0379429380191</v>
      </c>
      <c r="AB495">
        <v>7.4809771209994489</v>
      </c>
      <c r="AC495">
        <v>2262.9743989734184</v>
      </c>
      <c r="AD495">
        <v>10.507507644340647</v>
      </c>
      <c r="AE495">
        <v>2040.8964472407313</v>
      </c>
      <c r="AF495">
        <v>7.4668435331011622</v>
      </c>
      <c r="AG495">
        <v>2193.352725726777</v>
      </c>
      <c r="AH495">
        <v>10.496395817243723</v>
      </c>
      <c r="AI495">
        <v>1945.4420353431437</v>
      </c>
      <c r="AJ495">
        <v>7.4605385929433483</v>
      </c>
    </row>
    <row r="496" spans="4:36" x14ac:dyDescent="0.45">
      <c r="D496">
        <v>489</v>
      </c>
      <c r="E496">
        <v>12.340326876369524</v>
      </c>
      <c r="F496">
        <v>0.45709544632870075</v>
      </c>
      <c r="G496">
        <v>0.19414482742012651</v>
      </c>
      <c r="H496">
        <v>17.00843284988165</v>
      </c>
      <c r="I496">
        <v>12.577632485396977</v>
      </c>
      <c r="J496">
        <v>0.28585502952256847</v>
      </c>
      <c r="K496">
        <v>0.12096004308570532</v>
      </c>
      <c r="L496">
        <v>17.01555244199475</v>
      </c>
      <c r="M496">
        <v>12.51084476937087</v>
      </c>
      <c r="N496">
        <v>0.33408344004011964</v>
      </c>
      <c r="O496">
        <v>0.14151587722901177</v>
      </c>
      <c r="P496">
        <v>17.013555913359994</v>
      </c>
      <c r="Q496">
        <v>12.451142150220988</v>
      </c>
      <c r="R496">
        <v>0.37717300848230578</v>
      </c>
      <c r="S496">
        <v>0.15991842219401381</v>
      </c>
      <c r="T496">
        <v>17.011766419102681</v>
      </c>
      <c r="U496">
        <v>1541.3245546906523</v>
      </c>
      <c r="V496">
        <v>9.7962630273966891</v>
      </c>
      <c r="W496">
        <v>1283.4236393120877</v>
      </c>
      <c r="X496">
        <v>7.0494379019571776</v>
      </c>
      <c r="Y496">
        <v>2906.949564823416</v>
      </c>
      <c r="Z496">
        <v>9.8381056657702555</v>
      </c>
      <c r="AA496">
        <v>2736.3860110460942</v>
      </c>
      <c r="AB496">
        <v>7.0742600534955749</v>
      </c>
      <c r="AC496">
        <v>2215.1165267656484</v>
      </c>
      <c r="AD496">
        <v>9.8263251184139637</v>
      </c>
      <c r="AE496">
        <v>2013.5634675511194</v>
      </c>
      <c r="AF496">
        <v>7.06728230149937</v>
      </c>
      <c r="AG496">
        <v>2133.2509857115447</v>
      </c>
      <c r="AH496">
        <v>9.8157971207602817</v>
      </c>
      <c r="AI496">
        <v>1908.9909607478876</v>
      </c>
      <c r="AJ496">
        <v>7.0610393416250679</v>
      </c>
    </row>
    <row r="497" spans="4:36" x14ac:dyDescent="0.45">
      <c r="D497">
        <v>490</v>
      </c>
      <c r="E497">
        <v>13.491835385078753</v>
      </c>
      <c r="F497">
        <v>0.4690880882993298</v>
      </c>
      <c r="G497">
        <v>0.16917458773711463</v>
      </c>
      <c r="H497">
        <v>15.869901938884805</v>
      </c>
      <c r="I497">
        <v>13.722821806967206</v>
      </c>
      <c r="J497">
        <v>0.31085737783978246</v>
      </c>
      <c r="K497">
        <v>0.11176050154758883</v>
      </c>
      <c r="L497">
        <v>15.854560313645422</v>
      </c>
      <c r="M497">
        <v>13.608059964460356</v>
      </c>
      <c r="N497">
        <v>0.38951324530902898</v>
      </c>
      <c r="O497">
        <v>0.14025535961409274</v>
      </c>
      <c r="P497">
        <v>15.862171430616529</v>
      </c>
      <c r="Q497">
        <v>13.570032132102108</v>
      </c>
      <c r="R497">
        <v>0.41555885595223779</v>
      </c>
      <c r="S497">
        <v>0.14971070881162243</v>
      </c>
      <c r="T497">
        <v>15.864698303134011</v>
      </c>
      <c r="U497">
        <v>1626.3310459726149</v>
      </c>
      <c r="V497">
        <v>10.70820423044165</v>
      </c>
      <c r="W497">
        <v>1338.5074883927005</v>
      </c>
      <c r="X497">
        <v>7.580360098859849</v>
      </c>
      <c r="Y497">
        <v>2944.3496289189447</v>
      </c>
      <c r="Z497">
        <v>10.760450027957368</v>
      </c>
      <c r="AA497">
        <v>2757.8579924122505</v>
      </c>
      <c r="AB497">
        <v>7.6095667979233825</v>
      </c>
      <c r="AC497">
        <v>2267.5517406934555</v>
      </c>
      <c r="AD497">
        <v>10.734499058753194</v>
      </c>
      <c r="AE497">
        <v>2042.909352156008</v>
      </c>
      <c r="AF497">
        <v>7.5950702392973621</v>
      </c>
      <c r="AG497">
        <v>2191.9129128501336</v>
      </c>
      <c r="AH497">
        <v>10.725897041673791</v>
      </c>
      <c r="AI497">
        <v>1943.671665704637</v>
      </c>
      <c r="AJ497">
        <v>7.5902604011611503</v>
      </c>
    </row>
    <row r="498" spans="4:36" x14ac:dyDescent="0.45">
      <c r="D498">
        <v>491</v>
      </c>
      <c r="E498">
        <v>13.698005347575419</v>
      </c>
      <c r="F498">
        <v>0.48344962624190946</v>
      </c>
      <c r="G498">
        <v>0.16129241547895692</v>
      </c>
      <c r="H498">
        <v>15.657252610703706</v>
      </c>
      <c r="I498">
        <v>13.906302468812742</v>
      </c>
      <c r="J498">
        <v>0.33622163266449295</v>
      </c>
      <c r="K498">
        <v>0.11185676115418489</v>
      </c>
      <c r="L498">
        <v>15.645619137368596</v>
      </c>
      <c r="M498">
        <v>13.802726210309919</v>
      </c>
      <c r="N498">
        <v>0.40946289172425732</v>
      </c>
      <c r="O498">
        <v>0.13641397316514459</v>
      </c>
      <c r="P498">
        <v>15.651396924800677</v>
      </c>
      <c r="Q498">
        <v>13.769929892712325</v>
      </c>
      <c r="R498">
        <v>0.43264088518799493</v>
      </c>
      <c r="S498">
        <v>0.14419994942140021</v>
      </c>
      <c r="T498">
        <v>15.653229272678278</v>
      </c>
      <c r="U498">
        <v>1625.8609400158621</v>
      </c>
      <c r="V498">
        <v>10.707967426225428</v>
      </c>
      <c r="W498">
        <v>1336.6440146989939</v>
      </c>
      <c r="X498">
        <v>7.5558197086373413</v>
      </c>
      <c r="Y498">
        <v>2943.6859185392263</v>
      </c>
      <c r="Z498">
        <v>10.749110106740112</v>
      </c>
      <c r="AA498">
        <v>2755.3173951898148</v>
      </c>
      <c r="AB498">
        <v>7.5787838409959249</v>
      </c>
      <c r="AC498">
        <v>2286.8913016751994</v>
      </c>
      <c r="AD498">
        <v>10.728656097085631</v>
      </c>
      <c r="AE498">
        <v>2054.9244198957003</v>
      </c>
      <c r="AF498">
        <v>7.5673747236207722</v>
      </c>
      <c r="AG498">
        <v>2155.3089133874305</v>
      </c>
      <c r="AH498">
        <v>10.722177788735724</v>
      </c>
      <c r="AI498">
        <v>1916.0981795397795</v>
      </c>
      <c r="AJ498">
        <v>7.5637580973275647</v>
      </c>
    </row>
    <row r="499" spans="4:36" x14ac:dyDescent="0.45">
      <c r="D499">
        <v>492</v>
      </c>
      <c r="E499">
        <v>13.048864859832477</v>
      </c>
      <c r="F499">
        <v>0.47353275437671449</v>
      </c>
      <c r="G499">
        <v>0.1562806217255181</v>
      </c>
      <c r="H499">
        <v>16.321321764065281</v>
      </c>
      <c r="I499">
        <v>13.248568848148318</v>
      </c>
      <c r="J499">
        <v>0.32446954986616622</v>
      </c>
      <c r="K499">
        <v>0.10679158108268663</v>
      </c>
      <c r="L499">
        <v>16.320170020902847</v>
      </c>
      <c r="M499">
        <v>13.188164979244826</v>
      </c>
      <c r="N499">
        <v>0.36957901389274889</v>
      </c>
      <c r="O499">
        <v>0.12173888759970003</v>
      </c>
      <c r="P499">
        <v>16.320517119262725</v>
      </c>
      <c r="Q499">
        <v>13.12232340143381</v>
      </c>
      <c r="R499">
        <v>0.41872691910666837</v>
      </c>
      <c r="S499">
        <v>0.13805296870510295</v>
      </c>
      <c r="T499">
        <v>16.320896710754418</v>
      </c>
      <c r="U499">
        <v>1580.7228446978377</v>
      </c>
      <c r="V499">
        <v>10.313065767765286</v>
      </c>
      <c r="W499">
        <v>1307.6630353504536</v>
      </c>
      <c r="X499">
        <v>7.3453942615056889</v>
      </c>
      <c r="Y499">
        <v>2930.2110029151377</v>
      </c>
      <c r="Z499">
        <v>10.349386056704146</v>
      </c>
      <c r="AA499">
        <v>2748.1194152708845</v>
      </c>
      <c r="AB499">
        <v>7.3662085405627966</v>
      </c>
      <c r="AC499">
        <v>2259.8404387837663</v>
      </c>
      <c r="AD499">
        <v>10.338401090191084</v>
      </c>
      <c r="AE499">
        <v>2040.5295222010318</v>
      </c>
      <c r="AF499">
        <v>7.3599197311238873</v>
      </c>
      <c r="AG499">
        <v>2185.763289016651</v>
      </c>
      <c r="AH499">
        <v>10.326426517570535</v>
      </c>
      <c r="AI499">
        <v>1940.8841198296361</v>
      </c>
      <c r="AJ499">
        <v>7.3530580689324285</v>
      </c>
    </row>
    <row r="500" spans="4:36" x14ac:dyDescent="0.45">
      <c r="D500">
        <v>493</v>
      </c>
      <c r="E500">
        <v>12.979062696674049</v>
      </c>
      <c r="F500">
        <v>0.46667081911850278</v>
      </c>
      <c r="G500">
        <v>0.15113871310918661</v>
      </c>
      <c r="H500">
        <v>16.403127771098266</v>
      </c>
      <c r="I500">
        <v>13.234117964187385</v>
      </c>
      <c r="J500">
        <v>0.28942832334640289</v>
      </c>
      <c r="K500">
        <v>9.341141076247178E-2</v>
      </c>
      <c r="L500">
        <v>16.383042301703735</v>
      </c>
      <c r="M500">
        <v>13.131700687810419</v>
      </c>
      <c r="N500">
        <v>0.36064862167657907</v>
      </c>
      <c r="O500">
        <v>0.11655880232391637</v>
      </c>
      <c r="P500">
        <v>16.391091888189077</v>
      </c>
      <c r="Q500">
        <v>13.068643804369826</v>
      </c>
      <c r="R500">
        <v>0.40446556597430444</v>
      </c>
      <c r="S500">
        <v>0.13083226676133253</v>
      </c>
      <c r="T500">
        <v>16.396058362894539</v>
      </c>
      <c r="U500">
        <v>1589.500625714265</v>
      </c>
      <c r="V500">
        <v>10.118334496894821</v>
      </c>
      <c r="W500">
        <v>1318.8466972566425</v>
      </c>
      <c r="X500">
        <v>7.2175872683632818</v>
      </c>
      <c r="Y500">
        <v>2897.5777700307444</v>
      </c>
      <c r="Z500">
        <v>10.176846570324676</v>
      </c>
      <c r="AA500">
        <v>2730.102459183568</v>
      </c>
      <c r="AB500">
        <v>7.2504276948345661</v>
      </c>
      <c r="AC500">
        <v>2241.0139707484886</v>
      </c>
      <c r="AD500">
        <v>10.153360077366411</v>
      </c>
      <c r="AE500">
        <v>2031.0299064674973</v>
      </c>
      <c r="AF500">
        <v>7.2372590160690624</v>
      </c>
      <c r="AG500">
        <v>2151.5545053966312</v>
      </c>
      <c r="AH500">
        <v>10.138893791159237</v>
      </c>
      <c r="AI500">
        <v>1921.1780925524965</v>
      </c>
      <c r="AJ500">
        <v>7.2291390304026022</v>
      </c>
    </row>
    <row r="501" spans="4:36" x14ac:dyDescent="0.45">
      <c r="D501">
        <v>494</v>
      </c>
      <c r="E501">
        <v>12.939349292284767</v>
      </c>
      <c r="F501">
        <v>0.45909741801649984</v>
      </c>
      <c r="G501">
        <v>0.17865241999552225</v>
      </c>
      <c r="H501">
        <v>16.422900869703216</v>
      </c>
      <c r="I501">
        <v>13.167935761548568</v>
      </c>
      <c r="J501">
        <v>0.30133058046524824</v>
      </c>
      <c r="K501">
        <v>0.11686318267195346</v>
      </c>
      <c r="L501">
        <v>16.413870475314216</v>
      </c>
      <c r="M501">
        <v>13.075634085393338</v>
      </c>
      <c r="N501">
        <v>0.36507549091669628</v>
      </c>
      <c r="O501">
        <v>0.14177771220046984</v>
      </c>
      <c r="P501">
        <v>16.417512711489508</v>
      </c>
      <c r="Q501">
        <v>13.039263583332835</v>
      </c>
      <c r="R501">
        <v>0.39017877373275434</v>
      </c>
      <c r="S501">
        <v>0.15160819789827945</v>
      </c>
      <c r="T501">
        <v>16.418949445036127</v>
      </c>
      <c r="U501">
        <v>1555.9319591242067</v>
      </c>
      <c r="V501">
        <v>10.211009077732797</v>
      </c>
      <c r="W501">
        <v>1290.7949312212809</v>
      </c>
      <c r="X501">
        <v>7.2846712763486048</v>
      </c>
      <c r="Y501">
        <v>2932.1440866467465</v>
      </c>
      <c r="Z501">
        <v>10.258282003961211</v>
      </c>
      <c r="AA501">
        <v>2751.13051144988</v>
      </c>
      <c r="AB501">
        <v>7.311638619768944</v>
      </c>
      <c r="AC501">
        <v>2239.0780285970068</v>
      </c>
      <c r="AD501">
        <v>10.239195917790285</v>
      </c>
      <c r="AE501">
        <v>2025.8280114522518</v>
      </c>
      <c r="AF501">
        <v>7.3007615344317873</v>
      </c>
      <c r="AG501">
        <v>2155.758550858041</v>
      </c>
      <c r="AH501">
        <v>10.231674355670455</v>
      </c>
      <c r="AI501">
        <v>1921.4041738467297</v>
      </c>
      <c r="AJ501">
        <v>7.296471035035422</v>
      </c>
    </row>
    <row r="502" spans="4:36" x14ac:dyDescent="0.45">
      <c r="D502">
        <v>495</v>
      </c>
      <c r="E502">
        <v>12.074587431729014</v>
      </c>
      <c r="F502">
        <v>0.43407261970339706</v>
      </c>
      <c r="G502">
        <v>0.15540613194356107</v>
      </c>
      <c r="H502">
        <v>17.335933816624038</v>
      </c>
      <c r="I502">
        <v>12.28087563464906</v>
      </c>
      <c r="J502">
        <v>0.28049328676972163</v>
      </c>
      <c r="K502">
        <v>0.10011738217409429</v>
      </c>
      <c r="L502">
        <v>17.338513696407109</v>
      </c>
      <c r="M502">
        <v>12.180002833914431</v>
      </c>
      <c r="N502">
        <v>0.35562235018642624</v>
      </c>
      <c r="O502">
        <v>0.1271213965901683</v>
      </c>
      <c r="P502">
        <v>17.337253419308965</v>
      </c>
      <c r="Q502">
        <v>12.153107807042627</v>
      </c>
      <c r="R502">
        <v>0.37564371877686514</v>
      </c>
      <c r="S502">
        <v>0.1343314792440487</v>
      </c>
      <c r="T502">
        <v>17.33691699493647</v>
      </c>
      <c r="U502">
        <v>1529.550442045844</v>
      </c>
      <c r="V502">
        <v>9.4182130364028591</v>
      </c>
      <c r="W502">
        <v>1282.9697864431823</v>
      </c>
      <c r="X502">
        <v>6.8098438053470147</v>
      </c>
      <c r="Y502">
        <v>2887.9390990032753</v>
      </c>
      <c r="Z502">
        <v>9.4520355584417306</v>
      </c>
      <c r="AA502">
        <v>2727.0746773043702</v>
      </c>
      <c r="AB502">
        <v>6.8296183178763288</v>
      </c>
      <c r="AC502">
        <v>2194.2677084352008</v>
      </c>
      <c r="AD502">
        <v>9.435496693478358</v>
      </c>
      <c r="AE502">
        <v>2001.583835313508</v>
      </c>
      <c r="AF502">
        <v>6.8199574183179088</v>
      </c>
      <c r="AG502">
        <v>2108.352611015453</v>
      </c>
      <c r="AH502">
        <v>9.4310870490943373</v>
      </c>
      <c r="AI502">
        <v>1896.4006215330062</v>
      </c>
      <c r="AJ502">
        <v>6.817378819434472</v>
      </c>
    </row>
    <row r="503" spans="4:36" x14ac:dyDescent="0.45">
      <c r="D503">
        <v>496</v>
      </c>
      <c r="E503">
        <v>12.544108159418581</v>
      </c>
      <c r="F503">
        <v>0.45573473820847715</v>
      </c>
      <c r="G503">
        <v>0.17704112905358707</v>
      </c>
      <c r="H503">
        <v>16.82311597331935</v>
      </c>
      <c r="I503">
        <v>12.754335936129666</v>
      </c>
      <c r="J503">
        <v>0.29975006530793619</v>
      </c>
      <c r="K503">
        <v>0.11608044966092294</v>
      </c>
      <c r="L503">
        <v>16.829833548901483</v>
      </c>
      <c r="M503">
        <v>12.679052122726942</v>
      </c>
      <c r="N503">
        <v>0.35563765203210457</v>
      </c>
      <c r="O503">
        <v>0.13787743245101214</v>
      </c>
      <c r="P503">
        <v>16.827432792789956</v>
      </c>
      <c r="Q503">
        <v>12.629038717874716</v>
      </c>
      <c r="R503">
        <v>0.39274797680365331</v>
      </c>
      <c r="S503">
        <v>0.15237839004900011</v>
      </c>
      <c r="T503">
        <v>16.825834915272644</v>
      </c>
      <c r="U503">
        <v>1546.2447221640327</v>
      </c>
      <c r="V503">
        <v>9.8725309170243492</v>
      </c>
      <c r="W503">
        <v>1285.9399347511751</v>
      </c>
      <c r="X503">
        <v>7.0828817275916434</v>
      </c>
      <c r="Y503">
        <v>2929.810997903699</v>
      </c>
      <c r="Z503">
        <v>9.905621816395799</v>
      </c>
      <c r="AA503">
        <v>2750.9505216565335</v>
      </c>
      <c r="AB503">
        <v>7.1023633789486889</v>
      </c>
      <c r="AC503">
        <v>2240.8390981838929</v>
      </c>
      <c r="AD503">
        <v>9.8937692856025858</v>
      </c>
      <c r="AE503">
        <v>2029.4278568768341</v>
      </c>
      <c r="AF503">
        <v>7.0953935202935918</v>
      </c>
      <c r="AG503">
        <v>2130.7464321912066</v>
      </c>
      <c r="AH503">
        <v>9.8858968031610281</v>
      </c>
      <c r="AI503">
        <v>1904.8877598623164</v>
      </c>
      <c r="AJ503">
        <v>7.0907591468928004</v>
      </c>
    </row>
    <row r="504" spans="4:36" x14ac:dyDescent="0.45">
      <c r="D504">
        <v>497</v>
      </c>
      <c r="E504">
        <v>12.754240853027307</v>
      </c>
      <c r="F504">
        <v>0.46079037262771227</v>
      </c>
      <c r="G504">
        <v>0.16261372948150793</v>
      </c>
      <c r="H504">
        <v>16.622355044863454</v>
      </c>
      <c r="I504">
        <v>12.983859889998813</v>
      </c>
      <c r="J504">
        <v>0.29554794480457114</v>
      </c>
      <c r="K504">
        <v>0.10394508278701203</v>
      </c>
      <c r="L504">
        <v>16.616647082409614</v>
      </c>
      <c r="M504">
        <v>12.915119018790497</v>
      </c>
      <c r="N504">
        <v>0.34504917571099791</v>
      </c>
      <c r="O504">
        <v>0.12147784880016105</v>
      </c>
      <c r="P504">
        <v>16.61835395669835</v>
      </c>
      <c r="Q504">
        <v>12.872675596179143</v>
      </c>
      <c r="R504">
        <v>0.37559934878259404</v>
      </c>
      <c r="S504">
        <v>0.13231639029302056</v>
      </c>
      <c r="T504">
        <v>16.619408664745244</v>
      </c>
      <c r="U504">
        <v>1538.6459538129068</v>
      </c>
      <c r="V504">
        <v>10.200660832719276</v>
      </c>
      <c r="W504">
        <v>1284.2653181711373</v>
      </c>
      <c r="X504">
        <v>7.2979086045164774</v>
      </c>
      <c r="Y504">
        <v>2900.638129051852</v>
      </c>
      <c r="Z504">
        <v>10.24674925462122</v>
      </c>
      <c r="AA504">
        <v>2732.9116200556455</v>
      </c>
      <c r="AB504">
        <v>7.3244105574513725</v>
      </c>
      <c r="AC504">
        <v>2224.7146990691872</v>
      </c>
      <c r="AD504">
        <v>10.232952761917295</v>
      </c>
      <c r="AE504">
        <v>2021.6949172732338</v>
      </c>
      <c r="AF504">
        <v>7.3164869485167312</v>
      </c>
      <c r="AG504">
        <v>2090.1277679124505</v>
      </c>
      <c r="AH504">
        <v>10.224433834311371</v>
      </c>
      <c r="AI504">
        <v>1880.3836856837447</v>
      </c>
      <c r="AJ504">
        <v>7.3115902340076069</v>
      </c>
    </row>
    <row r="505" spans="4:36" x14ac:dyDescent="0.45">
      <c r="D505">
        <v>498</v>
      </c>
      <c r="E505">
        <v>13.20979513257384</v>
      </c>
      <c r="F505">
        <v>0.4924853752648316</v>
      </c>
      <c r="G505">
        <v>0.18336550755868111</v>
      </c>
      <c r="H505">
        <v>16.114353984602648</v>
      </c>
      <c r="I505">
        <v>13.442108960380359</v>
      </c>
      <c r="J505">
        <v>0.32226132708773547</v>
      </c>
      <c r="K505">
        <v>0.11959502355248622</v>
      </c>
      <c r="L505">
        <v>16.116034688979415</v>
      </c>
      <c r="M505">
        <v>13.372782977573291</v>
      </c>
      <c r="N505">
        <v>0.37309033879321468</v>
      </c>
      <c r="O505">
        <v>0.13859268134367747</v>
      </c>
      <c r="P505">
        <v>16.115534002289806</v>
      </c>
      <c r="Q505">
        <v>13.305474330027492</v>
      </c>
      <c r="R505">
        <v>0.4224146593134312</v>
      </c>
      <c r="S505">
        <v>0.15706382392372301</v>
      </c>
      <c r="T505">
        <v>16.115047186735339</v>
      </c>
      <c r="U505">
        <v>1572.1131941658016</v>
      </c>
      <c r="V505">
        <v>10.432466055579253</v>
      </c>
      <c r="W505">
        <v>1295.497836684777</v>
      </c>
      <c r="X505">
        <v>7.4088276509991395</v>
      </c>
      <c r="Y505">
        <v>2953.8898441594615</v>
      </c>
      <c r="Z505">
        <v>10.472674784796318</v>
      </c>
      <c r="AA505">
        <v>2762.1980739149299</v>
      </c>
      <c r="AB505">
        <v>7.4320054318295314</v>
      </c>
      <c r="AC505">
        <v>2253.4121803138892</v>
      </c>
      <c r="AD505">
        <v>10.460675120015141</v>
      </c>
      <c r="AE505">
        <v>2032.1482223695311</v>
      </c>
      <c r="AF505">
        <v>7.4250968259018677</v>
      </c>
      <c r="AG505">
        <v>2206.3607230457928</v>
      </c>
      <c r="AH505">
        <v>10.4490252595534</v>
      </c>
      <c r="AI505">
        <v>1951.344927384049</v>
      </c>
      <c r="AJ505">
        <v>7.4183827745253694</v>
      </c>
    </row>
    <row r="506" spans="4:36" x14ac:dyDescent="0.45">
      <c r="D506">
        <v>499</v>
      </c>
      <c r="E506">
        <v>12.27198922755016</v>
      </c>
      <c r="F506">
        <v>0.46586016369601158</v>
      </c>
      <c r="G506">
        <v>0.17258699477939643</v>
      </c>
      <c r="H506">
        <v>17.089563613974434</v>
      </c>
      <c r="I506">
        <v>12.52837021903799</v>
      </c>
      <c r="J506">
        <v>0.27184500329846317</v>
      </c>
      <c r="K506">
        <v>0.10031172908231641</v>
      </c>
      <c r="L506">
        <v>17.099473048581224</v>
      </c>
      <c r="M506">
        <v>12.425628640028116</v>
      </c>
      <c r="N506">
        <v>0.3496371020477792</v>
      </c>
      <c r="O506">
        <v>0.12922139776409497</v>
      </c>
      <c r="P506">
        <v>17.095512860159999</v>
      </c>
      <c r="Q506">
        <v>12.399817785953534</v>
      </c>
      <c r="R506">
        <v>0.36917115068532635</v>
      </c>
      <c r="S506">
        <v>0.13649536403758014</v>
      </c>
      <c r="T506">
        <v>17.094515699323566</v>
      </c>
      <c r="U506">
        <v>1541.1591181701697</v>
      </c>
      <c r="V506">
        <v>9.689761015717373</v>
      </c>
      <c r="W506">
        <v>1284.4976837333343</v>
      </c>
      <c r="X506">
        <v>6.9799611451072083</v>
      </c>
      <c r="Y506">
        <v>2888.6650798794344</v>
      </c>
      <c r="Z506">
        <v>9.7300642431992816</v>
      </c>
      <c r="AA506">
        <v>2725.5461428681911</v>
      </c>
      <c r="AB506">
        <v>7.0039826149431352</v>
      </c>
      <c r="AC506">
        <v>2209.996728127488</v>
      </c>
      <c r="AD506">
        <v>9.7139069998944887</v>
      </c>
      <c r="AE506">
        <v>2010.0321444218116</v>
      </c>
      <c r="AF506">
        <v>6.9943663127837699</v>
      </c>
      <c r="AG506">
        <v>2095.4258678060046</v>
      </c>
      <c r="AH506">
        <v>9.7098492578244802</v>
      </c>
      <c r="AI506">
        <v>1883.8360848905154</v>
      </c>
      <c r="AJ506">
        <v>6.9919484031673216</v>
      </c>
    </row>
    <row r="507" spans="4:36" x14ac:dyDescent="0.45">
      <c r="D507">
        <v>500</v>
      </c>
      <c r="E507">
        <v>12.61942960529114</v>
      </c>
      <c r="F507">
        <v>0.44357424013810531</v>
      </c>
      <c r="G507">
        <v>0.17114479126033996</v>
      </c>
      <c r="H507">
        <v>16.765851363310407</v>
      </c>
      <c r="I507">
        <v>12.844470400416387</v>
      </c>
      <c r="J507">
        <v>0.28301380135430204</v>
      </c>
      <c r="K507">
        <v>0.10884008732303528</v>
      </c>
      <c r="L507">
        <v>16.763675710906277</v>
      </c>
      <c r="M507">
        <v>12.73825701485786</v>
      </c>
      <c r="N507">
        <v>0.35883238973462761</v>
      </c>
      <c r="O507">
        <v>0.1382097519952204</v>
      </c>
      <c r="P507">
        <v>16.764700843412289</v>
      </c>
      <c r="Q507">
        <v>12.676748649821199</v>
      </c>
      <c r="R507">
        <v>0.40270787228919463</v>
      </c>
      <c r="S507">
        <v>0.15524757678012083</v>
      </c>
      <c r="T507">
        <v>16.765295901109486</v>
      </c>
      <c r="U507">
        <v>1577.302345252062</v>
      </c>
      <c r="V507">
        <v>10.034615939834023</v>
      </c>
      <c r="W507">
        <v>1309.5201369896929</v>
      </c>
      <c r="X507">
        <v>7.1950268950706544</v>
      </c>
      <c r="Y507">
        <v>2895.472704419235</v>
      </c>
      <c r="Z507">
        <v>10.079742725508785</v>
      </c>
      <c r="AA507">
        <v>2727.6745296329996</v>
      </c>
      <c r="AB507">
        <v>7.2210705769776755</v>
      </c>
      <c r="AC507">
        <v>2236.8970043268064</v>
      </c>
      <c r="AD507">
        <v>10.058445011742709</v>
      </c>
      <c r="AE507">
        <v>2026.4265920492392</v>
      </c>
      <c r="AF507">
        <v>7.2087905131885046</v>
      </c>
      <c r="AG507">
        <v>2141.1704801514916</v>
      </c>
      <c r="AH507">
        <v>10.046110690528264</v>
      </c>
      <c r="AI507">
        <v>1911.7438792535909</v>
      </c>
      <c r="AJ507">
        <v>7.2016694254615006</v>
      </c>
    </row>
    <row r="508" spans="4:36" x14ac:dyDescent="0.45">
      <c r="D508">
        <v>501</v>
      </c>
      <c r="E508">
        <v>11.561389768954824</v>
      </c>
      <c r="F508">
        <v>0.39150754214912747</v>
      </c>
      <c r="G508">
        <v>0.14626417023483557</v>
      </c>
      <c r="H508">
        <v>17.900838518661207</v>
      </c>
      <c r="I508">
        <v>11.753372423036422</v>
      </c>
      <c r="J508">
        <v>0.25295007024107896</v>
      </c>
      <c r="K508">
        <v>9.4207735734432488E-2</v>
      </c>
      <c r="L508">
        <v>17.899469770988052</v>
      </c>
      <c r="M508">
        <v>11.691246631318217</v>
      </c>
      <c r="N508">
        <v>0.29781251667379849</v>
      </c>
      <c r="O508">
        <v>0.11102693473351807</v>
      </c>
      <c r="P508">
        <v>17.899913917274464</v>
      </c>
      <c r="Q508">
        <v>11.639381897124796</v>
      </c>
      <c r="R508">
        <v>0.33524687913429835</v>
      </c>
      <c r="S508">
        <v>0.12508740587180731</v>
      </c>
      <c r="T508">
        <v>17.900283817869095</v>
      </c>
      <c r="U508">
        <v>1442.8485412217772</v>
      </c>
      <c r="V508">
        <v>9.1616143795944094</v>
      </c>
      <c r="W508">
        <v>1229.4088245336263</v>
      </c>
      <c r="X508">
        <v>6.6828521259631382</v>
      </c>
      <c r="Y508">
        <v>2829.119888976843</v>
      </c>
      <c r="Z508">
        <v>9.1951468550722524</v>
      </c>
      <c r="AA508">
        <v>2690.5502264729867</v>
      </c>
      <c r="AB508">
        <v>6.7026692068343801</v>
      </c>
      <c r="AC508">
        <v>2120.8746785687676</v>
      </c>
      <c r="AD508">
        <v>9.184295176862717</v>
      </c>
      <c r="AE508">
        <v>1957.4687288930825</v>
      </c>
      <c r="AF508">
        <v>6.6962637597406687</v>
      </c>
      <c r="AG508">
        <v>2057.1852699209535</v>
      </c>
      <c r="AH508">
        <v>9.1752362134816625</v>
      </c>
      <c r="AI508">
        <v>1867.8243665136395</v>
      </c>
      <c r="AJ508">
        <v>6.6909108852031345</v>
      </c>
    </row>
    <row r="509" spans="4:36" x14ac:dyDescent="0.45">
      <c r="D509">
        <v>502</v>
      </c>
      <c r="E509">
        <v>11.674009227611176</v>
      </c>
      <c r="F509">
        <v>0.42814352902438535</v>
      </c>
      <c r="G509">
        <v>0.15868906922740172</v>
      </c>
      <c r="H509">
        <v>17.739158174137046</v>
      </c>
      <c r="I509">
        <v>11.883314550927842</v>
      </c>
      <c r="J509">
        <v>0.27024851494093222</v>
      </c>
      <c r="K509">
        <v>9.9849522172704736E-2</v>
      </c>
      <c r="L509">
        <v>17.746587411958522</v>
      </c>
      <c r="M509">
        <v>11.801620744168124</v>
      </c>
      <c r="N509">
        <v>0.33190578707605811</v>
      </c>
      <c r="O509">
        <v>0.1227811910259046</v>
      </c>
      <c r="P509">
        <v>17.743692277729902</v>
      </c>
      <c r="Q509">
        <v>11.733789392065376</v>
      </c>
      <c r="R509">
        <v>0.38307203867316458</v>
      </c>
      <c r="S509">
        <v>0.14185458834532197</v>
      </c>
      <c r="T509">
        <v>17.74128398091613</v>
      </c>
      <c r="U509">
        <v>1465.6217192023967</v>
      </c>
      <c r="V509">
        <v>9.2243679763502584</v>
      </c>
      <c r="W509">
        <v>1241.1796080652359</v>
      </c>
      <c r="X509">
        <v>6.7131715477065228</v>
      </c>
      <c r="Y509">
        <v>2872.4184960952348</v>
      </c>
      <c r="Z509">
        <v>9.2602804099431069</v>
      </c>
      <c r="AA509">
        <v>2719.4832371452922</v>
      </c>
      <c r="AB509">
        <v>6.7346563372024546</v>
      </c>
      <c r="AC509">
        <v>2171.1024524416871</v>
      </c>
      <c r="AD509">
        <v>9.2462605196469276</v>
      </c>
      <c r="AE509">
        <v>1989.9993977950628</v>
      </c>
      <c r="AF509">
        <v>6.7262791236691815</v>
      </c>
      <c r="AG509">
        <v>2068.6913463819774</v>
      </c>
      <c r="AH509">
        <v>9.2346224843736433</v>
      </c>
      <c r="AI509">
        <v>1870.7834215560572</v>
      </c>
      <c r="AJ509">
        <v>6.7193151791073253</v>
      </c>
    </row>
    <row r="510" spans="4:36" x14ac:dyDescent="0.45">
      <c r="D510">
        <v>503</v>
      </c>
      <c r="E510">
        <v>13.201272654246967</v>
      </c>
      <c r="F510">
        <v>0.53385826315512108</v>
      </c>
      <c r="G510">
        <v>0.1881845714444085</v>
      </c>
      <c r="H510">
        <v>16.076684511153505</v>
      </c>
      <c r="I510">
        <v>13.449882404898467</v>
      </c>
      <c r="J510">
        <v>0.34037197801174096</v>
      </c>
      <c r="K510">
        <v>0.11956534051353745</v>
      </c>
      <c r="L510">
        <v>16.090180276576252</v>
      </c>
      <c r="M510">
        <v>13.378624979409208</v>
      </c>
      <c r="N510">
        <v>0.39586015029835514</v>
      </c>
      <c r="O510">
        <v>0.13919468864673529</v>
      </c>
      <c r="P510">
        <v>16.086320181645696</v>
      </c>
      <c r="Q510">
        <v>13.305697707191168</v>
      </c>
      <c r="R510">
        <v>0.45262340516449073</v>
      </c>
      <c r="S510">
        <v>0.15931598023600257</v>
      </c>
      <c r="T510">
        <v>16.082362907408331</v>
      </c>
      <c r="U510">
        <v>1589.7272250867361</v>
      </c>
      <c r="V510">
        <v>10.452912553579564</v>
      </c>
      <c r="W510">
        <v>1310.0136948913741</v>
      </c>
      <c r="X510">
        <v>7.4196052554227006</v>
      </c>
      <c r="Y510">
        <v>2929.1574059822528</v>
      </c>
      <c r="Z510">
        <v>10.489783823548278</v>
      </c>
      <c r="AA510">
        <v>2746.4317510254446</v>
      </c>
      <c r="AB510">
        <v>7.441299762620921</v>
      </c>
      <c r="AC510">
        <v>2257.2672254695535</v>
      </c>
      <c r="AD510">
        <v>10.479211121823427</v>
      </c>
      <c r="AE510">
        <v>2036.9401854817102</v>
      </c>
      <c r="AF510">
        <v>7.4350880810963051</v>
      </c>
      <c r="AG510">
        <v>2148.2161160672445</v>
      </c>
      <c r="AH510">
        <v>10.468394409783107</v>
      </c>
      <c r="AI510">
        <v>1911.7951295155099</v>
      </c>
      <c r="AJ510">
        <v>7.4287254720159082</v>
      </c>
    </row>
    <row r="511" spans="4:36" x14ac:dyDescent="0.45">
      <c r="D511">
        <v>504</v>
      </c>
      <c r="E511">
        <v>13.415811130121673</v>
      </c>
      <c r="F511">
        <v>0.46368507920862001</v>
      </c>
      <c r="G511">
        <v>0.17367454833107931</v>
      </c>
      <c r="H511">
        <v>15.94682924233865</v>
      </c>
      <c r="I511">
        <v>13.676780653895445</v>
      </c>
      <c r="J511">
        <v>0.29124812902326858</v>
      </c>
      <c r="K511">
        <v>0.10869735584134024</v>
      </c>
      <c r="L511">
        <v>15.923273861239958</v>
      </c>
      <c r="M511">
        <v>13.559130456388793</v>
      </c>
      <c r="N511">
        <v>0.36904142774082066</v>
      </c>
      <c r="O511">
        <v>0.13795258997827542</v>
      </c>
      <c r="P511">
        <v>15.933875525892102</v>
      </c>
      <c r="Q511">
        <v>13.550298971209164</v>
      </c>
      <c r="R511">
        <v>0.37487738148559829</v>
      </c>
      <c r="S511">
        <v>0.14015114296085376</v>
      </c>
      <c r="T511">
        <v>15.934672504344377</v>
      </c>
      <c r="U511">
        <v>1586.6556895113142</v>
      </c>
      <c r="V511">
        <v>10.626662599424527</v>
      </c>
      <c r="W511">
        <v>1310.161555948255</v>
      </c>
      <c r="X511">
        <v>7.5311666618238249</v>
      </c>
      <c r="Y511">
        <v>2926.99265493236</v>
      </c>
      <c r="Z511">
        <v>10.689073414475557</v>
      </c>
      <c r="AA511">
        <v>2746.6573529282618</v>
      </c>
      <c r="AB511">
        <v>7.5659810137148265</v>
      </c>
      <c r="AC511">
        <v>2255.3116523469898</v>
      </c>
      <c r="AD511">
        <v>10.660947125648638</v>
      </c>
      <c r="AE511">
        <v>2035.2909003690784</v>
      </c>
      <c r="AF511">
        <v>7.5503056085143134</v>
      </c>
      <c r="AG511">
        <v>2143.8901202501825</v>
      </c>
      <c r="AH511">
        <v>10.658835166565297</v>
      </c>
      <c r="AI511">
        <v>1912.0382916746091</v>
      </c>
      <c r="AJ511">
        <v>7.5491276342056501</v>
      </c>
    </row>
    <row r="512" spans="4:36" x14ac:dyDescent="0.45">
      <c r="D512">
        <v>505</v>
      </c>
      <c r="E512">
        <v>13.957294271009303</v>
      </c>
      <c r="F512">
        <v>0.50532281829333803</v>
      </c>
      <c r="G512">
        <v>0.1664281036463067</v>
      </c>
      <c r="H512">
        <v>15.370954807051051</v>
      </c>
      <c r="I512">
        <v>14.209078297865362</v>
      </c>
      <c r="J512">
        <v>0.33759688262411758</v>
      </c>
      <c r="K512">
        <v>0.11082808239795069</v>
      </c>
      <c r="L512">
        <v>15.342496737112569</v>
      </c>
      <c r="M512">
        <v>14.124415124471644</v>
      </c>
      <c r="N512">
        <v>0.39404005666297187</v>
      </c>
      <c r="O512">
        <v>0.12949776833453852</v>
      </c>
      <c r="P512">
        <v>15.352047050530858</v>
      </c>
      <c r="Q512">
        <v>14.067836044745878</v>
      </c>
      <c r="R512">
        <v>0.43173494098363757</v>
      </c>
      <c r="S512">
        <v>0.1419890607291236</v>
      </c>
      <c r="T512">
        <v>15.35843995354135</v>
      </c>
      <c r="U512">
        <v>1630.547855844834</v>
      </c>
      <c r="V512">
        <v>11.128158899274842</v>
      </c>
      <c r="W512">
        <v>1337.7408272157184</v>
      </c>
      <c r="X512">
        <v>7.8256116949960104</v>
      </c>
      <c r="Y512">
        <v>2965.1997017019075</v>
      </c>
      <c r="Z512">
        <v>11.191874209688141</v>
      </c>
      <c r="AA512">
        <v>2769.9199164441916</v>
      </c>
      <c r="AB512">
        <v>7.8606803873486646</v>
      </c>
      <c r="AC512">
        <v>2278.1868682389659</v>
      </c>
      <c r="AD512">
        <v>11.170460266769039</v>
      </c>
      <c r="AE512">
        <v>2049.1901053171946</v>
      </c>
      <c r="AF512">
        <v>7.848905445647131</v>
      </c>
      <c r="AG512">
        <v>2183.6687063191466</v>
      </c>
      <c r="AH512">
        <v>11.156143738070272</v>
      </c>
      <c r="AI512">
        <v>1935.6418340956511</v>
      </c>
      <c r="AJ512">
        <v>7.8410268683525155</v>
      </c>
    </row>
    <row r="513" spans="4:36" x14ac:dyDescent="0.45">
      <c r="D513">
        <v>506</v>
      </c>
      <c r="E513">
        <v>12.646381606828808</v>
      </c>
      <c r="F513">
        <v>0.44910088225768391</v>
      </c>
      <c r="G513">
        <v>0.17853001504496396</v>
      </c>
      <c r="H513">
        <v>16.725987495868551</v>
      </c>
      <c r="I513">
        <v>12.86027318162339</v>
      </c>
      <c r="J513">
        <v>0.29691312532762448</v>
      </c>
      <c r="K513">
        <v>0.11765653517558888</v>
      </c>
      <c r="L513">
        <v>16.725157157873404</v>
      </c>
      <c r="M513">
        <v>12.774241786392002</v>
      </c>
      <c r="N513">
        <v>0.35815950270729818</v>
      </c>
      <c r="O513">
        <v>0.1421072223216481</v>
      </c>
      <c r="P513">
        <v>16.725491488579049</v>
      </c>
      <c r="Q513">
        <v>12.71238220636481</v>
      </c>
      <c r="R513">
        <v>0.40217001774325423</v>
      </c>
      <c r="S513">
        <v>0.15971618351746433</v>
      </c>
      <c r="T513">
        <v>16.725731592374462</v>
      </c>
      <c r="U513">
        <v>1563.3549668397341</v>
      </c>
      <c r="V513">
        <v>9.9867626500881084</v>
      </c>
      <c r="W513">
        <v>1296.0519617136817</v>
      </c>
      <c r="X513">
        <v>7.155548547015619</v>
      </c>
      <c r="Y513">
        <v>2923.4448601535264</v>
      </c>
      <c r="Z513">
        <v>10.02635385495382</v>
      </c>
      <c r="AA513">
        <v>2744.7308243108005</v>
      </c>
      <c r="AB513">
        <v>7.1784931847663094</v>
      </c>
      <c r="AC513">
        <v>2239.401388402985</v>
      </c>
      <c r="AD513">
        <v>10.010429229531759</v>
      </c>
      <c r="AE513">
        <v>2025.9417291515715</v>
      </c>
      <c r="AF513">
        <v>7.1692736100208139</v>
      </c>
      <c r="AG513">
        <v>2155.4340650316849</v>
      </c>
      <c r="AH513">
        <v>9.9989790864570693</v>
      </c>
      <c r="AI513">
        <v>1919.4411156917661</v>
      </c>
      <c r="AJ513">
        <v>7.1626367775573527</v>
      </c>
    </row>
    <row r="514" spans="4:36" x14ac:dyDescent="0.45">
      <c r="D514">
        <v>507</v>
      </c>
      <c r="E514">
        <v>11.651885317136983</v>
      </c>
      <c r="F514">
        <v>0.42279579058553657</v>
      </c>
      <c r="G514">
        <v>0.15501776582176169</v>
      </c>
      <c r="H514">
        <v>17.770301126455713</v>
      </c>
      <c r="I514">
        <v>11.834381199419173</v>
      </c>
      <c r="J514">
        <v>0.2818972760194281</v>
      </c>
      <c r="K514">
        <v>0.10306105323490775</v>
      </c>
      <c r="L514">
        <v>17.780660471326492</v>
      </c>
      <c r="M514">
        <v>11.767511837945353</v>
      </c>
      <c r="N514">
        <v>0.3335452802376167</v>
      </c>
      <c r="O514">
        <v>0.12207132133012026</v>
      </c>
      <c r="P514">
        <v>17.776871560486907</v>
      </c>
      <c r="Q514">
        <v>11.703079468435794</v>
      </c>
      <c r="R514">
        <v>0.38328855450145916</v>
      </c>
      <c r="S514">
        <v>0.14041879478698327</v>
      </c>
      <c r="T514">
        <v>17.773213182275779</v>
      </c>
      <c r="U514">
        <v>1491.0650133845299</v>
      </c>
      <c r="V514">
        <v>9.2165708306481484</v>
      </c>
      <c r="W514">
        <v>1258.4834281570011</v>
      </c>
      <c r="X514">
        <v>6.7095778476032022</v>
      </c>
      <c r="Y514">
        <v>2864.423184323849</v>
      </c>
      <c r="Z514">
        <v>9.245084671355384</v>
      </c>
      <c r="AA514">
        <v>2711.6350760872974</v>
      </c>
      <c r="AB514">
        <v>6.7269633670417868</v>
      </c>
      <c r="AC514">
        <v>2156.5780814007417</v>
      </c>
      <c r="AD514">
        <v>9.2346322735004165</v>
      </c>
      <c r="AE514">
        <v>1977.8956805279706</v>
      </c>
      <c r="AF514">
        <v>6.7205980704837645</v>
      </c>
      <c r="AG514">
        <v>2082.6033173536575</v>
      </c>
      <c r="AH514">
        <v>9.2245656928444273</v>
      </c>
      <c r="AI514">
        <v>1879.3824566342455</v>
      </c>
      <c r="AJ514">
        <v>6.7144592607755804</v>
      </c>
    </row>
    <row r="515" spans="4:36" x14ac:dyDescent="0.45">
      <c r="D515">
        <v>508</v>
      </c>
      <c r="E515">
        <v>13.738174930778541</v>
      </c>
      <c r="F515">
        <v>0.48362128373588142</v>
      </c>
      <c r="G515">
        <v>0.15419693056857589</v>
      </c>
      <c r="H515">
        <v>15.62400685491699</v>
      </c>
      <c r="I515">
        <v>13.979670697648372</v>
      </c>
      <c r="J515">
        <v>0.31673343262796605</v>
      </c>
      <c r="K515">
        <v>0.10065416788603981</v>
      </c>
      <c r="L515">
        <v>15.602941701837629</v>
      </c>
      <c r="M515">
        <v>13.860697494363736</v>
      </c>
      <c r="N515">
        <v>0.39899516341543645</v>
      </c>
      <c r="O515">
        <v>0.1270014047665686</v>
      </c>
      <c r="P515">
        <v>15.613305937454253</v>
      </c>
      <c r="Q515">
        <v>13.793228088896736</v>
      </c>
      <c r="R515">
        <v>0.44560750145597644</v>
      </c>
      <c r="S515">
        <v>0.14196927886858521</v>
      </c>
      <c r="T515">
        <v>15.619195130778696</v>
      </c>
      <c r="U515">
        <v>1593.5125800070966</v>
      </c>
      <c r="V515">
        <v>10.822973091436674</v>
      </c>
      <c r="W515">
        <v>1313.9472450057076</v>
      </c>
      <c r="X515">
        <v>7.6360984009058406</v>
      </c>
      <c r="Y515">
        <v>2929.4417010005059</v>
      </c>
      <c r="Z515">
        <v>10.881144526941146</v>
      </c>
      <c r="AA515">
        <v>2746.77560484583</v>
      </c>
      <c r="AB515">
        <v>7.6684514670532868</v>
      </c>
      <c r="AC515">
        <v>2271.1147449955865</v>
      </c>
      <c r="AD515">
        <v>10.852494114001187</v>
      </c>
      <c r="AE515">
        <v>2044.6969448303448</v>
      </c>
      <c r="AF515">
        <v>7.6525289975246036</v>
      </c>
      <c r="AG515">
        <v>2204.3516131323154</v>
      </c>
      <c r="AH515">
        <v>10.836239801080284</v>
      </c>
      <c r="AI515">
        <v>1950.2921284501988</v>
      </c>
      <c r="AJ515">
        <v>7.6434853622487546</v>
      </c>
    </row>
    <row r="516" spans="4:36" x14ac:dyDescent="0.45">
      <c r="D516">
        <v>509</v>
      </c>
      <c r="E516">
        <v>13.071158942725976</v>
      </c>
      <c r="F516">
        <v>0.42891023701163478</v>
      </c>
      <c r="G516">
        <v>0.1582439829962719</v>
      </c>
      <c r="H516">
        <v>16.341686837266103</v>
      </c>
      <c r="I516">
        <v>13.301689491218148</v>
      </c>
      <c r="J516">
        <v>0.2732382993186902</v>
      </c>
      <c r="K516">
        <v>0.10048240667081068</v>
      </c>
      <c r="L516">
        <v>16.32458980279236</v>
      </c>
      <c r="M516">
        <v>13.173350418575746</v>
      </c>
      <c r="N516">
        <v>0.35994519505957695</v>
      </c>
      <c r="O516">
        <v>0.13260764271889219</v>
      </c>
      <c r="P516">
        <v>16.334096743645784</v>
      </c>
      <c r="Q516">
        <v>13.146961473546746</v>
      </c>
      <c r="R516">
        <v>0.3777605809905677</v>
      </c>
      <c r="S516">
        <v>0.13922292381224194</v>
      </c>
      <c r="T516">
        <v>16.336055021650449</v>
      </c>
      <c r="U516">
        <v>1571.9343382974553</v>
      </c>
      <c r="V516">
        <v>10.285095955693002</v>
      </c>
      <c r="W516">
        <v>1305.3067076947523</v>
      </c>
      <c r="X516">
        <v>7.3292055411757646</v>
      </c>
      <c r="Y516">
        <v>2914.8030411168975</v>
      </c>
      <c r="Z516">
        <v>10.339251673329633</v>
      </c>
      <c r="AA516">
        <v>2741.3572387670929</v>
      </c>
      <c r="AB516">
        <v>7.3597057947046878</v>
      </c>
      <c r="AC516">
        <v>2232.4936013074839</v>
      </c>
      <c r="AD516">
        <v>10.309108777107799</v>
      </c>
      <c r="AE516">
        <v>2022.1249453456323</v>
      </c>
      <c r="AF516">
        <v>7.3427411545336003</v>
      </c>
      <c r="AG516">
        <v>2150.2796204858387</v>
      </c>
      <c r="AH516">
        <v>10.302908892397245</v>
      </c>
      <c r="AI516">
        <v>1919.053847084549</v>
      </c>
      <c r="AJ516">
        <v>7.3392481835374115</v>
      </c>
    </row>
    <row r="517" spans="4:36" x14ac:dyDescent="0.45">
      <c r="D517">
        <v>510</v>
      </c>
      <c r="E517">
        <v>12.459192265470985</v>
      </c>
      <c r="F517">
        <v>0.46032391309031762</v>
      </c>
      <c r="G517">
        <v>0.15054900620375203</v>
      </c>
      <c r="H517">
        <v>16.929934815234937</v>
      </c>
      <c r="I517">
        <v>12.649744858779634</v>
      </c>
      <c r="J517">
        <v>0.31448275699604628</v>
      </c>
      <c r="K517">
        <v>0.10256923474831489</v>
      </c>
      <c r="L517">
        <v>16.933203149476011</v>
      </c>
      <c r="M517">
        <v>12.550850507919268</v>
      </c>
      <c r="N517">
        <v>0.39019622779329377</v>
      </c>
      <c r="O517">
        <v>0.12744452674957157</v>
      </c>
      <c r="P517">
        <v>16.931508737537868</v>
      </c>
      <c r="Q517">
        <v>12.528345316009588</v>
      </c>
      <c r="R517">
        <v>0.40741904274311208</v>
      </c>
      <c r="S517">
        <v>0.13311304230000481</v>
      </c>
      <c r="T517">
        <v>16.931122598947308</v>
      </c>
      <c r="U517">
        <v>1576.3599594447262</v>
      </c>
      <c r="V517">
        <v>9.9145300167248127</v>
      </c>
      <c r="W517">
        <v>1307.6098210630798</v>
      </c>
      <c r="X517">
        <v>7.1254769043330093</v>
      </c>
      <c r="Y517">
        <v>2925.2753068649481</v>
      </c>
      <c r="Z517">
        <v>9.9484115367446098</v>
      </c>
      <c r="AA517">
        <v>2746.6348773542095</v>
      </c>
      <c r="AB517">
        <v>7.1452013472271076</v>
      </c>
      <c r="AC517">
        <v>2257.0361039726868</v>
      </c>
      <c r="AD517">
        <v>9.9308271178239487</v>
      </c>
      <c r="AE517">
        <v>2038.468267591986</v>
      </c>
      <c r="AF517">
        <v>7.1349720736321505</v>
      </c>
      <c r="AG517">
        <v>2151.0886063922603</v>
      </c>
      <c r="AH517">
        <v>9.9268255700154349</v>
      </c>
      <c r="AI517">
        <v>1918.598208578238</v>
      </c>
      <c r="AJ517">
        <v>7.1326419771441794</v>
      </c>
    </row>
    <row r="518" spans="4:36" x14ac:dyDescent="0.45">
      <c r="D518">
        <v>511</v>
      </c>
      <c r="E518">
        <v>13.507087358271461</v>
      </c>
      <c r="F518">
        <v>0.48296742478477511</v>
      </c>
      <c r="G518">
        <v>0.17687625133620505</v>
      </c>
      <c r="H518">
        <v>15.833068965607549</v>
      </c>
      <c r="I518">
        <v>13.786783578393013</v>
      </c>
      <c r="J518">
        <v>0.30055461737964295</v>
      </c>
      <c r="K518">
        <v>0.10964439728149297</v>
      </c>
      <c r="L518">
        <v>15.803017406945868</v>
      </c>
      <c r="M518">
        <v>13.71840802925189</v>
      </c>
      <c r="N518">
        <v>0.34519582024569223</v>
      </c>
      <c r="O518">
        <v>0.12604878956679436</v>
      </c>
      <c r="P518">
        <v>15.810347360935634</v>
      </c>
      <c r="Q518">
        <v>13.668745883677856</v>
      </c>
      <c r="R518">
        <v>0.37760003776500572</v>
      </c>
      <c r="S518">
        <v>0.13797618699562078</v>
      </c>
      <c r="T518">
        <v>15.815677891561508</v>
      </c>
      <c r="U518">
        <v>1619.2479302339641</v>
      </c>
      <c r="V518">
        <v>10.642993857012558</v>
      </c>
      <c r="W518">
        <v>1333.5022100967856</v>
      </c>
      <c r="X518">
        <v>7.5314370046198729</v>
      </c>
      <c r="Y518">
        <v>2931.7362325542836</v>
      </c>
      <c r="Z518">
        <v>10.711170572578345</v>
      </c>
      <c r="AA518">
        <v>2750.2147998840928</v>
      </c>
      <c r="AB518">
        <v>7.5692506561603636</v>
      </c>
      <c r="AC518">
        <v>2251.3300047830953</v>
      </c>
      <c r="AD518">
        <v>10.694513553323279</v>
      </c>
      <c r="AE518">
        <v>2035.2175604820793</v>
      </c>
      <c r="AF518">
        <v>7.5600238779670805</v>
      </c>
      <c r="AG518">
        <v>2163.5057653416102</v>
      </c>
      <c r="AH518">
        <v>10.682411404743547</v>
      </c>
      <c r="AI518">
        <v>1926.8919281081446</v>
      </c>
      <c r="AJ518">
        <v>7.5533153719750059</v>
      </c>
    </row>
    <row r="519" spans="4:36" x14ac:dyDescent="0.45">
      <c r="D519">
        <v>512</v>
      </c>
      <c r="E519">
        <v>12.552925348739674</v>
      </c>
      <c r="F519">
        <v>0.46099757851781903</v>
      </c>
      <c r="G519">
        <v>0.18229711738746909</v>
      </c>
      <c r="H519">
        <v>16.803779955355044</v>
      </c>
      <c r="I519">
        <v>12.786249273503362</v>
      </c>
      <c r="J519">
        <v>0.29139511497643611</v>
      </c>
      <c r="K519">
        <v>0.11482501807669211</v>
      </c>
      <c r="L519">
        <v>16.807530593443495</v>
      </c>
      <c r="M519">
        <v>12.682486190512249</v>
      </c>
      <c r="N519">
        <v>0.36685963656582748</v>
      </c>
      <c r="O519">
        <v>0.14478725182632723</v>
      </c>
      <c r="P519">
        <v>16.805866921095593</v>
      </c>
      <c r="Q519">
        <v>12.648833483515554</v>
      </c>
      <c r="R519">
        <v>0.39132096006104616</v>
      </c>
      <c r="S519">
        <v>0.15451967452532031</v>
      </c>
      <c r="T519">
        <v>16.805325881898078</v>
      </c>
      <c r="U519">
        <v>1562.4771059821176</v>
      </c>
      <c r="V519">
        <v>9.9014825238356181</v>
      </c>
      <c r="W519">
        <v>1296.8690537455834</v>
      </c>
      <c r="X519">
        <v>7.1029852745756852</v>
      </c>
      <c r="Y519">
        <v>2894.1347128843458</v>
      </c>
      <c r="Z519">
        <v>9.943186720551342</v>
      </c>
      <c r="AA519">
        <v>2725.6889187298771</v>
      </c>
      <c r="AB519">
        <v>7.1274291033732835</v>
      </c>
      <c r="AC519">
        <v>2254.8014360799348</v>
      </c>
      <c r="AD519">
        <v>9.9246373958919545</v>
      </c>
      <c r="AE519">
        <v>2038.2584732508244</v>
      </c>
      <c r="AF519">
        <v>7.1165687695456059</v>
      </c>
      <c r="AG519">
        <v>2119.7951417748973</v>
      </c>
      <c r="AH519">
        <v>9.9186223790018033</v>
      </c>
      <c r="AI519">
        <v>1896.7709135829277</v>
      </c>
      <c r="AJ519">
        <v>7.1130430087920873</v>
      </c>
    </row>
    <row r="520" spans="4:36" x14ac:dyDescent="0.45">
      <c r="D520">
        <v>513</v>
      </c>
      <c r="E520">
        <v>11.238956695009783</v>
      </c>
      <c r="F520">
        <v>0.41223773658125085</v>
      </c>
      <c r="G520">
        <v>0.14434028416000388</v>
      </c>
      <c r="H520">
        <v>18.204465284248968</v>
      </c>
      <c r="I520">
        <v>11.419989828489516</v>
      </c>
      <c r="J520">
        <v>0.26464507785631947</v>
      </c>
      <c r="K520">
        <v>9.240177689438224E-2</v>
      </c>
      <c r="L520">
        <v>18.222963316759785</v>
      </c>
      <c r="M520">
        <v>11.33868788753905</v>
      </c>
      <c r="N520">
        <v>0.33094738672266966</v>
      </c>
      <c r="O520">
        <v>0.11569722456846175</v>
      </c>
      <c r="P520">
        <v>18.21466750116981</v>
      </c>
      <c r="Q520">
        <v>11.296559130190333</v>
      </c>
      <c r="R520">
        <v>0.3652918634373678</v>
      </c>
      <c r="S520">
        <v>0.12778765344029194</v>
      </c>
      <c r="T520">
        <v>18.210361352932015</v>
      </c>
      <c r="U520">
        <v>1437.5431185363173</v>
      </c>
      <c r="V520">
        <v>8.8851288606572751</v>
      </c>
      <c r="W520">
        <v>1222.6883421178975</v>
      </c>
      <c r="X520">
        <v>6.5141789827358698</v>
      </c>
      <c r="Y520">
        <v>2837.6293606622608</v>
      </c>
      <c r="Z520">
        <v>8.9098050163057874</v>
      </c>
      <c r="AA520">
        <v>2695.2062818903382</v>
      </c>
      <c r="AB520">
        <v>6.529626983780604</v>
      </c>
      <c r="AC520">
        <v>2160.3220824295558</v>
      </c>
      <c r="AD520">
        <v>8.8987166374195379</v>
      </c>
      <c r="AE520">
        <v>1983.0509413325824</v>
      </c>
      <c r="AF520">
        <v>6.5226936259478352</v>
      </c>
      <c r="AG520">
        <v>2037.5994222150018</v>
      </c>
      <c r="AH520">
        <v>8.892974944880125</v>
      </c>
      <c r="AI520">
        <v>1850.1014854685982</v>
      </c>
      <c r="AJ520">
        <v>6.5190981507677854</v>
      </c>
    </row>
    <row r="521" spans="4:36" x14ac:dyDescent="0.45">
      <c r="D521">
        <v>514</v>
      </c>
      <c r="E521">
        <v>13.425743230555549</v>
      </c>
      <c r="F521">
        <v>0.51129177161446671</v>
      </c>
      <c r="G521">
        <v>0.18991550261720752</v>
      </c>
      <c r="H521">
        <v>15.873049495212776</v>
      </c>
      <c r="I521">
        <v>13.662508611055511</v>
      </c>
      <c r="J521">
        <v>0.33240365973785363</v>
      </c>
      <c r="K521">
        <v>0.12307053378477592</v>
      </c>
      <c r="L521">
        <v>15.882017195421881</v>
      </c>
      <c r="M521">
        <v>13.605669940346132</v>
      </c>
      <c r="N521">
        <v>0.37537446194338286</v>
      </c>
      <c r="O521">
        <v>0.1390874670550496</v>
      </c>
      <c r="P521">
        <v>15.879868130655437</v>
      </c>
      <c r="Q521">
        <v>13.494471905688851</v>
      </c>
      <c r="R521">
        <v>0.45939367184243568</v>
      </c>
      <c r="S521">
        <v>0.17047751584369106</v>
      </c>
      <c r="T521">
        <v>15.875656906625034</v>
      </c>
      <c r="U521">
        <v>1623.2871482796068</v>
      </c>
      <c r="V521">
        <v>10.664003575742159</v>
      </c>
      <c r="W521">
        <v>1333.7580867648001</v>
      </c>
      <c r="X521">
        <v>7.5485873314119196</v>
      </c>
      <c r="Y521">
        <v>2939.7898963239045</v>
      </c>
      <c r="Z521">
        <v>10.703662722594002</v>
      </c>
      <c r="AA521">
        <v>2753.3944454135467</v>
      </c>
      <c r="AB521">
        <v>7.5715631001344965</v>
      </c>
      <c r="AC521">
        <v>2263.3522154970856</v>
      </c>
      <c r="AD521">
        <v>10.694140062580489</v>
      </c>
      <c r="AE521">
        <v>2041.3209788382794</v>
      </c>
      <c r="AF521">
        <v>7.566053846498785</v>
      </c>
      <c r="AG521">
        <v>2169.5844116866892</v>
      </c>
      <c r="AH521">
        <v>10.675513686550023</v>
      </c>
      <c r="AI521">
        <v>1925.0088293336555</v>
      </c>
      <c r="AJ521">
        <v>7.5552640240611328</v>
      </c>
    </row>
    <row r="522" spans="4:36" x14ac:dyDescent="0.45">
      <c r="D522">
        <v>515</v>
      </c>
      <c r="E522">
        <v>14.010210491963093</v>
      </c>
      <c r="F522">
        <v>0.55047230555879745</v>
      </c>
      <c r="G522">
        <v>0.19242225139246733</v>
      </c>
      <c r="H522">
        <v>15.246894951085647</v>
      </c>
      <c r="I522">
        <v>14.312624817132887</v>
      </c>
      <c r="J522">
        <v>0.33035399832662832</v>
      </c>
      <c r="K522">
        <v>0.11503953099032072</v>
      </c>
      <c r="L522">
        <v>15.241981653550152</v>
      </c>
      <c r="M522">
        <v>14.18772330836695</v>
      </c>
      <c r="N522">
        <v>0.42132637110354598</v>
      </c>
      <c r="O522">
        <v>0.14694843218459142</v>
      </c>
      <c r="P522">
        <v>15.244001888344922</v>
      </c>
      <c r="Q522">
        <v>14.130263410157935</v>
      </c>
      <c r="R522">
        <v>0.46314906381549803</v>
      </c>
      <c r="S522">
        <v>0.16165200022126788</v>
      </c>
      <c r="T522">
        <v>15.244935525805305</v>
      </c>
      <c r="U522">
        <v>1679.1181514626342</v>
      </c>
      <c r="V522">
        <v>11.124685913082448</v>
      </c>
      <c r="W522">
        <v>1364.9909856966624</v>
      </c>
      <c r="X522">
        <v>7.8089312288541439</v>
      </c>
      <c r="Y522">
        <v>2946.2960732873225</v>
      </c>
      <c r="Z522">
        <v>11.181969266196059</v>
      </c>
      <c r="AA522">
        <v>2754.6505078970945</v>
      </c>
      <c r="AB522">
        <v>7.8410818521628052</v>
      </c>
      <c r="AC522">
        <v>2315.3658156726228</v>
      </c>
      <c r="AD522">
        <v>11.158315212182293</v>
      </c>
      <c r="AE522">
        <v>2070.5046644415165</v>
      </c>
      <c r="AF522">
        <v>7.8278205505860301</v>
      </c>
      <c r="AG522">
        <v>2203.1600630015755</v>
      </c>
      <c r="AH522">
        <v>11.14743110365532</v>
      </c>
      <c r="AI522">
        <v>1943.8896828624245</v>
      </c>
      <c r="AJ522">
        <v>7.8217116304490526</v>
      </c>
    </row>
    <row r="523" spans="4:36" x14ac:dyDescent="0.45">
      <c r="D523">
        <v>516</v>
      </c>
      <c r="E523">
        <v>11.65898817793925</v>
      </c>
      <c r="F523">
        <v>0.4964645996506577</v>
      </c>
      <c r="G523">
        <v>0.15505829359077775</v>
      </c>
      <c r="H523">
        <v>17.689488928819294</v>
      </c>
      <c r="I523">
        <v>11.888957428851056</v>
      </c>
      <c r="J523">
        <v>0.29910130233729282</v>
      </c>
      <c r="K523">
        <v>9.3107346172820585E-2</v>
      </c>
      <c r="L523">
        <v>17.718833922638833</v>
      </c>
      <c r="M523">
        <v>11.808364227022503</v>
      </c>
      <c r="N523">
        <v>0.36828900189648611</v>
      </c>
      <c r="O523">
        <v>0.11477752737605977</v>
      </c>
      <c r="P523">
        <v>17.708569243704947</v>
      </c>
      <c r="Q523">
        <v>11.773754101017355</v>
      </c>
      <c r="R523">
        <v>0.39799409324295199</v>
      </c>
      <c r="S523">
        <v>0.12409702378024962</v>
      </c>
      <c r="T523">
        <v>17.704154781959438</v>
      </c>
      <c r="U523">
        <v>1523.3495957992097</v>
      </c>
      <c r="V523">
        <v>9.2989263769843138</v>
      </c>
      <c r="W523">
        <v>1276.3947888391406</v>
      </c>
      <c r="X523">
        <v>6.7619446695246328</v>
      </c>
      <c r="Y523">
        <v>2851.9151742970575</v>
      </c>
      <c r="Z523">
        <v>9.3275994038711207</v>
      </c>
      <c r="AA523">
        <v>2701.1691934893479</v>
      </c>
      <c r="AB523">
        <v>6.7801232638572175</v>
      </c>
      <c r="AC523">
        <v>2187.8800730959701</v>
      </c>
      <c r="AD523">
        <v>9.3175392393854715</v>
      </c>
      <c r="AE523">
        <v>1998.0775495175787</v>
      </c>
      <c r="AF523">
        <v>6.7737568958393028</v>
      </c>
      <c r="AG523">
        <v>2077.3698584007839</v>
      </c>
      <c r="AH523">
        <v>9.3132228183593728</v>
      </c>
      <c r="AI523">
        <v>1874.3879372998711</v>
      </c>
      <c r="AJ523">
        <v>6.7710214745194461</v>
      </c>
    </row>
    <row r="524" spans="4:36" x14ac:dyDescent="0.45">
      <c r="D524">
        <v>517</v>
      </c>
      <c r="E524">
        <v>10.969619655628488</v>
      </c>
      <c r="F524">
        <v>0.41895409785272703</v>
      </c>
      <c r="G524">
        <v>0.1509480639557646</v>
      </c>
      <c r="H524">
        <v>18.46047818256304</v>
      </c>
      <c r="I524">
        <v>11.155542612182908</v>
      </c>
      <c r="J524">
        <v>0.2668649483884174</v>
      </c>
      <c r="K524">
        <v>9.5874379989380781E-2</v>
      </c>
      <c r="L524">
        <v>18.481718059439295</v>
      </c>
      <c r="M524">
        <v>11.105589534506507</v>
      </c>
      <c r="N524">
        <v>0.30774314779904394</v>
      </c>
      <c r="O524">
        <v>0.11064548610215205</v>
      </c>
      <c r="P524">
        <v>18.476021831592302</v>
      </c>
      <c r="Q524">
        <v>11.078621557996723</v>
      </c>
      <c r="R524">
        <v>0.3298072027760649</v>
      </c>
      <c r="S524">
        <v>0.11862777719712865</v>
      </c>
      <c r="T524">
        <v>18.472943462030091</v>
      </c>
      <c r="U524">
        <v>1451.1273144377069</v>
      </c>
      <c r="V524">
        <v>8.7266090944648163</v>
      </c>
      <c r="W524">
        <v>1235.8659274524994</v>
      </c>
      <c r="X524">
        <v>6.4250921415113362</v>
      </c>
      <c r="Y524">
        <v>2844.0964711254796</v>
      </c>
      <c r="Z524">
        <v>8.7492849971428583</v>
      </c>
      <c r="AA524">
        <v>2702.1510372836997</v>
      </c>
      <c r="AB524">
        <v>6.4396061548670636</v>
      </c>
      <c r="AC524">
        <v>2143.0701676455737</v>
      </c>
      <c r="AD524">
        <v>8.7431862761898955</v>
      </c>
      <c r="AE524">
        <v>1975.029769934325</v>
      </c>
      <c r="AF524">
        <v>6.4357095888521023</v>
      </c>
      <c r="AG524">
        <v>2025.0964337136388</v>
      </c>
      <c r="AH524">
        <v>8.7398956819478961</v>
      </c>
      <c r="AI524">
        <v>1846.7601773115146</v>
      </c>
      <c r="AJ524">
        <v>6.4336050530766276</v>
      </c>
    </row>
    <row r="525" spans="4:36" x14ac:dyDescent="0.45">
      <c r="D525">
        <v>518</v>
      </c>
      <c r="E525">
        <v>12.994219097903009</v>
      </c>
      <c r="F525">
        <v>0.52939015410012402</v>
      </c>
      <c r="G525">
        <v>0.17661478875302153</v>
      </c>
      <c r="H525">
        <v>16.299775959243849</v>
      </c>
      <c r="I525">
        <v>13.244337520940308</v>
      </c>
      <c r="J525">
        <v>0.33594176745984738</v>
      </c>
      <c r="K525">
        <v>0.11170463570939181</v>
      </c>
      <c r="L525">
        <v>16.308016075890446</v>
      </c>
      <c r="M525">
        <v>13.163508415706275</v>
      </c>
      <c r="N525">
        <v>0.39849110609131821</v>
      </c>
      <c r="O525">
        <v>0.13264472476875772</v>
      </c>
      <c r="P525">
        <v>16.305355753433638</v>
      </c>
      <c r="Q525">
        <v>13.106908630922209</v>
      </c>
      <c r="R525">
        <v>0.4422714653892359</v>
      </c>
      <c r="S525">
        <v>0.14732847851331968</v>
      </c>
      <c r="T525">
        <v>16.303491425175228</v>
      </c>
      <c r="U525">
        <v>1622.4371663000989</v>
      </c>
      <c r="V525">
        <v>10.308999279726137</v>
      </c>
      <c r="W525">
        <v>1334.1782133744505</v>
      </c>
      <c r="X525">
        <v>7.3423539736394501</v>
      </c>
      <c r="Y525">
        <v>2913.5651282412259</v>
      </c>
      <c r="Z525">
        <v>10.352112977625415</v>
      </c>
      <c r="AA525">
        <v>2735.842796073257</v>
      </c>
      <c r="AB525">
        <v>7.3674363206458597</v>
      </c>
      <c r="AC525">
        <v>2270.6512697864637</v>
      </c>
      <c r="AD525">
        <v>10.338178179497316</v>
      </c>
      <c r="AE525">
        <v>2046.6616757865399</v>
      </c>
      <c r="AF525">
        <v>7.3593401821630273</v>
      </c>
      <c r="AG525">
        <v>2168.2798705702189</v>
      </c>
      <c r="AH525">
        <v>10.328421625839651</v>
      </c>
      <c r="AI525">
        <v>1927.2249292059128</v>
      </c>
      <c r="AJ525">
        <v>7.3536655369063695</v>
      </c>
    </row>
    <row r="526" spans="4:36" x14ac:dyDescent="0.45">
      <c r="D526">
        <v>519</v>
      </c>
      <c r="E526">
        <v>12.201861320930378</v>
      </c>
      <c r="F526">
        <v>0.44863067092543002</v>
      </c>
      <c r="G526">
        <v>0.1548473689292012</v>
      </c>
      <c r="H526">
        <v>17.194660639214987</v>
      </c>
      <c r="I526">
        <v>12.405752776823663</v>
      </c>
      <c r="J526">
        <v>0.29643056157743675</v>
      </c>
      <c r="K526">
        <v>0.10199820035959886</v>
      </c>
      <c r="L526">
        <v>17.19581846123933</v>
      </c>
      <c r="M526">
        <v>12.359369000216105</v>
      </c>
      <c r="N526">
        <v>0.33107552374102489</v>
      </c>
      <c r="O526">
        <v>0.11399900238664952</v>
      </c>
      <c r="P526">
        <v>17.195556473656222</v>
      </c>
      <c r="Q526">
        <v>12.277108071404951</v>
      </c>
      <c r="R526">
        <v>0.39248811603340367</v>
      </c>
      <c r="S526">
        <v>0.13531400222783369</v>
      </c>
      <c r="T526">
        <v>17.195089810333833</v>
      </c>
      <c r="U526">
        <v>1519.5388502061746</v>
      </c>
      <c r="V526">
        <v>9.6610866815253438</v>
      </c>
      <c r="W526">
        <v>1274.8755590409016</v>
      </c>
      <c r="X526">
        <v>6.9710652820605965</v>
      </c>
      <c r="Y526">
        <v>2883.4827196401829</v>
      </c>
      <c r="Z526">
        <v>9.6981612017290733</v>
      </c>
      <c r="AA526">
        <v>2722.8180859552758</v>
      </c>
      <c r="AB526">
        <v>6.9928056056789147</v>
      </c>
      <c r="AC526">
        <v>2185.8048470310869</v>
      </c>
      <c r="AD526">
        <v>9.6897262127580799</v>
      </c>
      <c r="AE526">
        <v>1997.4717584694329</v>
      </c>
      <c r="AF526">
        <v>6.9878660476750474</v>
      </c>
      <c r="AG526">
        <v>2126.4998091064435</v>
      </c>
      <c r="AH526">
        <v>9.6747680613042331</v>
      </c>
      <c r="AI526">
        <v>1908.5639407995156</v>
      </c>
      <c r="AJ526">
        <v>6.9790968640109883</v>
      </c>
    </row>
    <row r="527" spans="4:36" x14ac:dyDescent="0.45">
      <c r="D527">
        <v>520</v>
      </c>
      <c r="E527">
        <v>13.855821427877785</v>
      </c>
      <c r="F527">
        <v>0.48375888657208427</v>
      </c>
      <c r="G527">
        <v>0.15011219571905268</v>
      </c>
      <c r="H527">
        <v>15.510307489831089</v>
      </c>
      <c r="I527">
        <v>14.123863839020931</v>
      </c>
      <c r="J527">
        <v>0.30704135638545893</v>
      </c>
      <c r="K527">
        <v>9.4947692420533303E-2</v>
      </c>
      <c r="L527">
        <v>15.474147112173089</v>
      </c>
      <c r="M527">
        <v>14.042085980627169</v>
      </c>
      <c r="N527">
        <v>0.36100566670917911</v>
      </c>
      <c r="O527">
        <v>0.11175230129612292</v>
      </c>
      <c r="P527">
        <v>15.485156051367522</v>
      </c>
      <c r="Q527">
        <v>13.973417766754968</v>
      </c>
      <c r="R527">
        <v>0.40628594222517778</v>
      </c>
      <c r="S527">
        <v>0.12588035940062159</v>
      </c>
      <c r="T527">
        <v>15.494415931619237</v>
      </c>
      <c r="U527">
        <v>1584.853401027681</v>
      </c>
      <c r="V527">
        <v>10.881467398910249</v>
      </c>
      <c r="W527">
        <v>1307.4205031008976</v>
      </c>
      <c r="X527">
        <v>7.6657342088217044</v>
      </c>
      <c r="Y527">
        <v>2922.4214815355822</v>
      </c>
      <c r="Z527">
        <v>10.949797814649509</v>
      </c>
      <c r="AA527">
        <v>2742.1829237524353</v>
      </c>
      <c r="AB527">
        <v>7.703109460048374</v>
      </c>
      <c r="AC527">
        <v>2280.363717232311</v>
      </c>
      <c r="AD527">
        <v>10.928964660803585</v>
      </c>
      <c r="AE527">
        <v>2053.4263289289415</v>
      </c>
      <c r="AF527">
        <v>7.6917259746514199</v>
      </c>
      <c r="AG527">
        <v>2166.9745286533325</v>
      </c>
      <c r="AH527">
        <v>10.911461788661446</v>
      </c>
      <c r="AI527">
        <v>1926.0566951392238</v>
      </c>
      <c r="AJ527">
        <v>7.6821542313102062</v>
      </c>
    </row>
    <row r="528" spans="4:36" x14ac:dyDescent="0.45">
      <c r="D528">
        <v>521</v>
      </c>
      <c r="E528">
        <v>11.619968500293385</v>
      </c>
      <c r="F528">
        <v>0.41900358813438093</v>
      </c>
      <c r="G528">
        <v>0.18029278418156505</v>
      </c>
      <c r="H528">
        <v>17.780735127390663</v>
      </c>
      <c r="I528">
        <v>11.811082209244463</v>
      </c>
      <c r="J528">
        <v>0.27185847156591153</v>
      </c>
      <c r="K528">
        <v>0.11661592920016682</v>
      </c>
      <c r="L528">
        <v>17.800443389989454</v>
      </c>
      <c r="M528">
        <v>11.72168448642223</v>
      </c>
      <c r="N528">
        <v>0.34071331519907727</v>
      </c>
      <c r="O528">
        <v>0.14636300653583809</v>
      </c>
      <c r="P528">
        <v>17.79123919184287</v>
      </c>
      <c r="Q528">
        <v>11.706874970441163</v>
      </c>
      <c r="R528">
        <v>0.35211559318368596</v>
      </c>
      <c r="S528">
        <v>0.15129750019809501</v>
      </c>
      <c r="T528">
        <v>17.789711936177056</v>
      </c>
      <c r="U528">
        <v>1515.2154267765379</v>
      </c>
      <c r="V528">
        <v>9.2435318092029792</v>
      </c>
      <c r="W528">
        <v>1270.8437214494268</v>
      </c>
      <c r="X528">
        <v>6.7296564892877386</v>
      </c>
      <c r="Y528">
        <v>2873.8248876356975</v>
      </c>
      <c r="Z528">
        <v>9.2672258053467456</v>
      </c>
      <c r="AA528">
        <v>2715.6809439047265</v>
      </c>
      <c r="AB528">
        <v>6.744537139258294</v>
      </c>
      <c r="AC528">
        <v>2220.8192266508258</v>
      </c>
      <c r="AD528">
        <v>9.2561344983575076</v>
      </c>
      <c r="AE528">
        <v>2019.7964074250981</v>
      </c>
      <c r="AF528">
        <v>6.7375799954552775</v>
      </c>
      <c r="AG528">
        <v>2120.8800961255461</v>
      </c>
      <c r="AH528">
        <v>9.2542984633969905</v>
      </c>
      <c r="AI528">
        <v>1905.1523205542592</v>
      </c>
      <c r="AJ528">
        <v>6.7364268731305286</v>
      </c>
    </row>
    <row r="529" spans="4:36" x14ac:dyDescent="0.45">
      <c r="D529">
        <v>522</v>
      </c>
      <c r="E529">
        <v>12.016491291639458</v>
      </c>
      <c r="F529">
        <v>0.43814511558422348</v>
      </c>
      <c r="G529">
        <v>0.15640183509252495</v>
      </c>
      <c r="H529">
        <v>17.388961757683809</v>
      </c>
      <c r="I529">
        <v>12.24845581272908</v>
      </c>
      <c r="J529">
        <v>0.26545160831775932</v>
      </c>
      <c r="K529">
        <v>9.4411387963689017E-2</v>
      </c>
      <c r="L529">
        <v>17.391681190989456</v>
      </c>
      <c r="M529">
        <v>12.148638073147264</v>
      </c>
      <c r="N529">
        <v>0.33980186841223947</v>
      </c>
      <c r="O529">
        <v>0.12104412325091976</v>
      </c>
      <c r="P529">
        <v>17.390515935189576</v>
      </c>
      <c r="Q529">
        <v>12.129274685858761</v>
      </c>
      <c r="R529">
        <v>0.35421831505623153</v>
      </c>
      <c r="S529">
        <v>0.12621797117875735</v>
      </c>
      <c r="T529">
        <v>17.390289027906235</v>
      </c>
      <c r="U529">
        <v>1510.919948118222</v>
      </c>
      <c r="V529">
        <v>9.5042988866756914</v>
      </c>
      <c r="W529">
        <v>1267.5491622715617</v>
      </c>
      <c r="X529">
        <v>6.8785821214996004</v>
      </c>
      <c r="Y529">
        <v>2881.0502180486369</v>
      </c>
      <c r="Z529">
        <v>9.546148019495865</v>
      </c>
      <c r="AA529">
        <v>2722.3266204577408</v>
      </c>
      <c r="AB529">
        <v>6.9032586416171045</v>
      </c>
      <c r="AC529">
        <v>2180.0111666711869</v>
      </c>
      <c r="AD529">
        <v>9.5281374243964727</v>
      </c>
      <c r="AE529">
        <v>1991.2312778829421</v>
      </c>
      <c r="AF529">
        <v>6.8926511532838175</v>
      </c>
      <c r="AG529">
        <v>2081.1988744368045</v>
      </c>
      <c r="AH529">
        <v>9.5246439950613269</v>
      </c>
      <c r="AI529">
        <v>1877.0410225163462</v>
      </c>
      <c r="AJ529">
        <v>6.8905914883561508</v>
      </c>
    </row>
    <row r="530" spans="4:36" x14ac:dyDescent="0.45">
      <c r="D530">
        <v>523</v>
      </c>
      <c r="E530">
        <v>13.476748635801625</v>
      </c>
      <c r="F530">
        <v>0.50426258878620145</v>
      </c>
      <c r="G530">
        <v>0.16312126502017502</v>
      </c>
      <c r="H530">
        <v>15.855867510391983</v>
      </c>
      <c r="I530">
        <v>13.765504733045274</v>
      </c>
      <c r="J530">
        <v>0.30548275606898956</v>
      </c>
      <c r="K530">
        <v>9.8439064141885052E-2</v>
      </c>
      <c r="L530">
        <v>15.830573446743873</v>
      </c>
      <c r="M530">
        <v>13.66293314972277</v>
      </c>
      <c r="N530">
        <v>0.37615199688825618</v>
      </c>
      <c r="O530">
        <v>0.12137661922299781</v>
      </c>
      <c r="P530">
        <v>15.839538234165973</v>
      </c>
      <c r="Q530">
        <v>13.612804612097529</v>
      </c>
      <c r="R530">
        <v>0.41066579380038809</v>
      </c>
      <c r="S530">
        <v>0.13260207905049115</v>
      </c>
      <c r="T530">
        <v>15.843927515051599</v>
      </c>
      <c r="U530">
        <v>1571.6701091714858</v>
      </c>
      <c r="V530">
        <v>10.630706625779142</v>
      </c>
      <c r="W530">
        <v>1301.8000866109453</v>
      </c>
      <c r="X530">
        <v>7.5246510512322784</v>
      </c>
      <c r="Y530">
        <v>2906.6427932467655</v>
      </c>
      <c r="Z530">
        <v>10.69668071141983</v>
      </c>
      <c r="AA530">
        <v>2734.2973486771807</v>
      </c>
      <c r="AB530">
        <v>7.5612966213060373</v>
      </c>
      <c r="AC530">
        <v>2234.1772712456764</v>
      </c>
      <c r="AD530">
        <v>10.673257344317438</v>
      </c>
      <c r="AE530">
        <v>2023.632212024788</v>
      </c>
      <c r="AF530">
        <v>7.5483008465384218</v>
      </c>
      <c r="AG530">
        <v>2135.1483048656855</v>
      </c>
      <c r="AH530">
        <v>10.661805200342739</v>
      </c>
      <c r="AI530">
        <v>1907.4464623921276</v>
      </c>
      <c r="AJ530">
        <v>7.5419410472018553</v>
      </c>
    </row>
    <row r="531" spans="4:36" x14ac:dyDescent="0.45">
      <c r="D531">
        <v>524</v>
      </c>
      <c r="E531">
        <v>12.084986485749353</v>
      </c>
      <c r="F531">
        <v>0.45531785599415087</v>
      </c>
      <c r="G531">
        <v>0.17149774352017627</v>
      </c>
      <c r="H531">
        <v>17.288197914736323</v>
      </c>
      <c r="I531">
        <v>12.312526142006412</v>
      </c>
      <c r="J531">
        <v>0.28059762462682314</v>
      </c>
      <c r="K531">
        <v>0.10533116923799794</v>
      </c>
      <c r="L531">
        <v>17.301545064128756</v>
      </c>
      <c r="M531">
        <v>12.200814892102525</v>
      </c>
      <c r="N531">
        <v>0.36641124751323789</v>
      </c>
      <c r="O531">
        <v>0.13777201576700415</v>
      </c>
      <c r="P531">
        <v>17.295001844617229</v>
      </c>
      <c r="Q531">
        <v>12.161594739654463</v>
      </c>
      <c r="R531">
        <v>0.3965235184968085</v>
      </c>
      <c r="S531">
        <v>0.14918150350302295</v>
      </c>
      <c r="T531">
        <v>17.292700238345702</v>
      </c>
      <c r="U531">
        <v>1534.4097711736474</v>
      </c>
      <c r="V531">
        <v>9.5515088460130286</v>
      </c>
      <c r="W531">
        <v>1280.7739969065076</v>
      </c>
      <c r="X531">
        <v>6.9019966242634583</v>
      </c>
      <c r="Y531">
        <v>2883.634189410378</v>
      </c>
      <c r="Z531">
        <v>9.5866632176241264</v>
      </c>
      <c r="AA531">
        <v>2721.4403215248417</v>
      </c>
      <c r="AB531">
        <v>6.9230559556533429</v>
      </c>
      <c r="AC531">
        <v>2207.338441346968</v>
      </c>
      <c r="AD531">
        <v>9.5693990193173324</v>
      </c>
      <c r="AE531">
        <v>2006.973527099821</v>
      </c>
      <c r="AF531">
        <v>6.9127251431950443</v>
      </c>
      <c r="AG531">
        <v>2139.9378474652799</v>
      </c>
      <c r="AH531">
        <v>9.5633401240900753</v>
      </c>
      <c r="AI531">
        <v>1914.2158006804339</v>
      </c>
      <c r="AJ531">
        <v>6.9090943542235674</v>
      </c>
    </row>
    <row r="532" spans="4:36" x14ac:dyDescent="0.45">
      <c r="D532">
        <v>525</v>
      </c>
      <c r="E532">
        <v>12.132451407720049</v>
      </c>
      <c r="F532">
        <v>0.47328385798840256</v>
      </c>
      <c r="G532">
        <v>0.16871847703944662</v>
      </c>
      <c r="H532">
        <v>17.225546257252109</v>
      </c>
      <c r="I532">
        <v>12.366271355937913</v>
      </c>
      <c r="J532">
        <v>0.29079589081403873</v>
      </c>
      <c r="K532">
        <v>0.10330384631502283</v>
      </c>
      <c r="L532">
        <v>17.239628906933021</v>
      </c>
      <c r="M532">
        <v>12.267648886037744</v>
      </c>
      <c r="N532">
        <v>0.36780076107443871</v>
      </c>
      <c r="O532">
        <v>0.13085068867831129</v>
      </c>
      <c r="P532">
        <v>17.233699664209496</v>
      </c>
      <c r="Q532">
        <v>12.269967716978325</v>
      </c>
      <c r="R532">
        <v>0.36599076755303633</v>
      </c>
      <c r="S532">
        <v>0.13020226432375354</v>
      </c>
      <c r="T532">
        <v>17.233839251144893</v>
      </c>
      <c r="U532">
        <v>1530.8848520620063</v>
      </c>
      <c r="V532">
        <v>9.6964066393920589</v>
      </c>
      <c r="W532">
        <v>1278.5679302139815</v>
      </c>
      <c r="X532">
        <v>7.0004924790399858</v>
      </c>
      <c r="Y532">
        <v>2894.3332255122255</v>
      </c>
      <c r="Z532">
        <v>9.7344778092417723</v>
      </c>
      <c r="AA532">
        <v>2729.449685805771</v>
      </c>
      <c r="AB532">
        <v>7.0234089469962475</v>
      </c>
      <c r="AC532">
        <v>2208.1297262954545</v>
      </c>
      <c r="AD532">
        <v>9.718413051913279</v>
      </c>
      <c r="AE532">
        <v>2008.8696560901076</v>
      </c>
      <c r="AF532">
        <v>7.0137516140556908</v>
      </c>
      <c r="AG532">
        <v>2098.59922028357</v>
      </c>
      <c r="AH532">
        <v>9.7187906565308371</v>
      </c>
      <c r="AI532">
        <v>1888.1228414656837</v>
      </c>
      <c r="AJ532">
        <v>7.0139788215594869</v>
      </c>
    </row>
    <row r="533" spans="4:36" x14ac:dyDescent="0.45">
      <c r="D533">
        <v>526</v>
      </c>
      <c r="E533">
        <v>13.50606712692054</v>
      </c>
      <c r="F533">
        <v>0.45825361964071121</v>
      </c>
      <c r="G533">
        <v>0.14934882765145563</v>
      </c>
      <c r="H533">
        <v>15.886330425787307</v>
      </c>
      <c r="I533">
        <v>13.734663755140216</v>
      </c>
      <c r="J533">
        <v>0.30395099202496423</v>
      </c>
      <c r="K533">
        <v>9.8752854339175092E-2</v>
      </c>
      <c r="L533">
        <v>15.862632398495636</v>
      </c>
      <c r="M533">
        <v>13.626425636736714</v>
      </c>
      <c r="N533">
        <v>0.3770530653117708</v>
      </c>
      <c r="O533">
        <v>0.12268326108547296</v>
      </c>
      <c r="P533">
        <v>15.873838036866049</v>
      </c>
      <c r="Q533">
        <v>13.55397943657832</v>
      </c>
      <c r="R533">
        <v>0.42594040276837841</v>
      </c>
      <c r="S533">
        <v>0.13872676206223106</v>
      </c>
      <c r="T533">
        <v>15.881353398591074</v>
      </c>
      <c r="U533">
        <v>1590.2095570831978</v>
      </c>
      <c r="V533">
        <v>10.689972147546376</v>
      </c>
      <c r="W533">
        <v>1314.447559102462</v>
      </c>
      <c r="X533">
        <v>7.5695697172538754</v>
      </c>
      <c r="Y533">
        <v>2938.3954480481957</v>
      </c>
      <c r="Z533">
        <v>10.74745307701731</v>
      </c>
      <c r="AA533">
        <v>2754.7174246123632</v>
      </c>
      <c r="AB533">
        <v>7.6014869236963252</v>
      </c>
      <c r="AC533">
        <v>2258.1574166083938</v>
      </c>
      <c r="AD533">
        <v>10.720245359090148</v>
      </c>
      <c r="AE533">
        <v>2037.8648927297486</v>
      </c>
      <c r="AF533">
        <v>7.5863905707291428</v>
      </c>
      <c r="AG533">
        <v>2180.5169879431596</v>
      </c>
      <c r="AH533">
        <v>10.702025693528785</v>
      </c>
      <c r="AI533">
        <v>1935.663347473705</v>
      </c>
      <c r="AJ533">
        <v>7.5762700875694202</v>
      </c>
    </row>
    <row r="534" spans="4:36" x14ac:dyDescent="0.45">
      <c r="D534">
        <v>527</v>
      </c>
      <c r="E534">
        <v>13.887530241385122</v>
      </c>
      <c r="F534">
        <v>0.51657685717348534</v>
      </c>
      <c r="G534">
        <v>0.1341822042653727</v>
      </c>
      <c r="H534">
        <v>15.46171069717602</v>
      </c>
      <c r="I534">
        <v>14.138357803018334</v>
      </c>
      <c r="J534">
        <v>0.33900816754321145</v>
      </c>
      <c r="K534">
        <v>8.7781082042436245E-2</v>
      </c>
      <c r="L534">
        <v>15.434852947396024</v>
      </c>
      <c r="M534">
        <v>14.053624654887306</v>
      </c>
      <c r="N534">
        <v>0.39903407585879819</v>
      </c>
      <c r="O534">
        <v>0.10343344274518157</v>
      </c>
      <c r="P534">
        <v>15.443907826508724</v>
      </c>
      <c r="Q534">
        <v>14.00431140013251</v>
      </c>
      <c r="R534">
        <v>0.43394911508119827</v>
      </c>
      <c r="S534">
        <v>0.1125534284198664</v>
      </c>
      <c r="T534">
        <v>15.449186056366432</v>
      </c>
      <c r="U534">
        <v>1608.592488521773</v>
      </c>
      <c r="V534">
        <v>10.984354617526014</v>
      </c>
      <c r="W534">
        <v>1323.6549973905585</v>
      </c>
      <c r="X534">
        <v>7.7331300182804545</v>
      </c>
      <c r="Y534">
        <v>2928.1609597248193</v>
      </c>
      <c r="Z534">
        <v>11.045941105375269</v>
      </c>
      <c r="AA534">
        <v>2745.1569685879763</v>
      </c>
      <c r="AB534">
        <v>7.7670521799823273</v>
      </c>
      <c r="AC534">
        <v>2291.3807355844242</v>
      </c>
      <c r="AD534">
        <v>11.025146574897928</v>
      </c>
      <c r="AE534">
        <v>2059.920156438619</v>
      </c>
      <c r="AF534">
        <v>7.7556093561803534</v>
      </c>
      <c r="AG534">
        <v>2196.2182376473588</v>
      </c>
      <c r="AH534">
        <v>11.0130397084134</v>
      </c>
      <c r="AI534">
        <v>1946.2432032604338</v>
      </c>
      <c r="AJ534">
        <v>7.748942082280621</v>
      </c>
    </row>
    <row r="535" spans="4:36" x14ac:dyDescent="0.45">
      <c r="D535">
        <v>528</v>
      </c>
      <c r="E535">
        <v>12.651213466748231</v>
      </c>
      <c r="F535">
        <v>0.49566900648753826</v>
      </c>
      <c r="G535">
        <v>0.13883053505294168</v>
      </c>
      <c r="H535">
        <v>16.714286991711298</v>
      </c>
      <c r="I535">
        <v>12.887920391736953</v>
      </c>
      <c r="J535">
        <v>0.31513034540457918</v>
      </c>
      <c r="K535">
        <v>8.7986542763058256E-2</v>
      </c>
      <c r="L535">
        <v>16.708962720095414</v>
      </c>
      <c r="M535">
        <v>12.809357801928172</v>
      </c>
      <c r="N535">
        <v>0.37508330601364337</v>
      </c>
      <c r="O535">
        <v>0.10483474704843926</v>
      </c>
      <c r="P535">
        <v>16.71072414500976</v>
      </c>
      <c r="Q535">
        <v>12.748134790897215</v>
      </c>
      <c r="R535">
        <v>0.42178170916829627</v>
      </c>
      <c r="S535">
        <v>0.11798279134365683</v>
      </c>
      <c r="T535">
        <v>16.712100708590832</v>
      </c>
      <c r="U535">
        <v>1564.8864991781932</v>
      </c>
      <c r="V535">
        <v>10.064407509330017</v>
      </c>
      <c r="W535">
        <v>1299.4812376698308</v>
      </c>
      <c r="X535">
        <v>7.2121579986828417</v>
      </c>
      <c r="Y535">
        <v>2918.5705083887988</v>
      </c>
      <c r="Z535">
        <v>10.114692154591657</v>
      </c>
      <c r="AA535">
        <v>2743.6412431947961</v>
      </c>
      <c r="AB535">
        <v>7.2410181967025187</v>
      </c>
      <c r="AC535">
        <v>2232.2596600388783</v>
      </c>
      <c r="AD535">
        <v>10.098005299074963</v>
      </c>
      <c r="AE535">
        <v>2024.0980122488997</v>
      </c>
      <c r="AF535">
        <v>7.2314523081925941</v>
      </c>
      <c r="AG535">
        <v>2123.4510901754838</v>
      </c>
      <c r="AH535">
        <v>10.084999674181919</v>
      </c>
      <c r="AI535">
        <v>1900.0627566235032</v>
      </c>
      <c r="AJ535">
        <v>7.2239889623589004</v>
      </c>
    </row>
    <row r="536" spans="4:36" x14ac:dyDescent="0.45">
      <c r="D536">
        <v>529</v>
      </c>
      <c r="E536">
        <v>13.526917636541473</v>
      </c>
      <c r="F536">
        <v>0.50957549362380894</v>
      </c>
      <c r="G536">
        <v>0.2113488596197641</v>
      </c>
      <c r="H536">
        <v>15.752158010214965</v>
      </c>
      <c r="I536">
        <v>13.789631979559392</v>
      </c>
      <c r="J536">
        <v>0.3274023207207169</v>
      </c>
      <c r="K536">
        <v>0.1352838374322084</v>
      </c>
      <c r="L536">
        <v>15.747681862287672</v>
      </c>
      <c r="M536">
        <v>13.743979184954542</v>
      </c>
      <c r="N536">
        <v>0.35908933098583956</v>
      </c>
      <c r="O536">
        <v>0.14847300760833257</v>
      </c>
      <c r="P536">
        <v>15.748458476451285</v>
      </c>
      <c r="Q536">
        <v>13.66319731936988</v>
      </c>
      <c r="R536">
        <v>0.41512805384290208</v>
      </c>
      <c r="S536">
        <v>0.1718406899937584</v>
      </c>
      <c r="T536">
        <v>15.749833936793452</v>
      </c>
      <c r="U536">
        <v>1593.0596177557302</v>
      </c>
      <c r="V536">
        <v>10.781836026414979</v>
      </c>
      <c r="W536">
        <v>1309.2425292175603</v>
      </c>
      <c r="X536">
        <v>7.6197465728879745</v>
      </c>
      <c r="Y536">
        <v>2949.3391129638071</v>
      </c>
      <c r="Z536">
        <v>10.83211353158503</v>
      </c>
      <c r="AA536">
        <v>2758.483906699139</v>
      </c>
      <c r="AB536">
        <v>7.6483841888592101</v>
      </c>
      <c r="AC536">
        <v>2264.4859055531506</v>
      </c>
      <c r="AD536">
        <v>10.823377099882013</v>
      </c>
      <c r="AE536">
        <v>2040.9893204160367</v>
      </c>
      <c r="AF536">
        <v>7.6434155182533576</v>
      </c>
      <c r="AG536">
        <v>2173.3893960630971</v>
      </c>
      <c r="AH536">
        <v>10.807917648634136</v>
      </c>
      <c r="AI536">
        <v>1928.3085255444691</v>
      </c>
      <c r="AJ536">
        <v>7.6346155571711716</v>
      </c>
    </row>
    <row r="537" spans="4:36" x14ac:dyDescent="0.45">
      <c r="D537">
        <v>530</v>
      </c>
      <c r="E537">
        <v>11.79405844881515</v>
      </c>
      <c r="F537">
        <v>0.40240238946433199</v>
      </c>
      <c r="G537">
        <v>0.14898935062713811</v>
      </c>
      <c r="H537">
        <v>17.654549811093382</v>
      </c>
      <c r="I537">
        <v>11.980782972707033</v>
      </c>
      <c r="J537">
        <v>0.26160185298294608</v>
      </c>
      <c r="K537">
        <v>9.6579165565322533E-2</v>
      </c>
      <c r="L537">
        <v>17.661036008744681</v>
      </c>
      <c r="M537">
        <v>11.878973568184895</v>
      </c>
      <c r="N537">
        <v>0.33839599888403149</v>
      </c>
      <c r="O537">
        <v>0.12512628311609494</v>
      </c>
      <c r="P537">
        <v>17.657504149814979</v>
      </c>
      <c r="Q537">
        <v>11.868942496598772</v>
      </c>
      <c r="R537">
        <v>0.34595922791196482</v>
      </c>
      <c r="S537">
        <v>0.1279427160475396</v>
      </c>
      <c r="T537">
        <v>17.65715555944173</v>
      </c>
      <c r="U537">
        <v>1468.1912535729668</v>
      </c>
      <c r="V537">
        <v>9.261919060742013</v>
      </c>
      <c r="W537">
        <v>1241.8031719023024</v>
      </c>
      <c r="X537">
        <v>6.7305962569199593</v>
      </c>
      <c r="Y537">
        <v>2870.34574207272</v>
      </c>
      <c r="Z537">
        <v>9.2947281492400577</v>
      </c>
      <c r="AA537">
        <v>2716.5809304291574</v>
      </c>
      <c r="AB537">
        <v>6.7502342951694905</v>
      </c>
      <c r="AC537">
        <v>2187.6159980729922</v>
      </c>
      <c r="AD537">
        <v>9.2768363754439758</v>
      </c>
      <c r="AE537">
        <v>1998.9900412373504</v>
      </c>
      <c r="AF537">
        <v>6.7395338342523106</v>
      </c>
      <c r="AG537">
        <v>2082.9018744223704</v>
      </c>
      <c r="AH537">
        <v>9.2750739231035961</v>
      </c>
      <c r="AI537">
        <v>1881.2102545291739</v>
      </c>
      <c r="AJ537">
        <v>6.738478640770909</v>
      </c>
    </row>
    <row r="538" spans="4:36" x14ac:dyDescent="0.45">
      <c r="D538">
        <v>531</v>
      </c>
      <c r="E538">
        <v>11.436792934347844</v>
      </c>
      <c r="F538">
        <v>0.45236537631400336</v>
      </c>
      <c r="G538">
        <v>0.16101338303532087</v>
      </c>
      <c r="H538">
        <v>17.949828306302834</v>
      </c>
      <c r="I538">
        <v>11.592001030866818</v>
      </c>
      <c r="J538">
        <v>0.31506582909042952</v>
      </c>
      <c r="K538">
        <v>0.11189017584065601</v>
      </c>
      <c r="L538">
        <v>17.981042964202093</v>
      </c>
      <c r="M538">
        <v>11.518270183248246</v>
      </c>
      <c r="N538">
        <v>0.38029825419427171</v>
      </c>
      <c r="O538">
        <v>0.13520107906737397</v>
      </c>
      <c r="P538">
        <v>17.966230483490119</v>
      </c>
      <c r="Q538">
        <v>11.501458800155499</v>
      </c>
      <c r="R538">
        <v>0.39516964957148359</v>
      </c>
      <c r="S538">
        <v>0.14052247872531254</v>
      </c>
      <c r="T538">
        <v>17.962849071547708</v>
      </c>
      <c r="U538">
        <v>1480.9559413635873</v>
      </c>
      <c r="V538">
        <v>9.1196792191508891</v>
      </c>
      <c r="W538">
        <v>1247.3542752622448</v>
      </c>
      <c r="X538">
        <v>6.6568470915073306</v>
      </c>
      <c r="Y538">
        <v>2873.2265174648428</v>
      </c>
      <c r="Z538">
        <v>9.1313146034882262</v>
      </c>
      <c r="AA538">
        <v>2714.4959903979666</v>
      </c>
      <c r="AB538">
        <v>6.6651388521166108</v>
      </c>
      <c r="AC538">
        <v>2200.5166767052619</v>
      </c>
      <c r="AD538">
        <v>9.125777831958418</v>
      </c>
      <c r="AE538">
        <v>2005.2387104399859</v>
      </c>
      <c r="AF538">
        <v>6.6611995248867215</v>
      </c>
      <c r="AG538">
        <v>2066.0828848522219</v>
      </c>
      <c r="AH538">
        <v>9.124517777178438</v>
      </c>
      <c r="AI538">
        <v>1865.1289663123871</v>
      </c>
      <c r="AJ538">
        <v>6.6603014112959444</v>
      </c>
    </row>
    <row r="539" spans="4:36" x14ac:dyDescent="0.45">
      <c r="D539">
        <v>532</v>
      </c>
      <c r="E539">
        <v>12.349515495824601</v>
      </c>
      <c r="F539">
        <v>0.5139799732001612</v>
      </c>
      <c r="G539">
        <v>0.15952841528930958</v>
      </c>
      <c r="H539">
        <v>16.976976115685925</v>
      </c>
      <c r="I539">
        <v>12.589516290994377</v>
      </c>
      <c r="J539">
        <v>0.31413283105458378</v>
      </c>
      <c r="K539">
        <v>9.7165739274971269E-2</v>
      </c>
      <c r="L539">
        <v>16.999185138676072</v>
      </c>
      <c r="M539">
        <v>12.50388887869943</v>
      </c>
      <c r="N539">
        <v>0.38546040370687201</v>
      </c>
      <c r="O539">
        <v>0.11937385117542476</v>
      </c>
      <c r="P539">
        <v>16.991276866418279</v>
      </c>
      <c r="Q539">
        <v>12.441020246289217</v>
      </c>
      <c r="R539">
        <v>0.43781151114594274</v>
      </c>
      <c r="S539">
        <v>0.13570859807760821</v>
      </c>
      <c r="T539">
        <v>16.985459644487225</v>
      </c>
      <c r="U539">
        <v>1582.1906477234145</v>
      </c>
      <c r="V539">
        <v>9.7707663716605584</v>
      </c>
      <c r="W539">
        <v>1311.6241930986484</v>
      </c>
      <c r="X539">
        <v>7.0256425088610985</v>
      </c>
      <c r="Y539">
        <v>2914.1651400150404</v>
      </c>
      <c r="Z539">
        <v>9.8001685897965434</v>
      </c>
      <c r="AA539">
        <v>2741.2955721700237</v>
      </c>
      <c r="AB539">
        <v>7.0437252178538268</v>
      </c>
      <c r="AC539">
        <v>2211.5224011836644</v>
      </c>
      <c r="AD539">
        <v>9.78966924096272</v>
      </c>
      <c r="AE539">
        <v>2009.1756502444305</v>
      </c>
      <c r="AF539">
        <v>7.0372785164706118</v>
      </c>
      <c r="AG539">
        <v>2133.2903181061224</v>
      </c>
      <c r="AH539">
        <v>9.7819669966494249</v>
      </c>
      <c r="AI539">
        <v>1906.7953445962619</v>
      </c>
      <c r="AJ539">
        <v>7.0325418703528673</v>
      </c>
    </row>
    <row r="540" spans="4:36" x14ac:dyDescent="0.45">
      <c r="D540">
        <v>533</v>
      </c>
      <c r="E540">
        <v>14.23989709871177</v>
      </c>
      <c r="F540">
        <v>0.51299598451355544</v>
      </c>
      <c r="G540">
        <v>0.18420395906721401</v>
      </c>
      <c r="H540">
        <v>15.062902957707465</v>
      </c>
      <c r="I540">
        <v>14.563623841671658</v>
      </c>
      <c r="J540">
        <v>0.30395737736160094</v>
      </c>
      <c r="K540">
        <v>0.10865748886624514</v>
      </c>
      <c r="L540">
        <v>15.023761292100502</v>
      </c>
      <c r="M540">
        <v>14.446443273783933</v>
      </c>
      <c r="N540">
        <v>0.37970227042831262</v>
      </c>
      <c r="O540">
        <v>0.1359525335926807</v>
      </c>
      <c r="P540">
        <v>15.037901922195086</v>
      </c>
      <c r="Q540">
        <v>14.399993066611838</v>
      </c>
      <c r="R540">
        <v>0.40970293937924646</v>
      </c>
      <c r="S540">
        <v>0.14678811752362023</v>
      </c>
      <c r="T540">
        <v>15.043515876485305</v>
      </c>
      <c r="U540">
        <v>1617.9911677596531</v>
      </c>
      <c r="V540">
        <v>11.283665982435728</v>
      </c>
      <c r="W540">
        <v>1326.8307083682512</v>
      </c>
      <c r="X540">
        <v>7.9033693674785184</v>
      </c>
      <c r="Y540">
        <v>2918.466173630025</v>
      </c>
      <c r="Z540">
        <v>11.368783155530862</v>
      </c>
      <c r="AA540">
        <v>2738.2254369972734</v>
      </c>
      <c r="AB540">
        <v>7.9502363296041043</v>
      </c>
      <c r="AC540">
        <v>2256.5910499960096</v>
      </c>
      <c r="AD540">
        <v>11.337988221803224</v>
      </c>
      <c r="AE540">
        <v>2033.6776100854718</v>
      </c>
      <c r="AF540">
        <v>7.9332999987627888</v>
      </c>
      <c r="AG540">
        <v>2165.39740626717</v>
      </c>
      <c r="AH540">
        <v>11.325776392648775</v>
      </c>
      <c r="AI540">
        <v>1922.84335929249</v>
      </c>
      <c r="AJ540">
        <v>7.9265776386145355</v>
      </c>
    </row>
    <row r="541" spans="4:36" x14ac:dyDescent="0.45">
      <c r="D541">
        <v>534</v>
      </c>
      <c r="E541">
        <v>12.78292724416295</v>
      </c>
      <c r="F541">
        <v>0.46185506575535323</v>
      </c>
      <c r="G541">
        <v>0.16738794652096239</v>
      </c>
      <c r="H541">
        <v>16.587829743560729</v>
      </c>
      <c r="I541">
        <v>12.988743653229671</v>
      </c>
      <c r="J541">
        <v>0.309640192955557</v>
      </c>
      <c r="K541">
        <v>0.11188017203676323</v>
      </c>
      <c r="L541">
        <v>16.589735981778006</v>
      </c>
      <c r="M541">
        <v>12.891121816043748</v>
      </c>
      <c r="N541">
        <v>0.38186759358930988</v>
      </c>
      <c r="O541">
        <v>0.13817635965675809</v>
      </c>
      <c r="P541">
        <v>16.588834230710173</v>
      </c>
      <c r="Q541">
        <v>12.863537946993057</v>
      </c>
      <c r="R541">
        <v>0.40226640636981909</v>
      </c>
      <c r="S541">
        <v>0.14561699727703295</v>
      </c>
      <c r="T541">
        <v>16.588578649360095</v>
      </c>
      <c r="U541">
        <v>1549.2981885614345</v>
      </c>
      <c r="V541">
        <v>10.175454849205332</v>
      </c>
      <c r="W541">
        <v>1289.6651296583748</v>
      </c>
      <c r="X541">
        <v>7.2760685271764549</v>
      </c>
      <c r="Y541">
        <v>2910.4238918809806</v>
      </c>
      <c r="Z541">
        <v>10.213437650913844</v>
      </c>
      <c r="AA541">
        <v>2737.513873132852</v>
      </c>
      <c r="AB541">
        <v>7.2981138908987608</v>
      </c>
      <c r="AC541">
        <v>2216.397664500701</v>
      </c>
      <c r="AD541">
        <v>10.195420839721859</v>
      </c>
      <c r="AE541">
        <v>2011.3763326893127</v>
      </c>
      <c r="AF541">
        <v>7.287665877016674</v>
      </c>
      <c r="AG541">
        <v>2127.0697198979128</v>
      </c>
      <c r="AH541">
        <v>10.190330362179349</v>
      </c>
      <c r="AI541">
        <v>1903.2261326536636</v>
      </c>
      <c r="AJ541">
        <v>7.2847109548686779</v>
      </c>
    </row>
    <row r="542" spans="4:36" x14ac:dyDescent="0.45">
      <c r="D542">
        <v>535</v>
      </c>
      <c r="E542">
        <v>12.520962716304345</v>
      </c>
      <c r="F542">
        <v>0.44310122378265115</v>
      </c>
      <c r="G542">
        <v>0.16561537737874879</v>
      </c>
      <c r="H542">
        <v>16.870320682534253</v>
      </c>
      <c r="I542">
        <v>12.738540920100963</v>
      </c>
      <c r="J542">
        <v>0.28631993523526217</v>
      </c>
      <c r="K542">
        <v>0.10665594712713948</v>
      </c>
      <c r="L542">
        <v>16.868483197536627</v>
      </c>
      <c r="M542">
        <v>12.62639838811034</v>
      </c>
      <c r="N542">
        <v>0.36716233919218005</v>
      </c>
      <c r="O542">
        <v>0.13700728111848343</v>
      </c>
      <c r="P542">
        <v>16.869431991579006</v>
      </c>
      <c r="Q542">
        <v>12.624564557940271</v>
      </c>
      <c r="R542">
        <v>0.36848370579913198</v>
      </c>
      <c r="S542">
        <v>0.13750425976092684</v>
      </c>
      <c r="T542">
        <v>16.869447476499666</v>
      </c>
      <c r="U542">
        <v>1541.2240973079988</v>
      </c>
      <c r="V542">
        <v>9.9280324089603749</v>
      </c>
      <c r="W542">
        <v>1284.9231009229343</v>
      </c>
      <c r="X542">
        <v>7.128758207172222</v>
      </c>
      <c r="Y542">
        <v>2906.73575403315</v>
      </c>
      <c r="Z542">
        <v>9.9700818691190456</v>
      </c>
      <c r="AA542">
        <v>2736.4357438506831</v>
      </c>
      <c r="AB542">
        <v>7.1532057926022903</v>
      </c>
      <c r="AC542">
        <v>2223.3374163799513</v>
      </c>
      <c r="AD542">
        <v>9.9484082169163575</v>
      </c>
      <c r="AE542">
        <v>2017.1226842143601</v>
      </c>
      <c r="AF542">
        <v>7.1406155824414785</v>
      </c>
      <c r="AG542">
        <v>2106.4662301987742</v>
      </c>
      <c r="AH542">
        <v>9.9480538093955673</v>
      </c>
      <c r="AI542">
        <v>1890.6582496402764</v>
      </c>
      <c r="AJ542">
        <v>7.140409516206609</v>
      </c>
    </row>
    <row r="543" spans="4:36" x14ac:dyDescent="0.45">
      <c r="D543">
        <v>536</v>
      </c>
      <c r="E543">
        <v>12.727487191963762</v>
      </c>
      <c r="F543">
        <v>0.48177746263091381</v>
      </c>
      <c r="G543">
        <v>0.16556451976266931</v>
      </c>
      <c r="H543">
        <v>16.625170825642659</v>
      </c>
      <c r="I543">
        <v>12.922757332988903</v>
      </c>
      <c r="J543">
        <v>0.32777481035060219</v>
      </c>
      <c r="K543">
        <v>0.11233733632683532</v>
      </c>
      <c r="L543">
        <v>16.637130520333653</v>
      </c>
      <c r="M543">
        <v>12.822660403209827</v>
      </c>
      <c r="N543">
        <v>0.40674035643127782</v>
      </c>
      <c r="O543">
        <v>0.13959339374072491</v>
      </c>
      <c r="P543">
        <v>16.631005846618166</v>
      </c>
      <c r="Q543">
        <v>12.796939884513995</v>
      </c>
      <c r="R543">
        <v>0.42702336620331888</v>
      </c>
      <c r="S543">
        <v>0.14660669297746776</v>
      </c>
      <c r="T543">
        <v>16.629430056305203</v>
      </c>
      <c r="U543">
        <v>1543.0771691129994</v>
      </c>
      <c r="V543">
        <v>10.095572760999016</v>
      </c>
      <c r="W543">
        <v>1284.5865072139188</v>
      </c>
      <c r="X543">
        <v>7.2223253398716754</v>
      </c>
      <c r="Y543">
        <v>2913.7665076130825</v>
      </c>
      <c r="Z543">
        <v>10.125289882316096</v>
      </c>
      <c r="AA543">
        <v>2739.1799272446133</v>
      </c>
      <c r="AB543">
        <v>7.239933922483214</v>
      </c>
      <c r="AC543">
        <v>2242.5913374412544</v>
      </c>
      <c r="AD543">
        <v>10.110053323259413</v>
      </c>
      <c r="AE543">
        <v>2029.1124306151471</v>
      </c>
      <c r="AF543">
        <v>7.2309131375657545</v>
      </c>
      <c r="AG543">
        <v>2149.7268403745884</v>
      </c>
      <c r="AH543">
        <v>10.106139328371443</v>
      </c>
      <c r="AI543">
        <v>1918.4889788929854</v>
      </c>
      <c r="AJ543">
        <v>7.2285933276526295</v>
      </c>
    </row>
    <row r="544" spans="4:36" x14ac:dyDescent="0.45">
      <c r="D544">
        <v>537</v>
      </c>
      <c r="E544">
        <v>13.256083781716264</v>
      </c>
      <c r="F544">
        <v>0.4788295196676724</v>
      </c>
      <c r="G544">
        <v>0.17027808110207424</v>
      </c>
      <c r="H544">
        <v>16.094808617513976</v>
      </c>
      <c r="I544">
        <v>13.500361036800113</v>
      </c>
      <c r="J544">
        <v>0.30945904878281499</v>
      </c>
      <c r="K544">
        <v>0.10969722166362386</v>
      </c>
      <c r="L544">
        <v>16.080482692753442</v>
      </c>
      <c r="M544">
        <v>13.417829238848094</v>
      </c>
      <c r="N544">
        <v>0.3667239412095934</v>
      </c>
      <c r="O544">
        <v>0.13013599508635149</v>
      </c>
      <c r="P544">
        <v>16.085310824855963</v>
      </c>
      <c r="Q544">
        <v>13.379044097414011</v>
      </c>
      <c r="R544">
        <v>0.39362065158028192</v>
      </c>
      <c r="S544">
        <v>0.13975126147419742</v>
      </c>
      <c r="T544">
        <v>16.087583989531499</v>
      </c>
      <c r="U544">
        <v>1643.4068296193479</v>
      </c>
      <c r="V544">
        <v>10.495299502555991</v>
      </c>
      <c r="W544">
        <v>1348.7348208427882</v>
      </c>
      <c r="X544">
        <v>7.453850675700564</v>
      </c>
      <c r="Y544">
        <v>2927.4057692442448</v>
      </c>
      <c r="Z544">
        <v>10.549062981468975</v>
      </c>
      <c r="AA544">
        <v>2745.0459112970689</v>
      </c>
      <c r="AB544">
        <v>7.4838959908210585</v>
      </c>
      <c r="AC544">
        <v>2275.6438144469107</v>
      </c>
      <c r="AD544">
        <v>10.530905950926432</v>
      </c>
      <c r="AE544">
        <v>2049.343865975381</v>
      </c>
      <c r="AF544">
        <v>7.4737594914736505</v>
      </c>
      <c r="AG544">
        <v>2156.8530072462959</v>
      </c>
      <c r="AH544">
        <v>10.522370551123066</v>
      </c>
      <c r="AI544">
        <v>1919.2132015391185</v>
      </c>
      <c r="AJ544">
        <v>7.4689907922140302</v>
      </c>
    </row>
    <row r="545" spans="4:36" x14ac:dyDescent="0.45">
      <c r="D545">
        <v>538</v>
      </c>
      <c r="E545">
        <v>13.792306402154653</v>
      </c>
      <c r="F545">
        <v>0.50035707797542717</v>
      </c>
      <c r="G545">
        <v>0.15568309437531883</v>
      </c>
      <c r="H545">
        <v>15.551653425494608</v>
      </c>
      <c r="I545">
        <v>13.985267751048651</v>
      </c>
      <c r="J545">
        <v>0.35669018546269959</v>
      </c>
      <c r="K545">
        <v>0.11071454967130664</v>
      </c>
      <c r="L545">
        <v>15.547327513817327</v>
      </c>
      <c r="M545">
        <v>13.906425725855749</v>
      </c>
      <c r="N545">
        <v>0.41541462074039548</v>
      </c>
      <c r="O545">
        <v>0.1290690116374191</v>
      </c>
      <c r="P545">
        <v>15.549090641766432</v>
      </c>
      <c r="Q545">
        <v>13.822927461940301</v>
      </c>
      <c r="R545">
        <v>0.47757164828725829</v>
      </c>
      <c r="S545">
        <v>0.14853638054032001</v>
      </c>
      <c r="T545">
        <v>15.550964509232115</v>
      </c>
      <c r="U545">
        <v>1588.5726736775655</v>
      </c>
      <c r="V545">
        <v>10.870917249157829</v>
      </c>
      <c r="W545">
        <v>1309.1293678608408</v>
      </c>
      <c r="X545">
        <v>7.6604870700416638</v>
      </c>
      <c r="Y545">
        <v>2931.8021120322082</v>
      </c>
      <c r="Z545">
        <v>10.907939492655508</v>
      </c>
      <c r="AA545">
        <v>2745.6416347989784</v>
      </c>
      <c r="AB545">
        <v>7.6812770058098145</v>
      </c>
      <c r="AC545">
        <v>2269.6439712284978</v>
      </c>
      <c r="AD545">
        <v>10.892815089300022</v>
      </c>
      <c r="AE545">
        <v>2042.4354240850716</v>
      </c>
      <c r="AF545">
        <v>7.6727899904479298</v>
      </c>
      <c r="AG545">
        <v>2187.5051309511591</v>
      </c>
      <c r="AH545">
        <v>10.876793702375316</v>
      </c>
      <c r="AI545">
        <v>1936.047803995599</v>
      </c>
      <c r="AJ545">
        <v>7.6637904076155339</v>
      </c>
    </row>
    <row r="546" spans="4:36" x14ac:dyDescent="0.45">
      <c r="D546">
        <v>539</v>
      </c>
      <c r="E546">
        <v>13.067449645573618</v>
      </c>
      <c r="F546">
        <v>0.42618230567833643</v>
      </c>
      <c r="G546">
        <v>0.14026703366620494</v>
      </c>
      <c r="H546">
        <v>16.366101015081846</v>
      </c>
      <c r="I546">
        <v>13.252730481602555</v>
      </c>
      <c r="J546">
        <v>0.29853811719556961</v>
      </c>
      <c r="K546">
        <v>9.8011189201287235E-2</v>
      </c>
      <c r="L546">
        <v>16.350720212000571</v>
      </c>
      <c r="M546">
        <v>13.156340006270488</v>
      </c>
      <c r="N546">
        <v>0.36497070016623423</v>
      </c>
      <c r="O546">
        <v>0.11997656099734764</v>
      </c>
      <c r="P546">
        <v>16.358712732565937</v>
      </c>
      <c r="Q546">
        <v>13.120463574937416</v>
      </c>
      <c r="R546">
        <v>0.38968191676560288</v>
      </c>
      <c r="S546">
        <v>0.12816189095902245</v>
      </c>
      <c r="T546">
        <v>16.361692617337958</v>
      </c>
      <c r="U546">
        <v>1570.7119610652824</v>
      </c>
      <c r="V546">
        <v>10.333444948867221</v>
      </c>
      <c r="W546">
        <v>1305.3702023717897</v>
      </c>
      <c r="X546">
        <v>7.3657615666707814</v>
      </c>
      <c r="Y546">
        <v>2907.0863525540299</v>
      </c>
      <c r="Z546">
        <v>10.377240377383476</v>
      </c>
      <c r="AA546">
        <v>2734.4395775728608</v>
      </c>
      <c r="AB546">
        <v>7.3902800324477775</v>
      </c>
      <c r="AC546">
        <v>2249.2526996735392</v>
      </c>
      <c r="AD546">
        <v>10.354461665495007</v>
      </c>
      <c r="AE546">
        <v>2034.3839122058225</v>
      </c>
      <c r="AF546">
        <v>7.3775349794026663</v>
      </c>
      <c r="AG546">
        <v>2150.9212165872291</v>
      </c>
      <c r="AH546">
        <v>10.345980460248303</v>
      </c>
      <c r="AI546">
        <v>1919.30481015483</v>
      </c>
      <c r="AJ546">
        <v>7.3727855215086677</v>
      </c>
    </row>
    <row r="547" spans="4:36" x14ac:dyDescent="0.45">
      <c r="D547">
        <v>540</v>
      </c>
      <c r="E547">
        <v>12.515288989685258</v>
      </c>
      <c r="F547">
        <v>0.48065294360437283</v>
      </c>
      <c r="G547">
        <v>0.16199002746639779</v>
      </c>
      <c r="H547">
        <v>16.842068039243983</v>
      </c>
      <c r="I547">
        <v>12.730237823281762</v>
      </c>
      <c r="J547">
        <v>0.30775436197258321</v>
      </c>
      <c r="K547">
        <v>0.10341903585888544</v>
      </c>
      <c r="L547">
        <v>16.858588778886766</v>
      </c>
      <c r="M547">
        <v>12.62807581493438</v>
      </c>
      <c r="N547">
        <v>0.389956413996705</v>
      </c>
      <c r="O547">
        <v>0.13122277073546487</v>
      </c>
      <c r="P547">
        <v>16.850745000333454</v>
      </c>
      <c r="Q547">
        <v>12.608921411870931</v>
      </c>
      <c r="R547">
        <v>0.40536330880772153</v>
      </c>
      <c r="S547">
        <v>0.13644257836361218</v>
      </c>
      <c r="T547">
        <v>16.849272700957741</v>
      </c>
      <c r="U547">
        <v>1536.6161951887798</v>
      </c>
      <c r="V547">
        <v>9.9067111945275084</v>
      </c>
      <c r="W547">
        <v>1282.2643981809738</v>
      </c>
      <c r="X547">
        <v>7.1102121445136088</v>
      </c>
      <c r="Y547">
        <v>2895.103669400502</v>
      </c>
      <c r="Z547">
        <v>9.9382442415420513</v>
      </c>
      <c r="AA547">
        <v>2728.7093309908951</v>
      </c>
      <c r="AB547">
        <v>7.1290770928618654</v>
      </c>
      <c r="AC547">
        <v>2207.5951756376776</v>
      </c>
      <c r="AD547">
        <v>9.9232521909617173</v>
      </c>
      <c r="AE547">
        <v>2006.9253313419329</v>
      </c>
      <c r="AF547">
        <v>7.1201171939079888</v>
      </c>
      <c r="AG547">
        <v>2118.4361673829239</v>
      </c>
      <c r="AH547">
        <v>9.9204423011168679</v>
      </c>
      <c r="AI547">
        <v>1899.4653183348571</v>
      </c>
      <c r="AJ547">
        <v>7.1184360271025167</v>
      </c>
    </row>
    <row r="548" spans="4:36" x14ac:dyDescent="0.45">
      <c r="D548">
        <v>541</v>
      </c>
      <c r="E548">
        <v>13.219427278975877</v>
      </c>
      <c r="F548">
        <v>0.45553518300402573</v>
      </c>
      <c r="G548">
        <v>0.17629826814532018</v>
      </c>
      <c r="H548">
        <v>16.148739269874788</v>
      </c>
      <c r="I548">
        <v>13.459017713248226</v>
      </c>
      <c r="J548">
        <v>0.29451486952782879</v>
      </c>
      <c r="K548">
        <v>0.11357346026854873</v>
      </c>
      <c r="L548">
        <v>16.132893956955396</v>
      </c>
      <c r="M548">
        <v>13.3698476556517</v>
      </c>
      <c r="N548">
        <v>0.35448635634688191</v>
      </c>
      <c r="O548">
        <v>0.13688178384263638</v>
      </c>
      <c r="P548">
        <v>16.138784204158799</v>
      </c>
      <c r="Q548">
        <v>13.308096563293519</v>
      </c>
      <c r="R548">
        <v>0.3959870880081513</v>
      </c>
      <c r="S548">
        <v>0.15304823309335333</v>
      </c>
      <c r="T548">
        <v>16.142868115604973</v>
      </c>
      <c r="U548">
        <v>1568.4583579591736</v>
      </c>
      <c r="V548">
        <v>10.418918833469956</v>
      </c>
      <c r="W548">
        <v>1301.4165701932568</v>
      </c>
      <c r="X548">
        <v>7.4041560546687188</v>
      </c>
      <c r="Y548">
        <v>2907.5126806472758</v>
      </c>
      <c r="Z548">
        <v>10.472263646286878</v>
      </c>
      <c r="AA548">
        <v>2734.8959138485079</v>
      </c>
      <c r="AB548">
        <v>7.4342150076748048</v>
      </c>
      <c r="AC548">
        <v>2249.3872981220929</v>
      </c>
      <c r="AD548">
        <v>10.452414773701658</v>
      </c>
      <c r="AE548">
        <v>2035.0222405350003</v>
      </c>
      <c r="AF548">
        <v>7.4230418754092646</v>
      </c>
      <c r="AG548">
        <v>2150.6810961196752</v>
      </c>
      <c r="AH548">
        <v>10.438665890421261</v>
      </c>
      <c r="AI548">
        <v>1918.4713699687782</v>
      </c>
      <c r="AJ548">
        <v>7.4152946045257888</v>
      </c>
    </row>
    <row r="549" spans="4:36" x14ac:dyDescent="0.45">
      <c r="D549">
        <v>542</v>
      </c>
      <c r="E549">
        <v>11.376873409552369</v>
      </c>
      <c r="F549">
        <v>0.4023473038290688</v>
      </c>
      <c r="G549">
        <v>0.15808548032771241</v>
      </c>
      <c r="H549">
        <v>18.062693806290859</v>
      </c>
      <c r="I549">
        <v>11.550628502999013</v>
      </c>
      <c r="J549">
        <v>0.26625548021687162</v>
      </c>
      <c r="K549">
        <v>0.10432493977556556</v>
      </c>
      <c r="L549">
        <v>18.07879107700856</v>
      </c>
      <c r="M549">
        <v>11.476781731989865</v>
      </c>
      <c r="N549">
        <v>0.32411426339184091</v>
      </c>
      <c r="O549">
        <v>0.12714418919115253</v>
      </c>
      <c r="P549">
        <v>18.071959815427153</v>
      </c>
      <c r="Q549">
        <v>11.42613171371627</v>
      </c>
      <c r="R549">
        <v>0.36378215889101795</v>
      </c>
      <c r="S549">
        <v>0.14282040070674518</v>
      </c>
      <c r="T549">
        <v>18.067265726685982</v>
      </c>
      <c r="U549">
        <v>1488.8366779108082</v>
      </c>
      <c r="V549">
        <v>8.9748597337448839</v>
      </c>
      <c r="W549">
        <v>1260.079948492503</v>
      </c>
      <c r="X549">
        <v>6.5640949716109445</v>
      </c>
      <c r="Y549">
        <v>2839.3347492682024</v>
      </c>
      <c r="Z549">
        <v>8.9988191840782612</v>
      </c>
      <c r="AA549">
        <v>2695.5096420434556</v>
      </c>
      <c r="AB549">
        <v>6.5791013305520734</v>
      </c>
      <c r="AC549">
        <v>2167.2301964667204</v>
      </c>
      <c r="AD549">
        <v>8.9886301021544739</v>
      </c>
      <c r="AE549">
        <v>1987.6848334738488</v>
      </c>
      <c r="AF549">
        <v>6.5727273105887614</v>
      </c>
      <c r="AG549">
        <v>2060.1286758984406</v>
      </c>
      <c r="AH549">
        <v>8.9816469011502704</v>
      </c>
      <c r="AI549">
        <v>1865.7559406960108</v>
      </c>
      <c r="AJ549">
        <v>6.5683522962229555</v>
      </c>
    </row>
    <row r="550" spans="4:36" x14ac:dyDescent="0.45">
      <c r="D550">
        <v>543</v>
      </c>
      <c r="E550">
        <v>12.635967479941037</v>
      </c>
      <c r="F550">
        <v>0.50326203674107095</v>
      </c>
      <c r="G550">
        <v>0.17340479255413049</v>
      </c>
      <c r="H550">
        <v>16.687365690763773</v>
      </c>
      <c r="I550">
        <v>12.871585305776041</v>
      </c>
      <c r="J550">
        <v>0.31761724130377922</v>
      </c>
      <c r="K550">
        <v>0.10908687521760742</v>
      </c>
      <c r="L550">
        <v>16.70171057770256</v>
      </c>
      <c r="M550">
        <v>12.779865263753804</v>
      </c>
      <c r="N550">
        <v>0.38991560148282783</v>
      </c>
      <c r="O550">
        <v>0.13408522258138636</v>
      </c>
      <c r="P550">
        <v>16.696133912181974</v>
      </c>
      <c r="Q550">
        <v>12.719015035184274</v>
      </c>
      <c r="R550">
        <v>0.43785869296009544</v>
      </c>
      <c r="S550">
        <v>0.15069732677366995</v>
      </c>
      <c r="T550">
        <v>16.692428945081947</v>
      </c>
      <c r="U550">
        <v>1570.3162148877068</v>
      </c>
      <c r="V550">
        <v>10.084264792338285</v>
      </c>
      <c r="W550">
        <v>1303.076384709595</v>
      </c>
      <c r="X550">
        <v>7.2212826315761394</v>
      </c>
      <c r="Y550">
        <v>2901.4440093728476</v>
      </c>
      <c r="Z550">
        <v>10.119507017996616</v>
      </c>
      <c r="AA550">
        <v>2731.319094402525</v>
      </c>
      <c r="AB550">
        <v>7.2422092142767927</v>
      </c>
      <c r="AC550">
        <v>2220.9864650814393</v>
      </c>
      <c r="AD550">
        <v>10.105783472771863</v>
      </c>
      <c r="AE550">
        <v>2015.0899661861231</v>
      </c>
      <c r="AF550">
        <v>7.2340705665577074</v>
      </c>
      <c r="AG550">
        <v>2125.4904381801921</v>
      </c>
      <c r="AH550">
        <v>10.096682056553322</v>
      </c>
      <c r="AI550">
        <v>1900.5639592431851</v>
      </c>
      <c r="AJ550">
        <v>7.2286658255983669</v>
      </c>
    </row>
    <row r="551" spans="4:36" x14ac:dyDescent="0.45">
      <c r="D551">
        <v>544</v>
      </c>
      <c r="E551">
        <v>13.467066531497723</v>
      </c>
      <c r="F551">
        <v>0.49181488034146281</v>
      </c>
      <c r="G551">
        <v>0.17029983378495392</v>
      </c>
      <c r="H551">
        <v>15.870818754375849</v>
      </c>
      <c r="I551">
        <v>13.689993433258341</v>
      </c>
      <c r="J551">
        <v>0.32976617208768827</v>
      </c>
      <c r="K551">
        <v>0.11384794747326055</v>
      </c>
      <c r="L551">
        <v>15.866392447180715</v>
      </c>
      <c r="M551">
        <v>13.594474696711361</v>
      </c>
      <c r="N551">
        <v>0.39923425273108948</v>
      </c>
      <c r="O551">
        <v>0.1380063018542517</v>
      </c>
      <c r="P551">
        <v>15.868284748703294</v>
      </c>
      <c r="Q551">
        <v>13.576218204032214</v>
      </c>
      <c r="R551">
        <v>0.41250587549321566</v>
      </c>
      <c r="S551">
        <v>0.14262877188945927</v>
      </c>
      <c r="T551">
        <v>15.86864714858511</v>
      </c>
      <c r="U551">
        <v>1589.5591804623009</v>
      </c>
      <c r="V551">
        <v>10.600413371379641</v>
      </c>
      <c r="W551">
        <v>1313.3777423153806</v>
      </c>
      <c r="X551">
        <v>7.5036605751477108</v>
      </c>
      <c r="Y551">
        <v>2910.6389726135803</v>
      </c>
      <c r="Z551">
        <v>10.644601333893034</v>
      </c>
      <c r="AA551">
        <v>2734.356209465423</v>
      </c>
      <c r="AB551">
        <v>7.5287016833998228</v>
      </c>
      <c r="AC551">
        <v>2271.2564480573437</v>
      </c>
      <c r="AD551">
        <v>10.625670160444891</v>
      </c>
      <c r="AE551">
        <v>2047.0464446759579</v>
      </c>
      <c r="AF551">
        <v>7.5179827293922985</v>
      </c>
      <c r="AG551">
        <v>2138.2159534724583</v>
      </c>
      <c r="AH551">
        <v>10.622051456856665</v>
      </c>
      <c r="AI551">
        <v>1907.9403164748335</v>
      </c>
      <c r="AJ551">
        <v>7.5159322240689379</v>
      </c>
    </row>
    <row r="552" spans="4:36" x14ac:dyDescent="0.45">
      <c r="D552">
        <v>545</v>
      </c>
      <c r="E552">
        <v>13.146151796498353</v>
      </c>
      <c r="F552">
        <v>0.47946773514954821</v>
      </c>
      <c r="G552">
        <v>0.18655960047785242</v>
      </c>
      <c r="H552">
        <v>16.18782086787423</v>
      </c>
      <c r="I552">
        <v>13.359738203110261</v>
      </c>
      <c r="J552">
        <v>0.32431605377058259</v>
      </c>
      <c r="K552">
        <v>0.12579292971897146</v>
      </c>
      <c r="L552">
        <v>16.190152813400193</v>
      </c>
      <c r="M552">
        <v>13.253829129957797</v>
      </c>
      <c r="N552">
        <v>0.40128224940299084</v>
      </c>
      <c r="O552">
        <v>0.15588880084641227</v>
      </c>
      <c r="P552">
        <v>16.188999819792809</v>
      </c>
      <c r="Q552">
        <v>13.267609526473036</v>
      </c>
      <c r="R552">
        <v>0.39127137908653542</v>
      </c>
      <c r="S552">
        <v>0.15196888421506083</v>
      </c>
      <c r="T552">
        <v>16.189150210225357</v>
      </c>
      <c r="U552">
        <v>1598.4584931045349</v>
      </c>
      <c r="V552">
        <v>10.405907375473138</v>
      </c>
      <c r="W552">
        <v>1314.9153760064535</v>
      </c>
      <c r="X552">
        <v>7.3976319256819316</v>
      </c>
      <c r="Y552">
        <v>2945.5080672975701</v>
      </c>
      <c r="Z552">
        <v>10.443730704906327</v>
      </c>
      <c r="AA552">
        <v>2755.6987124177967</v>
      </c>
      <c r="AB552">
        <v>7.4195916641854378</v>
      </c>
      <c r="AC552">
        <v>2302.8522314961365</v>
      </c>
      <c r="AD552">
        <v>10.424973373910836</v>
      </c>
      <c r="AE552">
        <v>2064.7151502555848</v>
      </c>
      <c r="AF552">
        <v>7.4087106231527002</v>
      </c>
      <c r="AG552">
        <v>2158.4239508824958</v>
      </c>
      <c r="AH552">
        <v>10.427413743285348</v>
      </c>
      <c r="AI552">
        <v>1919.2601353547777</v>
      </c>
      <c r="AJ552">
        <v>7.4101272913717615</v>
      </c>
    </row>
    <row r="553" spans="4:36" x14ac:dyDescent="0.45">
      <c r="D553">
        <v>546</v>
      </c>
      <c r="E553">
        <v>13.163335813852026</v>
      </c>
      <c r="F553">
        <v>0.46917565557819685</v>
      </c>
      <c r="G553">
        <v>0.14115243912410108</v>
      </c>
      <c r="H553">
        <v>16.226336091445663</v>
      </c>
      <c r="I553">
        <v>13.393912213838979</v>
      </c>
      <c r="J553">
        <v>0.30351384916025809</v>
      </c>
      <c r="K553">
        <v>9.1031304950780406E-2</v>
      </c>
      <c r="L553">
        <v>16.211542632049991</v>
      </c>
      <c r="M553">
        <v>13.283014721783825</v>
      </c>
      <c r="N553">
        <v>0.38322884949020447</v>
      </c>
      <c r="O553">
        <v>0.11510994209797445</v>
      </c>
      <c r="P553">
        <v>16.218646486628003</v>
      </c>
      <c r="Q553">
        <v>13.256573429493537</v>
      </c>
      <c r="R553">
        <v>0.40222475036918937</v>
      </c>
      <c r="S553">
        <v>0.1208585149949387</v>
      </c>
      <c r="T553">
        <v>16.220343305142347</v>
      </c>
      <c r="U553">
        <v>1569.3923877916347</v>
      </c>
      <c r="V553">
        <v>10.458270254507546</v>
      </c>
      <c r="W553">
        <v>1300.2982185090952</v>
      </c>
      <c r="X553">
        <v>7.4406421969909813</v>
      </c>
      <c r="Y553">
        <v>2918.3153123768943</v>
      </c>
      <c r="Z553">
        <v>10.510805379637704</v>
      </c>
      <c r="AA553">
        <v>2741.4752158896881</v>
      </c>
      <c r="AB553">
        <v>7.4701236246880978</v>
      </c>
      <c r="AC553">
        <v>2242.5950060189734</v>
      </c>
      <c r="AD553">
        <v>10.485545076338758</v>
      </c>
      <c r="AE553">
        <v>2027.4917830109769</v>
      </c>
      <c r="AF553">
        <v>7.4559592925073339</v>
      </c>
      <c r="AG553">
        <v>2161.6286424540349</v>
      </c>
      <c r="AH553">
        <v>10.479520388718612</v>
      </c>
      <c r="AI553">
        <v>1925.1756995663136</v>
      </c>
      <c r="AJ553">
        <v>7.4525780065241394</v>
      </c>
    </row>
    <row r="554" spans="4:36" x14ac:dyDescent="0.45">
      <c r="D554">
        <v>547</v>
      </c>
      <c r="E554">
        <v>13.188858243365818</v>
      </c>
      <c r="F554">
        <v>0.48568492138238301</v>
      </c>
      <c r="G554">
        <v>0.16352091619379042</v>
      </c>
      <c r="H554">
        <v>16.161935919058006</v>
      </c>
      <c r="I554">
        <v>13.408102489969584</v>
      </c>
      <c r="J554">
        <v>0.32348984953804455</v>
      </c>
      <c r="K554">
        <v>0.1085942716641025</v>
      </c>
      <c r="L554">
        <v>16.159813388828262</v>
      </c>
      <c r="M554">
        <v>13.308344012953665</v>
      </c>
      <c r="N554">
        <v>0.39732303812157399</v>
      </c>
      <c r="O554">
        <v>0.13355704637324625</v>
      </c>
      <c r="P554">
        <v>16.160775902551499</v>
      </c>
      <c r="Q554">
        <v>13.241133339817484</v>
      </c>
      <c r="R554">
        <v>0.44703623849362106</v>
      </c>
      <c r="S554">
        <v>0.15040297877210673</v>
      </c>
      <c r="T554">
        <v>16.161427442916789</v>
      </c>
      <c r="U554">
        <v>1552.4397565157672</v>
      </c>
      <c r="V554">
        <v>10.338133066985868</v>
      </c>
      <c r="W554">
        <v>1289.9050695944215</v>
      </c>
      <c r="X554">
        <v>7.3465405077454529</v>
      </c>
      <c r="Y554">
        <v>2927.628787340931</v>
      </c>
      <c r="Z554">
        <v>10.376696276257947</v>
      </c>
      <c r="AA554">
        <v>2748.6007110923279</v>
      </c>
      <c r="AB554">
        <v>7.3684762871248024</v>
      </c>
      <c r="AC554">
        <v>2238.9334350390782</v>
      </c>
      <c r="AD554">
        <v>10.359151739520383</v>
      </c>
      <c r="AE554">
        <v>2026.2528733067741</v>
      </c>
      <c r="AF554">
        <v>7.3585048044469925</v>
      </c>
      <c r="AG554">
        <v>2155.2598451410577</v>
      </c>
      <c r="AH554">
        <v>10.34732938313233</v>
      </c>
      <c r="AI554">
        <v>1920.0718816048118</v>
      </c>
      <c r="AJ554">
        <v>7.3517777253210319</v>
      </c>
    </row>
    <row r="555" spans="4:36" x14ac:dyDescent="0.45">
      <c r="D555">
        <v>548</v>
      </c>
      <c r="E555">
        <v>13.940998956428054</v>
      </c>
      <c r="F555">
        <v>0.50667913895427141</v>
      </c>
      <c r="G555">
        <v>0.16298355596708974</v>
      </c>
      <c r="H555">
        <v>15.389338348650599</v>
      </c>
      <c r="I555">
        <v>14.216627908836461</v>
      </c>
      <c r="J555">
        <v>0.31639137376333409</v>
      </c>
      <c r="K555">
        <v>0.10141083976917513</v>
      </c>
      <c r="L555">
        <v>15.365569877631028</v>
      </c>
      <c r="M555">
        <v>14.097413912267246</v>
      </c>
      <c r="N555">
        <v>0.39874995014463432</v>
      </c>
      <c r="O555">
        <v>0.12800533112314691</v>
      </c>
      <c r="P555">
        <v>15.375830806464956</v>
      </c>
      <c r="Q555">
        <v>14.031030128040001</v>
      </c>
      <c r="R555">
        <v>0.44457404906175318</v>
      </c>
      <c r="S555">
        <v>0.14283853961915322</v>
      </c>
      <c r="T555">
        <v>15.381557283279095</v>
      </c>
      <c r="U555">
        <v>1618.0730161363927</v>
      </c>
      <c r="V555">
        <v>11.071988374336181</v>
      </c>
      <c r="W555">
        <v>1331.073453512985</v>
      </c>
      <c r="X555">
        <v>7.7869254024592394</v>
      </c>
      <c r="Y555">
        <v>2906.2067496453387</v>
      </c>
      <c r="Z555">
        <v>11.136119381509854</v>
      </c>
      <c r="AA555">
        <v>2731.1519050864231</v>
      </c>
      <c r="AB555">
        <v>7.8223710290295001</v>
      </c>
      <c r="AC555">
        <v>2281.6362598327164</v>
      </c>
      <c r="AD555">
        <v>11.108392823624916</v>
      </c>
      <c r="AE555">
        <v>2053.1079266406095</v>
      </c>
      <c r="AF555">
        <v>7.8070603494625379</v>
      </c>
      <c r="AG555">
        <v>2191.618356130622</v>
      </c>
      <c r="AH555">
        <v>11.092946074035323</v>
      </c>
      <c r="AI555">
        <v>1942.4122218354321</v>
      </c>
      <c r="AJ555">
        <v>7.7985214150301259</v>
      </c>
    </row>
    <row r="556" spans="4:36" x14ac:dyDescent="0.45">
      <c r="D556">
        <v>549</v>
      </c>
      <c r="E556">
        <v>12.245639604691325</v>
      </c>
      <c r="F556">
        <v>0.41742323097957995</v>
      </c>
      <c r="G556">
        <v>0.16326306139253532</v>
      </c>
      <c r="H556">
        <v>17.173674102936562</v>
      </c>
      <c r="I556">
        <v>12.425553491769305</v>
      </c>
      <c r="J556">
        <v>0.2879993187806586</v>
      </c>
      <c r="K556">
        <v>0.11232548954692599</v>
      </c>
      <c r="L556">
        <v>17.174121699903086</v>
      </c>
      <c r="M556">
        <v>12.330844913896616</v>
      </c>
      <c r="N556">
        <v>0.35615398712267621</v>
      </c>
      <c r="O556">
        <v>0.13911289638195698</v>
      </c>
      <c r="P556">
        <v>17.173888202598746</v>
      </c>
      <c r="Q556">
        <v>12.332291228746739</v>
      </c>
      <c r="R556">
        <v>0.35511359171751894</v>
      </c>
      <c r="S556">
        <v>0.13870337583502476</v>
      </c>
      <c r="T556">
        <v>17.173891803700712</v>
      </c>
      <c r="U556">
        <v>1519.892192924857</v>
      </c>
      <c r="V556">
        <v>9.6792402185234145</v>
      </c>
      <c r="W556">
        <v>1271.4148721773277</v>
      </c>
      <c r="X556">
        <v>6.9808929003967979</v>
      </c>
      <c r="Y556">
        <v>2886.9139698211693</v>
      </c>
      <c r="Z556">
        <v>9.7112321514006279</v>
      </c>
      <c r="AA556">
        <v>2721.8434468724181</v>
      </c>
      <c r="AB556">
        <v>6.9996333513890079</v>
      </c>
      <c r="AC556">
        <v>2218.8771569774731</v>
      </c>
      <c r="AD556">
        <v>9.6943903281683514</v>
      </c>
      <c r="AE556">
        <v>2014.5869432715483</v>
      </c>
      <c r="AF556">
        <v>6.9897748593720488</v>
      </c>
      <c r="AG556">
        <v>2099.7356261454283</v>
      </c>
      <c r="AH556">
        <v>9.6946475077596705</v>
      </c>
      <c r="AI556">
        <v>1886.7848805684705</v>
      </c>
      <c r="AJ556">
        <v>6.9899255217044605</v>
      </c>
    </row>
    <row r="557" spans="4:36" x14ac:dyDescent="0.45">
      <c r="D557">
        <v>550</v>
      </c>
      <c r="E557">
        <v>12.392607836443903</v>
      </c>
      <c r="F557">
        <v>0.49024334168725969</v>
      </c>
      <c r="G557">
        <v>0.14264579718035467</v>
      </c>
      <c r="H557">
        <v>16.974503024688484</v>
      </c>
      <c r="I557">
        <v>12.632078382764908</v>
      </c>
      <c r="J557">
        <v>0.30679863571095178</v>
      </c>
      <c r="K557">
        <v>8.8965725015619918E-2</v>
      </c>
      <c r="L557">
        <v>16.972157256508527</v>
      </c>
      <c r="M557">
        <v>12.5555121200603</v>
      </c>
      <c r="N557">
        <v>0.36548435738866142</v>
      </c>
      <c r="O557">
        <v>0.10609822822820553</v>
      </c>
      <c r="P557">
        <v>16.972905294322835</v>
      </c>
      <c r="Q557">
        <v>12.494726465562989</v>
      </c>
      <c r="R557">
        <v>0.41205292706422986</v>
      </c>
      <c r="S557">
        <v>0.11972013044343187</v>
      </c>
      <c r="T557">
        <v>16.973500476929356</v>
      </c>
      <c r="U557">
        <v>1533.7979751089952</v>
      </c>
      <c r="V557">
        <v>9.7889285139724382</v>
      </c>
      <c r="W557">
        <v>1282.4030027487497</v>
      </c>
      <c r="X557">
        <v>7.0403541593123702</v>
      </c>
      <c r="Y557">
        <v>2896.5720000964616</v>
      </c>
      <c r="Z557">
        <v>9.833144527022414</v>
      </c>
      <c r="AA557">
        <v>2731.5814786658029</v>
      </c>
      <c r="AB557">
        <v>7.0659311804598302</v>
      </c>
      <c r="AC557">
        <v>2202.4252929919567</v>
      </c>
      <c r="AD557">
        <v>9.8190084551657542</v>
      </c>
      <c r="AE557">
        <v>2007.0722533776548</v>
      </c>
      <c r="AF557">
        <v>7.0577646121976194</v>
      </c>
      <c r="AG557">
        <v>2104.6749162659835</v>
      </c>
      <c r="AH557">
        <v>9.8077850984531736</v>
      </c>
      <c r="AI557">
        <v>1891.4119418198261</v>
      </c>
      <c r="AJ557">
        <v>7.0512737386221369</v>
      </c>
    </row>
    <row r="558" spans="4:36" x14ac:dyDescent="0.45">
      <c r="D558">
        <v>551</v>
      </c>
      <c r="E558">
        <v>11.204578145369634</v>
      </c>
      <c r="F558">
        <v>0.44304823821721223</v>
      </c>
      <c r="G558">
        <v>0.14576491877441225</v>
      </c>
      <c r="H558">
        <v>18.206608697638753</v>
      </c>
      <c r="I558">
        <v>11.373327890266971</v>
      </c>
      <c r="J558">
        <v>0.2945313352145521</v>
      </c>
      <c r="K558">
        <v>9.6655165390010386E-2</v>
      </c>
      <c r="L558">
        <v>18.235485609128471</v>
      </c>
      <c r="M558">
        <v>11.309525144370786</v>
      </c>
      <c r="N558">
        <v>0.35069466139947908</v>
      </c>
      <c r="O558">
        <v>0.11519676287490233</v>
      </c>
      <c r="P558">
        <v>18.224583431354827</v>
      </c>
      <c r="Q558">
        <v>11.266420439927382</v>
      </c>
      <c r="R558">
        <v>0.38863106240801587</v>
      </c>
      <c r="S558">
        <v>0.12774143246758793</v>
      </c>
      <c r="T558">
        <v>18.217207065197023</v>
      </c>
      <c r="U558">
        <v>1497.5810604049063</v>
      </c>
      <c r="V558">
        <v>8.8178492453476629</v>
      </c>
      <c r="W558">
        <v>1261.9632157291228</v>
      </c>
      <c r="X558">
        <v>6.4640926227797522</v>
      </c>
      <c r="Y558">
        <v>2855.8982305611794</v>
      </c>
      <c r="Z558">
        <v>8.8333212938066605</v>
      </c>
      <c r="AA558">
        <v>2704.5300790907054</v>
      </c>
      <c r="AB558">
        <v>6.4745686385831362</v>
      </c>
      <c r="AC558">
        <v>2167.656004901145</v>
      </c>
      <c r="AD558">
        <v>8.8274625162971283</v>
      </c>
      <c r="AE558">
        <v>1984.8383284761387</v>
      </c>
      <c r="AF558">
        <v>6.4706085693672826</v>
      </c>
      <c r="AG558">
        <v>2074.6808297211132</v>
      </c>
      <c r="AH558">
        <v>8.8235105002425858</v>
      </c>
      <c r="AI558">
        <v>1873.3193160281944</v>
      </c>
      <c r="AJ558">
        <v>6.4679326137262114</v>
      </c>
    </row>
    <row r="559" spans="4:36" x14ac:dyDescent="0.45">
      <c r="D559">
        <v>552</v>
      </c>
      <c r="E559">
        <v>12.806551367243104</v>
      </c>
      <c r="F559">
        <v>0.43035153431730788</v>
      </c>
      <c r="G559">
        <v>0.15969411648271994</v>
      </c>
      <c r="H559">
        <v>16.603402981956879</v>
      </c>
      <c r="I559">
        <v>12.993040928823161</v>
      </c>
      <c r="J559">
        <v>0.29773339384193714</v>
      </c>
      <c r="K559">
        <v>0.110184466183898</v>
      </c>
      <c r="L559">
        <v>16.599041211151018</v>
      </c>
      <c r="M559">
        <v>12.939049750385927</v>
      </c>
      <c r="N559">
        <v>0.33614969382176152</v>
      </c>
      <c r="O559">
        <v>0.1244983553174953</v>
      </c>
      <c r="P559">
        <v>16.600302200474815</v>
      </c>
      <c r="Q559">
        <v>12.863434180420093</v>
      </c>
      <c r="R559">
        <v>0.38992284078980843</v>
      </c>
      <c r="S559">
        <v>0.14457227944752635</v>
      </c>
      <c r="T559">
        <v>16.60207069934258</v>
      </c>
      <c r="U559">
        <v>1558.1699907795567</v>
      </c>
      <c r="V559">
        <v>10.05671622783192</v>
      </c>
      <c r="W559">
        <v>1297.9756551560056</v>
      </c>
      <c r="X559">
        <v>7.1918190489873037</v>
      </c>
      <c r="Y559">
        <v>2903.6024882861207</v>
      </c>
      <c r="Z559">
        <v>10.092256185816986</v>
      </c>
      <c r="AA559">
        <v>2733.2286906575951</v>
      </c>
      <c r="AB559">
        <v>7.2121557766400333</v>
      </c>
      <c r="AC559">
        <v>2225.6941037780653</v>
      </c>
      <c r="AD559">
        <v>10.081968145696129</v>
      </c>
      <c r="AE559">
        <v>2021.1344172332995</v>
      </c>
      <c r="AF559">
        <v>7.2062745022560923</v>
      </c>
      <c r="AG559">
        <v>2118.7290792483145</v>
      </c>
      <c r="AH559">
        <v>10.067557867654692</v>
      </c>
      <c r="AI559">
        <v>1897.7939704902676</v>
      </c>
      <c r="AJ559">
        <v>7.1980288285954028</v>
      </c>
    </row>
    <row r="560" spans="4:36" x14ac:dyDescent="0.45">
      <c r="D560">
        <v>553</v>
      </c>
      <c r="E560">
        <v>12.034380382484011</v>
      </c>
      <c r="F560">
        <v>0.43238470661027256</v>
      </c>
      <c r="G560">
        <v>0.16209432031337528</v>
      </c>
      <c r="H560">
        <v>17.371140590592326</v>
      </c>
      <c r="I560">
        <v>12.26303664123364</v>
      </c>
      <c r="J560">
        <v>0.26752228312901699</v>
      </c>
      <c r="K560">
        <v>9.993333558277688E-2</v>
      </c>
      <c r="L560">
        <v>17.369507740054555</v>
      </c>
      <c r="M560">
        <v>12.173936949897476</v>
      </c>
      <c r="N560">
        <v>0.33180160818007376</v>
      </c>
      <c r="O560">
        <v>0.1241163253691378</v>
      </c>
      <c r="P560">
        <v>17.370145116553296</v>
      </c>
      <c r="Q560">
        <v>12.139074961258823</v>
      </c>
      <c r="R560">
        <v>0.35693900447679944</v>
      </c>
      <c r="S560">
        <v>0.13359191437854251</v>
      </c>
      <c r="T560">
        <v>17.370394119885844</v>
      </c>
      <c r="U560">
        <v>1500.1766619981117</v>
      </c>
      <c r="V560">
        <v>9.5631706900654869</v>
      </c>
      <c r="W560">
        <v>1260.7841404862418</v>
      </c>
      <c r="X560">
        <v>6.9192623812451997</v>
      </c>
      <c r="Y560">
        <v>2876.6920743820078</v>
      </c>
      <c r="Z560">
        <v>9.6058312200159683</v>
      </c>
      <c r="AA560">
        <v>2719.3322759839175</v>
      </c>
      <c r="AB560">
        <v>6.944207913005557</v>
      </c>
      <c r="AC560">
        <v>2185.5165381591828</v>
      </c>
      <c r="AD560">
        <v>9.5892075798000675</v>
      </c>
      <c r="AE560">
        <v>1996.3231555777584</v>
      </c>
      <c r="AF560">
        <v>6.9344989398029897</v>
      </c>
      <c r="AG560">
        <v>2079.5879316648779</v>
      </c>
      <c r="AH560">
        <v>9.5827033459826954</v>
      </c>
      <c r="AI560">
        <v>1876.1312812061763</v>
      </c>
      <c r="AJ560">
        <v>6.9306961501999842</v>
      </c>
    </row>
    <row r="561" spans="4:36" x14ac:dyDescent="0.45">
      <c r="D561">
        <v>554</v>
      </c>
      <c r="E561">
        <v>13.342484226044382</v>
      </c>
      <c r="F561">
        <v>0.42092241086597287</v>
      </c>
      <c r="G561">
        <v>0.16612592047657759</v>
      </c>
      <c r="H561">
        <v>16.070467442613058</v>
      </c>
      <c r="I561">
        <v>13.617662771892862</v>
      </c>
      <c r="J561">
        <v>0.24974333158052003</v>
      </c>
      <c r="K561">
        <v>9.8184517391740306E-2</v>
      </c>
      <c r="L561">
        <v>16.034409379134868</v>
      </c>
      <c r="M561">
        <v>13.503351850548995</v>
      </c>
      <c r="N561">
        <v>0.32091680550847596</v>
      </c>
      <c r="O561">
        <v>0.12636841470921786</v>
      </c>
      <c r="P561">
        <v>16.0493629292333</v>
      </c>
      <c r="Q561">
        <v>13.437919265027881</v>
      </c>
      <c r="R561">
        <v>0.36161595304413607</v>
      </c>
      <c r="S561">
        <v>0.14252624540697789</v>
      </c>
      <c r="T561">
        <v>16.057938536521004</v>
      </c>
      <c r="U561">
        <v>1604.571999755693</v>
      </c>
      <c r="V561">
        <v>10.475980838310106</v>
      </c>
      <c r="W561">
        <v>1324.4672322326187</v>
      </c>
      <c r="X561">
        <v>7.4367698193801113</v>
      </c>
      <c r="Y561">
        <v>2906.102480386935</v>
      </c>
      <c r="Z561">
        <v>10.546803082428543</v>
      </c>
      <c r="AA561">
        <v>2733.9711766601704</v>
      </c>
      <c r="AB561">
        <v>7.4759531337909459</v>
      </c>
      <c r="AC561">
        <v>2253.2769421284402</v>
      </c>
      <c r="AD561">
        <v>10.51739821635692</v>
      </c>
      <c r="AE561">
        <v>2036.1832592279372</v>
      </c>
      <c r="AF561">
        <v>7.4597004822392083</v>
      </c>
      <c r="AG561">
        <v>2143.5725051224617</v>
      </c>
      <c r="AH561">
        <v>10.500556956040501</v>
      </c>
      <c r="AI561">
        <v>1911.3731255133155</v>
      </c>
      <c r="AJ561">
        <v>7.4503818119315115</v>
      </c>
    </row>
    <row r="562" spans="4:36" x14ac:dyDescent="0.45">
      <c r="D562">
        <v>555</v>
      </c>
      <c r="E562">
        <v>11.493497640999184</v>
      </c>
      <c r="F562">
        <v>0.37996228817940481</v>
      </c>
      <c r="G562">
        <v>0.16232149434171425</v>
      </c>
      <c r="H562">
        <v>17.964218576479702</v>
      </c>
      <c r="I562">
        <v>11.677675292795699</v>
      </c>
      <c r="J562">
        <v>0.25250981158425034</v>
      </c>
      <c r="K562">
        <v>0.10755161878630025</v>
      </c>
      <c r="L562">
        <v>17.962263276833763</v>
      </c>
      <c r="M562">
        <v>11.628421348412719</v>
      </c>
      <c r="N562">
        <v>0.28661624214573583</v>
      </c>
      <c r="O562">
        <v>0.12217566181556323</v>
      </c>
      <c r="P562">
        <v>17.962786747625973</v>
      </c>
      <c r="Q562">
        <v>11.584284741627219</v>
      </c>
      <c r="R562">
        <v>0.31716533792352031</v>
      </c>
      <c r="S562">
        <v>0.13529444131469046</v>
      </c>
      <c r="T562">
        <v>17.963255479134553</v>
      </c>
      <c r="U562">
        <v>1483.2524181088156</v>
      </c>
      <c r="V562">
        <v>9.0626039585176681</v>
      </c>
      <c r="W562">
        <v>1255.1785809879052</v>
      </c>
      <c r="X562">
        <v>6.6187566805607734</v>
      </c>
      <c r="Y562">
        <v>2846.2076792324478</v>
      </c>
      <c r="Z562">
        <v>9.0978169454141433</v>
      </c>
      <c r="AA562">
        <v>2699.9365064703916</v>
      </c>
      <c r="AB562">
        <v>6.6396007609002483</v>
      </c>
      <c r="AC562">
        <v>2167.7762192513624</v>
      </c>
      <c r="AD562">
        <v>9.0883996004616598</v>
      </c>
      <c r="AE562">
        <v>1989.1038346237949</v>
      </c>
      <c r="AF562">
        <v>6.634033234151465</v>
      </c>
      <c r="AG562">
        <v>2062.2342687310434</v>
      </c>
      <c r="AH562">
        <v>9.0799609771983274</v>
      </c>
      <c r="AI562">
        <v>1868.8778697005855</v>
      </c>
      <c r="AJ562">
        <v>6.629040002605227</v>
      </c>
    </row>
    <row r="563" spans="4:36" x14ac:dyDescent="0.45">
      <c r="D563">
        <v>556</v>
      </c>
      <c r="E563">
        <v>12.112225173883699</v>
      </c>
      <c r="F563">
        <v>0.44791172816016578</v>
      </c>
      <c r="G563">
        <v>0.17119228141735077</v>
      </c>
      <c r="H563">
        <v>17.268670816538794</v>
      </c>
      <c r="I563">
        <v>12.301329314590383</v>
      </c>
      <c r="J563">
        <v>0.29917572107019152</v>
      </c>
      <c r="K563">
        <v>0.11402540575490339</v>
      </c>
      <c r="L563">
        <v>17.285469558584531</v>
      </c>
      <c r="M563">
        <v>12.232097249532263</v>
      </c>
      <c r="N563">
        <v>0.35364926647035094</v>
      </c>
      <c r="O563">
        <v>0.13492474605167545</v>
      </c>
      <c r="P563">
        <v>17.279328737945715</v>
      </c>
      <c r="Q563">
        <v>12.164753051420005</v>
      </c>
      <c r="R563">
        <v>0.40661474204189824</v>
      </c>
      <c r="S563">
        <v>0.15528711320544333</v>
      </c>
      <c r="T563">
        <v>17.273345093332654</v>
      </c>
      <c r="U563">
        <v>1514.133964154538</v>
      </c>
      <c r="V563">
        <v>9.5033330020051263</v>
      </c>
      <c r="W563">
        <v>1268.698105223383</v>
      </c>
      <c r="X563">
        <v>6.8625853133354573</v>
      </c>
      <c r="Y563">
        <v>2886.4246458213415</v>
      </c>
      <c r="Z563">
        <v>9.5252894729557021</v>
      </c>
      <c r="AA563">
        <v>2723.2610153644655</v>
      </c>
      <c r="AB563">
        <v>6.8761089933238102</v>
      </c>
      <c r="AC563">
        <v>2213.4470455528267</v>
      </c>
      <c r="AD563">
        <v>9.5172458547918204</v>
      </c>
      <c r="AE563">
        <v>2014.1287494004266</v>
      </c>
      <c r="AF563">
        <v>6.8711610481692018</v>
      </c>
      <c r="AG563">
        <v>2105.7156694417199</v>
      </c>
      <c r="AH563">
        <v>9.5094273637257967</v>
      </c>
      <c r="AI563">
        <v>1890.3585131566651</v>
      </c>
      <c r="AJ563">
        <v>6.866344547211706</v>
      </c>
    </row>
    <row r="564" spans="4:36" x14ac:dyDescent="0.45">
      <c r="D564">
        <v>557</v>
      </c>
      <c r="E564">
        <v>11.590980166444549</v>
      </c>
      <c r="F564">
        <v>0.46696911791230067</v>
      </c>
      <c r="G564">
        <v>0.15681671179209844</v>
      </c>
      <c r="H564">
        <v>17.785234003851063</v>
      </c>
      <c r="I564">
        <v>11.776099608818127</v>
      </c>
      <c r="J564">
        <v>0.30334390266681566</v>
      </c>
      <c r="K564">
        <v>0.10159553237240823</v>
      </c>
      <c r="L564">
        <v>17.818960956142639</v>
      </c>
      <c r="M564">
        <v>11.702251049671485</v>
      </c>
      <c r="N564">
        <v>0.36863009581137518</v>
      </c>
      <c r="O564">
        <v>0.1235927650757561</v>
      </c>
      <c r="P564">
        <v>17.80552608944139</v>
      </c>
      <c r="Q564">
        <v>11.671561825695314</v>
      </c>
      <c r="R564">
        <v>0.39575631436731951</v>
      </c>
      <c r="S564">
        <v>0.13274652896441866</v>
      </c>
      <c r="T564">
        <v>17.799935330972932</v>
      </c>
      <c r="U564">
        <v>1497.3951431380153</v>
      </c>
      <c r="V564">
        <v>9.2364298918538985</v>
      </c>
      <c r="W564">
        <v>1258.1497199028238</v>
      </c>
      <c r="X564">
        <v>6.7254402346931261</v>
      </c>
      <c r="Y564">
        <v>2876.7757735120831</v>
      </c>
      <c r="Z564">
        <v>9.2535201405160574</v>
      </c>
      <c r="AA564">
        <v>2718.0759630064167</v>
      </c>
      <c r="AB564">
        <v>6.7368920691388094</v>
      </c>
      <c r="AC564">
        <v>2189.1430245721349</v>
      </c>
      <c r="AD564">
        <v>9.2466918837570198</v>
      </c>
      <c r="AE564">
        <v>1997.8350308274369</v>
      </c>
      <c r="AF564">
        <v>6.7323245222191597</v>
      </c>
      <c r="AG564">
        <v>2085.5752766556802</v>
      </c>
      <c r="AH564">
        <v>9.2438583724268888</v>
      </c>
      <c r="AI564">
        <v>1879.3421335573657</v>
      </c>
      <c r="AJ564">
        <v>6.7304260534352922</v>
      </c>
    </row>
    <row r="565" spans="4:36" x14ac:dyDescent="0.45">
      <c r="D565">
        <v>558</v>
      </c>
      <c r="E565">
        <v>12.45021957088248</v>
      </c>
      <c r="F565">
        <v>0.44540320930095556</v>
      </c>
      <c r="G565">
        <v>0.16177123095157414</v>
      </c>
      <c r="H565">
        <v>16.942605988864994</v>
      </c>
      <c r="I565">
        <v>12.647505890845096</v>
      </c>
      <c r="J565">
        <v>0.29629791750325873</v>
      </c>
      <c r="K565">
        <v>0.10730621864319094</v>
      </c>
      <c r="L565">
        <v>16.948889973008448</v>
      </c>
      <c r="M565">
        <v>12.557882702313977</v>
      </c>
      <c r="N565">
        <v>0.36405955000752943</v>
      </c>
      <c r="O565">
        <v>0.13201865583877848</v>
      </c>
      <c r="P565">
        <v>16.946039091839733</v>
      </c>
      <c r="Q565">
        <v>12.53317563332687</v>
      </c>
      <c r="R565">
        <v>0.38273226575976121</v>
      </c>
      <c r="S565">
        <v>0.13884004258930299</v>
      </c>
      <c r="T565">
        <v>16.945252058324062</v>
      </c>
      <c r="U565">
        <v>1514.8196265899917</v>
      </c>
      <c r="V565">
        <v>9.8450395669123321</v>
      </c>
      <c r="W565">
        <v>1268.1643614455054</v>
      </c>
      <c r="X565">
        <v>7.075943336898936</v>
      </c>
      <c r="Y565">
        <v>2880.5722877240719</v>
      </c>
      <c r="Z565">
        <v>9.8772510309930102</v>
      </c>
      <c r="AA565">
        <v>2718.4533482015272</v>
      </c>
      <c r="AB565">
        <v>7.0948614504295175</v>
      </c>
      <c r="AC565">
        <v>2212.6075270194074</v>
      </c>
      <c r="AD565">
        <v>9.8626162962952151</v>
      </c>
      <c r="AE565">
        <v>2011.6902399133271</v>
      </c>
      <c r="AF565">
        <v>7.0862742018124276</v>
      </c>
      <c r="AG565">
        <v>2120.6754669669781</v>
      </c>
      <c r="AH565">
        <v>9.8585823348855843</v>
      </c>
      <c r="AI565">
        <v>1901.979337607647</v>
      </c>
      <c r="AJ565">
        <v>7.083904890548153</v>
      </c>
    </row>
    <row r="566" spans="4:36" x14ac:dyDescent="0.45">
      <c r="D566">
        <v>559</v>
      </c>
      <c r="E566">
        <v>13.11927626619455</v>
      </c>
      <c r="F566">
        <v>0.42524288147070743</v>
      </c>
      <c r="G566">
        <v>0.1670024578220127</v>
      </c>
      <c r="H566">
        <v>16.288478394512733</v>
      </c>
      <c r="I566">
        <v>13.310859894875767</v>
      </c>
      <c r="J566">
        <v>0.29774715284199565</v>
      </c>
      <c r="K566">
        <v>0.11660812666777684</v>
      </c>
      <c r="L566">
        <v>16.274784825614447</v>
      </c>
      <c r="M566">
        <v>13.233913645347108</v>
      </c>
      <c r="N566">
        <v>0.34898271284116839</v>
      </c>
      <c r="O566">
        <v>0.1368255370348283</v>
      </c>
      <c r="P566">
        <v>16.28027810477689</v>
      </c>
      <c r="Q566">
        <v>13.218063812673638</v>
      </c>
      <c r="R566">
        <v>0.35953167252864637</v>
      </c>
      <c r="S566">
        <v>0.14099379164831558</v>
      </c>
      <c r="T566">
        <v>16.281410723149399</v>
      </c>
      <c r="U566">
        <v>1544.3930604147547</v>
      </c>
      <c r="V566">
        <v>10.356588316400266</v>
      </c>
      <c r="W566">
        <v>1285.580145158744</v>
      </c>
      <c r="X566">
        <v>7.3732623707220952</v>
      </c>
      <c r="Y566">
        <v>2902.0381765035931</v>
      </c>
      <c r="Z566">
        <v>10.398637461788503</v>
      </c>
      <c r="AA566">
        <v>2730.2059034664849</v>
      </c>
      <c r="AB566">
        <v>7.3969137234754569</v>
      </c>
      <c r="AC566">
        <v>2253.8496180354391</v>
      </c>
      <c r="AD566">
        <v>10.381753122566057</v>
      </c>
      <c r="AE566">
        <v>2038.024708161347</v>
      </c>
      <c r="AF566">
        <v>7.3874241068890365</v>
      </c>
      <c r="AG566">
        <v>2122.278527556231</v>
      </c>
      <c r="AH566">
        <v>10.378274528833177</v>
      </c>
      <c r="AI566">
        <v>1900.141207866305</v>
      </c>
      <c r="AJ566">
        <v>7.3854677970492215</v>
      </c>
    </row>
    <row r="567" spans="4:36" x14ac:dyDescent="0.45">
      <c r="D567">
        <v>560</v>
      </c>
      <c r="E567">
        <v>13.818928124619644</v>
      </c>
      <c r="F567">
        <v>0.50520000613590543</v>
      </c>
      <c r="G567">
        <v>0.18450868612440782</v>
      </c>
      <c r="H567">
        <v>15.49136318312004</v>
      </c>
      <c r="I567">
        <v>14.040295820068318</v>
      </c>
      <c r="J567">
        <v>0.34506017315567983</v>
      </c>
      <c r="K567">
        <v>0.12566020518233068</v>
      </c>
      <c r="L567">
        <v>15.488983801593658</v>
      </c>
      <c r="M567">
        <v>13.93537496264109</v>
      </c>
      <c r="N567">
        <v>0.42099513372177377</v>
      </c>
      <c r="O567">
        <v>0.15352199742065104</v>
      </c>
      <c r="P567">
        <v>15.490107906216487</v>
      </c>
      <c r="Q567">
        <v>13.889078664205478</v>
      </c>
      <c r="R567">
        <v>0.45448194669055925</v>
      </c>
      <c r="S567">
        <v>0.16583339131132313</v>
      </c>
      <c r="T567">
        <v>15.490605997792636</v>
      </c>
      <c r="U567">
        <v>1647.0632679401756</v>
      </c>
      <c r="V567">
        <v>10.929138097095731</v>
      </c>
      <c r="W567">
        <v>1343.5043178818498</v>
      </c>
      <c r="X567">
        <v>7.6971639974323649</v>
      </c>
      <c r="Y567">
        <v>2980.3854024559014</v>
      </c>
      <c r="Z567">
        <v>10.97362451983463</v>
      </c>
      <c r="AA567">
        <v>2776.1922330870998</v>
      </c>
      <c r="AB567">
        <v>7.7222496580019362</v>
      </c>
      <c r="AC567">
        <v>2317.3274166682186</v>
      </c>
      <c r="AD567">
        <v>10.952541814736438</v>
      </c>
      <c r="AE567">
        <v>2070.1886706304253</v>
      </c>
      <c r="AF567">
        <v>7.7103702051365017</v>
      </c>
      <c r="AG567">
        <v>2247.9794463088592</v>
      </c>
      <c r="AH567">
        <v>10.943237725348348</v>
      </c>
      <c r="AI567">
        <v>1974.3568160635509</v>
      </c>
      <c r="AJ567">
        <v>7.7051225110098986</v>
      </c>
    </row>
    <row r="568" spans="4:36" x14ac:dyDescent="0.45">
      <c r="D568">
        <v>561</v>
      </c>
      <c r="E568">
        <v>13.343802101727675</v>
      </c>
      <c r="F568">
        <v>0.49528563230262684</v>
      </c>
      <c r="G568">
        <v>0.17416759325231632</v>
      </c>
      <c r="H568">
        <v>15.986744672717389</v>
      </c>
      <c r="I568">
        <v>13.559125755184075</v>
      </c>
      <c r="J568">
        <v>0.33419687480394566</v>
      </c>
      <c r="K568">
        <v>0.11718765159754096</v>
      </c>
      <c r="L568">
        <v>15.98948971841444</v>
      </c>
      <c r="M568">
        <v>13.436262821009757</v>
      </c>
      <c r="N568">
        <v>0.4261437416485277</v>
      </c>
      <c r="O568">
        <v>0.14967064054788864</v>
      </c>
      <c r="P568">
        <v>15.98792279679382</v>
      </c>
      <c r="Q568">
        <v>13.388322446569113</v>
      </c>
      <c r="R568">
        <v>0.46199913558115874</v>
      </c>
      <c r="S568">
        <v>0.16236658786953001</v>
      </c>
      <c r="T568">
        <v>15.987311829980179</v>
      </c>
      <c r="U568">
        <v>1591.6709143913995</v>
      </c>
      <c r="V568">
        <v>10.556182503310195</v>
      </c>
      <c r="W568">
        <v>1313.0271731299608</v>
      </c>
      <c r="X568">
        <v>7.4842485439237967</v>
      </c>
      <c r="Y568">
        <v>2940.8235656962188</v>
      </c>
      <c r="Z568">
        <v>10.594918068996442</v>
      </c>
      <c r="AA568">
        <v>2754.4323969502434</v>
      </c>
      <c r="AB568">
        <v>7.5063855288855725</v>
      </c>
      <c r="AC568">
        <v>2262.6321192383043</v>
      </c>
      <c r="AD568">
        <v>10.572816451853743</v>
      </c>
      <c r="AE568">
        <v>2037.6546324782178</v>
      </c>
      <c r="AF568">
        <v>7.4937629512025001</v>
      </c>
      <c r="AG568">
        <v>2204.8812003396833</v>
      </c>
      <c r="AH568">
        <v>10.564191985831265</v>
      </c>
      <c r="AI568">
        <v>1950.5865557769362</v>
      </c>
      <c r="AJ568">
        <v>7.4888314322278822</v>
      </c>
    </row>
    <row r="569" spans="4:36" x14ac:dyDescent="0.45">
      <c r="D569">
        <v>562</v>
      </c>
      <c r="E569">
        <v>10.629036213416512</v>
      </c>
      <c r="F569">
        <v>0.40743246318925319</v>
      </c>
      <c r="G569">
        <v>0.15159487752461878</v>
      </c>
      <c r="H569">
        <v>18.811936445869613</v>
      </c>
      <c r="I569">
        <v>10.77140064129747</v>
      </c>
      <c r="J569">
        <v>0.28000337989944929</v>
      </c>
      <c r="K569">
        <v>0.10394138629445447</v>
      </c>
      <c r="L569">
        <v>18.844654592508618</v>
      </c>
      <c r="M569">
        <v>10.705301470115186</v>
      </c>
      <c r="N569">
        <v>0.33917528371928657</v>
      </c>
      <c r="O569">
        <v>0.12604166835499758</v>
      </c>
      <c r="P569">
        <v>18.829481577810533</v>
      </c>
      <c r="Q569">
        <v>10.666416661094271</v>
      </c>
      <c r="R569">
        <v>0.37397914247892949</v>
      </c>
      <c r="S569">
        <v>0.13906304898373456</v>
      </c>
      <c r="T569">
        <v>18.820541147443056</v>
      </c>
      <c r="U569">
        <v>1444.0253039382162</v>
      </c>
      <c r="V569">
        <v>8.4239584088137711</v>
      </c>
      <c r="W569">
        <v>1228.5468614229449</v>
      </c>
      <c r="X569">
        <v>6.2374382743182517</v>
      </c>
      <c r="Y569">
        <v>2855.035351764212</v>
      </c>
      <c r="Z569">
        <v>8.431964342496773</v>
      </c>
      <c r="AA569">
        <v>2707.2353878887275</v>
      </c>
      <c r="AB569">
        <v>6.2439339597984445</v>
      </c>
      <c r="AC569">
        <v>2150.4178686460559</v>
      </c>
      <c r="AD569">
        <v>8.4282365328494251</v>
      </c>
      <c r="AE569">
        <v>1975.5119885249183</v>
      </c>
      <c r="AF569">
        <v>6.2409166975782471</v>
      </c>
      <c r="AG569">
        <v>2056.8926161216814</v>
      </c>
      <c r="AH569">
        <v>8.4260521804778392</v>
      </c>
      <c r="AI569">
        <v>1864.1038886676836</v>
      </c>
      <c r="AJ569">
        <v>6.2391427903319601</v>
      </c>
    </row>
    <row r="570" spans="4:36" x14ac:dyDescent="0.45">
      <c r="D570">
        <v>563</v>
      </c>
      <c r="E570">
        <v>11.699057806418732</v>
      </c>
      <c r="F570">
        <v>0.43404414601309887</v>
      </c>
      <c r="G570">
        <v>0.18125155931286444</v>
      </c>
      <c r="H570">
        <v>17.685646488255301</v>
      </c>
      <c r="I570">
        <v>11.898311966163105</v>
      </c>
      <c r="J570">
        <v>0.27615967330400387</v>
      </c>
      <c r="K570">
        <v>0.11496697812768208</v>
      </c>
      <c r="L570">
        <v>17.710561382405203</v>
      </c>
      <c r="M570">
        <v>11.803780783525085</v>
      </c>
      <c r="N570">
        <v>0.35108839212471765</v>
      </c>
      <c r="O570">
        <v>0.14637280928859664</v>
      </c>
      <c r="P570">
        <v>17.698758015061593</v>
      </c>
      <c r="Q570">
        <v>11.771085796198131</v>
      </c>
      <c r="R570">
        <v>0.37699337588667103</v>
      </c>
      <c r="S570">
        <v>0.15725225340150109</v>
      </c>
      <c r="T570">
        <v>17.694668574513702</v>
      </c>
      <c r="U570">
        <v>1484.6000700080692</v>
      </c>
      <c r="V570">
        <v>9.2933973053015482</v>
      </c>
      <c r="W570">
        <v>1251.9237549271659</v>
      </c>
      <c r="X570">
        <v>6.7558924098256323</v>
      </c>
      <c r="Y570">
        <v>2849.6820514997689</v>
      </c>
      <c r="Z570">
        <v>9.316494252326958</v>
      </c>
      <c r="AA570">
        <v>2700.7475380365172</v>
      </c>
      <c r="AB570">
        <v>6.7706151204101692</v>
      </c>
      <c r="AC570">
        <v>2177.3080481910347</v>
      </c>
      <c r="AD570">
        <v>9.3055266584867891</v>
      </c>
      <c r="AE570">
        <v>1990.947681455222</v>
      </c>
      <c r="AF570">
        <v>6.763633344831109</v>
      </c>
      <c r="AG570">
        <v>2071.7811005114327</v>
      </c>
      <c r="AH570">
        <v>9.3017374710461773</v>
      </c>
      <c r="AI570">
        <v>1871.1485556135506</v>
      </c>
      <c r="AJ570">
        <v>6.7612173203461285</v>
      </c>
    </row>
    <row r="571" spans="4:36" x14ac:dyDescent="0.45">
      <c r="D571">
        <v>564</v>
      </c>
      <c r="E571">
        <v>12.807729491607622</v>
      </c>
      <c r="F571">
        <v>0.39971258274051058</v>
      </c>
      <c r="G571">
        <v>0.15372894793070616</v>
      </c>
      <c r="H571">
        <v>16.638828977721147</v>
      </c>
      <c r="I571">
        <v>13.005775489933081</v>
      </c>
      <c r="J571">
        <v>0.27087225197732651</v>
      </c>
      <c r="K571">
        <v>0.10386987623712218</v>
      </c>
      <c r="L571">
        <v>16.619482381852485</v>
      </c>
      <c r="M571">
        <v>12.898999241883899</v>
      </c>
      <c r="N571">
        <v>0.34036990765722441</v>
      </c>
      <c r="O571">
        <v>0.13072715261210513</v>
      </c>
      <c r="P571">
        <v>16.629903697846771</v>
      </c>
      <c r="Q571">
        <v>12.867998009544134</v>
      </c>
      <c r="R571">
        <v>0.36053306157225729</v>
      </c>
      <c r="S571">
        <v>0.13853542305704847</v>
      </c>
      <c r="T571">
        <v>16.632933505826561</v>
      </c>
      <c r="U571">
        <v>1549.3888252757231</v>
      </c>
      <c r="V571">
        <v>10.136575344880557</v>
      </c>
      <c r="W571">
        <v>1294.3038784283128</v>
      </c>
      <c r="X571">
        <v>7.2543320720367905</v>
      </c>
      <c r="Y571">
        <v>2922.8821916169477</v>
      </c>
      <c r="Z571">
        <v>10.186039799584668</v>
      </c>
      <c r="AA571">
        <v>2749.2958446877328</v>
      </c>
      <c r="AB571">
        <v>7.2822399748717066</v>
      </c>
      <c r="AC571">
        <v>2241.0553338199061</v>
      </c>
      <c r="AD571">
        <v>10.159376435965056</v>
      </c>
      <c r="AE571">
        <v>2032.1585664485915</v>
      </c>
      <c r="AF571">
        <v>7.2672060193895831</v>
      </c>
      <c r="AG571">
        <v>2130.9177866257896</v>
      </c>
      <c r="AH571">
        <v>10.151632707787389</v>
      </c>
      <c r="AI571">
        <v>1909.0708774427474</v>
      </c>
      <c r="AJ571">
        <v>7.2628355988110123</v>
      </c>
    </row>
    <row r="572" spans="4:36" x14ac:dyDescent="0.45">
      <c r="D572">
        <v>565</v>
      </c>
      <c r="E572">
        <v>12.429458530512829</v>
      </c>
      <c r="F572">
        <v>0.43805792613415562</v>
      </c>
      <c r="G572">
        <v>0.17275508425581457</v>
      </c>
      <c r="H572">
        <v>16.959728459097217</v>
      </c>
      <c r="I572">
        <v>12.639947745272121</v>
      </c>
      <c r="J572">
        <v>0.28707884648559617</v>
      </c>
      <c r="K572">
        <v>0.11285540010482843</v>
      </c>
      <c r="L572">
        <v>16.960118008137446</v>
      </c>
      <c r="M572">
        <v>12.557432508803872</v>
      </c>
      <c r="N572">
        <v>0.34629710657003149</v>
      </c>
      <c r="O572">
        <v>0.13630380708382372</v>
      </c>
      <c r="P572">
        <v>16.959966577542254</v>
      </c>
      <c r="Q572">
        <v>12.515101636983632</v>
      </c>
      <c r="R572">
        <v>0.37666051924489313</v>
      </c>
      <c r="S572">
        <v>0.14834958846724358</v>
      </c>
      <c r="T572">
        <v>16.959888255304236</v>
      </c>
      <c r="U572">
        <v>1525.6882203999517</v>
      </c>
      <c r="V572">
        <v>9.8311825555992254</v>
      </c>
      <c r="W572">
        <v>1272.2713171654432</v>
      </c>
      <c r="X572">
        <v>7.0680186747324107</v>
      </c>
      <c r="Y572">
        <v>2897.6742847610094</v>
      </c>
      <c r="Z572">
        <v>9.8686679904170376</v>
      </c>
      <c r="AA572">
        <v>2728.6679965774006</v>
      </c>
      <c r="AB572">
        <v>7.089889480675593</v>
      </c>
      <c r="AC572">
        <v>2239.5876427602648</v>
      </c>
      <c r="AD572">
        <v>9.8539722044155411</v>
      </c>
      <c r="AE572">
        <v>2029.1227533641895</v>
      </c>
      <c r="AF572">
        <v>7.0813243438391655</v>
      </c>
      <c r="AG572">
        <v>2154.1194199999541</v>
      </c>
      <c r="AH572">
        <v>9.8464336051386265</v>
      </c>
      <c r="AI572">
        <v>1922.9156181246856</v>
      </c>
      <c r="AJ572">
        <v>7.0769260947357724</v>
      </c>
    </row>
    <row r="573" spans="4:36" x14ac:dyDescent="0.45">
      <c r="D573">
        <v>566</v>
      </c>
      <c r="E573">
        <v>11.398306428221314</v>
      </c>
      <c r="F573">
        <v>0.4436721701455546</v>
      </c>
      <c r="G573">
        <v>0.17947906311638864</v>
      </c>
      <c r="H573">
        <v>17.978542338516743</v>
      </c>
      <c r="I573">
        <v>11.626826276850782</v>
      </c>
      <c r="J573">
        <v>0.26183971597901406</v>
      </c>
      <c r="K573">
        <v>0.1055261009869313</v>
      </c>
      <c r="L573">
        <v>18.005807906183264</v>
      </c>
      <c r="M573">
        <v>11.55343905466394</v>
      </c>
      <c r="N573">
        <v>0.3202616600500669</v>
      </c>
      <c r="O573">
        <v>0.12922574593624181</v>
      </c>
      <c r="P573">
        <v>17.997073539349756</v>
      </c>
      <c r="Q573">
        <v>11.506889452781284</v>
      </c>
      <c r="R573">
        <v>0.3573051022132388</v>
      </c>
      <c r="S573">
        <v>0.14428273560231628</v>
      </c>
      <c r="T573">
        <v>17.991522709403167</v>
      </c>
      <c r="U573">
        <v>1500.7723146311268</v>
      </c>
      <c r="V573">
        <v>9.0600396556003169</v>
      </c>
      <c r="W573">
        <v>1261.7466064342227</v>
      </c>
      <c r="X573">
        <v>6.6171334344136943</v>
      </c>
      <c r="Y573">
        <v>2872.9819893021568</v>
      </c>
      <c r="Z573">
        <v>9.0857376025981722</v>
      </c>
      <c r="AA573">
        <v>2718.3446904851917</v>
      </c>
      <c r="AB573">
        <v>6.6337195417509767</v>
      </c>
      <c r="AC573">
        <v>2167.9788281745105</v>
      </c>
      <c r="AD573">
        <v>9.0774724290821638</v>
      </c>
      <c r="AE573">
        <v>1985.8013614185188</v>
      </c>
      <c r="AF573">
        <v>6.6283963270841957</v>
      </c>
      <c r="AG573">
        <v>2076.67092218568</v>
      </c>
      <c r="AH573">
        <v>9.0722359179044787</v>
      </c>
      <c r="AI573">
        <v>1875.3858365052849</v>
      </c>
      <c r="AJ573">
        <v>6.6250182101431383</v>
      </c>
    </row>
    <row r="574" spans="4:36" x14ac:dyDescent="0.45">
      <c r="D574">
        <v>567</v>
      </c>
      <c r="E574">
        <v>12.918353871908126</v>
      </c>
      <c r="F574">
        <v>0.43323111327760228</v>
      </c>
      <c r="G574">
        <v>0.15939614316742026</v>
      </c>
      <c r="H574">
        <v>16.489018871646842</v>
      </c>
      <c r="I574">
        <v>13.146817660910413</v>
      </c>
      <c r="J574">
        <v>0.27617027273755312</v>
      </c>
      <c r="K574">
        <v>0.10127127704787549</v>
      </c>
      <c r="L574">
        <v>16.475740789304155</v>
      </c>
      <c r="M574">
        <v>13.044155919231361</v>
      </c>
      <c r="N574">
        <v>0.34678765008287615</v>
      </c>
      <c r="O574">
        <v>0.12735657755317523</v>
      </c>
      <c r="P574">
        <v>16.481699853132589</v>
      </c>
      <c r="Q574">
        <v>12.975794752531764</v>
      </c>
      <c r="R574">
        <v>0.3937738077185739</v>
      </c>
      <c r="S574">
        <v>0.14475671617635413</v>
      </c>
      <c r="T574">
        <v>16.485674723573311</v>
      </c>
      <c r="U574">
        <v>1529.1327960362291</v>
      </c>
      <c r="V574">
        <v>10.201172923835832</v>
      </c>
      <c r="W574">
        <v>1278.0931932211172</v>
      </c>
      <c r="X574">
        <v>7.2838053043021747</v>
      </c>
      <c r="Y574">
        <v>2898.5059089516594</v>
      </c>
      <c r="Z574">
        <v>10.25022290222249</v>
      </c>
      <c r="AA574">
        <v>2731.9255482086073</v>
      </c>
      <c r="AB574">
        <v>7.3115896643648002</v>
      </c>
      <c r="AC574">
        <v>2219.3146777461875</v>
      </c>
      <c r="AD574">
        <v>10.228186538421504</v>
      </c>
      <c r="AE574">
        <v>2016.7154531826632</v>
      </c>
      <c r="AF574">
        <v>7.2991181852845939</v>
      </c>
      <c r="AG574">
        <v>2094.1135416306433</v>
      </c>
      <c r="AH574">
        <v>10.213508667544916</v>
      </c>
      <c r="AI574">
        <v>1880.9780167030558</v>
      </c>
      <c r="AJ574">
        <v>7.2908012946958829</v>
      </c>
    </row>
    <row r="575" spans="4:36" x14ac:dyDescent="0.45">
      <c r="D575">
        <v>568</v>
      </c>
      <c r="E575">
        <v>13.577838235815907</v>
      </c>
      <c r="F575">
        <v>0.49701279972220802</v>
      </c>
      <c r="G575">
        <v>0.19563385135136505</v>
      </c>
      <c r="H575">
        <v>15.729515113110512</v>
      </c>
      <c r="I575">
        <v>13.841186986957684</v>
      </c>
      <c r="J575">
        <v>0.31743282393317968</v>
      </c>
      <c r="K575">
        <v>0.12447916574621913</v>
      </c>
      <c r="L575">
        <v>15.716901023362928</v>
      </c>
      <c r="M575">
        <v>13.767221574702633</v>
      </c>
      <c r="N575">
        <v>0.36791416797662108</v>
      </c>
      <c r="O575">
        <v>0.14442650198680201</v>
      </c>
      <c r="P575">
        <v>15.720437755333942</v>
      </c>
      <c r="Q575">
        <v>13.701135816262761</v>
      </c>
      <c r="R575">
        <v>0.41298894158532007</v>
      </c>
      <c r="S575">
        <v>0.16227349951200223</v>
      </c>
      <c r="T575">
        <v>15.723601742639936</v>
      </c>
      <c r="U575">
        <v>1686.7076946697675</v>
      </c>
      <c r="V575">
        <v>10.796130761150035</v>
      </c>
      <c r="W575">
        <v>1374.0484142098833</v>
      </c>
      <c r="X575">
        <v>7.6294855237282553</v>
      </c>
      <c r="Y575">
        <v>2943.2062734410561</v>
      </c>
      <c r="Z575">
        <v>10.856592344923593</v>
      </c>
      <c r="AA575">
        <v>2753.1129188628665</v>
      </c>
      <c r="AB575">
        <v>7.6636343365603192</v>
      </c>
      <c r="AC575">
        <v>2261.0598808500445</v>
      </c>
      <c r="AD575">
        <v>10.839613919339694</v>
      </c>
      <c r="AE575">
        <v>2035.808326173767</v>
      </c>
      <c r="AF575">
        <v>7.6540570075155037</v>
      </c>
      <c r="AG575">
        <v>2203.3450357522306</v>
      </c>
      <c r="AH575">
        <v>10.824442186586648</v>
      </c>
      <c r="AI575">
        <v>1947.4261330956751</v>
      </c>
      <c r="AJ575">
        <v>7.6454908486290885</v>
      </c>
    </row>
    <row r="576" spans="4:36" x14ac:dyDescent="0.45">
      <c r="D576">
        <v>569</v>
      </c>
      <c r="E576">
        <v>12.644208949852954</v>
      </c>
      <c r="F576">
        <v>0.4459426021938252</v>
      </c>
      <c r="G576">
        <v>0.17857699955711293</v>
      </c>
      <c r="H576">
        <v>16.731271448396114</v>
      </c>
      <c r="I576">
        <v>12.871212802156466</v>
      </c>
      <c r="J576">
        <v>0.28919875488432756</v>
      </c>
      <c r="K576">
        <v>0.11541599674618364</v>
      </c>
      <c r="L576">
        <v>16.724172446213025</v>
      </c>
      <c r="M576">
        <v>12.803417203067495</v>
      </c>
      <c r="N576">
        <v>0.33604542902030915</v>
      </c>
      <c r="O576">
        <v>0.1342475574226589</v>
      </c>
      <c r="P576">
        <v>16.726289810489526</v>
      </c>
      <c r="Q576">
        <v>12.75291056162826</v>
      </c>
      <c r="R576">
        <v>0.37092642837858675</v>
      </c>
      <c r="S576">
        <v>0.1482942626518092</v>
      </c>
      <c r="T576">
        <v>16.727868747341343</v>
      </c>
      <c r="U576">
        <v>1519.6885286191302</v>
      </c>
      <c r="V576">
        <v>10.09068595514905</v>
      </c>
      <c r="W576">
        <v>1272.6986559244722</v>
      </c>
      <c r="X576">
        <v>7.2309588525140951</v>
      </c>
      <c r="Y576">
        <v>2899.4702102588358</v>
      </c>
      <c r="Z576">
        <v>10.136372713083455</v>
      </c>
      <c r="AA576">
        <v>2733.194322107156</v>
      </c>
      <c r="AB576">
        <v>7.2572004566404971</v>
      </c>
      <c r="AC576">
        <v>2184.3295030264717</v>
      </c>
      <c r="AD576">
        <v>10.122729741229508</v>
      </c>
      <c r="AE576">
        <v>1994.0837315058334</v>
      </c>
      <c r="AF576">
        <v>7.2493736796847452</v>
      </c>
      <c r="AG576">
        <v>2138.4465396442347</v>
      </c>
      <c r="AH576">
        <v>10.112565084243959</v>
      </c>
      <c r="AI576">
        <v>1916.4047199427373</v>
      </c>
      <c r="AJ576">
        <v>7.2435371368667401</v>
      </c>
    </row>
    <row r="577" spans="4:36" x14ac:dyDescent="0.45">
      <c r="D577">
        <v>570</v>
      </c>
      <c r="E577">
        <v>14.105586086152329</v>
      </c>
      <c r="F577">
        <v>0.47527027083893264</v>
      </c>
      <c r="G577">
        <v>0.19397034288141535</v>
      </c>
      <c r="H577">
        <v>15.225173300127313</v>
      </c>
      <c r="I577">
        <v>14.366980977598248</v>
      </c>
      <c r="J577">
        <v>0.30826725030625551</v>
      </c>
      <c r="K577">
        <v>0.12535615320316731</v>
      </c>
      <c r="L577">
        <v>15.199395618892341</v>
      </c>
      <c r="M577">
        <v>14.237912723888636</v>
      </c>
      <c r="N577">
        <v>0.39078437964887774</v>
      </c>
      <c r="O577">
        <v>0.15919547218724403</v>
      </c>
      <c r="P577">
        <v>15.212107424275235</v>
      </c>
      <c r="Q577">
        <v>14.227850469968681</v>
      </c>
      <c r="R577">
        <v>0.39721286195852973</v>
      </c>
      <c r="S577">
        <v>0.16183688587823694</v>
      </c>
      <c r="T577">
        <v>15.213099782194563</v>
      </c>
      <c r="U577">
        <v>1626.6525827734372</v>
      </c>
      <c r="V577">
        <v>11.200390475723081</v>
      </c>
      <c r="W577">
        <v>1331.4746661798654</v>
      </c>
      <c r="X577">
        <v>7.8615584873486748</v>
      </c>
      <c r="Y577">
        <v>2973.3917789333527</v>
      </c>
      <c r="Z577">
        <v>11.268565378783835</v>
      </c>
      <c r="AA577">
        <v>2774.1073528476059</v>
      </c>
      <c r="AB577">
        <v>7.8993854067069504</v>
      </c>
      <c r="AC577">
        <v>2316.5002113202868</v>
      </c>
      <c r="AD577">
        <v>11.234911441805441</v>
      </c>
      <c r="AE577">
        <v>2072.0086151152482</v>
      </c>
      <c r="AF577">
        <v>7.8807271929354252</v>
      </c>
      <c r="AG577">
        <v>2171.3714372689215</v>
      </c>
      <c r="AH577">
        <v>11.232287054473101</v>
      </c>
      <c r="AI577">
        <v>1924.6716329523181</v>
      </c>
      <c r="AJ577">
        <v>7.879270996139911</v>
      </c>
    </row>
    <row r="578" spans="4:36" x14ac:dyDescent="0.45">
      <c r="D578">
        <v>571</v>
      </c>
      <c r="E578">
        <v>12.613829691181325</v>
      </c>
      <c r="F578">
        <v>0.48916952820285303</v>
      </c>
      <c r="G578">
        <v>0.15805172788152994</v>
      </c>
      <c r="H578">
        <v>16.738949052734284</v>
      </c>
      <c r="I578">
        <v>12.852339038743642</v>
      </c>
      <c r="J578">
        <v>0.30630466246873606</v>
      </c>
      <c r="K578">
        <v>9.8638267006590882E-2</v>
      </c>
      <c r="L578">
        <v>16.742718031781024</v>
      </c>
      <c r="M578">
        <v>12.766603286715128</v>
      </c>
      <c r="N578">
        <v>0.372072041807607</v>
      </c>
      <c r="O578">
        <v>0.11996009588772154</v>
      </c>
      <c r="P578">
        <v>16.74136457558955</v>
      </c>
      <c r="Q578">
        <v>12.675646061396659</v>
      </c>
      <c r="R578">
        <v>0.44180331910266296</v>
      </c>
      <c r="S578">
        <v>0.14262359396237237</v>
      </c>
      <c r="T578">
        <v>16.739927025538293</v>
      </c>
      <c r="U578">
        <v>1566.7145621521815</v>
      </c>
      <c r="V578">
        <v>10.067349988920673</v>
      </c>
      <c r="W578">
        <v>1300.5524485433209</v>
      </c>
      <c r="X578">
        <v>7.2153144258441646</v>
      </c>
      <c r="Y578">
        <v>2916.5028713840197</v>
      </c>
      <c r="Z578">
        <v>10.109445273187879</v>
      </c>
      <c r="AA578">
        <v>2742.3867008874195</v>
      </c>
      <c r="AB578">
        <v>7.239713067204022</v>
      </c>
      <c r="AC578">
        <v>2249.7046250408907</v>
      </c>
      <c r="AD578">
        <v>10.094313479806758</v>
      </c>
      <c r="AE578">
        <v>2036.3618595526045</v>
      </c>
      <c r="AF578">
        <v>7.2309531618648473</v>
      </c>
      <c r="AG578">
        <v>2142.2783201783336</v>
      </c>
      <c r="AH578">
        <v>10.07826014858701</v>
      </c>
      <c r="AI578">
        <v>1911.5065838601845</v>
      </c>
      <c r="AJ578">
        <v>7.2216468524948265</v>
      </c>
    </row>
    <row r="579" spans="4:36" x14ac:dyDescent="0.45">
      <c r="D579">
        <v>572</v>
      </c>
      <c r="E579">
        <v>12.908089652185398</v>
      </c>
      <c r="F579">
        <v>0.4695254213701483</v>
      </c>
      <c r="G579">
        <v>0.17696241783904257</v>
      </c>
      <c r="H579">
        <v>16.445422508605414</v>
      </c>
      <c r="I579">
        <v>13.147782160362652</v>
      </c>
      <c r="J579">
        <v>0.2919936842389661</v>
      </c>
      <c r="K579">
        <v>0.10967346471565273</v>
      </c>
      <c r="L579">
        <v>16.450550690682721</v>
      </c>
      <c r="M579">
        <v>13.034400512352963</v>
      </c>
      <c r="N579">
        <v>0.37601112946422049</v>
      </c>
      <c r="O579">
        <v>0.14145964037138919</v>
      </c>
      <c r="P579">
        <v>16.448128717811414</v>
      </c>
      <c r="Q579">
        <v>12.97278800595871</v>
      </c>
      <c r="R579">
        <v>0.42163708540821299</v>
      </c>
      <c r="S579">
        <v>0.15876517102432261</v>
      </c>
      <c r="T579">
        <v>16.446809737608742</v>
      </c>
      <c r="U579">
        <v>1573.6259795337171</v>
      </c>
      <c r="V579">
        <v>10.353923624694676</v>
      </c>
      <c r="W579">
        <v>1302.3233755619399</v>
      </c>
      <c r="X579">
        <v>7.3886490929747657</v>
      </c>
      <c r="Y579">
        <v>2920.0861575696786</v>
      </c>
      <c r="Z579">
        <v>10.397861228303274</v>
      </c>
      <c r="AA579">
        <v>2743.0889698804854</v>
      </c>
      <c r="AB579">
        <v>7.4142393621179039</v>
      </c>
      <c r="AC579">
        <v>2222.3617607913957</v>
      </c>
      <c r="AD579">
        <v>10.377074852650544</v>
      </c>
      <c r="AE579">
        <v>2012.7166073256817</v>
      </c>
      <c r="AF579">
        <v>7.4021451353792509</v>
      </c>
      <c r="AG579">
        <v>2185.6570846229679</v>
      </c>
      <c r="AH579">
        <v>10.365781312170165</v>
      </c>
      <c r="AI579">
        <v>1940.1003630889454</v>
      </c>
      <c r="AJ579">
        <v>7.3955649822561202</v>
      </c>
    </row>
    <row r="580" spans="4:36" x14ac:dyDescent="0.45">
      <c r="D580">
        <v>573</v>
      </c>
      <c r="E580">
        <v>13.240979332916391</v>
      </c>
      <c r="F580">
        <v>0.5006520150642908</v>
      </c>
      <c r="G580">
        <v>0.18798277845352029</v>
      </c>
      <c r="H580">
        <v>16.070385873565794</v>
      </c>
      <c r="I580">
        <v>13.463822902579871</v>
      </c>
      <c r="J580">
        <v>0.33758420923988336</v>
      </c>
      <c r="K580">
        <v>0.12635719044653593</v>
      </c>
      <c r="L580">
        <v>16.072235697733724</v>
      </c>
      <c r="M580">
        <v>13.383096551176779</v>
      </c>
      <c r="N580">
        <v>0.39668858304936139</v>
      </c>
      <c r="O580">
        <v>0.14864815364879488</v>
      </c>
      <c r="P580">
        <v>16.071566712125069</v>
      </c>
      <c r="Q580">
        <v>13.335533057347435</v>
      </c>
      <c r="R580">
        <v>0.43149550049118068</v>
      </c>
      <c r="S580">
        <v>0.16179948802476257</v>
      </c>
      <c r="T580">
        <v>16.071171954136638</v>
      </c>
      <c r="U580">
        <v>1615.1138148413254</v>
      </c>
      <c r="V580">
        <v>10.490252726005643</v>
      </c>
      <c r="W580">
        <v>1329.2748907116195</v>
      </c>
      <c r="X580">
        <v>7.4457451030003421</v>
      </c>
      <c r="Y580">
        <v>2936.2900086656923</v>
      </c>
      <c r="Z580">
        <v>10.529156360863267</v>
      </c>
      <c r="AA580">
        <v>2750.8220540995876</v>
      </c>
      <c r="AB580">
        <v>7.4681299292239789</v>
      </c>
      <c r="AC580">
        <v>2247.1069240540364</v>
      </c>
      <c r="AD580">
        <v>10.515062765601625</v>
      </c>
      <c r="AE580">
        <v>2028.5910316786674</v>
      </c>
      <c r="AF580">
        <v>7.460029146002408</v>
      </c>
      <c r="AG580">
        <v>2172.8020808706228</v>
      </c>
      <c r="AH580">
        <v>10.506759183766297</v>
      </c>
      <c r="AI580">
        <v>1929.7687012630445</v>
      </c>
      <c r="AJ580">
        <v>7.4552518438230715</v>
      </c>
    </row>
    <row r="581" spans="4:36" x14ac:dyDescent="0.45">
      <c r="D581">
        <v>574</v>
      </c>
      <c r="E581">
        <v>13.437503589719254</v>
      </c>
      <c r="F581">
        <v>0.53222080820860496</v>
      </c>
      <c r="G581">
        <v>0.16785759101650843</v>
      </c>
      <c r="H581">
        <v>15.862418011055631</v>
      </c>
      <c r="I581">
        <v>13.713629893937906</v>
      </c>
      <c r="J581">
        <v>0.32551326115461904</v>
      </c>
      <c r="K581">
        <v>0.10230867465362437</v>
      </c>
      <c r="L581">
        <v>15.85854817025386</v>
      </c>
      <c r="M581">
        <v>13.60525870864376</v>
      </c>
      <c r="N581">
        <v>0.40668756500877012</v>
      </c>
      <c r="O581">
        <v>0.12799483417341473</v>
      </c>
      <c r="P581">
        <v>15.860058892174054</v>
      </c>
      <c r="Q581">
        <v>13.521009779651118</v>
      </c>
      <c r="R581">
        <v>0.46975073780708976</v>
      </c>
      <c r="S581">
        <v>0.1479989595037508</v>
      </c>
      <c r="T581">
        <v>15.861240523038049</v>
      </c>
      <c r="U581">
        <v>1628.1086443383501</v>
      </c>
      <c r="V581">
        <v>10.585157762908651</v>
      </c>
      <c r="W581">
        <v>1334.3040334309833</v>
      </c>
      <c r="X581">
        <v>7.4923975073385938</v>
      </c>
      <c r="Y581">
        <v>2945.226934980717</v>
      </c>
      <c r="Z581">
        <v>10.636939595292024</v>
      </c>
      <c r="AA581">
        <v>2756.8839695592928</v>
      </c>
      <c r="AB581">
        <v>7.5216850762331218</v>
      </c>
      <c r="AC581">
        <v>2251.8239912412373</v>
      </c>
      <c r="AD581">
        <v>10.616621020546624</v>
      </c>
      <c r="AE581">
        <v>2029.7711188461083</v>
      </c>
      <c r="AF581">
        <v>7.5102057829777475</v>
      </c>
      <c r="AG581">
        <v>2213.4357046785994</v>
      </c>
      <c r="AH581">
        <v>10.600821387666898</v>
      </c>
      <c r="AI581">
        <v>1954.2676473630754</v>
      </c>
      <c r="AJ581">
        <v>7.5012681494097908</v>
      </c>
    </row>
    <row r="582" spans="4:36" x14ac:dyDescent="0.45">
      <c r="D582">
        <v>575</v>
      </c>
      <c r="E582">
        <v>13.428838685853675</v>
      </c>
      <c r="F582">
        <v>0.55733939461327164</v>
      </c>
      <c r="G582">
        <v>0.21057825378032968</v>
      </c>
      <c r="H582">
        <v>15.803243665752714</v>
      </c>
      <c r="I582">
        <v>13.715257290304663</v>
      </c>
      <c r="J582">
        <v>0.338894424377021</v>
      </c>
      <c r="K582">
        <v>0.12754361729615232</v>
      </c>
      <c r="L582">
        <v>15.818304668022172</v>
      </c>
      <c r="M582">
        <v>13.605446322939615</v>
      </c>
      <c r="N582">
        <v>0.42269356303250688</v>
      </c>
      <c r="O582">
        <v>0.15931911907584276</v>
      </c>
      <c r="P582">
        <v>15.812540994952039</v>
      </c>
      <c r="Q582">
        <v>13.572920345578115</v>
      </c>
      <c r="R582">
        <v>0.44750325215506581</v>
      </c>
      <c r="S582">
        <v>0.16874512669226496</v>
      </c>
      <c r="T582">
        <v>15.810831275574557</v>
      </c>
      <c r="U582">
        <v>1594.4875323814749</v>
      </c>
      <c r="V582">
        <v>10.727032061242868</v>
      </c>
      <c r="W582">
        <v>1310.3053053591741</v>
      </c>
      <c r="X582">
        <v>7.5864930567921602</v>
      </c>
      <c r="Y582">
        <v>2936.9954973917438</v>
      </c>
      <c r="Z582">
        <v>10.771258324085141</v>
      </c>
      <c r="AA582">
        <v>2751.1456561899363</v>
      </c>
      <c r="AB582">
        <v>7.6123119984698215</v>
      </c>
      <c r="AC582">
        <v>2251.178809135617</v>
      </c>
      <c r="AD582">
        <v>10.754296492065377</v>
      </c>
      <c r="AE582">
        <v>2029.50800972512</v>
      </c>
      <c r="AF582">
        <v>7.6024235771138606</v>
      </c>
      <c r="AG582">
        <v>2168.4213713358845</v>
      </c>
      <c r="AH582">
        <v>10.749273775161223</v>
      </c>
      <c r="AI582">
        <v>1925.3143571032292</v>
      </c>
      <c r="AJ582">
        <v>7.5994921658931602</v>
      </c>
    </row>
    <row r="583" spans="4:36" x14ac:dyDescent="0.45">
      <c r="D583">
        <v>576</v>
      </c>
      <c r="E583">
        <v>12.528540458382158</v>
      </c>
      <c r="F583">
        <v>0.43657576754905381</v>
      </c>
      <c r="G583">
        <v>0.17109508721739985</v>
      </c>
      <c r="H583">
        <v>16.86378868685139</v>
      </c>
      <c r="I583">
        <v>12.732778961177379</v>
      </c>
      <c r="J583">
        <v>0.28982311575172526</v>
      </c>
      <c r="K583">
        <v>0.11323524273982948</v>
      </c>
      <c r="L583">
        <v>16.864162680331063</v>
      </c>
      <c r="M583">
        <v>12.627092626630134</v>
      </c>
      <c r="N583">
        <v>0.36579383567970614</v>
      </c>
      <c r="O583">
        <v>0.14314316672885902</v>
      </c>
      <c r="P583">
        <v>16.863970370961308</v>
      </c>
      <c r="Q583">
        <v>12.619664766518307</v>
      </c>
      <c r="R583">
        <v>0.37113070127420705</v>
      </c>
      <c r="S583">
        <v>0.14524777505862121</v>
      </c>
      <c r="T583">
        <v>16.863956757148859</v>
      </c>
      <c r="U583">
        <v>1564.9096552479439</v>
      </c>
      <c r="V583">
        <v>9.9488917515696063</v>
      </c>
      <c r="W583">
        <v>1301.2863765471191</v>
      </c>
      <c r="X583">
        <v>7.1431987425413537</v>
      </c>
      <c r="Y583">
        <v>2895.8747832441136</v>
      </c>
      <c r="Z583">
        <v>9.9876291494608509</v>
      </c>
      <c r="AA583">
        <v>2727.4842614634094</v>
      </c>
      <c r="AB583">
        <v>7.1657161595858296</v>
      </c>
      <c r="AC583">
        <v>2235.2617864452409</v>
      </c>
      <c r="AD583">
        <v>9.9675834011407325</v>
      </c>
      <c r="AE583">
        <v>2024.7764771460863</v>
      </c>
      <c r="AF583">
        <v>7.1540732095505568</v>
      </c>
      <c r="AG583">
        <v>2094.4858520761363</v>
      </c>
      <c r="AH583">
        <v>9.966174582668172</v>
      </c>
      <c r="AI583">
        <v>1880.7173427361115</v>
      </c>
      <c r="AJ583">
        <v>7.1532541928345363</v>
      </c>
    </row>
    <row r="584" spans="4:36" x14ac:dyDescent="0.45">
      <c r="D584">
        <v>577</v>
      </c>
      <c r="E584">
        <v>12.05038052987247</v>
      </c>
      <c r="F584">
        <v>0.41052864206716666</v>
      </c>
      <c r="G584">
        <v>0.13264140637307276</v>
      </c>
      <c r="H584">
        <v>17.406449421687284</v>
      </c>
      <c r="I584">
        <v>12.238810165023883</v>
      </c>
      <c r="J584">
        <v>0.27732387349523213</v>
      </c>
      <c r="K584">
        <v>8.9355502969649683E-2</v>
      </c>
      <c r="L584">
        <v>17.394510458511235</v>
      </c>
      <c r="M584">
        <v>12.164563739879874</v>
      </c>
      <c r="N584">
        <v>0.32983702223231531</v>
      </c>
      <c r="O584">
        <v>0.10639105902157575</v>
      </c>
      <c r="P584">
        <v>17.39920817886625</v>
      </c>
      <c r="Q584">
        <v>12.126797980237304</v>
      </c>
      <c r="R584">
        <v>0.35653470808077564</v>
      </c>
      <c r="S584">
        <v>0.11506635502994537</v>
      </c>
      <c r="T584">
        <v>17.401600956651961</v>
      </c>
      <c r="U584">
        <v>1510.1376161240071</v>
      </c>
      <c r="V584">
        <v>9.5289973192453061</v>
      </c>
      <c r="W584">
        <v>1273.6804172938071</v>
      </c>
      <c r="X584">
        <v>6.8979481273377825</v>
      </c>
      <c r="Y584">
        <v>2862.5329786051134</v>
      </c>
      <c r="Z584">
        <v>9.5686211521260098</v>
      </c>
      <c r="AA584">
        <v>2710.8839896934596</v>
      </c>
      <c r="AB584">
        <v>6.9205835822293071</v>
      </c>
      <c r="AC584">
        <v>2185.1258798330628</v>
      </c>
      <c r="AD584">
        <v>9.5530124027486689</v>
      </c>
      <c r="AE584">
        <v>1999.3306624253673</v>
      </c>
      <c r="AF584">
        <v>6.9116747195751653</v>
      </c>
      <c r="AG584">
        <v>2088.4319802122332</v>
      </c>
      <c r="AH584">
        <v>9.5450708945358187</v>
      </c>
      <c r="AI584">
        <v>1886.0014991923349</v>
      </c>
      <c r="AJ584">
        <v>6.9071381548385373</v>
      </c>
    </row>
    <row r="585" spans="4:36" x14ac:dyDescent="0.45">
      <c r="D585">
        <v>578</v>
      </c>
      <c r="E585">
        <v>12.18982811323462</v>
      </c>
      <c r="F585">
        <v>0.45316927652154215</v>
      </c>
      <c r="G585">
        <v>0.1509809809145255</v>
      </c>
      <c r="H585">
        <v>17.206021629329303</v>
      </c>
      <c r="I585">
        <v>12.402683565027244</v>
      </c>
      <c r="J585">
        <v>0.29007887661871162</v>
      </c>
      <c r="K585">
        <v>9.6350924673835103E-2</v>
      </c>
      <c r="L585">
        <v>17.210886633680218</v>
      </c>
      <c r="M585">
        <v>12.324556797735257</v>
      </c>
      <c r="N585">
        <v>0.34996765010338771</v>
      </c>
      <c r="O585">
        <v>0.11637260605377156</v>
      </c>
      <c r="P585">
        <v>17.209102946107581</v>
      </c>
      <c r="Q585">
        <v>12.254353381175344</v>
      </c>
      <c r="R585">
        <v>0.40375523062399965</v>
      </c>
      <c r="S585">
        <v>0.13439317975546491</v>
      </c>
      <c r="T585">
        <v>17.207498208445184</v>
      </c>
      <c r="U585">
        <v>1552.9466919214308</v>
      </c>
      <c r="V585">
        <v>9.6351529745907278</v>
      </c>
      <c r="W585">
        <v>1295.7907554507806</v>
      </c>
      <c r="X585">
        <v>6.9548123203609054</v>
      </c>
      <c r="Y585">
        <v>2889.7757732527484</v>
      </c>
      <c r="Z585">
        <v>9.6746670531905021</v>
      </c>
      <c r="AA585">
        <v>2725.9359865036413</v>
      </c>
      <c r="AB585">
        <v>6.9779651884709324</v>
      </c>
      <c r="AC585">
        <v>2218.3886112063497</v>
      </c>
      <c r="AD585">
        <v>9.6601630113867767</v>
      </c>
      <c r="AE585">
        <v>2017.413078452011</v>
      </c>
      <c r="AF585">
        <v>6.9694763947410827</v>
      </c>
      <c r="AG585">
        <v>2110.3061707591169</v>
      </c>
      <c r="AH585">
        <v>9.6471306492156703</v>
      </c>
      <c r="AI585">
        <v>1893.2953394661749</v>
      </c>
      <c r="AJ585">
        <v>6.9618393656520601</v>
      </c>
    </row>
    <row r="586" spans="4:36" x14ac:dyDescent="0.45">
      <c r="D586">
        <v>579</v>
      </c>
      <c r="E586">
        <v>12.16887677191516</v>
      </c>
      <c r="F586">
        <v>0.41952003149211148</v>
      </c>
      <c r="G586">
        <v>0.13501272487736382</v>
      </c>
      <c r="H586">
        <v>17.276590471715377</v>
      </c>
      <c r="I586">
        <v>12.359023771405676</v>
      </c>
      <c r="J586">
        <v>0.27837373104892799</v>
      </c>
      <c r="K586">
        <v>8.9341714108225223E-2</v>
      </c>
      <c r="L586">
        <v>17.273260783437159</v>
      </c>
      <c r="M586">
        <v>12.275131702263229</v>
      </c>
      <c r="N586">
        <v>0.34067238069622047</v>
      </c>
      <c r="O586">
        <v>0.10946839838809008</v>
      </c>
      <c r="P586">
        <v>17.274727518652451</v>
      </c>
      <c r="Q586">
        <v>12.249185437618486</v>
      </c>
      <c r="R586">
        <v>0.35993207616822515</v>
      </c>
      <c r="S586">
        <v>0.11570059758311199</v>
      </c>
      <c r="T586">
        <v>17.275181888630183</v>
      </c>
      <c r="U586">
        <v>1488.1687264002169</v>
      </c>
      <c r="V586">
        <v>9.6393003047535686</v>
      </c>
      <c r="W586">
        <v>1252.3029751304582</v>
      </c>
      <c r="X586">
        <v>6.9644453020764798</v>
      </c>
      <c r="Y586">
        <v>2880.7917628742739</v>
      </c>
      <c r="Z586">
        <v>9.6785826569212059</v>
      </c>
      <c r="AA586">
        <v>2720.978120964071</v>
      </c>
      <c r="AB586">
        <v>6.9872594980736542</v>
      </c>
      <c r="AC586">
        <v>2196.2005823187887</v>
      </c>
      <c r="AD586">
        <v>9.6612524211477435</v>
      </c>
      <c r="AE586">
        <v>2002.8163329065674</v>
      </c>
      <c r="AF586">
        <v>6.9772032679949678</v>
      </c>
      <c r="AG586">
        <v>2086.3261591343203</v>
      </c>
      <c r="AH586">
        <v>9.6558921891279397</v>
      </c>
      <c r="AI586">
        <v>1880.1744754001761</v>
      </c>
      <c r="AJ586">
        <v>6.974090100666122</v>
      </c>
    </row>
    <row r="587" spans="4:36" x14ac:dyDescent="0.45">
      <c r="D587">
        <v>580</v>
      </c>
      <c r="E587">
        <v>13.369101082711683</v>
      </c>
      <c r="F587">
        <v>0.46940237380886218</v>
      </c>
      <c r="G587">
        <v>0.15914066568454804</v>
      </c>
      <c r="H587">
        <v>16.002355877794923</v>
      </c>
      <c r="I587">
        <v>13.612871213444583</v>
      </c>
      <c r="J587">
        <v>0.29973802339992606</v>
      </c>
      <c r="K587">
        <v>0.10128018583567457</v>
      </c>
      <c r="L587">
        <v>15.986110577319826</v>
      </c>
      <c r="M587">
        <v>13.473268487641281</v>
      </c>
      <c r="N587">
        <v>0.39694611785208533</v>
      </c>
      <c r="O587">
        <v>0.13438281671569202</v>
      </c>
      <c r="P587">
        <v>15.99540257779095</v>
      </c>
      <c r="Q587">
        <v>13.477954968347943</v>
      </c>
      <c r="R587">
        <v>0.39368475351448728</v>
      </c>
      <c r="S587">
        <v>0.13327012711354042</v>
      </c>
      <c r="T587">
        <v>15.995090151024019</v>
      </c>
      <c r="U587">
        <v>1567.8349977589507</v>
      </c>
      <c r="V587">
        <v>10.548911457230687</v>
      </c>
      <c r="W587">
        <v>1301.2349795975683</v>
      </c>
      <c r="X587">
        <v>7.4809502742565659</v>
      </c>
      <c r="Y587">
        <v>2902.574082906593</v>
      </c>
      <c r="Z587">
        <v>10.603357104014338</v>
      </c>
      <c r="AA587">
        <v>2731.8125788849557</v>
      </c>
      <c r="AB587">
        <v>7.5115098061380303</v>
      </c>
      <c r="AC587">
        <v>2253.3027268477676</v>
      </c>
      <c r="AD587">
        <v>10.572183305583314</v>
      </c>
      <c r="AE587">
        <v>2035.9344538919743</v>
      </c>
      <c r="AF587">
        <v>7.494024301814342</v>
      </c>
      <c r="AG587">
        <v>2130.334817266998</v>
      </c>
      <c r="AH587">
        <v>10.573230083822004</v>
      </c>
      <c r="AI587">
        <v>1905.1275155336882</v>
      </c>
      <c r="AJ587">
        <v>7.4946119581082877</v>
      </c>
    </row>
    <row r="588" spans="4:36" x14ac:dyDescent="0.45">
      <c r="D588">
        <v>581</v>
      </c>
      <c r="E588">
        <v>12.138155191619791</v>
      </c>
      <c r="F588">
        <v>0.46038636373490921</v>
      </c>
      <c r="G588">
        <v>0.14963102715984999</v>
      </c>
      <c r="H588">
        <v>17.251827417485433</v>
      </c>
      <c r="I588">
        <v>12.370884323992843</v>
      </c>
      <c r="J588">
        <v>0.28147942844814322</v>
      </c>
      <c r="K588">
        <v>9.1166159685891229E-2</v>
      </c>
      <c r="L588">
        <v>17.256470087873133</v>
      </c>
      <c r="M588">
        <v>12.259435575084028</v>
      </c>
      <c r="N588">
        <v>0.36718948057126322</v>
      </c>
      <c r="O588">
        <v>0.11912377631313306</v>
      </c>
      <c r="P588">
        <v>17.254251168031562</v>
      </c>
      <c r="Q588">
        <v>12.250271917429885</v>
      </c>
      <c r="R588">
        <v>0.37423392945835238</v>
      </c>
      <c r="S588">
        <v>0.12142578552228267</v>
      </c>
      <c r="T588">
        <v>17.254068367589479</v>
      </c>
      <c r="U588">
        <v>1559.9770305659915</v>
      </c>
      <c r="V588">
        <v>9.6834312097363888</v>
      </c>
      <c r="W588">
        <v>1302.1113237782172</v>
      </c>
      <c r="X588">
        <v>6.9933836850523683</v>
      </c>
      <c r="Y588">
        <v>2867.992297328417</v>
      </c>
      <c r="Z588">
        <v>9.7234227550101533</v>
      </c>
      <c r="AA588">
        <v>2711.9178487299628</v>
      </c>
      <c r="AB588">
        <v>7.0168403444956677</v>
      </c>
      <c r="AC588">
        <v>2215.2613549921539</v>
      </c>
      <c r="AD588">
        <v>9.7042704612476438</v>
      </c>
      <c r="AE588">
        <v>2015.170037120477</v>
      </c>
      <c r="AF588">
        <v>7.0056184825016103</v>
      </c>
      <c r="AG588">
        <v>2091.7604222540467</v>
      </c>
      <c r="AH588">
        <v>9.7026958019710907</v>
      </c>
      <c r="AI588">
        <v>1883.6022573139928</v>
      </c>
      <c r="AJ588">
        <v>7.0046948916052703</v>
      </c>
    </row>
    <row r="589" spans="4:36" x14ac:dyDescent="0.45">
      <c r="D589">
        <v>582</v>
      </c>
      <c r="E589">
        <v>12.30652694002241</v>
      </c>
      <c r="F589">
        <v>0.43132180793960434</v>
      </c>
      <c r="G589">
        <v>0.15076304351196584</v>
      </c>
      <c r="H589">
        <v>17.111388208526026</v>
      </c>
      <c r="I589">
        <v>12.463248553813287</v>
      </c>
      <c r="J589">
        <v>0.31231322243012316</v>
      </c>
      <c r="K589">
        <v>0.10891884463185068</v>
      </c>
      <c r="L589">
        <v>17.115519379124741</v>
      </c>
      <c r="M589">
        <v>12.404151497258827</v>
      </c>
      <c r="N589">
        <v>0.35720488977355996</v>
      </c>
      <c r="O589">
        <v>0.12468055115405055</v>
      </c>
      <c r="P589">
        <v>17.113963061813575</v>
      </c>
      <c r="Q589">
        <v>12.370340090862646</v>
      </c>
      <c r="R589">
        <v>0.38288046858679908</v>
      </c>
      <c r="S589">
        <v>0.13370760242787511</v>
      </c>
      <c r="T589">
        <v>17.113071838122682</v>
      </c>
      <c r="U589">
        <v>1499.9534864606819</v>
      </c>
      <c r="V589">
        <v>9.7489523511281977</v>
      </c>
      <c r="W589">
        <v>1261.3407899810372</v>
      </c>
      <c r="X589">
        <v>7.0254661462902881</v>
      </c>
      <c r="Y589">
        <v>2867.3919045863204</v>
      </c>
      <c r="Z589">
        <v>9.7769400632336776</v>
      </c>
      <c r="AA589">
        <v>2709.6712563512501</v>
      </c>
      <c r="AB589">
        <v>7.0418859394525244</v>
      </c>
      <c r="AC589">
        <v>2194.5202372070789</v>
      </c>
      <c r="AD589">
        <v>9.7663856881648083</v>
      </c>
      <c r="AE589">
        <v>2001.4843478736962</v>
      </c>
      <c r="AF589">
        <v>7.0356990500022834</v>
      </c>
      <c r="AG589">
        <v>2101.4525854705748</v>
      </c>
      <c r="AH589">
        <v>9.7603475484590412</v>
      </c>
      <c r="AI589">
        <v>1890.6147315489923</v>
      </c>
      <c r="AJ589">
        <v>7.0321567527517974</v>
      </c>
    </row>
    <row r="590" spans="4:36" x14ac:dyDescent="0.45">
      <c r="D590">
        <v>583</v>
      </c>
      <c r="E590">
        <v>12.409205547549577</v>
      </c>
      <c r="F590">
        <v>0.4326785267621428</v>
      </c>
      <c r="G590">
        <v>0.16072352556183103</v>
      </c>
      <c r="H590">
        <v>16.997392400126458</v>
      </c>
      <c r="I590">
        <v>12.61375321561756</v>
      </c>
      <c r="J590">
        <v>0.28477535175198926</v>
      </c>
      <c r="K590">
        <v>0.10547478902359532</v>
      </c>
      <c r="L590">
        <v>16.995996643606876</v>
      </c>
      <c r="M590">
        <v>12.528193842410939</v>
      </c>
      <c r="N590">
        <v>0.34667152976092652</v>
      </c>
      <c r="O590">
        <v>0.12855610669124734</v>
      </c>
      <c r="P590">
        <v>16.99657852113689</v>
      </c>
      <c r="Q590">
        <v>12.508391940612972</v>
      </c>
      <c r="R590">
        <v>0.36099060516426185</v>
      </c>
      <c r="S590">
        <v>0.13390386581329394</v>
      </c>
      <c r="T590">
        <v>16.996713588409484</v>
      </c>
      <c r="U590">
        <v>1516.6182182528073</v>
      </c>
      <c r="V590">
        <v>9.807483760697691</v>
      </c>
      <c r="W590">
        <v>1272.1036844143334</v>
      </c>
      <c r="X590">
        <v>7.0553246315429057</v>
      </c>
      <c r="Y590">
        <v>2904.0061238667663</v>
      </c>
      <c r="Z590">
        <v>9.8454398786383024</v>
      </c>
      <c r="AA590">
        <v>2737.3200964532098</v>
      </c>
      <c r="AB590">
        <v>7.0772897865848785</v>
      </c>
      <c r="AC590">
        <v>2208.937611675487</v>
      </c>
      <c r="AD590">
        <v>9.8295643567909696</v>
      </c>
      <c r="AE590">
        <v>2011.6758953110948</v>
      </c>
      <c r="AF590">
        <v>7.0681112809148932</v>
      </c>
      <c r="AG590">
        <v>2081.7444578820214</v>
      </c>
      <c r="AH590">
        <v>9.8258899184072899</v>
      </c>
      <c r="AI590">
        <v>1876.8550011573309</v>
      </c>
      <c r="AJ590">
        <v>7.0659851255585773</v>
      </c>
    </row>
    <row r="591" spans="4:36" x14ac:dyDescent="0.45">
      <c r="D591">
        <v>584</v>
      </c>
      <c r="E591">
        <v>11.800481537195163</v>
      </c>
      <c r="F591">
        <v>0.43596254877621282</v>
      </c>
      <c r="G591">
        <v>0.16503810244796774</v>
      </c>
      <c r="H591">
        <v>17.598517811580642</v>
      </c>
      <c r="I591">
        <v>12.011334885524775</v>
      </c>
      <c r="J591">
        <v>0.27556883672330201</v>
      </c>
      <c r="K591">
        <v>0.10398805546293</v>
      </c>
      <c r="L591">
        <v>17.609108222288977</v>
      </c>
      <c r="M591">
        <v>11.914062654917702</v>
      </c>
      <c r="N591">
        <v>0.34959305121051437</v>
      </c>
      <c r="O591">
        <v>0.13211468982209879</v>
      </c>
      <c r="P591">
        <v>17.604229604049671</v>
      </c>
      <c r="Q591">
        <v>11.89949740590742</v>
      </c>
      <c r="R591">
        <v>0.36067275469619681</v>
      </c>
      <c r="S591">
        <v>0.13633177562644874</v>
      </c>
      <c r="T591">
        <v>17.603498063769916</v>
      </c>
      <c r="U591">
        <v>1514.1054271193909</v>
      </c>
      <c r="V591">
        <v>9.3910335432125152</v>
      </c>
      <c r="W591">
        <v>1271.4391923476962</v>
      </c>
      <c r="X591">
        <v>6.817691974075748</v>
      </c>
      <c r="Y591">
        <v>2864.7758097417341</v>
      </c>
      <c r="Z591">
        <v>9.421976271689438</v>
      </c>
      <c r="AA591">
        <v>2710.5615976006507</v>
      </c>
      <c r="AB591">
        <v>6.8363350932813445</v>
      </c>
      <c r="AC591">
        <v>2203.064778236077</v>
      </c>
      <c r="AD591">
        <v>9.4076973411791975</v>
      </c>
      <c r="AE591">
        <v>2008.3278443600068</v>
      </c>
      <c r="AF591">
        <v>6.8277416006906915</v>
      </c>
      <c r="AG591">
        <v>2088.1213482123385</v>
      </c>
      <c r="AH591">
        <v>9.4055598787608243</v>
      </c>
      <c r="AI591">
        <v>1882.7553516088865</v>
      </c>
      <c r="AJ591">
        <v>6.8264537997763188</v>
      </c>
    </row>
    <row r="592" spans="4:36" x14ac:dyDescent="0.45">
      <c r="D592">
        <v>585</v>
      </c>
      <c r="E592">
        <v>12.324009776248333</v>
      </c>
      <c r="F592">
        <v>0.45063316736004072</v>
      </c>
      <c r="G592">
        <v>0.19107434874688201</v>
      </c>
      <c r="H592">
        <v>17.034282707644739</v>
      </c>
      <c r="I592">
        <v>12.517897027865779</v>
      </c>
      <c r="J592">
        <v>0.30676102893828866</v>
      </c>
      <c r="K592">
        <v>0.12966509159122</v>
      </c>
      <c r="L592">
        <v>17.045676851604714</v>
      </c>
      <c r="M592">
        <v>12.456513603398264</v>
      </c>
      <c r="N592">
        <v>0.35233311118914173</v>
      </c>
      <c r="O592">
        <v>0.14907465990847504</v>
      </c>
      <c r="P592">
        <v>17.042078625504132</v>
      </c>
      <c r="Q592">
        <v>12.411631963301479</v>
      </c>
      <c r="R592">
        <v>0.38564048313842852</v>
      </c>
      <c r="S592">
        <v>0.16328514477372366</v>
      </c>
      <c r="T592">
        <v>17.039442408786371</v>
      </c>
      <c r="U592">
        <v>1569.7929845864721</v>
      </c>
      <c r="V592">
        <v>9.6899458322075489</v>
      </c>
      <c r="W592">
        <v>1303.6242401012728</v>
      </c>
      <c r="X592">
        <v>6.9732035126848313</v>
      </c>
      <c r="Y592">
        <v>2926.6226569798418</v>
      </c>
      <c r="Z592">
        <v>9.7169139163526985</v>
      </c>
      <c r="AA592">
        <v>2748.1929128348002</v>
      </c>
      <c r="AB592">
        <v>6.9895153745972767</v>
      </c>
      <c r="AC592">
        <v>2202.9582855368262</v>
      </c>
      <c r="AD592">
        <v>9.7083711997014408</v>
      </c>
      <c r="AE592">
        <v>2002.4842889864951</v>
      </c>
      <c r="AF592">
        <v>6.984355102769519</v>
      </c>
      <c r="AG592">
        <v>2133.1253686827567</v>
      </c>
      <c r="AH592">
        <v>9.7021278354927496</v>
      </c>
      <c r="AI592">
        <v>1907.3729743474116</v>
      </c>
      <c r="AJ592">
        <v>6.9805797633202804</v>
      </c>
    </row>
    <row r="593" spans="4:36" x14ac:dyDescent="0.45">
      <c r="D593">
        <v>586</v>
      </c>
      <c r="E593">
        <v>12.492381395845506</v>
      </c>
      <c r="F593">
        <v>0.46025030209062801</v>
      </c>
      <c r="G593">
        <v>0.15459849353288377</v>
      </c>
      <c r="H593">
        <v>16.892769808530979</v>
      </c>
      <c r="I593">
        <v>12.672454941096087</v>
      </c>
      <c r="J593">
        <v>0.31920856425869021</v>
      </c>
      <c r="K593">
        <v>0.10694262822870017</v>
      </c>
      <c r="L593">
        <v>16.901393866416498</v>
      </c>
      <c r="M593">
        <v>12.614812379900277</v>
      </c>
      <c r="N593">
        <v>0.36437413155038556</v>
      </c>
      <c r="O593">
        <v>0.12217593319346583</v>
      </c>
      <c r="P593">
        <v>16.898637555355855</v>
      </c>
      <c r="Q593">
        <v>12.552261166160394</v>
      </c>
      <c r="R593">
        <v>0.41336745279074888</v>
      </c>
      <c r="S593">
        <v>0.13872942405961738</v>
      </c>
      <c r="T593">
        <v>16.895641956989241</v>
      </c>
      <c r="U593">
        <v>1548.2934689683957</v>
      </c>
      <c r="V593">
        <v>9.8317871542100583</v>
      </c>
      <c r="W593">
        <v>1289.2644212985927</v>
      </c>
      <c r="X593">
        <v>7.0609358245815601</v>
      </c>
      <c r="Y593">
        <v>2894.2133492695439</v>
      </c>
      <c r="Z593">
        <v>9.85988412047735</v>
      </c>
      <c r="AA593">
        <v>2725.1965660866663</v>
      </c>
      <c r="AB593">
        <v>7.0776177748737474</v>
      </c>
      <c r="AC593">
        <v>2211.9680669995114</v>
      </c>
      <c r="AD593">
        <v>9.8508876523792814</v>
      </c>
      <c r="AE593">
        <v>2009.6373612704137</v>
      </c>
      <c r="AF593">
        <v>7.072282167257673</v>
      </c>
      <c r="AG593">
        <v>2123.1635136422256</v>
      </c>
      <c r="AH593">
        <v>9.8411276997783261</v>
      </c>
      <c r="AI593">
        <v>1899.6871273420177</v>
      </c>
      <c r="AJ593">
        <v>7.0664875449678872</v>
      </c>
    </row>
    <row r="594" spans="4:36" x14ac:dyDescent="0.45">
      <c r="D594">
        <v>587</v>
      </c>
      <c r="E594">
        <v>13.957896325137446</v>
      </c>
      <c r="F594">
        <v>0.48755138765027523</v>
      </c>
      <c r="G594">
        <v>0.19731319319173851</v>
      </c>
      <c r="H594">
        <v>15.357239094020525</v>
      </c>
      <c r="I594">
        <v>14.237895624029893</v>
      </c>
      <c r="J594">
        <v>0.30165859617555918</v>
      </c>
      <c r="K594">
        <v>0.12161596355286158</v>
      </c>
      <c r="L594">
        <v>15.338829816241688</v>
      </c>
      <c r="M594">
        <v>14.127181325784893</v>
      </c>
      <c r="N594">
        <v>0.3752218202124154</v>
      </c>
      <c r="O594">
        <v>0.15150127534134974</v>
      </c>
      <c r="P594">
        <v>15.34609557866135</v>
      </c>
      <c r="Q594">
        <v>14.067252969874822</v>
      </c>
      <c r="R594">
        <v>0.41500838431457865</v>
      </c>
      <c r="S594">
        <v>0.16770289232963367</v>
      </c>
      <c r="T594">
        <v>15.350035753480963</v>
      </c>
      <c r="U594">
        <v>1629.7626158865528</v>
      </c>
      <c r="V594">
        <v>11.028259597996863</v>
      </c>
      <c r="W594">
        <v>1333.1270367651964</v>
      </c>
      <c r="X594">
        <v>7.7525821709803084</v>
      </c>
      <c r="Y594">
        <v>2954.1726796623871</v>
      </c>
      <c r="Z594">
        <v>11.090190657250416</v>
      </c>
      <c r="AA594">
        <v>2761.3660693105749</v>
      </c>
      <c r="AB594">
        <v>7.7870627438657412</v>
      </c>
      <c r="AC594">
        <v>2301.3185444869473</v>
      </c>
      <c r="AD594">
        <v>11.065710140469397</v>
      </c>
      <c r="AE594">
        <v>2062.7986845389</v>
      </c>
      <c r="AF594">
        <v>7.773447040781674</v>
      </c>
      <c r="AG594">
        <v>2191.1841584367062</v>
      </c>
      <c r="AH594">
        <v>11.05245499541482</v>
      </c>
      <c r="AI594">
        <v>1937.6455827671671</v>
      </c>
      <c r="AJ594">
        <v>7.7660671166164654</v>
      </c>
    </row>
    <row r="595" spans="4:36" x14ac:dyDescent="0.45">
      <c r="D595">
        <v>588</v>
      </c>
      <c r="E595">
        <v>12.001536442804163</v>
      </c>
      <c r="F595">
        <v>0.45364051898902297</v>
      </c>
      <c r="G595">
        <v>0.16872874021113804</v>
      </c>
      <c r="H595">
        <v>17.376094297995671</v>
      </c>
      <c r="I595">
        <v>12.201308614702178</v>
      </c>
      <c r="J595">
        <v>0.29718949270743872</v>
      </c>
      <c r="K595">
        <v>0.11019397364390274</v>
      </c>
      <c r="L595">
        <v>17.391307918946495</v>
      </c>
      <c r="M595">
        <v>12.127340104291838</v>
      </c>
      <c r="N595">
        <v>0.35514111320107489</v>
      </c>
      <c r="O595">
        <v>0.13183299047737204</v>
      </c>
      <c r="P595">
        <v>17.385685792029712</v>
      </c>
      <c r="Q595">
        <v>12.090943027566894</v>
      </c>
      <c r="R595">
        <v>0.38364682969216934</v>
      </c>
      <c r="S595">
        <v>0.14249548671982804</v>
      </c>
      <c r="T595">
        <v>17.382914656021107</v>
      </c>
      <c r="U595">
        <v>1504.2738574249609</v>
      </c>
      <c r="V595">
        <v>9.5398119768553222</v>
      </c>
      <c r="W595">
        <v>1262.1296262814585</v>
      </c>
      <c r="X595">
        <v>6.9027892699007651</v>
      </c>
      <c r="Y595">
        <v>2897.7858219447057</v>
      </c>
      <c r="Z595">
        <v>9.5705242609163772</v>
      </c>
      <c r="AA595">
        <v>2732.3759791246953</v>
      </c>
      <c r="AB595">
        <v>6.9215272597517092</v>
      </c>
      <c r="AC595">
        <v>2192.0264680621499</v>
      </c>
      <c r="AD595">
        <v>9.5591462509332459</v>
      </c>
      <c r="AE595">
        <v>1999.2806764563582</v>
      </c>
      <c r="AF595">
        <v>6.9145944893131333</v>
      </c>
      <c r="AG595">
        <v>2099.4454885168866</v>
      </c>
      <c r="AH595">
        <v>9.5535502964257812</v>
      </c>
      <c r="AI595">
        <v>1888.5429287120539</v>
      </c>
      <c r="AJ595">
        <v>6.911180886618431</v>
      </c>
    </row>
    <row r="596" spans="4:36" x14ac:dyDescent="0.45">
      <c r="D596">
        <v>589</v>
      </c>
      <c r="E596">
        <v>13.312928696823484</v>
      </c>
      <c r="F596">
        <v>0.46068989088385043</v>
      </c>
      <c r="G596">
        <v>0.17091004718941138</v>
      </c>
      <c r="H596">
        <v>16.055471365103262</v>
      </c>
      <c r="I596">
        <v>13.562532425746557</v>
      </c>
      <c r="J596">
        <v>0.28905960721349067</v>
      </c>
      <c r="K596">
        <v>0.10686938277835122</v>
      </c>
      <c r="L596">
        <v>16.041538584261591</v>
      </c>
      <c r="M596">
        <v>13.443821967408688</v>
      </c>
      <c r="N596">
        <v>0.37073467029312818</v>
      </c>
      <c r="O596">
        <v>0.13728916358100896</v>
      </c>
      <c r="P596">
        <v>16.048154198717189</v>
      </c>
      <c r="Q596">
        <v>13.415348002174474</v>
      </c>
      <c r="R596">
        <v>0.39031228364080006</v>
      </c>
      <c r="S596">
        <v>0.14459580009432432</v>
      </c>
      <c r="T596">
        <v>16.04974391409041</v>
      </c>
      <c r="U596">
        <v>1577.2983008918363</v>
      </c>
      <c r="V596">
        <v>10.484670195164009</v>
      </c>
      <c r="W596">
        <v>1305.4144373337986</v>
      </c>
      <c r="X596">
        <v>7.4406992625098898</v>
      </c>
      <c r="Y596">
        <v>2906.665799314555</v>
      </c>
      <c r="Z596">
        <v>10.538047838341733</v>
      </c>
      <c r="AA596">
        <v>2733.4783468922928</v>
      </c>
      <c r="AB596">
        <v>7.4707076824056831</v>
      </c>
      <c r="AC596">
        <v>2265.2062682239625</v>
      </c>
      <c r="AD596">
        <v>10.512667828436008</v>
      </c>
      <c r="AE596">
        <v>2043.6105335997461</v>
      </c>
      <c r="AF596">
        <v>7.456451556562997</v>
      </c>
      <c r="AG596">
        <v>2137.6484251521247</v>
      </c>
      <c r="AH596">
        <v>10.506578506285248</v>
      </c>
      <c r="AI596">
        <v>1907.9097046279282</v>
      </c>
      <c r="AJ596">
        <v>7.453027844361781</v>
      </c>
    </row>
    <row r="597" spans="4:36" x14ac:dyDescent="0.45">
      <c r="D597">
        <v>590</v>
      </c>
      <c r="E597">
        <v>12.250817853785595</v>
      </c>
      <c r="F597">
        <v>0.42778041953849549</v>
      </c>
      <c r="G597">
        <v>0.1858151834111659</v>
      </c>
      <c r="H597">
        <v>17.135586543264751</v>
      </c>
      <c r="I597">
        <v>12.462467274039158</v>
      </c>
      <c r="J597">
        <v>0.27020377681384228</v>
      </c>
      <c r="K597">
        <v>0.11699558596834894</v>
      </c>
      <c r="L597">
        <v>17.150333363178667</v>
      </c>
      <c r="M597">
        <v>12.380166273839217</v>
      </c>
      <c r="N597">
        <v>0.33150837263704835</v>
      </c>
      <c r="O597">
        <v>0.14371686611777901</v>
      </c>
      <c r="P597">
        <v>17.144608487405961</v>
      </c>
      <c r="Q597">
        <v>12.319817859377183</v>
      </c>
      <c r="R597">
        <v>0.37643660126713829</v>
      </c>
      <c r="S597">
        <v>0.16334256527420427</v>
      </c>
      <c r="T597">
        <v>17.140402974081486</v>
      </c>
      <c r="U597">
        <v>1544.1883555554191</v>
      </c>
      <c r="V597">
        <v>9.6874287376283998</v>
      </c>
      <c r="W597">
        <v>1290.4552937509507</v>
      </c>
      <c r="X597">
        <v>6.9824282604589367</v>
      </c>
      <c r="Y597">
        <v>2887.0921820746512</v>
      </c>
      <c r="Z597">
        <v>9.717593909039854</v>
      </c>
      <c r="AA597">
        <v>2724.9802978097964</v>
      </c>
      <c r="AB597">
        <v>7.0006622507991789</v>
      </c>
      <c r="AC597">
        <v>2211.1026097206864</v>
      </c>
      <c r="AD597">
        <v>9.7058583693229554</v>
      </c>
      <c r="AE597">
        <v>2012.8508912939856</v>
      </c>
      <c r="AF597">
        <v>6.9935774509657591</v>
      </c>
      <c r="AG597">
        <v>2130.5898484674267</v>
      </c>
      <c r="AH597">
        <v>9.6972576716657475</v>
      </c>
      <c r="AI597">
        <v>1909.3469362703493</v>
      </c>
      <c r="AJ597">
        <v>6.9883779176013858</v>
      </c>
    </row>
    <row r="598" spans="4:36" x14ac:dyDescent="0.45">
      <c r="D598">
        <v>591</v>
      </c>
      <c r="E598">
        <v>13.085709069868887</v>
      </c>
      <c r="F598">
        <v>0.44478873485095244</v>
      </c>
      <c r="G598">
        <v>0.15686189780999019</v>
      </c>
      <c r="H598">
        <v>16.312640297470153</v>
      </c>
      <c r="I598">
        <v>13.312243328083706</v>
      </c>
      <c r="J598">
        <v>0.29062289117486584</v>
      </c>
      <c r="K598">
        <v>0.10217517810421149</v>
      </c>
      <c r="L598">
        <v>16.29495860263722</v>
      </c>
      <c r="M598">
        <v>13.227981149721018</v>
      </c>
      <c r="N598">
        <v>0.34800512204841766</v>
      </c>
      <c r="O598">
        <v>0.12248994050469025</v>
      </c>
      <c r="P598">
        <v>16.30152378772587</v>
      </c>
      <c r="Q598">
        <v>13.152689126896309</v>
      </c>
      <c r="R598">
        <v>0.39924035340315167</v>
      </c>
      <c r="S598">
        <v>0.14066871423774119</v>
      </c>
      <c r="T598">
        <v>16.30740180546281</v>
      </c>
      <c r="U598">
        <v>1527.3507827611879</v>
      </c>
      <c r="V598">
        <v>10.305437924653816</v>
      </c>
      <c r="W598">
        <v>1275.913762546568</v>
      </c>
      <c r="X598">
        <v>7.3416645680205876</v>
      </c>
      <c r="Y598">
        <v>2898.1838133634215</v>
      </c>
      <c r="Z598">
        <v>10.360582071729317</v>
      </c>
      <c r="AA598">
        <v>2730.5839669020866</v>
      </c>
      <c r="AB598">
        <v>7.3727107345060938</v>
      </c>
      <c r="AC598">
        <v>2212.4186190933178</v>
      </c>
      <c r="AD598">
        <v>10.34007659446813</v>
      </c>
      <c r="AE598">
        <v>2011.5677201082178</v>
      </c>
      <c r="AF598">
        <v>7.3611771364895953</v>
      </c>
      <c r="AG598">
        <v>2105.2607689022971</v>
      </c>
      <c r="AH598">
        <v>10.321747976552057</v>
      </c>
      <c r="AI598">
        <v>1888.5665052561237</v>
      </c>
      <c r="AJ598">
        <v>7.3508569619427071</v>
      </c>
    </row>
    <row r="599" spans="4:36" x14ac:dyDescent="0.45">
      <c r="D599">
        <v>592</v>
      </c>
      <c r="E599">
        <v>12.697408841285876</v>
      </c>
      <c r="F599">
        <v>0.47272906260245173</v>
      </c>
      <c r="G599">
        <v>0.1613758336286216</v>
      </c>
      <c r="H599">
        <v>16.668486262483064</v>
      </c>
      <c r="I599">
        <v>12.943524074976761</v>
      </c>
      <c r="J599">
        <v>0.2944812426338842</v>
      </c>
      <c r="K599">
        <v>0.10017046489620818</v>
      </c>
      <c r="L599">
        <v>16.661824217493134</v>
      </c>
      <c r="M599">
        <v>12.861665614797852</v>
      </c>
      <c r="N599">
        <v>0.35380627516656782</v>
      </c>
      <c r="O599">
        <v>0.12049206188117688</v>
      </c>
      <c r="P599">
        <v>16.664036048154404</v>
      </c>
      <c r="Q599">
        <v>12.807443601877067</v>
      </c>
      <c r="R599">
        <v>0.39308088186155915</v>
      </c>
      <c r="S599">
        <v>0.13397220402044954</v>
      </c>
      <c r="T599">
        <v>16.665503312240936</v>
      </c>
      <c r="U599">
        <v>1558.6676647394911</v>
      </c>
      <c r="V599">
        <v>10.15366002388399</v>
      </c>
      <c r="W599">
        <v>1294.8430999529933</v>
      </c>
      <c r="X599">
        <v>7.2714341785861372</v>
      </c>
      <c r="Y599">
        <v>2907.6580557747543</v>
      </c>
      <c r="Z599">
        <v>10.207787034299008</v>
      </c>
      <c r="AA599">
        <v>2736.1684561376251</v>
      </c>
      <c r="AB599">
        <v>7.3024928482766045</v>
      </c>
      <c r="AC599">
        <v>2213.7518460864908</v>
      </c>
      <c r="AD599">
        <v>10.189786555924337</v>
      </c>
      <c r="AE599">
        <v>2010.9597268020821</v>
      </c>
      <c r="AF599">
        <v>7.2921767249365201</v>
      </c>
      <c r="AG599">
        <v>2149.7036698751731</v>
      </c>
      <c r="AH599">
        <v>10.177862018179146</v>
      </c>
      <c r="AI599">
        <v>1919.5418337818949</v>
      </c>
      <c r="AJ599">
        <v>7.2853357793691602</v>
      </c>
    </row>
    <row r="600" spans="4:36" x14ac:dyDescent="0.45">
      <c r="D600">
        <v>593</v>
      </c>
      <c r="E600">
        <v>12.414426306468508</v>
      </c>
      <c r="F600">
        <v>0.40519282833502018</v>
      </c>
      <c r="G600">
        <v>0.16325155710250225</v>
      </c>
      <c r="H600">
        <v>17.017129308093956</v>
      </c>
      <c r="I600">
        <v>12.647103586275037</v>
      </c>
      <c r="J600">
        <v>0.25397361785162725</v>
      </c>
      <c r="K600">
        <v>0.10197564419627068</v>
      </c>
      <c r="L600">
        <v>16.996947151677059</v>
      </c>
      <c r="M600">
        <v>12.567928364508168</v>
      </c>
      <c r="N600">
        <v>0.30547291675260207</v>
      </c>
      <c r="O600">
        <v>0.122796020375928</v>
      </c>
      <c r="P600">
        <v>17.003802698363298</v>
      </c>
      <c r="Q600">
        <v>12.527249755525181</v>
      </c>
      <c r="R600">
        <v>0.33191519802949326</v>
      </c>
      <c r="S600">
        <v>0.13350530686603229</v>
      </c>
      <c r="T600">
        <v>17.007329739579269</v>
      </c>
      <c r="U600">
        <v>1497.9016597925795</v>
      </c>
      <c r="V600">
        <v>9.7928109687948979</v>
      </c>
      <c r="W600">
        <v>1259.4664652081517</v>
      </c>
      <c r="X600">
        <v>7.0490891083570215</v>
      </c>
      <c r="Y600">
        <v>2876.805216305313</v>
      </c>
      <c r="Z600">
        <v>9.8502182714499558</v>
      </c>
      <c r="AA600">
        <v>2719.2092704161455</v>
      </c>
      <c r="AB600">
        <v>7.0817278603364109</v>
      </c>
      <c r="AC600">
        <v>2189.6587141027699</v>
      </c>
      <c r="AD600">
        <v>9.8306901115636087</v>
      </c>
      <c r="AE600">
        <v>1999.8822520281828</v>
      </c>
      <c r="AF600">
        <v>7.0706376305963756</v>
      </c>
      <c r="AG600">
        <v>2082.2091035019912</v>
      </c>
      <c r="AH600">
        <v>9.8206544071923076</v>
      </c>
      <c r="AI600">
        <v>1878.389780683139</v>
      </c>
      <c r="AJ600">
        <v>7.0649332899156922</v>
      </c>
    </row>
    <row r="601" spans="4:36" x14ac:dyDescent="0.45">
      <c r="D601">
        <v>594</v>
      </c>
      <c r="E601">
        <v>12.11451960916097</v>
      </c>
      <c r="F601">
        <v>0.43792913126082811</v>
      </c>
      <c r="G601">
        <v>0.16364199680992458</v>
      </c>
      <c r="H601">
        <v>17.283909262768265</v>
      </c>
      <c r="I601">
        <v>12.304268803734656</v>
      </c>
      <c r="J601">
        <v>0.29198107335440832</v>
      </c>
      <c r="K601">
        <v>0.10878790365971049</v>
      </c>
      <c r="L601">
        <v>17.294962219251232</v>
      </c>
      <c r="M601">
        <v>12.209494513801426</v>
      </c>
      <c r="N601">
        <v>0.36490163350460281</v>
      </c>
      <c r="O601">
        <v>0.13615435359987382</v>
      </c>
      <c r="P601">
        <v>17.289449499094093</v>
      </c>
      <c r="Q601">
        <v>12.17716153030109</v>
      </c>
      <c r="R601">
        <v>0.38976825943649884</v>
      </c>
      <c r="S601">
        <v>0.14550502278964525</v>
      </c>
      <c r="T601">
        <v>17.287565187472769</v>
      </c>
      <c r="U601">
        <v>1497.9998922887137</v>
      </c>
      <c r="V601">
        <v>9.5682951848440929</v>
      </c>
      <c r="W601">
        <v>1258.1002337281832</v>
      </c>
      <c r="X601">
        <v>6.9124163517248247</v>
      </c>
      <c r="Y601">
        <v>2876.9474621015806</v>
      </c>
      <c r="Z601">
        <v>9.5969385774180029</v>
      </c>
      <c r="AA601">
        <v>2717.1885808129232</v>
      </c>
      <c r="AB601">
        <v>6.9296967645432854</v>
      </c>
      <c r="AC601">
        <v>2201.1294804314412</v>
      </c>
      <c r="AD601">
        <v>9.5826274099435853</v>
      </c>
      <c r="AE601">
        <v>2004.5674158027894</v>
      </c>
      <c r="AF601">
        <v>6.9210709941280273</v>
      </c>
      <c r="AG601">
        <v>2113.6228915731072</v>
      </c>
      <c r="AH601">
        <v>9.5777471449238742</v>
      </c>
      <c r="AI601">
        <v>1897.7608561355414</v>
      </c>
      <c r="AJ601">
        <v>6.9181258328786894</v>
      </c>
    </row>
    <row r="602" spans="4:36" x14ac:dyDescent="0.45">
      <c r="D602">
        <v>595</v>
      </c>
      <c r="E602">
        <v>12.685493557781555</v>
      </c>
      <c r="F602">
        <v>0.42396988689758708</v>
      </c>
      <c r="G602">
        <v>0.16017942684366152</v>
      </c>
      <c r="H602">
        <v>16.730357128477209</v>
      </c>
      <c r="I602">
        <v>12.897087502539399</v>
      </c>
      <c r="J602">
        <v>0.27983473707278739</v>
      </c>
      <c r="K602">
        <v>0.1053812466609636</v>
      </c>
      <c r="L602">
        <v>16.717696513726843</v>
      </c>
      <c r="M602">
        <v>12.808356422573247</v>
      </c>
      <c r="N602">
        <v>0.34031275923605431</v>
      </c>
      <c r="O602">
        <v>0.12833019146048899</v>
      </c>
      <c r="P602">
        <v>16.723000626730208</v>
      </c>
      <c r="Q602">
        <v>12.789115163781211</v>
      </c>
      <c r="R602">
        <v>0.35342062240676164</v>
      </c>
      <c r="S602">
        <v>0.13331243236838364</v>
      </c>
      <c r="T602">
        <v>16.724151781443627</v>
      </c>
      <c r="U602">
        <v>1561.095378415584</v>
      </c>
      <c r="V602">
        <v>10.077001741753957</v>
      </c>
      <c r="W602">
        <v>1299.2240300228905</v>
      </c>
      <c r="X602">
        <v>7.2212400893192541</v>
      </c>
      <c r="Y602">
        <v>2920.4500828177502</v>
      </c>
      <c r="Z602">
        <v>10.125710452102929</v>
      </c>
      <c r="AA602">
        <v>2745.7690560415103</v>
      </c>
      <c r="AB602">
        <v>7.2491792869312732</v>
      </c>
      <c r="AC602">
        <v>2230.5892784789858</v>
      </c>
      <c r="AD602">
        <v>10.105286529357672</v>
      </c>
      <c r="AE602">
        <v>2023.2385829252582</v>
      </c>
      <c r="AF602">
        <v>7.2374750855924521</v>
      </c>
      <c r="AG602">
        <v>2090.0508353051241</v>
      </c>
      <c r="AH602">
        <v>10.100857261627333</v>
      </c>
      <c r="AI602">
        <v>1878.7244464235389</v>
      </c>
      <c r="AJ602">
        <v>7.2349347653242617</v>
      </c>
    </row>
    <row r="603" spans="4:36" x14ac:dyDescent="0.45">
      <c r="D603">
        <v>596</v>
      </c>
      <c r="E603">
        <v>12.183024871801347</v>
      </c>
      <c r="F603">
        <v>0.44141356903269746</v>
      </c>
      <c r="G603">
        <v>0.17728485899771609</v>
      </c>
      <c r="H603">
        <v>17.198276700168229</v>
      </c>
      <c r="I603">
        <v>12.405971520678284</v>
      </c>
      <c r="J603">
        <v>0.28173230243188641</v>
      </c>
      <c r="K603">
        <v>0.11276448538286564</v>
      </c>
      <c r="L603">
        <v>17.199531691506959</v>
      </c>
      <c r="M603">
        <v>12.366683290151839</v>
      </c>
      <c r="N603">
        <v>0.30989387146798275</v>
      </c>
      <c r="O603">
        <v>0.12411083446706342</v>
      </c>
      <c r="P603">
        <v>17.199312003913114</v>
      </c>
      <c r="Q603">
        <v>12.30090431213071</v>
      </c>
      <c r="R603">
        <v>0.35702274804063477</v>
      </c>
      <c r="S603">
        <v>0.14313015154712971</v>
      </c>
      <c r="T603">
        <v>17.198942788281524</v>
      </c>
      <c r="U603">
        <v>1519.4204605872123</v>
      </c>
      <c r="V603">
        <v>9.6752783487430793</v>
      </c>
      <c r="W603">
        <v>1270.6262570910706</v>
      </c>
      <c r="X603">
        <v>6.9829085007691187</v>
      </c>
      <c r="Y603">
        <v>2869.515577139844</v>
      </c>
      <c r="Z603">
        <v>9.7181110523851029</v>
      </c>
      <c r="AA603">
        <v>2710.7946655110836</v>
      </c>
      <c r="AB603">
        <v>7.0080261817401457</v>
      </c>
      <c r="AC603">
        <v>2195.3255423892906</v>
      </c>
      <c r="AD603">
        <v>9.7105621307050605</v>
      </c>
      <c r="AE603">
        <v>2002.6355042931427</v>
      </c>
      <c r="AF603">
        <v>7.0036063609160228</v>
      </c>
      <c r="AG603">
        <v>2147.6708018066597</v>
      </c>
      <c r="AH603">
        <v>9.6979240151096953</v>
      </c>
      <c r="AI603">
        <v>1922.6995759552419</v>
      </c>
      <c r="AJ603">
        <v>6.9962002289010377</v>
      </c>
    </row>
    <row r="604" spans="4:36" x14ac:dyDescent="0.45">
      <c r="D604">
        <v>597</v>
      </c>
      <c r="E604">
        <v>12.247927373715983</v>
      </c>
      <c r="F604">
        <v>0.40683801111685958</v>
      </c>
      <c r="G604">
        <v>0.16039077361165632</v>
      </c>
      <c r="H604">
        <v>17.184843841555502</v>
      </c>
      <c r="I604">
        <v>12.439927942639416</v>
      </c>
      <c r="J604">
        <v>0.27299183030816093</v>
      </c>
      <c r="K604">
        <v>0.10731117536624156</v>
      </c>
      <c r="L604">
        <v>17.179769051686179</v>
      </c>
      <c r="M604">
        <v>12.36277934003396</v>
      </c>
      <c r="N604">
        <v>0.32680159320728053</v>
      </c>
      <c r="O604">
        <v>0.12861299507096097</v>
      </c>
      <c r="P604">
        <v>17.181806071687795</v>
      </c>
      <c r="Q604">
        <v>12.307182275190742</v>
      </c>
      <c r="R604">
        <v>0.3655559136999082</v>
      </c>
      <c r="S604">
        <v>0.14398601398622884</v>
      </c>
      <c r="T604">
        <v>17.183275797123137</v>
      </c>
      <c r="U604">
        <v>1542.4413679380959</v>
      </c>
      <c r="V604">
        <v>9.5623106729532878</v>
      </c>
      <c r="W604">
        <v>1292.8813062580612</v>
      </c>
      <c r="X604">
        <v>6.8986726568418364</v>
      </c>
      <c r="Y604">
        <v>2868.0391882038762</v>
      </c>
      <c r="Z604">
        <v>9.6008668465039211</v>
      </c>
      <c r="AA604">
        <v>2712.241840236602</v>
      </c>
      <c r="AB604">
        <v>6.9210406945087994</v>
      </c>
      <c r="AC604">
        <v>2205.4522628339496</v>
      </c>
      <c r="AD604">
        <v>9.5853751812772998</v>
      </c>
      <c r="AE604">
        <v>2010.7123298153792</v>
      </c>
      <c r="AF604">
        <v>6.9120617300530665</v>
      </c>
      <c r="AG604">
        <v>2122.0054577636674</v>
      </c>
      <c r="AH604">
        <v>9.5742104940890016</v>
      </c>
      <c r="AI604">
        <v>1905.7828288937476</v>
      </c>
      <c r="AJ604">
        <v>6.9055837088994378</v>
      </c>
    </row>
    <row r="605" spans="4:36" x14ac:dyDescent="0.45">
      <c r="D605">
        <v>598</v>
      </c>
      <c r="E605">
        <v>11.838063121683422</v>
      </c>
      <c r="F605">
        <v>0.47285275982789809</v>
      </c>
      <c r="G605">
        <v>0.15317725312060906</v>
      </c>
      <c r="H605">
        <v>17.535906865368048</v>
      </c>
      <c r="I605">
        <v>12.06294298029283</v>
      </c>
      <c r="J605">
        <v>0.29159804706453146</v>
      </c>
      <c r="K605">
        <v>9.4146049792554462E-2</v>
      </c>
      <c r="L605">
        <v>17.551312922850094</v>
      </c>
      <c r="M605">
        <v>11.956044368241578</v>
      </c>
      <c r="N605">
        <v>0.37778819430105393</v>
      </c>
      <c r="O605">
        <v>0.12216668772854959</v>
      </c>
      <c r="P605">
        <v>17.544000749728831</v>
      </c>
      <c r="Q605">
        <v>11.913460854631447</v>
      </c>
      <c r="R605">
        <v>0.41210774320812871</v>
      </c>
      <c r="S605">
        <v>0.13334913909195897</v>
      </c>
      <c r="T605">
        <v>17.541082263068464</v>
      </c>
      <c r="U605">
        <v>1508.5073586914127</v>
      </c>
      <c r="V605">
        <v>9.4078132461067323</v>
      </c>
      <c r="W605">
        <v>1264.1799078088989</v>
      </c>
      <c r="X605">
        <v>6.8246308575866674</v>
      </c>
      <c r="Y605">
        <v>2880.0130902135761</v>
      </c>
      <c r="Z605">
        <v>9.442126787916207</v>
      </c>
      <c r="AA605">
        <v>2720.262202942039</v>
      </c>
      <c r="AB605">
        <v>6.8454297659532326</v>
      </c>
      <c r="AC605">
        <v>2212.1881625033152</v>
      </c>
      <c r="AD605">
        <v>9.4258091291146808</v>
      </c>
      <c r="AE605">
        <v>2012.5608206313836</v>
      </c>
      <c r="AF605">
        <v>6.8355507296808815</v>
      </c>
      <c r="AG605">
        <v>2107.8599284607735</v>
      </c>
      <c r="AH605">
        <v>9.4193121492983938</v>
      </c>
      <c r="AI605">
        <v>1892.8442318523964</v>
      </c>
      <c r="AJ605">
        <v>6.8316113984600531</v>
      </c>
    </row>
    <row r="606" spans="4:36" x14ac:dyDescent="0.45">
      <c r="D606">
        <v>599</v>
      </c>
      <c r="E606">
        <v>12.61023303112338</v>
      </c>
      <c r="F606">
        <v>0.43495357480494506</v>
      </c>
      <c r="G606">
        <v>0.14273151003880086</v>
      </c>
      <c r="H606">
        <v>16.812081884032853</v>
      </c>
      <c r="I606">
        <v>12.822495302495033</v>
      </c>
      <c r="J606">
        <v>0.28922180477800891</v>
      </c>
      <c r="K606">
        <v>9.4625290319733976E-2</v>
      </c>
      <c r="L606">
        <v>16.793657602407219</v>
      </c>
      <c r="M606">
        <v>12.742777877062247</v>
      </c>
      <c r="N606">
        <v>0.34398712682546495</v>
      </c>
      <c r="O606">
        <v>0.11266909937125387</v>
      </c>
      <c r="P606">
        <v>16.800565896741031</v>
      </c>
      <c r="Q606">
        <v>12.72226059179914</v>
      </c>
      <c r="R606">
        <v>0.35807573876385029</v>
      </c>
      <c r="S606">
        <v>0.11731758898692812</v>
      </c>
      <c r="T606">
        <v>16.802346080450093</v>
      </c>
      <c r="U606">
        <v>1537.7631743084428</v>
      </c>
      <c r="V606">
        <v>9.8550373003684815</v>
      </c>
      <c r="W606">
        <v>1284.5673566630285</v>
      </c>
      <c r="X606">
        <v>7.0719145727021662</v>
      </c>
      <c r="Y606">
        <v>2905.9284669496528</v>
      </c>
      <c r="Z606">
        <v>9.9054889997099753</v>
      </c>
      <c r="AA606">
        <v>2736.56536134818</v>
      </c>
      <c r="AB606">
        <v>7.1003522513054165</v>
      </c>
      <c r="AC606">
        <v>2193.2105885253095</v>
      </c>
      <c r="AD606">
        <v>9.8865480082100774</v>
      </c>
      <c r="AE606">
        <v>1998.4023962935239</v>
      </c>
      <c r="AF606">
        <v>7.0896857503438575</v>
      </c>
      <c r="AG606">
        <v>2114.1379460905232</v>
      </c>
      <c r="AH606">
        <v>9.881671769337089</v>
      </c>
      <c r="AI606">
        <v>1898.2031867575174</v>
      </c>
      <c r="AJ606">
        <v>7.0869378279761586</v>
      </c>
    </row>
    <row r="607" spans="4:36" x14ac:dyDescent="0.45">
      <c r="D607">
        <v>600</v>
      </c>
      <c r="E607">
        <v>11.978720393947576</v>
      </c>
      <c r="F607">
        <v>0.46308956693739423</v>
      </c>
      <c r="G607">
        <v>0.1567843334416669</v>
      </c>
      <c r="H607">
        <v>17.401405705673351</v>
      </c>
      <c r="I607">
        <v>12.182385921935513</v>
      </c>
      <c r="J607">
        <v>0.30321480237409842</v>
      </c>
      <c r="K607">
        <v>0.10234103902663054</v>
      </c>
      <c r="L607">
        <v>17.41205823666375</v>
      </c>
      <c r="M607">
        <v>12.118216114870718</v>
      </c>
      <c r="N607">
        <v>0.35360961923848772</v>
      </c>
      <c r="O607">
        <v>0.11946567845884221</v>
      </c>
      <c r="P607">
        <v>17.408708587431953</v>
      </c>
      <c r="Q607">
        <v>12.071049085815508</v>
      </c>
      <c r="R607">
        <v>0.39063848110026517</v>
      </c>
      <c r="S607">
        <v>0.13206986432871623</v>
      </c>
      <c r="T607">
        <v>17.406242568755495</v>
      </c>
      <c r="U607">
        <v>1501.2765110808671</v>
      </c>
      <c r="V607">
        <v>9.488314001358976</v>
      </c>
      <c r="W607">
        <v>1262.7821558905453</v>
      </c>
      <c r="X607">
        <v>6.867522878136012</v>
      </c>
      <c r="Y607">
        <v>2873.1091823532843</v>
      </c>
      <c r="Z607">
        <v>9.5191932813986053</v>
      </c>
      <c r="AA607">
        <v>2716.2731164698193</v>
      </c>
      <c r="AB607">
        <v>6.8861564443678374</v>
      </c>
      <c r="AC607">
        <v>2149.4668750845867</v>
      </c>
      <c r="AD607">
        <v>9.5094597420321101</v>
      </c>
      <c r="AE607">
        <v>1971.144190806624</v>
      </c>
      <c r="AF607">
        <v>6.880290996344649</v>
      </c>
      <c r="AG607">
        <v>2093.9176160583838</v>
      </c>
      <c r="AH607">
        <v>9.5023077474025914</v>
      </c>
      <c r="AI607">
        <v>1886.9720736337272</v>
      </c>
      <c r="AJ607">
        <v>6.8759764698719561</v>
      </c>
    </row>
    <row r="608" spans="4:36" x14ac:dyDescent="0.45">
      <c r="D608">
        <v>601</v>
      </c>
      <c r="E608">
        <v>12.662426613107147</v>
      </c>
      <c r="F608">
        <v>0.45738419254069107</v>
      </c>
      <c r="G608">
        <v>0.15030519060292821</v>
      </c>
      <c r="H608">
        <v>16.729884003749227</v>
      </c>
      <c r="I608">
        <v>12.883918963525302</v>
      </c>
      <c r="J608">
        <v>0.30062162287260819</v>
      </c>
      <c r="K608">
        <v>9.8485367542183483E-2</v>
      </c>
      <c r="L608">
        <v>16.716974046059892</v>
      </c>
      <c r="M608">
        <v>12.818492881617814</v>
      </c>
      <c r="N608">
        <v>0.3469586530889916</v>
      </c>
      <c r="O608">
        <v>0.11376887197400039</v>
      </c>
      <c r="P608">
        <v>16.720779593319197</v>
      </c>
      <c r="Q608">
        <v>12.797809355931063</v>
      </c>
      <c r="R608">
        <v>0.36160200982876062</v>
      </c>
      <c r="S608">
        <v>0.11860460169852996</v>
      </c>
      <c r="T608">
        <v>16.721984032541631</v>
      </c>
      <c r="U608">
        <v>1539.5584726631146</v>
      </c>
      <c r="V608">
        <v>9.9794468952952116</v>
      </c>
      <c r="W608">
        <v>1286.5960328246088</v>
      </c>
      <c r="X608">
        <v>7.152228814198649</v>
      </c>
      <c r="Y608">
        <v>2872.8319317451692</v>
      </c>
      <c r="Z608">
        <v>10.028455948188959</v>
      </c>
      <c r="AA608">
        <v>2713.4723714893707</v>
      </c>
      <c r="AB608">
        <v>7.1800503104656732</v>
      </c>
      <c r="AC608">
        <v>2195.1736647724933</v>
      </c>
      <c r="AD608">
        <v>10.013983663510677</v>
      </c>
      <c r="AE608">
        <v>2001.3988507510767</v>
      </c>
      <c r="AF608">
        <v>7.1718437993183679</v>
      </c>
      <c r="AG608">
        <v>2083.6400016544585</v>
      </c>
      <c r="AH608">
        <v>10.009407696650456</v>
      </c>
      <c r="AI608">
        <v>1877.8202085386674</v>
      </c>
      <c r="AJ608">
        <v>7.1692474144783969</v>
      </c>
    </row>
    <row r="609" spans="4:36" x14ac:dyDescent="0.45">
      <c r="D609">
        <v>602</v>
      </c>
      <c r="E609">
        <v>11.88400293453941</v>
      </c>
      <c r="F609">
        <v>0.42729727980734022</v>
      </c>
      <c r="G609">
        <v>0.16659929434366536</v>
      </c>
      <c r="H609">
        <v>17.522100491309594</v>
      </c>
      <c r="I609">
        <v>12.087526292036905</v>
      </c>
      <c r="J609">
        <v>0.27877583232264547</v>
      </c>
      <c r="K609">
        <v>0.10835435061667978</v>
      </c>
      <c r="L609">
        <v>17.525343525023771</v>
      </c>
      <c r="M609">
        <v>11.986062127146141</v>
      </c>
      <c r="N609">
        <v>0.3528505863620342</v>
      </c>
      <c r="O609">
        <v>0.13735791254785396</v>
      </c>
      <c r="P609">
        <v>17.523729373943965</v>
      </c>
      <c r="Q609">
        <v>11.98676722111917</v>
      </c>
      <c r="R609">
        <v>0.35233603950454334</v>
      </c>
      <c r="S609">
        <v>0.13715613045577349</v>
      </c>
      <c r="T609">
        <v>17.523740608920519</v>
      </c>
      <c r="U609">
        <v>1540.4228332067255</v>
      </c>
      <c r="V609">
        <v>9.3556235226418476</v>
      </c>
      <c r="W609">
        <v>1288.4055401305723</v>
      </c>
      <c r="X609">
        <v>6.784943703576829</v>
      </c>
      <c r="Y609">
        <v>2878.6670767736673</v>
      </c>
      <c r="Z609">
        <v>9.3911535171933327</v>
      </c>
      <c r="AA609">
        <v>2718.4813705198981</v>
      </c>
      <c r="AB609">
        <v>6.8059849940841435</v>
      </c>
      <c r="AC609">
        <v>2207.5996540016181</v>
      </c>
      <c r="AD609">
        <v>9.3734386169362658</v>
      </c>
      <c r="AE609">
        <v>2008.9342129674569</v>
      </c>
      <c r="AF609">
        <v>6.7955037613733387</v>
      </c>
      <c r="AG609">
        <v>2087.8469635924189</v>
      </c>
      <c r="AH609">
        <v>9.3735617086026455</v>
      </c>
      <c r="AI609">
        <v>1880.7703892488944</v>
      </c>
      <c r="AJ609">
        <v>6.7955766565431981</v>
      </c>
    </row>
    <row r="610" spans="4:36" x14ac:dyDescent="0.45">
      <c r="D610">
        <v>603</v>
      </c>
      <c r="E610">
        <v>11.876495149190561</v>
      </c>
      <c r="F610">
        <v>0.43649087344869697</v>
      </c>
      <c r="G610">
        <v>0.17287343516356854</v>
      </c>
      <c r="H610">
        <v>17.514140542197168</v>
      </c>
      <c r="I610">
        <v>12.100528912023497</v>
      </c>
      <c r="J610">
        <v>0.26585440932867344</v>
      </c>
      <c r="K610">
        <v>0.10492600050208575</v>
      </c>
      <c r="L610">
        <v>17.528690678145754</v>
      </c>
      <c r="M610">
        <v>11.995448502024615</v>
      </c>
      <c r="N610">
        <v>0.34592352281903704</v>
      </c>
      <c r="O610">
        <v>0.13674974390745781</v>
      </c>
      <c r="P610">
        <v>17.521878231248895</v>
      </c>
      <c r="Q610">
        <v>11.923071625171756</v>
      </c>
      <c r="R610">
        <v>0.40103825853538672</v>
      </c>
      <c r="S610">
        <v>0.15871656894536287</v>
      </c>
      <c r="T610">
        <v>17.517173547347483</v>
      </c>
      <c r="U610">
        <v>1530.5907504561087</v>
      </c>
      <c r="V610">
        <v>9.4030171213498495</v>
      </c>
      <c r="W610">
        <v>1279.0830231237305</v>
      </c>
      <c r="X610">
        <v>6.8184335000569538</v>
      </c>
      <c r="Y610">
        <v>2891.1771137503019</v>
      </c>
      <c r="Z610">
        <v>9.4386003462041632</v>
      </c>
      <c r="AA610">
        <v>2727.9579905132064</v>
      </c>
      <c r="AB610">
        <v>6.8400870615298608</v>
      </c>
      <c r="AC610">
        <v>2220.5264384975267</v>
      </c>
      <c r="AD610">
        <v>9.4219026927538501</v>
      </c>
      <c r="AE610">
        <v>2017.9302920207913</v>
      </c>
      <c r="AF610">
        <v>6.8299384755480297</v>
      </c>
      <c r="AG610">
        <v>2126.8073858866724</v>
      </c>
      <c r="AH610">
        <v>9.410409704976983</v>
      </c>
      <c r="AI610">
        <v>1903.7573454252517</v>
      </c>
      <c r="AJ610">
        <v>6.8229404139549921</v>
      </c>
    </row>
    <row r="611" spans="4:36" x14ac:dyDescent="0.45">
      <c r="D611">
        <v>604</v>
      </c>
      <c r="E611">
        <v>12.121680226319693</v>
      </c>
      <c r="F611">
        <v>0.48029842083901947</v>
      </c>
      <c r="G611">
        <v>0.16495873126713248</v>
      </c>
      <c r="H611">
        <v>17.233062621574156</v>
      </c>
      <c r="I611">
        <v>12.363426934064629</v>
      </c>
      <c r="J611">
        <v>0.29289442678063582</v>
      </c>
      <c r="K611">
        <v>0.10022546437722746</v>
      </c>
      <c r="L611">
        <v>17.24345317477751</v>
      </c>
      <c r="M611">
        <v>12.283676998634936</v>
      </c>
      <c r="N611">
        <v>0.35475042152431291</v>
      </c>
      <c r="O611">
        <v>0.12153851124357909</v>
      </c>
      <c r="P611">
        <v>17.240034068597168</v>
      </c>
      <c r="Q611">
        <v>12.244228050599574</v>
      </c>
      <c r="R611">
        <v>0.38533595799863668</v>
      </c>
      <c r="S611">
        <v>0.13209633909593679</v>
      </c>
      <c r="T611">
        <v>17.238339652305861</v>
      </c>
      <c r="U611">
        <v>1526.5937907632008</v>
      </c>
      <c r="V611">
        <v>9.5862216182058386</v>
      </c>
      <c r="W611">
        <v>1276.6517479696338</v>
      </c>
      <c r="X611">
        <v>6.9220694248837216</v>
      </c>
      <c r="Y611">
        <v>2876.6773944639876</v>
      </c>
      <c r="Z611">
        <v>9.6271880263650722</v>
      </c>
      <c r="AA611">
        <v>2717.5341300727528</v>
      </c>
      <c r="AB611">
        <v>6.9465346782062758</v>
      </c>
      <c r="AC611">
        <v>2215.952487989799</v>
      </c>
      <c r="AD611">
        <v>9.6136684074296106</v>
      </c>
      <c r="AE611">
        <v>2016.8693804865839</v>
      </c>
      <c r="AF611">
        <v>6.9384729723531198</v>
      </c>
      <c r="AG611">
        <v>2073.3269982351335</v>
      </c>
      <c r="AH611">
        <v>9.6069826987682045</v>
      </c>
      <c r="AI611">
        <v>1869.6332965898998</v>
      </c>
      <c r="AJ611">
        <v>6.9344818748821462</v>
      </c>
    </row>
    <row r="612" spans="4:36" x14ac:dyDescent="0.45">
      <c r="D612">
        <v>605</v>
      </c>
      <c r="E612">
        <v>11.319098840900947</v>
      </c>
      <c r="F612">
        <v>0.41835824645032071</v>
      </c>
      <c r="G612">
        <v>0.13918897235143962</v>
      </c>
      <c r="H612">
        <v>18.123353940297292</v>
      </c>
      <c r="I612">
        <v>11.484131606185123</v>
      </c>
      <c r="J612">
        <v>0.28815403155281671</v>
      </c>
      <c r="K612">
        <v>9.5630773302955219E-2</v>
      </c>
      <c r="L612">
        <v>18.132083588959091</v>
      </c>
      <c r="M612">
        <v>11.437884998652871</v>
      </c>
      <c r="N612">
        <v>0.32465469351308346</v>
      </c>
      <c r="O612">
        <v>0.10781943546353058</v>
      </c>
      <c r="P612">
        <v>18.129640872370508</v>
      </c>
      <c r="Q612">
        <v>11.419359364756692</v>
      </c>
      <c r="R612">
        <v>0.3392732261573756</v>
      </c>
      <c r="S612">
        <v>0.11270582468653226</v>
      </c>
      <c r="T612">
        <v>18.128661584399389</v>
      </c>
      <c r="U612">
        <v>1454.7306442641761</v>
      </c>
      <c r="V612">
        <v>8.8849262973229806</v>
      </c>
      <c r="W612">
        <v>1235.5816803191753</v>
      </c>
      <c r="X612">
        <v>6.5061245955189113</v>
      </c>
      <c r="Y612">
        <v>2852.3517893604899</v>
      </c>
      <c r="Z612">
        <v>8.9116907455126206</v>
      </c>
      <c r="AA612">
        <v>2704.5680042086674</v>
      </c>
      <c r="AB612">
        <v>6.5223645472299943</v>
      </c>
      <c r="AC612">
        <v>2162.6363191164864</v>
      </c>
      <c r="AD612">
        <v>8.9041884979460733</v>
      </c>
      <c r="AE612">
        <v>1985.7576086119561</v>
      </c>
      <c r="AF612">
        <v>6.5178179865944825</v>
      </c>
      <c r="AG612">
        <v>2037.3023594669548</v>
      </c>
      <c r="AH612">
        <v>8.9011836841075596</v>
      </c>
      <c r="AI612">
        <v>1852.5164492600977</v>
      </c>
      <c r="AJ612">
        <v>6.5159957725191617</v>
      </c>
    </row>
    <row r="613" spans="4:36" x14ac:dyDescent="0.45">
      <c r="D613">
        <v>606</v>
      </c>
      <c r="E613">
        <v>12.946002703431345</v>
      </c>
      <c r="F613">
        <v>0.50784245365052794</v>
      </c>
      <c r="G613">
        <v>0.15641973103260803</v>
      </c>
      <c r="H613">
        <v>16.389735111885514</v>
      </c>
      <c r="I613">
        <v>13.223305405786167</v>
      </c>
      <c r="J613">
        <v>0.30292961856013884</v>
      </c>
      <c r="K613">
        <v>9.2947187024420411E-2</v>
      </c>
      <c r="L613">
        <v>16.38081778862928</v>
      </c>
      <c r="M613">
        <v>13.10594084282581</v>
      </c>
      <c r="N613">
        <v>0.38970833205486533</v>
      </c>
      <c r="O613">
        <v>0.11976683447885436</v>
      </c>
      <c r="P613">
        <v>16.384583990640458</v>
      </c>
      <c r="Q613">
        <v>13.090673556456876</v>
      </c>
      <c r="R613">
        <v>0.40099128112529725</v>
      </c>
      <c r="S613">
        <v>0.12326039709615591</v>
      </c>
      <c r="T613">
        <v>16.385074765321672</v>
      </c>
      <c r="U613">
        <v>1592.8226058463681</v>
      </c>
      <c r="V613">
        <v>10.26600179271226</v>
      </c>
      <c r="W613">
        <v>1315.6918725284334</v>
      </c>
      <c r="X613">
        <v>7.3217978392592631</v>
      </c>
      <c r="Y613">
        <v>2910.5619502301925</v>
      </c>
      <c r="Z613">
        <v>10.324066052548403</v>
      </c>
      <c r="AA613">
        <v>2736.873199602222</v>
      </c>
      <c r="AB613">
        <v>7.354838031832994</v>
      </c>
      <c r="AC613">
        <v>2254.1477062444687</v>
      </c>
      <c r="AD613">
        <v>10.299495936877006</v>
      </c>
      <c r="AE613">
        <v>2036.3771227920663</v>
      </c>
      <c r="AF613">
        <v>7.3408728346058441</v>
      </c>
      <c r="AG613">
        <v>2160.3469211905949</v>
      </c>
      <c r="AH613">
        <v>10.296299237363833</v>
      </c>
      <c r="AI613">
        <v>1925.5503627478201</v>
      </c>
      <c r="AJ613">
        <v>7.3390541871599506</v>
      </c>
    </row>
    <row r="614" spans="4:36" x14ac:dyDescent="0.45">
      <c r="D614">
        <v>607</v>
      </c>
      <c r="E614">
        <v>12.177509116880708</v>
      </c>
      <c r="F614">
        <v>0.41664617659967912</v>
      </c>
      <c r="G614">
        <v>0.13702631307980051</v>
      </c>
      <c r="H614">
        <v>17.268818393439819</v>
      </c>
      <c r="I614">
        <v>12.347612672508163</v>
      </c>
      <c r="J614">
        <v>0.2874236074495844</v>
      </c>
      <c r="K614">
        <v>9.4302259834980889E-2</v>
      </c>
      <c r="L614">
        <v>17.270661460207272</v>
      </c>
      <c r="M614">
        <v>12.251131989535065</v>
      </c>
      <c r="N614">
        <v>0.36073633520375764</v>
      </c>
      <c r="O614">
        <v>0.11851580088188317</v>
      </c>
      <c r="P614">
        <v>17.269615874379308</v>
      </c>
      <c r="Q614">
        <v>12.223894833795347</v>
      </c>
      <c r="R614">
        <v>0.38142390412016547</v>
      </c>
      <c r="S614">
        <v>0.12536045966724504</v>
      </c>
      <c r="T614">
        <v>17.269320802417255</v>
      </c>
      <c r="U614">
        <v>1488.9964742884656</v>
      </c>
      <c r="V614">
        <v>9.5998852321670238</v>
      </c>
      <c r="W614">
        <v>1256.0615623634624</v>
      </c>
      <c r="X614">
        <v>6.9336765095598194</v>
      </c>
      <c r="Y614">
        <v>2862.5663337999954</v>
      </c>
      <c r="Z614">
        <v>9.6296282287071602</v>
      </c>
      <c r="AA614">
        <v>2709.0702532151408</v>
      </c>
      <c r="AB614">
        <v>6.9510367697450857</v>
      </c>
      <c r="AC614">
        <v>2200.9115605190041</v>
      </c>
      <c r="AD614">
        <v>9.6127585140374894</v>
      </c>
      <c r="AE614">
        <v>2007.2069073341304</v>
      </c>
      <c r="AF614">
        <v>6.9411963577157838</v>
      </c>
      <c r="AG614">
        <v>2107.1555134644564</v>
      </c>
      <c r="AH614">
        <v>9.6079960057482925</v>
      </c>
      <c r="AI614">
        <v>1896.320634836932</v>
      </c>
      <c r="AJ614">
        <v>6.9384154464372285</v>
      </c>
    </row>
    <row r="615" spans="4:36" x14ac:dyDescent="0.45">
      <c r="D615">
        <v>608</v>
      </c>
      <c r="E615">
        <v>12.533853353155081</v>
      </c>
      <c r="F615">
        <v>0.44224259263446308</v>
      </c>
      <c r="G615">
        <v>0.1755843685448493</v>
      </c>
      <c r="H615">
        <v>16.848319685665615</v>
      </c>
      <c r="I615">
        <v>12.752693482280458</v>
      </c>
      <c r="J615">
        <v>0.28633755447712944</v>
      </c>
      <c r="K615">
        <v>0.11331184354961905</v>
      </c>
      <c r="L615">
        <v>16.847657119692805</v>
      </c>
      <c r="M615">
        <v>12.656101124703167</v>
      </c>
      <c r="N615">
        <v>0.35518745396568085</v>
      </c>
      <c r="O615">
        <v>0.14076105025263452</v>
      </c>
      <c r="P615">
        <v>16.847950371078511</v>
      </c>
      <c r="Q615">
        <v>12.635916690979478</v>
      </c>
      <c r="R615">
        <v>0.36956751506105817</v>
      </c>
      <c r="S615">
        <v>0.14650430342388976</v>
      </c>
      <c r="T615">
        <v>16.848011490535576</v>
      </c>
      <c r="U615">
        <v>1534.4077100225015</v>
      </c>
      <c r="V615">
        <v>9.8810768277698848</v>
      </c>
      <c r="W615">
        <v>1281.2394956936839</v>
      </c>
      <c r="X615">
        <v>7.0922970690794696</v>
      </c>
      <c r="Y615">
        <v>2887.2922803867978</v>
      </c>
      <c r="Z615">
        <v>9.9205752166543348</v>
      </c>
      <c r="AA615">
        <v>2723.1636773345303</v>
      </c>
      <c r="AB615">
        <v>7.1152230891706481</v>
      </c>
      <c r="AC615">
        <v>2207.3360301369194</v>
      </c>
      <c r="AD615">
        <v>9.9031410090023719</v>
      </c>
      <c r="AE615">
        <v>2007.4634401100996</v>
      </c>
      <c r="AF615">
        <v>7.1051137251116989</v>
      </c>
      <c r="AG615">
        <v>2099.1185184098722</v>
      </c>
      <c r="AH615">
        <v>9.8994979235595135</v>
      </c>
      <c r="AI615">
        <v>1886.238932190224</v>
      </c>
      <c r="AJ615">
        <v>7.1029992744455619</v>
      </c>
    </row>
    <row r="616" spans="4:36" x14ac:dyDescent="0.45">
      <c r="D616">
        <v>609</v>
      </c>
      <c r="E616">
        <v>12.451236133594042</v>
      </c>
      <c r="F616">
        <v>0.45044679373930141</v>
      </c>
      <c r="G616">
        <v>0.17852211139025848</v>
      </c>
      <c r="H616">
        <v>16.919794961276402</v>
      </c>
      <c r="I616">
        <v>12.667820868899017</v>
      </c>
      <c r="J616">
        <v>0.2880200312165021</v>
      </c>
      <c r="K616">
        <v>0.11378159044499533</v>
      </c>
      <c r="L616">
        <v>16.930377509439467</v>
      </c>
      <c r="M616">
        <v>12.570982579573055</v>
      </c>
      <c r="N616">
        <v>0.36067542580476369</v>
      </c>
      <c r="O616">
        <v>0.14268850588008425</v>
      </c>
      <c r="P616">
        <v>16.925653488742093</v>
      </c>
      <c r="Q616">
        <v>12.515960237010439</v>
      </c>
      <c r="R616">
        <v>0.40193437403654447</v>
      </c>
      <c r="S616">
        <v>0.15914149058395177</v>
      </c>
      <c r="T616">
        <v>16.922963898369058</v>
      </c>
      <c r="U616">
        <v>1511.9232216332414</v>
      </c>
      <c r="V616">
        <v>9.8341088130085144</v>
      </c>
      <c r="W616">
        <v>1260.7105256372322</v>
      </c>
      <c r="X616">
        <v>7.065797910855478</v>
      </c>
      <c r="Y616">
        <v>2916.1082666481398</v>
      </c>
      <c r="Z616">
        <v>9.8674352140434713</v>
      </c>
      <c r="AA616">
        <v>2741.5755491295763</v>
      </c>
      <c r="AB616">
        <v>7.0855485224495478</v>
      </c>
      <c r="AC616">
        <v>2224.2322589920177</v>
      </c>
      <c r="AD616">
        <v>9.852530805371293</v>
      </c>
      <c r="AE616">
        <v>2016.3797750766762</v>
      </c>
      <c r="AF616">
        <v>7.0767249647282924</v>
      </c>
      <c r="AG616">
        <v>2149.4661133838172</v>
      </c>
      <c r="AH616">
        <v>9.8440649414632002</v>
      </c>
      <c r="AI616">
        <v>1916.9244487198312</v>
      </c>
      <c r="AJ616">
        <v>7.0717063272454856</v>
      </c>
    </row>
    <row r="617" spans="4:36" x14ac:dyDescent="0.45">
      <c r="D617">
        <v>610</v>
      </c>
      <c r="E617">
        <v>12.964824492931264</v>
      </c>
      <c r="F617">
        <v>0.45805762118320009</v>
      </c>
      <c r="G617">
        <v>0.14730893639011783</v>
      </c>
      <c r="H617">
        <v>16.429808949495428</v>
      </c>
      <c r="I617">
        <v>13.185444333298989</v>
      </c>
      <c r="J617">
        <v>0.30168746628030635</v>
      </c>
      <c r="K617">
        <v>9.6709411844932161E-2</v>
      </c>
      <c r="L617">
        <v>16.416158788575771</v>
      </c>
      <c r="M617">
        <v>13.073694030536368</v>
      </c>
      <c r="N617">
        <v>0.38093018309380861</v>
      </c>
      <c r="O617">
        <v>0.12231008057103289</v>
      </c>
      <c r="P617">
        <v>16.423065705798773</v>
      </c>
      <c r="Q617">
        <v>13.057015053994119</v>
      </c>
      <c r="R617">
        <v>0.39275088557296794</v>
      </c>
      <c r="S617">
        <v>0.12613620400667713</v>
      </c>
      <c r="T617">
        <v>16.424097856426247</v>
      </c>
      <c r="U617">
        <v>1551.8084004775899</v>
      </c>
      <c r="V617">
        <v>10.274864459283009</v>
      </c>
      <c r="W617">
        <v>1294.0248732479499</v>
      </c>
      <c r="X617">
        <v>7.3319839919793512</v>
      </c>
      <c r="Y617">
        <v>2900.6325309775489</v>
      </c>
      <c r="Z617">
        <v>10.327006689405913</v>
      </c>
      <c r="AA617">
        <v>2732.5481006739374</v>
      </c>
      <c r="AB617">
        <v>7.3615745015249807</v>
      </c>
      <c r="AC617">
        <v>2226.7426577989286</v>
      </c>
      <c r="AD617">
        <v>10.300599188595978</v>
      </c>
      <c r="AE617">
        <v>2020.8096524481964</v>
      </c>
      <c r="AF617">
        <v>7.3465998877871161</v>
      </c>
      <c r="AG617">
        <v>2098.1909222532527</v>
      </c>
      <c r="AH617">
        <v>10.296657102329945</v>
      </c>
      <c r="AI617">
        <v>1885.1385686725184</v>
      </c>
      <c r="AJ617">
        <v>7.3443624687036069</v>
      </c>
    </row>
    <row r="618" spans="4:36" x14ac:dyDescent="0.45">
      <c r="D618">
        <v>611</v>
      </c>
      <c r="E618">
        <v>13.038858384224827</v>
      </c>
      <c r="F618">
        <v>0.47108237914568735</v>
      </c>
      <c r="G618">
        <v>0.17290053706788081</v>
      </c>
      <c r="H618">
        <v>16.317158699561599</v>
      </c>
      <c r="I618">
        <v>13.271831717205943</v>
      </c>
      <c r="J618">
        <v>0.29991477340496164</v>
      </c>
      <c r="K618">
        <v>0.10971674927822407</v>
      </c>
      <c r="L618">
        <v>16.318536760110845</v>
      </c>
      <c r="M618">
        <v>13.179125754133617</v>
      </c>
      <c r="N618">
        <v>0.36806309972829954</v>
      </c>
      <c r="O618">
        <v>0.13482226590836013</v>
      </c>
      <c r="P618">
        <v>16.317988880229713</v>
      </c>
      <c r="Q618">
        <v>13.127491494030275</v>
      </c>
      <c r="R618">
        <v>0.40599873229051048</v>
      </c>
      <c r="S618">
        <v>0.14882632249711972</v>
      </c>
      <c r="T618">
        <v>16.317683451182095</v>
      </c>
      <c r="U618">
        <v>1570.3598339417629</v>
      </c>
      <c r="V618">
        <v>10.32323979851517</v>
      </c>
      <c r="W618">
        <v>1301.7786421125404</v>
      </c>
      <c r="X618">
        <v>7.3530346879711121</v>
      </c>
      <c r="Y618">
        <v>2886.2605360392381</v>
      </c>
      <c r="Z618">
        <v>10.366296551314644</v>
      </c>
      <c r="AA618">
        <v>2719.4473859980299</v>
      </c>
      <c r="AB618">
        <v>7.3778427878473654</v>
      </c>
      <c r="AC618">
        <v>2248.2025700113318</v>
      </c>
      <c r="AD618">
        <v>10.349162960932473</v>
      </c>
      <c r="AE618">
        <v>2033.365911983369</v>
      </c>
      <c r="AF618">
        <v>7.3679813154163512</v>
      </c>
      <c r="AG618">
        <v>2140.6297859031952</v>
      </c>
      <c r="AH618">
        <v>10.33962022587782</v>
      </c>
      <c r="AI618">
        <v>1910.678981212681</v>
      </c>
      <c r="AJ618">
        <v>7.3624829128937659</v>
      </c>
    </row>
    <row r="619" spans="4:36" x14ac:dyDescent="0.45">
      <c r="D619">
        <v>612</v>
      </c>
      <c r="E619">
        <v>12.817398670082873</v>
      </c>
      <c r="F619">
        <v>0.50281861184526133</v>
      </c>
      <c r="G619">
        <v>0.17402792938010417</v>
      </c>
      <c r="H619">
        <v>16.505754788691771</v>
      </c>
      <c r="I619">
        <v>13.038289467808083</v>
      </c>
      <c r="J619">
        <v>0.32942396252511885</v>
      </c>
      <c r="K619">
        <v>0.11367706404463537</v>
      </c>
      <c r="L619">
        <v>16.518609505622177</v>
      </c>
      <c r="M619">
        <v>12.949753971350683</v>
      </c>
      <c r="N619">
        <v>0.39895056343058821</v>
      </c>
      <c r="O619">
        <v>0.13783248436154355</v>
      </c>
      <c r="P619">
        <v>16.513462980857192</v>
      </c>
      <c r="Q619">
        <v>12.897127576667309</v>
      </c>
      <c r="R619">
        <v>0.44026012172864853</v>
      </c>
      <c r="S619">
        <v>0.15221212804634782</v>
      </c>
      <c r="T619">
        <v>16.510400173557702</v>
      </c>
      <c r="U619">
        <v>1544.9226007937859</v>
      </c>
      <c r="V619">
        <v>10.128022504507538</v>
      </c>
      <c r="W619">
        <v>1282.3604148974498</v>
      </c>
      <c r="X619">
        <v>7.2331325517145899</v>
      </c>
      <c r="Y619">
        <v>2922.0107350627227</v>
      </c>
      <c r="Z619">
        <v>10.160488300161205</v>
      </c>
      <c r="AA619">
        <v>2743.6352653492258</v>
      </c>
      <c r="AB619">
        <v>7.2522743592734544</v>
      </c>
      <c r="AC619">
        <v>2271.3327789254417</v>
      </c>
      <c r="AD619">
        <v>10.14747240564766</v>
      </c>
      <c r="AE619">
        <v>2048.6951646254461</v>
      </c>
      <c r="AF619">
        <v>7.2446087453444461</v>
      </c>
      <c r="AG619">
        <v>2142.0449612108714</v>
      </c>
      <c r="AH619">
        <v>10.139737676042964</v>
      </c>
      <c r="AI619">
        <v>1910.206928269474</v>
      </c>
      <c r="AJ619">
        <v>7.240048035923313</v>
      </c>
    </row>
    <row r="620" spans="4:36" x14ac:dyDescent="0.45">
      <c r="D620">
        <v>613</v>
      </c>
      <c r="E620">
        <v>12.692001726045159</v>
      </c>
      <c r="F620">
        <v>0.42011908065811532</v>
      </c>
      <c r="G620">
        <v>0.1615177383343939</v>
      </c>
      <c r="H620">
        <v>16.726361454962323</v>
      </c>
      <c r="I620">
        <v>12.920384737329357</v>
      </c>
      <c r="J620">
        <v>0.268252316392043</v>
      </c>
      <c r="K620">
        <v>0.10279454271098457</v>
      </c>
      <c r="L620">
        <v>16.708568403567611</v>
      </c>
      <c r="M620">
        <v>12.829817739170736</v>
      </c>
      <c r="N620">
        <v>0.32851821746256848</v>
      </c>
      <c r="O620">
        <v>0.12605124852714691</v>
      </c>
      <c r="P620">
        <v>16.715612794839551</v>
      </c>
      <c r="Q620">
        <v>12.774357915908347</v>
      </c>
      <c r="R620">
        <v>0.36539561871951387</v>
      </c>
      <c r="S620">
        <v>0.14031246197110378</v>
      </c>
      <c r="T620">
        <v>16.71993400340104</v>
      </c>
      <c r="U620">
        <v>1549.9750634707962</v>
      </c>
      <c r="V620">
        <v>10.002471839815575</v>
      </c>
      <c r="W620">
        <v>1294.068814037503</v>
      </c>
      <c r="X620">
        <v>7.1676187011011576</v>
      </c>
      <c r="Y620">
        <v>2877.2225252281592</v>
      </c>
      <c r="Z620">
        <v>10.054091013140154</v>
      </c>
      <c r="AA620">
        <v>2717.2274730518257</v>
      </c>
      <c r="AB620">
        <v>7.1967036742670158</v>
      </c>
      <c r="AC620">
        <v>2200.8840395284037</v>
      </c>
      <c r="AD620">
        <v>10.033628241757093</v>
      </c>
      <c r="AE620">
        <v>2004.7734286730392</v>
      </c>
      <c r="AF620">
        <v>7.185184812961535</v>
      </c>
      <c r="AG620">
        <v>2117.5776396981614</v>
      </c>
      <c r="AH620">
        <v>10.02109295329778</v>
      </c>
      <c r="AI620">
        <v>1899.8062745463631</v>
      </c>
      <c r="AJ620">
        <v>7.1781213970119975</v>
      </c>
    </row>
    <row r="621" spans="4:36" x14ac:dyDescent="0.45">
      <c r="D621">
        <v>614</v>
      </c>
      <c r="E621">
        <v>13.910033629300953</v>
      </c>
      <c r="F621">
        <v>0.47723096886479027</v>
      </c>
      <c r="G621">
        <v>0.15871931064547454</v>
      </c>
      <c r="H621">
        <v>15.454016091188784</v>
      </c>
      <c r="I621">
        <v>14.160728422405803</v>
      </c>
      <c r="J621">
        <v>0.31268902688860084</v>
      </c>
      <c r="K621">
        <v>0.10366038901519319</v>
      </c>
      <c r="L621">
        <v>15.422922161690414</v>
      </c>
      <c r="M621">
        <v>14.065911461248657</v>
      </c>
      <c r="N621">
        <v>0.37496931477119266</v>
      </c>
      <c r="O621">
        <v>0.12445813980068404</v>
      </c>
      <c r="P621">
        <v>15.43466108417946</v>
      </c>
      <c r="Q621">
        <v>14.031941668257081</v>
      </c>
      <c r="R621">
        <v>0.39726820549814479</v>
      </c>
      <c r="S621">
        <v>0.13191708938624411</v>
      </c>
      <c r="T621">
        <v>15.438873036858524</v>
      </c>
      <c r="U621">
        <v>1627.27225281406</v>
      </c>
      <c r="V621">
        <v>10.917859113372257</v>
      </c>
      <c r="W621">
        <v>1336.1813203778181</v>
      </c>
      <c r="X621">
        <v>7.6857468350088567</v>
      </c>
      <c r="Y621">
        <v>2920.7751251317077</v>
      </c>
      <c r="Z621">
        <v>10.982224028734775</v>
      </c>
      <c r="AA621">
        <v>2739.5345816594213</v>
      </c>
      <c r="AB621">
        <v>7.7211326460226237</v>
      </c>
      <c r="AC621">
        <v>2282.4479224541988</v>
      </c>
      <c r="AD621">
        <v>10.957891919054433</v>
      </c>
      <c r="AE621">
        <v>2052.6312646216488</v>
      </c>
      <c r="AF621">
        <v>7.7077674651612753</v>
      </c>
      <c r="AG621">
        <v>2173.4622984329899</v>
      </c>
      <c r="AH621">
        <v>10.949171055148732</v>
      </c>
      <c r="AI621">
        <v>1929.8066449479902</v>
      </c>
      <c r="AJ621">
        <v>7.7029737645306247</v>
      </c>
    </row>
    <row r="622" spans="4:36" x14ac:dyDescent="0.45">
      <c r="D622">
        <v>615</v>
      </c>
      <c r="E622">
        <v>11.934615290819169</v>
      </c>
      <c r="F622">
        <v>0.43444244408892496</v>
      </c>
      <c r="G622">
        <v>0.15648933440371784</v>
      </c>
      <c r="H622">
        <v>17.474452930688205</v>
      </c>
      <c r="I622">
        <v>12.164089920938199</v>
      </c>
      <c r="J622">
        <v>0.26676890740818815</v>
      </c>
      <c r="K622">
        <v>9.5772881320727449E-2</v>
      </c>
      <c r="L622">
        <v>17.473368290332871</v>
      </c>
      <c r="M622">
        <v>12.068883380581628</v>
      </c>
      <c r="N622">
        <v>0.33637303550647307</v>
      </c>
      <c r="O622">
        <v>0.12092760063172267</v>
      </c>
      <c r="P622">
        <v>17.473815983280179</v>
      </c>
      <c r="Q622">
        <v>12.062168612075238</v>
      </c>
      <c r="R622">
        <v>0.34128007079717004</v>
      </c>
      <c r="S622">
        <v>0.12270363573992517</v>
      </c>
      <c r="T622">
        <v>17.473847681387692</v>
      </c>
      <c r="U622">
        <v>1528.1499335226474</v>
      </c>
      <c r="V622">
        <v>9.3858026710628142</v>
      </c>
      <c r="W622">
        <v>1282.7440739760029</v>
      </c>
      <c r="X622">
        <v>6.8021939587821354</v>
      </c>
      <c r="Y622">
        <v>2865.9630298646648</v>
      </c>
      <c r="Z622">
        <v>9.4279770710065574</v>
      </c>
      <c r="AA622">
        <v>2712.6641663190157</v>
      </c>
      <c r="AB622">
        <v>6.826807287449963</v>
      </c>
      <c r="AC622">
        <v>2180.6247707144394</v>
      </c>
      <c r="AD622">
        <v>9.4104804660099752</v>
      </c>
      <c r="AE622">
        <v>1993.723534523009</v>
      </c>
      <c r="AF622">
        <v>6.8166076519062511</v>
      </c>
      <c r="AG622">
        <v>2068.6436293591373</v>
      </c>
      <c r="AH622">
        <v>9.4092463994632105</v>
      </c>
      <c r="AI622">
        <v>1870.7703904806235</v>
      </c>
      <c r="AJ622">
        <v>6.8158876401835728</v>
      </c>
    </row>
    <row r="623" spans="4:36" x14ac:dyDescent="0.45">
      <c r="D623">
        <v>616</v>
      </c>
      <c r="E623">
        <v>13.923583980639124</v>
      </c>
      <c r="F623">
        <v>0.48004601774307226</v>
      </c>
      <c r="G623">
        <v>0.18525526618157018</v>
      </c>
      <c r="H623">
        <v>15.411114735436232</v>
      </c>
      <c r="I623">
        <v>14.195126555024746</v>
      </c>
      <c r="J623">
        <v>0.30146175939574826</v>
      </c>
      <c r="K623">
        <v>0.11593119022363309</v>
      </c>
      <c r="L623">
        <v>15.387480495355867</v>
      </c>
      <c r="M623">
        <v>14.068766228773903</v>
      </c>
      <c r="N623">
        <v>0.38462372747834933</v>
      </c>
      <c r="O623">
        <v>0.14815223136790745</v>
      </c>
      <c r="P623">
        <v>15.398457812379828</v>
      </c>
      <c r="Q623">
        <v>14.053705907194818</v>
      </c>
      <c r="R623">
        <v>0.39452859770733484</v>
      </c>
      <c r="S623">
        <v>0.15199695363154381</v>
      </c>
      <c r="T623">
        <v>15.399768541466308</v>
      </c>
      <c r="U623">
        <v>1620.6395716794407</v>
      </c>
      <c r="V623">
        <v>11.002407159575506</v>
      </c>
      <c r="W623">
        <v>1329.8419016610749</v>
      </c>
      <c r="X623">
        <v>7.7419563491230523</v>
      </c>
      <c r="Y623">
        <v>2926.2861266759896</v>
      </c>
      <c r="Z623">
        <v>11.071014016123652</v>
      </c>
      <c r="AA623">
        <v>2743.3189532426368</v>
      </c>
      <c r="AB623">
        <v>7.7800620240328264</v>
      </c>
      <c r="AC623">
        <v>2305.2374871694428</v>
      </c>
      <c r="AD623">
        <v>11.039098460456447</v>
      </c>
      <c r="AE623">
        <v>2066.9239973371127</v>
      </c>
      <c r="AF623">
        <v>7.7623508038214437</v>
      </c>
      <c r="AG623">
        <v>2157.2143077770615</v>
      </c>
      <c r="AH623">
        <v>11.035293417167615</v>
      </c>
      <c r="AI623">
        <v>1917.3214768384696</v>
      </c>
      <c r="AJ623">
        <v>7.7602374610585807</v>
      </c>
    </row>
    <row r="624" spans="4:36" x14ac:dyDescent="0.45">
      <c r="D624">
        <v>617</v>
      </c>
      <c r="E624">
        <v>13.311926532263259</v>
      </c>
      <c r="F624">
        <v>0.48978443904690361</v>
      </c>
      <c r="G624">
        <v>0.16789105211500688</v>
      </c>
      <c r="H624">
        <v>16.030397976574832</v>
      </c>
      <c r="I624">
        <v>13.553305404538083</v>
      </c>
      <c r="J624">
        <v>0.31497153066603051</v>
      </c>
      <c r="K624">
        <v>0.10760200292719889</v>
      </c>
      <c r="L624">
        <v>16.024121061868687</v>
      </c>
      <c r="M624">
        <v>13.439516922088163</v>
      </c>
      <c r="N624">
        <v>0.39742149796127646</v>
      </c>
      <c r="O624">
        <v>0.13598538515621905</v>
      </c>
      <c r="P624">
        <v>16.027076194794347</v>
      </c>
      <c r="Q624">
        <v>13.392491025890232</v>
      </c>
      <c r="R624">
        <v>0.43147449428885132</v>
      </c>
      <c r="S624">
        <v>0.14773499370356397</v>
      </c>
      <c r="T624">
        <v>16.028299486117351</v>
      </c>
      <c r="U624">
        <v>1589.8000590140214</v>
      </c>
      <c r="V624">
        <v>10.490132600344484</v>
      </c>
      <c r="W624">
        <v>1312.3219729636367</v>
      </c>
      <c r="X624">
        <v>7.4422059289245501</v>
      </c>
      <c r="Y624">
        <v>2908.2918908445704</v>
      </c>
      <c r="Z624">
        <v>10.539624205049462</v>
      </c>
      <c r="AA624">
        <v>2732.8039652232155</v>
      </c>
      <c r="AB624">
        <v>7.4704425410681479</v>
      </c>
      <c r="AC624">
        <v>2282.3984691635587</v>
      </c>
      <c r="AD624">
        <v>10.516294626399167</v>
      </c>
      <c r="AE624">
        <v>2054.0071649339006</v>
      </c>
      <c r="AF624">
        <v>7.4571443009645559</v>
      </c>
      <c r="AG624">
        <v>2160.7650992370855</v>
      </c>
      <c r="AH624">
        <v>10.506652441663759</v>
      </c>
      <c r="AI624">
        <v>1921.4970160695736</v>
      </c>
      <c r="AJ624">
        <v>7.4516418371496336</v>
      </c>
    </row>
    <row r="625" spans="4:36" x14ac:dyDescent="0.45">
      <c r="D625">
        <v>618</v>
      </c>
      <c r="E625">
        <v>13.502918023992539</v>
      </c>
      <c r="F625">
        <v>0.45093066931098236</v>
      </c>
      <c r="G625">
        <v>0.20272386816911075</v>
      </c>
      <c r="H625">
        <v>15.843427438527378</v>
      </c>
      <c r="I625">
        <v>13.720678803386056</v>
      </c>
      <c r="J625">
        <v>0.30373932632956135</v>
      </c>
      <c r="K625">
        <v>0.13612396644386779</v>
      </c>
      <c r="L625">
        <v>15.839457903840497</v>
      </c>
      <c r="M625">
        <v>13.601900788813071</v>
      </c>
      <c r="N625">
        <v>0.38406241977116679</v>
      </c>
      <c r="O625">
        <v>0.1724152688241378</v>
      </c>
      <c r="P625">
        <v>15.841621522591623</v>
      </c>
      <c r="Q625">
        <v>13.582942320377541</v>
      </c>
      <c r="R625">
        <v>0.39687473464119633</v>
      </c>
      <c r="S625">
        <v>0.17821573339891397</v>
      </c>
      <c r="T625">
        <v>15.841967211582354</v>
      </c>
      <c r="U625">
        <v>1577.2220496540376</v>
      </c>
      <c r="V625">
        <v>10.661566700802561</v>
      </c>
      <c r="W625">
        <v>1300.0967649000188</v>
      </c>
      <c r="X625">
        <v>7.54330462570117</v>
      </c>
      <c r="Y625">
        <v>2938.4822428222328</v>
      </c>
      <c r="Z625">
        <v>10.704512225717432</v>
      </c>
      <c r="AA625">
        <v>2751.0743956629208</v>
      </c>
      <c r="AB625">
        <v>7.5677783639433809</v>
      </c>
      <c r="AC625">
        <v>2288.9526788950802</v>
      </c>
      <c r="AD625">
        <v>10.681088118840446</v>
      </c>
      <c r="AE625">
        <v>2054.5415276819472</v>
      </c>
      <c r="AF625">
        <v>7.5544387482676303</v>
      </c>
      <c r="AG625">
        <v>2156.0414437287995</v>
      </c>
      <c r="AH625">
        <v>10.677349201327219</v>
      </c>
      <c r="AI625">
        <v>1915.3556472714054</v>
      </c>
      <c r="AJ625">
        <v>7.5523074460967043</v>
      </c>
    </row>
    <row r="626" spans="4:36" x14ac:dyDescent="0.45">
      <c r="D626">
        <v>619</v>
      </c>
      <c r="E626">
        <v>13.52634854153224</v>
      </c>
      <c r="F626">
        <v>0.43672560225088158</v>
      </c>
      <c r="G626">
        <v>0.17327161175145811</v>
      </c>
      <c r="H626">
        <v>15.863654244465433</v>
      </c>
      <c r="I626">
        <v>13.758367613146508</v>
      </c>
      <c r="J626">
        <v>0.28668173965269267</v>
      </c>
      <c r="K626">
        <v>0.11336651171586765</v>
      </c>
      <c r="L626">
        <v>15.841584135484938</v>
      </c>
      <c r="M626">
        <v>13.650853847796947</v>
      </c>
      <c r="N626">
        <v>0.35625441862381008</v>
      </c>
      <c r="O626">
        <v>0.14109347382512694</v>
      </c>
      <c r="P626">
        <v>15.851798259754117</v>
      </c>
      <c r="Q626">
        <v>13.601067627577283</v>
      </c>
      <c r="R626">
        <v>0.38844514580964468</v>
      </c>
      <c r="S626">
        <v>0.1539516625514577</v>
      </c>
      <c r="T626">
        <v>15.856535564061607</v>
      </c>
      <c r="U626">
        <v>1585.7378553071612</v>
      </c>
      <c r="V626">
        <v>10.647962274305071</v>
      </c>
      <c r="W626">
        <v>1310.9982689486073</v>
      </c>
      <c r="X626">
        <v>7.5364515909655108</v>
      </c>
      <c r="Y626">
        <v>2904.4538837625491</v>
      </c>
      <c r="Z626">
        <v>10.703757692471823</v>
      </c>
      <c r="AA626">
        <v>2730.6841732448229</v>
      </c>
      <c r="AB626">
        <v>7.5675948535015234</v>
      </c>
      <c r="AC626">
        <v>2257.7126385910988</v>
      </c>
      <c r="AD626">
        <v>10.677909988978382</v>
      </c>
      <c r="AE626">
        <v>2037.5730947605175</v>
      </c>
      <c r="AF626">
        <v>7.5531788271880789</v>
      </c>
      <c r="AG626">
        <v>2166.3642723193116</v>
      </c>
      <c r="AH626">
        <v>10.665936673424104</v>
      </c>
      <c r="AI626">
        <v>1926.6371488153734</v>
      </c>
      <c r="AJ626">
        <v>7.5464943331327792</v>
      </c>
    </row>
    <row r="627" spans="4:36" x14ac:dyDescent="0.45">
      <c r="D627">
        <v>620</v>
      </c>
      <c r="E627">
        <v>13.771106338000461</v>
      </c>
      <c r="F627">
        <v>0.50795127445442412</v>
      </c>
      <c r="G627">
        <v>0.18164271698193959</v>
      </c>
      <c r="H627">
        <v>15.53929967056318</v>
      </c>
      <c r="I627">
        <v>14.07287261060452</v>
      </c>
      <c r="J627">
        <v>0.30166271444767556</v>
      </c>
      <c r="K627">
        <v>0.10743151082400557</v>
      </c>
      <c r="L627">
        <v>15.518033164123793</v>
      </c>
      <c r="M627">
        <v>13.963131043427753</v>
      </c>
      <c r="N627">
        <v>0.37674720208610396</v>
      </c>
      <c r="O627">
        <v>0.13437105170840305</v>
      </c>
      <c r="P627">
        <v>15.525750702777735</v>
      </c>
      <c r="Q627">
        <v>13.858008844018467</v>
      </c>
      <c r="R627">
        <v>0.44860196110364137</v>
      </c>
      <c r="S627">
        <v>0.1602283632433309</v>
      </c>
      <c r="T627">
        <v>15.53316083163457</v>
      </c>
      <c r="U627">
        <v>1601.3157235714241</v>
      </c>
      <c r="V627">
        <v>10.920156951492679</v>
      </c>
      <c r="W627">
        <v>1318.0375953749326</v>
      </c>
      <c r="X627">
        <v>7.6964407842057865</v>
      </c>
      <c r="Y627">
        <v>2921.1713193697851</v>
      </c>
      <c r="Z627">
        <v>10.989280499804376</v>
      </c>
      <c r="AA627">
        <v>2742.0287486400648</v>
      </c>
      <c r="AB627">
        <v>7.7349680711378053</v>
      </c>
      <c r="AC627">
        <v>2270.381237026761</v>
      </c>
      <c r="AD627">
        <v>10.964152196229332</v>
      </c>
      <c r="AE627">
        <v>2045.7674101593002</v>
      </c>
      <c r="AF627">
        <v>7.7209789012966441</v>
      </c>
      <c r="AG627">
        <v>2181.5115070981074</v>
      </c>
      <c r="AH627">
        <v>10.940071523219469</v>
      </c>
      <c r="AI627">
        <v>1934.0315139939416</v>
      </c>
      <c r="AJ627">
        <v>7.7075552749711509</v>
      </c>
    </row>
    <row r="628" spans="4:36" x14ac:dyDescent="0.45">
      <c r="D628">
        <v>621</v>
      </c>
      <c r="E628">
        <v>13.942854327944037</v>
      </c>
      <c r="F628">
        <v>0.48386459389189806</v>
      </c>
      <c r="G628">
        <v>0.16992920684782487</v>
      </c>
      <c r="H628">
        <v>15.403351871316259</v>
      </c>
      <c r="I628">
        <v>14.200678541177076</v>
      </c>
      <c r="J628">
        <v>0.31573480233008344</v>
      </c>
      <c r="K628">
        <v>0.11050313993552265</v>
      </c>
      <c r="L628">
        <v>15.373083516557323</v>
      </c>
      <c r="M628">
        <v>14.087721073929652</v>
      </c>
      <c r="N628">
        <v>0.38944878501680069</v>
      </c>
      <c r="O628">
        <v>0.13650649919795393</v>
      </c>
      <c r="P628">
        <v>15.386323641855606</v>
      </c>
      <c r="Q628">
        <v>14.055259886302744</v>
      </c>
      <c r="R628">
        <v>0.41061705443387436</v>
      </c>
      <c r="S628">
        <v>0.14398850110889813</v>
      </c>
      <c r="T628">
        <v>15.390134558154475</v>
      </c>
      <c r="U628">
        <v>1593.4285865832157</v>
      </c>
      <c r="V628">
        <v>11.114936980234209</v>
      </c>
      <c r="W628">
        <v>1310.6838256148221</v>
      </c>
      <c r="X628">
        <v>7.8197351553850343</v>
      </c>
      <c r="Y628">
        <v>2950.5692893987571</v>
      </c>
      <c r="Z628">
        <v>11.181915018773164</v>
      </c>
      <c r="AA628">
        <v>2759.6479021402615</v>
      </c>
      <c r="AB628">
        <v>7.8565985972457177</v>
      </c>
      <c r="AC628">
        <v>2314.5717270285422</v>
      </c>
      <c r="AD628">
        <v>11.152583114593313</v>
      </c>
      <c r="AE628">
        <v>2073.4662613317519</v>
      </c>
      <c r="AF628">
        <v>7.8404682806134041</v>
      </c>
      <c r="AG628">
        <v>2216.1622144955859</v>
      </c>
      <c r="AH628">
        <v>11.144150289338626</v>
      </c>
      <c r="AI628">
        <v>1958.1621484273555</v>
      </c>
      <c r="AJ628">
        <v>7.8358270180716572</v>
      </c>
    </row>
    <row r="629" spans="4:36" x14ac:dyDescent="0.45">
      <c r="D629">
        <v>622</v>
      </c>
      <c r="E629">
        <v>12.816580757231476</v>
      </c>
      <c r="F629">
        <v>0.4468172809898065</v>
      </c>
      <c r="G629">
        <v>0.1789250528228388</v>
      </c>
      <c r="H629">
        <v>16.55767690895588</v>
      </c>
      <c r="I629">
        <v>13.011404055982073</v>
      </c>
      <c r="J629">
        <v>0.30507338086779512</v>
      </c>
      <c r="K629">
        <v>0.12183152865765393</v>
      </c>
      <c r="L629">
        <v>16.561691034492487</v>
      </c>
      <c r="M629">
        <v>12.927865917708342</v>
      </c>
      <c r="N629">
        <v>0.36587853917317531</v>
      </c>
      <c r="O629">
        <v>0.14628471976667151</v>
      </c>
      <c r="P629">
        <v>16.559970823351804</v>
      </c>
      <c r="Q629">
        <v>12.85753624318447</v>
      </c>
      <c r="R629">
        <v>0.41703835087042396</v>
      </c>
      <c r="S629">
        <v>0.16690397239393745</v>
      </c>
      <c r="T629">
        <v>16.558521433551171</v>
      </c>
      <c r="U629">
        <v>1519.3191002685496</v>
      </c>
      <c r="V629">
        <v>10.141222667992913</v>
      </c>
      <c r="W629">
        <v>1266.2977019497198</v>
      </c>
      <c r="X629">
        <v>7.2474896040827987</v>
      </c>
      <c r="Y629">
        <v>2906.2981769842618</v>
      </c>
      <c r="Z629">
        <v>10.17408220133958</v>
      </c>
      <c r="AA629">
        <v>2732.9402734971563</v>
      </c>
      <c r="AB629">
        <v>7.2665896735561271</v>
      </c>
      <c r="AC629">
        <v>2244.0852142423128</v>
      </c>
      <c r="AD629">
        <v>10.15999158068003</v>
      </c>
      <c r="AE629">
        <v>2030.1132888948246</v>
      </c>
      <c r="AF629">
        <v>7.2584065009245204</v>
      </c>
      <c r="AG629">
        <v>2150.35412254932</v>
      </c>
      <c r="AH629">
        <v>10.148129806896135</v>
      </c>
      <c r="AI629">
        <v>1916.220674471303</v>
      </c>
      <c r="AJ629">
        <v>7.2515093728086679</v>
      </c>
    </row>
    <row r="630" spans="4:36" x14ac:dyDescent="0.45">
      <c r="D630">
        <v>623</v>
      </c>
      <c r="E630">
        <v>13.148802149490896</v>
      </c>
      <c r="F630">
        <v>0.47270531860800946</v>
      </c>
      <c r="G630">
        <v>0.14975831367679829</v>
      </c>
      <c r="H630">
        <v>16.228734218224286</v>
      </c>
      <c r="I630">
        <v>13.386944549034279</v>
      </c>
      <c r="J630">
        <v>0.30334276988712422</v>
      </c>
      <c r="K630">
        <v>9.5800120283448351E-2</v>
      </c>
      <c r="L630">
        <v>16.213912560795144</v>
      </c>
      <c r="M630">
        <v>13.272164028495814</v>
      </c>
      <c r="N630">
        <v>0.38501468045610643</v>
      </c>
      <c r="O630">
        <v>0.12177735382112684</v>
      </c>
      <c r="P630">
        <v>16.221043937226966</v>
      </c>
      <c r="Q630">
        <v>13.274782884021278</v>
      </c>
      <c r="R630">
        <v>0.38315210693974627</v>
      </c>
      <c r="S630">
        <v>0.12118403883204515</v>
      </c>
      <c r="T630">
        <v>16.220880970206917</v>
      </c>
      <c r="U630">
        <v>1558.3335071494821</v>
      </c>
      <c r="V630">
        <v>10.486567430785119</v>
      </c>
      <c r="W630">
        <v>1295.3693074763469</v>
      </c>
      <c r="X630">
        <v>7.4612568504005816</v>
      </c>
      <c r="Y630">
        <v>2896.5362577260266</v>
      </c>
      <c r="Z630">
        <v>10.540630444633269</v>
      </c>
      <c r="AA630">
        <v>2727.9915937709529</v>
      </c>
      <c r="AB630">
        <v>7.4916279829921937</v>
      </c>
      <c r="AC630">
        <v>2245.3238275130716</v>
      </c>
      <c r="AD630">
        <v>10.514580143594278</v>
      </c>
      <c r="AE630">
        <v>2031.9301682517532</v>
      </c>
      <c r="AF630">
        <v>7.4770055124691615</v>
      </c>
      <c r="AG630">
        <v>2122.4330906437372</v>
      </c>
      <c r="AH630">
        <v>10.515174659850041</v>
      </c>
      <c r="AI630">
        <v>1901.1499488655477</v>
      </c>
      <c r="AJ630">
        <v>7.4773394695173945</v>
      </c>
    </row>
    <row r="631" spans="4:36" x14ac:dyDescent="0.45">
      <c r="D631">
        <v>624</v>
      </c>
      <c r="E631">
        <v>12.012689817903693</v>
      </c>
      <c r="F631">
        <v>0.43928920011555117</v>
      </c>
      <c r="G631">
        <v>0.1425611561966092</v>
      </c>
      <c r="H631">
        <v>17.405459825784135</v>
      </c>
      <c r="I631">
        <v>12.190856625380434</v>
      </c>
      <c r="J631">
        <v>0.30189996298816191</v>
      </c>
      <c r="K631">
        <v>9.7731123384705229E-2</v>
      </c>
      <c r="L631">
        <v>17.409512288246702</v>
      </c>
      <c r="M631">
        <v>12.14393023431966</v>
      </c>
      <c r="N631">
        <v>0.33810233007995993</v>
      </c>
      <c r="O631">
        <v>0.10952202075695695</v>
      </c>
      <c r="P631">
        <v>17.408445414843435</v>
      </c>
      <c r="Q631">
        <v>12.09158301685218</v>
      </c>
      <c r="R631">
        <v>0.37847311432879005</v>
      </c>
      <c r="S631">
        <v>0.12268897754628172</v>
      </c>
      <c r="T631">
        <v>17.407254891272732</v>
      </c>
      <c r="U631">
        <v>1474.2649235725232</v>
      </c>
      <c r="V631">
        <v>9.4735626647356685</v>
      </c>
      <c r="W631">
        <v>1244.7010139574777</v>
      </c>
      <c r="X631">
        <v>6.8573747195995534</v>
      </c>
      <c r="Y631">
        <v>2888.1497021420487</v>
      </c>
      <c r="Z631">
        <v>9.5029882935079932</v>
      </c>
      <c r="AA631">
        <v>2727.2376155677307</v>
      </c>
      <c r="AB631">
        <v>6.8746719328556685</v>
      </c>
      <c r="AC631">
        <v>2196.6399522115867</v>
      </c>
      <c r="AD631">
        <v>9.4952377581440572</v>
      </c>
      <c r="AE631">
        <v>2006.5205388271227</v>
      </c>
      <c r="AF631">
        <v>6.8701211025487012</v>
      </c>
      <c r="AG631">
        <v>2071.9255062966072</v>
      </c>
      <c r="AH631">
        <v>9.486592134030877</v>
      </c>
      <c r="AI631">
        <v>1871.7570599645821</v>
      </c>
      <c r="AJ631">
        <v>6.8650403777381559</v>
      </c>
    </row>
    <row r="632" spans="4:36" x14ac:dyDescent="0.45">
      <c r="D632">
        <v>625</v>
      </c>
      <c r="E632">
        <v>13.242290927899344</v>
      </c>
      <c r="F632">
        <v>0.45987106405453765</v>
      </c>
      <c r="G632">
        <v>0.16203017380981014</v>
      </c>
      <c r="H632">
        <v>16.135807834236314</v>
      </c>
      <c r="I632">
        <v>13.484027253572243</v>
      </c>
      <c r="J632">
        <v>0.29560410963768124</v>
      </c>
      <c r="K632">
        <v>0.10381137270672711</v>
      </c>
      <c r="L632">
        <v>16.116557264083344</v>
      </c>
      <c r="M632">
        <v>13.370137421994475</v>
      </c>
      <c r="N632">
        <v>0.37304199321044101</v>
      </c>
      <c r="O632">
        <v>0.13120821831195392</v>
      </c>
      <c r="P632">
        <v>16.125612366483118</v>
      </c>
      <c r="Q632">
        <v>13.347450953331659</v>
      </c>
      <c r="R632">
        <v>0.38845752178352111</v>
      </c>
      <c r="S632">
        <v>0.13667234646580934</v>
      </c>
      <c r="T632">
        <v>16.127419178419029</v>
      </c>
      <c r="U632">
        <v>1578.0913800367236</v>
      </c>
      <c r="V632">
        <v>10.455411949121251</v>
      </c>
      <c r="W632">
        <v>1308.1255347373649</v>
      </c>
      <c r="X632">
        <v>7.4286431205255861</v>
      </c>
      <c r="Y632">
        <v>2896.5406945092245</v>
      </c>
      <c r="Z632">
        <v>10.509971369764113</v>
      </c>
      <c r="AA632">
        <v>2727.0799505475893</v>
      </c>
      <c r="AB632">
        <v>7.4591335136276333</v>
      </c>
      <c r="AC632">
        <v>2249.1397075704658</v>
      </c>
      <c r="AD632">
        <v>10.484274981988721</v>
      </c>
      <c r="AE632">
        <v>2033.6440069269527</v>
      </c>
      <c r="AF632">
        <v>7.4447849044167018</v>
      </c>
      <c r="AG632">
        <v>2127.3374442924155</v>
      </c>
      <c r="AH632">
        <v>10.479154583698755</v>
      </c>
      <c r="AI632">
        <v>1902.4220286495759</v>
      </c>
      <c r="AJ632">
        <v>7.4419232351261559</v>
      </c>
    </row>
    <row r="633" spans="4:36" x14ac:dyDescent="0.45">
      <c r="D633">
        <v>626</v>
      </c>
      <c r="E633">
        <v>11.653009445426818</v>
      </c>
      <c r="F633">
        <v>0.42228109675680592</v>
      </c>
      <c r="G633">
        <v>0.17088631550428093</v>
      </c>
      <c r="H633">
        <v>17.7538231423121</v>
      </c>
      <c r="I633">
        <v>11.82847832222051</v>
      </c>
      <c r="J633">
        <v>0.28192556873393804</v>
      </c>
      <c r="K633">
        <v>0.11378468080708225</v>
      </c>
      <c r="L633">
        <v>17.77581142823848</v>
      </c>
      <c r="M633">
        <v>11.741077389138407</v>
      </c>
      <c r="N633">
        <v>0.35185498203297005</v>
      </c>
      <c r="O633">
        <v>0.14219596134612711</v>
      </c>
      <c r="P633">
        <v>17.76487166748251</v>
      </c>
      <c r="Q633">
        <v>11.698056058061781</v>
      </c>
      <c r="R633">
        <v>0.38626291149573266</v>
      </c>
      <c r="S633">
        <v>0.15620339871297759</v>
      </c>
      <c r="T633">
        <v>17.759477631729496</v>
      </c>
      <c r="U633">
        <v>1480.7223106531042</v>
      </c>
      <c r="V633">
        <v>9.2349756945942314</v>
      </c>
      <c r="W633">
        <v>1248.3769519237808</v>
      </c>
      <c r="X633">
        <v>6.7194581353083302</v>
      </c>
      <c r="Y633">
        <v>2876.835339821359</v>
      </c>
      <c r="Z633">
        <v>9.2534188920688738</v>
      </c>
      <c r="AA633">
        <v>2719.0436151421181</v>
      </c>
      <c r="AB633">
        <v>6.731353522334361</v>
      </c>
      <c r="AC633">
        <v>2188.6106958271544</v>
      </c>
      <c r="AD633">
        <v>9.2442245280653434</v>
      </c>
      <c r="AE633">
        <v>1997.793553332489</v>
      </c>
      <c r="AF633">
        <v>6.7254303538896583</v>
      </c>
      <c r="AG633">
        <v>2078.4302437153992</v>
      </c>
      <c r="AH633">
        <v>9.2397044791671874</v>
      </c>
      <c r="AI633">
        <v>1873.7631897905169</v>
      </c>
      <c r="AJ633">
        <v>6.7225134018247159</v>
      </c>
    </row>
    <row r="634" spans="4:36" x14ac:dyDescent="0.45">
      <c r="D634">
        <v>627</v>
      </c>
      <c r="E634">
        <v>12.604054770651755</v>
      </c>
      <c r="F634">
        <v>0.48747366523807373</v>
      </c>
      <c r="G634">
        <v>0.17708200772816859</v>
      </c>
      <c r="H634">
        <v>16.731389556381991</v>
      </c>
      <c r="I634">
        <v>12.846647804958735</v>
      </c>
      <c r="J634">
        <v>0.30131441352068278</v>
      </c>
      <c r="K634">
        <v>0.10906968466260851</v>
      </c>
      <c r="L634">
        <v>16.742968096857965</v>
      </c>
      <c r="M634">
        <v>12.749500495235303</v>
      </c>
      <c r="N634">
        <v>0.37589906964390918</v>
      </c>
      <c r="O634">
        <v>0.13626013350382335</v>
      </c>
      <c r="P634">
        <v>16.738340301616965</v>
      </c>
      <c r="Q634">
        <v>12.712187279495149</v>
      </c>
      <c r="R634">
        <v>0.40453331885846872</v>
      </c>
      <c r="S634">
        <v>0.14671972359333074</v>
      </c>
      <c r="T634">
        <v>16.736559678053037</v>
      </c>
      <c r="U634">
        <v>1604.6797949086983</v>
      </c>
      <c r="V634">
        <v>9.924376401682709</v>
      </c>
      <c r="W634">
        <v>1324.6483068295354</v>
      </c>
      <c r="X634">
        <v>7.1113113760548918</v>
      </c>
      <c r="Y634">
        <v>2904.5521606566622</v>
      </c>
      <c r="Z634">
        <v>9.9624339325251281</v>
      </c>
      <c r="AA634">
        <v>2732.0719498724311</v>
      </c>
      <c r="AB634">
        <v>7.1338831764565223</v>
      </c>
      <c r="AC634">
        <v>2240.5073870217611</v>
      </c>
      <c r="AD634">
        <v>9.9471883831142431</v>
      </c>
      <c r="AE634">
        <v>2026.8113733179659</v>
      </c>
      <c r="AF634">
        <v>7.1248527340937304</v>
      </c>
      <c r="AG634">
        <v>2166.6085280235657</v>
      </c>
      <c r="AH634">
        <v>9.9413345965927729</v>
      </c>
      <c r="AI634">
        <v>1929.0180016909057</v>
      </c>
      <c r="AJ634">
        <v>7.1213812299946646</v>
      </c>
    </row>
    <row r="635" spans="4:36" x14ac:dyDescent="0.45">
      <c r="D635">
        <v>628</v>
      </c>
      <c r="E635">
        <v>12.617644720697891</v>
      </c>
      <c r="F635">
        <v>0.43955953294156536</v>
      </c>
      <c r="G635">
        <v>0.14393556276419758</v>
      </c>
      <c r="H635">
        <v>16.798860183596346</v>
      </c>
      <c r="I635">
        <v>12.838551965181049</v>
      </c>
      <c r="J635">
        <v>0.28181306677200729</v>
      </c>
      <c r="K635">
        <v>9.1993731375012308E-2</v>
      </c>
      <c r="L635">
        <v>16.787641236671927</v>
      </c>
      <c r="M635">
        <v>12.73589959049578</v>
      </c>
      <c r="N635">
        <v>0.35515227881367251</v>
      </c>
      <c r="O635">
        <v>0.11610159224928839</v>
      </c>
      <c r="P635">
        <v>16.792846538441264</v>
      </c>
      <c r="Q635">
        <v>12.701763614183305</v>
      </c>
      <c r="R635">
        <v>0.37952638290218094</v>
      </c>
      <c r="S635">
        <v>0.12412943644787527</v>
      </c>
      <c r="T635">
        <v>16.794580566466628</v>
      </c>
      <c r="U635">
        <v>1530.7610645844761</v>
      </c>
      <c r="V635">
        <v>9.9941116747158212</v>
      </c>
      <c r="W635">
        <v>1280.4967178830971</v>
      </c>
      <c r="X635">
        <v>7.1697611459980761</v>
      </c>
      <c r="Y635">
        <v>2880.9569543821854</v>
      </c>
      <c r="Z635">
        <v>10.043512852258301</v>
      </c>
      <c r="AA635">
        <v>2720.0288087655763</v>
      </c>
      <c r="AB635">
        <v>7.1978868769529827</v>
      </c>
      <c r="AC635">
        <v>2225.3649099484928</v>
      </c>
      <c r="AD635">
        <v>10.020561497021411</v>
      </c>
      <c r="AE635">
        <v>2021.8354651333768</v>
      </c>
      <c r="AF635">
        <v>7.1848311249963439</v>
      </c>
      <c r="AG635">
        <v>2093.9192119787276</v>
      </c>
      <c r="AH635">
        <v>10.01292747989373</v>
      </c>
      <c r="AI635">
        <v>1883.1976130753685</v>
      </c>
      <c r="AJ635">
        <v>7.180484258213836</v>
      </c>
    </row>
    <row r="636" spans="4:36" x14ac:dyDescent="0.45">
      <c r="D636">
        <v>629</v>
      </c>
      <c r="E636">
        <v>14.242863193435422</v>
      </c>
      <c r="F636">
        <v>0.50178394463660336</v>
      </c>
      <c r="G636">
        <v>0.16600538550355337</v>
      </c>
      <c r="H636">
        <v>15.089347476424408</v>
      </c>
      <c r="I636">
        <v>14.510402678195414</v>
      </c>
      <c r="J636">
        <v>0.3244100157166474</v>
      </c>
      <c r="K636">
        <v>0.10697009817048028</v>
      </c>
      <c r="L636">
        <v>15.058217207917462</v>
      </c>
      <c r="M636">
        <v>14.401752605981279</v>
      </c>
      <c r="N636">
        <v>0.39649730538760791</v>
      </c>
      <c r="O636">
        <v>0.1309149778873695</v>
      </c>
      <c r="P636">
        <v>15.070835110743726</v>
      </c>
      <c r="Q636">
        <v>14.340698380338367</v>
      </c>
      <c r="R636">
        <v>0.43697320371160198</v>
      </c>
      <c r="S636">
        <v>0.14438829784339954</v>
      </c>
      <c r="T636">
        <v>15.077940118106639</v>
      </c>
      <c r="U636">
        <v>1593.6426201487261</v>
      </c>
      <c r="V636">
        <v>11.205413480954167</v>
      </c>
      <c r="W636">
        <v>1311.0800983516424</v>
      </c>
      <c r="X636">
        <v>7.8503860546650044</v>
      </c>
      <c r="Y636">
        <v>2934.0512130517891</v>
      </c>
      <c r="Z636">
        <v>11.27296700421574</v>
      </c>
      <c r="AA636">
        <v>2748.329127236771</v>
      </c>
      <c r="AB636">
        <v>7.8873412688522855</v>
      </c>
      <c r="AC636">
        <v>2266.2226377547372</v>
      </c>
      <c r="AD636">
        <v>11.245546615556938</v>
      </c>
      <c r="AE636">
        <v>2039.9663645414682</v>
      </c>
      <c r="AF636">
        <v>7.8723538525976391</v>
      </c>
      <c r="AG636">
        <v>2179.7998359120506</v>
      </c>
      <c r="AH636">
        <v>11.230129974370223</v>
      </c>
      <c r="AI636">
        <v>1931.8979336091777</v>
      </c>
      <c r="AJ636">
        <v>7.8639197036747275</v>
      </c>
    </row>
    <row r="637" spans="4:36" x14ac:dyDescent="0.45">
      <c r="D637">
        <v>630</v>
      </c>
      <c r="E637">
        <v>11.32227558908696</v>
      </c>
      <c r="F637">
        <v>0.40173778224778128</v>
      </c>
      <c r="G637">
        <v>0.17340274467022695</v>
      </c>
      <c r="H637">
        <v>18.102583883995042</v>
      </c>
      <c r="I637">
        <v>11.52487051282853</v>
      </c>
      <c r="J637">
        <v>0.249668160763166</v>
      </c>
      <c r="K637">
        <v>0.1074098666652555</v>
      </c>
      <c r="L637">
        <v>18.11805145974305</v>
      </c>
      <c r="M637">
        <v>11.452825932730679</v>
      </c>
      <c r="N637">
        <v>0.30377272114014969</v>
      </c>
      <c r="O637">
        <v>0.13083887554790288</v>
      </c>
      <c r="P637">
        <v>18.112562470581281</v>
      </c>
      <c r="Q637">
        <v>11.413892091931942</v>
      </c>
      <c r="R637">
        <v>0.33299907163772069</v>
      </c>
      <c r="S637">
        <v>0.14351791335435418</v>
      </c>
      <c r="T637">
        <v>18.109590923075988</v>
      </c>
      <c r="U637">
        <v>1472.4859147772625</v>
      </c>
      <c r="V637">
        <v>8.9272648815808822</v>
      </c>
      <c r="W637">
        <v>1243.8976396332789</v>
      </c>
      <c r="X637">
        <v>6.5350145513186773</v>
      </c>
      <c r="Y637">
        <v>2867.7766708820432</v>
      </c>
      <c r="Z637">
        <v>8.9583481459242442</v>
      </c>
      <c r="AA637">
        <v>2715.1848926862826</v>
      </c>
      <c r="AB637">
        <v>6.554138288514328</v>
      </c>
      <c r="AC637">
        <v>2174.5009093477247</v>
      </c>
      <c r="AD637">
        <v>8.9472886950994308</v>
      </c>
      <c r="AE637">
        <v>1991.5428969651412</v>
      </c>
      <c r="AF637">
        <v>6.5473439374618509</v>
      </c>
      <c r="AG637">
        <v>2051.4545558672776</v>
      </c>
      <c r="AH637">
        <v>8.941314749973003</v>
      </c>
      <c r="AI637">
        <v>1858.4103308668732</v>
      </c>
      <c r="AJ637">
        <v>6.5436693359896001</v>
      </c>
    </row>
    <row r="638" spans="4:36" x14ac:dyDescent="0.45">
      <c r="D638">
        <v>631</v>
      </c>
      <c r="E638">
        <v>12.718078815844294</v>
      </c>
      <c r="F638">
        <v>0.43610401512509733</v>
      </c>
      <c r="G638">
        <v>0.14721601777647825</v>
      </c>
      <c r="H638">
        <v>16.698601151254142</v>
      </c>
      <c r="I638">
        <v>12.931621856419932</v>
      </c>
      <c r="J638">
        <v>0.28613656464824039</v>
      </c>
      <c r="K638">
        <v>9.6299853051861103E-2</v>
      </c>
      <c r="L638">
        <v>16.685941725879957</v>
      </c>
      <c r="M638">
        <v>12.833796409152507</v>
      </c>
      <c r="N638">
        <v>0.35487273556641247</v>
      </c>
      <c r="O638">
        <v>0.11959803050263447</v>
      </c>
      <c r="P638">
        <v>16.691732824778434</v>
      </c>
      <c r="Q638">
        <v>12.822297041578613</v>
      </c>
      <c r="R638">
        <v>0.3629487777861255</v>
      </c>
      <c r="S638">
        <v>0.12233969868418057</v>
      </c>
      <c r="T638">
        <v>16.692414481951072</v>
      </c>
      <c r="U638">
        <v>1523.7969640760141</v>
      </c>
      <c r="V638">
        <v>9.951366797267946</v>
      </c>
      <c r="W638">
        <v>1277.1756956263457</v>
      </c>
      <c r="X638">
        <v>7.1282169813344147</v>
      </c>
      <c r="Y638">
        <v>2895.4959786162235</v>
      </c>
      <c r="Z638">
        <v>9.9993730306900392</v>
      </c>
      <c r="AA638">
        <v>2731.1138428999216</v>
      </c>
      <c r="AB638">
        <v>7.1555397696730267</v>
      </c>
      <c r="AC638">
        <v>2199.3468878938429</v>
      </c>
      <c r="AD638">
        <v>9.9773851107119924</v>
      </c>
      <c r="AE638">
        <v>2004.3060357634909</v>
      </c>
      <c r="AF638">
        <v>7.1430357710883294</v>
      </c>
      <c r="AG638">
        <v>2079.6712787795263</v>
      </c>
      <c r="AH638">
        <v>9.9747999862974126</v>
      </c>
      <c r="AI638">
        <v>1875.3181679733118</v>
      </c>
      <c r="AJ638">
        <v>7.1415645188659074</v>
      </c>
    </row>
    <row r="639" spans="4:36" x14ac:dyDescent="0.45">
      <c r="D639">
        <v>632</v>
      </c>
      <c r="E639">
        <v>10.913696005396822</v>
      </c>
      <c r="F639">
        <v>0.37902618052723963</v>
      </c>
      <c r="G639">
        <v>0.14783051846185669</v>
      </c>
      <c r="H639">
        <v>18.559447295614103</v>
      </c>
      <c r="I639">
        <v>11.082977286585496</v>
      </c>
      <c r="J639">
        <v>0.24705188164971384</v>
      </c>
      <c r="K639">
        <v>9.6093239807785169E-2</v>
      </c>
      <c r="L639">
        <v>18.573877591957007</v>
      </c>
      <c r="M639">
        <v>10.989797617775675</v>
      </c>
      <c r="N639">
        <v>0.31971517822351858</v>
      </c>
      <c r="O639">
        <v>0.12454357298552456</v>
      </c>
      <c r="P639">
        <v>18.56594363101528</v>
      </c>
      <c r="Q639">
        <v>10.966598220366956</v>
      </c>
      <c r="R639">
        <v>0.33779929906703893</v>
      </c>
      <c r="S639">
        <v>0.1316376605646529</v>
      </c>
      <c r="T639">
        <v>18.56396482000137</v>
      </c>
      <c r="U639">
        <v>1413.2138753644799</v>
      </c>
      <c r="V639">
        <v>8.6044108032471502</v>
      </c>
      <c r="W639">
        <v>1209.7168358790414</v>
      </c>
      <c r="X639">
        <v>6.3454569534772727</v>
      </c>
      <c r="Y639">
        <v>2828.061289488227</v>
      </c>
      <c r="Z639">
        <v>8.6277615624748876</v>
      </c>
      <c r="AA639">
        <v>2691.1297276555106</v>
      </c>
      <c r="AB639">
        <v>6.360093435195286</v>
      </c>
      <c r="AC639">
        <v>2137.5285364530882</v>
      </c>
      <c r="AD639">
        <v>8.61490315558685</v>
      </c>
      <c r="AE639">
        <v>1969.0151202956617</v>
      </c>
      <c r="AF639">
        <v>6.3520411771470631</v>
      </c>
      <c r="AG639">
        <v>2029.2580924314811</v>
      </c>
      <c r="AH639">
        <v>8.6117036910882163</v>
      </c>
      <c r="AI639">
        <v>1848.2137436658945</v>
      </c>
      <c r="AJ639">
        <v>6.3500347391373779</v>
      </c>
    </row>
    <row r="640" spans="4:36" x14ac:dyDescent="0.45">
      <c r="D640">
        <v>633</v>
      </c>
      <c r="E640">
        <v>12.943305737119282</v>
      </c>
      <c r="F640">
        <v>0.4625227574935154</v>
      </c>
      <c r="G640">
        <v>0.15677370993446615</v>
      </c>
      <c r="H640">
        <v>16.43739779545275</v>
      </c>
      <c r="I640">
        <v>13.201229086413662</v>
      </c>
      <c r="J640">
        <v>0.27769060565856418</v>
      </c>
      <c r="K640">
        <v>9.3787640195015093E-2</v>
      </c>
      <c r="L640">
        <v>16.427292667732768</v>
      </c>
      <c r="M640">
        <v>13.074909341378007</v>
      </c>
      <c r="N640">
        <v>0.3682625871322463</v>
      </c>
      <c r="O640">
        <v>0.1245950385582536</v>
      </c>
      <c r="P640">
        <v>16.432233032931482</v>
      </c>
      <c r="Q640">
        <v>13.078326682098542</v>
      </c>
      <c r="R640">
        <v>0.36581357021776123</v>
      </c>
      <c r="S640">
        <v>0.12376058536924073</v>
      </c>
      <c r="T640">
        <v>16.432099162314444</v>
      </c>
      <c r="U640">
        <v>1554.1015182867561</v>
      </c>
      <c r="V640">
        <v>10.193026240031227</v>
      </c>
      <c r="W640">
        <v>1289.3136570339971</v>
      </c>
      <c r="X640">
        <v>7.2738605796862768</v>
      </c>
      <c r="Y640">
        <v>2907.3377922424343</v>
      </c>
      <c r="Z640">
        <v>10.248200920760345</v>
      </c>
      <c r="AA640">
        <v>2735.3493476113063</v>
      </c>
      <c r="AB640">
        <v>7.3052181879560685</v>
      </c>
      <c r="AC640">
        <v>2248.6566029319924</v>
      </c>
      <c r="AD640">
        <v>10.221183591588609</v>
      </c>
      <c r="AE640">
        <v>2032.5487885981058</v>
      </c>
      <c r="AF640">
        <v>7.289877620057208</v>
      </c>
      <c r="AG640">
        <v>2138.7330490025265</v>
      </c>
      <c r="AH640">
        <v>10.221914616053482</v>
      </c>
      <c r="AI640">
        <v>1911.1935616444814</v>
      </c>
      <c r="AJ640">
        <v>7.2902930578176868</v>
      </c>
    </row>
    <row r="641" spans="4:36" x14ac:dyDescent="0.45">
      <c r="D641">
        <v>634</v>
      </c>
      <c r="E641">
        <v>13.18987594847624</v>
      </c>
      <c r="F641">
        <v>0.45405522806073445</v>
      </c>
      <c r="G641">
        <v>0.16139219734142374</v>
      </c>
      <c r="H641">
        <v>16.194676626121602</v>
      </c>
      <c r="I641">
        <v>13.449639864958836</v>
      </c>
      <c r="J641">
        <v>0.27804470049604696</v>
      </c>
      <c r="K641">
        <v>9.8458585807630949E-2</v>
      </c>
      <c r="L641">
        <v>16.173856848737476</v>
      </c>
      <c r="M641">
        <v>13.323287601211989</v>
      </c>
      <c r="N641">
        <v>0.36371233293424177</v>
      </c>
      <c r="O641">
        <v>0.12902945142608346</v>
      </c>
      <c r="P641">
        <v>16.183970614427665</v>
      </c>
      <c r="Q641">
        <v>13.275676403507035</v>
      </c>
      <c r="R641">
        <v>0.3959665639903156</v>
      </c>
      <c r="S641">
        <v>0.14056894036352896</v>
      </c>
      <c r="T641">
        <v>16.187788092139126</v>
      </c>
      <c r="U641">
        <v>1549.9857607894271</v>
      </c>
      <c r="V641">
        <v>10.435109678367738</v>
      </c>
      <c r="W641">
        <v>1290.898034007198</v>
      </c>
      <c r="X641">
        <v>7.4211187033811337</v>
      </c>
      <c r="Y641">
        <v>2894.5262767744139</v>
      </c>
      <c r="Z641">
        <v>10.497578512548202</v>
      </c>
      <c r="AA641">
        <v>2728.3990077091812</v>
      </c>
      <c r="AB641">
        <v>7.4562938308247979</v>
      </c>
      <c r="AC641">
        <v>2210.6231271495917</v>
      </c>
      <c r="AD641">
        <v>10.467200162739486</v>
      </c>
      <c r="AE641">
        <v>2008.7570607146752</v>
      </c>
      <c r="AF641">
        <v>7.4392036461670941</v>
      </c>
      <c r="AG641">
        <v>2138.6933551878974</v>
      </c>
      <c r="AH641">
        <v>10.455749655643771</v>
      </c>
      <c r="AI641">
        <v>1912.1641356707223</v>
      </c>
      <c r="AJ641">
        <v>7.4327543348103156</v>
      </c>
    </row>
    <row r="642" spans="4:36" x14ac:dyDescent="0.45">
      <c r="D642">
        <v>635</v>
      </c>
      <c r="E642">
        <v>13.499954400836987</v>
      </c>
      <c r="F642">
        <v>0.55405517793716796</v>
      </c>
      <c r="G642">
        <v>0.1901348473744367</v>
      </c>
      <c r="H642">
        <v>15.755855573851415</v>
      </c>
      <c r="I642">
        <v>13.799956347593616</v>
      </c>
      <c r="J642">
        <v>0.32792652512026321</v>
      </c>
      <c r="K642">
        <v>0.11208216723826647</v>
      </c>
      <c r="L642">
        <v>15.760034960047861</v>
      </c>
      <c r="M642">
        <v>13.692746894923504</v>
      </c>
      <c r="N642">
        <v>0.40878976581400517</v>
      </c>
      <c r="O642">
        <v>0.13992044249998115</v>
      </c>
      <c r="P642">
        <v>15.75854289676251</v>
      </c>
      <c r="Q642">
        <v>13.640605182147604</v>
      </c>
      <c r="R642">
        <v>0.44809656647062646</v>
      </c>
      <c r="S642">
        <v>0.15348162350180519</v>
      </c>
      <c r="T642">
        <v>15.757816627879961</v>
      </c>
      <c r="U642">
        <v>1666.279381255601</v>
      </c>
      <c r="V642">
        <v>10.779592094199595</v>
      </c>
      <c r="W642">
        <v>1356.3047961139112</v>
      </c>
      <c r="X642">
        <v>7.6202843379836249</v>
      </c>
      <c r="Y642">
        <v>2949.3992505221631</v>
      </c>
      <c r="Z642">
        <v>10.836610538842303</v>
      </c>
      <c r="AA642">
        <v>2757.5340367486201</v>
      </c>
      <c r="AB642">
        <v>7.6529868772073737</v>
      </c>
      <c r="AC642">
        <v>2313.4539966927719</v>
      </c>
      <c r="AD642">
        <v>10.816233069797702</v>
      </c>
      <c r="AE642">
        <v>2070.7717068495563</v>
      </c>
      <c r="AF642">
        <v>7.6413156752576779</v>
      </c>
      <c r="AG642">
        <v>2203.5804066125575</v>
      </c>
      <c r="AH642">
        <v>10.806322898839362</v>
      </c>
      <c r="AI642">
        <v>1945.9052032598936</v>
      </c>
      <c r="AJ642">
        <v>7.6356331667307424</v>
      </c>
    </row>
    <row r="643" spans="4:36" x14ac:dyDescent="0.45">
      <c r="D643">
        <v>636</v>
      </c>
      <c r="E643">
        <v>12.385204698515214</v>
      </c>
      <c r="F643">
        <v>0.47223096723057295</v>
      </c>
      <c r="G643">
        <v>0.1719083675486788</v>
      </c>
      <c r="H643">
        <v>16.97065596670555</v>
      </c>
      <c r="I643">
        <v>12.581162404889147</v>
      </c>
      <c r="J643">
        <v>0.31835627743381484</v>
      </c>
      <c r="K643">
        <v>0.11556775739026197</v>
      </c>
      <c r="L643">
        <v>16.984913560286792</v>
      </c>
      <c r="M643">
        <v>12.513931212262422</v>
      </c>
      <c r="N643">
        <v>0.3711703732296105</v>
      </c>
      <c r="O643">
        <v>0.13486930658010163</v>
      </c>
      <c r="P643">
        <v>16.980029107927866</v>
      </c>
      <c r="Q643">
        <v>12.470354273794472</v>
      </c>
      <c r="R643">
        <v>0.40539086793718782</v>
      </c>
      <c r="S643">
        <v>0.14739568267970296</v>
      </c>
      <c r="T643">
        <v>16.976859175588654</v>
      </c>
      <c r="U643">
        <v>1528.2354409735042</v>
      </c>
      <c r="V643">
        <v>9.757830945645221</v>
      </c>
      <c r="W643">
        <v>1274.3962655780833</v>
      </c>
      <c r="X643">
        <v>7.0157317346883596</v>
      </c>
      <c r="Y643">
        <v>2895.1676071550942</v>
      </c>
      <c r="Z643">
        <v>9.7841770886694466</v>
      </c>
      <c r="AA643">
        <v>2726.3319792425459</v>
      </c>
      <c r="AB643">
        <v>7.031628453950189</v>
      </c>
      <c r="AC643">
        <v>2245.1405043215764</v>
      </c>
      <c r="AD643">
        <v>9.7751337341386648</v>
      </c>
      <c r="AE643">
        <v>2033.5529521268861</v>
      </c>
      <c r="AF643">
        <v>7.0261786393774246</v>
      </c>
      <c r="AG643">
        <v>2149.755413048395</v>
      </c>
      <c r="AH643">
        <v>9.769274506419162</v>
      </c>
      <c r="AI643">
        <v>1920.0764242755815</v>
      </c>
      <c r="AJ643">
        <v>7.0226439265570884</v>
      </c>
    </row>
    <row r="644" spans="4:36" x14ac:dyDescent="0.45">
      <c r="D644">
        <v>637</v>
      </c>
      <c r="E644">
        <v>12.87770912249055</v>
      </c>
      <c r="F644">
        <v>0.42514469949203582</v>
      </c>
      <c r="G644">
        <v>0.15323316341715826</v>
      </c>
      <c r="H644">
        <v>16.543913014600243</v>
      </c>
      <c r="I644">
        <v>13.112820470909757</v>
      </c>
      <c r="J644">
        <v>0.26444179107966581</v>
      </c>
      <c r="K644">
        <v>9.498538732055202E-2</v>
      </c>
      <c r="L644">
        <v>16.527752350690015</v>
      </c>
      <c r="M644">
        <v>12.98190296568526</v>
      </c>
      <c r="N644">
        <v>0.35397011164791564</v>
      </c>
      <c r="O644">
        <v>0.12738544354243694</v>
      </c>
      <c r="P644">
        <v>16.536741479124398</v>
      </c>
      <c r="Q644">
        <v>12.970989136274282</v>
      </c>
      <c r="R644">
        <v>0.36142861071021082</v>
      </c>
      <c r="S644">
        <v>0.13009031173090893</v>
      </c>
      <c r="T644">
        <v>16.537491941284582</v>
      </c>
      <c r="U644">
        <v>1513.7647436622526</v>
      </c>
      <c r="V644">
        <v>10.188075200019238</v>
      </c>
      <c r="W644">
        <v>1268.3914235781481</v>
      </c>
      <c r="X644">
        <v>7.2799266884559639</v>
      </c>
      <c r="Y644">
        <v>2881.4291873143329</v>
      </c>
      <c r="Z644">
        <v>10.239343566369751</v>
      </c>
      <c r="AA644">
        <v>2721.0150768158778</v>
      </c>
      <c r="AB644">
        <v>7.3088926673426853</v>
      </c>
      <c r="AC644">
        <v>2237.0682966380909</v>
      </c>
      <c r="AD644">
        <v>10.21080151478994</v>
      </c>
      <c r="AE644">
        <v>2029.6155302864017</v>
      </c>
      <c r="AF644">
        <v>7.2927784481886295</v>
      </c>
      <c r="AG644">
        <v>2083.4346468516515</v>
      </c>
      <c r="AH644">
        <v>10.208421472972423</v>
      </c>
      <c r="AI644">
        <v>1876.2160902265973</v>
      </c>
      <c r="AJ644">
        <v>7.2914334087768129</v>
      </c>
    </row>
    <row r="645" spans="4:36" x14ac:dyDescent="0.45">
      <c r="D645">
        <v>638</v>
      </c>
      <c r="E645">
        <v>13.023141013065596</v>
      </c>
      <c r="F645">
        <v>0.49232862391114329</v>
      </c>
      <c r="G645">
        <v>0.19098317943737284</v>
      </c>
      <c r="H645">
        <v>16.293547183585893</v>
      </c>
      <c r="I645">
        <v>13.275796756176019</v>
      </c>
      <c r="J645">
        <v>0.3045017818811801</v>
      </c>
      <c r="K645">
        <v>0.1177010840241154</v>
      </c>
      <c r="L645">
        <v>16.302000377918691</v>
      </c>
      <c r="M645">
        <v>13.165344894376853</v>
      </c>
      <c r="N645">
        <v>0.38665573432995554</v>
      </c>
      <c r="O645">
        <v>0.14968881179823079</v>
      </c>
      <c r="P645">
        <v>16.298310559494968</v>
      </c>
      <c r="Q645">
        <v>13.132431194540713</v>
      </c>
      <c r="R645">
        <v>0.41112405832923804</v>
      </c>
      <c r="S645">
        <v>0.15923540025169233</v>
      </c>
      <c r="T645">
        <v>16.297209346878354</v>
      </c>
      <c r="U645">
        <v>1594.4846537368323</v>
      </c>
      <c r="V645">
        <v>10.237345882077637</v>
      </c>
      <c r="W645">
        <v>1315.4977881294951</v>
      </c>
      <c r="X645">
        <v>7.2886150979309807</v>
      </c>
      <c r="Y645">
        <v>2924.8744453124086</v>
      </c>
      <c r="Z645">
        <v>10.276783703260593</v>
      </c>
      <c r="AA645">
        <v>2745.4650927821749</v>
      </c>
      <c r="AB645">
        <v>7.3116328744821475</v>
      </c>
      <c r="AC645">
        <v>2249.0251546788195</v>
      </c>
      <c r="AD645">
        <v>10.259539654460246</v>
      </c>
      <c r="AE645">
        <v>2030.9883657016762</v>
      </c>
      <c r="AF645">
        <v>7.3015799054900867</v>
      </c>
      <c r="AG645">
        <v>2162.0308071583213</v>
      </c>
      <c r="AH645">
        <v>10.254402056766029</v>
      </c>
      <c r="AI645">
        <v>1923.9337338612231</v>
      </c>
      <c r="AJ645">
        <v>7.2985813493640048</v>
      </c>
    </row>
    <row r="646" spans="4:36" x14ac:dyDescent="0.45">
      <c r="D646">
        <v>639</v>
      </c>
      <c r="E646">
        <v>13.52314354271917</v>
      </c>
      <c r="F646">
        <v>0.46246204054997958</v>
      </c>
      <c r="G646">
        <v>0.18531355013102144</v>
      </c>
      <c r="H646">
        <v>15.829080866599833</v>
      </c>
      <c r="I646">
        <v>13.786989594441016</v>
      </c>
      <c r="J646">
        <v>0.28580160543781574</v>
      </c>
      <c r="K646">
        <v>0.11410251424475322</v>
      </c>
      <c r="L646">
        <v>15.81310628587641</v>
      </c>
      <c r="M646">
        <v>13.652380615926905</v>
      </c>
      <c r="N646">
        <v>0.3759860271165667</v>
      </c>
      <c r="O646">
        <v>0.15038881185474132</v>
      </c>
      <c r="P646">
        <v>15.821244545101765</v>
      </c>
      <c r="Q646">
        <v>13.644508842432309</v>
      </c>
      <c r="R646">
        <v>0.38125632241727225</v>
      </c>
      <c r="S646">
        <v>0.15251362631434504</v>
      </c>
      <c r="T646">
        <v>15.821721208836061</v>
      </c>
      <c r="U646">
        <v>1591.3022827093321</v>
      </c>
      <c r="V646">
        <v>10.776342198151609</v>
      </c>
      <c r="W646">
        <v>1312.6769019816534</v>
      </c>
      <c r="X646">
        <v>7.6239609221583473</v>
      </c>
      <c r="Y646">
        <v>2915.1006617906482</v>
      </c>
      <c r="Z646">
        <v>10.834865676659742</v>
      </c>
      <c r="AA646">
        <v>2738.0818355897732</v>
      </c>
      <c r="AB646">
        <v>7.6567790942060636</v>
      </c>
      <c r="AC646">
        <v>2275.2100604650045</v>
      </c>
      <c r="AD646">
        <v>10.805014937152102</v>
      </c>
      <c r="AE646">
        <v>2048.2400986415382</v>
      </c>
      <c r="AF646">
        <v>7.6400536600932041</v>
      </c>
      <c r="AG646">
        <v>2159.4828129009743</v>
      </c>
      <c r="AH646">
        <v>10.803268866797485</v>
      </c>
      <c r="AI646">
        <v>1921.9299952106335</v>
      </c>
      <c r="AJ646">
        <v>7.6390744386796632</v>
      </c>
    </row>
    <row r="647" spans="4:36" x14ac:dyDescent="0.45">
      <c r="D647">
        <v>640</v>
      </c>
      <c r="E647">
        <v>11.151482637556516</v>
      </c>
      <c r="F647">
        <v>0.37861588811685493</v>
      </c>
      <c r="G647">
        <v>0.14468168301948575</v>
      </c>
      <c r="H647">
        <v>18.325219791307138</v>
      </c>
      <c r="I647">
        <v>11.334499568869283</v>
      </c>
      <c r="J647">
        <v>0.24234393878879401</v>
      </c>
      <c r="K647">
        <v>9.2334052897920293E-2</v>
      </c>
      <c r="L647">
        <v>18.330822439444006</v>
      </c>
      <c r="M647">
        <v>11.26370697134058</v>
      </c>
      <c r="N647">
        <v>0.29507876257988153</v>
      </c>
      <c r="O647">
        <v>0.11255448216906137</v>
      </c>
      <c r="P647">
        <v>18.328659783910492</v>
      </c>
      <c r="Q647">
        <v>11.231478828782773</v>
      </c>
      <c r="R647">
        <v>0.31907631610734666</v>
      </c>
      <c r="S647">
        <v>0.1217714877873846</v>
      </c>
      <c r="T647">
        <v>18.3276733673225</v>
      </c>
      <c r="U647">
        <v>1438.9528987631597</v>
      </c>
      <c r="V647">
        <v>8.7555845033387723</v>
      </c>
      <c r="W647">
        <v>1228.6148499545197</v>
      </c>
      <c r="X647">
        <v>6.4322546405599264</v>
      </c>
      <c r="Y647">
        <v>2821.4316182365374</v>
      </c>
      <c r="Z647">
        <v>8.7866884475279186</v>
      </c>
      <c r="AA647">
        <v>2686.4318086263925</v>
      </c>
      <c r="AB647">
        <v>6.4510430412093038</v>
      </c>
      <c r="AC647">
        <v>2151.1038012205859</v>
      </c>
      <c r="AD647">
        <v>8.7746547465008398</v>
      </c>
      <c r="AE647">
        <v>1980.8484098298236</v>
      </c>
      <c r="AF647">
        <v>6.4437825010513734</v>
      </c>
      <c r="AG647">
        <v>2019.5114854110161</v>
      </c>
      <c r="AH647">
        <v>8.7691774415982469</v>
      </c>
      <c r="AI647">
        <v>1842.3119090404866</v>
      </c>
      <c r="AJ647">
        <v>6.4404742535638206</v>
      </c>
    </row>
    <row r="648" spans="4:36" x14ac:dyDescent="0.45">
      <c r="D648">
        <v>641</v>
      </c>
      <c r="E648">
        <v>11.687999850032739</v>
      </c>
      <c r="F648">
        <v>0.42744491029809839</v>
      </c>
      <c r="G648">
        <v>0.18682577472490275</v>
      </c>
      <c r="H648">
        <v>17.697729464944253</v>
      </c>
      <c r="I648">
        <v>11.918554979351196</v>
      </c>
      <c r="J648">
        <v>0.26205495120967565</v>
      </c>
      <c r="K648">
        <v>0.11411492245327352</v>
      </c>
      <c r="L648">
        <v>17.705275146985851</v>
      </c>
      <c r="M648">
        <v>11.841992824133166</v>
      </c>
      <c r="N648">
        <v>0.31701412966980991</v>
      </c>
      <c r="O648">
        <v>0.13821633959127086</v>
      </c>
      <c r="P648">
        <v>17.702776706605754</v>
      </c>
      <c r="Q648">
        <v>11.803334165543339</v>
      </c>
      <c r="R648">
        <v>0.3447508772594734</v>
      </c>
      <c r="S648">
        <v>0.15040253975368162</v>
      </c>
      <c r="T648">
        <v>17.701512417443489</v>
      </c>
      <c r="U648">
        <v>1519.8848929460444</v>
      </c>
      <c r="V648">
        <v>9.2174080186865641</v>
      </c>
      <c r="W648">
        <v>1275.768373864101</v>
      </c>
      <c r="X648">
        <v>6.7026922173754073</v>
      </c>
      <c r="Y648">
        <v>2866.5307465564183</v>
      </c>
      <c r="Z648">
        <v>9.2531843606569879</v>
      </c>
      <c r="AA648">
        <v>2712.5671797581804</v>
      </c>
      <c r="AB648">
        <v>6.7241882350801401</v>
      </c>
      <c r="AC648">
        <v>2179.9822568644072</v>
      </c>
      <c r="AD648">
        <v>9.2412996001452719</v>
      </c>
      <c r="AE648">
        <v>1993.6943726286663</v>
      </c>
      <c r="AF648">
        <v>6.7170581864117418</v>
      </c>
      <c r="AG648">
        <v>2118.3709554967609</v>
      </c>
      <c r="AH648">
        <v>9.2353002032025344</v>
      </c>
      <c r="AI648">
        <v>1905.7122677220907</v>
      </c>
      <c r="AJ648">
        <v>6.7134548836349088</v>
      </c>
    </row>
    <row r="649" spans="4:36" x14ac:dyDescent="0.45">
      <c r="D649">
        <v>642</v>
      </c>
      <c r="E649">
        <v>12.383945283144946</v>
      </c>
      <c r="F649">
        <v>0.44303275896575278</v>
      </c>
      <c r="G649">
        <v>0.15354045357062901</v>
      </c>
      <c r="H649">
        <v>17.019481504318662</v>
      </c>
      <c r="I649">
        <v>12.563384875472899</v>
      </c>
      <c r="J649">
        <v>0.30495798708422589</v>
      </c>
      <c r="K649">
        <v>0.1054164174897988</v>
      </c>
      <c r="L649">
        <v>17.026240719953076</v>
      </c>
      <c r="M649">
        <v>12.45461784529412</v>
      </c>
      <c r="N649">
        <v>0.38867175537327864</v>
      </c>
      <c r="O649">
        <v>0.1345636523925785</v>
      </c>
      <c r="P649">
        <v>17.02214674694002</v>
      </c>
      <c r="Q649">
        <v>12.442280258361855</v>
      </c>
      <c r="R649">
        <v>0.39816364660771897</v>
      </c>
      <c r="S649">
        <v>0.13787433703313232</v>
      </c>
      <c r="T649">
        <v>17.021681757997293</v>
      </c>
      <c r="U649">
        <v>1543.1394916071256</v>
      </c>
      <c r="V649">
        <v>9.7891249973966783</v>
      </c>
      <c r="W649">
        <v>1286.2633806413658</v>
      </c>
      <c r="X649">
        <v>7.0437658922317823</v>
      </c>
      <c r="Y649">
        <v>2892.8459663416984</v>
      </c>
      <c r="Z649">
        <v>9.8179049291445288</v>
      </c>
      <c r="AA649">
        <v>2724.870721540151</v>
      </c>
      <c r="AB649">
        <v>7.0607023729642613</v>
      </c>
      <c r="AC649">
        <v>2254.3861942535368</v>
      </c>
      <c r="AD649">
        <v>9.8004586338754418</v>
      </c>
      <c r="AE649">
        <v>2037.7549492359931</v>
      </c>
      <c r="AF649">
        <v>7.0504417801401482</v>
      </c>
      <c r="AG649">
        <v>2138.2484277072708</v>
      </c>
      <c r="AH649">
        <v>9.7984799462327548</v>
      </c>
      <c r="AI649">
        <v>1911.2092440938031</v>
      </c>
      <c r="AJ649">
        <v>7.0492768554028462</v>
      </c>
    </row>
    <row r="650" spans="4:36" x14ac:dyDescent="0.45">
      <c r="D650">
        <v>643</v>
      </c>
      <c r="E650">
        <v>13.156311378463057</v>
      </c>
      <c r="F650">
        <v>0.51032540906532031</v>
      </c>
      <c r="G650">
        <v>0.15882009442976752</v>
      </c>
      <c r="H650">
        <v>16.174543118041846</v>
      </c>
      <c r="I650">
        <v>13.39825139347543</v>
      </c>
      <c r="J650">
        <v>0.32943832191489003</v>
      </c>
      <c r="K650">
        <v>0.10218025463573159</v>
      </c>
      <c r="L650">
        <v>16.170130029973944</v>
      </c>
      <c r="M650">
        <v>13.308711634492367</v>
      </c>
      <c r="N650">
        <v>0.39641953795142831</v>
      </c>
      <c r="O650">
        <v>0.1231083799717797</v>
      </c>
      <c r="P650">
        <v>16.171760447584433</v>
      </c>
      <c r="Q650">
        <v>13.271380991283145</v>
      </c>
      <c r="R650">
        <v>0.42433249793136452</v>
      </c>
      <c r="S650">
        <v>0.13184533794704936</v>
      </c>
      <c r="T650">
        <v>16.172441172838433</v>
      </c>
      <c r="U650">
        <v>1621.8787124856506</v>
      </c>
      <c r="V650">
        <v>10.377900047924024</v>
      </c>
      <c r="W650">
        <v>1334.5473796189651</v>
      </c>
      <c r="X650">
        <v>7.3774259683903951</v>
      </c>
      <c r="Y650">
        <v>2935.1540371272126</v>
      </c>
      <c r="Z650">
        <v>10.42458818242539</v>
      </c>
      <c r="AA650">
        <v>2751.3625765632523</v>
      </c>
      <c r="AB650">
        <v>7.4040946072506886</v>
      </c>
      <c r="AC650">
        <v>2265.0140578475985</v>
      </c>
      <c r="AD650">
        <v>10.407310769109403</v>
      </c>
      <c r="AE650">
        <v>2042.2795474479876</v>
      </c>
      <c r="AF650">
        <v>7.3942364140133892</v>
      </c>
      <c r="AG650">
        <v>2156.808292365316</v>
      </c>
      <c r="AH650">
        <v>10.400107027422022</v>
      </c>
      <c r="AI650">
        <v>1919.819217269217</v>
      </c>
      <c r="AJ650">
        <v>7.3901223526848625</v>
      </c>
    </row>
    <row r="651" spans="4:36" x14ac:dyDescent="0.45">
      <c r="D651">
        <v>644</v>
      </c>
      <c r="E651">
        <v>11.974184607773047</v>
      </c>
      <c r="F651">
        <v>0.45030638748725832</v>
      </c>
      <c r="G651">
        <v>0.17784596744213443</v>
      </c>
      <c r="H651">
        <v>17.397663037297558</v>
      </c>
      <c r="I651">
        <v>12.226805654194148</v>
      </c>
      <c r="J651">
        <v>0.26839603033049819</v>
      </c>
      <c r="K651">
        <v>0.10559774403718107</v>
      </c>
      <c r="L651">
        <v>17.399200571438183</v>
      </c>
      <c r="M651">
        <v>12.159290241766101</v>
      </c>
      <c r="N651">
        <v>0.31705163470147901</v>
      </c>
      <c r="O651">
        <v>0.12486731163411537</v>
      </c>
      <c r="P651">
        <v>17.398790811898319</v>
      </c>
      <c r="Q651">
        <v>12.104117764238019</v>
      </c>
      <c r="R651">
        <v>0.35679154065401569</v>
      </c>
      <c r="S651">
        <v>0.14063535748516379</v>
      </c>
      <c r="T651">
        <v>17.398455337622803</v>
      </c>
      <c r="U651">
        <v>1516.3881940560684</v>
      </c>
      <c r="V651">
        <v>9.4207555988870446</v>
      </c>
      <c r="W651">
        <v>1270.5625247056407</v>
      </c>
      <c r="X651">
        <v>6.820244085540601</v>
      </c>
      <c r="Y651">
        <v>2865.2807635953768</v>
      </c>
      <c r="Z651">
        <v>9.4661843757181856</v>
      </c>
      <c r="AA651">
        <v>2710.5998272669958</v>
      </c>
      <c r="AB651">
        <v>6.8468047302098887</v>
      </c>
      <c r="AC651">
        <v>2201.1132780171961</v>
      </c>
      <c r="AD651">
        <v>9.4540432951968363</v>
      </c>
      <c r="AE651">
        <v>2008.3927048660514</v>
      </c>
      <c r="AF651">
        <v>6.8397174319295146</v>
      </c>
      <c r="AG651">
        <v>2092.902730054901</v>
      </c>
      <c r="AH651">
        <v>9.4441216979301608</v>
      </c>
      <c r="AI651">
        <v>1885.3331337327274</v>
      </c>
      <c r="AJ651">
        <v>6.833919732497975</v>
      </c>
    </row>
    <row r="652" spans="4:36" x14ac:dyDescent="0.45">
      <c r="D652">
        <v>645</v>
      </c>
      <c r="E652">
        <v>12.391844305184406</v>
      </c>
      <c r="F652">
        <v>0.46621973685605939</v>
      </c>
      <c r="G652">
        <v>0.17396231708454549</v>
      </c>
      <c r="H652">
        <v>16.967973640874995</v>
      </c>
      <c r="I652">
        <v>12.600291712720015</v>
      </c>
      <c r="J652">
        <v>0.3044810302984392</v>
      </c>
      <c r="K652">
        <v>0.11326924804638486</v>
      </c>
      <c r="L652">
        <v>16.981958008935187</v>
      </c>
      <c r="M652">
        <v>12.512342964564001</v>
      </c>
      <c r="N652">
        <v>0.37274914583877272</v>
      </c>
      <c r="O652">
        <v>0.13884176070067264</v>
      </c>
      <c r="P652">
        <v>16.976066128896544</v>
      </c>
      <c r="Q652">
        <v>12.477774149765557</v>
      </c>
      <c r="R652">
        <v>0.39957167016537876</v>
      </c>
      <c r="S652">
        <v>0.14890725648430209</v>
      </c>
      <c r="T652">
        <v>16.97374692358477</v>
      </c>
      <c r="U652">
        <v>1519.5139189553345</v>
      </c>
      <c r="V652">
        <v>9.8366631986919977</v>
      </c>
      <c r="W652">
        <v>1269.6544643810416</v>
      </c>
      <c r="X652">
        <v>7.0730647597364147</v>
      </c>
      <c r="Y652">
        <v>2896.7257365466985</v>
      </c>
      <c r="Z652">
        <v>9.8680883497312522</v>
      </c>
      <c r="AA652">
        <v>2729.284046546315</v>
      </c>
      <c r="AB652">
        <v>7.0919341535107039</v>
      </c>
      <c r="AC652">
        <v>2217.1916435780231</v>
      </c>
      <c r="AD652">
        <v>9.8548242279353104</v>
      </c>
      <c r="AE652">
        <v>2014.0835194001977</v>
      </c>
      <c r="AF652">
        <v>7.0839786957393898</v>
      </c>
      <c r="AG652">
        <v>2105.7084435437796</v>
      </c>
      <c r="AH652">
        <v>9.8496127235702691</v>
      </c>
      <c r="AI652">
        <v>1889.5985924949757</v>
      </c>
      <c r="AJ652">
        <v>7.0808493756294375</v>
      </c>
    </row>
    <row r="653" spans="4:36" x14ac:dyDescent="0.45">
      <c r="D653">
        <v>646</v>
      </c>
      <c r="E653">
        <v>12.186257913516107</v>
      </c>
      <c r="F653">
        <v>0.41516457565837794</v>
      </c>
      <c r="G653">
        <v>0.13120891793948419</v>
      </c>
      <c r="H653">
        <v>17.267368592886051</v>
      </c>
      <c r="I653">
        <v>12.331871489435397</v>
      </c>
      <c r="J653">
        <v>0.30757480287036398</v>
      </c>
      <c r="K653">
        <v>9.6996159172863555E-2</v>
      </c>
      <c r="L653">
        <v>17.263557548521383</v>
      </c>
      <c r="M653">
        <v>12.288943291280123</v>
      </c>
      <c r="N653">
        <v>0.33930597647727956</v>
      </c>
      <c r="O653">
        <v>0.10707085163448431</v>
      </c>
      <c r="P653">
        <v>17.264679880608128</v>
      </c>
      <c r="Q653">
        <v>12.243405613885139</v>
      </c>
      <c r="R653">
        <v>0.37295437997448894</v>
      </c>
      <c r="S653">
        <v>0.11776847734373172</v>
      </c>
      <c r="T653">
        <v>17.265871528796634</v>
      </c>
      <c r="U653">
        <v>1449.6500622121475</v>
      </c>
      <c r="V653">
        <v>9.6649897201525139</v>
      </c>
      <c r="W653">
        <v>1229.2188028626751</v>
      </c>
      <c r="X653">
        <v>6.9817519168235673</v>
      </c>
      <c r="Y653">
        <v>2873.0798657720461</v>
      </c>
      <c r="Z653">
        <v>9.6952610908529184</v>
      </c>
      <c r="AA653">
        <v>2716.4409639581777</v>
      </c>
      <c r="AB653">
        <v>6.9992566685276083</v>
      </c>
      <c r="AC653">
        <v>2184.5437357614151</v>
      </c>
      <c r="AD653">
        <v>9.6863376426187333</v>
      </c>
      <c r="AE653">
        <v>1998.1887789347279</v>
      </c>
      <c r="AF653">
        <v>6.9941008439264332</v>
      </c>
      <c r="AG653">
        <v>2090.6492618880934</v>
      </c>
      <c r="AH653">
        <v>9.6768710113393777</v>
      </c>
      <c r="AI653">
        <v>1886.407140877544</v>
      </c>
      <c r="AJ653">
        <v>6.9886272969040055</v>
      </c>
    </row>
    <row r="654" spans="4:36" x14ac:dyDescent="0.45">
      <c r="D654">
        <v>647</v>
      </c>
      <c r="E654">
        <v>11.843337691664896</v>
      </c>
      <c r="F654">
        <v>0.42053952534187783</v>
      </c>
      <c r="G654">
        <v>0.17627363730278822</v>
      </c>
      <c r="H654">
        <v>17.559849145690432</v>
      </c>
      <c r="I654">
        <v>12.053676561611836</v>
      </c>
      <c r="J654">
        <v>0.26418996716446463</v>
      </c>
      <c r="K654">
        <v>0.11036921822357615</v>
      </c>
      <c r="L654">
        <v>17.571764253000122</v>
      </c>
      <c r="M654">
        <v>11.948408270189551</v>
      </c>
      <c r="N654">
        <v>0.34247024411799198</v>
      </c>
      <c r="O654">
        <v>0.14331017164982779</v>
      </c>
      <c r="P654">
        <v>17.565811314042616</v>
      </c>
      <c r="Q654">
        <v>11.957116409705094</v>
      </c>
      <c r="R654">
        <v>0.33599706558740966</v>
      </c>
      <c r="S654">
        <v>0.14058199123244211</v>
      </c>
      <c r="T654">
        <v>17.566304533475037</v>
      </c>
      <c r="U654">
        <v>1475.7668809525544</v>
      </c>
      <c r="V654">
        <v>9.3429689307228614</v>
      </c>
      <c r="W654">
        <v>1240.3876958457452</v>
      </c>
      <c r="X654">
        <v>6.7778514349699721</v>
      </c>
      <c r="Y654">
        <v>2887.4046005210398</v>
      </c>
      <c r="Z654">
        <v>9.3720272515806773</v>
      </c>
      <c r="AA654">
        <v>2725.3264010837584</v>
      </c>
      <c r="AB654">
        <v>6.7955214488709155</v>
      </c>
      <c r="AC654">
        <v>2207.9875158871</v>
      </c>
      <c r="AD654">
        <v>9.3574785502377971</v>
      </c>
      <c r="AE654">
        <v>2009.0433388339907</v>
      </c>
      <c r="AF654">
        <v>6.786684197404206</v>
      </c>
      <c r="AG654">
        <v>2088.8886965676811</v>
      </c>
      <c r="AH654">
        <v>9.3586816215869479</v>
      </c>
      <c r="AI654">
        <v>1881.9150039457531</v>
      </c>
      <c r="AJ654">
        <v>6.787415702000855</v>
      </c>
    </row>
    <row r="655" spans="4:36" x14ac:dyDescent="0.45">
      <c r="D655">
        <v>648</v>
      </c>
      <c r="E655">
        <v>12.376378011508038</v>
      </c>
      <c r="F655">
        <v>0.45724395680265462</v>
      </c>
      <c r="G655">
        <v>0.1533632505206757</v>
      </c>
      <c r="H655">
        <v>17.013014781168636</v>
      </c>
      <c r="I655">
        <v>12.606226906417319</v>
      </c>
      <c r="J655">
        <v>0.28366983650967026</v>
      </c>
      <c r="K655">
        <v>9.4839331820233644E-2</v>
      </c>
      <c r="L655">
        <v>17.015263925252764</v>
      </c>
      <c r="M655">
        <v>12.499780251271968</v>
      </c>
      <c r="N655">
        <v>0.36409047557536278</v>
      </c>
      <c r="O655">
        <v>0.12190723542186596</v>
      </c>
      <c r="P655">
        <v>17.014222037730793</v>
      </c>
      <c r="Q655">
        <v>12.462015470803845</v>
      </c>
      <c r="R655">
        <v>0.3926070715265344</v>
      </c>
      <c r="S655">
        <v>0.13152494528367126</v>
      </c>
      <c r="T655">
        <v>17.013852512385945</v>
      </c>
      <c r="U655">
        <v>1543.7564637164041</v>
      </c>
      <c r="V655">
        <v>9.7917933824159871</v>
      </c>
      <c r="W655">
        <v>1288.7736067811866</v>
      </c>
      <c r="X655">
        <v>7.0460606976664986</v>
      </c>
      <c r="Y655">
        <v>2874.9208376640349</v>
      </c>
      <c r="Z655">
        <v>9.8329035513185605</v>
      </c>
      <c r="AA655">
        <v>2715.6736572590848</v>
      </c>
      <c r="AB655">
        <v>7.0699912020375706</v>
      </c>
      <c r="AC655">
        <v>2210.4661590824558</v>
      </c>
      <c r="AD655">
        <v>9.8138647755688826</v>
      </c>
      <c r="AE655">
        <v>2010.5544647753691</v>
      </c>
      <c r="AF655">
        <v>7.0589197100414447</v>
      </c>
      <c r="AG655">
        <v>2096.7893464998292</v>
      </c>
      <c r="AH655">
        <v>9.80711026724987</v>
      </c>
      <c r="AI655">
        <v>1884.4033927047885</v>
      </c>
      <c r="AJ655">
        <v>7.0549872196416086</v>
      </c>
    </row>
    <row r="656" spans="4:36" x14ac:dyDescent="0.45">
      <c r="D656">
        <v>649</v>
      </c>
      <c r="E656">
        <v>11.370372583461346</v>
      </c>
      <c r="F656">
        <v>0.3950149862992432</v>
      </c>
      <c r="G656">
        <v>0.13950405541545391</v>
      </c>
      <c r="H656">
        <v>18.095108374823958</v>
      </c>
      <c r="I656">
        <v>11.533828872895089</v>
      </c>
      <c r="J656">
        <v>0.26484116818318143</v>
      </c>
      <c r="K656">
        <v>9.330014266494388E-2</v>
      </c>
      <c r="L656">
        <v>18.108029816256781</v>
      </c>
      <c r="M656">
        <v>11.468206317577353</v>
      </c>
      <c r="N656">
        <v>0.3171176354025575</v>
      </c>
      <c r="O656">
        <v>0.11182732039077582</v>
      </c>
      <c r="P656">
        <v>18.102848726629322</v>
      </c>
      <c r="Q656">
        <v>11.414559114632866</v>
      </c>
      <c r="R656">
        <v>0.35983855940108211</v>
      </c>
      <c r="S656">
        <v>0.12699562975941545</v>
      </c>
      <c r="T656">
        <v>18.09860669620663</v>
      </c>
      <c r="U656">
        <v>1484.6722915800649</v>
      </c>
      <c r="V656">
        <v>8.9687818408677291</v>
      </c>
      <c r="W656">
        <v>1254.76015282767</v>
      </c>
      <c r="X656">
        <v>6.5629969401712627</v>
      </c>
      <c r="Y656">
        <v>2856.9024783280629</v>
      </c>
      <c r="Z656">
        <v>8.991442876257155</v>
      </c>
      <c r="AA656">
        <v>2706.6542845053405</v>
      </c>
      <c r="AB656">
        <v>6.5768716042920152</v>
      </c>
      <c r="AC656">
        <v>2175.1922765521058</v>
      </c>
      <c r="AD656">
        <v>8.9823421012072107</v>
      </c>
      <c r="AE656">
        <v>1991.8525082037274</v>
      </c>
      <c r="AF656">
        <v>6.5713053502911061</v>
      </c>
      <c r="AG656">
        <v>2066.7160387510708</v>
      </c>
      <c r="AH656">
        <v>8.9749051784710012</v>
      </c>
      <c r="AI656">
        <v>1868.3427997886401</v>
      </c>
      <c r="AJ656">
        <v>6.5667509087552833</v>
      </c>
    </row>
    <row r="657" spans="4:36" x14ac:dyDescent="0.45">
      <c r="D657">
        <v>650</v>
      </c>
      <c r="E657">
        <v>12.205093988728308</v>
      </c>
      <c r="F657">
        <v>0.43920254847404655</v>
      </c>
      <c r="G657">
        <v>0.17750205395202401</v>
      </c>
      <c r="H657">
        <v>17.178201408845631</v>
      </c>
      <c r="I657">
        <v>12.408722063645351</v>
      </c>
      <c r="J657">
        <v>0.28947289377697705</v>
      </c>
      <c r="K657">
        <v>0.11663494604443184</v>
      </c>
      <c r="L657">
        <v>17.185170096533231</v>
      </c>
      <c r="M657">
        <v>12.345501365712931</v>
      </c>
      <c r="N657">
        <v>0.33598552360112466</v>
      </c>
      <c r="O657">
        <v>0.13550289425048015</v>
      </c>
      <c r="P657">
        <v>17.18301021643547</v>
      </c>
      <c r="Q657">
        <v>12.308667408835904</v>
      </c>
      <c r="R657">
        <v>0.36307425084228745</v>
      </c>
      <c r="S657">
        <v>0.14650805329180813</v>
      </c>
      <c r="T657">
        <v>17.181750287030006</v>
      </c>
      <c r="U657">
        <v>1542.4454334052175</v>
      </c>
      <c r="V657">
        <v>9.6337285172025346</v>
      </c>
      <c r="W657">
        <v>1287.4386907354608</v>
      </c>
      <c r="X657">
        <v>6.9492819045182381</v>
      </c>
      <c r="Y657">
        <v>2906.0836917650686</v>
      </c>
      <c r="Z657">
        <v>9.6674768804111775</v>
      </c>
      <c r="AA657">
        <v>2736.589012186399</v>
      </c>
      <c r="AB657">
        <v>6.9693315697853873</v>
      </c>
      <c r="AC657">
        <v>2200.4961851995376</v>
      </c>
      <c r="AD657">
        <v>9.6569962848701891</v>
      </c>
      <c r="AE657">
        <v>2004.1481102602631</v>
      </c>
      <c r="AF657">
        <v>6.9631130342160894</v>
      </c>
      <c r="AG657">
        <v>2123.9471103251526</v>
      </c>
      <c r="AH657">
        <v>9.6508911420323997</v>
      </c>
      <c r="AI657">
        <v>1904.9047774370147</v>
      </c>
      <c r="AJ657">
        <v>6.9594873526366055</v>
      </c>
    </row>
    <row r="658" spans="4:36" x14ac:dyDescent="0.45">
      <c r="D658">
        <v>651</v>
      </c>
      <c r="E658">
        <v>11.970753610395526</v>
      </c>
      <c r="F658">
        <v>0.40655946901604806</v>
      </c>
      <c r="G658">
        <v>0.15394860171580246</v>
      </c>
      <c r="H658">
        <v>17.468738318872614</v>
      </c>
      <c r="I658">
        <v>12.140372971848944</v>
      </c>
      <c r="J658">
        <v>0.2797845607154566</v>
      </c>
      <c r="K658">
        <v>0.10566628344737494</v>
      </c>
      <c r="L658">
        <v>17.474176183988227</v>
      </c>
      <c r="M658">
        <v>12.066301817634368</v>
      </c>
      <c r="N658">
        <v>0.33516607232679213</v>
      </c>
      <c r="O658">
        <v>0.12672681252069987</v>
      </c>
      <c r="P658">
        <v>17.471805297518138</v>
      </c>
      <c r="Q658">
        <v>12.016144938846178</v>
      </c>
      <c r="R658">
        <v>0.37264967717592967</v>
      </c>
      <c r="S658">
        <v>0.14100883826686866</v>
      </c>
      <c r="T658">
        <v>17.470196545711033</v>
      </c>
      <c r="U658">
        <v>1511.6783744788713</v>
      </c>
      <c r="V658">
        <v>9.4542440564401584</v>
      </c>
      <c r="W658">
        <v>1271.6073457776788</v>
      </c>
      <c r="X658">
        <v>6.8507143752373993</v>
      </c>
      <c r="Y658">
        <v>2862.4519276076931</v>
      </c>
      <c r="Z658">
        <v>9.4852409479001896</v>
      </c>
      <c r="AA658">
        <v>2708.2906133742827</v>
      </c>
      <c r="AB658">
        <v>6.8691704652919698</v>
      </c>
      <c r="AC658">
        <v>2181.2831108337618</v>
      </c>
      <c r="AD658">
        <v>9.4717026461367748</v>
      </c>
      <c r="AE658">
        <v>1993.3189422001169</v>
      </c>
      <c r="AF658">
        <v>6.8611167059358529</v>
      </c>
      <c r="AG658">
        <v>2077.9999225660795</v>
      </c>
      <c r="AH658">
        <v>9.4625372406438437</v>
      </c>
      <c r="AI658">
        <v>1874.0906597224355</v>
      </c>
      <c r="AJ658">
        <v>6.8556580177130542</v>
      </c>
    </row>
    <row r="659" spans="4:36" x14ac:dyDescent="0.45">
      <c r="D659">
        <v>652</v>
      </c>
      <c r="E659">
        <v>12.530175459946681</v>
      </c>
      <c r="F659">
        <v>0.45067262657937385</v>
      </c>
      <c r="G659">
        <v>0.19108095491919172</v>
      </c>
      <c r="H659">
        <v>16.828070958554765</v>
      </c>
      <c r="I659">
        <v>12.746910608299524</v>
      </c>
      <c r="J659">
        <v>0.29372046520401374</v>
      </c>
      <c r="K659">
        <v>0.12411530570976352</v>
      </c>
      <c r="L659">
        <v>16.835253620786695</v>
      </c>
      <c r="M659">
        <v>12.658330485121688</v>
      </c>
      <c r="N659">
        <v>0.35790074889669016</v>
      </c>
      <c r="O659">
        <v>0.15144326763827295</v>
      </c>
      <c r="P659">
        <v>16.832325498343344</v>
      </c>
      <c r="Q659">
        <v>12.596052627158555</v>
      </c>
      <c r="R659">
        <v>0.40299611955499032</v>
      </c>
      <c r="S659">
        <v>0.17069056976008906</v>
      </c>
      <c r="T659">
        <v>16.830260683526379</v>
      </c>
      <c r="U659">
        <v>1531.7642245833767</v>
      </c>
      <c r="V659">
        <v>9.9121913249230715</v>
      </c>
      <c r="W659">
        <v>1275.7451008025271</v>
      </c>
      <c r="X659">
        <v>7.1107614663445915</v>
      </c>
      <c r="Y659">
        <v>2904.4958494279867</v>
      </c>
      <c r="Z659">
        <v>9.9430378490205999</v>
      </c>
      <c r="AA659">
        <v>2733.1070454538572</v>
      </c>
      <c r="AB659">
        <v>7.1289607599845271</v>
      </c>
      <c r="AC659">
        <v>2241.6983204316325</v>
      </c>
      <c r="AD659">
        <v>9.9304277043651812</v>
      </c>
      <c r="AE659">
        <v>2029.7414664349003</v>
      </c>
      <c r="AF659">
        <v>7.1215292250685884</v>
      </c>
      <c r="AG659">
        <v>2168.8948100825705</v>
      </c>
      <c r="AH659">
        <v>9.9215644746576306</v>
      </c>
      <c r="AI659">
        <v>1931.4628203956256</v>
      </c>
      <c r="AJ659">
        <v>7.1162989409612543</v>
      </c>
    </row>
    <row r="660" spans="4:36" x14ac:dyDescent="0.45">
      <c r="D660">
        <v>653</v>
      </c>
      <c r="E660">
        <v>12.180075685778585</v>
      </c>
      <c r="F660">
        <v>0.43872573612817151</v>
      </c>
      <c r="G660">
        <v>0.18052291724114239</v>
      </c>
      <c r="H660">
        <v>17.200675660852109</v>
      </c>
      <c r="I660">
        <v>12.37790504943794</v>
      </c>
      <c r="J660">
        <v>0.29350058265894097</v>
      </c>
      <c r="K660">
        <v>0.12039574367661168</v>
      </c>
      <c r="L660">
        <v>17.208198624226501</v>
      </c>
      <c r="M660">
        <v>12.30148830007799</v>
      </c>
      <c r="N660">
        <v>0.34962475515275077</v>
      </c>
      <c r="O660">
        <v>0.14358818563428846</v>
      </c>
      <c r="P660">
        <v>17.205298759134969</v>
      </c>
      <c r="Q660">
        <v>12.26338700119795</v>
      </c>
      <c r="R660">
        <v>0.37759546083334794</v>
      </c>
      <c r="S660">
        <v>0.15516749501678281</v>
      </c>
      <c r="T660">
        <v>17.203850042951917</v>
      </c>
      <c r="U660">
        <v>1525.4344744498476</v>
      </c>
      <c r="V660">
        <v>9.6393481065912354</v>
      </c>
      <c r="W660">
        <v>1275.7814635467964</v>
      </c>
      <c r="X660">
        <v>6.9564197886875396</v>
      </c>
      <c r="Y660">
        <v>2891.4399371354198</v>
      </c>
      <c r="Z660">
        <v>9.6732893780307307</v>
      </c>
      <c r="AA660">
        <v>2726.0787837771004</v>
      </c>
      <c r="AB660">
        <v>6.9765936597540321</v>
      </c>
      <c r="AC660">
        <v>2210.4551788883264</v>
      </c>
      <c r="AD660">
        <v>9.6601755122211213</v>
      </c>
      <c r="AE660">
        <v>2010.7610083923964</v>
      </c>
      <c r="AF660">
        <v>6.9688077831616093</v>
      </c>
      <c r="AG660">
        <v>2102.3506925284883</v>
      </c>
      <c r="AH660">
        <v>9.653638437499426</v>
      </c>
      <c r="AI660">
        <v>1888.5983404436899</v>
      </c>
      <c r="AJ660">
        <v>6.9649225661329597</v>
      </c>
    </row>
    <row r="661" spans="4:36" x14ac:dyDescent="0.45">
      <c r="D661">
        <v>654</v>
      </c>
      <c r="E661">
        <v>12.334276341734471</v>
      </c>
      <c r="F661">
        <v>0.44584467759681001</v>
      </c>
      <c r="G661">
        <v>0.1566415637851486</v>
      </c>
      <c r="H661">
        <v>17.06323741688356</v>
      </c>
      <c r="I661">
        <v>12.533095219182632</v>
      </c>
      <c r="J661">
        <v>0.29260363146392093</v>
      </c>
      <c r="K661">
        <v>0.10250339608622432</v>
      </c>
      <c r="L661">
        <v>17.071797753267219</v>
      </c>
      <c r="M661">
        <v>12.458154130059077</v>
      </c>
      <c r="N661">
        <v>0.35038900338913304</v>
      </c>
      <c r="O661">
        <v>0.12288074312394297</v>
      </c>
      <c r="P661">
        <v>17.06857612342786</v>
      </c>
      <c r="Q661">
        <v>12.41133931604757</v>
      </c>
      <c r="R661">
        <v>0.38647214895130716</v>
      </c>
      <c r="S661">
        <v>0.13562800496548591</v>
      </c>
      <c r="T661">
        <v>17.066560530035648</v>
      </c>
      <c r="U661">
        <v>1519.8724466431263</v>
      </c>
      <c r="V661">
        <v>9.7724532924207139</v>
      </c>
      <c r="W661">
        <v>1272.8921651304356</v>
      </c>
      <c r="X661">
        <v>7.0367449450658528</v>
      </c>
      <c r="Y661">
        <v>2872.7396675169489</v>
      </c>
      <c r="Z661">
        <v>9.8049522086659007</v>
      </c>
      <c r="AA661">
        <v>2713.7968619129242</v>
      </c>
      <c r="AB661">
        <v>7.0560056347403153</v>
      </c>
      <c r="AC661">
        <v>2197.2879406630823</v>
      </c>
      <c r="AD661">
        <v>9.792699586965897</v>
      </c>
      <c r="AE661">
        <v>2002.5301057393194</v>
      </c>
      <c r="AF661">
        <v>7.0487520646893786</v>
      </c>
      <c r="AG661">
        <v>2091.5288059771451</v>
      </c>
      <c r="AH661">
        <v>9.7850472069889562</v>
      </c>
      <c r="AI661">
        <v>1881.5599758853293</v>
      </c>
      <c r="AJ661">
        <v>7.0442169364930214</v>
      </c>
    </row>
    <row r="662" spans="4:36" x14ac:dyDescent="0.45">
      <c r="D662">
        <v>655</v>
      </c>
      <c r="E662">
        <v>12.613012886101027</v>
      </c>
      <c r="F662">
        <v>0.4153157425063132</v>
      </c>
      <c r="G662">
        <v>0.17707722034974438</v>
      </c>
      <c r="H662">
        <v>16.794594151042908</v>
      </c>
      <c r="I662">
        <v>12.787652152061291</v>
      </c>
      <c r="J662">
        <v>0.29305144128069444</v>
      </c>
      <c r="K662">
        <v>0.12460943113723429</v>
      </c>
      <c r="L662">
        <v>16.794686975520786</v>
      </c>
      <c r="M662">
        <v>12.711361411935359</v>
      </c>
      <c r="N662">
        <v>0.34648583235025687</v>
      </c>
      <c r="O662">
        <v>0.14750445541524382</v>
      </c>
      <c r="P662">
        <v>16.794648300299151</v>
      </c>
      <c r="Q662">
        <v>12.66521875792135</v>
      </c>
      <c r="R662">
        <v>0.37878668117768211</v>
      </c>
      <c r="S662">
        <v>0.1613710601977936</v>
      </c>
      <c r="T662">
        <v>16.794623500703164</v>
      </c>
      <c r="U662">
        <v>1512.4575663947153</v>
      </c>
      <c r="V662">
        <v>9.9720267476235716</v>
      </c>
      <c r="W662">
        <v>1265.11058681647</v>
      </c>
      <c r="X662">
        <v>7.151190207416434</v>
      </c>
      <c r="Y662">
        <v>2898.085892985423</v>
      </c>
      <c r="Z662">
        <v>10.004180034938111</v>
      </c>
      <c r="AA662">
        <v>2728.8188895239846</v>
      </c>
      <c r="AB662">
        <v>7.1699493303144077</v>
      </c>
      <c r="AC662">
        <v>2195.0044917147184</v>
      </c>
      <c r="AD662">
        <v>9.990132816111684</v>
      </c>
      <c r="AE662">
        <v>1997.3439660562833</v>
      </c>
      <c r="AF662">
        <v>7.1617604669596142</v>
      </c>
      <c r="AG662">
        <v>2143.1176638252869</v>
      </c>
      <c r="AH662">
        <v>9.9816375381489895</v>
      </c>
      <c r="AI662">
        <v>1915.2111280664024</v>
      </c>
      <c r="AJ662">
        <v>7.1568031088529871</v>
      </c>
    </row>
    <row r="663" spans="4:36" x14ac:dyDescent="0.45">
      <c r="D663">
        <v>656</v>
      </c>
      <c r="E663">
        <v>12.63886620847758</v>
      </c>
      <c r="F663">
        <v>0.42324349980899834</v>
      </c>
      <c r="G663">
        <v>0.16262619629295755</v>
      </c>
      <c r="H663">
        <v>16.77526409542044</v>
      </c>
      <c r="I663">
        <v>12.876927766750162</v>
      </c>
      <c r="J663">
        <v>0.26276755334458757</v>
      </c>
      <c r="K663">
        <v>0.10060113896471212</v>
      </c>
      <c r="L663">
        <v>16.759703540940567</v>
      </c>
      <c r="M663">
        <v>12.788641713050367</v>
      </c>
      <c r="N663">
        <v>0.3223244422532266</v>
      </c>
      <c r="O663">
        <v>0.12356726689341478</v>
      </c>
      <c r="P663">
        <v>16.765466577802986</v>
      </c>
      <c r="Q663">
        <v>12.741964972106464</v>
      </c>
      <c r="R663">
        <v>0.35379133247050637</v>
      </c>
      <c r="S663">
        <v>0.13572657152036571</v>
      </c>
      <c r="T663">
        <v>16.768517123902665</v>
      </c>
      <c r="U663">
        <v>1569.1668591165067</v>
      </c>
      <c r="V663">
        <v>10.092653062482114</v>
      </c>
      <c r="W663">
        <v>1303.1434814325012</v>
      </c>
      <c r="X663">
        <v>7.2375423108348835</v>
      </c>
      <c r="Y663">
        <v>2921.4819495357151</v>
      </c>
      <c r="Z663">
        <v>10.147273819756197</v>
      </c>
      <c r="AA663">
        <v>2746.6877166896529</v>
      </c>
      <c r="AB663">
        <v>7.2686510539083997</v>
      </c>
      <c r="AC663">
        <v>2233.4404548249986</v>
      </c>
      <c r="AD663">
        <v>10.127022051424541</v>
      </c>
      <c r="AE663">
        <v>2025.2435134256816</v>
      </c>
      <c r="AF663">
        <v>7.2571295085557619</v>
      </c>
      <c r="AG663">
        <v>2120.299338221153</v>
      </c>
      <c r="AH663">
        <v>10.116312802285956</v>
      </c>
      <c r="AI663">
        <v>1898.8394316023805</v>
      </c>
      <c r="AJ663">
        <v>7.251030847247474</v>
      </c>
    </row>
    <row r="664" spans="4:36" x14ac:dyDescent="0.45">
      <c r="D664">
        <v>657</v>
      </c>
      <c r="E664">
        <v>14.127468332263714</v>
      </c>
      <c r="F664">
        <v>0.50665472451886062</v>
      </c>
      <c r="G664">
        <v>0.18302930609138901</v>
      </c>
      <c r="H664">
        <v>15.182847637126018</v>
      </c>
      <c r="I664">
        <v>14.369366699215561</v>
      </c>
      <c r="J664">
        <v>0.33780645908244433</v>
      </c>
      <c r="K664">
        <v>0.1216455512053624</v>
      </c>
      <c r="L664">
        <v>15.171181290496648</v>
      </c>
      <c r="M664">
        <v>14.265728711002074</v>
      </c>
      <c r="N664">
        <v>0.41018909466045983</v>
      </c>
      <c r="O664">
        <v>0.14791127260885259</v>
      </c>
      <c r="P664">
        <v>15.176170921728623</v>
      </c>
      <c r="Q664">
        <v>14.194247052071972</v>
      </c>
      <c r="R664">
        <v>0.46007660863198857</v>
      </c>
      <c r="S664">
        <v>0.16605640628120094</v>
      </c>
      <c r="T664">
        <v>15.179619933014827</v>
      </c>
      <c r="U664">
        <v>1646.6295818814431</v>
      </c>
      <c r="V664">
        <v>11.101302832306809</v>
      </c>
      <c r="W664">
        <v>1346.2038610978279</v>
      </c>
      <c r="X664">
        <v>7.7856288643170313</v>
      </c>
      <c r="Y664">
        <v>2984.1614081679086</v>
      </c>
      <c r="Z664">
        <v>11.152317949962749</v>
      </c>
      <c r="AA664">
        <v>2781.4677263895892</v>
      </c>
      <c r="AB664">
        <v>7.8140176085004196</v>
      </c>
      <c r="AC664">
        <v>2285.7296324632489</v>
      </c>
      <c r="AD664">
        <v>11.130466441736836</v>
      </c>
      <c r="AE664">
        <v>2051.2762305515985</v>
      </c>
      <c r="AF664">
        <v>7.8018678164909936</v>
      </c>
      <c r="AG664">
        <v>2226.5643944052026</v>
      </c>
      <c r="AH664">
        <v>11.115390381940527</v>
      </c>
      <c r="AI664">
        <v>1961.6392389617195</v>
      </c>
      <c r="AJ664">
        <v>7.7934765077406505</v>
      </c>
    </row>
    <row r="665" spans="4:36" x14ac:dyDescent="0.45">
      <c r="D665">
        <v>658</v>
      </c>
      <c r="E665">
        <v>12.395984187768878</v>
      </c>
      <c r="F665">
        <v>0.45902533225974007</v>
      </c>
      <c r="G665">
        <v>0.16116994162109147</v>
      </c>
      <c r="H665">
        <v>16.983820538350294</v>
      </c>
      <c r="I665">
        <v>12.566478845224182</v>
      </c>
      <c r="J665">
        <v>0.32104414813280352</v>
      </c>
      <c r="K665">
        <v>0.11244374456067878</v>
      </c>
      <c r="L665">
        <v>17.000033262082322</v>
      </c>
      <c r="M665">
        <v>12.479616204260338</v>
      </c>
      <c r="N665">
        <v>0.391358112688305</v>
      </c>
      <c r="O665">
        <v>0.13724356428098772</v>
      </c>
      <c r="P665">
        <v>16.991782118770377</v>
      </c>
      <c r="Q665">
        <v>12.435921236529012</v>
      </c>
      <c r="R665">
        <v>0.42671588787360087</v>
      </c>
      <c r="S665">
        <v>0.14973828970981914</v>
      </c>
      <c r="T665">
        <v>16.98762458588757</v>
      </c>
      <c r="U665">
        <v>1492.5831822258638</v>
      </c>
      <c r="V665">
        <v>9.8001540857187894</v>
      </c>
      <c r="W665">
        <v>1251.6653864251077</v>
      </c>
      <c r="X665">
        <v>7.0470421511219206</v>
      </c>
      <c r="Y665">
        <v>2893.3460787521481</v>
      </c>
      <c r="Z665">
        <v>9.82265828403564</v>
      </c>
      <c r="AA665">
        <v>2726.2487273911634</v>
      </c>
      <c r="AB665">
        <v>7.0608915312712606</v>
      </c>
      <c r="AC665">
        <v>2234.3761230478217</v>
      </c>
      <c r="AD665">
        <v>9.8111874081884487</v>
      </c>
      <c r="AE665">
        <v>2025.9208617952875</v>
      </c>
      <c r="AF665">
        <v>7.0538384653615056</v>
      </c>
      <c r="AG665">
        <v>2120.7418148065431</v>
      </c>
      <c r="AH665">
        <v>9.8054215176223796</v>
      </c>
      <c r="AI665">
        <v>1899.2982495804824</v>
      </c>
      <c r="AJ665">
        <v>7.050288301590192</v>
      </c>
    </row>
    <row r="666" spans="4:36" x14ac:dyDescent="0.45">
      <c r="D666">
        <v>659</v>
      </c>
      <c r="E666">
        <v>14.873659988214857</v>
      </c>
      <c r="F666">
        <v>0.52437957540642299</v>
      </c>
      <c r="G666">
        <v>0.14930147105997418</v>
      </c>
      <c r="H666">
        <v>14.452658965318731</v>
      </c>
      <c r="I666">
        <v>15.132576165076143</v>
      </c>
      <c r="J666">
        <v>0.34610894171793011</v>
      </c>
      <c r="K666">
        <v>9.823689080525623E-2</v>
      </c>
      <c r="L666">
        <v>14.423078002400686</v>
      </c>
      <c r="M666">
        <v>14.99167952884223</v>
      </c>
      <c r="N666">
        <v>0.44316800547213026</v>
      </c>
      <c r="O666">
        <v>0.1259986436853</v>
      </c>
      <c r="P666">
        <v>14.439153822000328</v>
      </c>
      <c r="Q666">
        <v>14.975207984149398</v>
      </c>
      <c r="R666">
        <v>0.45450725287356192</v>
      </c>
      <c r="S666">
        <v>0.12924825383843253</v>
      </c>
      <c r="T666">
        <v>14.441036509138598</v>
      </c>
      <c r="U666">
        <v>1664.6628275087078</v>
      </c>
      <c r="V666">
        <v>11.824976837762861</v>
      </c>
      <c r="W666">
        <v>1352.2694595768544</v>
      </c>
      <c r="X666">
        <v>8.2168603476256354</v>
      </c>
      <c r="Y666">
        <v>2985.5516950914248</v>
      </c>
      <c r="Z666">
        <v>11.892482983272235</v>
      </c>
      <c r="AA666">
        <v>2778.303268010357</v>
      </c>
      <c r="AB666">
        <v>8.2535382946160674</v>
      </c>
      <c r="AC666">
        <v>2338.6908421546214</v>
      </c>
      <c r="AD666">
        <v>11.855760402606659</v>
      </c>
      <c r="AE666">
        <v>2081.9469648876884</v>
      </c>
      <c r="AF666">
        <v>8.2335979012899685</v>
      </c>
      <c r="AG666">
        <v>2267.353070868126</v>
      </c>
      <c r="AH666">
        <v>11.851465352163299</v>
      </c>
      <c r="AI666">
        <v>1985.8152513801576</v>
      </c>
      <c r="AJ666">
        <v>8.2312638224595815</v>
      </c>
    </row>
    <row r="667" spans="4:36" x14ac:dyDescent="0.45">
      <c r="D667">
        <v>660</v>
      </c>
      <c r="E667">
        <v>12.127532369391021</v>
      </c>
      <c r="F667">
        <v>0.43545090588324276</v>
      </c>
      <c r="G667">
        <v>0.18547422454967635</v>
      </c>
      <c r="H667">
        <v>17.251542500176065</v>
      </c>
      <c r="I667">
        <v>12.357037070989424</v>
      </c>
      <c r="J667">
        <v>0.2691444458895586</v>
      </c>
      <c r="K667">
        <v>0.11423770524321879</v>
      </c>
      <c r="L667">
        <v>17.259580777877787</v>
      </c>
      <c r="M667">
        <v>12.283819141977872</v>
      </c>
      <c r="N667">
        <v>0.32223492179436108</v>
      </c>
      <c r="O667">
        <v>0.13692386288429209</v>
      </c>
      <c r="P667">
        <v>17.25702207334346</v>
      </c>
      <c r="Q667">
        <v>12.219001803425321</v>
      </c>
      <c r="R667">
        <v>0.36920729056311091</v>
      </c>
      <c r="S667">
        <v>0.15703841736142102</v>
      </c>
      <c r="T667">
        <v>17.254752488650155</v>
      </c>
      <c r="U667">
        <v>1530.5060087664735</v>
      </c>
      <c r="V667">
        <v>9.5616551612285043</v>
      </c>
      <c r="W667">
        <v>1277.6619484269586</v>
      </c>
      <c r="X667">
        <v>6.9042393434524749</v>
      </c>
      <c r="Y667">
        <v>2895.4660646455145</v>
      </c>
      <c r="Z667">
        <v>9.597166329512314</v>
      </c>
      <c r="AA667">
        <v>2729.7655837237062</v>
      </c>
      <c r="AB667">
        <v>6.9254459841559264</v>
      </c>
      <c r="AC667">
        <v>2218.112233076512</v>
      </c>
      <c r="AD667">
        <v>9.5858332592270568</v>
      </c>
      <c r="AE667">
        <v>2017.066926738536</v>
      </c>
      <c r="AF667">
        <v>6.918687942989715</v>
      </c>
      <c r="AG667">
        <v>2107.6841297510532</v>
      </c>
      <c r="AH667">
        <v>9.575803664409392</v>
      </c>
      <c r="AI667">
        <v>1891.4062982580167</v>
      </c>
      <c r="AJ667">
        <v>6.9126994999720184</v>
      </c>
    </row>
    <row r="668" spans="4:36" x14ac:dyDescent="0.45">
      <c r="D668">
        <v>661</v>
      </c>
      <c r="E668">
        <v>13.662673341200355</v>
      </c>
      <c r="F668">
        <v>0.46100730132220091</v>
      </c>
      <c r="G668">
        <v>0.1922915690398789</v>
      </c>
      <c r="H668">
        <v>15.684027788437556</v>
      </c>
      <c r="I668">
        <v>13.878728162419067</v>
      </c>
      <c r="J668">
        <v>0.3119505757904244</v>
      </c>
      <c r="K668">
        <v>0.12973563171101543</v>
      </c>
      <c r="L668">
        <v>15.679585630079503</v>
      </c>
      <c r="M668">
        <v>13.801177020340218</v>
      </c>
      <c r="N668">
        <v>0.36548604490433834</v>
      </c>
      <c r="O668">
        <v>0.15216031078345407</v>
      </c>
      <c r="P668">
        <v>15.681176623971988</v>
      </c>
      <c r="Q668">
        <v>13.727359977461953</v>
      </c>
      <c r="R668">
        <v>0.41640977423942466</v>
      </c>
      <c r="S668">
        <v>0.17353562294691116</v>
      </c>
      <c r="T668">
        <v>15.68269462535171</v>
      </c>
      <c r="U668">
        <v>1598.0766797880767</v>
      </c>
      <c r="V668">
        <v>10.749940624961178</v>
      </c>
      <c r="W668">
        <v>1316.8474508302272</v>
      </c>
      <c r="X668">
        <v>7.5885445160152667</v>
      </c>
      <c r="Y668">
        <v>2952.4791207926846</v>
      </c>
      <c r="Z668">
        <v>10.790830970068626</v>
      </c>
      <c r="AA668">
        <v>2762.1702751828557</v>
      </c>
      <c r="AB668">
        <v>7.6116617715351191</v>
      </c>
      <c r="AC668">
        <v>2241.2142695418643</v>
      </c>
      <c r="AD668">
        <v>10.776155535368797</v>
      </c>
      <c r="AE668">
        <v>2024.3115394014801</v>
      </c>
      <c r="AF668">
        <v>7.6033726705750055</v>
      </c>
      <c r="AG668">
        <v>2196.3991627557848</v>
      </c>
      <c r="AH668">
        <v>10.762184830384145</v>
      </c>
      <c r="AI668">
        <v>1944.9422149922932</v>
      </c>
      <c r="AJ668">
        <v>7.5954737156754124</v>
      </c>
    </row>
    <row r="669" spans="4:36" x14ac:dyDescent="0.45">
      <c r="D669">
        <v>662</v>
      </c>
      <c r="E669">
        <v>13.220176084963098</v>
      </c>
      <c r="F669">
        <v>0.52542729510002872</v>
      </c>
      <c r="G669">
        <v>0.16538535346202038</v>
      </c>
      <c r="H669">
        <v>16.089011266474849</v>
      </c>
      <c r="I669">
        <v>13.450743501055623</v>
      </c>
      <c r="J669">
        <v>0.35123543239672222</v>
      </c>
      <c r="K669">
        <v>0.11020686235935083</v>
      </c>
      <c r="L669">
        <v>16.087814204188305</v>
      </c>
      <c r="M669">
        <v>13.405303028019171</v>
      </c>
      <c r="N669">
        <v>0.38558726649411956</v>
      </c>
      <c r="O669">
        <v>0.12106043401259561</v>
      </c>
      <c r="P669">
        <v>16.088049271474116</v>
      </c>
      <c r="Q669">
        <v>13.355656070205676</v>
      </c>
      <c r="R669">
        <v>0.42310685586708108</v>
      </c>
      <c r="S669">
        <v>0.13293049984265612</v>
      </c>
      <c r="T669">
        <v>16.088306574084594</v>
      </c>
      <c r="U669">
        <v>1582.685026918957</v>
      </c>
      <c r="V669">
        <v>10.448938586687511</v>
      </c>
      <c r="W669">
        <v>1306.5023182965874</v>
      </c>
      <c r="X669">
        <v>7.4200517490603044</v>
      </c>
      <c r="Y669">
        <v>2934.108676073959</v>
      </c>
      <c r="Z669">
        <v>10.494459774067568</v>
      </c>
      <c r="AA669">
        <v>2749.7471925176833</v>
      </c>
      <c r="AB669">
        <v>7.4461882495104001</v>
      </c>
      <c r="AC669">
        <v>2244.3351956969946</v>
      </c>
      <c r="AD669">
        <v>10.485488405267478</v>
      </c>
      <c r="AE669">
        <v>2029.0941901645456</v>
      </c>
      <c r="AF669">
        <v>7.4410442153631182</v>
      </c>
      <c r="AG669">
        <v>2160.3976683974761</v>
      </c>
      <c r="AH669">
        <v>10.475686547748218</v>
      </c>
      <c r="AI669">
        <v>1923.3382746762497</v>
      </c>
      <c r="AJ669">
        <v>7.4354201003604992</v>
      </c>
    </row>
    <row r="670" spans="4:36" x14ac:dyDescent="0.45">
      <c r="D670">
        <v>663</v>
      </c>
      <c r="E670">
        <v>13.79760830978057</v>
      </c>
      <c r="F670">
        <v>0.47888807651313559</v>
      </c>
      <c r="G670">
        <v>0.17801829736251115</v>
      </c>
      <c r="H670">
        <v>15.545485316343774</v>
      </c>
      <c r="I670">
        <v>14.058697282146783</v>
      </c>
      <c r="J670">
        <v>0.30542910512288979</v>
      </c>
      <c r="K670">
        <v>0.11313335205533193</v>
      </c>
      <c r="L670">
        <v>15.522740260675002</v>
      </c>
      <c r="M670">
        <v>13.913296374823444</v>
      </c>
      <c r="N670">
        <v>0.40208258767641331</v>
      </c>
      <c r="O670">
        <v>0.14922989855237478</v>
      </c>
      <c r="P670">
        <v>15.53539113894778</v>
      </c>
      <c r="Q670">
        <v>13.871874504763914</v>
      </c>
      <c r="R670">
        <v>0.42959254716017103</v>
      </c>
      <c r="S670">
        <v>0.15953053385530319</v>
      </c>
      <c r="T670">
        <v>15.53900241422061</v>
      </c>
      <c r="U670">
        <v>1591.3604311176664</v>
      </c>
      <c r="V670">
        <v>10.876984059880996</v>
      </c>
      <c r="W670">
        <v>1309.8900547309142</v>
      </c>
      <c r="X670">
        <v>7.6657988697981008</v>
      </c>
      <c r="Y670">
        <v>2941.5507321177934</v>
      </c>
      <c r="Z670">
        <v>10.937708018835963</v>
      </c>
      <c r="AA670">
        <v>2754.279293739592</v>
      </c>
      <c r="AB670">
        <v>7.6994604289488446</v>
      </c>
      <c r="AC670">
        <v>2288.0914519018884</v>
      </c>
      <c r="AD670">
        <v>10.903900307529359</v>
      </c>
      <c r="AE670">
        <v>2054.1317551139164</v>
      </c>
      <c r="AF670">
        <v>7.6807325685681276</v>
      </c>
      <c r="AG670">
        <v>2201.6845074095991</v>
      </c>
      <c r="AH670">
        <v>10.894264762594252</v>
      </c>
      <c r="AI670">
        <v>1946.913642718644</v>
      </c>
      <c r="AJ670">
        <v>7.6753889655643501</v>
      </c>
    </row>
    <row r="671" spans="4:36" x14ac:dyDescent="0.45">
      <c r="D671">
        <v>664</v>
      </c>
      <c r="E671">
        <v>12.919996262221973</v>
      </c>
      <c r="F671">
        <v>0.47352268104801798</v>
      </c>
      <c r="G671">
        <v>0.1594428091277168</v>
      </c>
      <c r="H671">
        <v>16.447038247602293</v>
      </c>
      <c r="I671">
        <v>13.12972995469879</v>
      </c>
      <c r="J671">
        <v>0.31153637590661437</v>
      </c>
      <c r="K671">
        <v>0.10459106889996961</v>
      </c>
      <c r="L671">
        <v>16.454142600494627</v>
      </c>
      <c r="M671">
        <v>13.024071159160236</v>
      </c>
      <c r="N671">
        <v>0.39316866837063275</v>
      </c>
      <c r="O671">
        <v>0.13219242343646137</v>
      </c>
      <c r="P671">
        <v>16.450567749032661</v>
      </c>
      <c r="Q671">
        <v>12.990659276270112</v>
      </c>
      <c r="R671">
        <v>0.41897120251385866</v>
      </c>
      <c r="S671">
        <v>0.14093397668135799</v>
      </c>
      <c r="T671">
        <v>16.449435544534659</v>
      </c>
      <c r="U671">
        <v>1559.2739675937644</v>
      </c>
      <c r="V671">
        <v>10.180933566207873</v>
      </c>
      <c r="W671">
        <v>1296.5689359316798</v>
      </c>
      <c r="X671">
        <v>7.264075062505869</v>
      </c>
      <c r="Y671">
        <v>2901.0605704401278</v>
      </c>
      <c r="Z671">
        <v>10.215135384151621</v>
      </c>
      <c r="AA671">
        <v>2731.081166084623</v>
      </c>
      <c r="AB671">
        <v>7.2840619911875102</v>
      </c>
      <c r="AC671">
        <v>2243.6976576856973</v>
      </c>
      <c r="AD671">
        <v>10.197903016019772</v>
      </c>
      <c r="AE671">
        <v>2030.6982509996515</v>
      </c>
      <c r="AF671">
        <v>7.2740002172359981</v>
      </c>
      <c r="AG671">
        <v>2117.2100045892184</v>
      </c>
      <c r="AH671">
        <v>10.192454697029392</v>
      </c>
      <c r="AI671">
        <v>1895.484278003566</v>
      </c>
      <c r="AJ671">
        <v>7.2708154235730902</v>
      </c>
    </row>
    <row r="672" spans="4:36" x14ac:dyDescent="0.45">
      <c r="D672">
        <v>665</v>
      </c>
      <c r="E672">
        <v>13.579635662361696</v>
      </c>
      <c r="F672">
        <v>0.48487346813978249</v>
      </c>
      <c r="G672">
        <v>0.16772262794582316</v>
      </c>
      <c r="H672">
        <v>15.767768241552711</v>
      </c>
      <c r="I672">
        <v>13.852658915416612</v>
      </c>
      <c r="J672">
        <v>0.29912346658010108</v>
      </c>
      <c r="K672">
        <v>0.10309001586541197</v>
      </c>
      <c r="L672">
        <v>15.745127602137876</v>
      </c>
      <c r="M672">
        <v>13.765686806606768</v>
      </c>
      <c r="N672">
        <v>0.35834504134553929</v>
      </c>
      <c r="O672">
        <v>0.12364409240145174</v>
      </c>
      <c r="P672">
        <v>15.752324059646243</v>
      </c>
      <c r="Q672">
        <v>13.716799498333225</v>
      </c>
      <c r="R672">
        <v>0.39161303640574607</v>
      </c>
      <c r="S672">
        <v>0.13521181504845636</v>
      </c>
      <c r="T672">
        <v>15.75637565021257</v>
      </c>
      <c r="U672">
        <v>1595.4253704849521</v>
      </c>
      <c r="V672">
        <v>10.688905065526697</v>
      </c>
      <c r="W672">
        <v>1315.6034208211286</v>
      </c>
      <c r="X672">
        <v>7.5571718731744388</v>
      </c>
      <c r="Y672">
        <v>2924.4465708957468</v>
      </c>
      <c r="Z672">
        <v>10.755076858656702</v>
      </c>
      <c r="AA672">
        <v>2744.6963013752461</v>
      </c>
      <c r="AB672">
        <v>7.5941574139800174</v>
      </c>
      <c r="AC672">
        <v>2259.6596217098772</v>
      </c>
      <c r="AD672">
        <v>10.734005574960488</v>
      </c>
      <c r="AE672">
        <v>2039.6618842818875</v>
      </c>
      <c r="AF672">
        <v>7.5823937704434483</v>
      </c>
      <c r="AG672">
        <v>2150.128334223496</v>
      </c>
      <c r="AH672">
        <v>10.722158121213544</v>
      </c>
      <c r="AI672">
        <v>1915.8020786834297</v>
      </c>
      <c r="AJ672">
        <v>7.575773971065872</v>
      </c>
    </row>
    <row r="673" spans="4:36" x14ac:dyDescent="0.45">
      <c r="D673">
        <v>666</v>
      </c>
      <c r="E673">
        <v>12.076304796133213</v>
      </c>
      <c r="F673">
        <v>0.46417352428034064</v>
      </c>
      <c r="G673">
        <v>0.14471243961878497</v>
      </c>
      <c r="H673">
        <v>17.314809239967666</v>
      </c>
      <c r="I673">
        <v>12.304213874076108</v>
      </c>
      <c r="J673">
        <v>0.28967336048898484</v>
      </c>
      <c r="K673">
        <v>9.000843180708766E-2</v>
      </c>
      <c r="L673">
        <v>17.316104333627823</v>
      </c>
      <c r="M673">
        <v>12.23007788428902</v>
      </c>
      <c r="N673">
        <v>0.34646646189608499</v>
      </c>
      <c r="O673">
        <v>0.10777185870038689</v>
      </c>
      <c r="P673">
        <v>17.31568379511452</v>
      </c>
      <c r="Q673">
        <v>12.200158353936354</v>
      </c>
      <c r="R673">
        <v>0.36937855823355836</v>
      </c>
      <c r="S673">
        <v>0.11494921308204921</v>
      </c>
      <c r="T673">
        <v>17.315513874748039</v>
      </c>
      <c r="U673">
        <v>1512.1003106571613</v>
      </c>
      <c r="V673">
        <v>9.4508183013112497</v>
      </c>
      <c r="W673">
        <v>1267.0043182705724</v>
      </c>
      <c r="X673">
        <v>6.8320831320011912</v>
      </c>
      <c r="Y673">
        <v>2876.7544708370415</v>
      </c>
      <c r="Z673">
        <v>9.4904989871526801</v>
      </c>
      <c r="AA673">
        <v>2717.6455695607178</v>
      </c>
      <c r="AB673">
        <v>6.8552851535891994</v>
      </c>
      <c r="AC673">
        <v>2202.9325279540344</v>
      </c>
      <c r="AD673">
        <v>9.4775912548189272</v>
      </c>
      <c r="AE673">
        <v>2007.8368637060792</v>
      </c>
      <c r="AF673">
        <v>6.8477475893458895</v>
      </c>
      <c r="AG673">
        <v>2068.689344933362</v>
      </c>
      <c r="AH673">
        <v>9.4723820264125358</v>
      </c>
      <c r="AI673">
        <v>1867.2368922271196</v>
      </c>
      <c r="AJ673">
        <v>6.8447029561126849</v>
      </c>
    </row>
    <row r="674" spans="4:36" x14ac:dyDescent="0.45">
      <c r="D674">
        <v>667</v>
      </c>
      <c r="E674">
        <v>12.65295754949876</v>
      </c>
      <c r="F674">
        <v>0.43424062054565737</v>
      </c>
      <c r="G674">
        <v>0.15617276848950218</v>
      </c>
      <c r="H674">
        <v>16.756629061466082</v>
      </c>
      <c r="I674">
        <v>12.865707628905858</v>
      </c>
      <c r="J674">
        <v>0.28661937075644733</v>
      </c>
      <c r="K674">
        <v>0.10275969083084077</v>
      </c>
      <c r="L674">
        <v>16.744913309506863</v>
      </c>
      <c r="M674">
        <v>12.810976490427741</v>
      </c>
      <c r="N674">
        <v>0.32462316872174651</v>
      </c>
      <c r="O674">
        <v>0.1164780862430605</v>
      </c>
      <c r="P674">
        <v>16.747922254607449</v>
      </c>
      <c r="Q674">
        <v>12.774530019644951</v>
      </c>
      <c r="R674">
        <v>0.34992010865628032</v>
      </c>
      <c r="S674">
        <v>0.12562199351448416</v>
      </c>
      <c r="T674">
        <v>16.749927878184302</v>
      </c>
      <c r="U674">
        <v>1499.8303144358702</v>
      </c>
      <c r="V674">
        <v>9.9084388021431167</v>
      </c>
      <c r="W674">
        <v>1257.6419524502417</v>
      </c>
      <c r="X674">
        <v>7.1027540074033801</v>
      </c>
      <c r="Y674">
        <v>2885.3642389403831</v>
      </c>
      <c r="Z674">
        <v>9.9531428192325873</v>
      </c>
      <c r="AA674">
        <v>2722.2431159001635</v>
      </c>
      <c r="AB674">
        <v>7.1282003734175108</v>
      </c>
      <c r="AC674">
        <v>2195.4729286461729</v>
      </c>
      <c r="AD674">
        <v>9.9416453909131608</v>
      </c>
      <c r="AE674">
        <v>2001.7780041281044</v>
      </c>
      <c r="AF674">
        <v>7.1216633356552288</v>
      </c>
      <c r="AG674">
        <v>2111.0466968043675</v>
      </c>
      <c r="AH674">
        <v>9.9339879219115215</v>
      </c>
      <c r="AI674">
        <v>1896.8897286379838</v>
      </c>
      <c r="AJ674">
        <v>7.1173066938349603</v>
      </c>
    </row>
    <row r="675" spans="4:36" x14ac:dyDescent="0.45">
      <c r="D675">
        <v>668</v>
      </c>
      <c r="E675">
        <v>12.444605571289694</v>
      </c>
      <c r="F675">
        <v>0.48269891164424211</v>
      </c>
      <c r="G675">
        <v>0.17862963782881477</v>
      </c>
      <c r="H675">
        <v>16.894065879237253</v>
      </c>
      <c r="I675">
        <v>12.673329739335733</v>
      </c>
      <c r="J675">
        <v>0.30316239965795266</v>
      </c>
      <c r="K675">
        <v>0.11181734258783682</v>
      </c>
      <c r="L675">
        <v>16.911690518418467</v>
      </c>
      <c r="M675">
        <v>12.550064952878643</v>
      </c>
      <c r="N675">
        <v>0.39995057867097711</v>
      </c>
      <c r="O675">
        <v>0.14777988194125946</v>
      </c>
      <c r="P675">
        <v>16.902204586509129</v>
      </c>
      <c r="Q675">
        <v>12.544402044080812</v>
      </c>
      <c r="R675">
        <v>0.40439534779057196</v>
      </c>
      <c r="S675">
        <v>0.14943450851391762</v>
      </c>
      <c r="T675">
        <v>16.90176809961471</v>
      </c>
      <c r="U675">
        <v>1544.7313748368881</v>
      </c>
      <c r="V675">
        <v>9.8780486303519446</v>
      </c>
      <c r="W675">
        <v>1287.2316490248522</v>
      </c>
      <c r="X675">
        <v>7.0944892853135855</v>
      </c>
      <c r="Y675">
        <v>2888.1035772392079</v>
      </c>
      <c r="Z675">
        <v>9.9093643719176505</v>
      </c>
      <c r="AA675">
        <v>2723.5130757936226</v>
      </c>
      <c r="AB675">
        <v>7.1134123222835512</v>
      </c>
      <c r="AC675">
        <v>2205.782523708383</v>
      </c>
      <c r="AD675">
        <v>9.8924804771726631</v>
      </c>
      <c r="AE675">
        <v>2004.2193820573159</v>
      </c>
      <c r="AF675">
        <v>7.1032204160675194</v>
      </c>
      <c r="AG675">
        <v>2099.7500360741547</v>
      </c>
      <c r="AH675">
        <v>9.8917052118767366</v>
      </c>
      <c r="AI675">
        <v>1885.3912655683505</v>
      </c>
      <c r="AJ675">
        <v>7.1027518453643541</v>
      </c>
    </row>
    <row r="676" spans="4:36" x14ac:dyDescent="0.45">
      <c r="D676">
        <v>669</v>
      </c>
      <c r="E676">
        <v>12.431673926184919</v>
      </c>
      <c r="F676">
        <v>0.40568973160651939</v>
      </c>
      <c r="G676">
        <v>0.18009162350767977</v>
      </c>
      <c r="H676">
        <v>16.982544718700883</v>
      </c>
      <c r="I676">
        <v>12.610714217726247</v>
      </c>
      <c r="J676">
        <v>0.28162669141498181</v>
      </c>
      <c r="K676">
        <v>0.12466820927751036</v>
      </c>
      <c r="L676">
        <v>16.982990881581255</v>
      </c>
      <c r="M676">
        <v>12.533931924113466</v>
      </c>
      <c r="N676">
        <v>0.33485696291855321</v>
      </c>
      <c r="O676">
        <v>0.14840947678179653</v>
      </c>
      <c r="P676">
        <v>16.982801636186199</v>
      </c>
      <c r="Q676">
        <v>12.51733522453687</v>
      </c>
      <c r="R676">
        <v>0.34635786324101303</v>
      </c>
      <c r="S676">
        <v>0.15354659335637191</v>
      </c>
      <c r="T676">
        <v>16.98276031886574</v>
      </c>
      <c r="U676">
        <v>1518.9866337961632</v>
      </c>
      <c r="V676">
        <v>9.8226141357903423</v>
      </c>
      <c r="W676">
        <v>1273.5550277448849</v>
      </c>
      <c r="X676">
        <v>7.064693544538196</v>
      </c>
      <c r="Y676">
        <v>2869.7374691111236</v>
      </c>
      <c r="Z676">
        <v>9.8572163808937336</v>
      </c>
      <c r="AA676">
        <v>2711.2723666091051</v>
      </c>
      <c r="AB676">
        <v>7.0849639987807853</v>
      </c>
      <c r="AC676">
        <v>2175.2692659826694</v>
      </c>
      <c r="AD676">
        <v>9.8423756335120984</v>
      </c>
      <c r="AE676">
        <v>1986.3766413972821</v>
      </c>
      <c r="AF676">
        <v>7.0762776491913071</v>
      </c>
      <c r="AG676">
        <v>2090.6444828057647</v>
      </c>
      <c r="AH676">
        <v>9.8391680426208019</v>
      </c>
      <c r="AI676">
        <v>1882.4763306350965</v>
      </c>
      <c r="AJ676">
        <v>7.0743987477504549</v>
      </c>
    </row>
    <row r="677" spans="4:36" x14ac:dyDescent="0.45">
      <c r="D677">
        <v>670</v>
      </c>
      <c r="E677">
        <v>14.398855255718281</v>
      </c>
      <c r="F677">
        <v>0.52786764773994299</v>
      </c>
      <c r="G677">
        <v>0.17667360874091911</v>
      </c>
      <c r="H677">
        <v>14.896603487800846</v>
      </c>
      <c r="I677">
        <v>14.632587620649247</v>
      </c>
      <c r="J677">
        <v>0.36149272693760143</v>
      </c>
      <c r="K677">
        <v>0.12062011062925269</v>
      </c>
      <c r="L677">
        <v>14.88529954178391</v>
      </c>
      <c r="M677">
        <v>14.512355709041282</v>
      </c>
      <c r="N677">
        <v>0.44711410539582697</v>
      </c>
      <c r="O677">
        <v>0.14942337758627836</v>
      </c>
      <c r="P677">
        <v>14.891106807976614</v>
      </c>
      <c r="Q677">
        <v>14.510666763629452</v>
      </c>
      <c r="R677">
        <v>0.44831628965087023</v>
      </c>
      <c r="S677">
        <v>0.14982844929956379</v>
      </c>
      <c r="T677">
        <v>14.891188497420121</v>
      </c>
      <c r="U677">
        <v>1614.0011792676069</v>
      </c>
      <c r="V677">
        <v>11.357063519750371</v>
      </c>
      <c r="W677">
        <v>1318.9127215474703</v>
      </c>
      <c r="X677">
        <v>7.9335978046075226</v>
      </c>
      <c r="Y677">
        <v>2961.0936470930096</v>
      </c>
      <c r="Z677">
        <v>11.403108763646326</v>
      </c>
      <c r="AA677">
        <v>2761.7387195386518</v>
      </c>
      <c r="AB677">
        <v>7.9591558327775971</v>
      </c>
      <c r="AC677">
        <v>2328.7898290675366</v>
      </c>
      <c r="AD677">
        <v>11.379427408724579</v>
      </c>
      <c r="AE677">
        <v>2076.7393453649952</v>
      </c>
      <c r="AF677">
        <v>7.9460199138761167</v>
      </c>
      <c r="AG677">
        <v>2193.5003997186764</v>
      </c>
      <c r="AH677">
        <v>11.379094682468693</v>
      </c>
      <c r="AI677">
        <v>1936.6931771239322</v>
      </c>
      <c r="AJ677">
        <v>7.9458352212334589</v>
      </c>
    </row>
    <row r="678" spans="4:36" x14ac:dyDescent="0.45">
      <c r="D678">
        <v>671</v>
      </c>
      <c r="E678">
        <v>12.982997983016082</v>
      </c>
      <c r="F678">
        <v>0.473205529181148</v>
      </c>
      <c r="G678">
        <v>0.1509454334882471</v>
      </c>
      <c r="H678">
        <v>16.392851054314509</v>
      </c>
      <c r="I678">
        <v>13.235075817246615</v>
      </c>
      <c r="J678">
        <v>0.2980005608903743</v>
      </c>
      <c r="K678">
        <v>9.4731036885473088E-2</v>
      </c>
      <c r="L678">
        <v>16.372192584977547</v>
      </c>
      <c r="M678">
        <v>13.151278050093579</v>
      </c>
      <c r="N678">
        <v>0.35628751908045281</v>
      </c>
      <c r="O678">
        <v>0.11338879793959451</v>
      </c>
      <c r="P678">
        <v>16.379045632886381</v>
      </c>
      <c r="Q678">
        <v>13.0920162109438</v>
      </c>
      <c r="R678">
        <v>0.39748180684856571</v>
      </c>
      <c r="S678">
        <v>0.12660124219039201</v>
      </c>
      <c r="T678">
        <v>16.383900740017239</v>
      </c>
      <c r="U678">
        <v>1552.2001654646122</v>
      </c>
      <c r="V678">
        <v>10.307378524924037</v>
      </c>
      <c r="W678">
        <v>1291.6354777517699</v>
      </c>
      <c r="X678">
        <v>7.3508358279319861</v>
      </c>
      <c r="Y678">
        <v>2902.2414436053782</v>
      </c>
      <c r="Z678">
        <v>10.364636629831232</v>
      </c>
      <c r="AA678">
        <v>2732.8524179866672</v>
      </c>
      <c r="AB678">
        <v>7.3829156677466052</v>
      </c>
      <c r="AC678">
        <v>2241.6040121632986</v>
      </c>
      <c r="AD678">
        <v>10.345610944886248</v>
      </c>
      <c r="AE678">
        <v>2031.7516306061912</v>
      </c>
      <c r="AF678">
        <v>7.3722679756309741</v>
      </c>
      <c r="AG678">
        <v>2103.6767325113624</v>
      </c>
      <c r="AH678">
        <v>10.332150865681355</v>
      </c>
      <c r="AI678">
        <v>1887.3303863197573</v>
      </c>
      <c r="AJ678">
        <v>7.3647280186505979</v>
      </c>
    </row>
    <row r="679" spans="4:36" x14ac:dyDescent="0.45">
      <c r="D679">
        <v>672</v>
      </c>
      <c r="E679">
        <v>11.813425281968785</v>
      </c>
      <c r="F679">
        <v>0.45599620301078381</v>
      </c>
      <c r="G679">
        <v>0.14493914356857401</v>
      </c>
      <c r="H679">
        <v>17.585639371451862</v>
      </c>
      <c r="I679">
        <v>12.030498684611016</v>
      </c>
      <c r="J679">
        <v>0.28230560237737445</v>
      </c>
      <c r="K679">
        <v>8.9422709078893325E-2</v>
      </c>
      <c r="L679">
        <v>17.597773003932726</v>
      </c>
      <c r="M679">
        <v>11.933203375231841</v>
      </c>
      <c r="N679">
        <v>0.36018375487442339</v>
      </c>
      <c r="O679">
        <v>0.11426685261140411</v>
      </c>
      <c r="P679">
        <v>17.592346017282335</v>
      </c>
      <c r="Q679">
        <v>11.899344654605947</v>
      </c>
      <c r="R679">
        <v>0.38727482547397851</v>
      </c>
      <c r="S679">
        <v>0.12292744748008778</v>
      </c>
      <c r="T679">
        <v>17.590453072439992</v>
      </c>
      <c r="U679">
        <v>1506.8752032277132</v>
      </c>
      <c r="V679">
        <v>9.3443264288541936</v>
      </c>
      <c r="W679">
        <v>1266.6681767124533</v>
      </c>
      <c r="X679">
        <v>6.7830761645446254</v>
      </c>
      <c r="Y679">
        <v>2860.7722602318095</v>
      </c>
      <c r="Z679">
        <v>9.3788130800084524</v>
      </c>
      <c r="AA679">
        <v>2708.4358288497797</v>
      </c>
      <c r="AB679">
        <v>6.8040467072064397</v>
      </c>
      <c r="AC679">
        <v>2182.9800200347536</v>
      </c>
      <c r="AD679">
        <v>9.3633485853518437</v>
      </c>
      <c r="AE679">
        <v>1994.50389204061</v>
      </c>
      <c r="AF679">
        <v>6.7946548083107459</v>
      </c>
      <c r="AG679">
        <v>2077.3336711972061</v>
      </c>
      <c r="AH679">
        <v>9.3579696436515611</v>
      </c>
      <c r="AI679">
        <v>1874.5343452865075</v>
      </c>
      <c r="AJ679">
        <v>6.7913836285686759</v>
      </c>
    </row>
    <row r="680" spans="4:36" x14ac:dyDescent="0.45">
      <c r="D680">
        <v>673</v>
      </c>
      <c r="E680">
        <v>12.376667242763881</v>
      </c>
      <c r="F680">
        <v>0.48232826708648818</v>
      </c>
      <c r="G680">
        <v>0.19741588767256374</v>
      </c>
      <c r="H680">
        <v>16.943588602477078</v>
      </c>
      <c r="I680">
        <v>12.575172135497807</v>
      </c>
      <c r="J680">
        <v>0.32508898156801908</v>
      </c>
      <c r="K680">
        <v>0.13266425530345727</v>
      </c>
      <c r="L680">
        <v>16.96707462763073</v>
      </c>
      <c r="M680">
        <v>12.524325105078875</v>
      </c>
      <c r="N680">
        <v>0.36538371117009927</v>
      </c>
      <c r="O680">
        <v>0.14922070259912601</v>
      </c>
      <c r="P680">
        <v>16.961070481151911</v>
      </c>
      <c r="Q680">
        <v>12.463233172837935</v>
      </c>
      <c r="R680">
        <v>0.41378097697499655</v>
      </c>
      <c r="S680">
        <v>0.16913996975936538</v>
      </c>
      <c r="T680">
        <v>16.953845880427696</v>
      </c>
      <c r="U680">
        <v>1576.9173637099868</v>
      </c>
      <c r="V680">
        <v>9.8662011842081743</v>
      </c>
      <c r="W680">
        <v>1307.031843845552</v>
      </c>
      <c r="X680">
        <v>7.0911139884207657</v>
      </c>
      <c r="Y680">
        <v>2923.4706177662233</v>
      </c>
      <c r="Z680">
        <v>9.8893684820353851</v>
      </c>
      <c r="AA680">
        <v>2745.0129038379055</v>
      </c>
      <c r="AB680">
        <v>7.1055619389468294</v>
      </c>
      <c r="AC680">
        <v>2235.401407064192</v>
      </c>
      <c r="AD680">
        <v>9.8834277982392038</v>
      </c>
      <c r="AE680">
        <v>2025.5846351628009</v>
      </c>
      <c r="AF680">
        <v>7.1018632901030436</v>
      </c>
      <c r="AG680">
        <v>2126.6795623508228</v>
      </c>
      <c r="AH680">
        <v>9.8762959485236372</v>
      </c>
      <c r="AI680">
        <v>1901.1312969343428</v>
      </c>
      <c r="AJ680">
        <v>7.0974174307118085</v>
      </c>
    </row>
    <row r="681" spans="4:36" x14ac:dyDescent="0.45">
      <c r="D681">
        <v>674</v>
      </c>
      <c r="E681">
        <v>12.61362887664526</v>
      </c>
      <c r="F681">
        <v>0.4555365774815392</v>
      </c>
      <c r="G681">
        <v>0.18474494949866305</v>
      </c>
      <c r="H681">
        <v>16.746089596374535</v>
      </c>
      <c r="I681">
        <v>12.830556021980007</v>
      </c>
      <c r="J681">
        <v>0.29835092503236604</v>
      </c>
      <c r="K681">
        <v>0.12061407107980854</v>
      </c>
      <c r="L681">
        <v>16.750478981907822</v>
      </c>
      <c r="M681">
        <v>12.733473286612853</v>
      </c>
      <c r="N681">
        <v>0.36873145343991426</v>
      </c>
      <c r="O681">
        <v>0.14927785700153889</v>
      </c>
      <c r="P681">
        <v>16.748517402945687</v>
      </c>
      <c r="Q681">
        <v>12.710130148290723</v>
      </c>
      <c r="R681">
        <v>0.38564590639158575</v>
      </c>
      <c r="S681">
        <v>0.15617887702364555</v>
      </c>
      <c r="T681">
        <v>16.748045068294044</v>
      </c>
      <c r="U681">
        <v>1573.2034570044812</v>
      </c>
      <c r="V681">
        <v>9.9549801490359346</v>
      </c>
      <c r="W681">
        <v>1303.3681836237179</v>
      </c>
      <c r="X681">
        <v>7.1343888918912652</v>
      </c>
      <c r="Y681">
        <v>2908.3808323268245</v>
      </c>
      <c r="Z681">
        <v>9.9908841185285997</v>
      </c>
      <c r="AA681">
        <v>2734.2735962500342</v>
      </c>
      <c r="AB681">
        <v>7.1553517347670228</v>
      </c>
      <c r="AC681">
        <v>2241.1425170926213</v>
      </c>
      <c r="AD681">
        <v>9.9748143211294487</v>
      </c>
      <c r="AE681">
        <v>2026.8951582654661</v>
      </c>
      <c r="AF681">
        <v>7.1459784719078989</v>
      </c>
      <c r="AG681">
        <v>2153.1050996461295</v>
      </c>
      <c r="AH681">
        <v>9.9709507602281917</v>
      </c>
      <c r="AI681">
        <v>1919.840300416</v>
      </c>
      <c r="AJ681">
        <v>7.1437226976326551</v>
      </c>
    </row>
    <row r="682" spans="4:36" x14ac:dyDescent="0.45">
      <c r="D682">
        <v>675</v>
      </c>
      <c r="E682">
        <v>13.090692808873076</v>
      </c>
      <c r="F682">
        <v>0.4679971030831101</v>
      </c>
      <c r="G682">
        <v>0.15534909811421382</v>
      </c>
      <c r="H682">
        <v>16.285960989929592</v>
      </c>
      <c r="I682">
        <v>13.307438560113857</v>
      </c>
      <c r="J682">
        <v>0.31366712841737321</v>
      </c>
      <c r="K682">
        <v>0.10380423202275875</v>
      </c>
      <c r="L682">
        <v>16.275090079446006</v>
      </c>
      <c r="M682">
        <v>13.21321510242614</v>
      </c>
      <c r="N682">
        <v>0.38079162628319119</v>
      </c>
      <c r="O682">
        <v>0.12618415638043942</v>
      </c>
      <c r="P682">
        <v>16.279809114910243</v>
      </c>
      <c r="Q682">
        <v>13.161429338258314</v>
      </c>
      <c r="R682">
        <v>0.41766119943625185</v>
      </c>
      <c r="S682">
        <v>0.13850232586820133</v>
      </c>
      <c r="T682">
        <v>16.282407136437236</v>
      </c>
      <c r="U682">
        <v>1593.4533053931839</v>
      </c>
      <c r="V682">
        <v>10.360974677606357</v>
      </c>
      <c r="W682">
        <v>1316.4449154768142</v>
      </c>
      <c r="X682">
        <v>7.3777450542661969</v>
      </c>
      <c r="Y682">
        <v>2935.4283432447123</v>
      </c>
      <c r="Z682">
        <v>10.408922800727346</v>
      </c>
      <c r="AA682">
        <v>2752.1416840055522</v>
      </c>
      <c r="AB682">
        <v>7.4048766743821082</v>
      </c>
      <c r="AC682">
        <v>2249.2255469731699</v>
      </c>
      <c r="AD682">
        <v>10.388082827619765</v>
      </c>
      <c r="AE682">
        <v>2031.4362572370899</v>
      </c>
      <c r="AF682">
        <v>7.3930942529136887</v>
      </c>
      <c r="AG682">
        <v>2167.7979379377321</v>
      </c>
      <c r="AH682">
        <v>10.376626457389129</v>
      </c>
      <c r="AI682">
        <v>1927.4031233391404</v>
      </c>
      <c r="AJ682">
        <v>7.3866105966505966</v>
      </c>
    </row>
    <row r="683" spans="4:36" x14ac:dyDescent="0.45">
      <c r="D683">
        <v>676</v>
      </c>
      <c r="E683">
        <v>11.55203947188609</v>
      </c>
      <c r="F683">
        <v>0.45938191384626836</v>
      </c>
      <c r="G683">
        <v>0.17334388325011016</v>
      </c>
      <c r="H683">
        <v>17.815234731017537</v>
      </c>
      <c r="I683">
        <v>11.762016095079547</v>
      </c>
      <c r="J683">
        <v>0.28534746308245706</v>
      </c>
      <c r="K683">
        <v>0.10732674584816998</v>
      </c>
      <c r="L683">
        <v>17.845309695989815</v>
      </c>
      <c r="M683">
        <v>11.667893821448233</v>
      </c>
      <c r="N683">
        <v>0.36338155594774157</v>
      </c>
      <c r="O683">
        <v>0.13687438262337648</v>
      </c>
      <c r="P683">
        <v>17.831850239980657</v>
      </c>
      <c r="Q683">
        <v>11.659654165973219</v>
      </c>
      <c r="R683">
        <v>0.37021105231523149</v>
      </c>
      <c r="S683">
        <v>0.13946447962156922</v>
      </c>
      <c r="T683">
        <v>17.830670302089988</v>
      </c>
      <c r="U683">
        <v>1512.014216841467</v>
      </c>
      <c r="V683">
        <v>9.1563812775992339</v>
      </c>
      <c r="W683">
        <v>1269.3714459237221</v>
      </c>
      <c r="X683">
        <v>6.6695222960415137</v>
      </c>
      <c r="Y683">
        <v>2879.2460056629102</v>
      </c>
      <c r="Z683">
        <v>9.1759320487223341</v>
      </c>
      <c r="AA683">
        <v>2721.2717777280823</v>
      </c>
      <c r="AB683">
        <v>6.6823356327040226</v>
      </c>
      <c r="AC683">
        <v>2208.7045783673461</v>
      </c>
      <c r="AD683">
        <v>9.1671567224173138</v>
      </c>
      <c r="AE683">
        <v>2012.4693288305702</v>
      </c>
      <c r="AF683">
        <v>6.6765939673751715</v>
      </c>
      <c r="AG683">
        <v>2063.2386379597051</v>
      </c>
      <c r="AH683">
        <v>9.1663894110932826</v>
      </c>
      <c r="AI683">
        <v>1864.9534777182789</v>
      </c>
      <c r="AJ683">
        <v>6.6760911821831774</v>
      </c>
    </row>
    <row r="684" spans="4:36" x14ac:dyDescent="0.45">
      <c r="D684">
        <v>677</v>
      </c>
      <c r="E684">
        <v>12.720325125745893</v>
      </c>
      <c r="F684">
        <v>0.42446114200471086</v>
      </c>
      <c r="G684">
        <v>0.13808814880274611</v>
      </c>
      <c r="H684">
        <v>16.717125583446638</v>
      </c>
      <c r="I684">
        <v>12.920587307897993</v>
      </c>
      <c r="J684">
        <v>0.28467264766604461</v>
      </c>
      <c r="K684">
        <v>9.2355393956761345E-2</v>
      </c>
      <c r="L684">
        <v>16.702384650479193</v>
      </c>
      <c r="M684">
        <v>12.823002717050466</v>
      </c>
      <c r="N684">
        <v>0.35282076746759994</v>
      </c>
      <c r="O684">
        <v>0.11461842506155609</v>
      </c>
      <c r="P684">
        <v>16.709558090420394</v>
      </c>
      <c r="Q684">
        <v>12.802074599513048</v>
      </c>
      <c r="R684">
        <v>0.3674281513734558</v>
      </c>
      <c r="S684">
        <v>0.11939836879496363</v>
      </c>
      <c r="T684">
        <v>16.71109888031852</v>
      </c>
      <c r="U684">
        <v>1504.5854100875295</v>
      </c>
      <c r="V684">
        <v>9.9595587313054281</v>
      </c>
      <c r="W684">
        <v>1263.3214763760948</v>
      </c>
      <c r="X684">
        <v>7.1353277288898962</v>
      </c>
      <c r="Y684">
        <v>2882.5318558701028</v>
      </c>
      <c r="Z684">
        <v>10.004164158065809</v>
      </c>
      <c r="AA684">
        <v>2721.385480517401</v>
      </c>
      <c r="AB684">
        <v>7.1604645037960006</v>
      </c>
      <c r="AC684">
        <v>2199.0368537286004</v>
      </c>
      <c r="AD684">
        <v>9.9824343582773754</v>
      </c>
      <c r="AE684">
        <v>2003.5854124734803</v>
      </c>
      <c r="AF684">
        <v>7.1482276104657352</v>
      </c>
      <c r="AG684">
        <v>2100.6858842644538</v>
      </c>
      <c r="AH684">
        <v>9.977772746258319</v>
      </c>
      <c r="AI684">
        <v>1889.4959965617168</v>
      </c>
      <c r="AJ684">
        <v>7.1456003458220678</v>
      </c>
    </row>
    <row r="685" spans="4:36" x14ac:dyDescent="0.45">
      <c r="D685">
        <v>678</v>
      </c>
      <c r="E685">
        <v>13.306737660018403</v>
      </c>
      <c r="F685">
        <v>0.51850927161707072</v>
      </c>
      <c r="G685">
        <v>0.19353244186365845</v>
      </c>
      <c r="H685">
        <v>15.981220626500859</v>
      </c>
      <c r="I685">
        <v>13.577579706906462</v>
      </c>
      <c r="J685">
        <v>0.32141941247548766</v>
      </c>
      <c r="K685">
        <v>0.11953115233758692</v>
      </c>
      <c r="L685">
        <v>15.981469728280469</v>
      </c>
      <c r="M685">
        <v>13.481348636981023</v>
      </c>
      <c r="N685">
        <v>0.39149346851959527</v>
      </c>
      <c r="O685">
        <v>0.14577892823934988</v>
      </c>
      <c r="P685">
        <v>15.981378966260014</v>
      </c>
      <c r="Q685">
        <v>13.445342196483018</v>
      </c>
      <c r="R685">
        <v>0.41769947014048414</v>
      </c>
      <c r="S685">
        <v>0.15561269268182318</v>
      </c>
      <c r="T685">
        <v>15.981345640694684</v>
      </c>
      <c r="U685">
        <v>1588.7812909179995</v>
      </c>
      <c r="V685">
        <v>10.565989445294942</v>
      </c>
      <c r="W685">
        <v>1308.1417282979758</v>
      </c>
      <c r="X685">
        <v>7.4921981345351361</v>
      </c>
      <c r="Y685">
        <v>2940.8962226380518</v>
      </c>
      <c r="Z685">
        <v>10.617782485011102</v>
      </c>
      <c r="AA685">
        <v>2754.6784205164954</v>
      </c>
      <c r="AB685">
        <v>7.5217721159332047</v>
      </c>
      <c r="AC685">
        <v>2283.2996113745985</v>
      </c>
      <c r="AD685">
        <v>10.599381633033152</v>
      </c>
      <c r="AE685">
        <v>2054.0108141621508</v>
      </c>
      <c r="AF685">
        <v>7.5112781301539524</v>
      </c>
      <c r="AG685">
        <v>2135.3006821887579</v>
      </c>
      <c r="AH685">
        <v>10.59249626122438</v>
      </c>
      <c r="AI685">
        <v>1903.1955778740939</v>
      </c>
      <c r="AJ685">
        <v>7.5073477609604735</v>
      </c>
    </row>
    <row r="686" spans="4:36" x14ac:dyDescent="0.45">
      <c r="D686">
        <v>679</v>
      </c>
      <c r="E686">
        <v>12.482771830725104</v>
      </c>
      <c r="F686">
        <v>0.5254438350920918</v>
      </c>
      <c r="G686">
        <v>0.17414719354619726</v>
      </c>
      <c r="H686">
        <v>16.817637140636624</v>
      </c>
      <c r="I686">
        <v>12.72025215605222</v>
      </c>
      <c r="J686">
        <v>0.3289280177404631</v>
      </c>
      <c r="K686">
        <v>0.10865502181391373</v>
      </c>
      <c r="L686">
        <v>16.842164804393406</v>
      </c>
      <c r="M686">
        <v>12.606051412911638</v>
      </c>
      <c r="N686">
        <v>0.42345801783421316</v>
      </c>
      <c r="O686">
        <v>0.14010368792808647</v>
      </c>
      <c r="P686">
        <v>16.83038688132606</v>
      </c>
      <c r="Q686">
        <v>12.582038918138583</v>
      </c>
      <c r="R686">
        <v>0.44332774267344494</v>
      </c>
      <c r="S686">
        <v>0.14672695833023258</v>
      </c>
      <c r="T686">
        <v>16.827906380857751</v>
      </c>
      <c r="U686">
        <v>1594.2522267093811</v>
      </c>
      <c r="V686">
        <v>9.9767330384032107</v>
      </c>
      <c r="W686">
        <v>1316.6540562086484</v>
      </c>
      <c r="X686">
        <v>7.1586363754093512</v>
      </c>
      <c r="Y686">
        <v>2925.6809219364641</v>
      </c>
      <c r="Z686">
        <v>10.00923620612714</v>
      </c>
      <c r="AA686">
        <v>2746.6746577235817</v>
      </c>
      <c r="AB686">
        <v>7.178521924951518</v>
      </c>
      <c r="AC686">
        <v>2253.2617376012327</v>
      </c>
      <c r="AD686">
        <v>9.9935957399254747</v>
      </c>
      <c r="AE686">
        <v>2034.1890586354141</v>
      </c>
      <c r="AF686">
        <v>7.1689650944064232</v>
      </c>
      <c r="AG686">
        <v>2138.2429413584837</v>
      </c>
      <c r="AH686">
        <v>9.9903094773648196</v>
      </c>
      <c r="AI686">
        <v>1907.5904916521313</v>
      </c>
      <c r="AJ686">
        <v>7.1669542529660522</v>
      </c>
    </row>
    <row r="687" spans="4:36" x14ac:dyDescent="0.45">
      <c r="D687">
        <v>680</v>
      </c>
      <c r="E687">
        <v>11.933869637838898</v>
      </c>
      <c r="F687">
        <v>0.48049872242226904</v>
      </c>
      <c r="G687">
        <v>0.17843679792575151</v>
      </c>
      <c r="H687">
        <v>17.40719484181308</v>
      </c>
      <c r="I687">
        <v>12.154276521725105</v>
      </c>
      <c r="J687">
        <v>0.30375948313727924</v>
      </c>
      <c r="K687">
        <v>0.11241918860153099</v>
      </c>
      <c r="L687">
        <v>17.429544806536079</v>
      </c>
      <c r="M687">
        <v>12.117118747740632</v>
      </c>
      <c r="N687">
        <v>0.33357135422511308</v>
      </c>
      <c r="O687">
        <v>0.12352292451986328</v>
      </c>
      <c r="P687">
        <v>17.425786973514406</v>
      </c>
      <c r="Q687">
        <v>12.025925548756693</v>
      </c>
      <c r="R687">
        <v>0.40670888223022328</v>
      </c>
      <c r="S687">
        <v>0.15081839737683411</v>
      </c>
      <c r="T687">
        <v>17.416547171636246</v>
      </c>
      <c r="U687">
        <v>1541.4104929389766</v>
      </c>
      <c r="V687">
        <v>9.4466585053139234</v>
      </c>
      <c r="W687">
        <v>1283.1876540626649</v>
      </c>
      <c r="X687">
        <v>6.8373508432126213</v>
      </c>
      <c r="Y687">
        <v>2902.7012710127719</v>
      </c>
      <c r="Z687">
        <v>9.4724042375481297</v>
      </c>
      <c r="AA687">
        <v>2732.9949833173387</v>
      </c>
      <c r="AB687">
        <v>6.8534646110483211</v>
      </c>
      <c r="AC687">
        <v>2197.8583376985193</v>
      </c>
      <c r="AD687">
        <v>9.4680582041194121</v>
      </c>
      <c r="AE687">
        <v>2002.5800641538929</v>
      </c>
      <c r="AF687">
        <v>6.8507503372084235</v>
      </c>
      <c r="AG687">
        <v>2125.6610930166539</v>
      </c>
      <c r="AH687">
        <v>9.4574017459070507</v>
      </c>
      <c r="AI687">
        <v>1902.5223850767484</v>
      </c>
      <c r="AJ687">
        <v>6.8440849875046021</v>
      </c>
    </row>
    <row r="688" spans="4:36" x14ac:dyDescent="0.45">
      <c r="D688">
        <v>681</v>
      </c>
      <c r="E688">
        <v>12.914572107960298</v>
      </c>
      <c r="F688">
        <v>0.46154557813144753</v>
      </c>
      <c r="G688">
        <v>0.19451951743264054</v>
      </c>
      <c r="H688">
        <v>16.429362796475619</v>
      </c>
      <c r="I688">
        <v>13.188262320302195</v>
      </c>
      <c r="J688">
        <v>0.27422296631155219</v>
      </c>
      <c r="K688">
        <v>0.11509841225286331</v>
      </c>
      <c r="L688">
        <v>16.422416301133396</v>
      </c>
      <c r="M688">
        <v>13.066996439818174</v>
      </c>
      <c r="N688">
        <v>0.35728044309903162</v>
      </c>
      <c r="O688">
        <v>0.1502314627768343</v>
      </c>
      <c r="P688">
        <v>16.425491654305976</v>
      </c>
      <c r="Q688">
        <v>13.044192573367862</v>
      </c>
      <c r="R688">
        <v>0.37288881855104894</v>
      </c>
      <c r="S688">
        <v>0.15684819851234469</v>
      </c>
      <c r="T688">
        <v>16.426070409568744</v>
      </c>
      <c r="U688">
        <v>1565.3265972725326</v>
      </c>
      <c r="V688">
        <v>10.185782608709106</v>
      </c>
      <c r="W688">
        <v>1298.326516702929</v>
      </c>
      <c r="X688">
        <v>7.266805934785582</v>
      </c>
      <c r="Y688">
        <v>2895.8319513731258</v>
      </c>
      <c r="Z688">
        <v>10.237703027255273</v>
      </c>
      <c r="AA688">
        <v>2727.8634240027341</v>
      </c>
      <c r="AB688">
        <v>7.296498669422725</v>
      </c>
      <c r="AC688">
        <v>2259.3750515768261</v>
      </c>
      <c r="AD688">
        <v>10.214700562273721</v>
      </c>
      <c r="AE688">
        <v>2041.7413678201158</v>
      </c>
      <c r="AF688">
        <v>7.2833585903445268</v>
      </c>
      <c r="AG688">
        <v>2150.7010207724916</v>
      </c>
      <c r="AH688">
        <v>10.210374578287334</v>
      </c>
      <c r="AI688">
        <v>1919.9093087086355</v>
      </c>
      <c r="AJ688">
        <v>7.280884774284532</v>
      </c>
    </row>
    <row r="689" spans="4:36" x14ac:dyDescent="0.45">
      <c r="D689">
        <v>682</v>
      </c>
      <c r="E689">
        <v>12.64647863077882</v>
      </c>
      <c r="F689">
        <v>0.40909322199672066</v>
      </c>
      <c r="G689">
        <v>0.14141678715887365</v>
      </c>
      <c r="H689">
        <v>16.803011360065593</v>
      </c>
      <c r="I689">
        <v>12.855195534174076</v>
      </c>
      <c r="J689">
        <v>0.27291434161640549</v>
      </c>
      <c r="K689">
        <v>9.404616066964834E-2</v>
      </c>
      <c r="L689">
        <v>16.777843963539866</v>
      </c>
      <c r="M689">
        <v>12.799258180381861</v>
      </c>
      <c r="N689">
        <v>0.30944057408662512</v>
      </c>
      <c r="O689">
        <v>0.10672243133332067</v>
      </c>
      <c r="P689">
        <v>16.784578814198188</v>
      </c>
      <c r="Q689">
        <v>12.729558597087577</v>
      </c>
      <c r="R689">
        <v>0.35492319706233122</v>
      </c>
      <c r="S689">
        <v>0.12253719058347741</v>
      </c>
      <c r="T689">
        <v>16.792981015266616</v>
      </c>
      <c r="U689">
        <v>1495.5391901424496</v>
      </c>
      <c r="V689">
        <v>9.8615038653178964</v>
      </c>
      <c r="W689">
        <v>1257.2661396140363</v>
      </c>
      <c r="X689">
        <v>7.0745065122302346</v>
      </c>
      <c r="Y689">
        <v>2872.9259377851176</v>
      </c>
      <c r="Z689">
        <v>9.9140425861883692</v>
      </c>
      <c r="AA689">
        <v>2714.8624932723574</v>
      </c>
      <c r="AB689">
        <v>7.1041188134552389</v>
      </c>
      <c r="AC689">
        <v>2206.4705812944931</v>
      </c>
      <c r="AD689">
        <v>9.899967299430589</v>
      </c>
      <c r="AE689">
        <v>2011.4613289688089</v>
      </c>
      <c r="AF689">
        <v>7.0961940325903461</v>
      </c>
      <c r="AG689">
        <v>2103.0838264513577</v>
      </c>
      <c r="AH689">
        <v>9.8824235637198736</v>
      </c>
      <c r="AI689">
        <v>1891.5678564197312</v>
      </c>
      <c r="AJ689">
        <v>7.0863077943133757</v>
      </c>
    </row>
    <row r="690" spans="4:36" x14ac:dyDescent="0.45">
      <c r="D690">
        <v>683</v>
      </c>
      <c r="E690">
        <v>11.889639091628963</v>
      </c>
      <c r="F690">
        <v>0.40339786353513329</v>
      </c>
      <c r="G690">
        <v>0.146436627227162</v>
      </c>
      <c r="H690">
        <v>17.560526417608742</v>
      </c>
      <c r="I690">
        <v>12.075998073574947</v>
      </c>
      <c r="J690">
        <v>0.26543796602717867</v>
      </c>
      <c r="K690">
        <v>9.6084209146332339E-2</v>
      </c>
      <c r="L690">
        <v>17.562479751251544</v>
      </c>
      <c r="M690">
        <v>11.958277145312326</v>
      </c>
      <c r="N690">
        <v>0.3526092942848601</v>
      </c>
      <c r="O690">
        <v>0.1278663054091832</v>
      </c>
      <c r="P690">
        <v>17.561247254993638</v>
      </c>
      <c r="Q690">
        <v>11.992957113754604</v>
      </c>
      <c r="R690">
        <v>0.32693744685121917</v>
      </c>
      <c r="S690">
        <v>0.11849459957177685</v>
      </c>
      <c r="T690">
        <v>17.561610839822393</v>
      </c>
      <c r="U690">
        <v>1476.3606069900595</v>
      </c>
      <c r="V690">
        <v>9.3203845103411336</v>
      </c>
      <c r="W690">
        <v>1247.9421749410369</v>
      </c>
      <c r="X690">
        <v>6.7623824016639302</v>
      </c>
      <c r="Y690">
        <v>2865.9482661485004</v>
      </c>
      <c r="Z690">
        <v>9.3531160780006104</v>
      </c>
      <c r="AA690">
        <v>2713.2011765337566</v>
      </c>
      <c r="AB690">
        <v>6.7817385602443494</v>
      </c>
      <c r="AC690">
        <v>2188.1808446007344</v>
      </c>
      <c r="AD690">
        <v>9.3324386882769037</v>
      </c>
      <c r="AE690">
        <v>1998.5135130501294</v>
      </c>
      <c r="AF690">
        <v>6.7695183610778615</v>
      </c>
      <c r="AG690">
        <v>2054.6375885330499</v>
      </c>
      <c r="AH690">
        <v>9.3385297070610385</v>
      </c>
      <c r="AI690">
        <v>1862.2271528321198</v>
      </c>
      <c r="AJ690">
        <v>6.7731208052440408</v>
      </c>
    </row>
    <row r="691" spans="4:36" x14ac:dyDescent="0.45">
      <c r="D691">
        <v>684</v>
      </c>
      <c r="E691">
        <v>13.914989834287269</v>
      </c>
      <c r="F691">
        <v>0.51323851381583585</v>
      </c>
      <c r="G691">
        <v>0.17207591826860968</v>
      </c>
      <c r="H691">
        <v>15.399695733628297</v>
      </c>
      <c r="I691">
        <v>14.157245607799005</v>
      </c>
      <c r="J691">
        <v>0.34022476609309354</v>
      </c>
      <c r="K691">
        <v>0.1137056985999816</v>
      </c>
      <c r="L691">
        <v>15.388823927507939</v>
      </c>
      <c r="M691">
        <v>14.048654150010883</v>
      </c>
      <c r="N691">
        <v>0.41781964527720727</v>
      </c>
      <c r="O691">
        <v>0.13983737449187261</v>
      </c>
      <c r="P691">
        <v>15.393688830220045</v>
      </c>
      <c r="Q691">
        <v>13.999342717799486</v>
      </c>
      <c r="R691">
        <v>0.4530334528756309</v>
      </c>
      <c r="S691">
        <v>0.15172135346387358</v>
      </c>
      <c r="T691">
        <v>15.395902475860996</v>
      </c>
      <c r="U691">
        <v>1595.3492874090937</v>
      </c>
      <c r="V691">
        <v>10.968399304694497</v>
      </c>
      <c r="W691">
        <v>1313.9425314454702</v>
      </c>
      <c r="X691">
        <v>7.7154960425527106</v>
      </c>
      <c r="Y691">
        <v>2943.2057134653082</v>
      </c>
      <c r="Z691">
        <v>11.020756343858249</v>
      </c>
      <c r="AA691">
        <v>2755.3710003345486</v>
      </c>
      <c r="AB691">
        <v>7.7447177960863192</v>
      </c>
      <c r="AC691">
        <v>2276.72895404666</v>
      </c>
      <c r="AD691">
        <v>10.997292640549174</v>
      </c>
      <c r="AE691">
        <v>2047.9687953664154</v>
      </c>
      <c r="AF691">
        <v>7.7316328863522328</v>
      </c>
      <c r="AG691">
        <v>2163.1249827490637</v>
      </c>
      <c r="AH691">
        <v>10.98663487082022</v>
      </c>
      <c r="AI691">
        <v>1921.1875471025505</v>
      </c>
      <c r="AJ691">
        <v>7.7256836574061518</v>
      </c>
    </row>
    <row r="692" spans="4:36" x14ac:dyDescent="0.45">
      <c r="D692">
        <v>685</v>
      </c>
      <c r="E692">
        <v>13.123705106243097</v>
      </c>
      <c r="F692">
        <v>0.41891965078038401</v>
      </c>
      <c r="G692">
        <v>0.14965799583422384</v>
      </c>
      <c r="H692">
        <v>16.3077172471423</v>
      </c>
      <c r="I692">
        <v>13.344604837087473</v>
      </c>
      <c r="J692">
        <v>0.27797508812109195</v>
      </c>
      <c r="K692">
        <v>9.8995076642624164E-2</v>
      </c>
      <c r="L692">
        <v>16.278424998148807</v>
      </c>
      <c r="M692">
        <v>13.244957307856659</v>
      </c>
      <c r="N692">
        <v>0.34159684973332777</v>
      </c>
      <c r="O692">
        <v>0.12182415014669261</v>
      </c>
      <c r="P692">
        <v>16.291621692263313</v>
      </c>
      <c r="Q692">
        <v>13.246243732865782</v>
      </c>
      <c r="R692">
        <v>0.34077594531672017</v>
      </c>
      <c r="S692">
        <v>0.12152917281695612</v>
      </c>
      <c r="T692">
        <v>16.29145114900054</v>
      </c>
      <c r="U692">
        <v>1565.4118367626943</v>
      </c>
      <c r="V692">
        <v>10.260116850467574</v>
      </c>
      <c r="W692">
        <v>1302.7927053192905</v>
      </c>
      <c r="X692">
        <v>7.307916917563233</v>
      </c>
      <c r="Y692">
        <v>2926.8409413016275</v>
      </c>
      <c r="Z692">
        <v>10.317610317305693</v>
      </c>
      <c r="AA692">
        <v>2750.4846370814594</v>
      </c>
      <c r="AB692">
        <v>7.3399401288132475</v>
      </c>
      <c r="AC692">
        <v>2227.9633973429864</v>
      </c>
      <c r="AD692">
        <v>10.291684373097221</v>
      </c>
      <c r="AE692">
        <v>2021.3977199174981</v>
      </c>
      <c r="AF692">
        <v>7.3255108564742883</v>
      </c>
      <c r="AG692">
        <v>2113.8712348869244</v>
      </c>
      <c r="AH692">
        <v>10.292019167298017</v>
      </c>
      <c r="AI692">
        <v>1896.8526753169849</v>
      </c>
      <c r="AJ692">
        <v>7.3256973051249261</v>
      </c>
    </row>
    <row r="693" spans="4:36" x14ac:dyDescent="0.45">
      <c r="D693">
        <v>686</v>
      </c>
      <c r="E693">
        <v>11.871763106938616</v>
      </c>
      <c r="F693">
        <v>0.4394920484587731</v>
      </c>
      <c r="G693">
        <v>0.15575409582092475</v>
      </c>
      <c r="H693">
        <v>17.532990748781678</v>
      </c>
      <c r="I693">
        <v>12.074271753120394</v>
      </c>
      <c r="J693">
        <v>0.27943919133065254</v>
      </c>
      <c r="K693">
        <v>9.8729150669363969E-2</v>
      </c>
      <c r="L693">
        <v>17.547559904879591</v>
      </c>
      <c r="M693">
        <v>11.971973508358088</v>
      </c>
      <c r="N693">
        <v>0.36031590189889962</v>
      </c>
      <c r="O693">
        <v>0.12750031931288658</v>
      </c>
      <c r="P693">
        <v>17.540210270430133</v>
      </c>
      <c r="Q693">
        <v>11.939016653936406</v>
      </c>
      <c r="R693">
        <v>0.38636056283726711</v>
      </c>
      <c r="S693">
        <v>0.13678466023830815</v>
      </c>
      <c r="T693">
        <v>17.53783812298801</v>
      </c>
      <c r="U693">
        <v>1507.7431264954078</v>
      </c>
      <c r="V693">
        <v>9.4027250887594658</v>
      </c>
      <c r="W693">
        <v>1267.1502700242288</v>
      </c>
      <c r="X693">
        <v>6.8192360908372578</v>
      </c>
      <c r="Y693">
        <v>2863.5229945813826</v>
      </c>
      <c r="Z693">
        <v>9.4314193503860988</v>
      </c>
      <c r="AA693">
        <v>2709.7728183968256</v>
      </c>
      <c r="AB693">
        <v>6.8366581853889565</v>
      </c>
      <c r="AC693">
        <v>2200.1135736356391</v>
      </c>
      <c r="AD693">
        <v>9.4169190736713713</v>
      </c>
      <c r="AE693">
        <v>2005.858127853345</v>
      </c>
      <c r="AF693">
        <v>6.8278631604381603</v>
      </c>
      <c r="AG693">
        <v>2116.4564144393771</v>
      </c>
      <c r="AH693">
        <v>9.4122498677179998</v>
      </c>
      <c r="AI693">
        <v>1901.9435493257217</v>
      </c>
      <c r="AJ693">
        <v>6.825027189002264</v>
      </c>
    </row>
    <row r="694" spans="4:36" x14ac:dyDescent="0.45">
      <c r="D694">
        <v>687</v>
      </c>
      <c r="E694">
        <v>13.585300474160398</v>
      </c>
      <c r="F694">
        <v>0.50806932983514386</v>
      </c>
      <c r="G694">
        <v>0.17593002770894603</v>
      </c>
      <c r="H694">
        <v>15.73070016829551</v>
      </c>
      <c r="I694">
        <v>13.83085749026213</v>
      </c>
      <c r="J694">
        <v>0.3246783311295881</v>
      </c>
      <c r="K694">
        <v>0.11207188605018409</v>
      </c>
      <c r="L694">
        <v>15.732392292558094</v>
      </c>
      <c r="M694">
        <v>13.712452878355728</v>
      </c>
      <c r="N694">
        <v>0.41314684728283069</v>
      </c>
      <c r="O694">
        <v>0.14282609820938075</v>
      </c>
      <c r="P694">
        <v>15.731574176152051</v>
      </c>
      <c r="Q694">
        <v>13.665684263260809</v>
      </c>
      <c r="R694">
        <v>0.44807074619851545</v>
      </c>
      <c r="S694">
        <v>0.15499284109236713</v>
      </c>
      <c r="T694">
        <v>15.731252149448306</v>
      </c>
      <c r="U694">
        <v>1602.1276940036803</v>
      </c>
      <c r="V694">
        <v>10.749479277807348</v>
      </c>
      <c r="W694">
        <v>1317.6167497701113</v>
      </c>
      <c r="X694">
        <v>7.5941524682125197</v>
      </c>
      <c r="Y694">
        <v>2942.8140019229568</v>
      </c>
      <c r="Z694">
        <v>10.793837450596238</v>
      </c>
      <c r="AA694">
        <v>2755.268468195452</v>
      </c>
      <c r="AB694">
        <v>7.619378276353987</v>
      </c>
      <c r="AC694">
        <v>2275.8792900796002</v>
      </c>
      <c r="AD694">
        <v>10.772449857000387</v>
      </c>
      <c r="AE694">
        <v>2046.4842523541267</v>
      </c>
      <c r="AF694">
        <v>7.6072260173468544</v>
      </c>
      <c r="AG694">
        <v>2210.5110851223044</v>
      </c>
      <c r="AH694">
        <v>10.764001271145412</v>
      </c>
      <c r="AI694">
        <v>1953.8291538289527</v>
      </c>
      <c r="AJ694">
        <v>7.6024202114120136</v>
      </c>
    </row>
    <row r="695" spans="4:36" x14ac:dyDescent="0.45">
      <c r="D695">
        <v>688</v>
      </c>
      <c r="E695">
        <v>12.134763309010145</v>
      </c>
      <c r="F695">
        <v>0.42859250345852334</v>
      </c>
      <c r="G695">
        <v>0.15170788457622153</v>
      </c>
      <c r="H695">
        <v>17.284936302955106</v>
      </c>
      <c r="I695">
        <v>12.308649491148735</v>
      </c>
      <c r="J695">
        <v>0.29407871564571475</v>
      </c>
      <c r="K695">
        <v>0.10383642403002853</v>
      </c>
      <c r="L695">
        <v>17.293435369175516</v>
      </c>
      <c r="M695">
        <v>12.200211419864004</v>
      </c>
      <c r="N695">
        <v>0.37798194606756846</v>
      </c>
      <c r="O695">
        <v>0.13366806108782994</v>
      </c>
      <c r="P695">
        <v>17.288138572980603</v>
      </c>
      <c r="Q695">
        <v>12.204684337073273</v>
      </c>
      <c r="R695">
        <v>0.3745222578073697</v>
      </c>
      <c r="S695">
        <v>0.13243612773822883</v>
      </c>
      <c r="T695">
        <v>17.288357277381134</v>
      </c>
      <c r="U695">
        <v>1504.514542463309</v>
      </c>
      <c r="V695">
        <v>9.6231541491297783</v>
      </c>
      <c r="W695">
        <v>1264.0534972151127</v>
      </c>
      <c r="X695">
        <v>6.9525977270382429</v>
      </c>
      <c r="Y695">
        <v>2894.049845471377</v>
      </c>
      <c r="Z695">
        <v>9.6511203341669844</v>
      </c>
      <c r="AA695">
        <v>2729.7609167945275</v>
      </c>
      <c r="AB695">
        <v>6.9692210301936282</v>
      </c>
      <c r="AC695">
        <v>2224.0171836688414</v>
      </c>
      <c r="AD695">
        <v>9.6336783061397959</v>
      </c>
      <c r="AE695">
        <v>2020.5966545928572</v>
      </c>
      <c r="AF695">
        <v>6.9588595233646071</v>
      </c>
      <c r="AG695">
        <v>2105.4469033934665</v>
      </c>
      <c r="AH695">
        <v>9.6343976416598043</v>
      </c>
      <c r="AI695">
        <v>1893.4359516928216</v>
      </c>
      <c r="AJ695">
        <v>6.9592872498489529</v>
      </c>
    </row>
    <row r="696" spans="4:36" x14ac:dyDescent="0.45">
      <c r="D696">
        <v>689</v>
      </c>
      <c r="E696">
        <v>12.504181147011129</v>
      </c>
      <c r="F696">
        <v>0.48421285668117187</v>
      </c>
      <c r="G696">
        <v>0.15603169463511857</v>
      </c>
      <c r="H696">
        <v>16.855574301672576</v>
      </c>
      <c r="I696">
        <v>12.73888795250741</v>
      </c>
      <c r="J696">
        <v>0.30631044286525144</v>
      </c>
      <c r="K696">
        <v>9.8369141176839758E-2</v>
      </c>
      <c r="L696">
        <v>16.856432463450485</v>
      </c>
      <c r="M696">
        <v>12.653519354085811</v>
      </c>
      <c r="N696">
        <v>0.3710520400730275</v>
      </c>
      <c r="O696">
        <v>0.11930739719439239</v>
      </c>
      <c r="P696">
        <v>16.856121208646783</v>
      </c>
      <c r="Q696">
        <v>12.591273851813654</v>
      </c>
      <c r="R696">
        <v>0.41823307924038977</v>
      </c>
      <c r="S696">
        <v>0.13459943958187132</v>
      </c>
      <c r="T696">
        <v>16.855893629364093</v>
      </c>
      <c r="U696">
        <v>1542.8514916902709</v>
      </c>
      <c r="V696">
        <v>9.9012145234230378</v>
      </c>
      <c r="W696">
        <v>1287.6194967838676</v>
      </c>
      <c r="X696">
        <v>7.1077103654650502</v>
      </c>
      <c r="Y696">
        <v>2877.7896970323741</v>
      </c>
      <c r="Z696">
        <v>9.9417036975589763</v>
      </c>
      <c r="AA696">
        <v>2716.9655257137083</v>
      </c>
      <c r="AB696">
        <v>7.1312074160542132</v>
      </c>
      <c r="AC696">
        <v>2215.5545713817878</v>
      </c>
      <c r="AD696">
        <v>9.9269767319777404</v>
      </c>
      <c r="AE696">
        <v>2014.832283146729</v>
      </c>
      <c r="AF696">
        <v>7.1226711577451587</v>
      </c>
      <c r="AG696">
        <v>2131.0570942349123</v>
      </c>
      <c r="AH696">
        <v>9.9162387851626459</v>
      </c>
      <c r="AI696">
        <v>1908.5711459519785</v>
      </c>
      <c r="AJ696">
        <v>7.1164397297901436</v>
      </c>
    </row>
    <row r="697" spans="4:36" x14ac:dyDescent="0.45">
      <c r="D697">
        <v>690</v>
      </c>
      <c r="E697">
        <v>12.02416170637717</v>
      </c>
      <c r="F697">
        <v>0.40696136068240912</v>
      </c>
      <c r="G697">
        <v>0.17662219488584013</v>
      </c>
      <c r="H697">
        <v>17.392254738054589</v>
      </c>
      <c r="I697">
        <v>12.190796426799805</v>
      </c>
      <c r="J697">
        <v>0.28076492912872802</v>
      </c>
      <c r="K697">
        <v>0.12153352054634926</v>
      </c>
      <c r="L697">
        <v>17.406905123525117</v>
      </c>
      <c r="M697">
        <v>12.081107344672267</v>
      </c>
      <c r="N697">
        <v>0.363852265272819</v>
      </c>
      <c r="O697">
        <v>0.1577707639584687</v>
      </c>
      <c r="P697">
        <v>17.397269626096438</v>
      </c>
      <c r="Q697">
        <v>12.093998885588096</v>
      </c>
      <c r="R697">
        <v>0.3540905999810231</v>
      </c>
      <c r="S697">
        <v>0.15350679905140388</v>
      </c>
      <c r="T697">
        <v>17.39840371537947</v>
      </c>
      <c r="U697">
        <v>1538.1254709198383</v>
      </c>
      <c r="V697">
        <v>9.4997927717406689</v>
      </c>
      <c r="W697">
        <v>1287.13716571644</v>
      </c>
      <c r="X697">
        <v>6.8731496466745421</v>
      </c>
      <c r="Y697">
        <v>2869.9291935382498</v>
      </c>
      <c r="Z697">
        <v>9.521328109090252</v>
      </c>
      <c r="AA697">
        <v>2711.1451754192121</v>
      </c>
      <c r="AB697">
        <v>6.8864646844761497</v>
      </c>
      <c r="AC697">
        <v>2230.6727438179087</v>
      </c>
      <c r="AD697">
        <v>9.5071474812891203</v>
      </c>
      <c r="AE697">
        <v>2023.7315424422725</v>
      </c>
      <c r="AF697">
        <v>6.8777025233799582</v>
      </c>
      <c r="AG697">
        <v>2092.6802209651946</v>
      </c>
      <c r="AH697">
        <v>9.5088131538291147</v>
      </c>
      <c r="AI697">
        <v>1883.061407792374</v>
      </c>
      <c r="AJ697">
        <v>6.8787328413133677</v>
      </c>
    </row>
    <row r="698" spans="4:36" x14ac:dyDescent="0.45">
      <c r="D698">
        <v>691</v>
      </c>
      <c r="E698">
        <v>12.614944918442843</v>
      </c>
      <c r="F698">
        <v>0.42923760740555372</v>
      </c>
      <c r="G698">
        <v>0.15662574160839196</v>
      </c>
      <c r="H698">
        <v>16.799191732543207</v>
      </c>
      <c r="I698">
        <v>12.809819735062115</v>
      </c>
      <c r="J698">
        <v>0.28793974105036507</v>
      </c>
      <c r="K698">
        <v>0.10477236601134288</v>
      </c>
      <c r="L698">
        <v>16.797468157876171</v>
      </c>
      <c r="M698">
        <v>12.750628765597323</v>
      </c>
      <c r="N698">
        <v>0.3308809207330351</v>
      </c>
      <c r="O698">
        <v>0.12049967240387384</v>
      </c>
      <c r="P698">
        <v>16.797990641265759</v>
      </c>
      <c r="Q698">
        <v>12.660406234502078</v>
      </c>
      <c r="R698">
        <v>0.39629499015464847</v>
      </c>
      <c r="S698">
        <v>0.14451000283804036</v>
      </c>
      <c r="T698">
        <v>16.798788772505219</v>
      </c>
      <c r="U698">
        <v>1559.8528230225131</v>
      </c>
      <c r="V698">
        <v>9.9612590231517952</v>
      </c>
      <c r="W698">
        <v>1297.9448937540888</v>
      </c>
      <c r="X698">
        <v>7.1446473901582657</v>
      </c>
      <c r="Y698">
        <v>2922.626057585584</v>
      </c>
      <c r="Z698">
        <v>9.9983863445647785</v>
      </c>
      <c r="AA698">
        <v>2746.7479645997864</v>
      </c>
      <c r="AB698">
        <v>7.1660414676335584</v>
      </c>
      <c r="AC698">
        <v>2229.3317763182063</v>
      </c>
      <c r="AD698">
        <v>9.9871101975475725</v>
      </c>
      <c r="AE698">
        <v>2023.1605181233383</v>
      </c>
      <c r="AF698">
        <v>7.1595505364305509</v>
      </c>
      <c r="AG698">
        <v>2134.8576848675534</v>
      </c>
      <c r="AH698">
        <v>9.9699209786704746</v>
      </c>
      <c r="AI698">
        <v>1907.5929171165117</v>
      </c>
      <c r="AJ698">
        <v>7.1496444777061123</v>
      </c>
    </row>
    <row r="699" spans="4:36" x14ac:dyDescent="0.45">
      <c r="D699">
        <v>692</v>
      </c>
      <c r="E699">
        <v>14.832216856714684</v>
      </c>
      <c r="F699">
        <v>0.55688203965723115</v>
      </c>
      <c r="G699">
        <v>0.18045742336676773</v>
      </c>
      <c r="H699">
        <v>14.430443680261327</v>
      </c>
      <c r="I699">
        <v>15.109722019661584</v>
      </c>
      <c r="J699">
        <v>0.36374521986852615</v>
      </c>
      <c r="K699">
        <v>0.11746775089279249</v>
      </c>
      <c r="L699">
        <v>14.409065009577098</v>
      </c>
      <c r="M699">
        <v>14.97620611083933</v>
      </c>
      <c r="N699">
        <v>0.45672368500783167</v>
      </c>
      <c r="O699">
        <v>0.14773685999174918</v>
      </c>
      <c r="P699">
        <v>14.419333344161087</v>
      </c>
      <c r="Q699">
        <v>14.906752959768099</v>
      </c>
      <c r="R699">
        <v>0.50504983456782337</v>
      </c>
      <c r="S699">
        <v>0.16350956179773354</v>
      </c>
      <c r="T699">
        <v>14.424687643866351</v>
      </c>
      <c r="U699">
        <v>1640.6308776429371</v>
      </c>
      <c r="V699">
        <v>11.721610412267093</v>
      </c>
      <c r="W699">
        <v>1336.4356537027106</v>
      </c>
      <c r="X699">
        <v>8.1432953395885139</v>
      </c>
      <c r="Y699">
        <v>2980.5086235449571</v>
      </c>
      <c r="Z699">
        <v>11.787677013175673</v>
      </c>
      <c r="AA699">
        <v>2775.6068615001573</v>
      </c>
      <c r="AB699">
        <v>8.1795868041677355</v>
      </c>
      <c r="AC699">
        <v>2337.7464161967464</v>
      </c>
      <c r="AD699">
        <v>11.755899744651247</v>
      </c>
      <c r="AE699">
        <v>2082.9142762904439</v>
      </c>
      <c r="AF699">
        <v>8.1621446045174473</v>
      </c>
      <c r="AG699">
        <v>2210.0654023996358</v>
      </c>
      <c r="AH699">
        <v>11.739362828294315</v>
      </c>
      <c r="AI699">
        <v>1945.2632571825152</v>
      </c>
      <c r="AJ699">
        <v>8.1530577438723135</v>
      </c>
    </row>
    <row r="700" spans="4:36" x14ac:dyDescent="0.45">
      <c r="D700">
        <v>693</v>
      </c>
      <c r="E700">
        <v>14.224759191371534</v>
      </c>
      <c r="F700">
        <v>0.49337569498643752</v>
      </c>
      <c r="G700">
        <v>0.17497263882855807</v>
      </c>
      <c r="H700">
        <v>15.106892474813488</v>
      </c>
      <c r="I700">
        <v>14.497858101426969</v>
      </c>
      <c r="J700">
        <v>0.31368831718992296</v>
      </c>
      <c r="K700">
        <v>0.11084217921428959</v>
      </c>
      <c r="L700">
        <v>15.077611402168811</v>
      </c>
      <c r="M700">
        <v>14.386604550409444</v>
      </c>
      <c r="N700">
        <v>0.38694551841892205</v>
      </c>
      <c r="O700">
        <v>0.13693023505393548</v>
      </c>
      <c r="P700">
        <v>15.089519696117703</v>
      </c>
      <c r="Q700">
        <v>14.323941537408375</v>
      </c>
      <c r="R700">
        <v>0.42817280746217584</v>
      </c>
      <c r="S700">
        <v>0.151646564872296</v>
      </c>
      <c r="T700">
        <v>15.096239090257152</v>
      </c>
      <c r="U700">
        <v>1639.3408686603402</v>
      </c>
      <c r="V700">
        <v>11.120031637201228</v>
      </c>
      <c r="W700">
        <v>1341.3248585745296</v>
      </c>
      <c r="X700">
        <v>7.7907814833738485</v>
      </c>
      <c r="Y700">
        <v>2930.0553865597017</v>
      </c>
      <c r="Z700">
        <v>11.184067996828386</v>
      </c>
      <c r="AA700">
        <v>2744.6346751828401</v>
      </c>
      <c r="AB700">
        <v>7.8259143424797815</v>
      </c>
      <c r="AC700">
        <v>2303.3051897218629</v>
      </c>
      <c r="AD700">
        <v>11.157993082698821</v>
      </c>
      <c r="AE700">
        <v>2064.7145096842974</v>
      </c>
      <c r="AF700">
        <v>7.8116215031695706</v>
      </c>
      <c r="AG700">
        <v>2218.7924774113017</v>
      </c>
      <c r="AH700">
        <v>11.143299355970395</v>
      </c>
      <c r="AI700">
        <v>1957.7478548798715</v>
      </c>
      <c r="AJ700">
        <v>7.8035594405662048</v>
      </c>
    </row>
    <row r="701" spans="4:36" x14ac:dyDescent="0.45">
      <c r="D701">
        <v>694</v>
      </c>
      <c r="E701">
        <v>13.79010155886955</v>
      </c>
      <c r="F701">
        <v>0.48859881218599122</v>
      </c>
      <c r="G701">
        <v>0.16508077062657026</v>
      </c>
      <c r="H701">
        <v>15.55621885831788</v>
      </c>
      <c r="I701">
        <v>14.05067901286324</v>
      </c>
      <c r="J701">
        <v>0.31376010353872258</v>
      </c>
      <c r="K701">
        <v>0.10564962626544172</v>
      </c>
      <c r="L701">
        <v>15.52991125733257</v>
      </c>
      <c r="M701">
        <v>13.91047535725672</v>
      </c>
      <c r="N701">
        <v>0.40788540915808869</v>
      </c>
      <c r="O701">
        <v>0.1375936889821911</v>
      </c>
      <c r="P701">
        <v>15.544045544603003</v>
      </c>
      <c r="Q701">
        <v>13.883759273084044</v>
      </c>
      <c r="R701">
        <v>0.42580711529902554</v>
      </c>
      <c r="S701">
        <v>0.14368934886917167</v>
      </c>
      <c r="T701">
        <v>15.546744262747758</v>
      </c>
      <c r="U701">
        <v>1603.2915649841264</v>
      </c>
      <c r="V701">
        <v>10.899862587861623</v>
      </c>
      <c r="W701">
        <v>1320.8939289491132</v>
      </c>
      <c r="X701">
        <v>7.6844979534740911</v>
      </c>
      <c r="Y701">
        <v>2933.2686193277377</v>
      </c>
      <c r="Z701">
        <v>10.965389775836982</v>
      </c>
      <c r="AA701">
        <v>2749.8658272995722</v>
      </c>
      <c r="AB701">
        <v>7.7207098910319143</v>
      </c>
      <c r="AC701">
        <v>2288.5522403689179</v>
      </c>
      <c r="AD701">
        <v>10.930144724805839</v>
      </c>
      <c r="AE701">
        <v>2056.7223987654347</v>
      </c>
      <c r="AF701">
        <v>7.7012463959450352</v>
      </c>
      <c r="AG701">
        <v>2180.6538826500891</v>
      </c>
      <c r="AH701">
        <v>10.92342559229415</v>
      </c>
      <c r="AI701">
        <v>1935.0859687366817</v>
      </c>
      <c r="AJ701">
        <v>7.6975322370949977</v>
      </c>
    </row>
    <row r="702" spans="4:36" x14ac:dyDescent="0.45">
      <c r="D702">
        <v>695</v>
      </c>
      <c r="E702">
        <v>12.813825497381712</v>
      </c>
      <c r="F702">
        <v>0.41379843534530963</v>
      </c>
      <c r="G702">
        <v>0.16831388438354164</v>
      </c>
      <c r="H702">
        <v>16.604062182889422</v>
      </c>
      <c r="I702">
        <v>13.031386661275956</v>
      </c>
      <c r="J702">
        <v>0.27043762987103215</v>
      </c>
      <c r="K702">
        <v>0.10966265781760172</v>
      </c>
      <c r="L702">
        <v>16.588513051035399</v>
      </c>
      <c r="M702">
        <v>12.943011480599116</v>
      </c>
      <c r="N702">
        <v>0.32871064809721889</v>
      </c>
      <c r="O702">
        <v>0.13345881983292723</v>
      </c>
      <c r="P702">
        <v>16.59481905147074</v>
      </c>
      <c r="Q702">
        <v>12.901953452755597</v>
      </c>
      <c r="R702">
        <v>0.3557656442853096</v>
      </c>
      <c r="S702">
        <v>0.14452743443910238</v>
      </c>
      <c r="T702">
        <v>16.597753468519972</v>
      </c>
      <c r="U702">
        <v>1543.2391363551992</v>
      </c>
      <c r="V702">
        <v>10.053480758705561</v>
      </c>
      <c r="W702">
        <v>1289.1204131653587</v>
      </c>
      <c r="X702">
        <v>7.1921805708030231</v>
      </c>
      <c r="Y702">
        <v>2880.677341655864</v>
      </c>
      <c r="Z702">
        <v>10.104991789608652</v>
      </c>
      <c r="AA702">
        <v>2719.2131983085824</v>
      </c>
      <c r="AB702">
        <v>7.221263435056744</v>
      </c>
      <c r="AC702">
        <v>2221.667260298309</v>
      </c>
      <c r="AD702">
        <v>10.084073531333873</v>
      </c>
      <c r="AE702">
        <v>2019.2843358074251</v>
      </c>
      <c r="AF702">
        <v>7.2094636204222837</v>
      </c>
      <c r="AG702">
        <v>2139.6640282917665</v>
      </c>
      <c r="AH702">
        <v>10.074352400803974</v>
      </c>
      <c r="AI702">
        <v>1915.9257860319451</v>
      </c>
      <c r="AJ702">
        <v>7.2039751309648077</v>
      </c>
    </row>
    <row r="703" spans="4:36" x14ac:dyDescent="0.45">
      <c r="D703">
        <v>696</v>
      </c>
      <c r="E703">
        <v>12.677286635209528</v>
      </c>
      <c r="F703">
        <v>0.48252817232270429</v>
      </c>
      <c r="G703">
        <v>0.16743960340117178</v>
      </c>
      <c r="H703">
        <v>16.672745589066583</v>
      </c>
      <c r="I703">
        <v>12.902154698423614</v>
      </c>
      <c r="J703">
        <v>0.31203118071864577</v>
      </c>
      <c r="K703">
        <v>0.10793289883988691</v>
      </c>
      <c r="L703">
        <v>16.677881222017863</v>
      </c>
      <c r="M703">
        <v>12.815118420514136</v>
      </c>
      <c r="N703">
        <v>0.37805471170926941</v>
      </c>
      <c r="O703">
        <v>0.13093089117664147</v>
      </c>
      <c r="P703">
        <v>16.675895976599957</v>
      </c>
      <c r="Q703">
        <v>12.770477758723786</v>
      </c>
      <c r="R703">
        <v>0.41190244581166346</v>
      </c>
      <c r="S703">
        <v>0.14274327969206854</v>
      </c>
      <c r="T703">
        <v>16.674876515772489</v>
      </c>
      <c r="U703">
        <v>1528.0331986417325</v>
      </c>
      <c r="V703">
        <v>10.009139171335903</v>
      </c>
      <c r="W703">
        <v>1274.422632167071</v>
      </c>
      <c r="X703">
        <v>7.1669370071625673</v>
      </c>
      <c r="Y703">
        <v>2891.7078808050583</v>
      </c>
      <c r="Z703">
        <v>10.049607938569798</v>
      </c>
      <c r="AA703">
        <v>2724.9274001333438</v>
      </c>
      <c r="AB703">
        <v>7.1905393795426438</v>
      </c>
      <c r="AC703">
        <v>2217.4795536315378</v>
      </c>
      <c r="AD703">
        <v>10.033942760318249</v>
      </c>
      <c r="AE703">
        <v>2013.6902873733982</v>
      </c>
      <c r="AF703">
        <v>7.1814132729307678</v>
      </c>
      <c r="AG703">
        <v>2155.2135221940321</v>
      </c>
      <c r="AH703">
        <v>10.025908889201437</v>
      </c>
      <c r="AI703">
        <v>1924.1612528467474</v>
      </c>
      <c r="AJ703">
        <v>7.1767279783873796</v>
      </c>
    </row>
    <row r="704" spans="4:36" x14ac:dyDescent="0.45">
      <c r="D704">
        <v>697</v>
      </c>
      <c r="E704">
        <v>11.586827394434721</v>
      </c>
      <c r="F704">
        <v>0.4350760589506138</v>
      </c>
      <c r="G704">
        <v>0.1714975539210491</v>
      </c>
      <c r="H704">
        <v>17.806598992693626</v>
      </c>
      <c r="I704">
        <v>11.799606842544987</v>
      </c>
      <c r="J704">
        <v>0.27010550350025053</v>
      </c>
      <c r="K704">
        <v>0.10613349885989244</v>
      </c>
      <c r="L704">
        <v>17.824154155094877</v>
      </c>
      <c r="M704">
        <v>11.728400502904206</v>
      </c>
      <c r="N704">
        <v>0.32533923211980698</v>
      </c>
      <c r="O704">
        <v>0.12797142130832787</v>
      </c>
      <c r="P704">
        <v>17.818288843667659</v>
      </c>
      <c r="Q704">
        <v>11.701605508091156</v>
      </c>
      <c r="R704">
        <v>0.3461168322579205</v>
      </c>
      <c r="S704">
        <v>0.1361984003541899</v>
      </c>
      <c r="T704">
        <v>17.816079259296728</v>
      </c>
      <c r="U704">
        <v>1508.976753994405</v>
      </c>
      <c r="V704">
        <v>9.23009343685586</v>
      </c>
      <c r="W704">
        <v>1269.6480206156355</v>
      </c>
      <c r="X704">
        <v>6.7244216534273482</v>
      </c>
      <c r="Y704">
        <v>2857.1417130922387</v>
      </c>
      <c r="Z704">
        <v>9.2611107820067176</v>
      </c>
      <c r="AA704">
        <v>2706.6301452873577</v>
      </c>
      <c r="AB704">
        <v>6.7433885579296078</v>
      </c>
      <c r="AC704">
        <v>2175.7890925625734</v>
      </c>
      <c r="AD704">
        <v>9.2507254722212124</v>
      </c>
      <c r="AE704">
        <v>1991.8576100728981</v>
      </c>
      <c r="AF704">
        <v>6.7370474812041801</v>
      </c>
      <c r="AG704">
        <v>2082.7356714966841</v>
      </c>
      <c r="AH704">
        <v>9.2468188733743801</v>
      </c>
      <c r="AI704">
        <v>1881.6091656176334</v>
      </c>
      <c r="AJ704">
        <v>6.7346597320494501</v>
      </c>
    </row>
    <row r="705" spans="4:36" x14ac:dyDescent="0.45">
      <c r="D705">
        <v>698</v>
      </c>
      <c r="E705">
        <v>12.726949047427885</v>
      </c>
      <c r="F705">
        <v>0.46603063743798001</v>
      </c>
      <c r="G705">
        <v>0.16475992391998273</v>
      </c>
      <c r="H705">
        <v>16.642260391214155</v>
      </c>
      <c r="I705">
        <v>12.929391291615081</v>
      </c>
      <c r="J705">
        <v>0.31142134518533382</v>
      </c>
      <c r="K705">
        <v>0.10977690363622991</v>
      </c>
      <c r="L705">
        <v>16.649410459563352</v>
      </c>
      <c r="M705">
        <v>12.854733638033299</v>
      </c>
      <c r="N705">
        <v>0.36846372145282286</v>
      </c>
      <c r="O705">
        <v>0.13002456123685377</v>
      </c>
      <c r="P705">
        <v>16.646778079277034</v>
      </c>
      <c r="Q705">
        <v>12.777766354963889</v>
      </c>
      <c r="R705">
        <v>0.4272405004362923</v>
      </c>
      <c r="S705">
        <v>0.15093432331434034</v>
      </c>
      <c r="T705">
        <v>16.644058821285505</v>
      </c>
      <c r="U705">
        <v>1557.6291810985931</v>
      </c>
      <c r="V705">
        <v>10.066937780907272</v>
      </c>
      <c r="W705">
        <v>1291.6641713021536</v>
      </c>
      <c r="X705">
        <v>7.203535834618342</v>
      </c>
      <c r="Y705">
        <v>2909.7509962522777</v>
      </c>
      <c r="Z705">
        <v>10.10067324316382</v>
      </c>
      <c r="AA705">
        <v>2734.4708234130649</v>
      </c>
      <c r="AB705">
        <v>7.2233717737579699</v>
      </c>
      <c r="AC705">
        <v>2230.8340952644307</v>
      </c>
      <c r="AD705">
        <v>10.088229479841507</v>
      </c>
      <c r="AE705">
        <v>2019.8612732264316</v>
      </c>
      <c r="AF705">
        <v>7.2160629369076785</v>
      </c>
      <c r="AG705">
        <v>2164.3692914475159</v>
      </c>
      <c r="AH705">
        <v>10.075403966665043</v>
      </c>
      <c r="AI705">
        <v>1924.8522138059029</v>
      </c>
      <c r="AJ705">
        <v>7.2085202315802928</v>
      </c>
    </row>
    <row r="706" spans="4:36" x14ac:dyDescent="0.45">
      <c r="D706">
        <v>699</v>
      </c>
      <c r="E706">
        <v>11.767838214021852</v>
      </c>
      <c r="F706">
        <v>0.41725776252581581</v>
      </c>
      <c r="G706">
        <v>0.14242042278028916</v>
      </c>
      <c r="H706">
        <v>17.672483600672045</v>
      </c>
      <c r="I706">
        <v>11.955591119872357</v>
      </c>
      <c r="J706">
        <v>0.27261410322533774</v>
      </c>
      <c r="K706">
        <v>9.2786893745249066E-2</v>
      </c>
      <c r="L706">
        <v>17.679007883157059</v>
      </c>
      <c r="M706">
        <v>11.852662202704849</v>
      </c>
      <c r="N706">
        <v>0.35193314661098085</v>
      </c>
      <c r="O706">
        <v>0.11996943109130771</v>
      </c>
      <c r="P706">
        <v>17.675435219592853</v>
      </c>
      <c r="Q706">
        <v>11.792419817209144</v>
      </c>
      <c r="R706">
        <v>0.39833095642625965</v>
      </c>
      <c r="S706">
        <v>0.13590956954451611</v>
      </c>
      <c r="T706">
        <v>17.67333965682009</v>
      </c>
      <c r="U706">
        <v>1488.3960201455552</v>
      </c>
      <c r="V706">
        <v>9.2584099741214434</v>
      </c>
      <c r="W706">
        <v>1254.4996763966553</v>
      </c>
      <c r="X706">
        <v>6.7298797012847711</v>
      </c>
      <c r="Y706">
        <v>2866.0204859009314</v>
      </c>
      <c r="Z706">
        <v>9.2901969093348438</v>
      </c>
      <c r="AA706">
        <v>2711.9537265924978</v>
      </c>
      <c r="AB706">
        <v>6.748862382412967</v>
      </c>
      <c r="AC706">
        <v>2210.4494746977889</v>
      </c>
      <c r="AD706">
        <v>9.272768421922466</v>
      </c>
      <c r="AE706">
        <v>2013.8299725471302</v>
      </c>
      <c r="AF706">
        <v>6.7384627383300035</v>
      </c>
      <c r="AG706">
        <v>2116.4050706892122</v>
      </c>
      <c r="AH706">
        <v>9.26257057336014</v>
      </c>
      <c r="AI706">
        <v>1900.6739628392872</v>
      </c>
      <c r="AJ706">
        <v>6.7323682133000782</v>
      </c>
    </row>
    <row r="707" spans="4:36" x14ac:dyDescent="0.45">
      <c r="D707">
        <v>700</v>
      </c>
      <c r="E707">
        <v>12.661866575438749</v>
      </c>
      <c r="F707">
        <v>0.4768909867795148</v>
      </c>
      <c r="G707">
        <v>0.17842379877424788</v>
      </c>
      <c r="H707">
        <v>16.682818639007486</v>
      </c>
      <c r="I707">
        <v>12.840410808735447</v>
      </c>
      <c r="J707">
        <v>0.33825742350733151</v>
      </c>
      <c r="K707">
        <v>0.12623180880391766</v>
      </c>
      <c r="L707">
        <v>16.695099958953307</v>
      </c>
      <c r="M707">
        <v>12.76716879802215</v>
      </c>
      <c r="N707">
        <v>0.39514663289341456</v>
      </c>
      <c r="O707">
        <v>0.14761633843487648</v>
      </c>
      <c r="P707">
        <v>16.690068230649558</v>
      </c>
      <c r="Q707">
        <v>12.740849996836703</v>
      </c>
      <c r="R707">
        <v>0.41558268892352007</v>
      </c>
      <c r="S707">
        <v>0.15530931563862158</v>
      </c>
      <c r="T707">
        <v>16.688257998601156</v>
      </c>
      <c r="U707">
        <v>1579.7408071929813</v>
      </c>
      <c r="V707">
        <v>9.949519023611618</v>
      </c>
      <c r="W707">
        <v>1309.0658519923993</v>
      </c>
      <c r="X707">
        <v>7.1235284118392492</v>
      </c>
      <c r="Y707">
        <v>2929.2690680983546</v>
      </c>
      <c r="Z707">
        <v>9.9749926212465301</v>
      </c>
      <c r="AA707">
        <v>2747.8855166396493</v>
      </c>
      <c r="AB707">
        <v>7.138752673209714</v>
      </c>
      <c r="AC707">
        <v>2246.6682533842832</v>
      </c>
      <c r="AD707">
        <v>9.9645394482360494</v>
      </c>
      <c r="AE707">
        <v>2030.9638866484058</v>
      </c>
      <c r="AF707">
        <v>7.1325113611862516</v>
      </c>
      <c r="AG707">
        <v>2134.1790998229071</v>
      </c>
      <c r="AH707">
        <v>9.96078437177494</v>
      </c>
      <c r="AI707">
        <v>1906.0988331274361</v>
      </c>
      <c r="AJ707">
        <v>7.1302672698010356</v>
      </c>
    </row>
    <row r="708" spans="4:36" x14ac:dyDescent="0.45">
      <c r="D708">
        <v>701</v>
      </c>
      <c r="E708">
        <v>12.704097802126659</v>
      </c>
      <c r="F708">
        <v>0.45936599244867388</v>
      </c>
      <c r="G708">
        <v>0.16075774644984342</v>
      </c>
      <c r="H708">
        <v>16.675778458974822</v>
      </c>
      <c r="I708">
        <v>12.947579688942415</v>
      </c>
      <c r="J708">
        <v>0.28671649560873114</v>
      </c>
      <c r="K708">
        <v>9.9998481401692041E-2</v>
      </c>
      <c r="L708">
        <v>16.665705334047157</v>
      </c>
      <c r="M708">
        <v>12.83430998232283</v>
      </c>
      <c r="N708">
        <v>0.36707942680047806</v>
      </c>
      <c r="O708">
        <v>0.12822799797758577</v>
      </c>
      <c r="P708">
        <v>16.670382592899124</v>
      </c>
      <c r="Q708">
        <v>12.816969624628967</v>
      </c>
      <c r="R708">
        <v>0.37937523126814071</v>
      </c>
      <c r="S708">
        <v>0.13255516273599283</v>
      </c>
      <c r="T708">
        <v>16.671099981366908</v>
      </c>
      <c r="U708">
        <v>1575.9118337759105</v>
      </c>
      <c r="V708">
        <v>10.053706439207614</v>
      </c>
      <c r="W708">
        <v>1309.7151296754942</v>
      </c>
      <c r="X708">
        <v>7.1991272346998576</v>
      </c>
      <c r="Y708">
        <v>2892.1977248844942</v>
      </c>
      <c r="Z708">
        <v>10.104527463982139</v>
      </c>
      <c r="AA708">
        <v>2726.5248066762424</v>
      </c>
      <c r="AB708">
        <v>7.2281161032504988</v>
      </c>
      <c r="AC708">
        <v>2253.3663134973208</v>
      </c>
      <c r="AD708">
        <v>10.080889500131411</v>
      </c>
      <c r="AE708">
        <v>2039.5699248953581</v>
      </c>
      <c r="AF708">
        <v>7.2146455001067302</v>
      </c>
      <c r="AG708">
        <v>2106.6369350670202</v>
      </c>
      <c r="AH708">
        <v>10.077270115956923</v>
      </c>
      <c r="AI708">
        <v>1890.7446609882024</v>
      </c>
      <c r="AJ708">
        <v>7.2125809681630306</v>
      </c>
    </row>
    <row r="709" spans="4:36" x14ac:dyDescent="0.45">
      <c r="D709">
        <v>702</v>
      </c>
      <c r="E709">
        <v>13.861025686957749</v>
      </c>
      <c r="F709">
        <v>0.46416059788139968</v>
      </c>
      <c r="G709">
        <v>0.17382487940089611</v>
      </c>
      <c r="H709">
        <v>15.500988835759944</v>
      </c>
      <c r="I709">
        <v>14.149338896071937</v>
      </c>
      <c r="J709">
        <v>0.28390240880633755</v>
      </c>
      <c r="K709">
        <v>0.10590315319268652</v>
      </c>
      <c r="L709">
        <v>15.460855541929057</v>
      </c>
      <c r="M709">
        <v>14.019834508995602</v>
      </c>
      <c r="N709">
        <v>0.3649409921252294</v>
      </c>
      <c r="O709">
        <v>0.13637165173555624</v>
      </c>
      <c r="P709">
        <v>15.4788528471436</v>
      </c>
      <c r="Q709">
        <v>13.997404299295759</v>
      </c>
      <c r="R709">
        <v>0.37896530952743562</v>
      </c>
      <c r="S709">
        <v>0.14165549773707609</v>
      </c>
      <c r="T709">
        <v>15.481974893439711</v>
      </c>
      <c r="U709">
        <v>1597.3714689978483</v>
      </c>
      <c r="V709">
        <v>10.920113015563768</v>
      </c>
      <c r="W709">
        <v>1314.9763204977405</v>
      </c>
      <c r="X709">
        <v>7.6910290958237466</v>
      </c>
      <c r="Y709">
        <v>2908.5665223030719</v>
      </c>
      <c r="Z709">
        <v>10.99149075856519</v>
      </c>
      <c r="AA709">
        <v>2732.3495574219737</v>
      </c>
      <c r="AB709">
        <v>7.7300229653488559</v>
      </c>
      <c r="AC709">
        <v>2282.1400416889073</v>
      </c>
      <c r="AD709">
        <v>10.959447860851922</v>
      </c>
      <c r="AE709">
        <v>2052.3733813272293</v>
      </c>
      <c r="AF709">
        <v>7.7125332947377139</v>
      </c>
      <c r="AG709">
        <v>2172.619758936276</v>
      </c>
      <c r="AH709">
        <v>10.953894963886624</v>
      </c>
      <c r="AI709">
        <v>1929.7174985162169</v>
      </c>
      <c r="AJ709">
        <v>7.7094998625338791</v>
      </c>
    </row>
    <row r="710" spans="4:36" x14ac:dyDescent="0.45">
      <c r="D710">
        <v>703</v>
      </c>
      <c r="E710">
        <v>12.549747912758354</v>
      </c>
      <c r="F710">
        <v>0.46385262006361488</v>
      </c>
      <c r="G710">
        <v>0.14519374898027981</v>
      </c>
      <c r="H710">
        <v>16.841205718197759</v>
      </c>
      <c r="I710">
        <v>12.767646562751745</v>
      </c>
      <c r="J710">
        <v>0.29988591235438322</v>
      </c>
      <c r="K710">
        <v>9.3589151926733866E-2</v>
      </c>
      <c r="L710">
        <v>16.838878372967148</v>
      </c>
      <c r="M710">
        <v>12.646646619369559</v>
      </c>
      <c r="N710">
        <v>0.39096917759747934</v>
      </c>
      <c r="O710">
        <v>0.12221675672446015</v>
      </c>
      <c r="P710">
        <v>16.840167446308502</v>
      </c>
      <c r="Q710">
        <v>12.647687369033155</v>
      </c>
      <c r="R710">
        <v>0.39018608730626952</v>
      </c>
      <c r="S710">
        <v>0.12197022007153248</v>
      </c>
      <c r="T710">
        <v>16.840156323589035</v>
      </c>
      <c r="U710">
        <v>1569.6556006680391</v>
      </c>
      <c r="V710">
        <v>9.8905199784137636</v>
      </c>
      <c r="W710">
        <v>1305.3376757476044</v>
      </c>
      <c r="X710">
        <v>7.0995559452718027</v>
      </c>
      <c r="Y710">
        <v>2894.745580597606</v>
      </c>
      <c r="Z710">
        <v>9.933050663568844</v>
      </c>
      <c r="AA710">
        <v>2727.6849093685773</v>
      </c>
      <c r="AB710">
        <v>7.1240183700646051</v>
      </c>
      <c r="AC710">
        <v>2239.8897245775256</v>
      </c>
      <c r="AD710">
        <v>9.9094352769048246</v>
      </c>
      <c r="AE710">
        <v>2028.4557681571871</v>
      </c>
      <c r="AF710">
        <v>7.1104455061074834</v>
      </c>
      <c r="AG710">
        <v>2130.4167955542421</v>
      </c>
      <c r="AH710">
        <v>9.9096384204094665</v>
      </c>
      <c r="AI710">
        <v>1907.4871575622965</v>
      </c>
      <c r="AJ710">
        <v>7.1105623684303225</v>
      </c>
    </row>
    <row r="711" spans="4:36" x14ac:dyDescent="0.45">
      <c r="D711">
        <v>704</v>
      </c>
      <c r="E711">
        <v>13.947607797716971</v>
      </c>
      <c r="F711">
        <v>0.48422175783306404</v>
      </c>
      <c r="G711">
        <v>0.15898190314075408</v>
      </c>
      <c r="H711">
        <v>15.409188541309202</v>
      </c>
      <c r="I711">
        <v>14.198401440556843</v>
      </c>
      <c r="J711">
        <v>0.32208015705366683</v>
      </c>
      <c r="K711">
        <v>0.10539637304757489</v>
      </c>
      <c r="L711">
        <v>15.374122029341924</v>
      </c>
      <c r="M711">
        <v>14.101839200700189</v>
      </c>
      <c r="N711">
        <v>0.38455797097867722</v>
      </c>
      <c r="O711">
        <v>0.12600158801281344</v>
      </c>
      <c r="P711">
        <v>15.387601240308319</v>
      </c>
      <c r="Q711">
        <v>14.082188838651781</v>
      </c>
      <c r="R711">
        <v>0.39726469516732943</v>
      </c>
      <c r="S711">
        <v>0.13019880585446578</v>
      </c>
      <c r="T711">
        <v>15.390347660326428</v>
      </c>
      <c r="U711">
        <v>1617.9003227923226</v>
      </c>
      <c r="V711">
        <v>11.00295040038254</v>
      </c>
      <c r="W711">
        <v>1329.0909403164244</v>
      </c>
      <c r="X711">
        <v>7.7414932861155537</v>
      </c>
      <c r="Y711">
        <v>2950.5072012327528</v>
      </c>
      <c r="Z711">
        <v>11.070287791206736</v>
      </c>
      <c r="AA711">
        <v>2759.86880026888</v>
      </c>
      <c r="AB711">
        <v>7.7784846982105469</v>
      </c>
      <c r="AC711">
        <v>2269.0739152472197</v>
      </c>
      <c r="AD711">
        <v>11.044373416912922</v>
      </c>
      <c r="AE711">
        <v>2042.5271783497133</v>
      </c>
      <c r="AF711">
        <v>7.7642612451388739</v>
      </c>
      <c r="AG711">
        <v>2175.3476595996008</v>
      </c>
      <c r="AH711">
        <v>11.039097976477898</v>
      </c>
      <c r="AI711">
        <v>1931.135303112419</v>
      </c>
      <c r="AJ711">
        <v>7.7613638484349208</v>
      </c>
    </row>
    <row r="712" spans="4:36" x14ac:dyDescent="0.45">
      <c r="D712">
        <v>705</v>
      </c>
      <c r="E712">
        <v>12.085537790080714</v>
      </c>
      <c r="F712">
        <v>0.45216147304672261</v>
      </c>
      <c r="G712">
        <v>0.17167201452383027</v>
      </c>
      <c r="H712">
        <v>17.290628722348721</v>
      </c>
      <c r="I712">
        <v>12.280955394182181</v>
      </c>
      <c r="J712">
        <v>0.30189850719111921</v>
      </c>
      <c r="K712">
        <v>0.11430019380048234</v>
      </c>
      <c r="L712">
        <v>17.302845904826214</v>
      </c>
      <c r="M712">
        <v>12.231124234016935</v>
      </c>
      <c r="N712">
        <v>0.34023441868111265</v>
      </c>
      <c r="O712">
        <v>0.12890620827482269</v>
      </c>
      <c r="P712">
        <v>17.299735139027145</v>
      </c>
      <c r="Q712">
        <v>12.187943836658716</v>
      </c>
      <c r="R712">
        <v>0.37344325364859271</v>
      </c>
      <c r="S712">
        <v>0.14157588994364848</v>
      </c>
      <c r="T712">
        <v>17.297037019749041</v>
      </c>
      <c r="U712">
        <v>1517.1440190604751</v>
      </c>
      <c r="V712">
        <v>9.4881288281279019</v>
      </c>
      <c r="W712">
        <v>1270.7061006206179</v>
      </c>
      <c r="X712">
        <v>6.8557756444042868</v>
      </c>
      <c r="Y712">
        <v>2890.7128902124</v>
      </c>
      <c r="Z712">
        <v>9.516323006948193</v>
      </c>
      <c r="AA712">
        <v>2726.2332691437532</v>
      </c>
      <c r="AB712">
        <v>6.8727129299049112</v>
      </c>
      <c r="AC712">
        <v>2181.5015137739215</v>
      </c>
      <c r="AD712">
        <v>9.5091307711781496</v>
      </c>
      <c r="AE712">
        <v>1992.0951616186433</v>
      </c>
      <c r="AF712">
        <v>6.8683982648991035</v>
      </c>
      <c r="AG712">
        <v>2090.5219467454908</v>
      </c>
      <c r="AH712">
        <v>9.5028999805921917</v>
      </c>
      <c r="AI712">
        <v>1882.0679826041874</v>
      </c>
      <c r="AJ712">
        <v>6.8646570847313253</v>
      </c>
    </row>
    <row r="713" spans="4:36" x14ac:dyDescent="0.45">
      <c r="D713">
        <v>706</v>
      </c>
      <c r="E713">
        <v>11.338936277634403</v>
      </c>
      <c r="F713">
        <v>0.40448698647610348</v>
      </c>
      <c r="G713">
        <v>0.14584889416423286</v>
      </c>
      <c r="H713">
        <v>18.110727841725254</v>
      </c>
      <c r="I713">
        <v>11.521401353601046</v>
      </c>
      <c r="J713">
        <v>0.26282535902104598</v>
      </c>
      <c r="K713">
        <v>9.4507719504657958E-2</v>
      </c>
      <c r="L713">
        <v>18.121265567873252</v>
      </c>
      <c r="M713">
        <v>11.415798253878346</v>
      </c>
      <c r="N713">
        <v>0.34483473620691635</v>
      </c>
      <c r="O713">
        <v>0.12419464919724139</v>
      </c>
      <c r="P713">
        <v>18.115172360717498</v>
      </c>
      <c r="Q713">
        <v>11.408025249510512</v>
      </c>
      <c r="R713">
        <v>0.3508687665446717</v>
      </c>
      <c r="S713">
        <v>0.1263827235830664</v>
      </c>
      <c r="T713">
        <v>18.114723260361753</v>
      </c>
      <c r="U713">
        <v>1475.8232618959478</v>
      </c>
      <c r="V713">
        <v>8.9491913372389273</v>
      </c>
      <c r="W713">
        <v>1250.4780375357302</v>
      </c>
      <c r="X713">
        <v>6.5499061434286459</v>
      </c>
      <c r="Y713">
        <v>2873.4743989044659</v>
      </c>
      <c r="Z713">
        <v>8.9744023371295647</v>
      </c>
      <c r="AA713">
        <v>2720.9728418340756</v>
      </c>
      <c r="AB713">
        <v>6.565297406787538</v>
      </c>
      <c r="AC713">
        <v>2165.9674050208264</v>
      </c>
      <c r="AD713">
        <v>8.9598078375674088</v>
      </c>
      <c r="AE713">
        <v>1985.1692618390102</v>
      </c>
      <c r="AF713">
        <v>6.5563947780480412</v>
      </c>
      <c r="AG713">
        <v>2048.7746704606498</v>
      </c>
      <c r="AH713">
        <v>8.9587339691752703</v>
      </c>
      <c r="AI713">
        <v>1858.5712875603565</v>
      </c>
      <c r="AJ713">
        <v>6.555738931638178</v>
      </c>
    </row>
    <row r="714" spans="4:36" x14ac:dyDescent="0.45">
      <c r="D714">
        <v>707</v>
      </c>
      <c r="E714">
        <v>12.168077392642658</v>
      </c>
      <c r="F714">
        <v>0.41689501356331066</v>
      </c>
      <c r="G714">
        <v>0.14603525357640401</v>
      </c>
      <c r="H714">
        <v>17.268992340217633</v>
      </c>
      <c r="I714">
        <v>12.335427794860539</v>
      </c>
      <c r="J714">
        <v>0.28794726077577593</v>
      </c>
      <c r="K714">
        <v>0.10062368017540774</v>
      </c>
      <c r="L714">
        <v>17.276001264188256</v>
      </c>
      <c r="M714">
        <v>12.270626718880301</v>
      </c>
      <c r="N714">
        <v>0.33789548273956521</v>
      </c>
      <c r="O714">
        <v>0.11818773938272038</v>
      </c>
      <c r="P714">
        <v>17.273290058997407</v>
      </c>
      <c r="Q714">
        <v>12.207308658410501</v>
      </c>
      <c r="R714">
        <v>0.38667946938708125</v>
      </c>
      <c r="S714">
        <v>0.13537435462776101</v>
      </c>
      <c r="T714">
        <v>17.270637517574638</v>
      </c>
      <c r="U714">
        <v>1509.8156085838932</v>
      </c>
      <c r="V714">
        <v>9.6215263381149096</v>
      </c>
      <c r="W714">
        <v>1267.290746329671</v>
      </c>
      <c r="X714">
        <v>6.9496828447108463</v>
      </c>
      <c r="Y714">
        <v>2884.0364012669788</v>
      </c>
      <c r="Z714">
        <v>9.650136728298591</v>
      </c>
      <c r="AA714">
        <v>2721.9462985600703</v>
      </c>
      <c r="AB714">
        <v>6.9666799097843164</v>
      </c>
      <c r="AC714">
        <v>2207.8315682852844</v>
      </c>
      <c r="AD714">
        <v>9.6390563717168831</v>
      </c>
      <c r="AE714">
        <v>2010.7301009031398</v>
      </c>
      <c r="AF714">
        <v>6.960103316134175</v>
      </c>
      <c r="AG714">
        <v>2123.3202036144389</v>
      </c>
      <c r="AH714">
        <v>9.6282319133540462</v>
      </c>
      <c r="AI714">
        <v>1904.0944584106871</v>
      </c>
      <c r="AJ714">
        <v>6.9536711711999351</v>
      </c>
    </row>
    <row r="715" spans="4:36" x14ac:dyDescent="0.45">
      <c r="D715">
        <v>708</v>
      </c>
      <c r="E715">
        <v>13.274444777047869</v>
      </c>
      <c r="F715">
        <v>0.45213558405879106</v>
      </c>
      <c r="G715">
        <v>0.17603832566191624</v>
      </c>
      <c r="H715">
        <v>16.097381313231413</v>
      </c>
      <c r="I715">
        <v>13.503290454608804</v>
      </c>
      <c r="J715">
        <v>0.30005043313493779</v>
      </c>
      <c r="K715">
        <v>0.1164420998368553</v>
      </c>
      <c r="L715">
        <v>16.080217012419389</v>
      </c>
      <c r="M715">
        <v>13.406034559670074</v>
      </c>
      <c r="N715">
        <v>0.36472627404356783</v>
      </c>
      <c r="O715">
        <v>0.14173756406067575</v>
      </c>
      <c r="P715">
        <v>16.087501602225682</v>
      </c>
      <c r="Q715">
        <v>13.369686107973656</v>
      </c>
      <c r="R715">
        <v>0.38888236353785782</v>
      </c>
      <c r="S715">
        <v>0.15120360901328286</v>
      </c>
      <c r="T715">
        <v>16.090227919475204</v>
      </c>
      <c r="U715">
        <v>1620.5681725727427</v>
      </c>
      <c r="V715">
        <v>10.501541418001677</v>
      </c>
      <c r="W715">
        <v>1333.2185289548177</v>
      </c>
      <c r="X715">
        <v>7.457433528668111</v>
      </c>
      <c r="Y715">
        <v>2940.7443024871959</v>
      </c>
      <c r="Z715">
        <v>10.553480077042224</v>
      </c>
      <c r="AA715">
        <v>2754.4465960500829</v>
      </c>
      <c r="AB715">
        <v>7.4865825724973876</v>
      </c>
      <c r="AC715">
        <v>2264.5454709424357</v>
      </c>
      <c r="AD715">
        <v>10.531412806983809</v>
      </c>
      <c r="AE715">
        <v>2040.55720341801</v>
      </c>
      <c r="AF715">
        <v>7.4742086793328832</v>
      </c>
      <c r="AG715">
        <v>2177.277092033602</v>
      </c>
      <c r="AH715">
        <v>10.523163161063124</v>
      </c>
      <c r="AI715">
        <v>1933.0775729270506</v>
      </c>
      <c r="AJ715">
        <v>7.4695787647732956</v>
      </c>
    </row>
    <row r="716" spans="4:36" x14ac:dyDescent="0.45">
      <c r="D716">
        <v>709</v>
      </c>
      <c r="E716">
        <v>12.523887058126634</v>
      </c>
      <c r="F716">
        <v>0.4585375125316275</v>
      </c>
      <c r="G716">
        <v>0.20620545694511322</v>
      </c>
      <c r="H716">
        <v>16.811369972396633</v>
      </c>
      <c r="I716">
        <v>12.749770629619071</v>
      </c>
      <c r="J716">
        <v>0.29060034538679663</v>
      </c>
      <c r="K716">
        <v>0.13025251348049091</v>
      </c>
      <c r="L716">
        <v>16.829376511513654</v>
      </c>
      <c r="M716">
        <v>12.634988575152647</v>
      </c>
      <c r="N716">
        <v>0.37597284412344362</v>
      </c>
      <c r="O716">
        <v>0.16880027378144766</v>
      </c>
      <c r="P716">
        <v>16.820238306942457</v>
      </c>
      <c r="Q716">
        <v>12.615542683619266</v>
      </c>
      <c r="R716">
        <v>0.39042900298292788</v>
      </c>
      <c r="S716">
        <v>0.17534056212684795</v>
      </c>
      <c r="T716">
        <v>16.818687751270957</v>
      </c>
      <c r="U716">
        <v>1560.8358935315462</v>
      </c>
      <c r="V716">
        <v>10.007809300518982</v>
      </c>
      <c r="W716">
        <v>1295.0689484820589</v>
      </c>
      <c r="X716">
        <v>7.1795300465678817</v>
      </c>
      <c r="Y716">
        <v>2900.2816785247705</v>
      </c>
      <c r="Z716">
        <v>10.040465563123131</v>
      </c>
      <c r="AA716">
        <v>2729.6962571890958</v>
      </c>
      <c r="AB716">
        <v>7.1991934461681746</v>
      </c>
      <c r="AC716">
        <v>2245.8886752012177</v>
      </c>
      <c r="AD716">
        <v>10.023864561749996</v>
      </c>
      <c r="AE716">
        <v>2030.4178272332492</v>
      </c>
      <c r="AF716">
        <v>7.1892079902692645</v>
      </c>
      <c r="AG716">
        <v>2146.8631606314329</v>
      </c>
      <c r="AH716">
        <v>10.021053481299367</v>
      </c>
      <c r="AI716">
        <v>1915.7081085515058</v>
      </c>
      <c r="AJ716">
        <v>7.1875149840332426</v>
      </c>
    </row>
    <row r="717" spans="4:36" x14ac:dyDescent="0.45">
      <c r="D717">
        <v>710</v>
      </c>
      <c r="E717">
        <v>13.134077825159203</v>
      </c>
      <c r="F717">
        <v>0.49738376867313083</v>
      </c>
      <c r="G717">
        <v>0.17645794574318943</v>
      </c>
      <c r="H717">
        <v>16.192080460424471</v>
      </c>
      <c r="I717">
        <v>13.401282848202552</v>
      </c>
      <c r="J717">
        <v>0.30508615675742495</v>
      </c>
      <c r="K717">
        <v>0.10784445194201986</v>
      </c>
      <c r="L717">
        <v>16.185786543097997</v>
      </c>
      <c r="M717">
        <v>13.288205449061895</v>
      </c>
      <c r="N717">
        <v>0.38651446805166029</v>
      </c>
      <c r="O717">
        <v>0.1368371611155792</v>
      </c>
      <c r="P717">
        <v>16.188442921770868</v>
      </c>
      <c r="Q717">
        <v>13.268778824388681</v>
      </c>
      <c r="R717">
        <v>0.40049635095670638</v>
      </c>
      <c r="S717">
        <v>0.14182449322478885</v>
      </c>
      <c r="T717">
        <v>16.188900331429807</v>
      </c>
      <c r="U717">
        <v>1589.9379213182206</v>
      </c>
      <c r="V717">
        <v>10.31489824021401</v>
      </c>
      <c r="W717">
        <v>1315.805036023738</v>
      </c>
      <c r="X717">
        <v>7.3347811992617551</v>
      </c>
      <c r="Y717">
        <v>2901.0221863439892</v>
      </c>
      <c r="Z717">
        <v>10.366239679450752</v>
      </c>
      <c r="AA717">
        <v>2730.7283587403022</v>
      </c>
      <c r="AB717">
        <v>7.3639307783340442</v>
      </c>
      <c r="AC717">
        <v>2246.6511312777989</v>
      </c>
      <c r="AD717">
        <v>10.344516789037851</v>
      </c>
      <c r="AE717">
        <v>2032.3272196570797</v>
      </c>
      <c r="AF717">
        <v>7.3516105795421849</v>
      </c>
      <c r="AG717">
        <v>2110.179340348232</v>
      </c>
      <c r="AH717">
        <v>10.34078421072002</v>
      </c>
      <c r="AI717">
        <v>1890.7690767417121</v>
      </c>
      <c r="AJ717">
        <v>7.3494917028866809</v>
      </c>
    </row>
    <row r="718" spans="4:36" x14ac:dyDescent="0.45">
      <c r="D718">
        <v>711</v>
      </c>
      <c r="E718">
        <v>12.370835788551256</v>
      </c>
      <c r="F718">
        <v>0.47054117313575067</v>
      </c>
      <c r="G718">
        <v>0.15464484170387041</v>
      </c>
      <c r="H718">
        <v>17.003978196609129</v>
      </c>
      <c r="I718">
        <v>12.57994020538999</v>
      </c>
      <c r="J718">
        <v>0.31258073252874924</v>
      </c>
      <c r="K718">
        <v>0.10243085712882039</v>
      </c>
      <c r="L718">
        <v>17.005048204952434</v>
      </c>
      <c r="M718">
        <v>12.517872732444628</v>
      </c>
      <c r="N718">
        <v>0.35949219727645715</v>
      </c>
      <c r="O718">
        <v>0.11790521173891907</v>
      </c>
      <c r="P718">
        <v>17.004729858540003</v>
      </c>
      <c r="Q718">
        <v>12.461883602347125</v>
      </c>
      <c r="R718">
        <v>0.40179165210229051</v>
      </c>
      <c r="S718">
        <v>0.13188152396239974</v>
      </c>
      <c r="T718">
        <v>17.004443221588179</v>
      </c>
      <c r="U718">
        <v>1541.7939195317233</v>
      </c>
      <c r="V718">
        <v>9.8786790809832308</v>
      </c>
      <c r="W718">
        <v>1287.0031336549525</v>
      </c>
      <c r="X718">
        <v>7.1096334045021967</v>
      </c>
      <c r="Y718">
        <v>2908.494027868448</v>
      </c>
      <c r="Z718">
        <v>9.9205672958885049</v>
      </c>
      <c r="AA718">
        <v>2738.126862190948</v>
      </c>
      <c r="AB718">
        <v>7.1339567337895549</v>
      </c>
      <c r="AC718">
        <v>2225.0477766144941</v>
      </c>
      <c r="AD718">
        <v>9.9081342791514864</v>
      </c>
      <c r="AE718">
        <v>2021.9308759145499</v>
      </c>
      <c r="AF718">
        <v>7.1267457462657129</v>
      </c>
      <c r="AG718">
        <v>2120.4189184292313</v>
      </c>
      <c r="AH718">
        <v>9.8969185089948333</v>
      </c>
      <c r="AI718">
        <v>1901.3585473738065</v>
      </c>
      <c r="AJ718">
        <v>7.1202346000459942</v>
      </c>
    </row>
    <row r="719" spans="4:36" x14ac:dyDescent="0.45">
      <c r="D719">
        <v>712</v>
      </c>
      <c r="E719">
        <v>12.256384042931145</v>
      </c>
      <c r="F719">
        <v>0.42990047243018376</v>
      </c>
      <c r="G719">
        <v>0.14976403854581552</v>
      </c>
      <c r="H719">
        <v>17.163951446092859</v>
      </c>
      <c r="I719">
        <v>12.459536129170274</v>
      </c>
      <c r="J719">
        <v>0.28076163887461025</v>
      </c>
      <c r="K719">
        <v>9.7521202762535911E-2</v>
      </c>
      <c r="L719">
        <v>17.162181029192592</v>
      </c>
      <c r="M719">
        <v>12.343331711084398</v>
      </c>
      <c r="N719">
        <v>0.36609959041924034</v>
      </c>
      <c r="O719">
        <v>0.12737659964183912</v>
      </c>
      <c r="P719">
        <v>17.163192098854527</v>
      </c>
      <c r="Q719">
        <v>12.328086451010471</v>
      </c>
      <c r="R719">
        <v>0.37728953756833428</v>
      </c>
      <c r="S719">
        <v>0.13129894628954028</v>
      </c>
      <c r="T719">
        <v>17.163325065131655</v>
      </c>
      <c r="U719">
        <v>1507.0149370551419</v>
      </c>
      <c r="V719">
        <v>9.6030422839213188</v>
      </c>
      <c r="W719">
        <v>1265.275882053742</v>
      </c>
      <c r="X719">
        <v>6.9265635550655791</v>
      </c>
      <c r="Y719">
        <v>2883.333022617147</v>
      </c>
      <c r="Z719">
        <v>9.64296120720274</v>
      </c>
      <c r="AA719">
        <v>2722.6627916642988</v>
      </c>
      <c r="AB719">
        <v>6.9497176584771756</v>
      </c>
      <c r="AC719">
        <v>2254.3935300765888</v>
      </c>
      <c r="AD719">
        <v>9.6201282996144126</v>
      </c>
      <c r="AE719">
        <v>2043.1240405010285</v>
      </c>
      <c r="AF719">
        <v>6.9364832390921638</v>
      </c>
      <c r="AG719">
        <v>2085.9174893302807</v>
      </c>
      <c r="AH719">
        <v>9.6171325743542635</v>
      </c>
      <c r="AI719">
        <v>1878.6020554817167</v>
      </c>
      <c r="AJ719">
        <v>6.9347450148723695</v>
      </c>
    </row>
    <row r="720" spans="4:36" x14ac:dyDescent="0.45">
      <c r="D720">
        <v>713</v>
      </c>
      <c r="E720">
        <v>12.846981944439024</v>
      </c>
      <c r="F720">
        <v>0.46909586624263938</v>
      </c>
      <c r="G720">
        <v>0.19473791451963257</v>
      </c>
      <c r="H720">
        <v>16.489184274798685</v>
      </c>
      <c r="I720">
        <v>13.086606527806127</v>
      </c>
      <c r="J720">
        <v>0.29813771168188435</v>
      </c>
      <c r="K720">
        <v>0.12333932049656637</v>
      </c>
      <c r="L720">
        <v>16.491916440015405</v>
      </c>
      <c r="M720">
        <v>13.013327894867313</v>
      </c>
      <c r="N720">
        <v>0.35045424664255459</v>
      </c>
      <c r="O720">
        <v>0.14513545352787852</v>
      </c>
      <c r="P720">
        <v>16.491082404962267</v>
      </c>
      <c r="Q720">
        <v>12.931609368639686</v>
      </c>
      <c r="R720">
        <v>0.40875853717650201</v>
      </c>
      <c r="S720">
        <v>0.16948131510916248</v>
      </c>
      <c r="T720">
        <v>16.490150779074654</v>
      </c>
      <c r="U720">
        <v>1571.1906930542068</v>
      </c>
      <c r="V720">
        <v>10.233193049529598</v>
      </c>
      <c r="W720">
        <v>1298.1062825788676</v>
      </c>
      <c r="X720">
        <v>7.3076321760095988</v>
      </c>
      <c r="Y720">
        <v>2925.5341780990334</v>
      </c>
      <c r="Z720">
        <v>10.277115675335285</v>
      </c>
      <c r="AA720">
        <v>2744.8946017903254</v>
      </c>
      <c r="AB720">
        <v>7.3330855317136168</v>
      </c>
      <c r="AC720">
        <v>2240.0657683504405</v>
      </c>
      <c r="AD720">
        <v>10.263683007253162</v>
      </c>
      <c r="AE720">
        <v>2025.6090813576643</v>
      </c>
      <c r="AF720">
        <v>7.3253113525433688</v>
      </c>
      <c r="AG720">
        <v>2171.5425489943236</v>
      </c>
      <c r="AH720">
        <v>10.248704123867974</v>
      </c>
      <c r="AI720">
        <v>1928.8116986244145</v>
      </c>
      <c r="AJ720">
        <v>7.3166318331503373</v>
      </c>
    </row>
    <row r="721" spans="4:36" x14ac:dyDescent="0.45">
      <c r="D721">
        <v>714</v>
      </c>
      <c r="E721">
        <v>11.791216429536245</v>
      </c>
      <c r="F721">
        <v>0.47405702651373494</v>
      </c>
      <c r="G721">
        <v>0.16347762350327982</v>
      </c>
      <c r="H721">
        <v>17.571248920446749</v>
      </c>
      <c r="I721">
        <v>12.014497621340787</v>
      </c>
      <c r="J721">
        <v>0.28852940684550382</v>
      </c>
      <c r="K721">
        <v>9.9170759927187463E-2</v>
      </c>
      <c r="L721">
        <v>17.597802211886513</v>
      </c>
      <c r="M721">
        <v>11.910364157292717</v>
      </c>
      <c r="N721">
        <v>0.3750809502435965</v>
      </c>
      <c r="O721">
        <v>0.12911738632328879</v>
      </c>
      <c r="P721">
        <v>17.585437506140391</v>
      </c>
      <c r="Q721">
        <v>11.875474791487072</v>
      </c>
      <c r="R721">
        <v>0.40406964260649308</v>
      </c>
      <c r="S721">
        <v>0.13916825747909992</v>
      </c>
      <c r="T721">
        <v>17.581287308427321</v>
      </c>
      <c r="U721">
        <v>1516.8362501423142</v>
      </c>
      <c r="V721">
        <v>9.3668958207005701</v>
      </c>
      <c r="W721">
        <v>1272.4612241130792</v>
      </c>
      <c r="X721">
        <v>6.79744557435302</v>
      </c>
      <c r="Y721">
        <v>2870.9714582967172</v>
      </c>
      <c r="Z721">
        <v>9.3925925763618512</v>
      </c>
      <c r="AA721">
        <v>2715.3469530336065</v>
      </c>
      <c r="AB721">
        <v>6.8136155201963753</v>
      </c>
      <c r="AC721">
        <v>2191.0123694627318</v>
      </c>
      <c r="AD721">
        <v>9.3805978277373985</v>
      </c>
      <c r="AE721">
        <v>1999.1433698738549</v>
      </c>
      <c r="AF721">
        <v>6.8060784400405145</v>
      </c>
      <c r="AG721">
        <v>2106.9999684824652</v>
      </c>
      <c r="AH721">
        <v>9.3765830808949815</v>
      </c>
      <c r="AI721">
        <v>1894.8317294168216</v>
      </c>
      <c r="AJ721">
        <v>6.8035515357472915</v>
      </c>
    </row>
    <row r="722" spans="4:36" x14ac:dyDescent="0.45">
      <c r="D722">
        <v>715</v>
      </c>
      <c r="E722">
        <v>12.346633143467489</v>
      </c>
      <c r="F722">
        <v>0.42684876225877139</v>
      </c>
      <c r="G722">
        <v>0.13970820085005875</v>
      </c>
      <c r="H722">
        <v>17.086809893423681</v>
      </c>
      <c r="I722">
        <v>12.520941241973489</v>
      </c>
      <c r="J722">
        <v>0.29624171072017186</v>
      </c>
      <c r="K722">
        <v>9.6716421230478813E-2</v>
      </c>
      <c r="L722">
        <v>17.086100626075869</v>
      </c>
      <c r="M722">
        <v>12.451296275619988</v>
      </c>
      <c r="N722">
        <v>0.34844612039628364</v>
      </c>
      <c r="O722">
        <v>0.11387416230805675</v>
      </c>
      <c r="P722">
        <v>17.086383441675657</v>
      </c>
      <c r="Q722">
        <v>12.414280607963287</v>
      </c>
      <c r="R722">
        <v>0.37618135599637781</v>
      </c>
      <c r="S722">
        <v>0.12300397109547752</v>
      </c>
      <c r="T722">
        <v>17.086534064944857</v>
      </c>
      <c r="U722">
        <v>1530.7844760177732</v>
      </c>
      <c r="V722">
        <v>9.7566642026888566</v>
      </c>
      <c r="W722">
        <v>1283.7261212138872</v>
      </c>
      <c r="X722">
        <v>7.0282571043788096</v>
      </c>
      <c r="Y722">
        <v>2859.1650167021721</v>
      </c>
      <c r="Z722">
        <v>9.7900656485819333</v>
      </c>
      <c r="AA722">
        <v>2704.7099747721772</v>
      </c>
      <c r="AB722">
        <v>7.047624115201832</v>
      </c>
      <c r="AC722">
        <v>2188.4154641782457</v>
      </c>
      <c r="AD722">
        <v>9.7767206198657419</v>
      </c>
      <c r="AE722">
        <v>1997.4597165124464</v>
      </c>
      <c r="AF722">
        <v>7.0398928385322384</v>
      </c>
      <c r="AG722">
        <v>2100.7834837405253</v>
      </c>
      <c r="AH722">
        <v>9.7696275607357901</v>
      </c>
      <c r="AI722">
        <v>1890.3511044552645</v>
      </c>
      <c r="AJ722">
        <v>7.0357800471606842</v>
      </c>
    </row>
    <row r="723" spans="4:36" x14ac:dyDescent="0.45">
      <c r="D723">
        <v>716</v>
      </c>
      <c r="E723">
        <v>14.67158128995364</v>
      </c>
      <c r="F723">
        <v>0.51257059834202079</v>
      </c>
      <c r="G723">
        <v>0.15017396942990627</v>
      </c>
      <c r="H723">
        <v>14.665674142274433</v>
      </c>
      <c r="I723">
        <v>14.962873911299233</v>
      </c>
      <c r="J723">
        <v>0.32309093315419452</v>
      </c>
      <c r="K723">
        <v>9.4329059414506949E-2</v>
      </c>
      <c r="L723">
        <v>14.619706096132067</v>
      </c>
      <c r="M723">
        <v>14.848226824665453</v>
      </c>
      <c r="N723">
        <v>0.39773020843877699</v>
      </c>
      <c r="O723">
        <v>0.1162798866810382</v>
      </c>
      <c r="P723">
        <v>14.637763080214732</v>
      </c>
      <c r="Q723">
        <v>14.780419382088555</v>
      </c>
      <c r="R723">
        <v>0.44183640530149026</v>
      </c>
      <c r="S723">
        <v>0.12928003272245642</v>
      </c>
      <c r="T723">
        <v>14.648464179887483</v>
      </c>
      <c r="U723">
        <v>1657.5050174825792</v>
      </c>
      <c r="V723">
        <v>11.509694450641346</v>
      </c>
      <c r="W723">
        <v>1350.860962870217</v>
      </c>
      <c r="X723">
        <v>8.020436098292496</v>
      </c>
      <c r="Y723">
        <v>2961.4350412543708</v>
      </c>
      <c r="Z723">
        <v>11.591836613724093</v>
      </c>
      <c r="AA723">
        <v>2764.7539992143693</v>
      </c>
      <c r="AB723">
        <v>8.0649313659755233</v>
      </c>
      <c r="AC723">
        <v>2290.3909192637129</v>
      </c>
      <c r="AD723">
        <v>11.559526659350686</v>
      </c>
      <c r="AE723">
        <v>2053.3749815017177</v>
      </c>
      <c r="AF723">
        <v>8.047445140234883</v>
      </c>
      <c r="AG723">
        <v>2214.1607916245839</v>
      </c>
      <c r="AH723">
        <v>11.540405172675868</v>
      </c>
      <c r="AI723">
        <v>1951.883871238337</v>
      </c>
      <c r="AJ723">
        <v>8.037087036735997</v>
      </c>
    </row>
    <row r="724" spans="4:36" x14ac:dyDescent="0.45">
      <c r="D724">
        <v>717</v>
      </c>
      <c r="E724">
        <v>11.123920098334011</v>
      </c>
      <c r="F724">
        <v>0.39779231474899951</v>
      </c>
      <c r="G724">
        <v>0.13831510845276118</v>
      </c>
      <c r="H724">
        <v>18.339972478464226</v>
      </c>
      <c r="I724">
        <v>11.278932000239363</v>
      </c>
      <c r="J724">
        <v>0.26938814901910429</v>
      </c>
      <c r="K724">
        <v>9.3437043903959405E-2</v>
      </c>
      <c r="L724">
        <v>18.358242806837577</v>
      </c>
      <c r="M724">
        <v>11.187499269055978</v>
      </c>
      <c r="N724">
        <v>0.34513900841481238</v>
      </c>
      <c r="O724">
        <v>0.1198852951823831</v>
      </c>
      <c r="P724">
        <v>18.347476427346841</v>
      </c>
      <c r="Q724">
        <v>11.165728709054623</v>
      </c>
      <c r="R724">
        <v>0.36317034121373004</v>
      </c>
      <c r="S724">
        <v>0.12619238578287462</v>
      </c>
      <c r="T724">
        <v>18.344908563948778</v>
      </c>
      <c r="U724">
        <v>1470.0260471926772</v>
      </c>
      <c r="V724">
        <v>8.8085888081477162</v>
      </c>
      <c r="W724">
        <v>1246.2930192502001</v>
      </c>
      <c r="X724">
        <v>6.4713915837937428</v>
      </c>
      <c r="Y724">
        <v>2847.9013915627211</v>
      </c>
      <c r="Z724">
        <v>8.8270378521460771</v>
      </c>
      <c r="AA724">
        <v>2701.3088741294123</v>
      </c>
      <c r="AB724">
        <v>6.4831909449802581</v>
      </c>
      <c r="AC724">
        <v>2170.3465755383222</v>
      </c>
      <c r="AD724">
        <v>8.8161502909555107</v>
      </c>
      <c r="AE724">
        <v>1987.8700650166018</v>
      </c>
      <c r="AF724">
        <v>6.4762335152665775</v>
      </c>
      <c r="AG724">
        <v>2064.0495180146158</v>
      </c>
      <c r="AH724">
        <v>8.8135602462284695</v>
      </c>
      <c r="AI724">
        <v>1868.3267214971977</v>
      </c>
      <c r="AJ724">
        <v>6.4745759272772601</v>
      </c>
    </row>
    <row r="725" spans="4:36" x14ac:dyDescent="0.45">
      <c r="D725">
        <v>718</v>
      </c>
      <c r="E725">
        <v>11.812089322664432</v>
      </c>
      <c r="F725">
        <v>0.41557793640367058</v>
      </c>
      <c r="G725">
        <v>0.14288090964230588</v>
      </c>
      <c r="H725">
        <v>17.629451831289582</v>
      </c>
      <c r="I725">
        <v>12.013345764603047</v>
      </c>
      <c r="J725">
        <v>0.26805481774553708</v>
      </c>
      <c r="K725">
        <v>9.1893952823473235E-2</v>
      </c>
      <c r="L725">
        <v>17.626705464827936</v>
      </c>
      <c r="M725">
        <v>11.931967028678717</v>
      </c>
      <c r="N725">
        <v>0.32773542910756343</v>
      </c>
      <c r="O725">
        <v>0.11248472082619838</v>
      </c>
      <c r="P725">
        <v>17.627812821387529</v>
      </c>
      <c r="Q725">
        <v>11.895242323854719</v>
      </c>
      <c r="R725">
        <v>0.35465526408005887</v>
      </c>
      <c r="S725">
        <v>0.12178846797734003</v>
      </c>
      <c r="T725">
        <v>17.628313944087871</v>
      </c>
      <c r="U725">
        <v>1471.5126263288751</v>
      </c>
      <c r="V725">
        <v>9.31301711595545</v>
      </c>
      <c r="W725">
        <v>1244.4405873941917</v>
      </c>
      <c r="X725">
        <v>6.7656580577810628</v>
      </c>
      <c r="Y725">
        <v>2878.4999915764265</v>
      </c>
      <c r="Z725">
        <v>9.3516368800579777</v>
      </c>
      <c r="AA725">
        <v>2722.7624407597636</v>
      </c>
      <c r="AB725">
        <v>6.7881869203941596</v>
      </c>
      <c r="AC725">
        <v>2162.3941938187118</v>
      </c>
      <c r="AD725">
        <v>9.3360222872213612</v>
      </c>
      <c r="AE725">
        <v>1982.3743136672088</v>
      </c>
      <c r="AF725">
        <v>6.7790873545115033</v>
      </c>
      <c r="AG725">
        <v>2082.745976491844</v>
      </c>
      <c r="AH725">
        <v>9.3289750744551228</v>
      </c>
      <c r="AI725">
        <v>1881.4380194974428</v>
      </c>
      <c r="AJ725">
        <v>6.7749764371851979</v>
      </c>
    </row>
    <row r="726" spans="4:36" x14ac:dyDescent="0.45">
      <c r="D726">
        <v>719</v>
      </c>
      <c r="E726">
        <v>13.487280111806916</v>
      </c>
      <c r="F726">
        <v>0.50892804959688742</v>
      </c>
      <c r="G726">
        <v>0.17710024167765745</v>
      </c>
      <c r="H726">
        <v>15.826691596918527</v>
      </c>
      <c r="I726">
        <v>13.737592766879626</v>
      </c>
      <c r="J726">
        <v>0.33172949228367926</v>
      </c>
      <c r="K726">
        <v>0.11503785827821761</v>
      </c>
      <c r="L726">
        <v>15.815639882558479</v>
      </c>
      <c r="M726">
        <v>13.675642086652838</v>
      </c>
      <c r="N726">
        <v>0.3756192955046756</v>
      </c>
      <c r="O726">
        <v>0.13036924364020211</v>
      </c>
      <c r="P726">
        <v>15.818369374202291</v>
      </c>
      <c r="Q726">
        <v>13.606027625134065</v>
      </c>
      <c r="R726">
        <v>0.42491174701234613</v>
      </c>
      <c r="S726">
        <v>0.14761962251178021</v>
      </c>
      <c r="T726">
        <v>15.8214410053418</v>
      </c>
      <c r="U726">
        <v>1657.4607485632441</v>
      </c>
      <c r="V726">
        <v>10.631112923814793</v>
      </c>
      <c r="W726">
        <v>1354.186683516511</v>
      </c>
      <c r="X726">
        <v>7.5215458770729713</v>
      </c>
      <c r="Y726">
        <v>2959.6505022051556</v>
      </c>
      <c r="Z726">
        <v>10.684120945856074</v>
      </c>
      <c r="AA726">
        <v>2764.8515758933672</v>
      </c>
      <c r="AB726">
        <v>7.5515064660693447</v>
      </c>
      <c r="AC726">
        <v>2267.7783830305038</v>
      </c>
      <c r="AD726">
        <v>10.671004487017965</v>
      </c>
      <c r="AE726">
        <v>2041.3779154366703</v>
      </c>
      <c r="AF726">
        <v>7.544102282467593</v>
      </c>
      <c r="AG726">
        <v>2192.5638283513331</v>
      </c>
      <c r="AH726">
        <v>10.65626333651012</v>
      </c>
      <c r="AI726">
        <v>1940.4011889409439</v>
      </c>
      <c r="AJ726">
        <v>7.5357736647974001</v>
      </c>
    </row>
    <row r="727" spans="4:36" x14ac:dyDescent="0.45">
      <c r="D727">
        <v>720</v>
      </c>
      <c r="E727">
        <v>13.079131590772821</v>
      </c>
      <c r="F727">
        <v>0.46584893961398061</v>
      </c>
      <c r="G727">
        <v>0.17706110497933211</v>
      </c>
      <c r="H727">
        <v>16.277958364633875</v>
      </c>
      <c r="I727">
        <v>13.284570223718349</v>
      </c>
      <c r="J727">
        <v>0.3202278825937277</v>
      </c>
      <c r="K727">
        <v>0.12135271036877465</v>
      </c>
      <c r="L727">
        <v>16.273849183319161</v>
      </c>
      <c r="M727">
        <v>13.230675807777212</v>
      </c>
      <c r="N727">
        <v>0.35845435695104683</v>
      </c>
      <c r="O727">
        <v>0.13594410551028874</v>
      </c>
      <c r="P727">
        <v>16.274925729761438</v>
      </c>
      <c r="Q727">
        <v>13.144473016830231</v>
      </c>
      <c r="R727">
        <v>0.41956052038728275</v>
      </c>
      <c r="S727">
        <v>0.15931668535564933</v>
      </c>
      <c r="T727">
        <v>16.276649777426822</v>
      </c>
      <c r="U727">
        <v>1567.262759900836</v>
      </c>
      <c r="V727">
        <v>10.372830749602036</v>
      </c>
      <c r="W727">
        <v>1298.2916248828822</v>
      </c>
      <c r="X727">
        <v>7.3845960920431599</v>
      </c>
      <c r="Y727">
        <v>2940.0150656369578</v>
      </c>
      <c r="Z727">
        <v>10.414302741761803</v>
      </c>
      <c r="AA727">
        <v>2755.2196089916483</v>
      </c>
      <c r="AB727">
        <v>7.4083742085164026</v>
      </c>
      <c r="AC727">
        <v>2227.3822820850119</v>
      </c>
      <c r="AD727">
        <v>10.403423538379675</v>
      </c>
      <c r="AE727">
        <v>2017.8880271602052</v>
      </c>
      <c r="AF727">
        <v>7.4021435351461218</v>
      </c>
      <c r="AG727">
        <v>2149.1926814100862</v>
      </c>
      <c r="AH727">
        <v>10.386021801294032</v>
      </c>
      <c r="AI727">
        <v>1914.3417581682395</v>
      </c>
      <c r="AJ727">
        <v>7.3921670573315685</v>
      </c>
    </row>
    <row r="728" spans="4:36" x14ac:dyDescent="0.45">
      <c r="D728">
        <v>721</v>
      </c>
      <c r="E728">
        <v>11.654902516364658</v>
      </c>
      <c r="F728">
        <v>0.40332393649094905</v>
      </c>
      <c r="G728">
        <v>0.13686705392712079</v>
      </c>
      <c r="H728">
        <v>17.804906493217288</v>
      </c>
      <c r="I728">
        <v>11.848529021324723</v>
      </c>
      <c r="J728">
        <v>0.25826763737014746</v>
      </c>
      <c r="K728">
        <v>8.738377951942311E-2</v>
      </c>
      <c r="L728">
        <v>17.805819561785714</v>
      </c>
      <c r="M728">
        <v>11.735215284749851</v>
      </c>
      <c r="N728">
        <v>0.34318332929905954</v>
      </c>
      <c r="O728">
        <v>0.11631519179088168</v>
      </c>
      <c r="P728">
        <v>17.805286194160207</v>
      </c>
      <c r="Q728">
        <v>11.711614013903036</v>
      </c>
      <c r="R728">
        <v>0.3608605293138093</v>
      </c>
      <c r="S728">
        <v>0.12235069962499656</v>
      </c>
      <c r="T728">
        <v>17.805174757158159</v>
      </c>
      <c r="U728">
        <v>1449.7143521307194</v>
      </c>
      <c r="V728">
        <v>9.2256895433746475</v>
      </c>
      <c r="W728">
        <v>1233.6532920375828</v>
      </c>
      <c r="X728">
        <v>6.7207152917570712</v>
      </c>
      <c r="Y728">
        <v>2834.6658702774325</v>
      </c>
      <c r="Z728">
        <v>9.2619865814882889</v>
      </c>
      <c r="AA728">
        <v>2694.2703143137196</v>
      </c>
      <c r="AB728">
        <v>6.7421045738937666</v>
      </c>
      <c r="AC728">
        <v>2164.2578861885499</v>
      </c>
      <c r="AD728">
        <v>9.240744719920043</v>
      </c>
      <c r="AE728">
        <v>1986.104228642107</v>
      </c>
      <c r="AF728">
        <v>6.7295961357260898</v>
      </c>
      <c r="AG728">
        <v>2087.4920461312095</v>
      </c>
      <c r="AH728">
        <v>9.2363204742576439</v>
      </c>
      <c r="AI728">
        <v>1888.2670331273653</v>
      </c>
      <c r="AJ728">
        <v>6.7269876752951356</v>
      </c>
    </row>
    <row r="729" spans="4:36" x14ac:dyDescent="0.45">
      <c r="D729">
        <v>722</v>
      </c>
      <c r="E729">
        <v>11.725929787683217</v>
      </c>
      <c r="F729">
        <v>0.4258491394350592</v>
      </c>
      <c r="G729">
        <v>0.16063336876218789</v>
      </c>
      <c r="H729">
        <v>17.687587704119515</v>
      </c>
      <c r="I729">
        <v>11.893450664365536</v>
      </c>
      <c r="J729">
        <v>0.29522080821408181</v>
      </c>
      <c r="K729">
        <v>0.11107811497092082</v>
      </c>
      <c r="L729">
        <v>17.700250412449449</v>
      </c>
      <c r="M729">
        <v>11.840333565130111</v>
      </c>
      <c r="N729">
        <v>0.33665578766879889</v>
      </c>
      <c r="O729">
        <v>0.12676943831443091</v>
      </c>
      <c r="P729">
        <v>17.696241208886679</v>
      </c>
      <c r="Q729">
        <v>11.821034719779451</v>
      </c>
      <c r="R729">
        <v>0.35170661815082577</v>
      </c>
      <c r="S729">
        <v>0.13247544450407384</v>
      </c>
      <c r="T729">
        <v>17.694783217565657</v>
      </c>
      <c r="U729">
        <v>1536.0477179701479</v>
      </c>
      <c r="V729">
        <v>9.2616593987145652</v>
      </c>
      <c r="W729">
        <v>1288.5695058880808</v>
      </c>
      <c r="X729">
        <v>6.7332249411688831</v>
      </c>
      <c r="Y729">
        <v>2879.4908856087768</v>
      </c>
      <c r="Z729">
        <v>9.2849981740179768</v>
      </c>
      <c r="AA729">
        <v>2719.8081468726064</v>
      </c>
      <c r="AB729">
        <v>6.7474899763047267</v>
      </c>
      <c r="AC729">
        <v>2174.5507236011249</v>
      </c>
      <c r="AD729">
        <v>9.2775946387192736</v>
      </c>
      <c r="AE729">
        <v>1988.7523496044491</v>
      </c>
      <c r="AF729">
        <v>6.7429702669224518</v>
      </c>
      <c r="AG729">
        <v>2087.5126706978663</v>
      </c>
      <c r="AH729">
        <v>9.2749055028637954</v>
      </c>
      <c r="AI729">
        <v>1883.2703235786914</v>
      </c>
      <c r="AJ729">
        <v>6.7413273562831808</v>
      </c>
    </row>
    <row r="730" spans="4:36" x14ac:dyDescent="0.45">
      <c r="D730">
        <v>723</v>
      </c>
      <c r="E730">
        <v>12.313784399146449</v>
      </c>
      <c r="F730">
        <v>0.43428901742508857</v>
      </c>
      <c r="G730">
        <v>0.15800147443436272</v>
      </c>
      <c r="H730">
        <v>17.093925108994103</v>
      </c>
      <c r="I730">
        <v>12.495926173673162</v>
      </c>
      <c r="J730">
        <v>0.29498371139191537</v>
      </c>
      <c r="K730">
        <v>0.10704268446884622</v>
      </c>
      <c r="L730">
        <v>17.102047430466072</v>
      </c>
      <c r="M730">
        <v>12.403272869005342</v>
      </c>
      <c r="N730">
        <v>0.36586855678414326</v>
      </c>
      <c r="O730">
        <v>0.13293942425900795</v>
      </c>
      <c r="P730">
        <v>17.097919149951508</v>
      </c>
      <c r="Q730">
        <v>12.365121378455299</v>
      </c>
      <c r="R730">
        <v>0.39504335890365166</v>
      </c>
      <c r="S730">
        <v>0.14361806894793511</v>
      </c>
      <c r="T730">
        <v>17.096217193693114</v>
      </c>
      <c r="U730">
        <v>1508.8967552923052</v>
      </c>
      <c r="V730">
        <v>9.695982305198779</v>
      </c>
      <c r="W730">
        <v>1265.1996212574504</v>
      </c>
      <c r="X730">
        <v>6.9847208252183117</v>
      </c>
      <c r="Y730">
        <v>2891.2143527212202</v>
      </c>
      <c r="Z730">
        <v>9.7248732160927478</v>
      </c>
      <c r="AA730">
        <v>2726.5626113420549</v>
      </c>
      <c r="AB730">
        <v>7.0017828437635554</v>
      </c>
      <c r="AC730">
        <v>2239.0285827751736</v>
      </c>
      <c r="AD730">
        <v>9.7101750450320345</v>
      </c>
      <c r="AE730">
        <v>2031.080783649249</v>
      </c>
      <c r="AF730">
        <v>6.9931093716305579</v>
      </c>
      <c r="AG730">
        <v>2089.0627422273024</v>
      </c>
      <c r="AH730">
        <v>9.704123867544272</v>
      </c>
      <c r="AI730">
        <v>1878.5675856872788</v>
      </c>
      <c r="AJ730">
        <v>6.9895344662212358</v>
      </c>
    </row>
    <row r="731" spans="4:36" x14ac:dyDescent="0.45">
      <c r="D731">
        <v>724</v>
      </c>
      <c r="E731">
        <v>11.467908094582024</v>
      </c>
      <c r="F731">
        <v>0.42194460768407366</v>
      </c>
      <c r="G731">
        <v>0.15493340081074486</v>
      </c>
      <c r="H731">
        <v>17.955213896923173</v>
      </c>
      <c r="I731">
        <v>11.672169682534941</v>
      </c>
      <c r="J731">
        <v>0.26578122146403521</v>
      </c>
      <c r="K731">
        <v>9.7282278271068001E-2</v>
      </c>
      <c r="L731">
        <v>17.964766817729942</v>
      </c>
      <c r="M731">
        <v>11.576622703927701</v>
      </c>
      <c r="N731">
        <v>0.33885802346920935</v>
      </c>
      <c r="O731">
        <v>0.12421395916356255</v>
      </c>
      <c r="P731">
        <v>17.96030531343953</v>
      </c>
      <c r="Q731">
        <v>11.56618915502254</v>
      </c>
      <c r="R731">
        <v>0.34683483750950156</v>
      </c>
      <c r="S731">
        <v>0.12715862857211921</v>
      </c>
      <c r="T731">
        <v>17.959817378895838</v>
      </c>
      <c r="U731">
        <v>1504.6428589178504</v>
      </c>
      <c r="V731">
        <v>9.0090303832017131</v>
      </c>
      <c r="W731">
        <v>1268.2402531132598</v>
      </c>
      <c r="X731">
        <v>6.5782352412546619</v>
      </c>
      <c r="Y731">
        <v>2863.2951313686681</v>
      </c>
      <c r="Z731">
        <v>9.0407954741123042</v>
      </c>
      <c r="AA731">
        <v>2711.9285423706237</v>
      </c>
      <c r="AB731">
        <v>6.5975145563446365</v>
      </c>
      <c r="AC731">
        <v>2170.0835433792395</v>
      </c>
      <c r="AD731">
        <v>9.0259322142287814</v>
      </c>
      <c r="AE731">
        <v>1987.0734848873462</v>
      </c>
      <c r="AF731">
        <v>6.5885037017908976</v>
      </c>
      <c r="AG731">
        <v>2064.4802810105321</v>
      </c>
      <c r="AH731">
        <v>9.0243096595167049</v>
      </c>
      <c r="AI731">
        <v>1868.7492962097506</v>
      </c>
      <c r="AJ731">
        <v>6.5875189512476569</v>
      </c>
    </row>
    <row r="732" spans="4:36" x14ac:dyDescent="0.45">
      <c r="D732">
        <v>725</v>
      </c>
      <c r="E732">
        <v>11.690938856228758</v>
      </c>
      <c r="F732">
        <v>0.3979714568147632</v>
      </c>
      <c r="G732">
        <v>0.13888360431833971</v>
      </c>
      <c r="H732">
        <v>17.772206082638146</v>
      </c>
      <c r="I732">
        <v>11.856833647889193</v>
      </c>
      <c r="J732">
        <v>0.27344304178171336</v>
      </c>
      <c r="K732">
        <v>9.5187283995231825E-2</v>
      </c>
      <c r="L732">
        <v>17.774536026333855</v>
      </c>
      <c r="M732">
        <v>11.787631701606188</v>
      </c>
      <c r="N732">
        <v>0.32540834945674868</v>
      </c>
      <c r="O732">
        <v>0.11339468627310988</v>
      </c>
      <c r="P732">
        <v>17.773565262663954</v>
      </c>
      <c r="Q732">
        <v>11.755602137303788</v>
      </c>
      <c r="R732">
        <v>0.34945085134780757</v>
      </c>
      <c r="S732">
        <v>0.12183161825218135</v>
      </c>
      <c r="T732">
        <v>17.77311539309623</v>
      </c>
      <c r="U732">
        <v>1453.5372518038625</v>
      </c>
      <c r="V732">
        <v>9.2224034792353571</v>
      </c>
      <c r="W732">
        <v>1234.7235932771111</v>
      </c>
      <c r="X732">
        <v>6.7142674591482159</v>
      </c>
      <c r="Y732">
        <v>2847.4344446020468</v>
      </c>
      <c r="Z732">
        <v>9.2524400278876016</v>
      </c>
      <c r="AA732">
        <v>2701.1147255416681</v>
      </c>
      <c r="AB732">
        <v>6.7320814247048997</v>
      </c>
      <c r="AC732">
        <v>2170.6055208906068</v>
      </c>
      <c r="AD732">
        <v>9.2399095679028722</v>
      </c>
      <c r="AE732">
        <v>1990.2778427671176</v>
      </c>
      <c r="AF732">
        <v>6.7246565342923752</v>
      </c>
      <c r="AG732">
        <v>2069.1617939266066</v>
      </c>
      <c r="AH732">
        <v>9.2341103835466214</v>
      </c>
      <c r="AI732">
        <v>1873.7812181788399</v>
      </c>
      <c r="AJ732">
        <v>6.7212170416875328</v>
      </c>
    </row>
    <row r="733" spans="4:36" x14ac:dyDescent="0.45">
      <c r="D733">
        <v>726</v>
      </c>
      <c r="E733">
        <v>12.582665562868863</v>
      </c>
      <c r="F733">
        <v>0.49212264556347429</v>
      </c>
      <c r="G733">
        <v>0.1581928042739566</v>
      </c>
      <c r="H733">
        <v>16.767018987293721</v>
      </c>
      <c r="I733">
        <v>12.80794775700112</v>
      </c>
      <c r="J733">
        <v>0.31788931855014801</v>
      </c>
      <c r="K733">
        <v>0.10186192264066639</v>
      </c>
      <c r="L733">
        <v>16.77230100180806</v>
      </c>
      <c r="M733">
        <v>12.730247321747161</v>
      </c>
      <c r="N733">
        <v>0.37801188427754251</v>
      </c>
      <c r="O733">
        <v>0.12125905856882696</v>
      </c>
      <c r="P733">
        <v>16.770481735406467</v>
      </c>
      <c r="Q733">
        <v>12.67241194173333</v>
      </c>
      <c r="R733">
        <v>0.42274361579110337</v>
      </c>
      <c r="S733">
        <v>0.13571856982578917</v>
      </c>
      <c r="T733">
        <v>16.769125872649795</v>
      </c>
      <c r="U733">
        <v>1538.7719001712267</v>
      </c>
      <c r="V733">
        <v>9.9052081335681645</v>
      </c>
      <c r="W733">
        <v>1285.2851117916716</v>
      </c>
      <c r="X733">
        <v>7.102118545904812</v>
      </c>
      <c r="Y733">
        <v>2882.1474461361886</v>
      </c>
      <c r="Z733">
        <v>9.9442403237131121</v>
      </c>
      <c r="AA733">
        <v>2720.0582203325262</v>
      </c>
      <c r="AB733">
        <v>7.1248929670273675</v>
      </c>
      <c r="AC733">
        <v>2199.7881262952528</v>
      </c>
      <c r="AD733">
        <v>9.9307767965977618</v>
      </c>
      <c r="AE733">
        <v>2003.8680736788142</v>
      </c>
      <c r="AF733">
        <v>7.1170467511122766</v>
      </c>
      <c r="AG733">
        <v>2094.1931094747702</v>
      </c>
      <c r="AH733">
        <v>9.920756214161182</v>
      </c>
      <c r="AI733">
        <v>1882.6541150436487</v>
      </c>
      <c r="AJ733">
        <v>7.1112005636895859</v>
      </c>
    </row>
    <row r="734" spans="4:36" x14ac:dyDescent="0.45">
      <c r="D734">
        <v>727</v>
      </c>
      <c r="E734">
        <v>11.749302774056574</v>
      </c>
      <c r="F734">
        <v>0.40043005874300003</v>
      </c>
      <c r="G734">
        <v>0.16041355529679427</v>
      </c>
      <c r="H734">
        <v>17.689853611903626</v>
      </c>
      <c r="I734">
        <v>11.949744462027432</v>
      </c>
      <c r="J734">
        <v>0.25662070689980582</v>
      </c>
      <c r="K734">
        <v>0.10248370580343857</v>
      </c>
      <c r="L734">
        <v>17.691151125269339</v>
      </c>
      <c r="M734">
        <v>11.872660342297433</v>
      </c>
      <c r="N734">
        <v>0.31195533315291724</v>
      </c>
      <c r="O734">
        <v>0.1247306057198462</v>
      </c>
      <c r="P734">
        <v>17.690653718829804</v>
      </c>
      <c r="Q734">
        <v>11.848223061886348</v>
      </c>
      <c r="R734">
        <v>0.32948985399028419</v>
      </c>
      <c r="S734">
        <v>0.13179146381261819</v>
      </c>
      <c r="T734">
        <v>17.690495620310767</v>
      </c>
      <c r="U734">
        <v>1499.4075752027325</v>
      </c>
      <c r="V734">
        <v>9.3053184180379969</v>
      </c>
      <c r="W734">
        <v>1263.8100537707121</v>
      </c>
      <c r="X734">
        <v>6.7664272536599093</v>
      </c>
      <c r="Y734">
        <v>2877.9387086998768</v>
      </c>
      <c r="Z734">
        <v>9.3429932593009486</v>
      </c>
      <c r="AA734">
        <v>2721.8583932955225</v>
      </c>
      <c r="AB734">
        <v>6.7887236700557425</v>
      </c>
      <c r="AC734">
        <v>2183.3287048548641</v>
      </c>
      <c r="AD734">
        <v>9.3285032973997435</v>
      </c>
      <c r="AE734">
        <v>1997.1763969745141</v>
      </c>
      <c r="AF734">
        <v>6.7801580010583349</v>
      </c>
      <c r="AG734">
        <v>2065.7942146959022</v>
      </c>
      <c r="AH734">
        <v>9.3239100135063211</v>
      </c>
      <c r="AI734">
        <v>1869.1850718222825</v>
      </c>
      <c r="AJ734">
        <v>6.7774401958638384</v>
      </c>
    </row>
    <row r="735" spans="4:36" x14ac:dyDescent="0.45">
      <c r="D735">
        <v>728</v>
      </c>
      <c r="E735">
        <v>11.811589774519307</v>
      </c>
      <c r="F735">
        <v>0.43360106855504971</v>
      </c>
      <c r="G735">
        <v>0.15237285127492117</v>
      </c>
      <c r="H735">
        <v>17.602436305650723</v>
      </c>
      <c r="I735">
        <v>12.031668274672716</v>
      </c>
      <c r="J735">
        <v>0.27390791025406686</v>
      </c>
      <c r="K735">
        <v>9.593576342187761E-2</v>
      </c>
      <c r="L735">
        <v>17.598488051651348</v>
      </c>
      <c r="M735">
        <v>11.979042308602594</v>
      </c>
      <c r="N735">
        <v>0.31212114703810889</v>
      </c>
      <c r="O735">
        <v>0.10940618409964477</v>
      </c>
      <c r="P735">
        <v>17.599430360259646</v>
      </c>
      <c r="Q735">
        <v>11.915673489593223</v>
      </c>
      <c r="R735">
        <v>0.35811278587454598</v>
      </c>
      <c r="S735">
        <v>0.12564719096945995</v>
      </c>
      <c r="T735">
        <v>17.60056653356277</v>
      </c>
      <c r="U735">
        <v>1493.0496279694858</v>
      </c>
      <c r="V735">
        <v>9.3081428092290803</v>
      </c>
      <c r="W735">
        <v>1260.3898456784773</v>
      </c>
      <c r="X735">
        <v>6.7597353382646288</v>
      </c>
      <c r="Y735">
        <v>2859.0154875759931</v>
      </c>
      <c r="Z735">
        <v>9.3503735091210611</v>
      </c>
      <c r="AA735">
        <v>2709.0545025981532</v>
      </c>
      <c r="AB735">
        <v>6.7843674479276688</v>
      </c>
      <c r="AC735">
        <v>2172.2525367803219</v>
      </c>
      <c r="AD735">
        <v>9.3402762441378666</v>
      </c>
      <c r="AE735">
        <v>1991.8344238228162</v>
      </c>
      <c r="AF735">
        <v>6.7784863344392301</v>
      </c>
      <c r="AG735">
        <v>2086.885451176001</v>
      </c>
      <c r="AH735">
        <v>9.328116856378962</v>
      </c>
      <c r="AI735">
        <v>1885.4493598960021</v>
      </c>
      <c r="AJ735">
        <v>6.771397200827896</v>
      </c>
    </row>
    <row r="736" spans="4:36" x14ac:dyDescent="0.45">
      <c r="D736">
        <v>729</v>
      </c>
      <c r="E736">
        <v>13.083566404787343</v>
      </c>
      <c r="F736">
        <v>0.45841890801087604</v>
      </c>
      <c r="G736">
        <v>0.16111386855026463</v>
      </c>
      <c r="H736">
        <v>16.296900818651512</v>
      </c>
      <c r="I736">
        <v>13.30768237860328</v>
      </c>
      <c r="J736">
        <v>0.30439968724757327</v>
      </c>
      <c r="K736">
        <v>0.10665112959719605</v>
      </c>
      <c r="L736">
        <v>16.281266804551954</v>
      </c>
      <c r="M736">
        <v>13.238648378058716</v>
      </c>
      <c r="N736">
        <v>0.35187569943126651</v>
      </c>
      <c r="O736">
        <v>0.12340253362844476</v>
      </c>
      <c r="P736">
        <v>16.286073388881587</v>
      </c>
      <c r="Q736">
        <v>13.183493916581883</v>
      </c>
      <c r="R736">
        <v>0.38978495081731601</v>
      </c>
      <c r="S736">
        <v>0.13680172136944047</v>
      </c>
      <c r="T736">
        <v>16.289919411231359</v>
      </c>
      <c r="U736">
        <v>1557.8365082175792</v>
      </c>
      <c r="V736">
        <v>10.235813628827424</v>
      </c>
      <c r="W736">
        <v>1295.0446173583694</v>
      </c>
      <c r="X736">
        <v>7.2894342805146142</v>
      </c>
      <c r="Y736">
        <v>2893.2634792386975</v>
      </c>
      <c r="Z736">
        <v>10.285485906178673</v>
      </c>
      <c r="AA736">
        <v>2724.9431072533921</v>
      </c>
      <c r="AB736">
        <v>7.3173785507620694</v>
      </c>
      <c r="AC736">
        <v>2244.7593891607266</v>
      </c>
      <c r="AD736">
        <v>10.270190522405754</v>
      </c>
      <c r="AE736">
        <v>2033.046477967305</v>
      </c>
      <c r="AF736">
        <v>7.3087826882751026</v>
      </c>
      <c r="AG736">
        <v>2125.734467519585</v>
      </c>
      <c r="AH736">
        <v>10.257967100352138</v>
      </c>
      <c r="AI736">
        <v>1902.2928997789909</v>
      </c>
      <c r="AJ736">
        <v>7.3019075673902147</v>
      </c>
    </row>
    <row r="737" spans="4:36" x14ac:dyDescent="0.45">
      <c r="D737">
        <v>730</v>
      </c>
      <c r="E737">
        <v>13.280377547288781</v>
      </c>
      <c r="F737">
        <v>0.44306678915996256</v>
      </c>
      <c r="G737">
        <v>0.16688131781706803</v>
      </c>
      <c r="H737">
        <v>16.109674345734213</v>
      </c>
      <c r="I737">
        <v>13.503055464097145</v>
      </c>
      <c r="J737">
        <v>0.29327493678726851</v>
      </c>
      <c r="K737">
        <v>0.11011954436327462</v>
      </c>
      <c r="L737">
        <v>16.09355005475232</v>
      </c>
      <c r="M737">
        <v>13.418909262498531</v>
      </c>
      <c r="N737">
        <v>0.34991631483130931</v>
      </c>
      <c r="O737">
        <v>0.13154102528023195</v>
      </c>
      <c r="P737">
        <v>16.09963339738993</v>
      </c>
      <c r="Q737">
        <v>13.373689524497932</v>
      </c>
      <c r="R737">
        <v>0.38033630179385292</v>
      </c>
      <c r="S737">
        <v>0.14306674143577383</v>
      </c>
      <c r="T737">
        <v>16.102907432272442</v>
      </c>
      <c r="U737">
        <v>1548.633843065774</v>
      </c>
      <c r="V737">
        <v>10.480100714499741</v>
      </c>
      <c r="W737">
        <v>1287.709538035069</v>
      </c>
      <c r="X737">
        <v>7.4435870587796016</v>
      </c>
      <c r="Y737">
        <v>2901.0820176881057</v>
      </c>
      <c r="Z737">
        <v>10.531265436640528</v>
      </c>
      <c r="AA737">
        <v>2730.1542529281187</v>
      </c>
      <c r="AB737">
        <v>7.4722538148697364</v>
      </c>
      <c r="AC737">
        <v>2224.6094263295849</v>
      </c>
      <c r="AD737">
        <v>10.51193707462215</v>
      </c>
      <c r="AE737">
        <v>2017.3550835883102</v>
      </c>
      <c r="AF737">
        <v>7.4614341897632901</v>
      </c>
      <c r="AG737">
        <v>2117.8780801862322</v>
      </c>
      <c r="AH737">
        <v>10.501547152434741</v>
      </c>
      <c r="AI737">
        <v>1895.8072561290187</v>
      </c>
      <c r="AJ737">
        <v>7.4556132536480257</v>
      </c>
    </row>
    <row r="738" spans="4:36" x14ac:dyDescent="0.45">
      <c r="D738">
        <v>731</v>
      </c>
      <c r="E738">
        <v>12.756716588194728</v>
      </c>
      <c r="F738">
        <v>0.48645096260218418</v>
      </c>
      <c r="G738">
        <v>0.14343561032640909</v>
      </c>
      <c r="H738">
        <v>16.613396838876668</v>
      </c>
      <c r="I738">
        <v>12.995218965808601</v>
      </c>
      <c r="J738">
        <v>0.31023804352701762</v>
      </c>
      <c r="K738">
        <v>9.1177775013839002E-2</v>
      </c>
      <c r="L738">
        <v>16.603365215650559</v>
      </c>
      <c r="M738">
        <v>12.90086392132697</v>
      </c>
      <c r="N738">
        <v>0.37998865996457476</v>
      </c>
      <c r="O738">
        <v>0.11182150283444306</v>
      </c>
      <c r="P738">
        <v>16.607325915874032</v>
      </c>
      <c r="Q738">
        <v>12.86536572051414</v>
      </c>
      <c r="R738">
        <v>0.40621730214190804</v>
      </c>
      <c r="S738">
        <v>0.11959828388985236</v>
      </c>
      <c r="T738">
        <v>16.608818693454086</v>
      </c>
      <c r="U738">
        <v>1555.7398579816163</v>
      </c>
      <c r="V738">
        <v>10.049669570229693</v>
      </c>
      <c r="W738">
        <v>1293.8037279442283</v>
      </c>
      <c r="X738">
        <v>7.1902551225878542</v>
      </c>
      <c r="Y738">
        <v>2918.3393431011918</v>
      </c>
      <c r="Z738">
        <v>10.100079035097918</v>
      </c>
      <c r="AA738">
        <v>2743.9506375886567</v>
      </c>
      <c r="AB738">
        <v>7.2189413515858698</v>
      </c>
      <c r="AC738">
        <v>2215.9678796554008</v>
      </c>
      <c r="AD738">
        <v>10.080140770739273</v>
      </c>
      <c r="AE738">
        <v>2012.1943508468376</v>
      </c>
      <c r="AF738">
        <v>7.2076069183492715</v>
      </c>
      <c r="AG738">
        <v>2154.3390124009766</v>
      </c>
      <c r="AH738">
        <v>10.07263810313972</v>
      </c>
      <c r="AI738">
        <v>1923.6091502439856</v>
      </c>
      <c r="AJ738">
        <v>7.2033378752723696</v>
      </c>
    </row>
    <row r="739" spans="4:36" x14ac:dyDescent="0.45">
      <c r="D739">
        <v>732</v>
      </c>
      <c r="E739">
        <v>12.022877819163018</v>
      </c>
      <c r="F739">
        <v>0.47616760980347994</v>
      </c>
      <c r="G739">
        <v>0.17839028287596623</v>
      </c>
      <c r="H739">
        <v>17.32256428815753</v>
      </c>
      <c r="I739">
        <v>12.254559673854232</v>
      </c>
      <c r="J739">
        <v>0.29130230265089441</v>
      </c>
      <c r="K739">
        <v>0.10874600949827783</v>
      </c>
      <c r="L739">
        <v>17.345392013996594</v>
      </c>
      <c r="M739">
        <v>12.164075973758639</v>
      </c>
      <c r="N739">
        <v>0.36353196171470781</v>
      </c>
      <c r="O739">
        <v>0.13589745700715836</v>
      </c>
      <c r="P739">
        <v>17.336494607519501</v>
      </c>
      <c r="Q739">
        <v>12.128086491456974</v>
      </c>
      <c r="R739">
        <v>0.39225025375834566</v>
      </c>
      <c r="S739">
        <v>0.14671393421556461</v>
      </c>
      <c r="T739">
        <v>17.332949320569114</v>
      </c>
      <c r="U739">
        <v>1521.3985455981551</v>
      </c>
      <c r="V739">
        <v>9.6059417160711487</v>
      </c>
      <c r="W739">
        <v>1271.6496263598719</v>
      </c>
      <c r="X739">
        <v>6.9440327355839822</v>
      </c>
      <c r="Y739">
        <v>2876.9219158336168</v>
      </c>
      <c r="Z739">
        <v>9.6358578220366979</v>
      </c>
      <c r="AA739">
        <v>2716.9637992388962</v>
      </c>
      <c r="AB739">
        <v>6.9626490151322677</v>
      </c>
      <c r="AC739">
        <v>2204.8071157170175</v>
      </c>
      <c r="AD739">
        <v>9.6241631967450871</v>
      </c>
      <c r="AE739">
        <v>2007.0026179094916</v>
      </c>
      <c r="AF739">
        <v>6.9553833172018571</v>
      </c>
      <c r="AG739">
        <v>2114.2050848227159</v>
      </c>
      <c r="AH739">
        <v>9.619515559348411</v>
      </c>
      <c r="AI739">
        <v>1897.614617017043</v>
      </c>
      <c r="AJ739">
        <v>6.9524916761434215</v>
      </c>
    </row>
    <row r="740" spans="4:36" x14ac:dyDescent="0.45">
      <c r="D740">
        <v>733</v>
      </c>
      <c r="E740">
        <v>11.669341367255567</v>
      </c>
      <c r="F740">
        <v>0.45376717301596065</v>
      </c>
      <c r="G740">
        <v>0.17702323904893885</v>
      </c>
      <c r="H740">
        <v>17.69986822067953</v>
      </c>
      <c r="I740">
        <v>11.885241447297831</v>
      </c>
      <c r="J740">
        <v>0.28183981733042546</v>
      </c>
      <c r="K740">
        <v>0.10956986078729838</v>
      </c>
      <c r="L740">
        <v>17.723348874584445</v>
      </c>
      <c r="M740">
        <v>11.77855729575003</v>
      </c>
      <c r="N740">
        <v>0.36682369765930456</v>
      </c>
      <c r="O740">
        <v>0.14285277931162726</v>
      </c>
      <c r="P740">
        <v>17.711766227279039</v>
      </c>
      <c r="Q740">
        <v>11.751486513069919</v>
      </c>
      <c r="R740">
        <v>0.38837934567396165</v>
      </c>
      <c r="S740">
        <v>0.15131317071927441</v>
      </c>
      <c r="T740">
        <v>17.708820970536824</v>
      </c>
      <c r="U740">
        <v>1523.9057987049423</v>
      </c>
      <c r="V740">
        <v>9.2314802939779348</v>
      </c>
      <c r="W740">
        <v>1277.3453025905978</v>
      </c>
      <c r="X740">
        <v>6.713259646463162</v>
      </c>
      <c r="Y740">
        <v>2872.8238572578603</v>
      </c>
      <c r="Z740">
        <v>9.2594164483147452</v>
      </c>
      <c r="AA740">
        <v>2716.0689967553976</v>
      </c>
      <c r="AB740">
        <v>6.7308487216730821</v>
      </c>
      <c r="AC740">
        <v>2204.212482962288</v>
      </c>
      <c r="AD740">
        <v>9.2456010148787104</v>
      </c>
      <c r="AE740">
        <v>2007.8976378315895</v>
      </c>
      <c r="AF740">
        <v>6.7221618958676448</v>
      </c>
      <c r="AG740">
        <v>2105.8063787972974</v>
      </c>
      <c r="AH740">
        <v>9.2420988442485541</v>
      </c>
      <c r="AI740">
        <v>1893.5871597962425</v>
      </c>
      <c r="AJ740">
        <v>6.7199562223872533</v>
      </c>
    </row>
    <row r="741" spans="4:36" x14ac:dyDescent="0.45">
      <c r="D741">
        <v>734</v>
      </c>
      <c r="E741">
        <v>13.700642993343273</v>
      </c>
      <c r="F741">
        <v>0.53946734714847933</v>
      </c>
      <c r="G741">
        <v>0.20352854140250004</v>
      </c>
      <c r="H741">
        <v>15.556361118105752</v>
      </c>
      <c r="I741">
        <v>13.992541342852764</v>
      </c>
      <c r="J741">
        <v>0.32113375989978826</v>
      </c>
      <c r="K741">
        <v>0.12067281924754546</v>
      </c>
      <c r="L741">
        <v>15.565652077999905</v>
      </c>
      <c r="M741">
        <v>13.823938779295156</v>
      </c>
      <c r="N741">
        <v>0.44729897781397854</v>
      </c>
      <c r="O741">
        <v>0.16846925641315391</v>
      </c>
      <c r="P741">
        <v>15.560292986477696</v>
      </c>
      <c r="Q741">
        <v>13.825773309488918</v>
      </c>
      <c r="R741">
        <v>0.4459269937365572</v>
      </c>
      <c r="S741">
        <v>0.1679482902087325</v>
      </c>
      <c r="T741">
        <v>15.560351406565788</v>
      </c>
      <c r="U741">
        <v>1645.3823738702013</v>
      </c>
      <c r="V741">
        <v>10.793984176128648</v>
      </c>
      <c r="W741">
        <v>1342.682372880791</v>
      </c>
      <c r="X741">
        <v>7.6070139725452046</v>
      </c>
      <c r="Y741">
        <v>2953.9653096681377</v>
      </c>
      <c r="Z741">
        <v>10.840056463487937</v>
      </c>
      <c r="AA741">
        <v>2761.326405648028</v>
      </c>
      <c r="AB741">
        <v>7.6335690242973566</v>
      </c>
      <c r="AC741">
        <v>2314.072739303238</v>
      </c>
      <c r="AD741">
        <v>10.813441177644741</v>
      </c>
      <c r="AE741">
        <v>2068.3097526051606</v>
      </c>
      <c r="AF741">
        <v>7.6182424476254562</v>
      </c>
      <c r="AG741">
        <v>2175.5121544190392</v>
      </c>
      <c r="AH741">
        <v>10.813730720340949</v>
      </c>
      <c r="AI741">
        <v>1926.236517405345</v>
      </c>
      <c r="AJ741">
        <v>7.6184093858574986</v>
      </c>
    </row>
    <row r="742" spans="4:36" x14ac:dyDescent="0.45">
      <c r="D742">
        <v>735</v>
      </c>
      <c r="E742">
        <v>12.865116826557529</v>
      </c>
      <c r="F742">
        <v>0.47231954548038285</v>
      </c>
      <c r="G742">
        <v>0.1733743048830963</v>
      </c>
      <c r="H742">
        <v>16.489189323078989</v>
      </c>
      <c r="I742">
        <v>13.103305114330942</v>
      </c>
      <c r="J742">
        <v>0.30004060669165417</v>
      </c>
      <c r="K742">
        <v>0.10974498567911367</v>
      </c>
      <c r="L742">
        <v>16.486909293298304</v>
      </c>
      <c r="M742">
        <v>13.004086191031538</v>
      </c>
      <c r="N742">
        <v>0.37184478667348503</v>
      </c>
      <c r="O742">
        <v>0.13620927086821857</v>
      </c>
      <c r="P742">
        <v>16.487859751426765</v>
      </c>
      <c r="Q742">
        <v>12.971290300989295</v>
      </c>
      <c r="R742">
        <v>0.39556640242273033</v>
      </c>
      <c r="S742">
        <v>0.1449695967805896</v>
      </c>
      <c r="T742">
        <v>16.488173699807394</v>
      </c>
      <c r="U742">
        <v>1534.2471974221448</v>
      </c>
      <c r="V742">
        <v>10.107028957090272</v>
      </c>
      <c r="W742">
        <v>1277.6942663738371</v>
      </c>
      <c r="X742">
        <v>7.2178141207731663</v>
      </c>
      <c r="Y742">
        <v>2887.8054208473009</v>
      </c>
      <c r="Z742">
        <v>10.15436877765965</v>
      </c>
      <c r="AA742">
        <v>2721.7376145240146</v>
      </c>
      <c r="AB742">
        <v>7.2451427136461302</v>
      </c>
      <c r="AC742">
        <v>2231.0657266807407</v>
      </c>
      <c r="AD742">
        <v>10.134648657771821</v>
      </c>
      <c r="AE742">
        <v>2022.3386893144636</v>
      </c>
      <c r="AF742">
        <v>7.2337708059192298</v>
      </c>
      <c r="AG742">
        <v>2136.0145975734845</v>
      </c>
      <c r="AH742">
        <v>10.128130480842115</v>
      </c>
      <c r="AI742">
        <v>1909.791611433408</v>
      </c>
      <c r="AJ742">
        <v>7.2300081778084255</v>
      </c>
    </row>
    <row r="743" spans="4:36" x14ac:dyDescent="0.45">
      <c r="D743">
        <v>736</v>
      </c>
      <c r="E743">
        <v>12.125963589242843</v>
      </c>
      <c r="F743">
        <v>0.46462837928734196</v>
      </c>
      <c r="G743">
        <v>0.1800728511169557</v>
      </c>
      <c r="H743">
        <v>17.229335180352862</v>
      </c>
      <c r="I743">
        <v>12.333618874406387</v>
      </c>
      <c r="J743">
        <v>0.30295623125997473</v>
      </c>
      <c r="K743">
        <v>0.11704686779484566</v>
      </c>
      <c r="L743">
        <v>17.246378026538782</v>
      </c>
      <c r="M743">
        <v>12.251227466104776</v>
      </c>
      <c r="N743">
        <v>0.36712913815684878</v>
      </c>
      <c r="O743">
        <v>0.14201595017094365</v>
      </c>
      <c r="P743">
        <v>17.239627445567432</v>
      </c>
      <c r="Q743">
        <v>12.206269985406413</v>
      </c>
      <c r="R743">
        <v>0.40213105049511078</v>
      </c>
      <c r="S743">
        <v>0.1556613877680596</v>
      </c>
      <c r="T743">
        <v>17.235937576330418</v>
      </c>
      <c r="U743">
        <v>1537.592965497196</v>
      </c>
      <c r="V743">
        <v>9.5461323970044578</v>
      </c>
      <c r="W743">
        <v>1285.4125080353056</v>
      </c>
      <c r="X743">
        <v>6.890840618663006</v>
      </c>
      <c r="Y743">
        <v>2895.4019563557804</v>
      </c>
      <c r="Z743">
        <v>9.5740072821767672</v>
      </c>
      <c r="AA743">
        <v>2730.0798724633205</v>
      </c>
      <c r="AB743">
        <v>6.9079160805204785</v>
      </c>
      <c r="AC743">
        <v>2209.3264755891046</v>
      </c>
      <c r="AD743">
        <v>9.562940478013747</v>
      </c>
      <c r="AE743">
        <v>2010.803450874306</v>
      </c>
      <c r="AF743">
        <v>6.9011457544572181</v>
      </c>
      <c r="AG743">
        <v>2110.7498474520066</v>
      </c>
      <c r="AH743">
        <v>9.556905600601052</v>
      </c>
      <c r="AI743">
        <v>1895.1976757289426</v>
      </c>
      <c r="AJ743">
        <v>6.8974488757655346</v>
      </c>
    </row>
    <row r="744" spans="4:36" x14ac:dyDescent="0.45">
      <c r="D744">
        <v>737</v>
      </c>
      <c r="E744">
        <v>13.514203369945479</v>
      </c>
      <c r="F744">
        <v>0.4892748587130466</v>
      </c>
      <c r="G744">
        <v>0.16468990404923792</v>
      </c>
      <c r="H744">
        <v>15.831831867292218</v>
      </c>
      <c r="I744">
        <v>13.767222759579376</v>
      </c>
      <c r="J744">
        <v>0.3107797589415805</v>
      </c>
      <c r="K744">
        <v>0.10425971344581722</v>
      </c>
      <c r="L744">
        <v>15.817737768033217</v>
      </c>
      <c r="M744">
        <v>13.664127838476805</v>
      </c>
      <c r="N744">
        <v>0.38355486652870063</v>
      </c>
      <c r="O744">
        <v>0.12884853819638614</v>
      </c>
      <c r="P744">
        <v>15.82346875679811</v>
      </c>
      <c r="Q744">
        <v>13.601187796233805</v>
      </c>
      <c r="R744">
        <v>0.42795365037719069</v>
      </c>
      <c r="S744">
        <v>0.14388306179750054</v>
      </c>
      <c r="T744">
        <v>15.826975491591508</v>
      </c>
      <c r="U744">
        <v>1597.6743810645653</v>
      </c>
      <c r="V744">
        <v>10.625858226426924</v>
      </c>
      <c r="W744">
        <v>1318.0080598836016</v>
      </c>
      <c r="X744">
        <v>7.5184885775796904</v>
      </c>
      <c r="Y744">
        <v>2902.281596267479</v>
      </c>
      <c r="Z744">
        <v>10.681179031267725</v>
      </c>
      <c r="AA744">
        <v>2728.868795707393</v>
      </c>
      <c r="AB744">
        <v>7.5494083456914041</v>
      </c>
      <c r="AC744">
        <v>2273.0734281626801</v>
      </c>
      <c r="AD744">
        <v>10.658645351159493</v>
      </c>
      <c r="AE744">
        <v>2048.3299866604661</v>
      </c>
      <c r="AF744">
        <v>7.5368257677254</v>
      </c>
      <c r="AG744">
        <v>2159.9387826692368</v>
      </c>
      <c r="AH744">
        <v>10.644883519933073</v>
      </c>
      <c r="AI744">
        <v>1921.219771524268</v>
      </c>
      <c r="AJ744">
        <v>7.5291332900588017</v>
      </c>
    </row>
    <row r="745" spans="4:36" x14ac:dyDescent="0.45">
      <c r="D745">
        <v>738</v>
      </c>
      <c r="E745">
        <v>13.232367894700188</v>
      </c>
      <c r="F745">
        <v>0.48877956244925386</v>
      </c>
      <c r="G745">
        <v>0.17803957983024252</v>
      </c>
      <c r="H745">
        <v>16.100812963020321</v>
      </c>
      <c r="I745">
        <v>13.466716162493057</v>
      </c>
      <c r="J745">
        <v>0.321995507928234</v>
      </c>
      <c r="K745">
        <v>0.11691240549233521</v>
      </c>
      <c r="L745">
        <v>16.094375924086375</v>
      </c>
      <c r="M745">
        <v>13.397977625948503</v>
      </c>
      <c r="N745">
        <v>0.37094988826934244</v>
      </c>
      <c r="O745">
        <v>0.1348132007650055</v>
      </c>
      <c r="P745">
        <v>16.096259285017165</v>
      </c>
      <c r="Q745">
        <v>13.347066608022137</v>
      </c>
      <c r="R745">
        <v>0.40718989610645701</v>
      </c>
      <c r="S745">
        <v>0.14808678096304195</v>
      </c>
      <c r="T745">
        <v>16.097656714908361</v>
      </c>
      <c r="U745">
        <v>1589.1708970566769</v>
      </c>
      <c r="V745">
        <v>10.560174823293014</v>
      </c>
      <c r="W745">
        <v>1311.9722664623785</v>
      </c>
      <c r="X745">
        <v>7.5013421720994256</v>
      </c>
      <c r="Y745">
        <v>2917.4235552934633</v>
      </c>
      <c r="Z745">
        <v>10.611456417503632</v>
      </c>
      <c r="AA745">
        <v>2738.7728481933054</v>
      </c>
      <c r="AB745">
        <v>7.5303972930056062</v>
      </c>
      <c r="AC745">
        <v>2261.1463636508433</v>
      </c>
      <c r="AD745">
        <v>10.596417752083571</v>
      </c>
      <c r="AE745">
        <v>2040.8008984620067</v>
      </c>
      <c r="AF745">
        <v>7.5218863448086992</v>
      </c>
      <c r="AG745">
        <v>2151.5293720859677</v>
      </c>
      <c r="AH745">
        <v>10.585277729478086</v>
      </c>
      <c r="AI745">
        <v>1916.6809453043368</v>
      </c>
      <c r="AJ745">
        <v>7.5155766435563152</v>
      </c>
    </row>
    <row r="746" spans="4:36" x14ac:dyDescent="0.45">
      <c r="D746">
        <v>739</v>
      </c>
      <c r="E746">
        <v>13.639753696156168</v>
      </c>
      <c r="F746">
        <v>0.47874675970648151</v>
      </c>
      <c r="G746">
        <v>0.18650434455932621</v>
      </c>
      <c r="H746">
        <v>15.694995199578013</v>
      </c>
      <c r="I746">
        <v>13.860687334435154</v>
      </c>
      <c r="J746">
        <v>0.32636054592480118</v>
      </c>
      <c r="K746">
        <v>0.12676043068114914</v>
      </c>
      <c r="L746">
        <v>15.686191688958909</v>
      </c>
      <c r="M746">
        <v>13.775165765409188</v>
      </c>
      <c r="N746">
        <v>0.38538338135172701</v>
      </c>
      <c r="O746">
        <v>0.1498576844368725</v>
      </c>
      <c r="P746">
        <v>15.689593168802203</v>
      </c>
      <c r="Q746">
        <v>13.712241145909253</v>
      </c>
      <c r="R746">
        <v>0.42878241385900401</v>
      </c>
      <c r="S746">
        <v>0.16687549212581057</v>
      </c>
      <c r="T746">
        <v>15.692100948105921</v>
      </c>
      <c r="U746">
        <v>1620.2401282037558</v>
      </c>
      <c r="V746">
        <v>10.643452264429314</v>
      </c>
      <c r="W746">
        <v>1332.6052025820113</v>
      </c>
      <c r="X746">
        <v>7.5146173516005241</v>
      </c>
      <c r="Y746">
        <v>2923.3255075896832</v>
      </c>
      <c r="Z746">
        <v>10.685284643330395</v>
      </c>
      <c r="AA746">
        <v>2741.2877877217124</v>
      </c>
      <c r="AB746">
        <v>7.5380497853983384</v>
      </c>
      <c r="AC746">
        <v>2259.4254343109001</v>
      </c>
      <c r="AD746">
        <v>10.669095590780476</v>
      </c>
      <c r="AE746">
        <v>2036.7829132673291</v>
      </c>
      <c r="AF746">
        <v>7.5289892592544687</v>
      </c>
      <c r="AG746">
        <v>2183.6934782209491</v>
      </c>
      <c r="AH746">
        <v>10.657180945970735</v>
      </c>
      <c r="AI746">
        <v>1936.1519904774204</v>
      </c>
      <c r="AJ746">
        <v>7.5223147322864587</v>
      </c>
    </row>
    <row r="747" spans="4:36" x14ac:dyDescent="0.45">
      <c r="D747">
        <v>740</v>
      </c>
      <c r="E747">
        <v>12.036432241833756</v>
      </c>
      <c r="F747">
        <v>0.42164353324540838</v>
      </c>
      <c r="G747">
        <v>0.17367383402338429</v>
      </c>
      <c r="H747">
        <v>17.368250390897447</v>
      </c>
      <c r="I747">
        <v>12.247052685556207</v>
      </c>
      <c r="J747">
        <v>0.27329269009802898</v>
      </c>
      <c r="K747">
        <v>0.11218703386948593</v>
      </c>
      <c r="L747">
        <v>17.367467590476277</v>
      </c>
      <c r="M747">
        <v>12.158859522839295</v>
      </c>
      <c r="N747">
        <v>0.33544608689197036</v>
      </c>
      <c r="O747">
        <v>0.13789615216889384</v>
      </c>
      <c r="P747">
        <v>17.367798238099844</v>
      </c>
      <c r="Q747">
        <v>12.136366289160543</v>
      </c>
      <c r="R747">
        <v>0.35129010202268807</v>
      </c>
      <c r="S747">
        <v>0.14446169751227211</v>
      </c>
      <c r="T747">
        <v>17.367881911304512</v>
      </c>
      <c r="U747">
        <v>1548.1334474257092</v>
      </c>
      <c r="V747">
        <v>9.4798007277029175</v>
      </c>
      <c r="W747">
        <v>1289.9468458923973</v>
      </c>
      <c r="X747">
        <v>6.8578018358516699</v>
      </c>
      <c r="Y747">
        <v>2893.8443535356278</v>
      </c>
      <c r="Z747">
        <v>9.5173159158097391</v>
      </c>
      <c r="AA747">
        <v>2727.0663815395692</v>
      </c>
      <c r="AB747">
        <v>6.8799048970289798</v>
      </c>
      <c r="AC747">
        <v>2221.9838907207459</v>
      </c>
      <c r="AD747">
        <v>9.5016053276048211</v>
      </c>
      <c r="AE747">
        <v>2017.3121308314576</v>
      </c>
      <c r="AF747">
        <v>6.8706587093588904</v>
      </c>
      <c r="AG747">
        <v>2141.5503256160287</v>
      </c>
      <c r="AH747">
        <v>9.4975988414695554</v>
      </c>
      <c r="AI747">
        <v>1916.1610862512337</v>
      </c>
      <c r="AJ747">
        <v>6.8682984413966244</v>
      </c>
    </row>
    <row r="748" spans="4:36" x14ac:dyDescent="0.45">
      <c r="D748">
        <v>741</v>
      </c>
      <c r="E748">
        <v>12.256420201196324</v>
      </c>
      <c r="F748">
        <v>0.4851854408285895</v>
      </c>
      <c r="G748">
        <v>0.19119667269982082</v>
      </c>
      <c r="H748">
        <v>17.067197685275264</v>
      </c>
      <c r="I748">
        <v>12.467051907657952</v>
      </c>
      <c r="J748">
        <v>0.31929012359393638</v>
      </c>
      <c r="K748">
        <v>0.12544438436498978</v>
      </c>
      <c r="L748">
        <v>17.088213584383126</v>
      </c>
      <c r="M748">
        <v>12.400043435129195</v>
      </c>
      <c r="N748">
        <v>0.37209004855597927</v>
      </c>
      <c r="O748">
        <v>0.14632804446179457</v>
      </c>
      <c r="P748">
        <v>17.08153847185303</v>
      </c>
      <c r="Q748">
        <v>12.368065818913795</v>
      </c>
      <c r="R748">
        <v>0.3972794053780998</v>
      </c>
      <c r="S748">
        <v>0.15630528795479648</v>
      </c>
      <c r="T748">
        <v>17.078349487753311</v>
      </c>
      <c r="U748">
        <v>1539.7560306725745</v>
      </c>
      <c r="V748">
        <v>9.6262217517759208</v>
      </c>
      <c r="W748">
        <v>1281.9353466339612</v>
      </c>
      <c r="X748">
        <v>6.9331429974917356</v>
      </c>
      <c r="Y748">
        <v>2913.6020316631284</v>
      </c>
      <c r="Z748">
        <v>9.6552775520120875</v>
      </c>
      <c r="AA748">
        <v>2739.7254411172294</v>
      </c>
      <c r="AB748">
        <v>6.9509127077601205</v>
      </c>
      <c r="AC748">
        <v>2250.9245552549596</v>
      </c>
      <c r="AD748">
        <v>9.64602762851748</v>
      </c>
      <c r="AE748">
        <v>2037.8894094817722</v>
      </c>
      <c r="AF748">
        <v>6.9452640385469344</v>
      </c>
      <c r="AG748">
        <v>2134.8535493625131</v>
      </c>
      <c r="AH748">
        <v>9.641615490594365</v>
      </c>
      <c r="AI748">
        <v>1910.1642317577848</v>
      </c>
      <c r="AJ748">
        <v>6.9425669473570633</v>
      </c>
    </row>
    <row r="749" spans="4:36" x14ac:dyDescent="0.45">
      <c r="D749">
        <v>742</v>
      </c>
      <c r="E749">
        <v>12.784122320839053</v>
      </c>
      <c r="F749">
        <v>0.47886180364443787</v>
      </c>
      <c r="G749">
        <v>0.18929126657752626</v>
      </c>
      <c r="H749">
        <v>16.547724608938978</v>
      </c>
      <c r="I749">
        <v>13.0316377684783</v>
      </c>
      <c r="J749">
        <v>0.29892658178104509</v>
      </c>
      <c r="K749">
        <v>0.11773021418587717</v>
      </c>
      <c r="L749">
        <v>16.551705435554787</v>
      </c>
      <c r="M749">
        <v>12.947359071087046</v>
      </c>
      <c r="N749">
        <v>0.36023416959305782</v>
      </c>
      <c r="O749">
        <v>0.14205259775757725</v>
      </c>
      <c r="P749">
        <v>16.550354161562325</v>
      </c>
      <c r="Q749">
        <v>12.888682428143017</v>
      </c>
      <c r="R749">
        <v>0.40289361188399864</v>
      </c>
      <c r="S749">
        <v>0.15901312910471183</v>
      </c>
      <c r="T749">
        <v>16.549410830868265</v>
      </c>
      <c r="U749">
        <v>1579.6895338937277</v>
      </c>
      <c r="V749">
        <v>10.188220519980858</v>
      </c>
      <c r="W749">
        <v>1307.731000557957</v>
      </c>
      <c r="X749">
        <v>7.2821203682772646</v>
      </c>
      <c r="Y749">
        <v>2892.6375750956627</v>
      </c>
      <c r="Z749">
        <v>10.234556144120123</v>
      </c>
      <c r="AA749">
        <v>2723.9334937334702</v>
      </c>
      <c r="AB749">
        <v>7.3091439329589454</v>
      </c>
      <c r="AC749">
        <v>2226.0561847959334</v>
      </c>
      <c r="AD749">
        <v>10.218776328617139</v>
      </c>
      <c r="AE749">
        <v>2017.9664641641</v>
      </c>
      <c r="AF749">
        <v>7.2999531360312293</v>
      </c>
      <c r="AG749">
        <v>2149.3279009053281</v>
      </c>
      <c r="AH749">
        <v>10.207791656001021</v>
      </c>
      <c r="AI749">
        <v>1917.0056603503458</v>
      </c>
      <c r="AJ749">
        <v>7.2935478171653436</v>
      </c>
    </row>
    <row r="750" spans="4:36" x14ac:dyDescent="0.45">
      <c r="D750">
        <v>743</v>
      </c>
      <c r="E750">
        <v>12.452654748240136</v>
      </c>
      <c r="F750">
        <v>0.4898330510626176</v>
      </c>
      <c r="G750">
        <v>0.15520472928432766</v>
      </c>
      <c r="H750">
        <v>16.902307471412918</v>
      </c>
      <c r="I750">
        <v>12.665821173450036</v>
      </c>
      <c r="J750">
        <v>0.32107325858370805</v>
      </c>
      <c r="K750">
        <v>0.10143385090478695</v>
      </c>
      <c r="L750">
        <v>16.911671717061473</v>
      </c>
      <c r="M750">
        <v>12.574364959391737</v>
      </c>
      <c r="N750">
        <v>0.39350388198525221</v>
      </c>
      <c r="O750">
        <v>0.12447266109686282</v>
      </c>
      <c r="P750">
        <v>16.90765849752615</v>
      </c>
      <c r="Q750">
        <v>12.551165074898972</v>
      </c>
      <c r="R750">
        <v>0.41187120048588372</v>
      </c>
      <c r="S750">
        <v>0.13032431326703425</v>
      </c>
      <c r="T750">
        <v>16.906639411348099</v>
      </c>
      <c r="U750">
        <v>1543.2633621996481</v>
      </c>
      <c r="V750">
        <v>9.8883490454201031</v>
      </c>
      <c r="W750">
        <v>1285.1098484409256</v>
      </c>
      <c r="X750">
        <v>7.1042438976692202</v>
      </c>
      <c r="Y750">
        <v>2912.4384948748298</v>
      </c>
      <c r="Z750">
        <v>9.9241117371412138</v>
      </c>
      <c r="AA750">
        <v>2739.3707035210227</v>
      </c>
      <c r="AB750">
        <v>7.1253676410976565</v>
      </c>
      <c r="AC750">
        <v>2241.5689762317365</v>
      </c>
      <c r="AD750">
        <v>9.9087653236339754</v>
      </c>
      <c r="AE750">
        <v>2030.1466555734055</v>
      </c>
      <c r="AF750">
        <v>7.1163126217455854</v>
      </c>
      <c r="AG750">
        <v>2138.7180611374056</v>
      </c>
      <c r="AH750">
        <v>9.904873060063176</v>
      </c>
      <c r="AI750">
        <v>1912.557693281231</v>
      </c>
      <c r="AJ750">
        <v>7.1140137516482387</v>
      </c>
    </row>
    <row r="751" spans="4:36" x14ac:dyDescent="0.45">
      <c r="D751">
        <v>744</v>
      </c>
      <c r="E751">
        <v>13.700096492787843</v>
      </c>
      <c r="F751">
        <v>0.48837179651586909</v>
      </c>
      <c r="G751">
        <v>0.17701779960735042</v>
      </c>
      <c r="H751">
        <v>15.634513911088945</v>
      </c>
      <c r="I751">
        <v>13.935667395775395</v>
      </c>
      <c r="J751">
        <v>0.32120029980146653</v>
      </c>
      <c r="K751">
        <v>0.11606099063899021</v>
      </c>
      <c r="L751">
        <v>15.627071313784146</v>
      </c>
      <c r="M751">
        <v>13.847976803687564</v>
      </c>
      <c r="N751">
        <v>0.38346704838184736</v>
      </c>
      <c r="O751">
        <v>0.13872057141078176</v>
      </c>
      <c r="P751">
        <v>15.629835576519808</v>
      </c>
      <c r="Q751">
        <v>13.780049758616903</v>
      </c>
      <c r="R751">
        <v>0.43166963219284071</v>
      </c>
      <c r="S751">
        <v>0.15629871791147759</v>
      </c>
      <c r="T751">
        <v>15.631981891278782</v>
      </c>
      <c r="U751">
        <v>1592.2134268977843</v>
      </c>
      <c r="V751">
        <v>10.903050548851384</v>
      </c>
      <c r="W751">
        <v>1310.5108097208408</v>
      </c>
      <c r="X751">
        <v>7.6939131016839433</v>
      </c>
      <c r="Y751">
        <v>2929.6950736277545</v>
      </c>
      <c r="Z751">
        <v>10.954131481122699</v>
      </c>
      <c r="AA751">
        <v>2745.2406720015974</v>
      </c>
      <c r="AB751">
        <v>7.7226323899386049</v>
      </c>
      <c r="AC751">
        <v>2265.6916803750255</v>
      </c>
      <c r="AD751">
        <v>10.935120560172468</v>
      </c>
      <c r="AE751">
        <v>2040.2172745315438</v>
      </c>
      <c r="AF751">
        <v>7.7119540246088212</v>
      </c>
      <c r="AG751">
        <v>2198.4953811398113</v>
      </c>
      <c r="AH751">
        <v>10.920391190612753</v>
      </c>
      <c r="AI751">
        <v>1945.1533842584379</v>
      </c>
      <c r="AJ751">
        <v>7.7036723319827276</v>
      </c>
    </row>
    <row r="752" spans="4:36" x14ac:dyDescent="0.45">
      <c r="D752">
        <v>745</v>
      </c>
      <c r="E752">
        <v>12.119022148539248</v>
      </c>
      <c r="F752">
        <v>0.41851919754205075</v>
      </c>
      <c r="G752">
        <v>0.1708537983557693</v>
      </c>
      <c r="H752">
        <v>17.291604855562944</v>
      </c>
      <c r="I752">
        <v>12.321901270572631</v>
      </c>
      <c r="J752">
        <v>0.27248912357022503</v>
      </c>
      <c r="K752">
        <v>0.11088916743938404</v>
      </c>
      <c r="L752">
        <v>17.294720438417762</v>
      </c>
      <c r="M752">
        <v>12.235442548168832</v>
      </c>
      <c r="N752">
        <v>0.33475184527749047</v>
      </c>
      <c r="O752">
        <v>0.13640936539655787</v>
      </c>
      <c r="P752">
        <v>17.293396241157129</v>
      </c>
      <c r="Q752">
        <v>12.204565999587997</v>
      </c>
      <c r="R752">
        <v>0.35697638055599534</v>
      </c>
      <c r="S752">
        <v>0.1455355498899252</v>
      </c>
      <c r="T752">
        <v>17.292922069966099</v>
      </c>
      <c r="U752">
        <v>1501.185715387589</v>
      </c>
      <c r="V752">
        <v>9.5729709294919587</v>
      </c>
      <c r="W752">
        <v>1260.4899740752412</v>
      </c>
      <c r="X752">
        <v>6.9182377234493986</v>
      </c>
      <c r="Y752">
        <v>2881.1593805494163</v>
      </c>
      <c r="Z752">
        <v>9.610722613871971</v>
      </c>
      <c r="AA752">
        <v>2720.8214977863254</v>
      </c>
      <c r="AB752">
        <v>6.9404567427125299</v>
      </c>
      <c r="AC752">
        <v>2191.8996655498008</v>
      </c>
      <c r="AD752">
        <v>9.5946327710920194</v>
      </c>
      <c r="AE752">
        <v>1999.0641537068893</v>
      </c>
      <c r="AF752">
        <v>6.930996641011359</v>
      </c>
      <c r="AG752">
        <v>2086.1364876140901</v>
      </c>
      <c r="AH752">
        <v>9.5888872746113591</v>
      </c>
      <c r="AI752">
        <v>1879.106072736103</v>
      </c>
      <c r="AJ752">
        <v>6.9276150758406425</v>
      </c>
    </row>
    <row r="753" spans="4:36" x14ac:dyDescent="0.45">
      <c r="D753">
        <v>746</v>
      </c>
      <c r="E753">
        <v>13.884951703138556</v>
      </c>
      <c r="F753">
        <v>0.53576667692928193</v>
      </c>
      <c r="G753">
        <v>0.18049331955153011</v>
      </c>
      <c r="H753">
        <v>15.398788300380618</v>
      </c>
      <c r="I753">
        <v>14.189526529265969</v>
      </c>
      <c r="J753">
        <v>0.32188692236571043</v>
      </c>
      <c r="K753">
        <v>0.10799803315152406</v>
      </c>
      <c r="L753">
        <v>15.380588515216809</v>
      </c>
      <c r="M753">
        <v>14.069136371021946</v>
      </c>
      <c r="N753">
        <v>0.40649270867243781</v>
      </c>
      <c r="O753">
        <v>0.13660359131858635</v>
      </c>
      <c r="P753">
        <v>15.38776732898703</v>
      </c>
      <c r="Q753">
        <v>14.029493891517152</v>
      </c>
      <c r="R753">
        <v>0.43433350352851197</v>
      </c>
      <c r="S753">
        <v>0.14603712331461982</v>
      </c>
      <c r="T753">
        <v>15.390135481639707</v>
      </c>
      <c r="U753">
        <v>1604.5680330567302</v>
      </c>
      <c r="V753">
        <v>10.941767905035908</v>
      </c>
      <c r="W753">
        <v>1316.1750635252924</v>
      </c>
      <c r="X753">
        <v>7.697477973570213</v>
      </c>
      <c r="Y753">
        <v>2912.2691734921959</v>
      </c>
      <c r="Z753">
        <v>11.010080015874765</v>
      </c>
      <c r="AA753">
        <v>2732.9804613180327</v>
      </c>
      <c r="AB753">
        <v>7.7356595194747104</v>
      </c>
      <c r="AC753">
        <v>2291.39789377223</v>
      </c>
      <c r="AD753">
        <v>10.983085885824627</v>
      </c>
      <c r="AE753">
        <v>2056.8554010569906</v>
      </c>
      <c r="AF753">
        <v>7.7205889794501852</v>
      </c>
      <c r="AG753">
        <v>2182.020205450649</v>
      </c>
      <c r="AH753">
        <v>10.974194949299555</v>
      </c>
      <c r="AI753">
        <v>1933.3804440321583</v>
      </c>
      <c r="AJ753">
        <v>7.7156203616665646</v>
      </c>
    </row>
    <row r="754" spans="4:36" x14ac:dyDescent="0.45">
      <c r="D754">
        <v>747</v>
      </c>
      <c r="E754">
        <v>14.416409743219832</v>
      </c>
      <c r="F754">
        <v>0.50891205472724066</v>
      </c>
      <c r="G754">
        <v>0.17838461566025912</v>
      </c>
      <c r="H754">
        <v>14.896293586392655</v>
      </c>
      <c r="I754">
        <v>14.679071952965627</v>
      </c>
      <c r="J754">
        <v>0.33129581980476763</v>
      </c>
      <c r="K754">
        <v>0.11572567167933644</v>
      </c>
      <c r="L754">
        <v>14.873906555550262</v>
      </c>
      <c r="M754">
        <v>14.555835504094476</v>
      </c>
      <c r="N754">
        <v>0.41468230359942521</v>
      </c>
      <c r="O754">
        <v>0.14508767568427786</v>
      </c>
      <c r="P754">
        <v>14.884394516621814</v>
      </c>
      <c r="Q754">
        <v>14.518783489802232</v>
      </c>
      <c r="R754">
        <v>0.4397351632799521</v>
      </c>
      <c r="S754">
        <v>0.15392815603630916</v>
      </c>
      <c r="T754">
        <v>14.887553190881489</v>
      </c>
      <c r="U754">
        <v>1670.1963190804636</v>
      </c>
      <c r="V754">
        <v>11.389720909941316</v>
      </c>
      <c r="W754">
        <v>1361.0105711586682</v>
      </c>
      <c r="X754">
        <v>7.9588913144708631</v>
      </c>
      <c r="Y754">
        <v>2969.5616455248737</v>
      </c>
      <c r="Z754">
        <v>11.452617478514618</v>
      </c>
      <c r="AA754">
        <v>2770.5685193239756</v>
      </c>
      <c r="AB754">
        <v>7.9935743240934256</v>
      </c>
      <c r="AC754">
        <v>2288.621005488405</v>
      </c>
      <c r="AD754">
        <v>11.423116346456883</v>
      </c>
      <c r="AE754">
        <v>2051.7768653204298</v>
      </c>
      <c r="AF754">
        <v>7.9773193587905658</v>
      </c>
      <c r="AG754">
        <v>2206.1156336631966</v>
      </c>
      <c r="AH754">
        <v>11.414243558915162</v>
      </c>
      <c r="AI754">
        <v>1947.2157261058969</v>
      </c>
      <c r="AJ754">
        <v>7.9724260861865623</v>
      </c>
    </row>
    <row r="755" spans="4:36" x14ac:dyDescent="0.45">
      <c r="D755">
        <v>748</v>
      </c>
      <c r="E755">
        <v>11.704765945762034</v>
      </c>
      <c r="F755">
        <v>0.40005417974212082</v>
      </c>
      <c r="G755">
        <v>0.1525576406119184</v>
      </c>
      <c r="H755">
        <v>17.742622233883928</v>
      </c>
      <c r="I755">
        <v>11.898158936172011</v>
      </c>
      <c r="J755">
        <v>0.26011239190510144</v>
      </c>
      <c r="K755">
        <v>9.8892696460876214E-2</v>
      </c>
      <c r="L755">
        <v>17.742835975461997</v>
      </c>
      <c r="M755">
        <v>11.831229388796276</v>
      </c>
      <c r="N755">
        <v>0.30856956434345617</v>
      </c>
      <c r="O755">
        <v>0.11743792361561448</v>
      </c>
      <c r="P755">
        <v>17.742763123244657</v>
      </c>
      <c r="Q755">
        <v>11.78881646858671</v>
      </c>
      <c r="R755">
        <v>0.33926240700812321</v>
      </c>
      <c r="S755">
        <v>0.12920477784274331</v>
      </c>
      <c r="T755">
        <v>17.742716346562425</v>
      </c>
      <c r="U755">
        <v>1503.5595457643417</v>
      </c>
      <c r="V755">
        <v>9.2707379778484125</v>
      </c>
      <c r="W755">
        <v>1267.4582142174113</v>
      </c>
      <c r="X755">
        <v>6.7474251154620557</v>
      </c>
      <c r="Y755">
        <v>2840.6789673062062</v>
      </c>
      <c r="Z755">
        <v>9.3091530523581092</v>
      </c>
      <c r="AA755">
        <v>2694.7280549408297</v>
      </c>
      <c r="AB755">
        <v>6.7701564499564304</v>
      </c>
      <c r="AC755">
        <v>2177.1211623199965</v>
      </c>
      <c r="AD755">
        <v>9.2958572585742107</v>
      </c>
      <c r="AE755">
        <v>1993.3685707827117</v>
      </c>
      <c r="AF755">
        <v>6.7622980469504208</v>
      </c>
      <c r="AG755">
        <v>2056.7795083753226</v>
      </c>
      <c r="AH755">
        <v>9.2874323723164629</v>
      </c>
      <c r="AI755">
        <v>1862.2623880021661</v>
      </c>
      <c r="AJ755">
        <v>6.7573135953553898</v>
      </c>
    </row>
    <row r="756" spans="4:36" x14ac:dyDescent="0.45">
      <c r="D756">
        <v>749</v>
      </c>
      <c r="E756">
        <v>13.590530717166809</v>
      </c>
      <c r="F756">
        <v>0.56060210946389066</v>
      </c>
      <c r="G756">
        <v>0.18116798185374436</v>
      </c>
      <c r="H756">
        <v>15.667699191515549</v>
      </c>
      <c r="I756">
        <v>13.836342495107802</v>
      </c>
      <c r="J756">
        <v>0.36703436105742959</v>
      </c>
      <c r="K756">
        <v>0.11824463077926915</v>
      </c>
      <c r="L756">
        <v>15.678378513055515</v>
      </c>
      <c r="M756">
        <v>13.73218749422265</v>
      </c>
      <c r="N756">
        <v>0.44908628662468353</v>
      </c>
      <c r="O756">
        <v>0.14486880590018147</v>
      </c>
      <c r="P756">
        <v>15.673857413252502</v>
      </c>
      <c r="Q756">
        <v>13.677602155395469</v>
      </c>
      <c r="R756">
        <v>0.49206816808537063</v>
      </c>
      <c r="S756">
        <v>0.15884397298305192</v>
      </c>
      <c r="T756">
        <v>15.671485703536094</v>
      </c>
      <c r="U756">
        <v>1681.4260197516528</v>
      </c>
      <c r="V756">
        <v>10.657673936843228</v>
      </c>
      <c r="W756">
        <v>1366.8913136078968</v>
      </c>
      <c r="X756">
        <v>7.5213139029923433</v>
      </c>
      <c r="Y756">
        <v>2970.7007097632659</v>
      </c>
      <c r="Z756">
        <v>10.692088067484551</v>
      </c>
      <c r="AA756">
        <v>2769.7795775592808</v>
      </c>
      <c r="AB756">
        <v>7.5412757166080011</v>
      </c>
      <c r="AC756">
        <v>2323.619702532561</v>
      </c>
      <c r="AD756">
        <v>10.677503398620063</v>
      </c>
      <c r="AE756">
        <v>2075.1012449851228</v>
      </c>
      <c r="AF756">
        <v>7.5328248977371839</v>
      </c>
      <c r="AG756">
        <v>2205.2186756869742</v>
      </c>
      <c r="AH756">
        <v>10.66986151525928</v>
      </c>
      <c r="AI756">
        <v>1943.9366096171677</v>
      </c>
      <c r="AJ756">
        <v>7.5283916981242358</v>
      </c>
    </row>
    <row r="757" spans="4:36" x14ac:dyDescent="0.45">
      <c r="D757">
        <v>750</v>
      </c>
      <c r="E757">
        <v>13.525575835395822</v>
      </c>
      <c r="F757">
        <v>0.48335163881018373</v>
      </c>
      <c r="G757">
        <v>0.17582778127293988</v>
      </c>
      <c r="H757">
        <v>15.815244744521069</v>
      </c>
      <c r="I757">
        <v>13.786107833396496</v>
      </c>
      <c r="J757">
        <v>0.30627679660308688</v>
      </c>
      <c r="K757">
        <v>0.11102186350811311</v>
      </c>
      <c r="L757">
        <v>15.7965935064923</v>
      </c>
      <c r="M757">
        <v>13.670096528367035</v>
      </c>
      <c r="N757">
        <v>0.38517845063670486</v>
      </c>
      <c r="O757">
        <v>0.13984102268542351</v>
      </c>
      <c r="P757">
        <v>15.804883998310856</v>
      </c>
      <c r="Q757">
        <v>13.606877567288823</v>
      </c>
      <c r="R757">
        <v>0.42813945901698613</v>
      </c>
      <c r="S757">
        <v>0.15557130290123394</v>
      </c>
      <c r="T757">
        <v>15.80941167079296</v>
      </c>
      <c r="U757">
        <v>1570.9804116855998</v>
      </c>
      <c r="V757">
        <v>10.664953485665384</v>
      </c>
      <c r="W757">
        <v>1299.5887842858033</v>
      </c>
      <c r="X757">
        <v>7.5439807856221517</v>
      </c>
      <c r="Y757">
        <v>2922.1696754812765</v>
      </c>
      <c r="Z757">
        <v>10.722045861686819</v>
      </c>
      <c r="AA757">
        <v>2743.3856199718352</v>
      </c>
      <c r="AB757">
        <v>7.5757687888240639</v>
      </c>
      <c r="AC757">
        <v>2260.9103230220439</v>
      </c>
      <c r="AD757">
        <v>10.696632418213254</v>
      </c>
      <c r="AE757">
        <v>2039.7021379318214</v>
      </c>
      <c r="AF757">
        <v>7.5616317065618581</v>
      </c>
      <c r="AG757">
        <v>2141.0971905076858</v>
      </c>
      <c r="AH757">
        <v>10.682777601944313</v>
      </c>
      <c r="AI757">
        <v>1907.9613831753736</v>
      </c>
      <c r="AJ757">
        <v>7.5539159691726079</v>
      </c>
    </row>
    <row r="758" spans="4:36" x14ac:dyDescent="0.45">
      <c r="D758">
        <v>751</v>
      </c>
      <c r="E758">
        <v>13.612352791620694</v>
      </c>
      <c r="F758">
        <v>0.53736190601538281</v>
      </c>
      <c r="G758">
        <v>0.23078815484310444</v>
      </c>
      <c r="H758">
        <v>15.619497147520812</v>
      </c>
      <c r="I758">
        <v>13.881925677695616</v>
      </c>
      <c r="J758">
        <v>0.3386646880032691</v>
      </c>
      <c r="K758">
        <v>0.14491311305800597</v>
      </c>
      <c r="L758">
        <v>15.634496521243106</v>
      </c>
      <c r="M758">
        <v>13.788720722338558</v>
      </c>
      <c r="N758">
        <v>0.40740879394875962</v>
      </c>
      <c r="O758">
        <v>0.17455061391272458</v>
      </c>
      <c r="P758">
        <v>15.629319869799959</v>
      </c>
      <c r="Q758">
        <v>13.715464403004203</v>
      </c>
      <c r="R758">
        <v>0.46140676007554554</v>
      </c>
      <c r="S758">
        <v>0.19788460129536931</v>
      </c>
      <c r="T758">
        <v>15.625244235624875</v>
      </c>
      <c r="U758">
        <v>1656.3570285311093</v>
      </c>
      <c r="V758">
        <v>10.828624414974092</v>
      </c>
      <c r="W758">
        <v>1348.4279052108702</v>
      </c>
      <c r="X758">
        <v>7.6397485396980365</v>
      </c>
      <c r="Y758">
        <v>2976.3344274324973</v>
      </c>
      <c r="Z758">
        <v>10.872906121117374</v>
      </c>
      <c r="AA758">
        <v>2774.4414185513283</v>
      </c>
      <c r="AB758">
        <v>7.6656065410083256</v>
      </c>
      <c r="AC758">
        <v>2277.1154356226425</v>
      </c>
      <c r="AD758">
        <v>10.85758981401956</v>
      </c>
      <c r="AE758">
        <v>2043.4693443217707</v>
      </c>
      <c r="AF758">
        <v>7.6566750190622539</v>
      </c>
      <c r="AG758">
        <v>2216.0307565268054</v>
      </c>
      <c r="AH758">
        <v>10.845556003414684</v>
      </c>
      <c r="AI758">
        <v>1951.9080927459306</v>
      </c>
      <c r="AJ758">
        <v>7.6496485410566315</v>
      </c>
    </row>
    <row r="759" spans="4:36" x14ac:dyDescent="0.45">
      <c r="D759">
        <v>752</v>
      </c>
      <c r="E759">
        <v>13.215279236030414</v>
      </c>
      <c r="F759">
        <v>0.45920153436204109</v>
      </c>
      <c r="G759">
        <v>0.17268414346118952</v>
      </c>
      <c r="H759">
        <v>16.152835086146354</v>
      </c>
      <c r="I759">
        <v>13.463441374340947</v>
      </c>
      <c r="J759">
        <v>0.29118339701418244</v>
      </c>
      <c r="K759">
        <v>0.10912990534309629</v>
      </c>
      <c r="L759">
        <v>16.136245323301768</v>
      </c>
      <c r="M759">
        <v>13.369901411372252</v>
      </c>
      <c r="N759">
        <v>0.35456094961672441</v>
      </c>
      <c r="O759">
        <v>0.13305163623759264</v>
      </c>
      <c r="P759">
        <v>16.142486002773428</v>
      </c>
      <c r="Q759">
        <v>13.296122421773088</v>
      </c>
      <c r="R759">
        <v>0.40451011239078033</v>
      </c>
      <c r="S759">
        <v>0.15194852322916122</v>
      </c>
      <c r="T759">
        <v>16.147418942606958</v>
      </c>
      <c r="U759">
        <v>1581.4336921335473</v>
      </c>
      <c r="V759">
        <v>10.431974674601539</v>
      </c>
      <c r="W759">
        <v>1310.8923875470246</v>
      </c>
      <c r="X759">
        <v>7.415672885401027</v>
      </c>
      <c r="Y759">
        <v>2910.8371124052051</v>
      </c>
      <c r="Z759">
        <v>10.491268542070447</v>
      </c>
      <c r="AA759">
        <v>2737.7855696660599</v>
      </c>
      <c r="AB759">
        <v>7.448987570736012</v>
      </c>
      <c r="AC759">
        <v>2237.8582918720967</v>
      </c>
      <c r="AD759">
        <v>10.468925988797498</v>
      </c>
      <c r="AE759">
        <v>2027.128633756307</v>
      </c>
      <c r="AF759">
        <v>7.4364470090653896</v>
      </c>
      <c r="AG759">
        <v>2125.3038398714657</v>
      </c>
      <c r="AH759">
        <v>10.451297386497233</v>
      </c>
      <c r="AI759">
        <v>1900.1304147682656</v>
      </c>
      <c r="AJ759">
        <v>7.4265414659159346</v>
      </c>
    </row>
    <row r="760" spans="4:36" x14ac:dyDescent="0.45">
      <c r="D760">
        <v>753</v>
      </c>
      <c r="E760">
        <v>11.259780150839772</v>
      </c>
      <c r="F760">
        <v>0.41383151926991124</v>
      </c>
      <c r="G760">
        <v>0.14906901439859166</v>
      </c>
      <c r="H760">
        <v>18.177319315491737</v>
      </c>
      <c r="I760">
        <v>11.435691418225399</v>
      </c>
      <c r="J760">
        <v>0.27039545014037669</v>
      </c>
      <c r="K760">
        <v>9.7140577010605259E-2</v>
      </c>
      <c r="L760">
        <v>18.19677255462361</v>
      </c>
      <c r="M760">
        <v>11.343436755508895</v>
      </c>
      <c r="N760">
        <v>0.34563644099511548</v>
      </c>
      <c r="O760">
        <v>0.1243451159375044</v>
      </c>
      <c r="P760">
        <v>18.186581687558476</v>
      </c>
      <c r="Q760">
        <v>11.310354342886816</v>
      </c>
      <c r="R760">
        <v>0.37260834659249509</v>
      </c>
      <c r="S760">
        <v>0.13411604100268795</v>
      </c>
      <c r="T760">
        <v>18.182921269517994</v>
      </c>
      <c r="U760">
        <v>1442.9418613503217</v>
      </c>
      <c r="V760">
        <v>8.8449251846654526</v>
      </c>
      <c r="W760">
        <v>1227.1970523459872</v>
      </c>
      <c r="X760">
        <v>6.4810706920542396</v>
      </c>
      <c r="Y760">
        <v>2842.3978985478302</v>
      </c>
      <c r="Z760">
        <v>8.8665198502927467</v>
      </c>
      <c r="AA760">
        <v>2698.6593550019679</v>
      </c>
      <c r="AB760">
        <v>6.4947617116486924</v>
      </c>
      <c r="AC760">
        <v>2171.7520028324202</v>
      </c>
      <c r="AD760">
        <v>8.8551881140115523</v>
      </c>
      <c r="AE760">
        <v>1990.8185326673445</v>
      </c>
      <c r="AF760">
        <v>6.4875849420187777</v>
      </c>
      <c r="AG760">
        <v>2060.9221081106957</v>
      </c>
      <c r="AH760">
        <v>8.8511281375042579</v>
      </c>
      <c r="AI760">
        <v>1867.2998307088424</v>
      </c>
      <c r="AJ760">
        <v>6.4850095771723293</v>
      </c>
    </row>
    <row r="761" spans="4:36" x14ac:dyDescent="0.45">
      <c r="D761">
        <v>754</v>
      </c>
      <c r="E761">
        <v>11.94460755665717</v>
      </c>
      <c r="F761">
        <v>0.44344905012617603</v>
      </c>
      <c r="G761">
        <v>0.16471765856205958</v>
      </c>
      <c r="H761">
        <v>17.447225734654598</v>
      </c>
      <c r="I761">
        <v>12.156520519795652</v>
      </c>
      <c r="J761">
        <v>0.28038069117664904</v>
      </c>
      <c r="K761">
        <v>0.10380235336690227</v>
      </c>
      <c r="L761">
        <v>17.459296435660796</v>
      </c>
      <c r="M761">
        <v>12.058368441996432</v>
      </c>
      <c r="N761">
        <v>0.35593889697062553</v>
      </c>
      <c r="O761">
        <v>0.13197683203200519</v>
      </c>
      <c r="P761">
        <v>17.45371582900092</v>
      </c>
      <c r="Q761">
        <v>12.047977346381254</v>
      </c>
      <c r="R761">
        <v>0.36393506558921385</v>
      </c>
      <c r="S761">
        <v>0.13496358853730589</v>
      </c>
      <c r="T761">
        <v>17.453123999492231</v>
      </c>
      <c r="U761">
        <v>1513.2020188312054</v>
      </c>
      <c r="V761">
        <v>9.4636814616375329</v>
      </c>
      <c r="W761">
        <v>1267.6411519574665</v>
      </c>
      <c r="X761">
        <v>6.8542964409899234</v>
      </c>
      <c r="Y761">
        <v>2868.09893345506</v>
      </c>
      <c r="Z761">
        <v>9.4956875225891562</v>
      </c>
      <c r="AA761">
        <v>2711.0133474131258</v>
      </c>
      <c r="AB761">
        <v>6.8737171830735564</v>
      </c>
      <c r="AC761">
        <v>2225.0087095330186</v>
      </c>
      <c r="AD761">
        <v>9.4808568693521185</v>
      </c>
      <c r="AE761">
        <v>2021.7889583138415</v>
      </c>
      <c r="AF761">
        <v>6.8647286367390254</v>
      </c>
      <c r="AG761">
        <v>2107.2998950285914</v>
      </c>
      <c r="AH761">
        <v>9.4792874270185639</v>
      </c>
      <c r="AI761">
        <v>1894.3703148573343</v>
      </c>
      <c r="AJ761">
        <v>6.8637763812849419</v>
      </c>
    </row>
    <row r="762" spans="4:36" x14ac:dyDescent="0.45">
      <c r="D762">
        <v>755</v>
      </c>
      <c r="E762">
        <v>11.046685105091331</v>
      </c>
      <c r="F762">
        <v>0.40542129704609187</v>
      </c>
      <c r="G762">
        <v>0.1403283187946274</v>
      </c>
      <c r="H762">
        <v>18.407565279067956</v>
      </c>
      <c r="I762">
        <v>11.228014945622432</v>
      </c>
      <c r="J762">
        <v>0.25709433354525613</v>
      </c>
      <c r="K762">
        <v>8.8739634162650294E-2</v>
      </c>
      <c r="L762">
        <v>18.426151086669663</v>
      </c>
      <c r="M762">
        <v>11.162571738568536</v>
      </c>
      <c r="N762">
        <v>0.31064377673533866</v>
      </c>
      <c r="O762">
        <v>0.10733071770482823</v>
      </c>
      <c r="P762">
        <v>18.4194537669913</v>
      </c>
      <c r="Q762">
        <v>11.116789887368164</v>
      </c>
      <c r="R762">
        <v>0.34809363343565203</v>
      </c>
      <c r="S762">
        <v>0.12035491196017015</v>
      </c>
      <c r="T762">
        <v>18.414761567236024</v>
      </c>
      <c r="U762">
        <v>1441.8076502928814</v>
      </c>
      <c r="V762">
        <v>8.7197829111318175</v>
      </c>
      <c r="W762">
        <v>1230.7321236432231</v>
      </c>
      <c r="X762">
        <v>6.4145712539895348</v>
      </c>
      <c r="Y762">
        <v>2807.9127734727413</v>
      </c>
      <c r="Z762">
        <v>8.7443039367702404</v>
      </c>
      <c r="AA762">
        <v>2676.6428441947464</v>
      </c>
      <c r="AB762">
        <v>6.430002705137662</v>
      </c>
      <c r="AC762">
        <v>2154.6246525114148</v>
      </c>
      <c r="AD762">
        <v>8.7354481455343649</v>
      </c>
      <c r="AE762">
        <v>1983.8961516009215</v>
      </c>
      <c r="AF762">
        <v>6.4244375537649727</v>
      </c>
      <c r="AG762">
        <v>2004.3824674184298</v>
      </c>
      <c r="AH762">
        <v>8.7292569386728047</v>
      </c>
      <c r="AI762">
        <v>1830.6377008763764</v>
      </c>
      <c r="AJ762">
        <v>6.4205415755363253</v>
      </c>
    </row>
    <row r="763" spans="4:36" x14ac:dyDescent="0.45">
      <c r="D763">
        <v>756</v>
      </c>
      <c r="E763">
        <v>13.057146938076574</v>
      </c>
      <c r="F763">
        <v>0.44928543116527281</v>
      </c>
      <c r="G763">
        <v>0.16596625214421529</v>
      </c>
      <c r="H763">
        <v>16.327601378613945</v>
      </c>
      <c r="I763">
        <v>13.26094396777161</v>
      </c>
      <c r="J763">
        <v>0.30502373011264405</v>
      </c>
      <c r="K763">
        <v>0.11235712376349537</v>
      </c>
      <c r="L763">
        <v>16.32167517835224</v>
      </c>
      <c r="M763">
        <v>13.172826683710557</v>
      </c>
      <c r="N763">
        <v>0.36742996198447891</v>
      </c>
      <c r="O763">
        <v>0.1355100880725868</v>
      </c>
      <c r="P763">
        <v>16.324233266232373</v>
      </c>
      <c r="Q763">
        <v>13.126708557376812</v>
      </c>
      <c r="R763">
        <v>0.40007304566330454</v>
      </c>
      <c r="S763">
        <v>0.14764371359289605</v>
      </c>
      <c r="T763">
        <v>16.325574683366977</v>
      </c>
      <c r="U763">
        <v>1539.569659563811</v>
      </c>
      <c r="V763">
        <v>10.385042020871042</v>
      </c>
      <c r="W763">
        <v>1281.9174235620303</v>
      </c>
      <c r="X763">
        <v>7.3987332967223303</v>
      </c>
      <c r="Y763">
        <v>2903.8853333924962</v>
      </c>
      <c r="Z763">
        <v>10.428001287529955</v>
      </c>
      <c r="AA763">
        <v>2732.0637040466286</v>
      </c>
      <c r="AB763">
        <v>7.4231753591253673</v>
      </c>
      <c r="AC763">
        <v>2237.4759606992734</v>
      </c>
      <c r="AD763">
        <v>10.409429106716962</v>
      </c>
      <c r="AE763">
        <v>2026.2337696342638</v>
      </c>
      <c r="AF763">
        <v>7.4126171854902347</v>
      </c>
      <c r="AG763">
        <v>2133.329724604062</v>
      </c>
      <c r="AH763">
        <v>10.399707463996313</v>
      </c>
      <c r="AI763">
        <v>1906.4399188444609</v>
      </c>
      <c r="AJ763">
        <v>7.4070852607722735</v>
      </c>
    </row>
    <row r="764" spans="4:36" x14ac:dyDescent="0.45">
      <c r="D764">
        <v>757</v>
      </c>
      <c r="E764">
        <v>14.484285086542066</v>
      </c>
      <c r="F764">
        <v>0.52715150791947296</v>
      </c>
      <c r="G764">
        <v>0.18948992106924972</v>
      </c>
      <c r="H764">
        <v>14.799073484469202</v>
      </c>
      <c r="I764">
        <v>14.76382112655555</v>
      </c>
      <c r="J764">
        <v>0.33957513999749073</v>
      </c>
      <c r="K764">
        <v>0.12162628936944181</v>
      </c>
      <c r="L764">
        <v>14.774977444077527</v>
      </c>
      <c r="M764">
        <v>14.654084084144539</v>
      </c>
      <c r="N764">
        <v>0.41326862062628683</v>
      </c>
      <c r="O764">
        <v>0.14822893150860175</v>
      </c>
      <c r="P764">
        <v>14.784418363720562</v>
      </c>
      <c r="Q764">
        <v>14.599211241353892</v>
      </c>
      <c r="R764">
        <v>0.45009077945803311</v>
      </c>
      <c r="S764">
        <v>0.16154988742831891</v>
      </c>
      <c r="T764">
        <v>14.789148091759737</v>
      </c>
      <c r="U764">
        <v>1657.4624076067648</v>
      </c>
      <c r="V764">
        <v>11.469327423683593</v>
      </c>
      <c r="W764">
        <v>1351.9688857134227</v>
      </c>
      <c r="X764">
        <v>8.0045727353972147</v>
      </c>
      <c r="Y764">
        <v>2980.241845039423</v>
      </c>
      <c r="Z764">
        <v>11.53409926157916</v>
      </c>
      <c r="AA764">
        <v>2778.1771276711074</v>
      </c>
      <c r="AB764">
        <v>8.0401173901523091</v>
      </c>
      <c r="AC764">
        <v>2306.7193767700574</v>
      </c>
      <c r="AD764">
        <v>11.50868273795477</v>
      </c>
      <c r="AE764">
        <v>2065.4245727649218</v>
      </c>
      <c r="AF764">
        <v>8.0261825863392424</v>
      </c>
      <c r="AG764">
        <v>2200.5980917076454</v>
      </c>
      <c r="AH764">
        <v>11.49596823230608</v>
      </c>
      <c r="AI764">
        <v>1943.5972098887253</v>
      </c>
      <c r="AJ764">
        <v>8.0192055119526149</v>
      </c>
    </row>
    <row r="765" spans="4:36" x14ac:dyDescent="0.45">
      <c r="D765">
        <v>758</v>
      </c>
      <c r="E765">
        <v>13.922444686056735</v>
      </c>
      <c r="F765">
        <v>0.51912771514438205</v>
      </c>
      <c r="G765">
        <v>0.17047610960103585</v>
      </c>
      <c r="H765">
        <v>15.387951489197825</v>
      </c>
      <c r="I765">
        <v>14.160928417004738</v>
      </c>
      <c r="J765">
        <v>0.34532421675328695</v>
      </c>
      <c r="K765">
        <v>0.11304581656452253</v>
      </c>
      <c r="L765">
        <v>15.380701549677429</v>
      </c>
      <c r="M765">
        <v>14.073431418797893</v>
      </c>
      <c r="N765">
        <v>0.40912680999354811</v>
      </c>
      <c r="O765">
        <v>0.13408578756929143</v>
      </c>
      <c r="P765">
        <v>15.383355983639278</v>
      </c>
      <c r="Q765">
        <v>14.005539381049894</v>
      </c>
      <c r="R765">
        <v>0.45860481249614521</v>
      </c>
      <c r="S765">
        <v>0.15043578480764536</v>
      </c>
      <c r="T765">
        <v>15.385420021646302</v>
      </c>
      <c r="U765">
        <v>1610.0196421899263</v>
      </c>
      <c r="V765">
        <v>10.978901600880951</v>
      </c>
      <c r="W765">
        <v>1320.0018360600866</v>
      </c>
      <c r="X765">
        <v>7.7201688669305097</v>
      </c>
      <c r="Y765">
        <v>2954.1111525042215</v>
      </c>
      <c r="Z765">
        <v>11.025856961929046</v>
      </c>
      <c r="AA765">
        <v>2760.1516772643295</v>
      </c>
      <c r="AB765">
        <v>7.7465104934188718</v>
      </c>
      <c r="AC765">
        <v>2303.3706116640701</v>
      </c>
      <c r="AD765">
        <v>11.008632818036121</v>
      </c>
      <c r="AE765">
        <v>2064.2585520101852</v>
      </c>
      <c r="AF765">
        <v>7.7368570622084043</v>
      </c>
      <c r="AG765">
        <v>2219.7460070233774</v>
      </c>
      <c r="AH765">
        <v>10.995265404154692</v>
      </c>
      <c r="AI765">
        <v>1957.413842270505</v>
      </c>
      <c r="AJ765">
        <v>7.7293578554699023</v>
      </c>
    </row>
    <row r="766" spans="4:36" x14ac:dyDescent="0.45">
      <c r="D766">
        <v>759</v>
      </c>
      <c r="E766">
        <v>13.079374520887518</v>
      </c>
      <c r="F766">
        <v>0.47978986436379778</v>
      </c>
      <c r="G766">
        <v>0.16654059071401189</v>
      </c>
      <c r="H766">
        <v>16.274295024034672</v>
      </c>
      <c r="I766">
        <v>13.314998853368918</v>
      </c>
      <c r="J766">
        <v>0.31407638015541389</v>
      </c>
      <c r="K766">
        <v>0.10865620274649378</v>
      </c>
      <c r="L766">
        <v>16.262268563729151</v>
      </c>
      <c r="M766">
        <v>13.206485914257652</v>
      </c>
      <c r="N766">
        <v>0.3904350031244409</v>
      </c>
      <c r="O766">
        <v>0.13527980403222484</v>
      </c>
      <c r="P766">
        <v>16.267799278585677</v>
      </c>
      <c r="Q766">
        <v>13.196468541046961</v>
      </c>
      <c r="R766">
        <v>0.39748045102321211</v>
      </c>
      <c r="S766">
        <v>0.1377404863147777</v>
      </c>
      <c r="T766">
        <v>16.268310521615057</v>
      </c>
      <c r="U766">
        <v>1556.9215189569884</v>
      </c>
      <c r="V766">
        <v>10.418005528056449</v>
      </c>
      <c r="W766">
        <v>1289.3232849774279</v>
      </c>
      <c r="X766">
        <v>7.4169347268900703</v>
      </c>
      <c r="Y766">
        <v>2925.7057824816929</v>
      </c>
      <c r="Z766">
        <v>10.468460484801396</v>
      </c>
      <c r="AA766">
        <v>2745.126761176894</v>
      </c>
      <c r="AB766">
        <v>7.4454698031834861</v>
      </c>
      <c r="AC766">
        <v>2251.8306637461787</v>
      </c>
      <c r="AD766">
        <v>10.445228997843964</v>
      </c>
      <c r="AE766">
        <v>2032.5185278459737</v>
      </c>
      <c r="AF766">
        <v>7.4323426006041471</v>
      </c>
      <c r="AG766">
        <v>2145.9212181311891</v>
      </c>
      <c r="AH766">
        <v>10.44308397831451</v>
      </c>
      <c r="AI766">
        <v>1913.2478248578509</v>
      </c>
      <c r="AJ766">
        <v>7.4311295500380101</v>
      </c>
    </row>
    <row r="767" spans="4:36" x14ac:dyDescent="0.45">
      <c r="D767">
        <v>760</v>
      </c>
      <c r="E767">
        <v>12.903784110607573</v>
      </c>
      <c r="F767">
        <v>0.50161156062595114</v>
      </c>
      <c r="G767">
        <v>0.17832599727039433</v>
      </c>
      <c r="H767">
        <v>16.416278331496073</v>
      </c>
      <c r="I767">
        <v>13.14035160312746</v>
      </c>
      <c r="J767">
        <v>0.31823189231792293</v>
      </c>
      <c r="K767">
        <v>0.11275703716535669</v>
      </c>
      <c r="L767">
        <v>16.428659467389281</v>
      </c>
      <c r="M767">
        <v>13.017607005614991</v>
      </c>
      <c r="N767">
        <v>0.41341424024951984</v>
      </c>
      <c r="O767">
        <v>0.14673492773064659</v>
      </c>
      <c r="P767">
        <v>16.422243826404852</v>
      </c>
      <c r="Q767">
        <v>12.992287397023343</v>
      </c>
      <c r="R767">
        <v>0.43303908578388023</v>
      </c>
      <c r="S767">
        <v>0.15375534622171622</v>
      </c>
      <c r="T767">
        <v>16.420918170971067</v>
      </c>
      <c r="U767">
        <v>1609.7718627903901</v>
      </c>
      <c r="V767">
        <v>10.20797053662619</v>
      </c>
      <c r="W767">
        <v>1323.6226794276397</v>
      </c>
      <c r="X767">
        <v>7.2805955024928242</v>
      </c>
      <c r="Y767">
        <v>2930.3903642684854</v>
      </c>
      <c r="Z767">
        <v>10.243511488573294</v>
      </c>
      <c r="AA767">
        <v>2747.0299313221058</v>
      </c>
      <c r="AB767">
        <v>7.3015502945923325</v>
      </c>
      <c r="AC767">
        <v>2307.4140804460612</v>
      </c>
      <c r="AD767">
        <v>10.225066276917451</v>
      </c>
      <c r="AE767">
        <v>2069.0132560471552</v>
      </c>
      <c r="AF767">
        <v>7.2906855745782178</v>
      </c>
      <c r="AG767">
        <v>2184.5720592673315</v>
      </c>
      <c r="AH767">
        <v>10.221262639082404</v>
      </c>
      <c r="AI767">
        <v>1936.5783575514683</v>
      </c>
      <c r="AJ767">
        <v>7.2884423257352653</v>
      </c>
    </row>
    <row r="768" spans="4:36" x14ac:dyDescent="0.45">
      <c r="D768">
        <v>761</v>
      </c>
      <c r="E768">
        <v>12.090148590450072</v>
      </c>
      <c r="F768">
        <v>0.43467161769765128</v>
      </c>
      <c r="G768">
        <v>0.15270734491112731</v>
      </c>
      <c r="H768">
        <v>17.322472446941156</v>
      </c>
      <c r="I768">
        <v>12.274847721706168</v>
      </c>
      <c r="J768">
        <v>0.29662189298751879</v>
      </c>
      <c r="K768">
        <v>0.10392245291309021</v>
      </c>
      <c r="L768">
        <v>17.324607932393235</v>
      </c>
      <c r="M768">
        <v>12.232153700445325</v>
      </c>
      <c r="N768">
        <v>0.32854982417268042</v>
      </c>
      <c r="O768">
        <v>0.11518124392843991</v>
      </c>
      <c r="P768">
        <v>17.324115231453554</v>
      </c>
      <c r="Q768">
        <v>12.184112431440184</v>
      </c>
      <c r="R768">
        <v>0.36446432438645915</v>
      </c>
      <c r="S768">
        <v>0.12786308566054774</v>
      </c>
      <c r="T768">
        <v>17.323560158512791</v>
      </c>
      <c r="U768">
        <v>1498.7642633086618</v>
      </c>
      <c r="V768">
        <v>9.4766188301624243</v>
      </c>
      <c r="W768">
        <v>1258.6882436233095</v>
      </c>
      <c r="X768">
        <v>6.8505701574476312</v>
      </c>
      <c r="Y768">
        <v>2895.7737374771755</v>
      </c>
      <c r="Z768">
        <v>9.5079409443175837</v>
      </c>
      <c r="AA768">
        <v>2730.3018999067494</v>
      </c>
      <c r="AB768">
        <v>6.8689962622071361</v>
      </c>
      <c r="AC768">
        <v>2196.3422589769912</v>
      </c>
      <c r="AD768">
        <v>9.5007000316147323</v>
      </c>
      <c r="AE768">
        <v>2003.7861361731523</v>
      </c>
      <c r="AF768">
        <v>6.8647418600601098</v>
      </c>
      <c r="AG768">
        <v>2090.4715147498132</v>
      </c>
      <c r="AH768">
        <v>9.4925527029728087</v>
      </c>
      <c r="AI768">
        <v>1882.7243302780205</v>
      </c>
      <c r="AJ768">
        <v>6.8599511239070052</v>
      </c>
    </row>
    <row r="769" spans="4:36" x14ac:dyDescent="0.45">
      <c r="D769">
        <v>762</v>
      </c>
      <c r="E769">
        <v>12.085077080752979</v>
      </c>
      <c r="F769">
        <v>0.46024556625448332</v>
      </c>
      <c r="G769">
        <v>0.1644173614490107</v>
      </c>
      <c r="H769">
        <v>17.290259991543529</v>
      </c>
      <c r="I769">
        <v>12.255233918641292</v>
      </c>
      <c r="J769">
        <v>0.32204472754296826</v>
      </c>
      <c r="K769">
        <v>0.11476204936432699</v>
      </c>
      <c r="L769">
        <v>17.307959304451412</v>
      </c>
      <c r="M769">
        <v>12.224965946592894</v>
      </c>
      <c r="N769">
        <v>0.34663767141030982</v>
      </c>
      <c r="O769">
        <v>0.12358004818721374</v>
      </c>
      <c r="P769">
        <v>17.30481633380959</v>
      </c>
      <c r="Q769">
        <v>12.159949234487367</v>
      </c>
      <c r="R769">
        <v>0.39945050978634894</v>
      </c>
      <c r="S769">
        <v>0.14254306319140714</v>
      </c>
      <c r="T769">
        <v>17.298057192534884</v>
      </c>
      <c r="U769">
        <v>1525.3907995640895</v>
      </c>
      <c r="V769">
        <v>9.5693392441054392</v>
      </c>
      <c r="W769">
        <v>1276.5895508778215</v>
      </c>
      <c r="X769">
        <v>6.9168069867543149</v>
      </c>
      <c r="Y769">
        <v>2880.1122696764323</v>
      </c>
      <c r="Z769">
        <v>9.5969392251691872</v>
      </c>
      <c r="AA769">
        <v>2717.3061552315089</v>
      </c>
      <c r="AB769">
        <v>6.9336275305436459</v>
      </c>
      <c r="AC769">
        <v>2176.899340843348</v>
      </c>
      <c r="AD769">
        <v>9.592026759458399</v>
      </c>
      <c r="AE769">
        <v>1988.6621684946954</v>
      </c>
      <c r="AF769">
        <v>6.9306379546931707</v>
      </c>
      <c r="AG769">
        <v>2090.1385804481979</v>
      </c>
      <c r="AH769">
        <v>9.5814788402093249</v>
      </c>
      <c r="AI769">
        <v>1880.1888071370481</v>
      </c>
      <c r="AJ769">
        <v>6.9242125790028277</v>
      </c>
    </row>
    <row r="770" spans="4:36" x14ac:dyDescent="0.45">
      <c r="D770">
        <v>763</v>
      </c>
      <c r="E770">
        <v>11.710260958783881</v>
      </c>
      <c r="F770">
        <v>0.39539701725526277</v>
      </c>
      <c r="G770">
        <v>0.15790677942015122</v>
      </c>
      <c r="H770">
        <v>17.736435244540701</v>
      </c>
      <c r="I770">
        <v>11.90696048933887</v>
      </c>
      <c r="J770">
        <v>0.24839126195607045</v>
      </c>
      <c r="K770">
        <v>9.8897476855819177E-2</v>
      </c>
      <c r="L770">
        <v>17.745750771849256</v>
      </c>
      <c r="M770">
        <v>11.800651586115885</v>
      </c>
      <c r="N770">
        <v>0.32787012990790748</v>
      </c>
      <c r="O770">
        <v>0.13075585841174894</v>
      </c>
      <c r="P770">
        <v>17.740722425564464</v>
      </c>
      <c r="Q770">
        <v>11.775960962393173</v>
      </c>
      <c r="R770">
        <v>0.34632010357227999</v>
      </c>
      <c r="S770">
        <v>0.1381664933937595</v>
      </c>
      <c r="T770">
        <v>17.739552440640779</v>
      </c>
      <c r="U770">
        <v>1487.0568088750965</v>
      </c>
      <c r="V770">
        <v>9.1735903110068495</v>
      </c>
      <c r="W770">
        <v>1256.198089520632</v>
      </c>
      <c r="X770">
        <v>6.6740884493583987</v>
      </c>
      <c r="Y770">
        <v>2864.2883431796581</v>
      </c>
      <c r="Z770">
        <v>9.2033862120482191</v>
      </c>
      <c r="AA770">
        <v>2713.2647134873596</v>
      </c>
      <c r="AB770">
        <v>6.6919821860631314</v>
      </c>
      <c r="AC770">
        <v>2182.3359946853575</v>
      </c>
      <c r="AD770">
        <v>9.1872794678292529</v>
      </c>
      <c r="AE770">
        <v>1995.977939038961</v>
      </c>
      <c r="AF770">
        <v>6.6823179446996868</v>
      </c>
      <c r="AG770">
        <v>2075.0966010125485</v>
      </c>
      <c r="AH770">
        <v>9.1835396759111845</v>
      </c>
      <c r="AI770">
        <v>1875.4954133137878</v>
      </c>
      <c r="AJ770">
        <v>6.6800711527619017</v>
      </c>
    </row>
    <row r="771" spans="4:36" x14ac:dyDescent="0.45">
      <c r="D771">
        <v>764</v>
      </c>
      <c r="E771">
        <v>11.314976084480856</v>
      </c>
      <c r="F771">
        <v>0.49506857138927413</v>
      </c>
      <c r="G771">
        <v>0.15466435069730611</v>
      </c>
      <c r="H771">
        <v>18.035290993432557</v>
      </c>
      <c r="I771">
        <v>11.517619802026518</v>
      </c>
      <c r="J771">
        <v>0.31227533110716221</v>
      </c>
      <c r="K771">
        <v>9.7266988269907304E-2</v>
      </c>
      <c r="L771">
        <v>18.072837878596417</v>
      </c>
      <c r="M771">
        <v>11.452404075085056</v>
      </c>
      <c r="N771">
        <v>0.37111420997842831</v>
      </c>
      <c r="O771">
        <v>0.11570465251369857</v>
      </c>
      <c r="P771">
        <v>18.060777062422822</v>
      </c>
      <c r="Q771">
        <v>11.428390982959085</v>
      </c>
      <c r="R771">
        <v>0.39277653966138826</v>
      </c>
      <c r="S771">
        <v>0.12250173005803124</v>
      </c>
      <c r="T771">
        <v>18.0563307473215</v>
      </c>
      <c r="U771">
        <v>1481.9947706289361</v>
      </c>
      <c r="V771">
        <v>8.9422188047982818</v>
      </c>
      <c r="W771">
        <v>1250.7118797797202</v>
      </c>
      <c r="X771">
        <v>6.5365023722262041</v>
      </c>
      <c r="Y771">
        <v>2848.7100590033301</v>
      </c>
      <c r="Z771">
        <v>8.95634065596475</v>
      </c>
      <c r="AA771">
        <v>2700.6666466181337</v>
      </c>
      <c r="AB771">
        <v>6.5465352942303952</v>
      </c>
      <c r="AC771">
        <v>2162.7245245649801</v>
      </c>
      <c r="AD771">
        <v>8.9517830556879758</v>
      </c>
      <c r="AE771">
        <v>1982.9499320062357</v>
      </c>
      <c r="AF771">
        <v>6.5433060825379572</v>
      </c>
      <c r="AG771">
        <v>2067.1155796172711</v>
      </c>
      <c r="AH771">
        <v>8.9501079568324826</v>
      </c>
      <c r="AI771">
        <v>1871.0864968906521</v>
      </c>
      <c r="AJ771">
        <v>6.5421171430960197</v>
      </c>
    </row>
    <row r="772" spans="4:36" x14ac:dyDescent="0.45">
      <c r="D772">
        <v>765</v>
      </c>
      <c r="E772">
        <v>11.6040213498455</v>
      </c>
      <c r="F772">
        <v>0.41261411925093594</v>
      </c>
      <c r="G772">
        <v>0.14762057119244112</v>
      </c>
      <c r="H772">
        <v>17.83574395971112</v>
      </c>
      <c r="I772">
        <v>11.814452161674502</v>
      </c>
      <c r="J772">
        <v>0.25345437177180336</v>
      </c>
      <c r="K772">
        <v>9.0393037284309335E-2</v>
      </c>
      <c r="L772">
        <v>17.84170042926938</v>
      </c>
      <c r="M772">
        <v>11.707723084419355</v>
      </c>
      <c r="N772">
        <v>0.33421021441829984</v>
      </c>
      <c r="O772">
        <v>0.11938399923061323</v>
      </c>
      <c r="P772">
        <v>17.838682701931731</v>
      </c>
      <c r="Q772">
        <v>11.668506076202384</v>
      </c>
      <c r="R772">
        <v>0.36386745763094663</v>
      </c>
      <c r="S772">
        <v>0.1300543415709412</v>
      </c>
      <c r="T772">
        <v>17.837572124595752</v>
      </c>
      <c r="U772">
        <v>1481.8530135198885</v>
      </c>
      <c r="V772">
        <v>9.1415581025753134</v>
      </c>
      <c r="W772">
        <v>1255.0376432761996</v>
      </c>
      <c r="X772">
        <v>6.6635722669154056</v>
      </c>
      <c r="Y772">
        <v>2830.1136782950543</v>
      </c>
      <c r="Z772">
        <v>9.1807079542070742</v>
      </c>
      <c r="AA772">
        <v>2690.3431763538779</v>
      </c>
      <c r="AB772">
        <v>6.6869548499501397</v>
      </c>
      <c r="AC772">
        <v>2165.203975965831</v>
      </c>
      <c r="AD772">
        <v>9.1608487190098824</v>
      </c>
      <c r="AE772">
        <v>1986.1601718105901</v>
      </c>
      <c r="AF772">
        <v>6.6751054767900557</v>
      </c>
      <c r="AG772">
        <v>2064.24086204064</v>
      </c>
      <c r="AH772">
        <v>9.1535529442237547</v>
      </c>
      <c r="AI772">
        <v>1869.6469316448365</v>
      </c>
      <c r="AJ772">
        <v>6.6707462773522206</v>
      </c>
    </row>
    <row r="773" spans="4:36" x14ac:dyDescent="0.45">
      <c r="D773">
        <v>766</v>
      </c>
      <c r="E773">
        <v>12.603609444364546</v>
      </c>
      <c r="F773">
        <v>0.46997792950629513</v>
      </c>
      <c r="G773">
        <v>0.1611027112138306</v>
      </c>
      <c r="H773">
        <v>16.765309914915346</v>
      </c>
      <c r="I773">
        <v>12.825939030384459</v>
      </c>
      <c r="J773">
        <v>0.30432582781299161</v>
      </c>
      <c r="K773">
        <v>0.10398371581234334</v>
      </c>
      <c r="L773">
        <v>16.765751425990221</v>
      </c>
      <c r="M773">
        <v>12.708146723327747</v>
      </c>
      <c r="N773">
        <v>0.39212410162305877</v>
      </c>
      <c r="O773">
        <v>0.13421116855458221</v>
      </c>
      <c r="P773">
        <v>16.765518006494609</v>
      </c>
      <c r="Q773">
        <v>12.700516085475565</v>
      </c>
      <c r="R773">
        <v>0.39780906150155459</v>
      </c>
      <c r="S773">
        <v>0.13617200602719293</v>
      </c>
      <c r="T773">
        <v>16.76550284699568</v>
      </c>
      <c r="U773">
        <v>1534.3934133221489</v>
      </c>
      <c r="V773">
        <v>9.9911256629188454</v>
      </c>
      <c r="W773">
        <v>1280.6415453290397</v>
      </c>
      <c r="X773">
        <v>7.1638977032648592</v>
      </c>
      <c r="Y773">
        <v>2893.4123205440469</v>
      </c>
      <c r="Z773">
        <v>10.034317882685272</v>
      </c>
      <c r="AA773">
        <v>2727.1780182407651</v>
      </c>
      <c r="AB773">
        <v>7.1889879653485167</v>
      </c>
      <c r="AC773">
        <v>2239.2201822827392</v>
      </c>
      <c r="AD773">
        <v>10.011433622972783</v>
      </c>
      <c r="AE773">
        <v>2028.9257629314618</v>
      </c>
      <c r="AF773">
        <v>7.1757056996282946</v>
      </c>
      <c r="AG773">
        <v>2108.1399066000081</v>
      </c>
      <c r="AH773">
        <v>10.009951218116495</v>
      </c>
      <c r="AI773">
        <v>1891.8816037593183</v>
      </c>
      <c r="AJ773">
        <v>7.1748444336300086</v>
      </c>
    </row>
    <row r="774" spans="4:36" x14ac:dyDescent="0.45">
      <c r="D774">
        <v>767</v>
      </c>
      <c r="E774">
        <v>13.689861317859444</v>
      </c>
      <c r="F774">
        <v>0.47407322689390063</v>
      </c>
      <c r="G774">
        <v>0.19576498652119997</v>
      </c>
      <c r="H774">
        <v>15.640300468725437</v>
      </c>
      <c r="I774">
        <v>13.944445372876499</v>
      </c>
      <c r="J774">
        <v>0.29923589449482074</v>
      </c>
      <c r="K774">
        <v>0.12312867465194664</v>
      </c>
      <c r="L774">
        <v>15.633190057976742</v>
      </c>
      <c r="M774">
        <v>13.814988976370614</v>
      </c>
      <c r="N774">
        <v>0.3881906503798907</v>
      </c>
      <c r="O774">
        <v>0.16001942242769807</v>
      </c>
      <c r="P774">
        <v>15.636800950821787</v>
      </c>
      <c r="Q774">
        <v>13.721428841082698</v>
      </c>
      <c r="R774">
        <v>0.45241568197898213</v>
      </c>
      <c r="S774">
        <v>0.18673875056627584</v>
      </c>
      <c r="T774">
        <v>15.639416726372046</v>
      </c>
      <c r="U774">
        <v>1600.7595508632705</v>
      </c>
      <c r="V774">
        <v>10.86979175688421</v>
      </c>
      <c r="W774">
        <v>1317.8221434807799</v>
      </c>
      <c r="X774">
        <v>7.6692192346238004</v>
      </c>
      <c r="Y774">
        <v>2934.272437458209</v>
      </c>
      <c r="Z774">
        <v>10.920449349352289</v>
      </c>
      <c r="AA774">
        <v>2750.2170496685576</v>
      </c>
      <c r="AB774">
        <v>7.6978724041340882</v>
      </c>
      <c r="AC774">
        <v>2297.8787531821968</v>
      </c>
      <c r="AD774">
        <v>10.894692223952617</v>
      </c>
      <c r="AE774">
        <v>2062.8521024798033</v>
      </c>
      <c r="AF774">
        <v>7.6833157257828315</v>
      </c>
      <c r="AG774">
        <v>2206.3080921947158</v>
      </c>
      <c r="AH774">
        <v>10.876074140069441</v>
      </c>
      <c r="AI774">
        <v>1949.3803289246805</v>
      </c>
      <c r="AJ774">
        <v>7.6727780188090211</v>
      </c>
    </row>
    <row r="775" spans="4:36" x14ac:dyDescent="0.45">
      <c r="D775">
        <v>768</v>
      </c>
      <c r="E775">
        <v>13.133530081111997</v>
      </c>
      <c r="F775">
        <v>0.46020139368728091</v>
      </c>
      <c r="G775">
        <v>0.14682688138178127</v>
      </c>
      <c r="H775">
        <v>16.259441643818956</v>
      </c>
      <c r="I775">
        <v>13.372627748721156</v>
      </c>
      <c r="J775">
        <v>0.29504336180629021</v>
      </c>
      <c r="K775">
        <v>9.384472592179928E-2</v>
      </c>
      <c r="L775">
        <v>16.238484163550762</v>
      </c>
      <c r="M775">
        <v>13.28533503899893</v>
      </c>
      <c r="N775">
        <v>0.35538264347347198</v>
      </c>
      <c r="O775">
        <v>0.11316310478188916</v>
      </c>
      <c r="P775">
        <v>16.246119212745725</v>
      </c>
      <c r="Q775">
        <v>13.247487097332444</v>
      </c>
      <c r="R775">
        <v>0.38152952629862219</v>
      </c>
      <c r="S775">
        <v>0.12154797367188874</v>
      </c>
      <c r="T775">
        <v>16.249435402697046</v>
      </c>
      <c r="U775">
        <v>1541.4205641046183</v>
      </c>
      <c r="V775">
        <v>10.331561718834177</v>
      </c>
      <c r="W775">
        <v>1284.9029025452819</v>
      </c>
      <c r="X775">
        <v>7.3552148067098528</v>
      </c>
      <c r="Y775">
        <v>2915.2990024770679</v>
      </c>
      <c r="Z775">
        <v>10.390443448009357</v>
      </c>
      <c r="AA775">
        <v>2742.4458852954385</v>
      </c>
      <c r="AB775">
        <v>7.3881100505456754</v>
      </c>
      <c r="AC775">
        <v>2238.4153914373242</v>
      </c>
      <c r="AD775">
        <v>10.36895525370668</v>
      </c>
      <c r="AE775">
        <v>2029.5856991801109</v>
      </c>
      <c r="AF775">
        <v>7.3761169595893614</v>
      </c>
      <c r="AG775">
        <v>2122.7970408118276</v>
      </c>
      <c r="AH775">
        <v>10.359635281390819</v>
      </c>
      <c r="AI775">
        <v>1902.1912763693647</v>
      </c>
      <c r="AJ775">
        <v>7.3709111126729692</v>
      </c>
    </row>
    <row r="776" spans="4:36" x14ac:dyDescent="0.45">
      <c r="D776">
        <v>769</v>
      </c>
      <c r="E776">
        <v>11.065579481485868</v>
      </c>
      <c r="F776">
        <v>0.42699704585786757</v>
      </c>
      <c r="G776">
        <v>0.15556483018993367</v>
      </c>
      <c r="H776">
        <v>18.351858642466325</v>
      </c>
      <c r="I776">
        <v>11.234212246444917</v>
      </c>
      <c r="J776">
        <v>0.28260039000950499</v>
      </c>
      <c r="K776">
        <v>0.10267625542836306</v>
      </c>
      <c r="L776">
        <v>18.380511108117219</v>
      </c>
      <c r="M776">
        <v>11.142886951720879</v>
      </c>
      <c r="N776">
        <v>0.36081335561634914</v>
      </c>
      <c r="O776">
        <v>0.13128713352655128</v>
      </c>
      <c r="P776">
        <v>18.365012559136218</v>
      </c>
      <c r="Q776">
        <v>11.122712440718553</v>
      </c>
      <c r="R776">
        <v>0.37808709494754955</v>
      </c>
      <c r="S776">
        <v>0.13761756483321361</v>
      </c>
      <c r="T776">
        <v>18.361582899500672</v>
      </c>
      <c r="U776">
        <v>1447.4513462924431</v>
      </c>
      <c r="V776">
        <v>8.7847961023646484</v>
      </c>
      <c r="W776">
        <v>1230.4504309710376</v>
      </c>
      <c r="X776">
        <v>6.4548729591280205</v>
      </c>
      <c r="Y776">
        <v>2833.2563380497595</v>
      </c>
      <c r="Z776">
        <v>8.7995754131098831</v>
      </c>
      <c r="AA776">
        <v>2691.5805230834508</v>
      </c>
      <c r="AB776">
        <v>6.4650575195946907</v>
      </c>
      <c r="AC776">
        <v>2160.2432478967571</v>
      </c>
      <c r="AD776">
        <v>8.7915610657874588</v>
      </c>
      <c r="AE776">
        <v>1981.897861026019</v>
      </c>
      <c r="AF776">
        <v>6.4595424487034974</v>
      </c>
      <c r="AG776">
        <v>2054.6185382914409</v>
      </c>
      <c r="AH776">
        <v>8.7897939410694423</v>
      </c>
      <c r="AI776">
        <v>1863.0678800914184</v>
      </c>
      <c r="AJ776">
        <v>6.4583239618046857</v>
      </c>
    </row>
    <row r="777" spans="4:36" x14ac:dyDescent="0.45">
      <c r="D777">
        <v>770</v>
      </c>
      <c r="E777">
        <v>12.547671449793325</v>
      </c>
      <c r="F777">
        <v>0.44884950091098957</v>
      </c>
      <c r="G777">
        <v>0.16419406126890415</v>
      </c>
      <c r="H777">
        <v>16.839284988026776</v>
      </c>
      <c r="I777">
        <v>12.765858300595962</v>
      </c>
      <c r="J777">
        <v>0.29255372551494213</v>
      </c>
      <c r="K777">
        <v>0.10667729065259864</v>
      </c>
      <c r="L777">
        <v>16.834910683236497</v>
      </c>
      <c r="M777">
        <v>12.707430667739496</v>
      </c>
      <c r="N777">
        <v>0.33443587483322296</v>
      </c>
      <c r="O777">
        <v>0.12205331525248427</v>
      </c>
      <c r="P777">
        <v>16.83608014217479</v>
      </c>
      <c r="Q777">
        <v>12.650737098457556</v>
      </c>
      <c r="R777">
        <v>0.37505540101839735</v>
      </c>
      <c r="S777">
        <v>0.13699126746714535</v>
      </c>
      <c r="T777">
        <v>16.8372162330569</v>
      </c>
      <c r="U777">
        <v>1535.9328698051522</v>
      </c>
      <c r="V777">
        <v>9.9687333809512424</v>
      </c>
      <c r="W777">
        <v>1281.4130142187323</v>
      </c>
      <c r="X777">
        <v>7.1552943048833955</v>
      </c>
      <c r="Y777">
        <v>2893.6300527259273</v>
      </c>
      <c r="Z777">
        <v>10.012787449327636</v>
      </c>
      <c r="AA777">
        <v>2726.9742044526233</v>
      </c>
      <c r="AB777">
        <v>7.1807411190273438</v>
      </c>
      <c r="AC777">
        <v>2195.6146532781886</v>
      </c>
      <c r="AD777">
        <v>10.000991052349878</v>
      </c>
      <c r="AE777">
        <v>2000.2852275307225</v>
      </c>
      <c r="AF777">
        <v>7.1739357110521382</v>
      </c>
      <c r="AG777">
        <v>2106.3993781178938</v>
      </c>
      <c r="AH777">
        <v>9.9895442597544868</v>
      </c>
      <c r="AI777">
        <v>1890.7181233050444</v>
      </c>
      <c r="AJ777">
        <v>7.1673260714246307</v>
      </c>
    </row>
    <row r="778" spans="4:36" x14ac:dyDescent="0.45">
      <c r="D778">
        <v>771</v>
      </c>
      <c r="E778">
        <v>11.41002155500863</v>
      </c>
      <c r="F778">
        <v>0.43327397419318658</v>
      </c>
      <c r="G778">
        <v>0.18602521915524542</v>
      </c>
      <c r="H778">
        <v>17.970679251642927</v>
      </c>
      <c r="I778">
        <v>11.616043311144118</v>
      </c>
      <c r="J778">
        <v>0.27258909147305221</v>
      </c>
      <c r="K778">
        <v>0.11664249280527511</v>
      </c>
      <c r="L778">
        <v>17.994725104577565</v>
      </c>
      <c r="M778">
        <v>11.543111263826187</v>
      </c>
      <c r="N778">
        <v>0.32949718545905765</v>
      </c>
      <c r="O778">
        <v>0.1411610186006268</v>
      </c>
      <c r="P778">
        <v>17.986230532114135</v>
      </c>
      <c r="Q778">
        <v>11.515355240577543</v>
      </c>
      <c r="R778">
        <v>0.35114763585704317</v>
      </c>
      <c r="S778">
        <v>0.15050447572697309</v>
      </c>
      <c r="T778">
        <v>17.982992647838447</v>
      </c>
      <c r="U778">
        <v>1505.9645678979091</v>
      </c>
      <c r="V778">
        <v>9.0824215315820851</v>
      </c>
      <c r="W778">
        <v>1266.313575653058</v>
      </c>
      <c r="X778">
        <v>6.6340737613421332</v>
      </c>
      <c r="Y778">
        <v>2877.0359601425494</v>
      </c>
      <c r="Z778">
        <v>9.1098649843284711</v>
      </c>
      <c r="AA778">
        <v>2720.2338612660978</v>
      </c>
      <c r="AB778">
        <v>6.6515367632615954</v>
      </c>
      <c r="AC778">
        <v>2167.7308550094617</v>
      </c>
      <c r="AD778">
        <v>9.100139539650522</v>
      </c>
      <c r="AE778">
        <v>1984.6562556528995</v>
      </c>
      <c r="AF778">
        <v>6.6453587915520336</v>
      </c>
      <c r="AG778">
        <v>2073.094099405273</v>
      </c>
      <c r="AH778">
        <v>9.0964412760906104</v>
      </c>
      <c r="AI778">
        <v>1873.1534512936159</v>
      </c>
      <c r="AJ778">
        <v>6.6430064840676915</v>
      </c>
    </row>
    <row r="779" spans="4:36" x14ac:dyDescent="0.45">
      <c r="D779">
        <v>772</v>
      </c>
      <c r="E779">
        <v>11.445938845901409</v>
      </c>
      <c r="F779">
        <v>0.4413140625410098</v>
      </c>
      <c r="G779">
        <v>0.1698922025664813</v>
      </c>
      <c r="H779">
        <v>17.942854888991114</v>
      </c>
      <c r="I779">
        <v>11.649839277949733</v>
      </c>
      <c r="J779">
        <v>0.27600212420823611</v>
      </c>
      <c r="K779">
        <v>0.10589527460138101</v>
      </c>
      <c r="L779">
        <v>17.968263323240649</v>
      </c>
      <c r="M779">
        <v>11.567887384590637</v>
      </c>
      <c r="N779">
        <v>0.34246750684598953</v>
      </c>
      <c r="O779">
        <v>0.1315734973168956</v>
      </c>
      <c r="P779">
        <v>17.958071611246478</v>
      </c>
      <c r="Q779">
        <v>11.54110298752623</v>
      </c>
      <c r="R779">
        <v>0.36418375241143408</v>
      </c>
      <c r="S779">
        <v>0.13997855521827884</v>
      </c>
      <c r="T779">
        <v>17.954734704844075</v>
      </c>
      <c r="U779">
        <v>1471.890438923899</v>
      </c>
      <c r="V779">
        <v>9.0469437643233608</v>
      </c>
      <c r="W779">
        <v>1245.1906379443503</v>
      </c>
      <c r="X779">
        <v>6.6037357174163693</v>
      </c>
      <c r="Y779">
        <v>2848.8836616209724</v>
      </c>
      <c r="Z779">
        <v>9.0700977128945883</v>
      </c>
      <c r="AA779">
        <v>2702.1880560116506</v>
      </c>
      <c r="AB779">
        <v>6.6186906524030267</v>
      </c>
      <c r="AC779">
        <v>2173.9523448065329</v>
      </c>
      <c r="AD779">
        <v>9.0607803123122412</v>
      </c>
      <c r="AE779">
        <v>1991.6929877653176</v>
      </c>
      <c r="AF779">
        <v>6.6126827454632702</v>
      </c>
      <c r="AG779">
        <v>2039.7709588625598</v>
      </c>
      <c r="AH779">
        <v>9.0577383900792388</v>
      </c>
      <c r="AI779">
        <v>1851.3552993583032</v>
      </c>
      <c r="AJ779">
        <v>6.6107183659486051</v>
      </c>
    </row>
    <row r="780" spans="4:36" x14ac:dyDescent="0.45">
      <c r="D780">
        <v>773</v>
      </c>
      <c r="E780">
        <v>11.741169273286886</v>
      </c>
      <c r="F780">
        <v>0.44944030527342332</v>
      </c>
      <c r="G780">
        <v>0.14697343281796632</v>
      </c>
      <c r="H780">
        <v>17.662416988621729</v>
      </c>
      <c r="I780">
        <v>11.965767132049974</v>
      </c>
      <c r="J780">
        <v>0.27146126349218558</v>
      </c>
      <c r="K780">
        <v>8.847231952150951E-2</v>
      </c>
      <c r="L780">
        <v>17.674299284936339</v>
      </c>
      <c r="M780">
        <v>11.867551713377516</v>
      </c>
      <c r="N780">
        <v>0.34932097549502061</v>
      </c>
      <c r="O780">
        <v>0.11401528848523694</v>
      </c>
      <c r="P780">
        <v>17.669112022642231</v>
      </c>
      <c r="Q780">
        <v>11.845763263838279</v>
      </c>
      <c r="R780">
        <v>0.36658725623179106</v>
      </c>
      <c r="S780">
        <v>0.11969006366418156</v>
      </c>
      <c r="T780">
        <v>17.667959416265752</v>
      </c>
      <c r="U780">
        <v>1497.751093989019</v>
      </c>
      <c r="V780">
        <v>9.3658565111494454</v>
      </c>
      <c r="W780">
        <v>1263.9293177196066</v>
      </c>
      <c r="X780">
        <v>6.8063973966869957</v>
      </c>
      <c r="Y780">
        <v>2829.041132913228</v>
      </c>
      <c r="Z780">
        <v>9.3992526162271233</v>
      </c>
      <c r="AA780">
        <v>2688.193897487532</v>
      </c>
      <c r="AB780">
        <v>6.8265844195170144</v>
      </c>
      <c r="AC780">
        <v>2168.4994425783848</v>
      </c>
      <c r="AD780">
        <v>9.3846433481743912</v>
      </c>
      <c r="AE780">
        <v>1987.4134813060102</v>
      </c>
      <c r="AF780">
        <v>6.8177647157174164</v>
      </c>
      <c r="AG780">
        <v>2042.1123971390375</v>
      </c>
      <c r="AH780">
        <v>9.3814034961567074</v>
      </c>
      <c r="AI780">
        <v>1853.1781982866146</v>
      </c>
      <c r="AJ780">
        <v>6.8158064518926293</v>
      </c>
    </row>
    <row r="781" spans="4:36" x14ac:dyDescent="0.45">
      <c r="D781">
        <v>774</v>
      </c>
      <c r="E781">
        <v>13.687408303903453</v>
      </c>
      <c r="F781">
        <v>0.50132054129555181</v>
      </c>
      <c r="G781">
        <v>0.16910375123936144</v>
      </c>
      <c r="H781">
        <v>15.642167403561647</v>
      </c>
      <c r="I781">
        <v>13.942117866835996</v>
      </c>
      <c r="J781">
        <v>0.3218770149183407</v>
      </c>
      <c r="K781">
        <v>0.10819317376530312</v>
      </c>
      <c r="L781">
        <v>15.627811944480362</v>
      </c>
      <c r="M781">
        <v>13.806174824171633</v>
      </c>
      <c r="N781">
        <v>0.41769679298130175</v>
      </c>
      <c r="O781">
        <v>0.14066416309696772</v>
      </c>
      <c r="P781">
        <v>15.635464219750096</v>
      </c>
      <c r="Q781">
        <v>13.752154883355193</v>
      </c>
      <c r="R781">
        <v>0.45574271369777475</v>
      </c>
      <c r="S781">
        <v>0.15359136645187837</v>
      </c>
      <c r="T781">
        <v>15.638511036495169</v>
      </c>
      <c r="U781">
        <v>1605.9309119017123</v>
      </c>
      <c r="V781">
        <v>10.77391268200167</v>
      </c>
      <c r="W781">
        <v>1321.4898952609503</v>
      </c>
      <c r="X781">
        <v>7.6014193674452999</v>
      </c>
      <c r="Y781">
        <v>2947.5029215861709</v>
      </c>
      <c r="Z781">
        <v>10.824368185186815</v>
      </c>
      <c r="AA781">
        <v>2759.1618736404334</v>
      </c>
      <c r="AB781">
        <v>7.6295390212369956</v>
      </c>
      <c r="AC781">
        <v>2278.8268391277147</v>
      </c>
      <c r="AD781">
        <v>10.797445849376958</v>
      </c>
      <c r="AE781">
        <v>2048.8128892110281</v>
      </c>
      <c r="AF781">
        <v>7.6145458508592201</v>
      </c>
      <c r="AG781">
        <v>2211.0444394095271</v>
      </c>
      <c r="AH781">
        <v>10.786743442388458</v>
      </c>
      <c r="AI781">
        <v>1954.2722879416931</v>
      </c>
      <c r="AJ781">
        <v>7.6085786114120122</v>
      </c>
    </row>
    <row r="782" spans="4:36" x14ac:dyDescent="0.45">
      <c r="D782">
        <v>775</v>
      </c>
      <c r="E782">
        <v>12.636426755443717</v>
      </c>
      <c r="F782">
        <v>0.42283343237053406</v>
      </c>
      <c r="G782">
        <v>0.15792472392588749</v>
      </c>
      <c r="H782">
        <v>16.782815088259859</v>
      </c>
      <c r="I782">
        <v>12.830000861231753</v>
      </c>
      <c r="J782">
        <v>0.28522453971144185</v>
      </c>
      <c r="K782">
        <v>0.10623216452688086</v>
      </c>
      <c r="L782">
        <v>16.778542434529939</v>
      </c>
      <c r="M782">
        <v>12.732248287752988</v>
      </c>
      <c r="N782">
        <v>0.35474392534297189</v>
      </c>
      <c r="O782">
        <v>0.13231043129369233</v>
      </c>
      <c r="P782">
        <v>16.780697355610357</v>
      </c>
      <c r="Q782">
        <v>12.69829092098459</v>
      </c>
      <c r="R782">
        <v>0.37888001547501471</v>
      </c>
      <c r="S782">
        <v>0.14138183545424929</v>
      </c>
      <c r="T782">
        <v>16.781447228086162</v>
      </c>
      <c r="U782">
        <v>1503.9348874809089</v>
      </c>
      <c r="V782">
        <v>9.9602809150547174</v>
      </c>
      <c r="W782">
        <v>1259.6537146721071</v>
      </c>
      <c r="X782">
        <v>7.142701398774558</v>
      </c>
      <c r="Y782">
        <v>2878.3980472235539</v>
      </c>
      <c r="Z782">
        <v>9.9995755507581805</v>
      </c>
      <c r="AA782">
        <v>2716.1692016323736</v>
      </c>
      <c r="AB782">
        <v>7.1652675770573584</v>
      </c>
      <c r="AC782">
        <v>2223.6146635824775</v>
      </c>
      <c r="AD782">
        <v>9.9797338660982966</v>
      </c>
      <c r="AE782">
        <v>2018.3926433695967</v>
      </c>
      <c r="AF782">
        <v>7.1538811367170352</v>
      </c>
      <c r="AG782">
        <v>2112.7201433550122</v>
      </c>
      <c r="AH782">
        <v>9.9728404697780544</v>
      </c>
      <c r="AI782">
        <v>1894.4372615537068</v>
      </c>
      <c r="AJ782">
        <v>7.149921322961462</v>
      </c>
    </row>
    <row r="783" spans="4:36" x14ac:dyDescent="0.45">
      <c r="D783">
        <v>776</v>
      </c>
      <c r="E783">
        <v>11.654168849553422</v>
      </c>
      <c r="F783">
        <v>0.46736050805329482</v>
      </c>
      <c r="G783">
        <v>0.19925204196827648</v>
      </c>
      <c r="H783">
        <v>17.679218600424999</v>
      </c>
      <c r="I783">
        <v>11.872287808511949</v>
      </c>
      <c r="J783">
        <v>0.29060437543464251</v>
      </c>
      <c r="K783">
        <v>0.12344451272520221</v>
      </c>
      <c r="L783">
        <v>17.713663303328193</v>
      </c>
      <c r="M783">
        <v>11.78766788480349</v>
      </c>
      <c r="N783">
        <v>0.35920327635884025</v>
      </c>
      <c r="O783">
        <v>0.15279897810378479</v>
      </c>
      <c r="P783">
        <v>17.700329860733884</v>
      </c>
      <c r="Q783">
        <v>11.75148429043508</v>
      </c>
      <c r="R783">
        <v>0.38852630887311207</v>
      </c>
      <c r="S783">
        <v>0.16537229863852065</v>
      </c>
      <c r="T783">
        <v>17.694617102053293</v>
      </c>
      <c r="U783">
        <v>1562.5263827887911</v>
      </c>
      <c r="V783">
        <v>9.1523615909457199</v>
      </c>
      <c r="W783">
        <v>1296.8610956875516</v>
      </c>
      <c r="X783">
        <v>6.6513100837275392</v>
      </c>
      <c r="Y783">
        <v>2914.7851188762756</v>
      </c>
      <c r="Z783">
        <v>9.1706036906395383</v>
      </c>
      <c r="AA783">
        <v>2741.2858851861706</v>
      </c>
      <c r="AB783">
        <v>6.6638940216229861</v>
      </c>
      <c r="AC783">
        <v>2212.3942942188974</v>
      </c>
      <c r="AD783">
        <v>9.1635092349064902</v>
      </c>
      <c r="AE783">
        <v>2008.6820419204319</v>
      </c>
      <c r="AF783">
        <v>6.6590118198132551</v>
      </c>
      <c r="AG783">
        <v>2100.1550072246714</v>
      </c>
      <c r="AH783">
        <v>9.1604823309997894</v>
      </c>
      <c r="AI783">
        <v>1883.0970900396496</v>
      </c>
      <c r="AJ783">
        <v>6.6569242707639589</v>
      </c>
    </row>
    <row r="784" spans="4:36" x14ac:dyDescent="0.45">
      <c r="D784">
        <v>777</v>
      </c>
      <c r="E784">
        <v>14.405940337046438</v>
      </c>
      <c r="F784">
        <v>0.50362451629251914</v>
      </c>
      <c r="G784">
        <v>0.17046186331851407</v>
      </c>
      <c r="H784">
        <v>14.919973283342525</v>
      </c>
      <c r="I784">
        <v>14.641098496194527</v>
      </c>
      <c r="J784">
        <v>0.34687016240092933</v>
      </c>
      <c r="K784">
        <v>0.1170539270084571</v>
      </c>
      <c r="L784">
        <v>14.894977414396099</v>
      </c>
      <c r="M784">
        <v>14.57918004096849</v>
      </c>
      <c r="N784">
        <v>0.38817764746265448</v>
      </c>
      <c r="O784">
        <v>0.13109630757323931</v>
      </c>
      <c r="P784">
        <v>14.901546003995609</v>
      </c>
      <c r="Q784">
        <v>14.496853970969219</v>
      </c>
      <c r="R784">
        <v>0.44306297393910082</v>
      </c>
      <c r="S784">
        <v>0.14978922549116802</v>
      </c>
      <c r="T784">
        <v>14.910293829600503</v>
      </c>
      <c r="U784">
        <v>1672.2355203845377</v>
      </c>
      <c r="V784">
        <v>11.487643767230209</v>
      </c>
      <c r="W784">
        <v>1362.6000666060654</v>
      </c>
      <c r="X784">
        <v>8.0302881614057213</v>
      </c>
      <c r="Y784">
        <v>2981.2727833732151</v>
      </c>
      <c r="Z784">
        <v>11.54678776923252</v>
      </c>
      <c r="AA784">
        <v>2777.5784499648894</v>
      </c>
      <c r="AB784">
        <v>8.0625968087669424</v>
      </c>
      <c r="AC784">
        <v>2309.0728398450001</v>
      </c>
      <c r="AD784">
        <v>11.531223004355287</v>
      </c>
      <c r="AE784">
        <v>2067.7392679684663</v>
      </c>
      <c r="AF784">
        <v>8.0541021325045747</v>
      </c>
      <c r="AG784">
        <v>2185.0088657770452</v>
      </c>
      <c r="AH784">
        <v>11.510519243043907</v>
      </c>
      <c r="AI784">
        <v>1931.9860441598466</v>
      </c>
      <c r="AJ784">
        <v>8.0427940626009491</v>
      </c>
    </row>
    <row r="785" spans="4:36" x14ac:dyDescent="0.45">
      <c r="D785">
        <v>778</v>
      </c>
      <c r="E785">
        <v>13.641147653258697</v>
      </c>
      <c r="F785">
        <v>0.45768629143195344</v>
      </c>
      <c r="G785">
        <v>0.17067110178610956</v>
      </c>
      <c r="H785">
        <v>15.730494953523223</v>
      </c>
      <c r="I785">
        <v>13.887001713773383</v>
      </c>
      <c r="J785">
        <v>0.29390385321610002</v>
      </c>
      <c r="K785">
        <v>0.10923164031605562</v>
      </c>
      <c r="L785">
        <v>15.709862792694462</v>
      </c>
      <c r="M785">
        <v>13.771583793019619</v>
      </c>
      <c r="N785">
        <v>0.3708410242150158</v>
      </c>
      <c r="O785">
        <v>0.1380411019019947</v>
      </c>
      <c r="P785">
        <v>15.719534080863369</v>
      </c>
      <c r="Q785">
        <v>13.750950842778808</v>
      </c>
      <c r="R785">
        <v>0.38458589227398654</v>
      </c>
      <c r="S785">
        <v>0.14319755781485158</v>
      </c>
      <c r="T785">
        <v>15.721265707132345</v>
      </c>
      <c r="U785">
        <v>1593.19548501841</v>
      </c>
      <c r="V785">
        <v>10.774482126821862</v>
      </c>
      <c r="W785">
        <v>1314.1521191601908</v>
      </c>
      <c r="X785">
        <v>7.6127292668456379</v>
      </c>
      <c r="Y785">
        <v>2938.4425083411015</v>
      </c>
      <c r="Z785">
        <v>10.832763101232553</v>
      </c>
      <c r="AA785">
        <v>2753.875706332487</v>
      </c>
      <c r="AB785">
        <v>7.6451230267784736</v>
      </c>
      <c r="AC785">
        <v>2251.5451427027856</v>
      </c>
      <c r="AD785">
        <v>10.805411409360257</v>
      </c>
      <c r="AE785">
        <v>2031.6451274234596</v>
      </c>
      <c r="AF785">
        <v>7.6299325253990196</v>
      </c>
      <c r="AG785">
        <v>2157.5460678742738</v>
      </c>
      <c r="AH785">
        <v>10.80052020130638</v>
      </c>
      <c r="AI785">
        <v>1920.1111834387316</v>
      </c>
      <c r="AJ785">
        <v>7.6272138094823658</v>
      </c>
    </row>
    <row r="786" spans="4:36" x14ac:dyDescent="0.45">
      <c r="D786">
        <v>779</v>
      </c>
      <c r="E786">
        <v>13.442634066609887</v>
      </c>
      <c r="F786">
        <v>0.45017853420722515</v>
      </c>
      <c r="G786">
        <v>0.18111069717343753</v>
      </c>
      <c r="H786">
        <v>15.926076702009439</v>
      </c>
      <c r="I786">
        <v>13.655500145052617</v>
      </c>
      <c r="J786">
        <v>0.30717410829859693</v>
      </c>
      <c r="K786">
        <v>0.1232095188261286</v>
      </c>
      <c r="L786">
        <v>15.914116227822657</v>
      </c>
      <c r="M786">
        <v>13.55699321275754</v>
      </c>
      <c r="N786">
        <v>0.37338767683200191</v>
      </c>
      <c r="O786">
        <v>0.14997501750515652</v>
      </c>
      <c r="P786">
        <v>15.919644092905306</v>
      </c>
      <c r="Q786">
        <v>13.529238741357583</v>
      </c>
      <c r="R786">
        <v>0.39203223348025246</v>
      </c>
      <c r="S786">
        <v>0.15752527078693468</v>
      </c>
      <c r="T786">
        <v>15.921203754375226</v>
      </c>
      <c r="U786">
        <v>1570.9553809250033</v>
      </c>
      <c r="V786">
        <v>10.603140132633174</v>
      </c>
      <c r="W786">
        <v>1301.3402605506685</v>
      </c>
      <c r="X786">
        <v>7.5110186624757143</v>
      </c>
      <c r="Y786">
        <v>2925.2012430964555</v>
      </c>
      <c r="Z786">
        <v>10.649174883101518</v>
      </c>
      <c r="AA786">
        <v>2745.142700396239</v>
      </c>
      <c r="AB786">
        <v>7.5369005178712039</v>
      </c>
      <c r="AC786">
        <v>2255.2752362709721</v>
      </c>
      <c r="AD786">
        <v>10.627875657214133</v>
      </c>
      <c r="AE786">
        <v>2036.1048191327066</v>
      </c>
      <c r="AF786">
        <v>7.5249345620448809</v>
      </c>
      <c r="AG786">
        <v>2109.1242150818803</v>
      </c>
      <c r="AH786">
        <v>10.621873317423397</v>
      </c>
      <c r="AI786">
        <v>1887.2283970752562</v>
      </c>
      <c r="AJ786">
        <v>7.5215596480947005</v>
      </c>
    </row>
    <row r="787" spans="4:36" x14ac:dyDescent="0.45">
      <c r="D787">
        <v>780</v>
      </c>
      <c r="E787">
        <v>12.545059480883964</v>
      </c>
      <c r="F787">
        <v>0.46101675030663469</v>
      </c>
      <c r="G787">
        <v>0.18147397695647305</v>
      </c>
      <c r="H787">
        <v>16.81244979185292</v>
      </c>
      <c r="I787">
        <v>12.76520184971352</v>
      </c>
      <c r="J787">
        <v>0.2947600703296685</v>
      </c>
      <c r="K787">
        <v>0.11562803192986644</v>
      </c>
      <c r="L787">
        <v>16.824410048026937</v>
      </c>
      <c r="M787">
        <v>12.665966076376348</v>
      </c>
      <c r="N787">
        <v>0.36973761720574611</v>
      </c>
      <c r="O787">
        <v>0.1452656637389122</v>
      </c>
      <c r="P787">
        <v>16.819030642678992</v>
      </c>
      <c r="Q787">
        <v>12.616787318639039</v>
      </c>
      <c r="R787">
        <v>0.40687497105485593</v>
      </c>
      <c r="S787">
        <v>0.15998026632240486</v>
      </c>
      <c r="T787">
        <v>16.816357443983684</v>
      </c>
      <c r="U787">
        <v>1560.4763119147885</v>
      </c>
      <c r="V787">
        <v>9.9055802922723633</v>
      </c>
      <c r="W787">
        <v>1295.5260470331457</v>
      </c>
      <c r="X787">
        <v>7.1055166074049181</v>
      </c>
      <c r="Y787">
        <v>2907.2034145259795</v>
      </c>
      <c r="Z787">
        <v>9.9390717741810661</v>
      </c>
      <c r="AA787">
        <v>2734.9238304982764</v>
      </c>
      <c r="AB787">
        <v>7.1255429945386402</v>
      </c>
      <c r="AC787">
        <v>2253.985093310886</v>
      </c>
      <c r="AD787">
        <v>9.9239683713859073</v>
      </c>
      <c r="AE787">
        <v>2037.5428210819532</v>
      </c>
      <c r="AF787">
        <v>7.1165220910208555</v>
      </c>
      <c r="AG787">
        <v>2155.9099903108768</v>
      </c>
      <c r="AH787">
        <v>9.916487211057829</v>
      </c>
      <c r="AI787">
        <v>1921.6633648123216</v>
      </c>
      <c r="AJ787">
        <v>7.1120475617209022</v>
      </c>
    </row>
    <row r="788" spans="4:36" x14ac:dyDescent="0.45">
      <c r="D788">
        <v>781</v>
      </c>
      <c r="E788">
        <v>13.037151492770025</v>
      </c>
      <c r="F788">
        <v>0.49321335692012236</v>
      </c>
      <c r="G788">
        <v>0.18250951869269294</v>
      </c>
      <c r="H788">
        <v>16.287125631617137</v>
      </c>
      <c r="I788">
        <v>13.288059426850563</v>
      </c>
      <c r="J788">
        <v>0.31179416182300568</v>
      </c>
      <c r="K788">
        <v>0.11495417653197926</v>
      </c>
      <c r="L788">
        <v>16.285192234794454</v>
      </c>
      <c r="M788">
        <v>13.217787215321088</v>
      </c>
      <c r="N788">
        <v>0.36264126564155791</v>
      </c>
      <c r="O788">
        <v>0.13383749916349816</v>
      </c>
      <c r="P788">
        <v>16.28573401987385</v>
      </c>
      <c r="Q788">
        <v>13.126587950181754</v>
      </c>
      <c r="R788">
        <v>0.42858816270380712</v>
      </c>
      <c r="S788">
        <v>0.15838707794825818</v>
      </c>
      <c r="T788">
        <v>16.286436809166169</v>
      </c>
      <c r="U788">
        <v>1592.0811822180503</v>
      </c>
      <c r="V788">
        <v>10.333258390844833</v>
      </c>
      <c r="W788">
        <v>1316.3222734671137</v>
      </c>
      <c r="X788">
        <v>7.3566274421181674</v>
      </c>
      <c r="Y788">
        <v>2921.0415251626891</v>
      </c>
      <c r="Z788">
        <v>10.379218500841402</v>
      </c>
      <c r="AA788">
        <v>2743.7571954781888</v>
      </c>
      <c r="AB788">
        <v>7.3832049383212368</v>
      </c>
      <c r="AC788">
        <v>2243.2924669056615</v>
      </c>
      <c r="AD788">
        <v>10.366345113790601</v>
      </c>
      <c r="AE788">
        <v>2030.6329456813937</v>
      </c>
      <c r="AF788">
        <v>7.3757709605424857</v>
      </c>
      <c r="AG788">
        <v>2126.3533447405421</v>
      </c>
      <c r="AH788">
        <v>10.349639490922003</v>
      </c>
      <c r="AI788">
        <v>1899.272864191488</v>
      </c>
      <c r="AJ788">
        <v>7.3661120220899141</v>
      </c>
    </row>
    <row r="789" spans="4:36" x14ac:dyDescent="0.45">
      <c r="D789">
        <v>782</v>
      </c>
      <c r="E789">
        <v>13.687896018859464</v>
      </c>
      <c r="F789">
        <v>0.48742693665377085</v>
      </c>
      <c r="G789">
        <v>0.15654566397971487</v>
      </c>
      <c r="H789">
        <v>15.66813138050704</v>
      </c>
      <c r="I789">
        <v>13.963264540603966</v>
      </c>
      <c r="J789">
        <v>0.29781911443671955</v>
      </c>
      <c r="K789">
        <v>9.5318726095736911E-2</v>
      </c>
      <c r="L789">
        <v>15.643597618863591</v>
      </c>
      <c r="M789">
        <v>13.850462908218478</v>
      </c>
      <c r="N789">
        <v>0.37554580651629343</v>
      </c>
      <c r="O789">
        <v>0.12036560642533561</v>
      </c>
      <c r="P789">
        <v>15.653625678839884</v>
      </c>
      <c r="Q789">
        <v>13.763151321623219</v>
      </c>
      <c r="R789">
        <v>0.43565522625235786</v>
      </c>
      <c r="S789">
        <v>0.13978495056211476</v>
      </c>
      <c r="T789">
        <v>15.661408501562315</v>
      </c>
      <c r="U789">
        <v>1582.296491154942</v>
      </c>
      <c r="V789">
        <v>10.807285322298197</v>
      </c>
      <c r="W789">
        <v>1304.3779897670897</v>
      </c>
      <c r="X789">
        <v>7.6305766882731811</v>
      </c>
      <c r="Y789">
        <v>2904.4381474854122</v>
      </c>
      <c r="Z789">
        <v>10.874118147763804</v>
      </c>
      <c r="AA789">
        <v>2729.573011545092</v>
      </c>
      <c r="AB789">
        <v>7.6675005256019801</v>
      </c>
      <c r="AC789">
        <v>2268.6033170588194</v>
      </c>
      <c r="AD789">
        <v>10.846754088917944</v>
      </c>
      <c r="AE789">
        <v>2043.4827193304611</v>
      </c>
      <c r="AF789">
        <v>7.6523968411843164</v>
      </c>
      <c r="AG789">
        <v>2182.2561009703795</v>
      </c>
      <c r="AH789">
        <v>10.825560951366352</v>
      </c>
      <c r="AI789">
        <v>1934.0764693782573</v>
      </c>
      <c r="AJ789">
        <v>7.640685511827809</v>
      </c>
    </row>
    <row r="790" spans="4:36" x14ac:dyDescent="0.45">
      <c r="D790">
        <v>783</v>
      </c>
      <c r="E790">
        <v>13.28579161296862</v>
      </c>
      <c r="F790">
        <v>0.49363551292117136</v>
      </c>
      <c r="G790">
        <v>0.18456660597569932</v>
      </c>
      <c r="H790">
        <v>16.036006268134496</v>
      </c>
      <c r="I790">
        <v>13.551616303919866</v>
      </c>
      <c r="J790">
        <v>0.30332418394087651</v>
      </c>
      <c r="K790">
        <v>0.11298825293219972</v>
      </c>
      <c r="L790">
        <v>16.032071259207061</v>
      </c>
      <c r="M790">
        <v>13.437259629449164</v>
      </c>
      <c r="N790">
        <v>0.3852457987433684</v>
      </c>
      <c r="O790">
        <v>0.14373348387831819</v>
      </c>
      <c r="P790">
        <v>16.033761087929165</v>
      </c>
      <c r="Q790">
        <v>13.392339918304277</v>
      </c>
      <c r="R790">
        <v>0.41740413134654453</v>
      </c>
      <c r="S790">
        <v>0.15582985910636146</v>
      </c>
      <c r="T790">
        <v>16.034426091242821</v>
      </c>
      <c r="U790">
        <v>1562.5245589178587</v>
      </c>
      <c r="V790">
        <v>10.524783866104285</v>
      </c>
      <c r="W790">
        <v>1292.9224927532462</v>
      </c>
      <c r="X790">
        <v>7.4682535568809936</v>
      </c>
      <c r="Y790">
        <v>2911.5074132884452</v>
      </c>
      <c r="Z790">
        <v>10.57878647965118</v>
      </c>
      <c r="AA790">
        <v>2736.1717592990121</v>
      </c>
      <c r="AB790">
        <v>7.4990769561611064</v>
      </c>
      <c r="AC790">
        <v>2267.7287477803798</v>
      </c>
      <c r="AD790">
        <v>10.555556260321456</v>
      </c>
      <c r="AE790">
        <v>2044.7127730184502</v>
      </c>
      <c r="AF790">
        <v>7.485831983832794</v>
      </c>
      <c r="AG790">
        <v>2162.1111780843785</v>
      </c>
      <c r="AH790">
        <v>10.546430738093727</v>
      </c>
      <c r="AI790">
        <v>1923.7825645661342</v>
      </c>
      <c r="AJ790">
        <v>7.4806230929218902</v>
      </c>
    </row>
    <row r="791" spans="4:36" x14ac:dyDescent="0.45">
      <c r="D791">
        <v>784</v>
      </c>
      <c r="E791">
        <v>12.947478447944025</v>
      </c>
      <c r="F791">
        <v>0.45518690668412765</v>
      </c>
      <c r="G791">
        <v>0.1592211517771982</v>
      </c>
      <c r="H791">
        <v>16.438113493594656</v>
      </c>
      <c r="I791">
        <v>13.189430478081825</v>
      </c>
      <c r="J791">
        <v>0.28789151112012967</v>
      </c>
      <c r="K791">
        <v>0.10037019940013041</v>
      </c>
      <c r="L791">
        <v>16.422307811397921</v>
      </c>
      <c r="M791">
        <v>13.1028365544036</v>
      </c>
      <c r="N791">
        <v>0.34780833407821377</v>
      </c>
      <c r="O791">
        <v>0.12140232542968774</v>
      </c>
      <c r="P791">
        <v>16.42795278608849</v>
      </c>
      <c r="Q791">
        <v>13.034358742434518</v>
      </c>
      <c r="R791">
        <v>0.39515681946357584</v>
      </c>
      <c r="S791">
        <v>0.13805834087480243</v>
      </c>
      <c r="T791">
        <v>16.432426097227111</v>
      </c>
      <c r="U791">
        <v>1559.9643530016422</v>
      </c>
      <c r="V791">
        <v>10.22045187634974</v>
      </c>
      <c r="W791">
        <v>1296.0791288259188</v>
      </c>
      <c r="X791">
        <v>7.2928676032707651</v>
      </c>
      <c r="Y791">
        <v>2895.1507673759193</v>
      </c>
      <c r="Z791">
        <v>10.271985345895411</v>
      </c>
      <c r="AA791">
        <v>2727.0174834671498</v>
      </c>
      <c r="AB791">
        <v>7.3217901274389785</v>
      </c>
      <c r="AC791">
        <v>2250.3496245952942</v>
      </c>
      <c r="AD791">
        <v>10.253549066426155</v>
      </c>
      <c r="AE791">
        <v>2036.8436484592598</v>
      </c>
      <c r="AF791">
        <v>7.3114536413282583</v>
      </c>
      <c r="AG791">
        <v>2142.5492919622825</v>
      </c>
      <c r="AH791">
        <v>10.238963977469593</v>
      </c>
      <c r="AI791">
        <v>1913.3392368636066</v>
      </c>
      <c r="AJ791">
        <v>7.303267989853067</v>
      </c>
    </row>
    <row r="792" spans="4:36" x14ac:dyDescent="0.45">
      <c r="D792">
        <v>785</v>
      </c>
      <c r="E792">
        <v>13.539715628665144</v>
      </c>
      <c r="F792">
        <v>0.53050350755300268</v>
      </c>
      <c r="G792">
        <v>0.1685196572463627</v>
      </c>
      <c r="H792">
        <v>15.761261206535496</v>
      </c>
      <c r="I792">
        <v>13.82187181189023</v>
      </c>
      <c r="J792">
        <v>0.32717285472953428</v>
      </c>
      <c r="K792">
        <v>0.10354239658638854</v>
      </c>
      <c r="L792">
        <v>15.747412936793841</v>
      </c>
      <c r="M792">
        <v>13.757124345692517</v>
      </c>
      <c r="N792">
        <v>0.3738718763442363</v>
      </c>
      <c r="O792">
        <v>0.11842225173298357</v>
      </c>
      <c r="P792">
        <v>15.750581526230256</v>
      </c>
      <c r="Q792">
        <v>13.68642227733616</v>
      </c>
      <c r="R792">
        <v>0.42483860321011363</v>
      </c>
      <c r="S792">
        <v>0.13469135768844362</v>
      </c>
      <c r="T792">
        <v>15.754047761765285</v>
      </c>
      <c r="U792">
        <v>1616.7451809752877</v>
      </c>
      <c r="V792">
        <v>10.738357512571239</v>
      </c>
      <c r="W792">
        <v>1326.5324034940054</v>
      </c>
      <c r="X792">
        <v>7.5918414593627244</v>
      </c>
      <c r="Y792">
        <v>2944.3693970490726</v>
      </c>
      <c r="Z792">
        <v>10.801022412129058</v>
      </c>
      <c r="AA792">
        <v>2756.2093140840434</v>
      </c>
      <c r="AB792">
        <v>7.6270863902736323</v>
      </c>
      <c r="AC792">
        <v>2270.0428870959931</v>
      </c>
      <c r="AD792">
        <v>10.786647146408503</v>
      </c>
      <c r="AE792">
        <v>2045.2065558276634</v>
      </c>
      <c r="AF792">
        <v>7.6190126211499933</v>
      </c>
      <c r="AG792">
        <v>2183.7045149179703</v>
      </c>
      <c r="AH792">
        <v>10.770946664118341</v>
      </c>
      <c r="AI792">
        <v>1936.4919868685906</v>
      </c>
      <c r="AJ792">
        <v>7.6101868567283599</v>
      </c>
    </row>
    <row r="793" spans="4:36" x14ac:dyDescent="0.45">
      <c r="D793">
        <v>786</v>
      </c>
      <c r="E793">
        <v>12.675456932926474</v>
      </c>
      <c r="F793">
        <v>0.46113451366194036</v>
      </c>
      <c r="G793">
        <v>0.15755022616446956</v>
      </c>
      <c r="H793">
        <v>16.705858327247135</v>
      </c>
      <c r="I793">
        <v>12.882135086089944</v>
      </c>
      <c r="J793">
        <v>0.30523784483493505</v>
      </c>
      <c r="K793">
        <v>0.10398203320134324</v>
      </c>
      <c r="L793">
        <v>16.708645035873779</v>
      </c>
      <c r="M793">
        <v>12.770458652511829</v>
      </c>
      <c r="N793">
        <v>0.38950357253892287</v>
      </c>
      <c r="O793">
        <v>0.13289733842034182</v>
      </c>
      <c r="P793">
        <v>16.707140436528906</v>
      </c>
      <c r="Q793">
        <v>12.736176764934822</v>
      </c>
      <c r="R793">
        <v>0.41535761909996433</v>
      </c>
      <c r="S793">
        <v>0.14178760491378584</v>
      </c>
      <c r="T793">
        <v>16.706678011051427</v>
      </c>
      <c r="U793">
        <v>1553.4059013446933</v>
      </c>
      <c r="V793">
        <v>9.9754805473970443</v>
      </c>
      <c r="W793">
        <v>1293.4077796739664</v>
      </c>
      <c r="X793">
        <v>7.1440026793733491</v>
      </c>
      <c r="Y793">
        <v>2902.3614555918052</v>
      </c>
      <c r="Z793">
        <v>10.008897033470314</v>
      </c>
      <c r="AA793">
        <v>2732.5319925078488</v>
      </c>
      <c r="AB793">
        <v>7.1633704810193262</v>
      </c>
      <c r="AC793">
        <v>2256.9769035404943</v>
      </c>
      <c r="AD793">
        <v>9.990840614600911</v>
      </c>
      <c r="AE793">
        <v>2040.5989201276943</v>
      </c>
      <c r="AF793">
        <v>7.1529130371519809</v>
      </c>
      <c r="AG793">
        <v>2139.9722919200926</v>
      </c>
      <c r="AH793">
        <v>9.985297819063339</v>
      </c>
      <c r="AI793">
        <v>1912.1808860674569</v>
      </c>
      <c r="AJ793">
        <v>7.1496992170335316</v>
      </c>
    </row>
    <row r="794" spans="4:36" x14ac:dyDescent="0.45">
      <c r="D794">
        <v>787</v>
      </c>
      <c r="E794">
        <v>13.953902477911324</v>
      </c>
      <c r="F794">
        <v>0.50396854238278821</v>
      </c>
      <c r="G794">
        <v>0.18878039485321166</v>
      </c>
      <c r="H794">
        <v>15.353348584852661</v>
      </c>
      <c r="I794">
        <v>14.209512023586676</v>
      </c>
      <c r="J794">
        <v>0.32504277449517605</v>
      </c>
      <c r="K794">
        <v>0.12133959052958483</v>
      </c>
      <c r="L794">
        <v>15.34410561138856</v>
      </c>
      <c r="M794">
        <v>14.098153779030003</v>
      </c>
      <c r="N794">
        <v>0.40304032416760949</v>
      </c>
      <c r="O794">
        <v>0.15068062350943423</v>
      </c>
      <c r="P794">
        <v>15.348125273292958</v>
      </c>
      <c r="Q794">
        <v>14.032292686761847</v>
      </c>
      <c r="R794">
        <v>0.44913656692581416</v>
      </c>
      <c r="S794">
        <v>0.16806295562810777</v>
      </c>
      <c r="T794">
        <v>15.350507790684242</v>
      </c>
      <c r="U794">
        <v>1621.8488715663984</v>
      </c>
      <c r="V794">
        <v>10.948473687965802</v>
      </c>
      <c r="W794">
        <v>1329.5727797160744</v>
      </c>
      <c r="X794">
        <v>7.6965424358493237</v>
      </c>
      <c r="Y794">
        <v>2950.2390861761373</v>
      </c>
      <c r="Z794">
        <v>11.003442302419003</v>
      </c>
      <c r="AA794">
        <v>2758.9260266495917</v>
      </c>
      <c r="AB794">
        <v>7.727483714560428</v>
      </c>
      <c r="AC794">
        <v>2289.1131133058711</v>
      </c>
      <c r="AD794">
        <v>10.979497814847312</v>
      </c>
      <c r="AE794">
        <v>2054.6968877191657</v>
      </c>
      <c r="AF794">
        <v>7.7140180704736308</v>
      </c>
      <c r="AG794">
        <v>2184.2587172162198</v>
      </c>
      <c r="AH794">
        <v>10.965334043108749</v>
      </c>
      <c r="AI794">
        <v>1933.0900893120913</v>
      </c>
      <c r="AJ794">
        <v>7.7060437713715206</v>
      </c>
    </row>
    <row r="795" spans="4:36" x14ac:dyDescent="0.45">
      <c r="D795">
        <v>788</v>
      </c>
      <c r="E795">
        <v>11.10068466443148</v>
      </c>
      <c r="F795">
        <v>0.41278651651346088</v>
      </c>
      <c r="G795">
        <v>0.15735466826178496</v>
      </c>
      <c r="H795">
        <v>18.329174150793278</v>
      </c>
      <c r="I795">
        <v>11.268748796996286</v>
      </c>
      <c r="J795">
        <v>0.27478306545818187</v>
      </c>
      <c r="K795">
        <v>0.10446298399507334</v>
      </c>
      <c r="L795">
        <v>18.352005153550451</v>
      </c>
      <c r="M795">
        <v>11.187259063070709</v>
      </c>
      <c r="N795">
        <v>0.3417129498531995</v>
      </c>
      <c r="O795">
        <v>0.13007837530123303</v>
      </c>
      <c r="P795">
        <v>18.34094961177486</v>
      </c>
      <c r="Q795">
        <v>11.164802402583726</v>
      </c>
      <c r="R795">
        <v>0.36015205615688928</v>
      </c>
      <c r="S795">
        <v>0.13714739221741462</v>
      </c>
      <c r="T795">
        <v>18.337898149041962</v>
      </c>
      <c r="U795">
        <v>1472.2374074702623</v>
      </c>
      <c r="V795">
        <v>8.7616929850757295</v>
      </c>
      <c r="W795">
        <v>1247.0469058541257</v>
      </c>
      <c r="X795">
        <v>6.4351598533686767</v>
      </c>
      <c r="Y795">
        <v>2839.2701555493391</v>
      </c>
      <c r="Z795">
        <v>8.7782001411463355</v>
      </c>
      <c r="AA795">
        <v>2694.7284869994273</v>
      </c>
      <c r="AB795">
        <v>6.4461098879811152</v>
      </c>
      <c r="AC795">
        <v>2178.7923813901957</v>
      </c>
      <c r="AD795">
        <v>8.7701878075544855</v>
      </c>
      <c r="AE795">
        <v>1994.765763620358</v>
      </c>
      <c r="AF795">
        <v>6.4408020029291286</v>
      </c>
      <c r="AG795">
        <v>2071.0126497419856</v>
      </c>
      <c r="AH795">
        <v>8.7679825882963467</v>
      </c>
      <c r="AI795">
        <v>1874.1114794842968</v>
      </c>
      <c r="AJ795">
        <v>6.4393387834726781</v>
      </c>
    </row>
    <row r="796" spans="4:36" x14ac:dyDescent="0.45">
      <c r="D796">
        <v>789</v>
      </c>
      <c r="E796">
        <v>12.983715777803129</v>
      </c>
      <c r="F796">
        <v>0.48496584026763495</v>
      </c>
      <c r="G796">
        <v>0.17817805109984497</v>
      </c>
      <c r="H796">
        <v>16.35314033082939</v>
      </c>
      <c r="I796">
        <v>13.237733014388862</v>
      </c>
      <c r="J796">
        <v>0.29888745155154767</v>
      </c>
      <c r="K796">
        <v>0.10941693626197922</v>
      </c>
      <c r="L796">
        <v>16.353962597797597</v>
      </c>
      <c r="M796">
        <v>13.132820904964039</v>
      </c>
      <c r="N796">
        <v>0.37578422318187288</v>
      </c>
      <c r="O796">
        <v>0.1377714325366996</v>
      </c>
      <c r="P796">
        <v>16.353623439317388</v>
      </c>
      <c r="Q796">
        <v>13.092626293004921</v>
      </c>
      <c r="R796">
        <v>0.40522899748168562</v>
      </c>
      <c r="S796">
        <v>0.14865137705428449</v>
      </c>
      <c r="T796">
        <v>16.353493332459099</v>
      </c>
      <c r="U796">
        <v>1585.3519449097155</v>
      </c>
      <c r="V796">
        <v>10.234357048733898</v>
      </c>
      <c r="W796">
        <v>1309.5737202146454</v>
      </c>
      <c r="X796">
        <v>7.2927721052033956</v>
      </c>
      <c r="Y796">
        <v>2922.415711213142</v>
      </c>
      <c r="Z796">
        <v>10.278244450562612</v>
      </c>
      <c r="AA796">
        <v>2744.1876565289463</v>
      </c>
      <c r="AB796">
        <v>7.3181231192757794</v>
      </c>
      <c r="AC796">
        <v>2236.1912301472694</v>
      </c>
      <c r="AD796">
        <v>10.260117670937134</v>
      </c>
      <c r="AE796">
        <v>2022.6859102683195</v>
      </c>
      <c r="AF796">
        <v>7.3076643433997139</v>
      </c>
      <c r="AG796">
        <v>2141.6021039916754</v>
      </c>
      <c r="AH796">
        <v>10.253173105359064</v>
      </c>
      <c r="AI796">
        <v>1909.8033872039366</v>
      </c>
      <c r="AJ796">
        <v>7.3036530455220623</v>
      </c>
    </row>
    <row r="797" spans="4:36" x14ac:dyDescent="0.45">
      <c r="D797">
        <v>790</v>
      </c>
      <c r="E797">
        <v>13.234344346258659</v>
      </c>
      <c r="F797">
        <v>0.50688587903874649</v>
      </c>
      <c r="G797">
        <v>0.17648016258348592</v>
      </c>
      <c r="H797">
        <v>16.08228961211913</v>
      </c>
      <c r="I797">
        <v>13.49650101476845</v>
      </c>
      <c r="J797">
        <v>0.31151658324281373</v>
      </c>
      <c r="K797">
        <v>0.10807565451746314</v>
      </c>
      <c r="L797">
        <v>16.083906747471261</v>
      </c>
      <c r="M797">
        <v>13.374407128180763</v>
      </c>
      <c r="N797">
        <v>0.40255166335122916</v>
      </c>
      <c r="O797">
        <v>0.13988847261681114</v>
      </c>
      <c r="P797">
        <v>16.083152735851197</v>
      </c>
      <c r="Q797">
        <v>13.298855525066701</v>
      </c>
      <c r="R797">
        <v>0.4588440337709036</v>
      </c>
      <c r="S797">
        <v>0.1596135350258758</v>
      </c>
      <c r="T797">
        <v>16.082686906136527</v>
      </c>
      <c r="U797">
        <v>1605.0971167848659</v>
      </c>
      <c r="V797">
        <v>10.436834484024009</v>
      </c>
      <c r="W797">
        <v>1323.5790425154507</v>
      </c>
      <c r="X797">
        <v>7.4096612774102031</v>
      </c>
      <c r="Y797">
        <v>2917.5873754938575</v>
      </c>
      <c r="Z797">
        <v>10.483770262254701</v>
      </c>
      <c r="AA797">
        <v>2740.6454223632586</v>
      </c>
      <c r="AB797">
        <v>7.4365285646626926</v>
      </c>
      <c r="AC797">
        <v>2245.789437934091</v>
      </c>
      <c r="AD797">
        <v>10.461911815521896</v>
      </c>
      <c r="AE797">
        <v>2028.7427313975231</v>
      </c>
      <c r="AF797">
        <v>7.4240288112120121</v>
      </c>
      <c r="AG797">
        <v>2163.6719059011352</v>
      </c>
      <c r="AH797">
        <v>10.448385048810049</v>
      </c>
      <c r="AI797">
        <v>1922.9619795649719</v>
      </c>
      <c r="AJ797">
        <v>7.4162825557376166</v>
      </c>
    </row>
    <row r="798" spans="4:36" x14ac:dyDescent="0.45">
      <c r="D798">
        <v>791</v>
      </c>
      <c r="E798">
        <v>13.027682047885273</v>
      </c>
      <c r="F798">
        <v>0.46409565424175225</v>
      </c>
      <c r="G798">
        <v>0.15366067653602794</v>
      </c>
      <c r="H798">
        <v>16.354561621336952</v>
      </c>
      <c r="I798">
        <v>13.240813625849249</v>
      </c>
      <c r="J798">
        <v>0.3144785739541181</v>
      </c>
      <c r="K798">
        <v>0.10381714138932245</v>
      </c>
      <c r="L798">
        <v>16.340890658807311</v>
      </c>
      <c r="M798">
        <v>13.148391055194807</v>
      </c>
      <c r="N798">
        <v>0.3793928122252242</v>
      </c>
      <c r="O798">
        <v>0.12540615419036061</v>
      </c>
      <c r="P798">
        <v>16.346809978389626</v>
      </c>
      <c r="Q798">
        <v>13.135070366956377</v>
      </c>
      <c r="R798">
        <v>0.38874448141968654</v>
      </c>
      <c r="S798">
        <v>0.12852090523128085</v>
      </c>
      <c r="T798">
        <v>16.347664246392657</v>
      </c>
      <c r="U798">
        <v>1551.9435987095774</v>
      </c>
      <c r="V798">
        <v>10.2374120391381</v>
      </c>
      <c r="W798">
        <v>1290.006324001067</v>
      </c>
      <c r="X798">
        <v>7.2955457569358222</v>
      </c>
      <c r="Y798">
        <v>2917.6200287210108</v>
      </c>
      <c r="Z798">
        <v>10.281532902310319</v>
      </c>
      <c r="AA798">
        <v>2741.3573838648472</v>
      </c>
      <c r="AB798">
        <v>7.3203369952702628</v>
      </c>
      <c r="AC798">
        <v>2260.6869033125213</v>
      </c>
      <c r="AD798">
        <v>10.262405715322052</v>
      </c>
      <c r="AE798">
        <v>2042.1993784073336</v>
      </c>
      <c r="AF798">
        <v>7.3095981878836893</v>
      </c>
      <c r="AG798">
        <v>2139.8004062809605</v>
      </c>
      <c r="AH798">
        <v>10.259648268408162</v>
      </c>
      <c r="AI798">
        <v>1912.1034596547838</v>
      </c>
      <c r="AJ798">
        <v>7.3080489554733914</v>
      </c>
    </row>
    <row r="799" spans="4:36" x14ac:dyDescent="0.45">
      <c r="D799">
        <v>792</v>
      </c>
      <c r="E799">
        <v>14.192248442220709</v>
      </c>
      <c r="F799">
        <v>0.51529488612103991</v>
      </c>
      <c r="G799">
        <v>0.18038543710650332</v>
      </c>
      <c r="H799">
        <v>15.112071234551751</v>
      </c>
      <c r="I799">
        <v>14.440225563886479</v>
      </c>
      <c r="J799">
        <v>0.34161733385517629</v>
      </c>
      <c r="K799">
        <v>0.11919279104937391</v>
      </c>
      <c r="L799">
        <v>15.098964311208988</v>
      </c>
      <c r="M799">
        <v>14.311052219392886</v>
      </c>
      <c r="N799">
        <v>0.43213197527267277</v>
      </c>
      <c r="O799">
        <v>0.15103291135598804</v>
      </c>
      <c r="P799">
        <v>15.105782893978464</v>
      </c>
      <c r="Q799">
        <v>14.296989319922593</v>
      </c>
      <c r="R799">
        <v>0.44198033387491159</v>
      </c>
      <c r="S799">
        <v>0.15450395694727917</v>
      </c>
      <c r="T799">
        <v>15.106526389255222</v>
      </c>
      <c r="U799">
        <v>1617.2194445543935</v>
      </c>
      <c r="V799">
        <v>11.324404354440102</v>
      </c>
      <c r="W799">
        <v>1322.1977017060772</v>
      </c>
      <c r="X799">
        <v>7.9343324907388393</v>
      </c>
      <c r="Y799">
        <v>2967.0449532855678</v>
      </c>
      <c r="Z799">
        <v>11.377290276899984</v>
      </c>
      <c r="AA799">
        <v>2767.414762390948</v>
      </c>
      <c r="AB799">
        <v>7.9637602652776103</v>
      </c>
      <c r="AC799">
        <v>2316.0384546093728</v>
      </c>
      <c r="AD799">
        <v>11.349746836848475</v>
      </c>
      <c r="AE799">
        <v>2068.9342583636321</v>
      </c>
      <c r="AF799">
        <v>7.9484449447136862</v>
      </c>
      <c r="AG799">
        <v>2211.2334423354005</v>
      </c>
      <c r="AH799">
        <v>11.346747535652247</v>
      </c>
      <c r="AI799">
        <v>1949.7683376083635</v>
      </c>
      <c r="AJ799">
        <v>7.9467757793958249</v>
      </c>
    </row>
    <row r="800" spans="4:36" x14ac:dyDescent="0.45">
      <c r="D800">
        <v>793</v>
      </c>
      <c r="E800">
        <v>12.93393111392972</v>
      </c>
      <c r="F800">
        <v>0.47432688552379687</v>
      </c>
      <c r="G800">
        <v>0.18489287168922175</v>
      </c>
      <c r="H800">
        <v>16.406849128857239</v>
      </c>
      <c r="I800">
        <v>13.184321733610499</v>
      </c>
      <c r="J800">
        <v>0.29132601022493221</v>
      </c>
      <c r="K800">
        <v>0.11314687132158917</v>
      </c>
      <c r="L800">
        <v>16.411205384842962</v>
      </c>
      <c r="M800">
        <v>13.085266738618799</v>
      </c>
      <c r="N800">
        <v>0.36376414819841274</v>
      </c>
      <c r="O800">
        <v>0.14148318903665882</v>
      </c>
      <c r="P800">
        <v>16.409485924146143</v>
      </c>
      <c r="Q800">
        <v>13.040847271104555</v>
      </c>
      <c r="R800">
        <v>0.39622969138218228</v>
      </c>
      <c r="S800">
        <v>0.15420981860621708</v>
      </c>
      <c r="T800">
        <v>16.408713218907046</v>
      </c>
      <c r="U800">
        <v>1582.2304077162519</v>
      </c>
      <c r="V800">
        <v>10.317914697118068</v>
      </c>
      <c r="W800">
        <v>1310.5557595040991</v>
      </c>
      <c r="X800">
        <v>7.3581143744954947</v>
      </c>
      <c r="Y800">
        <v>2910.0740618723503</v>
      </c>
      <c r="Z800">
        <v>10.361421911265614</v>
      </c>
      <c r="AA800">
        <v>2737.426864648397</v>
      </c>
      <c r="AB800">
        <v>7.3834734228105994</v>
      </c>
      <c r="AC800">
        <v>2242.0138823278899</v>
      </c>
      <c r="AD800">
        <v>10.344207423792165</v>
      </c>
      <c r="AE800">
        <v>2029.6364746186882</v>
      </c>
      <c r="AF800">
        <v>7.3734518067567469</v>
      </c>
      <c r="AG800">
        <v>2142.3196845595953</v>
      </c>
      <c r="AH800">
        <v>10.336489140132185</v>
      </c>
      <c r="AI800">
        <v>1913.0205106688902</v>
      </c>
      <c r="AJ800">
        <v>7.3689533598759365</v>
      </c>
    </row>
    <row r="801" spans="4:36" x14ac:dyDescent="0.45">
      <c r="D801">
        <v>794</v>
      </c>
      <c r="E801">
        <v>12.461530063966432</v>
      </c>
      <c r="F801">
        <v>0.44253720926139367</v>
      </c>
      <c r="G801">
        <v>0.148056082630459</v>
      </c>
      <c r="H801">
        <v>16.947876644141708</v>
      </c>
      <c r="I801">
        <v>12.675968919202571</v>
      </c>
      <c r="J801">
        <v>0.2830531060428908</v>
      </c>
      <c r="K801">
        <v>9.4412653727900822E-2</v>
      </c>
      <c r="L801">
        <v>16.946565321026647</v>
      </c>
      <c r="M801">
        <v>12.544419439404164</v>
      </c>
      <c r="N801">
        <v>0.38092073001605181</v>
      </c>
      <c r="O801">
        <v>0.12729194132960342</v>
      </c>
      <c r="P801">
        <v>16.947367889250184</v>
      </c>
      <c r="Q801">
        <v>12.517679036292344</v>
      </c>
      <c r="R801">
        <v>0.40080266565805656</v>
      </c>
      <c r="S801">
        <v>0.13398654277881722</v>
      </c>
      <c r="T801">
        <v>16.947531755270795</v>
      </c>
      <c r="U801">
        <v>1533.2613879703554</v>
      </c>
      <c r="V801">
        <v>9.8956304736591356</v>
      </c>
      <c r="W801">
        <v>1280.8732640043154</v>
      </c>
      <c r="X801">
        <v>7.113440942927383</v>
      </c>
      <c r="Y801">
        <v>2876.8843543559265</v>
      </c>
      <c r="Z801">
        <v>9.9355487643677041</v>
      </c>
      <c r="AA801">
        <v>2716.2568095723568</v>
      </c>
      <c r="AB801">
        <v>7.1364680947164683</v>
      </c>
      <c r="AC801">
        <v>2238.9592400538481</v>
      </c>
      <c r="AD801">
        <v>9.9110619983137838</v>
      </c>
      <c r="AE801">
        <v>2028.7234913257078</v>
      </c>
      <c r="AF801">
        <v>7.1223518421452354</v>
      </c>
      <c r="AG801">
        <v>2112.0010701404049</v>
      </c>
      <c r="AH801">
        <v>9.9060839388791013</v>
      </c>
      <c r="AI801">
        <v>1893.5700902768554</v>
      </c>
      <c r="AJ801">
        <v>7.1194785371460902</v>
      </c>
    </row>
    <row r="802" spans="4:36" x14ac:dyDescent="0.45">
      <c r="D802">
        <v>795</v>
      </c>
      <c r="E802">
        <v>12.566373159392212</v>
      </c>
      <c r="F802">
        <v>0.43848351637348337</v>
      </c>
      <c r="G802">
        <v>0.1513899368710539</v>
      </c>
      <c r="H802">
        <v>16.84375338736325</v>
      </c>
      <c r="I802">
        <v>12.792351223115496</v>
      </c>
      <c r="J802">
        <v>0.27122748602953423</v>
      </c>
      <c r="K802">
        <v>9.3339079721775853E-2</v>
      </c>
      <c r="L802">
        <v>16.843082211133201</v>
      </c>
      <c r="M802">
        <v>12.662361943564104</v>
      </c>
      <c r="N802">
        <v>0.36747333242888652</v>
      </c>
      <c r="O802">
        <v>0.12669702727877719</v>
      </c>
      <c r="P802">
        <v>16.843467696728222</v>
      </c>
      <c r="Q802">
        <v>12.621230444688015</v>
      </c>
      <c r="R802">
        <v>0.39790783048581063</v>
      </c>
      <c r="S802">
        <v>0.13727171709550087</v>
      </c>
      <c r="T802">
        <v>16.843590007730668</v>
      </c>
      <c r="U802">
        <v>1517.6026175872669</v>
      </c>
      <c r="V802">
        <v>9.9371418807110636</v>
      </c>
      <c r="W802">
        <v>1272.9038512819461</v>
      </c>
      <c r="X802">
        <v>7.1316406224852464</v>
      </c>
      <c r="Y802">
        <v>2883.7648310553868</v>
      </c>
      <c r="Z802">
        <v>9.9784902795990451</v>
      </c>
      <c r="AA802">
        <v>2723.9886796453156</v>
      </c>
      <c r="AB802">
        <v>7.1555705341605575</v>
      </c>
      <c r="AC802">
        <v>2220.3141896968036</v>
      </c>
      <c r="AD802">
        <v>9.9547058646761624</v>
      </c>
      <c r="AE802">
        <v>2018.8546315597011</v>
      </c>
      <c r="AF802">
        <v>7.1418160019299943</v>
      </c>
      <c r="AG802">
        <v>2097.5627216507605</v>
      </c>
      <c r="AH802">
        <v>9.9471797163456124</v>
      </c>
      <c r="AI802">
        <v>1886.1629246209659</v>
      </c>
      <c r="AJ802">
        <v>7.1374577630333178</v>
      </c>
    </row>
    <row r="803" spans="4:36" x14ac:dyDescent="0.45">
      <c r="D803">
        <v>796</v>
      </c>
      <c r="E803">
        <v>15.058114485823065</v>
      </c>
      <c r="F803">
        <v>0.52839773919023603</v>
      </c>
      <c r="G803">
        <v>0.20255874844931304</v>
      </c>
      <c r="H803">
        <v>14.210929026537398</v>
      </c>
      <c r="I803">
        <v>15.313527842211665</v>
      </c>
      <c r="J803">
        <v>0.35745880234079092</v>
      </c>
      <c r="K803">
        <v>0.13659953154813678</v>
      </c>
      <c r="L803">
        <v>14.192413823899425</v>
      </c>
      <c r="M803">
        <v>15.181513171741631</v>
      </c>
      <c r="N803">
        <v>0.44586009178874064</v>
      </c>
      <c r="O803">
        <v>0.17065765844427522</v>
      </c>
      <c r="P803">
        <v>14.201969078025352</v>
      </c>
      <c r="Q803">
        <v>15.157528622615416</v>
      </c>
      <c r="R803">
        <v>0.4619097851527601</v>
      </c>
      <c r="S803">
        <v>0.1768531562854849</v>
      </c>
      <c r="T803">
        <v>14.203708435946352</v>
      </c>
      <c r="U803">
        <v>1702.8167343364473</v>
      </c>
      <c r="V803">
        <v>11.960982560529624</v>
      </c>
      <c r="W803">
        <v>1375.9792339013425</v>
      </c>
      <c r="X803">
        <v>8.2862404493963684</v>
      </c>
      <c r="Y803">
        <v>3024.1685298393422</v>
      </c>
      <c r="Z803">
        <v>12.020671620917785</v>
      </c>
      <c r="AA803">
        <v>2802.6283181080107</v>
      </c>
      <c r="AB803">
        <v>8.318869353753314</v>
      </c>
      <c r="AC803">
        <v>2354.1598285543846</v>
      </c>
      <c r="AD803">
        <v>11.989828843595163</v>
      </c>
      <c r="AE803">
        <v>2090.3586261776686</v>
      </c>
      <c r="AF803">
        <v>8.3020200343291819</v>
      </c>
      <c r="AG803">
        <v>2225.7939635918574</v>
      </c>
      <c r="AH803">
        <v>11.98422335042706</v>
      </c>
      <c r="AI803">
        <v>1954.0296805590062</v>
      </c>
      <c r="AJ803">
        <v>8.2989552932804305</v>
      </c>
    </row>
    <row r="804" spans="4:36" x14ac:dyDescent="0.45">
      <c r="D804">
        <v>797</v>
      </c>
      <c r="E804">
        <v>12.215371384108551</v>
      </c>
      <c r="F804">
        <v>0.45795203713337873</v>
      </c>
      <c r="G804">
        <v>0.17294996882350477</v>
      </c>
      <c r="H804">
        <v>17.153726609934566</v>
      </c>
      <c r="I804">
        <v>12.451444239880527</v>
      </c>
      <c r="J804">
        <v>0.27971329220672986</v>
      </c>
      <c r="K804">
        <v>0.1052578133822832</v>
      </c>
      <c r="L804">
        <v>17.163584654530453</v>
      </c>
      <c r="M804">
        <v>12.357092798290777</v>
      </c>
      <c r="N804">
        <v>0.35098677058824174</v>
      </c>
      <c r="O804">
        <v>0.13226721761613641</v>
      </c>
      <c r="P804">
        <v>17.159653213504853</v>
      </c>
      <c r="Q804">
        <v>12.316601833189722</v>
      </c>
      <c r="R804">
        <v>0.38155890985410706</v>
      </c>
      <c r="S804">
        <v>0.14387669229727687</v>
      </c>
      <c r="T804">
        <v>17.157962564658909</v>
      </c>
      <c r="U804">
        <v>1538.4958565815425</v>
      </c>
      <c r="V804">
        <v>9.6175718936245289</v>
      </c>
      <c r="W804">
        <v>1284.03237780585</v>
      </c>
      <c r="X804">
        <v>6.9348266935308889</v>
      </c>
      <c r="Y804">
        <v>2882.8306168792715</v>
      </c>
      <c r="Z804">
        <v>9.6547584793367935</v>
      </c>
      <c r="AA804">
        <v>2721.1941066246191</v>
      </c>
      <c r="AB804">
        <v>6.9570263071838125</v>
      </c>
      <c r="AC804">
        <v>2209.5843054039101</v>
      </c>
      <c r="AD804">
        <v>9.6398908618105033</v>
      </c>
      <c r="AE804">
        <v>2010.2658334461303</v>
      </c>
      <c r="AF804">
        <v>6.9481623705177764</v>
      </c>
      <c r="AG804">
        <v>2109.695765361862</v>
      </c>
      <c r="AH804">
        <v>9.6335125404182076</v>
      </c>
      <c r="AI804">
        <v>1893.8727143256306</v>
      </c>
      <c r="AJ804">
        <v>6.9443549128972846</v>
      </c>
    </row>
    <row r="805" spans="4:36" x14ac:dyDescent="0.45">
      <c r="D805">
        <v>798</v>
      </c>
      <c r="E805">
        <v>11.588662913036716</v>
      </c>
      <c r="F805">
        <v>0.39688902659802289</v>
      </c>
      <c r="G805">
        <v>0.15429401748246116</v>
      </c>
      <c r="H805">
        <v>17.86015404288279</v>
      </c>
      <c r="I805">
        <v>11.769349380409826</v>
      </c>
      <c r="J805">
        <v>0.26384638295285606</v>
      </c>
      <c r="K805">
        <v>0.1022809505080045</v>
      </c>
      <c r="L805">
        <v>17.864523286129316</v>
      </c>
      <c r="M805">
        <v>11.682771632559415</v>
      </c>
      <c r="N805">
        <v>0.3276194744066897</v>
      </c>
      <c r="O805">
        <v>0.12717561266453017</v>
      </c>
      <c r="P805">
        <v>17.862433280369373</v>
      </c>
      <c r="Q805">
        <v>11.65056794444353</v>
      </c>
      <c r="R805">
        <v>0.351329270571138</v>
      </c>
      <c r="S805">
        <v>0.13644857601140856</v>
      </c>
      <c r="T805">
        <v>17.861654208973921</v>
      </c>
      <c r="U805">
        <v>1484.6273585901135</v>
      </c>
      <c r="V805">
        <v>9.0807534639157588</v>
      </c>
      <c r="W805">
        <v>1256.320846135553</v>
      </c>
      <c r="X805">
        <v>6.6204276579883832</v>
      </c>
      <c r="Y805">
        <v>2843.8506373260107</v>
      </c>
      <c r="Z805">
        <v>9.1115856428123703</v>
      </c>
      <c r="AA805">
        <v>2698.3321110043435</v>
      </c>
      <c r="AB805">
        <v>6.63885495226116</v>
      </c>
      <c r="AC805">
        <v>2182.701471682391</v>
      </c>
      <c r="AD805">
        <v>9.0968100425814296</v>
      </c>
      <c r="AE805">
        <v>1997.893531755735</v>
      </c>
      <c r="AF805">
        <v>6.6300321314330315</v>
      </c>
      <c r="AG805">
        <v>2044.787515012642</v>
      </c>
      <c r="AH805">
        <v>9.0913150309745099</v>
      </c>
      <c r="AI805">
        <v>1854.6111278883582</v>
      </c>
      <c r="AJ805">
        <v>6.6267471875473314</v>
      </c>
    </row>
    <row r="806" spans="4:36" x14ac:dyDescent="0.45">
      <c r="D806">
        <v>799</v>
      </c>
      <c r="E806">
        <v>12.557852644571431</v>
      </c>
      <c r="F806">
        <v>0.42888737165139196</v>
      </c>
      <c r="G806">
        <v>0.16894602581581708</v>
      </c>
      <c r="H806">
        <v>16.844313957961347</v>
      </c>
      <c r="I806">
        <v>12.788988414659066</v>
      </c>
      <c r="J806">
        <v>0.27130124518977627</v>
      </c>
      <c r="K806">
        <v>0.106490647962992</v>
      </c>
      <c r="L806">
        <v>16.833219692188173</v>
      </c>
      <c r="M806">
        <v>12.669346636114728</v>
      </c>
      <c r="N806">
        <v>0.35291552982433982</v>
      </c>
      <c r="O806">
        <v>0.13878012207018064</v>
      </c>
      <c r="P806">
        <v>16.838957711990737</v>
      </c>
      <c r="Q806">
        <v>12.633620775217292</v>
      </c>
      <c r="R806">
        <v>0.3772679915635816</v>
      </c>
      <c r="S806">
        <v>0.14843817580895152</v>
      </c>
      <c r="T806">
        <v>16.840673057410172</v>
      </c>
      <c r="U806">
        <v>1548.9660612525056</v>
      </c>
      <c r="V806">
        <v>9.9743619132938797</v>
      </c>
      <c r="W806">
        <v>1292.918073224781</v>
      </c>
      <c r="X806">
        <v>7.1605060185130354</v>
      </c>
      <c r="Y806">
        <v>2891.0090339963526</v>
      </c>
      <c r="Z806">
        <v>10.026931401479333</v>
      </c>
      <c r="AA806">
        <v>2727.0647088674236</v>
      </c>
      <c r="AB806">
        <v>7.1907861584785584</v>
      </c>
      <c r="AC806">
        <v>2192.9629758131327</v>
      </c>
      <c r="AD806">
        <v>9.9997217148372535</v>
      </c>
      <c r="AE806">
        <v>1997.3706282424407</v>
      </c>
      <c r="AF806">
        <v>7.1751269158120916</v>
      </c>
      <c r="AG806">
        <v>2133.5935605266327</v>
      </c>
      <c r="AH806">
        <v>9.9915960403267636</v>
      </c>
      <c r="AI806">
        <v>1910.655147059636</v>
      </c>
      <c r="AJ806">
        <v>7.1704449322996737</v>
      </c>
    </row>
    <row r="807" spans="4:36" x14ac:dyDescent="0.45">
      <c r="D807">
        <v>800</v>
      </c>
      <c r="E807">
        <v>12.02987683714788</v>
      </c>
      <c r="F807">
        <v>0.38133842350622571</v>
      </c>
      <c r="G807">
        <v>0.1525607061249902</v>
      </c>
      <c r="H807">
        <v>17.436224033220913</v>
      </c>
      <c r="I807">
        <v>12.188250481125451</v>
      </c>
      <c r="J807">
        <v>0.26844172424473733</v>
      </c>
      <c r="K807">
        <v>0.10713575401512795</v>
      </c>
      <c r="L807">
        <v>17.436172040614696</v>
      </c>
      <c r="M807">
        <v>12.122748194980048</v>
      </c>
      <c r="N807">
        <v>0.31515402957411487</v>
      </c>
      <c r="O807">
        <v>0.12590392151716395</v>
      </c>
      <c r="P807">
        <v>17.436193853928661</v>
      </c>
      <c r="Q807">
        <v>12.063322021380188</v>
      </c>
      <c r="R807">
        <v>0.35751007941645735</v>
      </c>
      <c r="S807">
        <v>0.14295463242259107</v>
      </c>
      <c r="T807">
        <v>17.436213266780776</v>
      </c>
      <c r="U807">
        <v>1503.7234023451226</v>
      </c>
      <c r="V807">
        <v>9.5280035488554677</v>
      </c>
      <c r="W807">
        <v>1266.4237412510477</v>
      </c>
      <c r="X807">
        <v>6.9000866842996507</v>
      </c>
      <c r="Y807">
        <v>2867.8077433100025</v>
      </c>
      <c r="Z807">
        <v>9.5588055629661177</v>
      </c>
      <c r="AA807">
        <v>2712.1443004803523</v>
      </c>
      <c r="AB807">
        <v>6.9181592888025225</v>
      </c>
      <c r="AC807">
        <v>2196.9530022542067</v>
      </c>
      <c r="AD807">
        <v>9.5460657127558335</v>
      </c>
      <c r="AE807">
        <v>2005.1999457377942</v>
      </c>
      <c r="AF807">
        <v>6.9106903933274637</v>
      </c>
      <c r="AG807">
        <v>2094.1100950529321</v>
      </c>
      <c r="AH807">
        <v>9.534508051168352</v>
      </c>
      <c r="AI807">
        <v>1885.7792131719302</v>
      </c>
      <c r="AJ807">
        <v>6.9039072430373034</v>
      </c>
    </row>
    <row r="808" spans="4:36" x14ac:dyDescent="0.45">
      <c r="D808">
        <v>801</v>
      </c>
      <c r="E808">
        <v>13.869723009824195</v>
      </c>
      <c r="F808">
        <v>0.45947601604959559</v>
      </c>
      <c r="G808">
        <v>0.16273982679674498</v>
      </c>
      <c r="H808">
        <v>15.508061147329451</v>
      </c>
      <c r="I808">
        <v>14.093436306441751</v>
      </c>
      <c r="J808">
        <v>0.31953128997313751</v>
      </c>
      <c r="K808">
        <v>0.11283052978823425</v>
      </c>
      <c r="L808">
        <v>15.474201873796883</v>
      </c>
      <c r="M808">
        <v>14.01441904970649</v>
      </c>
      <c r="N808">
        <v>0.3689999611821666</v>
      </c>
      <c r="O808">
        <v>0.13043764639306199</v>
      </c>
      <c r="P808">
        <v>15.486143342718284</v>
      </c>
      <c r="Q808">
        <v>13.990238414104221</v>
      </c>
      <c r="R808">
        <v>0.38412971910526239</v>
      </c>
      <c r="S808">
        <v>0.13583034219166185</v>
      </c>
      <c r="T808">
        <v>15.489801524598869</v>
      </c>
      <c r="U808">
        <v>1575.7895591650561</v>
      </c>
      <c r="V808">
        <v>10.882959427201513</v>
      </c>
      <c r="W808">
        <v>1303.311255049121</v>
      </c>
      <c r="X808">
        <v>7.6668233863905968</v>
      </c>
      <c r="Y808">
        <v>2948.2596837961833</v>
      </c>
      <c r="Z808">
        <v>10.9435318866716</v>
      </c>
      <c r="AA808">
        <v>2760.0547616652843</v>
      </c>
      <c r="AB808">
        <v>7.7000541131474947</v>
      </c>
      <c r="AC808">
        <v>2263.6246635669063</v>
      </c>
      <c r="AD808">
        <v>10.92214741945201</v>
      </c>
      <c r="AE808">
        <v>2041.6199359864897</v>
      </c>
      <c r="AF808">
        <v>7.6883319981969764</v>
      </c>
      <c r="AG808">
        <v>2142.9134663237387</v>
      </c>
      <c r="AH808">
        <v>10.91560119075878</v>
      </c>
      <c r="AI808">
        <v>1911.0758589690279</v>
      </c>
      <c r="AJ808">
        <v>7.6847415217350452</v>
      </c>
    </row>
    <row r="809" spans="4:36" x14ac:dyDescent="0.45">
      <c r="D809">
        <v>802</v>
      </c>
      <c r="E809">
        <v>12.19029120200957</v>
      </c>
      <c r="F809">
        <v>0.4311472764785747</v>
      </c>
      <c r="G809">
        <v>0.16352519290365344</v>
      </c>
      <c r="H809">
        <v>17.215036328608193</v>
      </c>
      <c r="I809">
        <v>12.373024001718322</v>
      </c>
      <c r="J809">
        <v>0.29486058840169876</v>
      </c>
      <c r="K809">
        <v>0.1115321457416784</v>
      </c>
      <c r="L809">
        <v>17.220583264138291</v>
      </c>
      <c r="M809">
        <v>12.304591779379823</v>
      </c>
      <c r="N809">
        <v>0.34592116499299791</v>
      </c>
      <c r="O809">
        <v>0.13097821969449105</v>
      </c>
      <c r="P809">
        <v>17.218508835932692</v>
      </c>
      <c r="Q809">
        <v>12.249667427553232</v>
      </c>
      <c r="R809">
        <v>0.38688375469757064</v>
      </c>
      <c r="S809">
        <v>0.14660741136084188</v>
      </c>
      <c r="T809">
        <v>17.216841406388355</v>
      </c>
      <c r="U809">
        <v>1515.5932942839625</v>
      </c>
      <c r="V809">
        <v>9.659303367031491</v>
      </c>
      <c r="W809">
        <v>1269.7868744089551</v>
      </c>
      <c r="X809">
        <v>6.971636852007884</v>
      </c>
      <c r="Y809">
        <v>2908.0844368903149</v>
      </c>
      <c r="Z809">
        <v>9.6900266652226534</v>
      </c>
      <c r="AA809">
        <v>2738.4108744725913</v>
      </c>
      <c r="AB809">
        <v>6.9897257120118041</v>
      </c>
      <c r="AC809">
        <v>2219.6721366638908</v>
      </c>
      <c r="AD809">
        <v>9.6785198152123506</v>
      </c>
      <c r="AE809">
        <v>2018.1984516693256</v>
      </c>
      <c r="AF809">
        <v>6.98295760288417</v>
      </c>
      <c r="AG809">
        <v>2116.4076404114203</v>
      </c>
      <c r="AH809">
        <v>9.6692853265054932</v>
      </c>
      <c r="AI809">
        <v>1898.5378583329655</v>
      </c>
      <c r="AJ809">
        <v>6.9775202296275838</v>
      </c>
    </row>
    <row r="810" spans="4:36" x14ac:dyDescent="0.45">
      <c r="D810">
        <v>803</v>
      </c>
      <c r="E810">
        <v>12.974164347196625</v>
      </c>
      <c r="F810">
        <v>0.4495419048900558</v>
      </c>
      <c r="G810">
        <v>0.16036834203630337</v>
      </c>
      <c r="H810">
        <v>16.415925405877022</v>
      </c>
      <c r="I810">
        <v>13.15419433665839</v>
      </c>
      <c r="J810">
        <v>0.31834430413576914</v>
      </c>
      <c r="K810">
        <v>0.11328471994417791</v>
      </c>
      <c r="L810">
        <v>16.414176639261676</v>
      </c>
      <c r="M810">
        <v>13.05823171397266</v>
      </c>
      <c r="N810">
        <v>0.38830057528728351</v>
      </c>
      <c r="O810">
        <v>0.13836088979380684</v>
      </c>
      <c r="P810">
        <v>16.415106820946246</v>
      </c>
      <c r="Q810">
        <v>13.072340635305657</v>
      </c>
      <c r="R810">
        <v>0.37801853939102958</v>
      </c>
      <c r="S810">
        <v>0.13467104602440749</v>
      </c>
      <c r="T810">
        <v>16.414969779278909</v>
      </c>
      <c r="U810">
        <v>1534.6278892169794</v>
      </c>
      <c r="V810">
        <v>10.247438877454243</v>
      </c>
      <c r="W810">
        <v>1275.852761929287</v>
      </c>
      <c r="X810">
        <v>7.31056586808955</v>
      </c>
      <c r="Y810">
        <v>2938.2943176793465</v>
      </c>
      <c r="Z810">
        <v>10.285466989779685</v>
      </c>
      <c r="AA810">
        <v>2753.9628483313008</v>
      </c>
      <c r="AB810">
        <v>7.3323811738740758</v>
      </c>
      <c r="AC810">
        <v>2256.6150755676081</v>
      </c>
      <c r="AD810">
        <v>10.265197486336826</v>
      </c>
      <c r="AE810">
        <v>2036.2819465159091</v>
      </c>
      <c r="AF810">
        <v>7.320760531039217</v>
      </c>
      <c r="AG810">
        <v>2140.4940100312297</v>
      </c>
      <c r="AH810">
        <v>10.268177739383255</v>
      </c>
      <c r="AI810">
        <v>1911.1111295929686</v>
      </c>
      <c r="AJ810">
        <v>7.3224701582250917</v>
      </c>
    </row>
    <row r="811" spans="4:36" x14ac:dyDescent="0.45">
      <c r="D811">
        <v>804</v>
      </c>
      <c r="E811">
        <v>13.596723492286911</v>
      </c>
      <c r="F811">
        <v>0.47615247798409172</v>
      </c>
      <c r="G811">
        <v>0.17416386897523095</v>
      </c>
      <c r="H811">
        <v>15.752960160753759</v>
      </c>
      <c r="I811">
        <v>13.807496926665463</v>
      </c>
      <c r="J811">
        <v>0.32805237839507295</v>
      </c>
      <c r="K811">
        <v>0.11963838389421935</v>
      </c>
      <c r="L811">
        <v>15.744812311045255</v>
      </c>
      <c r="M811">
        <v>13.713692010399718</v>
      </c>
      <c r="N811">
        <v>0.39399708615670886</v>
      </c>
      <c r="O811">
        <v>0.14387654763193647</v>
      </c>
      <c r="P811">
        <v>15.748434355811627</v>
      </c>
      <c r="Q811">
        <v>13.693806904525532</v>
      </c>
      <c r="R811">
        <v>0.40796958572522424</v>
      </c>
      <c r="S811">
        <v>0.14902048475424262</v>
      </c>
      <c r="T811">
        <v>15.749203024995008</v>
      </c>
      <c r="U811">
        <v>1601.5080280311188</v>
      </c>
      <c r="V811">
        <v>10.661327570542172</v>
      </c>
      <c r="W811">
        <v>1319.1550738274098</v>
      </c>
      <c r="X811">
        <v>7.534456932153927</v>
      </c>
      <c r="Y811">
        <v>2920.0806919055676</v>
      </c>
      <c r="Z811">
        <v>10.706260217675604</v>
      </c>
      <c r="AA811">
        <v>2738.6499688621088</v>
      </c>
      <c r="AB811">
        <v>7.5598971820326568</v>
      </c>
      <c r="AC811">
        <v>2280.1601975275798</v>
      </c>
      <c r="AD811">
        <v>10.68626470086793</v>
      </c>
      <c r="AE811">
        <v>2050.6393129691724</v>
      </c>
      <c r="AF811">
        <v>7.5485849417799331</v>
      </c>
      <c r="AG811">
        <v>2181.0135238403941</v>
      </c>
      <c r="AH811">
        <v>10.682025609084928</v>
      </c>
      <c r="AI811">
        <v>1935.4682710616478</v>
      </c>
      <c r="AJ811">
        <v>7.5461848870360697</v>
      </c>
    </row>
    <row r="812" spans="4:36" x14ac:dyDescent="0.45">
      <c r="D812">
        <v>805</v>
      </c>
      <c r="E812">
        <v>13.730392711596746</v>
      </c>
      <c r="F812">
        <v>0.49764096272922331</v>
      </c>
      <c r="G812">
        <v>0.17871439581321416</v>
      </c>
      <c r="H812">
        <v>15.593251929860806</v>
      </c>
      <c r="I812">
        <v>13.995246632293778</v>
      </c>
      <c r="J812">
        <v>0.31550353934129705</v>
      </c>
      <c r="K812">
        <v>0.11290422722539736</v>
      </c>
      <c r="L812">
        <v>15.576345601139518</v>
      </c>
      <c r="M812">
        <v>13.909824273272008</v>
      </c>
      <c r="N812">
        <v>0.37429443978387844</v>
      </c>
      <c r="O812">
        <v>0.13409496937335919</v>
      </c>
      <c r="P812">
        <v>15.581786317570742</v>
      </c>
      <c r="Q812">
        <v>13.836720743586948</v>
      </c>
      <c r="R812">
        <v>0.42457180711281489</v>
      </c>
      <c r="S812">
        <v>0.15225597346707148</v>
      </c>
      <c r="T812">
        <v>15.58645147583317</v>
      </c>
      <c r="U812">
        <v>1603.6457322678013</v>
      </c>
      <c r="V812">
        <v>10.778932342338999</v>
      </c>
      <c r="W812">
        <v>1321.6871709299251</v>
      </c>
      <c r="X812">
        <v>7.6005441626808414</v>
      </c>
      <c r="Y812">
        <v>2937.3215472350585</v>
      </c>
      <c r="Z812">
        <v>10.833724468148269</v>
      </c>
      <c r="AA812">
        <v>2753.3510995648571</v>
      </c>
      <c r="AB812">
        <v>7.6310627794299517</v>
      </c>
      <c r="AC812">
        <v>2260.640962591403</v>
      </c>
      <c r="AD812">
        <v>10.816059367047371</v>
      </c>
      <c r="AE812">
        <v>2040.0406712323243</v>
      </c>
      <c r="AF812">
        <v>7.621234320827222</v>
      </c>
      <c r="AG812">
        <v>2170.3255891941944</v>
      </c>
      <c r="AH812">
        <v>10.80093664273204</v>
      </c>
      <c r="AI812">
        <v>1928.8157958593201</v>
      </c>
      <c r="AJ812">
        <v>7.6128122443829733</v>
      </c>
    </row>
    <row r="813" spans="4:36" x14ac:dyDescent="0.45">
      <c r="D813">
        <v>806</v>
      </c>
      <c r="E813">
        <v>11.164181779252118</v>
      </c>
      <c r="F813">
        <v>0.44335412540597763</v>
      </c>
      <c r="G813">
        <v>0.16833350042625556</v>
      </c>
      <c r="H813">
        <v>18.224130594915668</v>
      </c>
      <c r="I813">
        <v>11.355616271447136</v>
      </c>
      <c r="J813">
        <v>0.28157591685700212</v>
      </c>
      <c r="K813">
        <v>0.10658194858500847</v>
      </c>
      <c r="L813">
        <v>18.256225863110842</v>
      </c>
      <c r="M813">
        <v>11.277899563391431</v>
      </c>
      <c r="N813">
        <v>0.34727041929539393</v>
      </c>
      <c r="O813">
        <v>0.13161166371817914</v>
      </c>
      <c r="P813">
        <v>18.243218353595005</v>
      </c>
      <c r="Q813">
        <v>11.252851618960182</v>
      </c>
      <c r="R813">
        <v>0.36843859080866365</v>
      </c>
      <c r="S813">
        <v>0.13969017724710522</v>
      </c>
      <c r="T813">
        <v>18.239019612984038</v>
      </c>
      <c r="U813">
        <v>1484.2666831874492</v>
      </c>
      <c r="V813">
        <v>8.8711424072701384</v>
      </c>
      <c r="W813">
        <v>1252.6214031630618</v>
      </c>
      <c r="X813">
        <v>6.504980968294034</v>
      </c>
      <c r="Y813">
        <v>2855.1429483084667</v>
      </c>
      <c r="Z813">
        <v>8.8882082928860875</v>
      </c>
      <c r="AA813">
        <v>2705.4262390198232</v>
      </c>
      <c r="AB813">
        <v>6.5166514606357051</v>
      </c>
      <c r="AC813">
        <v>2183.4521754625712</v>
      </c>
      <c r="AD813">
        <v>8.8812674621081094</v>
      </c>
      <c r="AE813">
        <v>1997.1839466550537</v>
      </c>
      <c r="AF813">
        <v>6.5119143388897829</v>
      </c>
      <c r="AG813">
        <v>2058.5836506429728</v>
      </c>
      <c r="AH813">
        <v>8.8790340984662173</v>
      </c>
      <c r="AI813">
        <v>1863.6286859983691</v>
      </c>
      <c r="AJ813">
        <v>6.5103873567238661</v>
      </c>
    </row>
    <row r="814" spans="4:36" x14ac:dyDescent="0.45">
      <c r="D814">
        <v>807</v>
      </c>
      <c r="E814">
        <v>12.423283052793396</v>
      </c>
      <c r="F814">
        <v>0.41497035298407581</v>
      </c>
      <c r="G814">
        <v>0.14938186290369421</v>
      </c>
      <c r="H814">
        <v>17.012364731318822</v>
      </c>
      <c r="I814">
        <v>12.628618793750569</v>
      </c>
      <c r="J814">
        <v>0.26637990534536293</v>
      </c>
      <c r="K814">
        <v>9.560205232945175E-2</v>
      </c>
      <c r="L814">
        <v>17.009399248574624</v>
      </c>
      <c r="M814">
        <v>12.509491312291532</v>
      </c>
      <c r="N814">
        <v>0.3526166549378017</v>
      </c>
      <c r="O814">
        <v>0.12677375357344756</v>
      </c>
      <c r="P814">
        <v>17.011118279197209</v>
      </c>
      <c r="Q814">
        <v>12.461761038273449</v>
      </c>
      <c r="R814">
        <v>0.38714505810586475</v>
      </c>
      <c r="S814">
        <v>0.13928576653353242</v>
      </c>
      <c r="T814">
        <v>17.011808137087147</v>
      </c>
      <c r="U814">
        <v>1520.9717182119937</v>
      </c>
      <c r="V814">
        <v>9.7171100559410615</v>
      </c>
      <c r="W814">
        <v>1275.495799102092</v>
      </c>
      <c r="X814">
        <v>6.991504188851053</v>
      </c>
      <c r="Y814">
        <v>2886.617497524509</v>
      </c>
      <c r="Z814">
        <v>9.7567826217767486</v>
      </c>
      <c r="AA814">
        <v>2725.4726699654143</v>
      </c>
      <c r="AB814">
        <v>7.0144830244267791</v>
      </c>
      <c r="AC814">
        <v>2212.1677174834617</v>
      </c>
      <c r="AD814">
        <v>9.7337668291523993</v>
      </c>
      <c r="AE814">
        <v>2012.7146570463231</v>
      </c>
      <c r="AF814">
        <v>7.0011611866735262</v>
      </c>
      <c r="AG814">
        <v>2108.5026459089027</v>
      </c>
      <c r="AH814">
        <v>9.7245447118187425</v>
      </c>
      <c r="AI814">
        <v>1893.3695001584636</v>
      </c>
      <c r="AJ814">
        <v>6.9958161914810466</v>
      </c>
    </row>
    <row r="815" spans="4:36" x14ac:dyDescent="0.45">
      <c r="D815">
        <v>808</v>
      </c>
      <c r="E815">
        <v>14.035270261780632</v>
      </c>
      <c r="F815">
        <v>0.54459908280921188</v>
      </c>
      <c r="G815">
        <v>0.18739866975069716</v>
      </c>
      <c r="H815">
        <v>15.232731985659447</v>
      </c>
      <c r="I815">
        <v>14.303948567764257</v>
      </c>
      <c r="J815">
        <v>0.34911906320361913</v>
      </c>
      <c r="K815">
        <v>0.11974455201128034</v>
      </c>
      <c r="L815">
        <v>15.227187817020853</v>
      </c>
      <c r="M815">
        <v>14.201415547295797</v>
      </c>
      <c r="N815">
        <v>0.42376452087314337</v>
      </c>
      <c r="O815">
        <v>0.14552621568179896</v>
      </c>
      <c r="P815">
        <v>15.229293716149256</v>
      </c>
      <c r="Q815">
        <v>14.145664967738176</v>
      </c>
      <c r="R815">
        <v>0.46432778479993675</v>
      </c>
      <c r="S815">
        <v>0.15956339767608346</v>
      </c>
      <c r="T815">
        <v>15.230443849785821</v>
      </c>
      <c r="U815">
        <v>1636.8335006592461</v>
      </c>
      <c r="V815">
        <v>11.049096850657131</v>
      </c>
      <c r="W815">
        <v>1339.0086176632456</v>
      </c>
      <c r="X815">
        <v>7.7555336295528896</v>
      </c>
      <c r="Y815">
        <v>2946.335024183521</v>
      </c>
      <c r="Z815">
        <v>11.102613826962349</v>
      </c>
      <c r="AA815">
        <v>2755.52748917176</v>
      </c>
      <c r="AB815">
        <v>7.7853883731054596</v>
      </c>
      <c r="AC815">
        <v>2274.4231500161386</v>
      </c>
      <c r="AD815">
        <v>11.082196578515459</v>
      </c>
      <c r="AE815">
        <v>2044.1494200209304</v>
      </c>
      <c r="AF815">
        <v>7.7740098553808137</v>
      </c>
      <c r="AG815">
        <v>2200.873341931032</v>
      </c>
      <c r="AH815">
        <v>11.071092005608905</v>
      </c>
      <c r="AI815">
        <v>1945.1682918569363</v>
      </c>
      <c r="AJ815">
        <v>7.7678154271732334</v>
      </c>
    </row>
    <row r="816" spans="4:36" x14ac:dyDescent="0.45">
      <c r="D816">
        <v>809</v>
      </c>
      <c r="E816">
        <v>12.297533909157302</v>
      </c>
      <c r="F816">
        <v>0.43725778099760898</v>
      </c>
      <c r="G816">
        <v>0.17452218445679771</v>
      </c>
      <c r="H816">
        <v>17.090686125388302</v>
      </c>
      <c r="I816">
        <v>12.518057104799899</v>
      </c>
      <c r="J816">
        <v>0.27661586406638455</v>
      </c>
      <c r="K816">
        <v>0.11005161985393751</v>
      </c>
      <c r="L816">
        <v>17.09527541127979</v>
      </c>
      <c r="M816">
        <v>12.415934471788873</v>
      </c>
      <c r="N816">
        <v>0.351043678747261</v>
      </c>
      <c r="O816">
        <v>0.13986963199140456</v>
      </c>
      <c r="P816">
        <v>17.093152217472465</v>
      </c>
      <c r="Q816">
        <v>12.401437586955563</v>
      </c>
      <c r="R816">
        <v>0.36160414779246736</v>
      </c>
      <c r="S816">
        <v>0.1441077356357236</v>
      </c>
      <c r="T816">
        <v>17.092850529616236</v>
      </c>
      <c r="U816">
        <v>1581.2798621306931</v>
      </c>
      <c r="V816">
        <v>9.7466494730000051</v>
      </c>
      <c r="W816">
        <v>1313.1810000812252</v>
      </c>
      <c r="X816">
        <v>7.0227849530072266</v>
      </c>
      <c r="Y816">
        <v>2913.9006155172192</v>
      </c>
      <c r="Z816">
        <v>9.7877500149526746</v>
      </c>
      <c r="AA816">
        <v>2741.6649814718794</v>
      </c>
      <c r="AB816">
        <v>7.0468623104580912</v>
      </c>
      <c r="AC816">
        <v>2226.9423464853649</v>
      </c>
      <c r="AD816">
        <v>9.7687154394566758</v>
      </c>
      <c r="AE816">
        <v>2019.9948717712323</v>
      </c>
      <c r="AF816">
        <v>7.0357226776336415</v>
      </c>
      <c r="AG816">
        <v>2124.716251237292</v>
      </c>
      <c r="AH816">
        <v>9.7660135444502689</v>
      </c>
      <c r="AI816">
        <v>1903.4102033656682</v>
      </c>
      <c r="AJ816">
        <v>7.0341398955282095</v>
      </c>
    </row>
    <row r="817" spans="4:36" x14ac:dyDescent="0.45">
      <c r="D817">
        <v>810</v>
      </c>
      <c r="E817">
        <v>12.423110758645926</v>
      </c>
      <c r="F817">
        <v>0.46433255194764322</v>
      </c>
      <c r="G817">
        <v>0.16576454616883693</v>
      </c>
      <c r="H817">
        <v>16.946792143237584</v>
      </c>
      <c r="I817">
        <v>12.65854113539535</v>
      </c>
      <c r="J817">
        <v>0.28666185806335814</v>
      </c>
      <c r="K817">
        <v>0.10197852332819263</v>
      </c>
      <c r="L817">
        <v>16.952818483213097</v>
      </c>
      <c r="M817">
        <v>12.541261717789116</v>
      </c>
      <c r="N817">
        <v>0.37520601543771065</v>
      </c>
      <c r="O817">
        <v>0.13371023860060058</v>
      </c>
      <c r="P817">
        <v>16.949822028172562</v>
      </c>
      <c r="Q817">
        <v>12.511500364663609</v>
      </c>
      <c r="R817">
        <v>0.39766352117568055</v>
      </c>
      <c r="S817">
        <v>0.14177622949243612</v>
      </c>
      <c r="T817">
        <v>16.949059884668266</v>
      </c>
      <c r="U817">
        <v>1542.5987333365292</v>
      </c>
      <c r="V817">
        <v>9.8398986005435347</v>
      </c>
      <c r="W817">
        <v>1286.6991046040546</v>
      </c>
      <c r="X817">
        <v>7.0741080754003089</v>
      </c>
      <c r="Y817">
        <v>2884.8593750551518</v>
      </c>
      <c r="Z817">
        <v>9.8817813658720741</v>
      </c>
      <c r="AA817">
        <v>2722.18487890082</v>
      </c>
      <c r="AB817">
        <v>7.0987114966441691</v>
      </c>
      <c r="AC817">
        <v>2235.1380304386912</v>
      </c>
      <c r="AD817">
        <v>9.8609146641667476</v>
      </c>
      <c r="AE817">
        <v>2026.9942893758821</v>
      </c>
      <c r="AF817">
        <v>7.0864660519533231</v>
      </c>
      <c r="AG817">
        <v>2092.2864533363108</v>
      </c>
      <c r="AH817">
        <v>9.8556203301936272</v>
      </c>
      <c r="AI817">
        <v>1880.1763593440671</v>
      </c>
      <c r="AJ817">
        <v>7.0833552194990155</v>
      </c>
    </row>
    <row r="818" spans="4:36" x14ac:dyDescent="0.45">
      <c r="D818">
        <v>811</v>
      </c>
      <c r="E818">
        <v>13.882052764955283</v>
      </c>
      <c r="F818">
        <v>0.47380383702271517</v>
      </c>
      <c r="G818">
        <v>0.17250140673390751</v>
      </c>
      <c r="H818">
        <v>15.471641991288086</v>
      </c>
      <c r="I818">
        <v>14.154814775169351</v>
      </c>
      <c r="J818">
        <v>0.29529848539504028</v>
      </c>
      <c r="K818">
        <v>0.10711312446590379</v>
      </c>
      <c r="L818">
        <v>15.442773614969713</v>
      </c>
      <c r="M818">
        <v>14.011126431907151</v>
      </c>
      <c r="N818">
        <v>0.38939360810884099</v>
      </c>
      <c r="O818">
        <v>0.14151954950807349</v>
      </c>
      <c r="P818">
        <v>15.457960410475946</v>
      </c>
      <c r="Q818">
        <v>13.997347571102761</v>
      </c>
      <c r="R818">
        <v>0.39840975014801111</v>
      </c>
      <c r="S818">
        <v>0.14482352317295044</v>
      </c>
      <c r="T818">
        <v>15.459419155576272</v>
      </c>
      <c r="U818">
        <v>1623.3636668988092</v>
      </c>
      <c r="V818">
        <v>10.842867818762018</v>
      </c>
      <c r="W818">
        <v>1331.2151125767778</v>
      </c>
      <c r="X818">
        <v>7.635444879712904</v>
      </c>
      <c r="Y818">
        <v>2963.3265524682001</v>
      </c>
      <c r="Z818">
        <v>10.912933661259821</v>
      </c>
      <c r="AA818">
        <v>2769.2981616253655</v>
      </c>
      <c r="AB818">
        <v>7.6742791023997903</v>
      </c>
      <c r="AC818">
        <v>2332.1010589954271</v>
      </c>
      <c r="AD818">
        <v>10.8760348018786</v>
      </c>
      <c r="AE818">
        <v>2084.7679659752507</v>
      </c>
      <c r="AF818">
        <v>7.6538435508050462</v>
      </c>
      <c r="AG818">
        <v>2186.7512614012935</v>
      </c>
      <c r="AH818">
        <v>10.872495122215366</v>
      </c>
      <c r="AI818">
        <v>1937.0981794282006</v>
      </c>
      <c r="AJ818">
        <v>7.651881348599896</v>
      </c>
    </row>
    <row r="819" spans="4:36" x14ac:dyDescent="0.45">
      <c r="D819">
        <v>812</v>
      </c>
      <c r="E819">
        <v>12.438682457937354</v>
      </c>
      <c r="F819">
        <v>0.46837634455474803</v>
      </c>
      <c r="G819">
        <v>0.15433032588617701</v>
      </c>
      <c r="H819">
        <v>16.938610871621727</v>
      </c>
      <c r="I819">
        <v>12.600880045646541</v>
      </c>
      <c r="J819">
        <v>0.33133782949457014</v>
      </c>
      <c r="K819">
        <v>0.10892923773441135</v>
      </c>
      <c r="L819">
        <v>16.95885288712449</v>
      </c>
      <c r="M819">
        <v>12.495052887455998</v>
      </c>
      <c r="N819">
        <v>0.42076077640758547</v>
      </c>
      <c r="O819">
        <v>0.13853157949683989</v>
      </c>
      <c r="P819">
        <v>16.945654756639581</v>
      </c>
      <c r="Q819">
        <v>12.484376117293481</v>
      </c>
      <c r="R819">
        <v>0.42978024941343551</v>
      </c>
      <c r="S819">
        <v>0.14152228046859069</v>
      </c>
      <c r="T819">
        <v>16.944321352824481</v>
      </c>
      <c r="U819">
        <v>1562.2539729781452</v>
      </c>
      <c r="V819">
        <v>9.8513215228842412</v>
      </c>
      <c r="W819">
        <v>1297.2168502132201</v>
      </c>
      <c r="X819">
        <v>7.0805575311254252</v>
      </c>
      <c r="Y819">
        <v>2908.3827945985367</v>
      </c>
      <c r="Z819">
        <v>9.87408081295745</v>
      </c>
      <c r="AA819">
        <v>2733.4128150474739</v>
      </c>
      <c r="AB819">
        <v>7.0946554740145888</v>
      </c>
      <c r="AC819">
        <v>2255.3331383853947</v>
      </c>
      <c r="AD819">
        <v>9.8592259026457416</v>
      </c>
      <c r="AE819">
        <v>2035.1232087799788</v>
      </c>
      <c r="AF819">
        <v>7.0854594340744228</v>
      </c>
      <c r="AG819">
        <v>2142.4038613855428</v>
      </c>
      <c r="AH819">
        <v>9.8577283380885223</v>
      </c>
      <c r="AI819">
        <v>1910.9115752934003</v>
      </c>
      <c r="AJ819">
        <v>7.0845311828961188</v>
      </c>
    </row>
    <row r="820" spans="4:36" x14ac:dyDescent="0.45">
      <c r="D820">
        <v>813</v>
      </c>
      <c r="E820">
        <v>12.8993591667567</v>
      </c>
      <c r="F820">
        <v>0.46545570809088743</v>
      </c>
      <c r="G820">
        <v>0.15152828371075724</v>
      </c>
      <c r="H820">
        <v>16.483656841441665</v>
      </c>
      <c r="I820">
        <v>13.119918392420686</v>
      </c>
      <c r="J820">
        <v>0.3070327228917506</v>
      </c>
      <c r="K820">
        <v>9.9662353873152879E-2</v>
      </c>
      <c r="L820">
        <v>16.473386530814413</v>
      </c>
      <c r="M820">
        <v>13.050187588346727</v>
      </c>
      <c r="N820">
        <v>0.35714991764701914</v>
      </c>
      <c r="O820">
        <v>0.11603694570969633</v>
      </c>
      <c r="P820">
        <v>16.476625548296568</v>
      </c>
      <c r="Q820">
        <v>12.989362147383634</v>
      </c>
      <c r="R820">
        <v>0.40084324868814131</v>
      </c>
      <c r="S820">
        <v>0.13033768601332868</v>
      </c>
      <c r="T820">
        <v>16.479456917914881</v>
      </c>
      <c r="U820">
        <v>1554.3688458017168</v>
      </c>
      <c r="V820">
        <v>10.240024234321936</v>
      </c>
      <c r="W820">
        <v>1292.26387688104</v>
      </c>
      <c r="X820">
        <v>7.3124491520262156</v>
      </c>
      <c r="Y820">
        <v>2901.494552036042</v>
      </c>
      <c r="Z820">
        <v>10.28759165574327</v>
      </c>
      <c r="AA820">
        <v>2730.7684829810428</v>
      </c>
      <c r="AB820">
        <v>7.3393261728815675</v>
      </c>
      <c r="AC820">
        <v>2240.540933917403</v>
      </c>
      <c r="AD820">
        <v>10.27255773260217</v>
      </c>
      <c r="AE820">
        <v>2029.8884500183453</v>
      </c>
      <c r="AF820">
        <v>7.3308403114272558</v>
      </c>
      <c r="AG820">
        <v>2137.3400892774848</v>
      </c>
      <c r="AH820">
        <v>10.259440239743922</v>
      </c>
      <c r="AI820">
        <v>1910.0184642888184</v>
      </c>
      <c r="AJ820">
        <v>7.32342958853841</v>
      </c>
    </row>
    <row r="821" spans="4:36" x14ac:dyDescent="0.45">
      <c r="D821">
        <v>814</v>
      </c>
      <c r="E821">
        <v>11.337040723950505</v>
      </c>
      <c r="F821">
        <v>0.38500695962229053</v>
      </c>
      <c r="G821">
        <v>0.15911339291882023</v>
      </c>
      <c r="H821">
        <v>18.118838923508381</v>
      </c>
      <c r="I821">
        <v>11.521983625441079</v>
      </c>
      <c r="J821">
        <v>0.25242633447475848</v>
      </c>
      <c r="K821">
        <v>0.10400287955873988</v>
      </c>
      <c r="L821">
        <v>18.121587160525422</v>
      </c>
      <c r="M821">
        <v>11.476170824869076</v>
      </c>
      <c r="N821">
        <v>0.28528858511797578</v>
      </c>
      <c r="O821">
        <v>0.11763114880313504</v>
      </c>
      <c r="P821">
        <v>18.120909441209815</v>
      </c>
      <c r="Q821">
        <v>11.424260398612402</v>
      </c>
      <c r="R821">
        <v>0.32250867369956682</v>
      </c>
      <c r="S821">
        <v>0.13309183018805226</v>
      </c>
      <c r="T821">
        <v>18.120139097499987</v>
      </c>
      <c r="U821">
        <v>1451.0303859806547</v>
      </c>
      <c r="V821">
        <v>8.981566628331958</v>
      </c>
      <c r="W821">
        <v>1235.1844325276325</v>
      </c>
      <c r="X821">
        <v>6.5761916116274666</v>
      </c>
      <c r="Y821">
        <v>2839.2318414125662</v>
      </c>
      <c r="Z821">
        <v>9.0153369801153467</v>
      </c>
      <c r="AA821">
        <v>2697.5261285827678</v>
      </c>
      <c r="AB821">
        <v>6.5964740013691348</v>
      </c>
      <c r="AC821">
        <v>2147.6287743508251</v>
      </c>
      <c r="AD821">
        <v>9.0069697255254226</v>
      </c>
      <c r="AE821">
        <v>1977.5568683957965</v>
      </c>
      <c r="AF821">
        <v>6.5914556648536458</v>
      </c>
      <c r="AG821">
        <v>2033.1499081764964</v>
      </c>
      <c r="AH821">
        <v>8.9974902993257437</v>
      </c>
      <c r="AI821">
        <v>1850.5301466634737</v>
      </c>
      <c r="AJ821">
        <v>6.5857647356754869</v>
      </c>
    </row>
    <row r="822" spans="4:36" x14ac:dyDescent="0.45">
      <c r="D822">
        <v>815</v>
      </c>
      <c r="E822">
        <v>11.973971424421924</v>
      </c>
      <c r="F822">
        <v>0.42601885084345803</v>
      </c>
      <c r="G822">
        <v>0.15916586529563023</v>
      </c>
      <c r="H822">
        <v>17.440843859438981</v>
      </c>
      <c r="I822">
        <v>12.173716857883122</v>
      </c>
      <c r="J822">
        <v>0.27631162422166378</v>
      </c>
      <c r="K822">
        <v>0.10290991694048805</v>
      </c>
      <c r="L822">
        <v>17.447061600954719</v>
      </c>
      <c r="M822">
        <v>12.080864258841494</v>
      </c>
      <c r="N822">
        <v>0.34593175679034416</v>
      </c>
      <c r="O822">
        <v>0.12902676815457267</v>
      </c>
      <c r="P822">
        <v>17.44417721621361</v>
      </c>
      <c r="Q822">
        <v>12.040977515055621</v>
      </c>
      <c r="R822">
        <v>0.37582360279004606</v>
      </c>
      <c r="S822">
        <v>0.14026388320891273</v>
      </c>
      <c r="T822">
        <v>17.442934998945436</v>
      </c>
      <c r="U822">
        <v>1506.3445908960966</v>
      </c>
      <c r="V822">
        <v>9.4681857039572481</v>
      </c>
      <c r="W822">
        <v>1266.7880158529288</v>
      </c>
      <c r="X822">
        <v>6.8576059418890329</v>
      </c>
      <c r="Y822">
        <v>2865.8081546721428</v>
      </c>
      <c r="Z822">
        <v>9.5026728873058897</v>
      </c>
      <c r="AA822">
        <v>2711.4042388621947</v>
      </c>
      <c r="AB822">
        <v>6.8781504997989611</v>
      </c>
      <c r="AC822">
        <v>2215.432124228802</v>
      </c>
      <c r="AD822">
        <v>9.4866381082876643</v>
      </c>
      <c r="AE822">
        <v>2017.8186381374962</v>
      </c>
      <c r="AF822">
        <v>6.8686079080201639</v>
      </c>
      <c r="AG822">
        <v>2112.8592489176062</v>
      </c>
      <c r="AH822">
        <v>9.4797517678200371</v>
      </c>
      <c r="AI822">
        <v>1899.7791059760541</v>
      </c>
      <c r="AJ822">
        <v>6.8645046282480422</v>
      </c>
    </row>
    <row r="823" spans="4:36" x14ac:dyDescent="0.45">
      <c r="D823">
        <v>816</v>
      </c>
      <c r="E823">
        <v>11.824070086066522</v>
      </c>
      <c r="F823">
        <v>0.41196552162050137</v>
      </c>
      <c r="G823">
        <v>0.15430278030640168</v>
      </c>
      <c r="H823">
        <v>17.609661612006587</v>
      </c>
      <c r="I823">
        <v>12.027152979510028</v>
      </c>
      <c r="J823">
        <v>0.26523058505308333</v>
      </c>
      <c r="K823">
        <v>9.9025675742711344E-2</v>
      </c>
      <c r="L823">
        <v>17.608590759694188</v>
      </c>
      <c r="M823">
        <v>11.965945310513273</v>
      </c>
      <c r="N823">
        <v>0.30948204745511337</v>
      </c>
      <c r="O823">
        <v>0.11565813709625389</v>
      </c>
      <c r="P823">
        <v>17.608914504935353</v>
      </c>
      <c r="Q823">
        <v>11.936943018756192</v>
      </c>
      <c r="R823">
        <v>0.33044191241067822</v>
      </c>
      <c r="S823">
        <v>0.12354746084773699</v>
      </c>
      <c r="T823">
        <v>17.609067607985377</v>
      </c>
      <c r="U823">
        <v>1505.5877421210973</v>
      </c>
      <c r="V823">
        <v>9.2155476518721002</v>
      </c>
      <c r="W823">
        <v>1267.3208673810066</v>
      </c>
      <c r="X823">
        <v>6.692312439717476</v>
      </c>
      <c r="Y823">
        <v>2874.4229918419178</v>
      </c>
      <c r="Z823">
        <v>9.2532524323972307</v>
      </c>
      <c r="AA823">
        <v>2718.5235363333304</v>
      </c>
      <c r="AB823">
        <v>6.7145498491608846</v>
      </c>
      <c r="AC823">
        <v>2158.3235604150973</v>
      </c>
      <c r="AD823">
        <v>9.2418875557246558</v>
      </c>
      <c r="AE823">
        <v>1979.0619962500157</v>
      </c>
      <c r="AF823">
        <v>6.7078556580212103</v>
      </c>
      <c r="AG823">
        <v>2073.7008277881218</v>
      </c>
      <c r="AH823">
        <v>9.2365027681598431</v>
      </c>
      <c r="AI823">
        <v>1874.8031586313768</v>
      </c>
      <c r="AJ823">
        <v>6.704681324400843</v>
      </c>
    </row>
    <row r="824" spans="4:36" x14ac:dyDescent="0.45">
      <c r="D824">
        <v>817</v>
      </c>
      <c r="E824">
        <v>12.033933226771845</v>
      </c>
      <c r="F824">
        <v>0.47669086967353064</v>
      </c>
      <c r="G824">
        <v>0.14269941209797762</v>
      </c>
      <c r="H824">
        <v>17.346676491456645</v>
      </c>
      <c r="I824">
        <v>12.2237685063575</v>
      </c>
      <c r="J824">
        <v>0.32066663104559956</v>
      </c>
      <c r="K824">
        <v>9.5735199655333156E-2</v>
      </c>
      <c r="L824">
        <v>17.359829662941578</v>
      </c>
      <c r="M824">
        <v>12.135158982539645</v>
      </c>
      <c r="N824">
        <v>0.3935132511930482</v>
      </c>
      <c r="O824">
        <v>0.11763060909969925</v>
      </c>
      <c r="P824">
        <v>17.353697157167602</v>
      </c>
      <c r="Q824">
        <v>12.119926512351084</v>
      </c>
      <c r="R824">
        <v>0.4060326341028947</v>
      </c>
      <c r="S824">
        <v>0.12139914010457468</v>
      </c>
      <c r="T824">
        <v>17.352641713441436</v>
      </c>
      <c r="U824">
        <v>1523.0131728416302</v>
      </c>
      <c r="V824">
        <v>9.4566308693044512</v>
      </c>
      <c r="W824">
        <v>1275.0984087491095</v>
      </c>
      <c r="X824">
        <v>6.8395313739755439</v>
      </c>
      <c r="Y824">
        <v>2866.4824926073056</v>
      </c>
      <c r="Z824">
        <v>9.4853240505244418</v>
      </c>
      <c r="AA824">
        <v>2708.5215256288134</v>
      </c>
      <c r="AB824">
        <v>6.8568458768256679</v>
      </c>
      <c r="AC824">
        <v>2214.3143587258282</v>
      </c>
      <c r="AD824">
        <v>9.4719267490896115</v>
      </c>
      <c r="AE824">
        <v>2013.3929873313155</v>
      </c>
      <c r="AF824">
        <v>6.848769459406955</v>
      </c>
      <c r="AG824">
        <v>2108.9075285798481</v>
      </c>
      <c r="AH824">
        <v>9.4696244111987316</v>
      </c>
      <c r="AI824">
        <v>1894.6172130602342</v>
      </c>
      <c r="AJ824">
        <v>6.847380115611986</v>
      </c>
    </row>
    <row r="825" spans="4:36" x14ac:dyDescent="0.45">
      <c r="D825">
        <v>818</v>
      </c>
      <c r="E825">
        <v>12.776537714265505</v>
      </c>
      <c r="F825">
        <v>0.43768367182901025</v>
      </c>
      <c r="G825">
        <v>0.17580653100008864</v>
      </c>
      <c r="H825">
        <v>16.609972082905376</v>
      </c>
      <c r="I825">
        <v>12.981260927069625</v>
      </c>
      <c r="J825">
        <v>0.2985479049112626</v>
      </c>
      <c r="K825">
        <v>0.11954048226833981</v>
      </c>
      <c r="L825">
        <v>16.600650685750779</v>
      </c>
      <c r="M825">
        <v>12.942698887407577</v>
      </c>
      <c r="N825">
        <v>0.32477661859566526</v>
      </c>
      <c r="O825">
        <v>0.13011970632867739</v>
      </c>
      <c r="P825">
        <v>16.602404787668071</v>
      </c>
      <c r="Q825">
        <v>12.842596330791377</v>
      </c>
      <c r="R825">
        <v>0.39281824657235798</v>
      </c>
      <c r="S825">
        <v>0.15762352762179854</v>
      </c>
      <c r="T825">
        <v>16.606961895014447</v>
      </c>
      <c r="U825">
        <v>1565.3748739063844</v>
      </c>
      <c r="V825">
        <v>10.090142371538555</v>
      </c>
      <c r="W825">
        <v>1302.7196897282909</v>
      </c>
      <c r="X825">
        <v>7.2177898936543627</v>
      </c>
      <c r="Y825">
        <v>2904.4098253401958</v>
      </c>
      <c r="Z825">
        <v>10.133646805568997</v>
      </c>
      <c r="AA825">
        <v>2733.7629046155912</v>
      </c>
      <c r="AB825">
        <v>7.2426986226785326</v>
      </c>
      <c r="AC825">
        <v>2203.7462399277001</v>
      </c>
      <c r="AD825">
        <v>10.125453254639185</v>
      </c>
      <c r="AE825">
        <v>2006.2448107190899</v>
      </c>
      <c r="AF825">
        <v>7.2380131926145959</v>
      </c>
      <c r="AG825">
        <v>2120.9832943388474</v>
      </c>
      <c r="AH825">
        <v>10.104181537210826</v>
      </c>
      <c r="AI825">
        <v>1899.2536160264872</v>
      </c>
      <c r="AJ825">
        <v>7.2258364879867356</v>
      </c>
    </row>
    <row r="826" spans="4:36" x14ac:dyDescent="0.45">
      <c r="D826">
        <v>819</v>
      </c>
      <c r="E826">
        <v>13.411952662753917</v>
      </c>
      <c r="F826">
        <v>0.45781524417522451</v>
      </c>
      <c r="G826">
        <v>0.16603465681972138</v>
      </c>
      <c r="H826">
        <v>15.964197436251139</v>
      </c>
      <c r="I826">
        <v>13.616279514991504</v>
      </c>
      <c r="J826">
        <v>0.32065093270668316</v>
      </c>
      <c r="K826">
        <v>0.11597152363792462</v>
      </c>
      <c r="L826">
        <v>15.947098028663889</v>
      </c>
      <c r="M826">
        <v>13.602660204724414</v>
      </c>
      <c r="N826">
        <v>0.32980189589667197</v>
      </c>
      <c r="O826">
        <v>0.119302853745412</v>
      </c>
      <c r="P826">
        <v>15.948235045633492</v>
      </c>
      <c r="Q826">
        <v>13.485977236501393</v>
      </c>
      <c r="R826">
        <v>0.40815375550101601</v>
      </c>
      <c r="S826">
        <v>0.14787663748049637</v>
      </c>
      <c r="T826">
        <v>15.957992370517086</v>
      </c>
      <c r="U826">
        <v>1569.8171432386989</v>
      </c>
      <c r="V826">
        <v>10.491772988145581</v>
      </c>
      <c r="W826">
        <v>1300.4475321649666</v>
      </c>
      <c r="X826">
        <v>7.4369923305493186</v>
      </c>
      <c r="Y826">
        <v>2931.6235351996443</v>
      </c>
      <c r="Z826">
        <v>10.539091054727496</v>
      </c>
      <c r="AA826">
        <v>2749.0404393128965</v>
      </c>
      <c r="AB826">
        <v>7.4633588000625846</v>
      </c>
      <c r="AC826">
        <v>2230.6933460429032</v>
      </c>
      <c r="AD826">
        <v>10.535938649111754</v>
      </c>
      <c r="AE826">
        <v>2022.0450097757607</v>
      </c>
      <c r="AF826">
        <v>7.4616043108280792</v>
      </c>
      <c r="AG826">
        <v>2176.5122308168261</v>
      </c>
      <c r="AH826">
        <v>10.508921429330309</v>
      </c>
      <c r="AI826">
        <v>1934.4919418087993</v>
      </c>
      <c r="AJ826">
        <v>7.4465555401987693</v>
      </c>
    </row>
    <row r="827" spans="4:36" x14ac:dyDescent="0.45">
      <c r="D827">
        <v>820</v>
      </c>
      <c r="E827">
        <v>13.584295471220669</v>
      </c>
      <c r="F827">
        <v>0.52202969680591293</v>
      </c>
      <c r="G827">
        <v>0.16597069129640227</v>
      </c>
      <c r="H827">
        <v>15.727704140677025</v>
      </c>
      <c r="I827">
        <v>13.789680746165526</v>
      </c>
      <c r="J827">
        <v>0.36431169215644482</v>
      </c>
      <c r="K827">
        <v>0.1155179506976874</v>
      </c>
      <c r="L827">
        <v>15.730489610980355</v>
      </c>
      <c r="M827">
        <v>13.678701824014743</v>
      </c>
      <c r="N827">
        <v>0.44955960764904768</v>
      </c>
      <c r="O827">
        <v>0.14275407934018611</v>
      </c>
      <c r="P827">
        <v>15.728984488996023</v>
      </c>
      <c r="Q827">
        <v>13.654093206319917</v>
      </c>
      <c r="R827">
        <v>0.46845441057488674</v>
      </c>
      <c r="S827">
        <v>0.14880164024004355</v>
      </c>
      <c r="T827">
        <v>15.728650742865167</v>
      </c>
      <c r="U827">
        <v>1610.817072597114</v>
      </c>
      <c r="V827">
        <v>10.762888929071545</v>
      </c>
      <c r="W827">
        <v>1322.9463953467668</v>
      </c>
      <c r="X827">
        <v>7.6031410825450223</v>
      </c>
      <c r="Y827">
        <v>2945.5722657781203</v>
      </c>
      <c r="Z827">
        <v>10.798945835035136</v>
      </c>
      <c r="AA827">
        <v>2754.4481142134055</v>
      </c>
      <c r="AB827">
        <v>7.6236933233755915</v>
      </c>
      <c r="AC827">
        <v>2293.7489162771903</v>
      </c>
      <c r="AD827">
        <v>10.779463167387728</v>
      </c>
      <c r="AE827">
        <v>2056.6880351680534</v>
      </c>
      <c r="AF827">
        <v>7.6125955723735288</v>
      </c>
      <c r="AG827">
        <v>2185.118443207281</v>
      </c>
      <c r="AH827">
        <v>10.775142894241039</v>
      </c>
      <c r="AI827">
        <v>1934.4507882405883</v>
      </c>
      <c r="AJ827">
        <v>7.6101323444793563</v>
      </c>
    </row>
    <row r="828" spans="4:36" x14ac:dyDescent="0.45">
      <c r="D828">
        <v>821</v>
      </c>
      <c r="E828">
        <v>12.313462877213215</v>
      </c>
      <c r="F828">
        <v>0.46496561004985448</v>
      </c>
      <c r="G828">
        <v>0.16597739799502453</v>
      </c>
      <c r="H828">
        <v>17.055594114741897</v>
      </c>
      <c r="I828">
        <v>12.535595272028175</v>
      </c>
      <c r="J828">
        <v>0.29567007316887534</v>
      </c>
      <c r="K828">
        <v>0.10519731296472282</v>
      </c>
      <c r="L828">
        <v>17.063537341838234</v>
      </c>
      <c r="M828">
        <v>12.441923836845614</v>
      </c>
      <c r="N828">
        <v>0.3670927250771891</v>
      </c>
      <c r="O828">
        <v>0.13078979433701454</v>
      </c>
      <c r="P828">
        <v>17.060193643740185</v>
      </c>
      <c r="Q828">
        <v>12.406455134915134</v>
      </c>
      <c r="R828">
        <v>0.39412474798720476</v>
      </c>
      <c r="S828">
        <v>0.14049480126084565</v>
      </c>
      <c r="T828">
        <v>17.058925315836799</v>
      </c>
      <c r="U828">
        <v>1532.4072771878425</v>
      </c>
      <c r="V828">
        <v>9.710728996633593</v>
      </c>
      <c r="W828">
        <v>1278.5453882391382</v>
      </c>
      <c r="X828">
        <v>6.9914103163421686</v>
      </c>
      <c r="Y828">
        <v>2889.9067551076168</v>
      </c>
      <c r="Z828">
        <v>9.7449651735754657</v>
      </c>
      <c r="AA828">
        <v>2724.6932650197409</v>
      </c>
      <c r="AB828">
        <v>7.0116080454928866</v>
      </c>
      <c r="AC828">
        <v>2229.4425583750458</v>
      </c>
      <c r="AD828">
        <v>9.7305254940271269</v>
      </c>
      <c r="AE828">
        <v>2022.9537952496978</v>
      </c>
      <c r="AF828">
        <v>7.0030989042888088</v>
      </c>
      <c r="AG828">
        <v>2126.7116714159774</v>
      </c>
      <c r="AH828">
        <v>9.7250588782924972</v>
      </c>
      <c r="AI828">
        <v>1904.762751747453</v>
      </c>
      <c r="AJ828">
        <v>6.9998738556503994</v>
      </c>
    </row>
    <row r="829" spans="4:36" x14ac:dyDescent="0.45">
      <c r="D829">
        <v>822</v>
      </c>
      <c r="E829">
        <v>12.452364483234252</v>
      </c>
      <c r="F829">
        <v>0.47959170065938456</v>
      </c>
      <c r="G829">
        <v>0.17401562361293746</v>
      </c>
      <c r="H829">
        <v>16.894028192493444</v>
      </c>
      <c r="I829">
        <v>12.693579255137715</v>
      </c>
      <c r="J829">
        <v>0.29632424889987946</v>
      </c>
      <c r="K829">
        <v>0.10713901493702567</v>
      </c>
      <c r="L829">
        <v>16.902957481025386</v>
      </c>
      <c r="M829">
        <v>12.598727383451786</v>
      </c>
      <c r="N829">
        <v>0.36842678487108299</v>
      </c>
      <c r="O829">
        <v>0.13339292176044135</v>
      </c>
      <c r="P829">
        <v>16.89945290991669</v>
      </c>
      <c r="Q829">
        <v>12.567965919873599</v>
      </c>
      <c r="R829">
        <v>0.39180013132429048</v>
      </c>
      <c r="S829">
        <v>0.14191945237686285</v>
      </c>
      <c r="T829">
        <v>16.898314496425243</v>
      </c>
      <c r="U829">
        <v>1554.9749655171929</v>
      </c>
      <c r="V829">
        <v>9.8831139850920113</v>
      </c>
      <c r="W829">
        <v>1293.7673387021077</v>
      </c>
      <c r="X829">
        <v>7.0997820236075055</v>
      </c>
      <c r="Y829">
        <v>2902.0026175875864</v>
      </c>
      <c r="Z829">
        <v>9.9248454541804971</v>
      </c>
      <c r="AA829">
        <v>2733.345309781464</v>
      </c>
      <c r="AB829">
        <v>7.1244665992089464</v>
      </c>
      <c r="AC829">
        <v>2219.5939855477404</v>
      </c>
      <c r="AD829">
        <v>9.9084311282461801</v>
      </c>
      <c r="AE829">
        <v>2015.6981778582028</v>
      </c>
      <c r="AF829">
        <v>7.1147698507103785</v>
      </c>
      <c r="AG829">
        <v>2143.4484875248913</v>
      </c>
      <c r="AH829">
        <v>9.9031090180579451</v>
      </c>
      <c r="AI829">
        <v>1916.988924925686</v>
      </c>
      <c r="AJ829">
        <v>7.1116223626429518</v>
      </c>
    </row>
    <row r="830" spans="4:36" x14ac:dyDescent="0.45">
      <c r="D830">
        <v>823</v>
      </c>
      <c r="E830">
        <v>14.146143977809869</v>
      </c>
      <c r="F830">
        <v>0.49428972817999306</v>
      </c>
      <c r="G830">
        <v>0.19510211380752959</v>
      </c>
      <c r="H830">
        <v>15.164464180202598</v>
      </c>
      <c r="I830">
        <v>14.401954555423799</v>
      </c>
      <c r="J830">
        <v>0.32590742420990376</v>
      </c>
      <c r="K830">
        <v>0.12819454760039736</v>
      </c>
      <c r="L830">
        <v>15.143943472765891</v>
      </c>
      <c r="M830">
        <v>14.292222201832802</v>
      </c>
      <c r="N830">
        <v>0.39818768219504252</v>
      </c>
      <c r="O830">
        <v>0.1568577166571655</v>
      </c>
      <c r="P830">
        <v>15.152732399314988</v>
      </c>
      <c r="Q830">
        <v>14.254128290875425</v>
      </c>
      <c r="R830">
        <v>0.42326210470293618</v>
      </c>
      <c r="S830">
        <v>0.16682133496975948</v>
      </c>
      <c r="T830">
        <v>15.155788269451872</v>
      </c>
      <c r="U830">
        <v>1627.9490777085434</v>
      </c>
      <c r="V830">
        <v>11.229610878925154</v>
      </c>
      <c r="W830">
        <v>1335.0622756379069</v>
      </c>
      <c r="X830">
        <v>7.8753170386621605</v>
      </c>
      <c r="Y830">
        <v>2943.7914635248462</v>
      </c>
      <c r="Z830">
        <v>11.291787237572693</v>
      </c>
      <c r="AA830">
        <v>2754.6210566785126</v>
      </c>
      <c r="AB830">
        <v>7.9098170647774468</v>
      </c>
      <c r="AC830">
        <v>2270.2750356043953</v>
      </c>
      <c r="AD830">
        <v>11.265123552141672</v>
      </c>
      <c r="AE830">
        <v>2042.1474150943932</v>
      </c>
      <c r="AF830">
        <v>7.8950348806972741</v>
      </c>
      <c r="AG830">
        <v>2195.7977571529591</v>
      </c>
      <c r="AH830">
        <v>11.255864568013603</v>
      </c>
      <c r="AI830">
        <v>1943.4450791148138</v>
      </c>
      <c r="AJ830">
        <v>7.8898972815515735</v>
      </c>
    </row>
    <row r="831" spans="4:36" x14ac:dyDescent="0.45">
      <c r="D831">
        <v>824</v>
      </c>
      <c r="E831">
        <v>13.357437817117088</v>
      </c>
      <c r="F831">
        <v>0.44539597522006535</v>
      </c>
      <c r="G831">
        <v>0.17808445981626564</v>
      </c>
      <c r="H831">
        <v>16.019081747846577</v>
      </c>
      <c r="I831">
        <v>13.631827129247199</v>
      </c>
      <c r="J831">
        <v>0.27031501995580803</v>
      </c>
      <c r="K831">
        <v>0.10766226292958117</v>
      </c>
      <c r="L831">
        <v>15.990195587867422</v>
      </c>
      <c r="M831">
        <v>13.48983030286111</v>
      </c>
      <c r="N831">
        <v>0.36098407732449467</v>
      </c>
      <c r="O831">
        <v>0.14406234454193909</v>
      </c>
      <c r="P831">
        <v>16.005123275272446</v>
      </c>
      <c r="Q831">
        <v>13.471404361070048</v>
      </c>
      <c r="R831">
        <v>0.37273947845108729</v>
      </c>
      <c r="S831">
        <v>0.14879254395206512</v>
      </c>
      <c r="T831">
        <v>16.0070636165268</v>
      </c>
      <c r="U831">
        <v>1572.2047915850765</v>
      </c>
      <c r="V831">
        <v>10.559713662478691</v>
      </c>
      <c r="W831">
        <v>1301.3935881672071</v>
      </c>
      <c r="X831">
        <v>7.4916744661137358</v>
      </c>
      <c r="Y831">
        <v>2906.5344638909351</v>
      </c>
      <c r="Z831">
        <v>10.628744099681411</v>
      </c>
      <c r="AA831">
        <v>2733.8039680309048</v>
      </c>
      <c r="AB831">
        <v>7.5301519072571557</v>
      </c>
      <c r="AC831">
        <v>2263.8881922031314</v>
      </c>
      <c r="AD831">
        <v>10.593032643554483</v>
      </c>
      <c r="AE831">
        <v>2042.1429706478787</v>
      </c>
      <c r="AF831">
        <v>7.5102630675250364</v>
      </c>
      <c r="AG831">
        <v>2154.608649738384</v>
      </c>
      <c r="AH831">
        <v>10.588396754732623</v>
      </c>
      <c r="AI831">
        <v>1920.0018094179627</v>
      </c>
      <c r="AJ831">
        <v>7.5076785873807346</v>
      </c>
    </row>
    <row r="832" spans="4:36" x14ac:dyDescent="0.45">
      <c r="D832">
        <v>825</v>
      </c>
      <c r="E832">
        <v>11.585354561154629</v>
      </c>
      <c r="F832">
        <v>0.44366725795483164</v>
      </c>
      <c r="G832">
        <v>0.17920713381237618</v>
      </c>
      <c r="H832">
        <v>17.791771047078178</v>
      </c>
      <c r="I832">
        <v>11.818137370739361</v>
      </c>
      <c r="J832">
        <v>0.26782508860358545</v>
      </c>
      <c r="K832">
        <v>0.10777616889840708</v>
      </c>
      <c r="L832">
        <v>17.806261371758641</v>
      </c>
      <c r="M832">
        <v>11.73754360901653</v>
      </c>
      <c r="N832">
        <v>0.32873952129651868</v>
      </c>
      <c r="O832">
        <v>0.13245963196017771</v>
      </c>
      <c r="P832">
        <v>17.801257237726769</v>
      </c>
      <c r="Q832">
        <v>11.698589526759593</v>
      </c>
      <c r="R832">
        <v>0.35816874767964846</v>
      </c>
      <c r="S832">
        <v>0.14440797247361947</v>
      </c>
      <c r="T832">
        <v>17.798833753087138</v>
      </c>
      <c r="U832">
        <v>1486.9755571013952</v>
      </c>
      <c r="V832">
        <v>9.2134546102620583</v>
      </c>
      <c r="W832">
        <v>1255.2563870640174</v>
      </c>
      <c r="X832">
        <v>6.7108006076926046</v>
      </c>
      <c r="Y832">
        <v>2844.7185822557158</v>
      </c>
      <c r="Z832">
        <v>9.2498347834840278</v>
      </c>
      <c r="AA832">
        <v>2699.1755293108904</v>
      </c>
      <c r="AB832">
        <v>6.7330551128640339</v>
      </c>
      <c r="AC832">
        <v>2157.9771265477852</v>
      </c>
      <c r="AD832">
        <v>9.2372315494714758</v>
      </c>
      <c r="AE832">
        <v>1980.318455703157</v>
      </c>
      <c r="AF832">
        <v>6.725358046301146</v>
      </c>
      <c r="AG832">
        <v>2034.6884411023868</v>
      </c>
      <c r="AH832">
        <v>9.231142842316272</v>
      </c>
      <c r="AI832">
        <v>1847.36591395087</v>
      </c>
      <c r="AJ832">
        <v>6.7216347897802278</v>
      </c>
    </row>
    <row r="833" spans="4:36" x14ac:dyDescent="0.45">
      <c r="D833">
        <v>826</v>
      </c>
      <c r="E833">
        <v>12.330139264390215</v>
      </c>
      <c r="F833">
        <v>0.4771899949492468</v>
      </c>
      <c r="G833">
        <v>0.16480472850679578</v>
      </c>
      <c r="H833">
        <v>17.027866012153762</v>
      </c>
      <c r="I833">
        <v>12.520450854107951</v>
      </c>
      <c r="J833">
        <v>0.32447367269874611</v>
      </c>
      <c r="K833">
        <v>0.11176232780435247</v>
      </c>
      <c r="L833">
        <v>17.04331314538895</v>
      </c>
      <c r="M833">
        <v>12.447136921007511</v>
      </c>
      <c r="N833">
        <v>0.38332438323952672</v>
      </c>
      <c r="O833">
        <v>0.13216865703950156</v>
      </c>
      <c r="P833">
        <v>17.037370038713451</v>
      </c>
      <c r="Q833">
        <v>12.407286679025782</v>
      </c>
      <c r="R833">
        <v>0.41530275439406228</v>
      </c>
      <c r="S833">
        <v>0.14327492924931481</v>
      </c>
      <c r="T833">
        <v>17.03413563733082</v>
      </c>
      <c r="U833">
        <v>1530.880001107553</v>
      </c>
      <c r="V833">
        <v>9.792611667820351</v>
      </c>
      <c r="W833">
        <v>1279.4167743901253</v>
      </c>
      <c r="X833">
        <v>7.0471486829518089</v>
      </c>
      <c r="Y833">
        <v>2869.3347367592878</v>
      </c>
      <c r="Z833">
        <v>9.8182175750497152</v>
      </c>
      <c r="AA833">
        <v>2709.5138054734552</v>
      </c>
      <c r="AB833">
        <v>7.0626293698734841</v>
      </c>
      <c r="AC833">
        <v>2191.8111292185849</v>
      </c>
      <c r="AD833">
        <v>9.8083490928423345</v>
      </c>
      <c r="AE833">
        <v>1996.7919212812124</v>
      </c>
      <c r="AF833">
        <v>7.0566699119917962</v>
      </c>
      <c r="AG833">
        <v>2107.7173572413722</v>
      </c>
      <c r="AH833">
        <v>9.8029872683037311</v>
      </c>
      <c r="AI833">
        <v>1891.891773564264</v>
      </c>
      <c r="AJ833">
        <v>7.0534284210009695</v>
      </c>
    </row>
    <row r="834" spans="4:36" x14ac:dyDescent="0.45">
      <c r="D834">
        <v>827</v>
      </c>
      <c r="E834">
        <v>11.812591305256516</v>
      </c>
      <c r="F834">
        <v>0.42880232995895323</v>
      </c>
      <c r="G834">
        <v>0.1583379593950521</v>
      </c>
      <c r="H834">
        <v>17.600268405389464</v>
      </c>
      <c r="I834">
        <v>12.000087123542054</v>
      </c>
      <c r="J834">
        <v>0.28602013654379033</v>
      </c>
      <c r="K834">
        <v>0.10531392523752148</v>
      </c>
      <c r="L834">
        <v>17.608578814676644</v>
      </c>
      <c r="M834">
        <v>11.913625328235145</v>
      </c>
      <c r="N834">
        <v>0.35188662991917119</v>
      </c>
      <c r="O834">
        <v>0.12973621520842377</v>
      </c>
      <c r="P834">
        <v>17.604751826637251</v>
      </c>
      <c r="Q834">
        <v>11.9046543964431</v>
      </c>
      <c r="R834">
        <v>0.35871833776372491</v>
      </c>
      <c r="S834">
        <v>0.13227302704257349</v>
      </c>
      <c r="T834">
        <v>17.604354238750609</v>
      </c>
      <c r="U834">
        <v>1505.5671146483446</v>
      </c>
      <c r="V834">
        <v>9.2426364526537714</v>
      </c>
      <c r="W834">
        <v>1265.693303765783</v>
      </c>
      <c r="X834">
        <v>6.7103245448432833</v>
      </c>
      <c r="Y834">
        <v>2868.6451617089142</v>
      </c>
      <c r="Z834">
        <v>9.2713743366504762</v>
      </c>
      <c r="AA834">
        <v>2712.4648663628586</v>
      </c>
      <c r="AB834">
        <v>6.727590817202616</v>
      </c>
      <c r="AC834">
        <v>2189.6667943479847</v>
      </c>
      <c r="AD834">
        <v>9.2581189959975116</v>
      </c>
      <c r="AE834">
        <v>1998.2943300778491</v>
      </c>
      <c r="AF834">
        <v>6.7196345956547132</v>
      </c>
      <c r="AG834">
        <v>2087.6098929480681</v>
      </c>
      <c r="AH834">
        <v>9.2567439828354452</v>
      </c>
      <c r="AI834">
        <v>1882.477737150507</v>
      </c>
      <c r="AJ834">
        <v>6.7188085098667001</v>
      </c>
    </row>
    <row r="835" spans="4:36" x14ac:dyDescent="0.45">
      <c r="D835">
        <v>828</v>
      </c>
      <c r="E835">
        <v>12.407831194078906</v>
      </c>
      <c r="F835">
        <v>0.48520778082369909</v>
      </c>
      <c r="G835">
        <v>0.15510997254700482</v>
      </c>
      <c r="H835">
        <v>16.951851052550396</v>
      </c>
      <c r="I835">
        <v>12.630323367719436</v>
      </c>
      <c r="J835">
        <v>0.31241546627699412</v>
      </c>
      <c r="K835">
        <v>9.956487182979086E-2</v>
      </c>
      <c r="L835">
        <v>16.957696294173779</v>
      </c>
      <c r="M835">
        <v>12.523128890828263</v>
      </c>
      <c r="N835">
        <v>0.39569627622001224</v>
      </c>
      <c r="O835">
        <v>0.12629261676068793</v>
      </c>
      <c r="P835">
        <v>16.954882216191024</v>
      </c>
      <c r="Q835">
        <v>12.512204568562158</v>
      </c>
      <c r="R835">
        <v>0.40418027984198412</v>
      </c>
      <c r="S835">
        <v>0.12901994030554292</v>
      </c>
      <c r="T835">
        <v>16.954595211290311</v>
      </c>
      <c r="U835">
        <v>1540.651891052604</v>
      </c>
      <c r="V835">
        <v>9.9131883221987103</v>
      </c>
      <c r="W835">
        <v>1282.6944423821833</v>
      </c>
      <c r="X835">
        <v>7.128434998206914</v>
      </c>
      <c r="Y835">
        <v>2913.9973876338536</v>
      </c>
      <c r="Z835">
        <v>9.9545559920743862</v>
      </c>
      <c r="AA835">
        <v>2740.5952304324096</v>
      </c>
      <c r="AB835">
        <v>7.1526532780436005</v>
      </c>
      <c r="AC835">
        <v>2248.1606563506471</v>
      </c>
      <c r="AD835">
        <v>9.934624060990588</v>
      </c>
      <c r="AE835">
        <v>2034.0300948960125</v>
      </c>
      <c r="AF835">
        <v>7.1409955430642302</v>
      </c>
      <c r="AG835">
        <v>2107.0378829711317</v>
      </c>
      <c r="AH835">
        <v>9.9325929195857192</v>
      </c>
      <c r="AI835">
        <v>1889.5097937504547</v>
      </c>
      <c r="AJ835">
        <v>7.1398064098008245</v>
      </c>
    </row>
    <row r="836" spans="4:36" x14ac:dyDescent="0.45">
      <c r="D836">
        <v>829</v>
      </c>
      <c r="E836">
        <v>10.790402708054218</v>
      </c>
      <c r="F836">
        <v>0.3891584234854798</v>
      </c>
      <c r="G836">
        <v>0.15705240921597396</v>
      </c>
      <c r="H836">
        <v>18.663386459244332</v>
      </c>
      <c r="I836">
        <v>10.969623175896976</v>
      </c>
      <c r="J836">
        <v>0.24960828831057127</v>
      </c>
      <c r="K836">
        <v>0.10042273959718252</v>
      </c>
      <c r="L836">
        <v>18.680345796195276</v>
      </c>
      <c r="M836">
        <v>10.915454936248189</v>
      </c>
      <c r="N836">
        <v>0.2918046994395655</v>
      </c>
      <c r="O836">
        <v>0.11750871199192188</v>
      </c>
      <c r="P836">
        <v>18.675231652320331</v>
      </c>
      <c r="Q836">
        <v>10.858940510246912</v>
      </c>
      <c r="R836">
        <v>0.3358119304504017</v>
      </c>
      <c r="S836">
        <v>0.13536233580343346</v>
      </c>
      <c r="T836">
        <v>18.669885223499243</v>
      </c>
      <c r="U836">
        <v>1439.1719170259325</v>
      </c>
      <c r="V836">
        <v>8.527839183744188</v>
      </c>
      <c r="W836">
        <v>1228.7655313161722</v>
      </c>
      <c r="X836">
        <v>6.2999635918210055</v>
      </c>
      <c r="Y836">
        <v>2824.0377924513909</v>
      </c>
      <c r="Z836">
        <v>8.5505050247059806</v>
      </c>
      <c r="AA836">
        <v>2688.3090705528643</v>
      </c>
      <c r="AB836">
        <v>6.3144002779743102</v>
      </c>
      <c r="AC836">
        <v>2140.2753788742848</v>
      </c>
      <c r="AD836">
        <v>8.5436482862671745</v>
      </c>
      <c r="AE836">
        <v>1973.8668827917513</v>
      </c>
      <c r="AF836">
        <v>6.3100402651172418</v>
      </c>
      <c r="AG836">
        <v>2022.2452412920131</v>
      </c>
      <c r="AH836">
        <v>8.5365002073869842</v>
      </c>
      <c r="AI836">
        <v>1843.6656474189858</v>
      </c>
      <c r="AJ836">
        <v>6.3054882950567688</v>
      </c>
    </row>
    <row r="837" spans="4:36" x14ac:dyDescent="0.45">
      <c r="D837">
        <v>830</v>
      </c>
      <c r="E837">
        <v>11.43261740328327</v>
      </c>
      <c r="F837">
        <v>0.39259212618910272</v>
      </c>
      <c r="G837">
        <v>0.15856993148149362</v>
      </c>
      <c r="H837">
        <v>18.016220539046124</v>
      </c>
      <c r="I837">
        <v>11.61664342444057</v>
      </c>
      <c r="J837">
        <v>0.25335808211811178</v>
      </c>
      <c r="K837">
        <v>0.102028559580287</v>
      </c>
      <c r="L837">
        <v>18.027969933861023</v>
      </c>
      <c r="M837">
        <v>11.536082599906617</v>
      </c>
      <c r="N837">
        <v>0.31433396422071208</v>
      </c>
      <c r="O837">
        <v>0.12674825270549978</v>
      </c>
      <c r="P837">
        <v>18.02283518316716</v>
      </c>
      <c r="Q837">
        <v>11.490199932922648</v>
      </c>
      <c r="R837">
        <v>0.34904583237981179</v>
      </c>
      <c r="S837">
        <v>0.14084958694461461</v>
      </c>
      <c r="T837">
        <v>18.01990464775292</v>
      </c>
      <c r="U837">
        <v>1474.6027958087273</v>
      </c>
      <c r="V837">
        <v>9.0891953651450681</v>
      </c>
      <c r="W837">
        <v>1249.4801009567327</v>
      </c>
      <c r="X837">
        <v>6.6431858668274906</v>
      </c>
      <c r="Y837">
        <v>2841.5219494401699</v>
      </c>
      <c r="Z837">
        <v>9.1182876901007184</v>
      </c>
      <c r="AA837">
        <v>2697.5956134939393</v>
      </c>
      <c r="AB837">
        <v>6.6610174556011099</v>
      </c>
      <c r="AC837">
        <v>2163.0890888327358</v>
      </c>
      <c r="AD837">
        <v>9.1055468188162791</v>
      </c>
      <c r="AE837">
        <v>1984.7157924537703</v>
      </c>
      <c r="AF837">
        <v>6.6532170001737994</v>
      </c>
      <c r="AG837">
        <v>2064.8672675238913</v>
      </c>
      <c r="AH837">
        <v>9.0982939589374396</v>
      </c>
      <c r="AI837">
        <v>1869.6522562461494</v>
      </c>
      <c r="AJ837">
        <v>6.6487703991026379</v>
      </c>
    </row>
    <row r="838" spans="4:36" x14ac:dyDescent="0.45">
      <c r="D838">
        <v>831</v>
      </c>
      <c r="E838">
        <v>13.406695271439199</v>
      </c>
      <c r="F838">
        <v>0.46077797820599298</v>
      </c>
      <c r="G838">
        <v>0.19163130128328648</v>
      </c>
      <c r="H838">
        <v>15.940895449071531</v>
      </c>
      <c r="I838">
        <v>13.652650796139143</v>
      </c>
      <c r="J838">
        <v>0.29441241889844871</v>
      </c>
      <c r="K838">
        <v>0.12201661146379499</v>
      </c>
      <c r="L838">
        <v>15.930920173498611</v>
      </c>
      <c r="M838">
        <v>13.559036907402989</v>
      </c>
      <c r="N838">
        <v>0.35777865788405516</v>
      </c>
      <c r="O838">
        <v>0.1484738475474611</v>
      </c>
      <c r="P838">
        <v>15.934710587165478</v>
      </c>
      <c r="Q838">
        <v>13.49214172354937</v>
      </c>
      <c r="R838">
        <v>0.40302526120420945</v>
      </c>
      <c r="S838">
        <v>0.16740911740531786</v>
      </c>
      <c r="T838">
        <v>15.93742389784112</v>
      </c>
      <c r="U838">
        <v>1583.9926174962743</v>
      </c>
      <c r="V838">
        <v>10.498799305577364</v>
      </c>
      <c r="W838">
        <v>1309.291729725129</v>
      </c>
      <c r="X838">
        <v>7.4386914112130818</v>
      </c>
      <c r="Y838">
        <v>2919.9108927893458</v>
      </c>
      <c r="Z838">
        <v>10.548759298818945</v>
      </c>
      <c r="AA838">
        <v>2741.930876648958</v>
      </c>
      <c r="AB838">
        <v>7.4668744469421213</v>
      </c>
      <c r="AC838">
        <v>2252.1370864267542</v>
      </c>
      <c r="AD838">
        <v>10.52974781621328</v>
      </c>
      <c r="AE838">
        <v>2034.5220818354846</v>
      </c>
      <c r="AF838">
        <v>7.4561607498935141</v>
      </c>
      <c r="AG838">
        <v>2147.1675241345388</v>
      </c>
      <c r="AH838">
        <v>10.516159514513911</v>
      </c>
      <c r="AI838">
        <v>1913.0148746143257</v>
      </c>
      <c r="AJ838">
        <v>7.4484950382216688</v>
      </c>
    </row>
    <row r="839" spans="4:36" x14ac:dyDescent="0.45">
      <c r="D839">
        <v>832</v>
      </c>
      <c r="E839">
        <v>13.885559292714428</v>
      </c>
      <c r="F839">
        <v>0.45604397131595481</v>
      </c>
      <c r="G839">
        <v>0.18369067363208022</v>
      </c>
      <c r="H839">
        <v>15.474706062337567</v>
      </c>
      <c r="I839">
        <v>14.109980562562711</v>
      </c>
      <c r="J839">
        <v>0.30991479763608565</v>
      </c>
      <c r="K839">
        <v>0.12445323909169681</v>
      </c>
      <c r="L839">
        <v>15.455651400709492</v>
      </c>
      <c r="M839">
        <v>14.023861217731145</v>
      </c>
      <c r="N839">
        <v>0.36602929245074778</v>
      </c>
      <c r="O839">
        <v>0.14715763416045233</v>
      </c>
      <c r="P839">
        <v>15.462951855657662</v>
      </c>
      <c r="Q839">
        <v>13.955957077449693</v>
      </c>
      <c r="R839">
        <v>0.41024083572608516</v>
      </c>
      <c r="S839">
        <v>0.16508376578189382</v>
      </c>
      <c r="T839">
        <v>15.46871832104233</v>
      </c>
      <c r="U839">
        <v>1619.4186059854551</v>
      </c>
      <c r="V839">
        <v>11.052967946076752</v>
      </c>
      <c r="W839">
        <v>1331.4453028196524</v>
      </c>
      <c r="X839">
        <v>7.7820357790845565</v>
      </c>
      <c r="Y839">
        <v>2944.2886486390003</v>
      </c>
      <c r="Z839">
        <v>11.105641852179236</v>
      </c>
      <c r="AA839">
        <v>2755.9077737585831</v>
      </c>
      <c r="AB839">
        <v>7.8111510686219106</v>
      </c>
      <c r="AC839">
        <v>2276.5064427466759</v>
      </c>
      <c r="AD839">
        <v>11.085436145748927</v>
      </c>
      <c r="AE839">
        <v>2048.5630247818754</v>
      </c>
      <c r="AF839">
        <v>7.7999915170295875</v>
      </c>
      <c r="AG839">
        <v>2160.4869925292937</v>
      </c>
      <c r="AH839">
        <v>11.069497724460659</v>
      </c>
      <c r="AI839">
        <v>1919.1727782038608</v>
      </c>
      <c r="AJ839">
        <v>7.7911808305142261</v>
      </c>
    </row>
    <row r="840" spans="4:36" x14ac:dyDescent="0.45">
      <c r="D840">
        <v>833</v>
      </c>
      <c r="E840">
        <v>11.919784373197931</v>
      </c>
      <c r="F840">
        <v>0.45459534717926825</v>
      </c>
      <c r="G840">
        <v>0.16409520119924279</v>
      </c>
      <c r="H840">
        <v>17.461525078423552</v>
      </c>
      <c r="I840">
        <v>12.176627468829853</v>
      </c>
      <c r="J840">
        <v>0.26290674755951554</v>
      </c>
      <c r="K840">
        <v>9.4513463361052485E-2</v>
      </c>
      <c r="L840">
        <v>17.465952320249588</v>
      </c>
      <c r="M840">
        <v>12.086693724678497</v>
      </c>
      <c r="N840">
        <v>0.33006944037793029</v>
      </c>
      <c r="O840">
        <v>0.11882740526487261</v>
      </c>
      <c r="P840">
        <v>17.464409429678707</v>
      </c>
      <c r="Q840">
        <v>12.073593818126081</v>
      </c>
      <c r="R840">
        <v>0.33984864663585668</v>
      </c>
      <c r="S840">
        <v>0.12237349812002736</v>
      </c>
      <c r="T840">
        <v>17.464184037118041</v>
      </c>
      <c r="U840">
        <v>1500.7758833684861</v>
      </c>
      <c r="V840">
        <v>9.4967855509750159</v>
      </c>
      <c r="W840">
        <v>1262.3350404025398</v>
      </c>
      <c r="X840">
        <v>6.8826133100857367</v>
      </c>
      <c r="Y840">
        <v>2864.1778612966295</v>
      </c>
      <c r="Z840">
        <v>9.54754512831936</v>
      </c>
      <c r="AA840">
        <v>2712.313649456481</v>
      </c>
      <c r="AB840">
        <v>6.9128524771481237</v>
      </c>
      <c r="AC840">
        <v>2174.0188443479674</v>
      </c>
      <c r="AD840">
        <v>9.5297661018319459</v>
      </c>
      <c r="AE840">
        <v>1990.2037363161232</v>
      </c>
      <c r="AF840">
        <v>6.9022775115212758</v>
      </c>
      <c r="AG840">
        <v>2062.8689557663906</v>
      </c>
      <c r="AH840">
        <v>9.5271768718003322</v>
      </c>
      <c r="AI840">
        <v>1867.4994558004605</v>
      </c>
      <c r="AJ840">
        <v>6.9007359570950033</v>
      </c>
    </row>
    <row r="841" spans="4:36" x14ac:dyDescent="0.45">
      <c r="D841">
        <v>834</v>
      </c>
      <c r="E841">
        <v>11.501035709890708</v>
      </c>
      <c r="F841">
        <v>0.42833017674740859</v>
      </c>
      <c r="G841">
        <v>0.14788871831093819</v>
      </c>
      <c r="H841">
        <v>17.92274539505096</v>
      </c>
      <c r="I841">
        <v>11.686192522760528</v>
      </c>
      <c r="J841">
        <v>0.28262359315382757</v>
      </c>
      <c r="K841">
        <v>9.7306128571318901E-2</v>
      </c>
      <c r="L841">
        <v>17.933877755514313</v>
      </c>
      <c r="M841">
        <v>11.611031341147221</v>
      </c>
      <c r="N841">
        <v>0.34179162254375323</v>
      </c>
      <c r="O841">
        <v>0.11781170096173328</v>
      </c>
      <c r="P841">
        <v>17.929365335347271</v>
      </c>
      <c r="Q841">
        <v>11.593280402082058</v>
      </c>
      <c r="R841">
        <v>0.35576126201888741</v>
      </c>
      <c r="S841">
        <v>0.12266001150161708</v>
      </c>
      <c r="T841">
        <v>17.928298324397428</v>
      </c>
      <c r="U841">
        <v>1496.2593034239949</v>
      </c>
      <c r="V841">
        <v>8.9585834390907255</v>
      </c>
      <c r="W841">
        <v>1262.0684914587321</v>
      </c>
      <c r="X841">
        <v>6.5371357805863815</v>
      </c>
      <c r="Y841">
        <v>2871.2826389557754</v>
      </c>
      <c r="Z841">
        <v>8.9837338022813231</v>
      </c>
      <c r="AA841">
        <v>2716.7295225439002</v>
      </c>
      <c r="AB841">
        <v>6.5524385778691094</v>
      </c>
      <c r="AC841">
        <v>2166.864588654144</v>
      </c>
      <c r="AD841">
        <v>8.9735209692048272</v>
      </c>
      <c r="AE841">
        <v>1984.9038390294791</v>
      </c>
      <c r="AF841">
        <v>6.5462316909580931</v>
      </c>
      <c r="AG841">
        <v>2096.1493166113391</v>
      </c>
      <c r="AH841">
        <v>8.9711096796534306</v>
      </c>
      <c r="AI841">
        <v>1891.7010748890593</v>
      </c>
      <c r="AJ841">
        <v>6.5447648043343944</v>
      </c>
    </row>
    <row r="842" spans="4:36" x14ac:dyDescent="0.45">
      <c r="D842">
        <v>835</v>
      </c>
      <c r="E842">
        <v>12.851729202775626</v>
      </c>
      <c r="F842">
        <v>0.46494575447140163</v>
      </c>
      <c r="G842">
        <v>0.15415733075174867</v>
      </c>
      <c r="H842">
        <v>16.529167712001232</v>
      </c>
      <c r="I842">
        <v>13.070888367052996</v>
      </c>
      <c r="J842">
        <v>0.30481040576406448</v>
      </c>
      <c r="K842">
        <v>0.10075510136291066</v>
      </c>
      <c r="L842">
        <v>16.523546125820019</v>
      </c>
      <c r="M842">
        <v>12.9837104821558</v>
      </c>
      <c r="N842">
        <v>0.36854251819973199</v>
      </c>
      <c r="O842">
        <v>0.12196902440514465</v>
      </c>
      <c r="P842">
        <v>16.525777975239333</v>
      </c>
      <c r="Q842">
        <v>12.930698168893803</v>
      </c>
      <c r="R842">
        <v>0.40727640163826645</v>
      </c>
      <c r="S842">
        <v>0.13488749654915369</v>
      </c>
      <c r="T842">
        <v>16.527137932918773</v>
      </c>
      <c r="U842">
        <v>1527.4891277980335</v>
      </c>
      <c r="V842">
        <v>10.153403331498291</v>
      </c>
      <c r="W842">
        <v>1274.746457004891</v>
      </c>
      <c r="X842">
        <v>7.2556543820971378</v>
      </c>
      <c r="Y842">
        <v>2914.2509728595846</v>
      </c>
      <c r="Z842">
        <v>10.200548145461788</v>
      </c>
      <c r="AA842">
        <v>2741.2502133850248</v>
      </c>
      <c r="AB842">
        <v>7.2826462335092028</v>
      </c>
      <c r="AC842">
        <v>2245.4064138318781</v>
      </c>
      <c r="AD842">
        <v>10.181796777577087</v>
      </c>
      <c r="AE842">
        <v>2033.9760900885897</v>
      </c>
      <c r="AF842">
        <v>7.27192092030407</v>
      </c>
      <c r="AG842">
        <v>2141.7469336852041</v>
      </c>
      <c r="AH842">
        <v>10.170392865866624</v>
      </c>
      <c r="AI842">
        <v>1914.2802116640507</v>
      </c>
      <c r="AJ842">
        <v>7.2653914616274919</v>
      </c>
    </row>
    <row r="843" spans="4:36" x14ac:dyDescent="0.45">
      <c r="D843">
        <v>836</v>
      </c>
      <c r="E843">
        <v>12.056131218979099</v>
      </c>
      <c r="F843">
        <v>0.3884377669182264</v>
      </c>
      <c r="G843">
        <v>0.14682289689285216</v>
      </c>
      <c r="H843">
        <v>17.40860811720982</v>
      </c>
      <c r="I843">
        <v>12.252842676353929</v>
      </c>
      <c r="J843">
        <v>0.25155312538710434</v>
      </c>
      <c r="K843">
        <v>9.4788750352391787E-2</v>
      </c>
      <c r="L843">
        <v>17.400815447906567</v>
      </c>
      <c r="M843">
        <v>12.159506556269349</v>
      </c>
      <c r="N843">
        <v>0.31653378208481775</v>
      </c>
      <c r="O843">
        <v>0.11944919552770894</v>
      </c>
      <c r="P843">
        <v>17.404510466118126</v>
      </c>
      <c r="Q843">
        <v>12.093546485833155</v>
      </c>
      <c r="R843">
        <v>0.36242117265242862</v>
      </c>
      <c r="S843">
        <v>0.13690794534411352</v>
      </c>
      <c r="T843">
        <v>17.407124396170307</v>
      </c>
      <c r="U843">
        <v>1490.8838169873061</v>
      </c>
      <c r="V843">
        <v>9.4869654333928057</v>
      </c>
      <c r="W843">
        <v>1258.238560375599</v>
      </c>
      <c r="X843">
        <v>6.8678163176820783</v>
      </c>
      <c r="Y843">
        <v>2851.9656854583659</v>
      </c>
      <c r="Z843">
        <v>9.5286696585774155</v>
      </c>
      <c r="AA843">
        <v>2703.1495409053123</v>
      </c>
      <c r="AB843">
        <v>6.8920038146311153</v>
      </c>
      <c r="AC843">
        <v>2172.5523853268246</v>
      </c>
      <c r="AD843">
        <v>9.5088831322087373</v>
      </c>
      <c r="AE843">
        <v>1988.7415019881882</v>
      </c>
      <c r="AF843">
        <v>6.8805378817013017</v>
      </c>
      <c r="AG843">
        <v>2108.8030047702396</v>
      </c>
      <c r="AH843">
        <v>9.4948985977111526</v>
      </c>
      <c r="AI843">
        <v>1897.712764891404</v>
      </c>
      <c r="AJ843">
        <v>6.8724234449320489</v>
      </c>
    </row>
    <row r="844" spans="4:36" x14ac:dyDescent="0.45">
      <c r="D844">
        <v>837</v>
      </c>
      <c r="E844">
        <v>13.535804781232748</v>
      </c>
      <c r="F844">
        <v>0.49370138453860224</v>
      </c>
      <c r="G844">
        <v>0.19811611318437314</v>
      </c>
      <c r="H844">
        <v>15.772377721044254</v>
      </c>
      <c r="I844">
        <v>13.781115451467681</v>
      </c>
      <c r="J844">
        <v>0.32010926250432026</v>
      </c>
      <c r="K844">
        <v>0.12803863718597591</v>
      </c>
      <c r="L844">
        <v>15.770736648842028</v>
      </c>
      <c r="M844">
        <v>13.694857690845067</v>
      </c>
      <c r="N844">
        <v>0.38118921784751469</v>
      </c>
      <c r="O844">
        <v>0.15264328362886131</v>
      </c>
      <c r="P844">
        <v>15.77130980767855</v>
      </c>
      <c r="Q844">
        <v>13.605905410317456</v>
      </c>
      <c r="R844">
        <v>0.44413146770557382</v>
      </c>
      <c r="S844">
        <v>0.17805785103241784</v>
      </c>
      <c r="T844">
        <v>15.771905270944544</v>
      </c>
      <c r="U844">
        <v>1582.7577475991832</v>
      </c>
      <c r="V844">
        <v>10.765369266536299</v>
      </c>
      <c r="W844">
        <v>1304.4800866093526</v>
      </c>
      <c r="X844">
        <v>7.6109828817499725</v>
      </c>
      <c r="Y844">
        <v>2924.9006554432149</v>
      </c>
      <c r="Z844">
        <v>10.813431587982999</v>
      </c>
      <c r="AA844">
        <v>2742.6114331773738</v>
      </c>
      <c r="AB844">
        <v>7.6382064185078917</v>
      </c>
      <c r="AC844">
        <v>2256.5802285693971</v>
      </c>
      <c r="AD844">
        <v>10.796534085387794</v>
      </c>
      <c r="AE844">
        <v>2034.7736822370935</v>
      </c>
      <c r="AF844">
        <v>7.6286455019936641</v>
      </c>
      <c r="AG844">
        <v>2197.9262324533702</v>
      </c>
      <c r="AH844">
        <v>10.779105920170174</v>
      </c>
      <c r="AI844">
        <v>1944.8165787763348</v>
      </c>
      <c r="AJ844">
        <v>7.6187727804245142</v>
      </c>
    </row>
    <row r="845" spans="4:36" x14ac:dyDescent="0.45">
      <c r="D845">
        <v>838</v>
      </c>
      <c r="E845">
        <v>11.730478923874285</v>
      </c>
      <c r="F845">
        <v>0.44336720548730096</v>
      </c>
      <c r="G845">
        <v>0.15169721315227069</v>
      </c>
      <c r="H845">
        <v>17.674456657486136</v>
      </c>
      <c r="I845">
        <v>11.945837393594248</v>
      </c>
      <c r="J845">
        <v>0.27529840915352455</v>
      </c>
      <c r="K845">
        <v>9.3891989940359855E-2</v>
      </c>
      <c r="L845">
        <v>17.684972207311876</v>
      </c>
      <c r="M845">
        <v>11.874851738108502</v>
      </c>
      <c r="N845">
        <v>0.33072294854970546</v>
      </c>
      <c r="O845">
        <v>0.1129132337918938</v>
      </c>
      <c r="P845">
        <v>17.681512079549872</v>
      </c>
      <c r="Q845">
        <v>11.827575284469717</v>
      </c>
      <c r="R845">
        <v>0.36762138614263845</v>
      </c>
      <c r="S845">
        <v>0.12559893929384608</v>
      </c>
      <c r="T845">
        <v>17.679204390093805</v>
      </c>
      <c r="U845">
        <v>1501.2873014080203</v>
      </c>
      <c r="V845">
        <v>9.2831423009519227</v>
      </c>
      <c r="W845">
        <v>1266.856244687599</v>
      </c>
      <c r="X845">
        <v>6.7483032999285388</v>
      </c>
      <c r="Y845">
        <v>2850.4382094098223</v>
      </c>
      <c r="Z845">
        <v>9.3166408642919265</v>
      </c>
      <c r="AA845">
        <v>2703.4643984110594</v>
      </c>
      <c r="AB845">
        <v>6.7684113953449945</v>
      </c>
      <c r="AC845">
        <v>2169.5359023584347</v>
      </c>
      <c r="AD845">
        <v>9.3055958844304651</v>
      </c>
      <c r="AE845">
        <v>1989.4212369066145</v>
      </c>
      <c r="AF845">
        <v>6.761790721928933</v>
      </c>
      <c r="AG845">
        <v>2038.4698290181991</v>
      </c>
      <c r="AH845">
        <v>9.2982417248986753</v>
      </c>
      <c r="AI845">
        <v>1850.3587577035237</v>
      </c>
      <c r="AJ845">
        <v>6.7573773998063631</v>
      </c>
    </row>
    <row r="846" spans="4:36" x14ac:dyDescent="0.45">
      <c r="D846">
        <v>839</v>
      </c>
      <c r="E846">
        <v>12.56263817141941</v>
      </c>
      <c r="F846">
        <v>0.45296739542432157</v>
      </c>
      <c r="G846">
        <v>0.16223774135148752</v>
      </c>
      <c r="H846">
        <v>16.822156691804796</v>
      </c>
      <c r="I846">
        <v>12.762014971103534</v>
      </c>
      <c r="J846">
        <v>0.30336791743735098</v>
      </c>
      <c r="K846">
        <v>0.10836646561143887</v>
      </c>
      <c r="L846">
        <v>16.826250645847686</v>
      </c>
      <c r="M846">
        <v>12.65566670699709</v>
      </c>
      <c r="N846">
        <v>0.38319190326594021</v>
      </c>
      <c r="O846">
        <v>0.13707502244691838</v>
      </c>
      <c r="P846">
        <v>16.82406636729004</v>
      </c>
      <c r="Q846">
        <v>12.618929488875462</v>
      </c>
      <c r="R846">
        <v>0.41075212945764916</v>
      </c>
      <c r="S846">
        <v>0.14700626717033408</v>
      </c>
      <c r="T846">
        <v>16.823312114496542</v>
      </c>
      <c r="U846">
        <v>1555.8258283962064</v>
      </c>
      <c r="V846">
        <v>9.9975946346173821</v>
      </c>
      <c r="W846">
        <v>1294.703959769759</v>
      </c>
      <c r="X846">
        <v>7.1735468931593349</v>
      </c>
      <c r="Y846">
        <v>2909.8410855089328</v>
      </c>
      <c r="Z846">
        <v>10.031897134037401</v>
      </c>
      <c r="AA846">
        <v>2737.3342429330037</v>
      </c>
      <c r="AB846">
        <v>7.1933870711806236</v>
      </c>
      <c r="AC846">
        <v>2233.331371086118</v>
      </c>
      <c r="AD846">
        <v>10.013600847348428</v>
      </c>
      <c r="AE846">
        <v>2023.0954797731551</v>
      </c>
      <c r="AF846">
        <v>7.1828123407659383</v>
      </c>
      <c r="AG846">
        <v>2137.4696465636589</v>
      </c>
      <c r="AH846">
        <v>10.007280116396897</v>
      </c>
      <c r="AI846">
        <v>1909.7234304320566</v>
      </c>
      <c r="AJ846">
        <v>7.1791550928364849</v>
      </c>
    </row>
    <row r="847" spans="4:36" x14ac:dyDescent="0.45">
      <c r="D847">
        <v>840</v>
      </c>
      <c r="E847">
        <v>12.655948645912268</v>
      </c>
      <c r="F847">
        <v>0.4495862564379271</v>
      </c>
      <c r="G847">
        <v>0.14339066155220304</v>
      </c>
      <c r="H847">
        <v>16.751074436097589</v>
      </c>
      <c r="I847">
        <v>12.829853990794085</v>
      </c>
      <c r="J847">
        <v>0.32245411600829066</v>
      </c>
      <c r="K847">
        <v>0.10259663752659295</v>
      </c>
      <c r="L847">
        <v>16.745095255671039</v>
      </c>
      <c r="M847">
        <v>12.77054283599627</v>
      </c>
      <c r="N847">
        <v>0.36583271187411137</v>
      </c>
      <c r="O847">
        <v>0.11649358983406452</v>
      </c>
      <c r="P847">
        <v>16.747130862295567</v>
      </c>
      <c r="Q847">
        <v>12.742812367398621</v>
      </c>
      <c r="R847">
        <v>0.38610708348700157</v>
      </c>
      <c r="S847">
        <v>0.12299667445296623</v>
      </c>
      <c r="T847">
        <v>16.748083874661397</v>
      </c>
      <c r="U847">
        <v>1518.1013314043939</v>
      </c>
      <c r="V847">
        <v>9.9496404246798686</v>
      </c>
      <c r="W847">
        <v>1267.7670901463491</v>
      </c>
      <c r="X847">
        <v>7.1323654568162951</v>
      </c>
      <c r="Y847">
        <v>2909.4919270945302</v>
      </c>
      <c r="Z847">
        <v>9.9859640190827772</v>
      </c>
      <c r="AA847">
        <v>2735.6036204316961</v>
      </c>
      <c r="AB847">
        <v>7.1531095431639686</v>
      </c>
      <c r="AC847">
        <v>2227.1214400527642</v>
      </c>
      <c r="AD847">
        <v>9.9735777409129209</v>
      </c>
      <c r="AE847">
        <v>2020.0144272935679</v>
      </c>
      <c r="AF847">
        <v>7.1460417891708401</v>
      </c>
      <c r="AG847">
        <v>2127.8414237653756</v>
      </c>
      <c r="AH847">
        <v>9.967785911969969</v>
      </c>
      <c r="AI847">
        <v>1904.7237562435805</v>
      </c>
      <c r="AJ847">
        <v>7.1427348029078077</v>
      </c>
    </row>
    <row r="848" spans="4:36" x14ac:dyDescent="0.45">
      <c r="D848">
        <v>841</v>
      </c>
      <c r="E848">
        <v>11.920834794657301</v>
      </c>
      <c r="F848">
        <v>0.41030901930842079</v>
      </c>
      <c r="G848">
        <v>0.15108275336168484</v>
      </c>
      <c r="H848">
        <v>17.517773432672584</v>
      </c>
      <c r="I848">
        <v>12.089640571854375</v>
      </c>
      <c r="J848">
        <v>0.2819498943170462</v>
      </c>
      <c r="K848">
        <v>0.10354940280253457</v>
      </c>
      <c r="L848">
        <v>17.524860131026031</v>
      </c>
      <c r="M848">
        <v>12.028915298289704</v>
      </c>
      <c r="N848">
        <v>0.32814304726822274</v>
      </c>
      <c r="O848">
        <v>0.12062663783197951</v>
      </c>
      <c r="P848">
        <v>17.522315016610101</v>
      </c>
      <c r="Q848">
        <v>11.971032196323591</v>
      </c>
      <c r="R848">
        <v>0.37215545756630658</v>
      </c>
      <c r="S848">
        <v>0.1369277236955001</v>
      </c>
      <c r="T848">
        <v>17.519884622414605</v>
      </c>
      <c r="U848">
        <v>1496.7748953622306</v>
      </c>
      <c r="V848">
        <v>9.5249414331632778</v>
      </c>
      <c r="W848">
        <v>1262.0904940589703</v>
      </c>
      <c r="X848">
        <v>6.9072093805307588</v>
      </c>
      <c r="Y848">
        <v>2868.8980484131544</v>
      </c>
      <c r="Z848">
        <v>9.5553456495794222</v>
      </c>
      <c r="AA848">
        <v>2713.924416015846</v>
      </c>
      <c r="AB848">
        <v>6.9254034755976841</v>
      </c>
      <c r="AC848">
        <v>2192.1314108281385</v>
      </c>
      <c r="AD848">
        <v>9.5444056491776355</v>
      </c>
      <c r="AE848">
        <v>2003.1050961362334</v>
      </c>
      <c r="AF848">
        <v>6.9188636584802827</v>
      </c>
      <c r="AG848">
        <v>2091.0852790378162</v>
      </c>
      <c r="AH848">
        <v>9.5339803466188631</v>
      </c>
      <c r="AI848">
        <v>1885.1525635794176</v>
      </c>
      <c r="AJ848">
        <v>6.912624474597501</v>
      </c>
    </row>
    <row r="849" spans="4:36" x14ac:dyDescent="0.45">
      <c r="D849">
        <v>842</v>
      </c>
      <c r="E849">
        <v>12.209209398616229</v>
      </c>
      <c r="F849">
        <v>0.44645608225440225</v>
      </c>
      <c r="G849">
        <v>0.1516488862829026</v>
      </c>
      <c r="H849">
        <v>17.192685632846466</v>
      </c>
      <c r="I849">
        <v>12.416748183780566</v>
      </c>
      <c r="J849">
        <v>0.28966778756363276</v>
      </c>
      <c r="K849">
        <v>9.8091127612998014E-2</v>
      </c>
      <c r="L849">
        <v>17.195492901042801</v>
      </c>
      <c r="M849">
        <v>12.314383918734645</v>
      </c>
      <c r="N849">
        <v>0.36702992541804963</v>
      </c>
      <c r="O849">
        <v>0.12447587080804334</v>
      </c>
      <c r="P849">
        <v>17.194110285039269</v>
      </c>
      <c r="Q849">
        <v>12.28230158598382</v>
      </c>
      <c r="R849">
        <v>0.39126446332930676</v>
      </c>
      <c r="S849">
        <v>0.13275779961728004</v>
      </c>
      <c r="T849">
        <v>17.193676151069592</v>
      </c>
      <c r="U849">
        <v>1536.7023499112538</v>
      </c>
      <c r="V849">
        <v>9.6091187295548011</v>
      </c>
      <c r="W849">
        <v>1284.0233300684276</v>
      </c>
      <c r="X849">
        <v>6.933916588534375</v>
      </c>
      <c r="Y849">
        <v>2884.8461611992593</v>
      </c>
      <c r="Z849">
        <v>9.6477722270779633</v>
      </c>
      <c r="AA849">
        <v>2722.0801690878893</v>
      </c>
      <c r="AB849">
        <v>6.9566220700835046</v>
      </c>
      <c r="AC849">
        <v>2210.6580314037196</v>
      </c>
      <c r="AD849">
        <v>9.628705724198376</v>
      </c>
      <c r="AE849">
        <v>2010.0508938936937</v>
      </c>
      <c r="AF849">
        <v>6.9454323499442774</v>
      </c>
      <c r="AG849">
        <v>2128.9264202812087</v>
      </c>
      <c r="AH849">
        <v>9.6227306078933754</v>
      </c>
      <c r="AI849">
        <v>1907.3794304159733</v>
      </c>
      <c r="AJ849">
        <v>6.9419216309823071</v>
      </c>
    </row>
    <row r="850" spans="4:36" x14ac:dyDescent="0.45">
      <c r="D850">
        <v>843</v>
      </c>
      <c r="E850">
        <v>12.603410229208102</v>
      </c>
      <c r="F850">
        <v>0.45679412285513815</v>
      </c>
      <c r="G850">
        <v>0.14683070085162564</v>
      </c>
      <c r="H850">
        <v>16.792964947085125</v>
      </c>
      <c r="I850">
        <v>12.825608202375907</v>
      </c>
      <c r="J850">
        <v>0.29211682865025362</v>
      </c>
      <c r="K850">
        <v>9.360785766820981E-2</v>
      </c>
      <c r="L850">
        <v>16.788667111305635</v>
      </c>
      <c r="M850">
        <v>12.707250774200586</v>
      </c>
      <c r="N850">
        <v>0.37986947000900018</v>
      </c>
      <c r="O850">
        <v>0.1219275479951078</v>
      </c>
      <c r="P850">
        <v>16.790952207795293</v>
      </c>
      <c r="Q850">
        <v>12.688779077428448</v>
      </c>
      <c r="R850">
        <v>0.3935576833093069</v>
      </c>
      <c r="S850">
        <v>0.12635353912955746</v>
      </c>
      <c r="T850">
        <v>16.79130970013269</v>
      </c>
      <c r="U850">
        <v>1509.081798384585</v>
      </c>
      <c r="V850">
        <v>10.011408662836937</v>
      </c>
      <c r="W850">
        <v>1263.3984599063756</v>
      </c>
      <c r="X850">
        <v>7.1802904195233008</v>
      </c>
      <c r="Y850">
        <v>2905.8207080078687</v>
      </c>
      <c r="Z850">
        <v>10.054121464697749</v>
      </c>
      <c r="AA850">
        <v>2737.0628406226915</v>
      </c>
      <c r="AB850">
        <v>7.2047779285914517</v>
      </c>
      <c r="AC850">
        <v>2226.7154605656056</v>
      </c>
      <c r="AD850">
        <v>10.031372398111191</v>
      </c>
      <c r="AE850">
        <v>2020.8729221303213</v>
      </c>
      <c r="AF850">
        <v>7.1917458944076058</v>
      </c>
      <c r="AG850">
        <v>2100.1136568624665</v>
      </c>
      <c r="AH850">
        <v>10.02782148231114</v>
      </c>
      <c r="AI850">
        <v>1886.4832669411992</v>
      </c>
      <c r="AJ850">
        <v>7.1897096382239392</v>
      </c>
    </row>
    <row r="851" spans="4:36" x14ac:dyDescent="0.45">
      <c r="D851">
        <v>844</v>
      </c>
      <c r="E851">
        <v>12.326600830313637</v>
      </c>
      <c r="F851">
        <v>0.43097521957530621</v>
      </c>
      <c r="G851">
        <v>0.16673355156848646</v>
      </c>
      <c r="H851">
        <v>17.07569039854258</v>
      </c>
      <c r="I851">
        <v>12.531525567257505</v>
      </c>
      <c r="J851">
        <v>0.28516549197757179</v>
      </c>
      <c r="K851">
        <v>0.10997523828965616</v>
      </c>
      <c r="L851">
        <v>17.073333702475278</v>
      </c>
      <c r="M851">
        <v>12.442288861988787</v>
      </c>
      <c r="N851">
        <v>0.34869181862050602</v>
      </c>
      <c r="O851">
        <v>0.13465893582354557</v>
      </c>
      <c r="P851">
        <v>17.074360383567168</v>
      </c>
      <c r="Q851">
        <v>12.445726194341736</v>
      </c>
      <c r="R851">
        <v>0.34624573841111428</v>
      </c>
      <c r="S851">
        <v>0.13370721849404271</v>
      </c>
      <c r="T851">
        <v>17.074320848753118</v>
      </c>
      <c r="U851">
        <v>1530.6558985566296</v>
      </c>
      <c r="V851">
        <v>9.6881808521085286</v>
      </c>
      <c r="W851">
        <v>1282.4299988388289</v>
      </c>
      <c r="X851">
        <v>6.9777766172481153</v>
      </c>
      <c r="Y851">
        <v>2864.1829480120182</v>
      </c>
      <c r="Z851">
        <v>9.7269617251345455</v>
      </c>
      <c r="AA851">
        <v>2708.510398722332</v>
      </c>
      <c r="AB851">
        <v>7.0003793178929881</v>
      </c>
      <c r="AC851">
        <v>2193.3601284073029</v>
      </c>
      <c r="AD851">
        <v>9.710073698061306</v>
      </c>
      <c r="AE851">
        <v>2000.254262195102</v>
      </c>
      <c r="AF851">
        <v>6.9905459237163763</v>
      </c>
      <c r="AG851">
        <v>2099.308461460425</v>
      </c>
      <c r="AH851">
        <v>9.7107241990352531</v>
      </c>
      <c r="AI851">
        <v>1890.6685265706369</v>
      </c>
      <c r="AJ851">
        <v>6.9909249601232233</v>
      </c>
    </row>
    <row r="852" spans="4:36" x14ac:dyDescent="0.45">
      <c r="D852">
        <v>845</v>
      </c>
      <c r="E852">
        <v>12.093976630561517</v>
      </c>
      <c r="F852">
        <v>0.42822469309664163</v>
      </c>
      <c r="G852">
        <v>0.17307103022946518</v>
      </c>
      <c r="H852">
        <v>17.304727646112379</v>
      </c>
      <c r="I852">
        <v>12.29682544724808</v>
      </c>
      <c r="J852">
        <v>0.27756923409904843</v>
      </c>
      <c r="K852">
        <v>0.11182805528541757</v>
      </c>
      <c r="L852">
        <v>17.313777263367438</v>
      </c>
      <c r="M852">
        <v>12.183147124389285</v>
      </c>
      <c r="N852">
        <v>0.36202700171047808</v>
      </c>
      <c r="O852">
        <v>0.14611259596530216</v>
      </c>
      <c r="P852">
        <v>17.308713277934938</v>
      </c>
      <c r="Q852">
        <v>12.18964517492981</v>
      </c>
      <c r="R852">
        <v>0.35720123964881945</v>
      </c>
      <c r="S852">
        <v>0.14415032793301072</v>
      </c>
      <c r="T852">
        <v>17.309003257488357</v>
      </c>
      <c r="U852">
        <v>1563.4488773880478</v>
      </c>
      <c r="V852">
        <v>9.5443173760900066</v>
      </c>
      <c r="W852">
        <v>1302.0871059360236</v>
      </c>
      <c r="X852">
        <v>6.8986270497758557</v>
      </c>
      <c r="Y852">
        <v>2913.9243263093049</v>
      </c>
      <c r="Z852">
        <v>9.5794377523437984</v>
      </c>
      <c r="AA852">
        <v>2742.3138606539637</v>
      </c>
      <c r="AB852">
        <v>6.9196710015008742</v>
      </c>
      <c r="AC852">
        <v>2237.9095630162747</v>
      </c>
      <c r="AD852">
        <v>9.5597512879296147</v>
      </c>
      <c r="AE852">
        <v>2027.7883951392134</v>
      </c>
      <c r="AF852">
        <v>6.9078850384934274</v>
      </c>
      <c r="AG852">
        <v>2130.749245834485</v>
      </c>
      <c r="AH852">
        <v>9.5608762798106675</v>
      </c>
      <c r="AI852">
        <v>1909.09169111648</v>
      </c>
      <c r="AJ852">
        <v>6.9085592410284304</v>
      </c>
    </row>
    <row r="853" spans="4:36" x14ac:dyDescent="0.45">
      <c r="D853">
        <v>846</v>
      </c>
      <c r="E853">
        <v>12.809462164504332</v>
      </c>
      <c r="F853">
        <v>0.46015340460828547</v>
      </c>
      <c r="G853">
        <v>0.17450036224156687</v>
      </c>
      <c r="H853">
        <v>16.555884068645806</v>
      </c>
      <c r="I853">
        <v>13.038684889279835</v>
      </c>
      <c r="J853">
        <v>0.29736587798747599</v>
      </c>
      <c r="K853">
        <v>0.11239067201607</v>
      </c>
      <c r="L853">
        <v>16.551558560716629</v>
      </c>
      <c r="M853">
        <v>12.956155863061884</v>
      </c>
      <c r="N853">
        <v>0.3560123194044032</v>
      </c>
      <c r="O853">
        <v>0.13471792127849225</v>
      </c>
      <c r="P853">
        <v>16.553113896255201</v>
      </c>
      <c r="Q853">
        <v>12.930120611602362</v>
      </c>
      <c r="R853">
        <v>0.37450486398269978</v>
      </c>
      <c r="S853">
        <v>0.1417695014337263</v>
      </c>
      <c r="T853">
        <v>16.553605022981195</v>
      </c>
      <c r="U853">
        <v>1562.2611313869888</v>
      </c>
      <c r="V853">
        <v>10.135294036564803</v>
      </c>
      <c r="W853">
        <v>1296.5996518077502</v>
      </c>
      <c r="X853">
        <v>7.2430464661663176</v>
      </c>
      <c r="Y853">
        <v>2910.9690294442785</v>
      </c>
      <c r="Z853">
        <v>10.176694957316027</v>
      </c>
      <c r="AA853">
        <v>2737.1714000265447</v>
      </c>
      <c r="AB853">
        <v>7.266810746428078</v>
      </c>
      <c r="AC853">
        <v>2241.594219064707</v>
      </c>
      <c r="AD853">
        <v>10.161790245524152</v>
      </c>
      <c r="AE853">
        <v>2029.4231637089958</v>
      </c>
      <c r="AF853">
        <v>7.258264806421332</v>
      </c>
      <c r="AG853">
        <v>2112.8703684818306</v>
      </c>
      <c r="AH853">
        <v>10.157088005600487</v>
      </c>
      <c r="AI853">
        <v>1892.9815070953343</v>
      </c>
      <c r="AJ853">
        <v>7.2555664880999862</v>
      </c>
    </row>
    <row r="854" spans="4:36" x14ac:dyDescent="0.45">
      <c r="D854">
        <v>847</v>
      </c>
      <c r="E854">
        <v>11.86671186295011</v>
      </c>
      <c r="F854">
        <v>0.3781031995122438</v>
      </c>
      <c r="G854">
        <v>0.14674012053865432</v>
      </c>
      <c r="H854">
        <v>17.608444816999</v>
      </c>
      <c r="I854">
        <v>12.066472412488146</v>
      </c>
      <c r="J854">
        <v>0.24311618604137478</v>
      </c>
      <c r="K854">
        <v>9.4062751148109205E-2</v>
      </c>
      <c r="L854">
        <v>17.596348650322355</v>
      </c>
      <c r="M854">
        <v>11.974699714640821</v>
      </c>
      <c r="N854">
        <v>0.30516491457634598</v>
      </c>
      <c r="O854">
        <v>0.11823590532792901</v>
      </c>
      <c r="P854">
        <v>17.601899465454899</v>
      </c>
      <c r="Q854">
        <v>11.950451360512369</v>
      </c>
      <c r="R854">
        <v>0.32154996031318489</v>
      </c>
      <c r="S854">
        <v>0.1246307761801176</v>
      </c>
      <c r="T854">
        <v>17.603367902994339</v>
      </c>
      <c r="U854">
        <v>1480.9684542335283</v>
      </c>
      <c r="V854">
        <v>9.3484723546538415</v>
      </c>
      <c r="W854">
        <v>1252.0288442812121</v>
      </c>
      <c r="X854">
        <v>6.7889842944908976</v>
      </c>
      <c r="Y854">
        <v>2858.8302170203733</v>
      </c>
      <c r="Z854">
        <v>9.3916564727366953</v>
      </c>
      <c r="AA854">
        <v>2708.9262073421569</v>
      </c>
      <c r="AB854">
        <v>6.8138085452004651</v>
      </c>
      <c r="AC854">
        <v>2181.4985975315717</v>
      </c>
      <c r="AD854">
        <v>9.3718212759529109</v>
      </c>
      <c r="AE854">
        <v>1996.2882429235588</v>
      </c>
      <c r="AF854">
        <v>6.802416167739902</v>
      </c>
      <c r="AG854">
        <v>2060.2618887710496</v>
      </c>
      <c r="AH854">
        <v>9.3665792026261645</v>
      </c>
      <c r="AI854">
        <v>1865.6864832728772</v>
      </c>
      <c r="AJ854">
        <v>6.7994025976797658</v>
      </c>
    </row>
    <row r="855" spans="4:36" x14ac:dyDescent="0.45">
      <c r="D855">
        <v>848</v>
      </c>
      <c r="E855">
        <v>12.791652092812008</v>
      </c>
      <c r="F855">
        <v>0.43300191655562981</v>
      </c>
      <c r="G855">
        <v>0.17961212110863117</v>
      </c>
      <c r="H855">
        <v>16.595733869523741</v>
      </c>
      <c r="I855">
        <v>12.974993324321426</v>
      </c>
      <c r="J855">
        <v>0.30397865239363603</v>
      </c>
      <c r="K855">
        <v>0.12574779964583765</v>
      </c>
      <c r="L855">
        <v>16.595280223639101</v>
      </c>
      <c r="M855">
        <v>12.921371433461486</v>
      </c>
      <c r="N855">
        <v>0.34173556776460939</v>
      </c>
      <c r="O855">
        <v>0.14147953672532271</v>
      </c>
      <c r="P855">
        <v>16.595413462048583</v>
      </c>
      <c r="Q855">
        <v>12.837624883082315</v>
      </c>
      <c r="R855">
        <v>0.40066885881017905</v>
      </c>
      <c r="S855">
        <v>0.16608562896675277</v>
      </c>
      <c r="T855">
        <v>16.595620629140758</v>
      </c>
      <c r="U855">
        <v>1555.7086249478505</v>
      </c>
      <c r="V855">
        <v>10.110456211944106</v>
      </c>
      <c r="W855">
        <v>1295.4425665248589</v>
      </c>
      <c r="X855">
        <v>7.2299091844077132</v>
      </c>
      <c r="Y855">
        <v>2891.038630240183</v>
      </c>
      <c r="Z855">
        <v>10.145247316047685</v>
      </c>
      <c r="AA855">
        <v>2723.3257804657919</v>
      </c>
      <c r="AB855">
        <v>7.2501190534975892</v>
      </c>
      <c r="AC855">
        <v>2229.2978356883605</v>
      </c>
      <c r="AD855">
        <v>10.135071196692115</v>
      </c>
      <c r="AE855">
        <v>2022.8567066317228</v>
      </c>
      <c r="AF855">
        <v>7.2442139438347342</v>
      </c>
      <c r="AG855">
        <v>2137.5273310912416</v>
      </c>
      <c r="AH855">
        <v>10.119179393502343</v>
      </c>
      <c r="AI855">
        <v>1909.9877543454202</v>
      </c>
      <c r="AJ855">
        <v>7.2349819829303623</v>
      </c>
    </row>
    <row r="856" spans="4:36" x14ac:dyDescent="0.45">
      <c r="D856">
        <v>849</v>
      </c>
      <c r="E856">
        <v>13.290752754075076</v>
      </c>
      <c r="F856">
        <v>0.512889841744401</v>
      </c>
      <c r="G856">
        <v>0.14146511551850174</v>
      </c>
      <c r="H856">
        <v>16.054892288662025</v>
      </c>
      <c r="I856">
        <v>13.568150593329083</v>
      </c>
      <c r="J856">
        <v>0.31356256180016684</v>
      </c>
      <c r="K856">
        <v>8.6170733435812288E-2</v>
      </c>
      <c r="L856">
        <v>16.032116111434927</v>
      </c>
      <c r="M856">
        <v>13.450130725229052</v>
      </c>
      <c r="N856">
        <v>0.39842147902398978</v>
      </c>
      <c r="O856">
        <v>0.10966077580451439</v>
      </c>
      <c r="P856">
        <v>16.041787019942429</v>
      </c>
      <c r="Q856">
        <v>13.435615465010592</v>
      </c>
      <c r="R856">
        <v>0.4088527352631981</v>
      </c>
      <c r="S856">
        <v>0.11255339237044448</v>
      </c>
      <c r="T856">
        <v>16.042978407355754</v>
      </c>
      <c r="U856">
        <v>1585.0518777585539</v>
      </c>
      <c r="V856">
        <v>10.44495855276481</v>
      </c>
      <c r="W856">
        <v>1309.2914835716497</v>
      </c>
      <c r="X856">
        <v>7.4139302292562741</v>
      </c>
      <c r="Y856">
        <v>2928.1971339380075</v>
      </c>
      <c r="Z856">
        <v>10.50839911076922</v>
      </c>
      <c r="AA856">
        <v>2748.2766127520622</v>
      </c>
      <c r="AB856">
        <v>7.4493260770615572</v>
      </c>
      <c r="AC856">
        <v>2262.2030391217104</v>
      </c>
      <c r="AD856">
        <v>10.481419250788006</v>
      </c>
      <c r="AE856">
        <v>2041.0692042475287</v>
      </c>
      <c r="AF856">
        <v>7.434288177760755</v>
      </c>
      <c r="AG856">
        <v>2130.1294709979984</v>
      </c>
      <c r="AH856">
        <v>10.478099864972762</v>
      </c>
      <c r="AI856">
        <v>1902.8542706983078</v>
      </c>
      <c r="AJ856">
        <v>7.4324364933800799</v>
      </c>
    </row>
    <row r="857" spans="4:36" x14ac:dyDescent="0.45">
      <c r="D857">
        <v>850</v>
      </c>
      <c r="E857">
        <v>11.825453280326791</v>
      </c>
      <c r="F857">
        <v>0.42533633113282943</v>
      </c>
      <c r="G857">
        <v>0.16960092050178066</v>
      </c>
      <c r="H857">
        <v>17.579609468038598</v>
      </c>
      <c r="I857">
        <v>12.034318436800527</v>
      </c>
      <c r="J857">
        <v>0.2669079863500885</v>
      </c>
      <c r="K857">
        <v>0.10607707168835864</v>
      </c>
      <c r="L857">
        <v>17.592696505161026</v>
      </c>
      <c r="M857">
        <v>11.934004792615417</v>
      </c>
      <c r="N857">
        <v>0.34302794533878589</v>
      </c>
      <c r="O857">
        <v>0.13654520788380389</v>
      </c>
      <c r="P857">
        <v>17.586422054161989</v>
      </c>
      <c r="Q857">
        <v>11.904934266660637</v>
      </c>
      <c r="R857">
        <v>0.36507687132239952</v>
      </c>
      <c r="S857">
        <v>0.14538890176252353</v>
      </c>
      <c r="T857">
        <v>17.584599960254433</v>
      </c>
      <c r="U857">
        <v>1497.4505511668413</v>
      </c>
      <c r="V857">
        <v>9.3356472645682924</v>
      </c>
      <c r="W857">
        <v>1260.8713823894702</v>
      </c>
      <c r="X857">
        <v>6.7753048516072445</v>
      </c>
      <c r="Y857">
        <v>2851.2414981282145</v>
      </c>
      <c r="Z857">
        <v>9.3657579888696603</v>
      </c>
      <c r="AA857">
        <v>2701.8873583474665</v>
      </c>
      <c r="AB857">
        <v>6.7936244332049789</v>
      </c>
      <c r="AC857">
        <v>2159.297080993932</v>
      </c>
      <c r="AD857">
        <v>9.3512903486593597</v>
      </c>
      <c r="AE857">
        <v>1977.5229576769827</v>
      </c>
      <c r="AF857">
        <v>6.7848321516661123</v>
      </c>
      <c r="AG857">
        <v>2077.2541005397907</v>
      </c>
      <c r="AH857">
        <v>9.3470997717525321</v>
      </c>
      <c r="AI857">
        <v>1875.1073879553539</v>
      </c>
      <c r="AJ857">
        <v>6.7822820349958972</v>
      </c>
    </row>
    <row r="858" spans="4:36" x14ac:dyDescent="0.45">
      <c r="D858">
        <v>851</v>
      </c>
      <c r="E858">
        <v>12.855078798385403</v>
      </c>
      <c r="F858">
        <v>0.45414521740472069</v>
      </c>
      <c r="G858">
        <v>0.14887829079005399</v>
      </c>
      <c r="H858">
        <v>16.541897693419806</v>
      </c>
      <c r="I858">
        <v>13.04807462220931</v>
      </c>
      <c r="J858">
        <v>0.31155858604999342</v>
      </c>
      <c r="K858">
        <v>0.10185545595360672</v>
      </c>
      <c r="L858">
        <v>16.538511335787081</v>
      </c>
      <c r="M858">
        <v>12.938092423840315</v>
      </c>
      <c r="N858">
        <v>0.39283974228512603</v>
      </c>
      <c r="O858">
        <v>0.12862858306674138</v>
      </c>
      <c r="P858">
        <v>16.540439250807825</v>
      </c>
      <c r="Q858">
        <v>12.920406260925427</v>
      </c>
      <c r="R858">
        <v>0.40590420411323164</v>
      </c>
      <c r="S858">
        <v>0.13293979787350396</v>
      </c>
      <c r="T858">
        <v>16.540749737087847</v>
      </c>
      <c r="U858">
        <v>1539.0667217756284</v>
      </c>
      <c r="V858">
        <v>10.144755574338321</v>
      </c>
      <c r="W858">
        <v>1283.769566732921</v>
      </c>
      <c r="X858">
        <v>7.2490500602311103</v>
      </c>
      <c r="Y858">
        <v>2899.0890988418446</v>
      </c>
      <c r="Z858">
        <v>10.182621776594402</v>
      </c>
      <c r="AA858">
        <v>2729.8702498035072</v>
      </c>
      <c r="AB858">
        <v>7.2707562468025131</v>
      </c>
      <c r="AC858">
        <v>2215.8779981216012</v>
      </c>
      <c r="AD858">
        <v>10.16104424855531</v>
      </c>
      <c r="AE858">
        <v>2011.0167214161966</v>
      </c>
      <c r="AF858">
        <v>7.2583949195969559</v>
      </c>
      <c r="AG858">
        <v>2115.3560843096202</v>
      </c>
      <c r="AH858">
        <v>10.157574079988738</v>
      </c>
      <c r="AI858">
        <v>1895.3681724320509</v>
      </c>
      <c r="AJ858">
        <v>7.2564050464689904</v>
      </c>
    </row>
    <row r="859" spans="4:36" x14ac:dyDescent="0.45">
      <c r="D859">
        <v>852</v>
      </c>
      <c r="E859">
        <v>12.98058045905705</v>
      </c>
      <c r="F859">
        <v>0.48119361632627944</v>
      </c>
      <c r="G859">
        <v>0.19263918485469</v>
      </c>
      <c r="H859">
        <v>16.345586739761977</v>
      </c>
      <c r="I859">
        <v>13.206082157346373</v>
      </c>
      <c r="J859">
        <v>0.31695833953902897</v>
      </c>
      <c r="K859">
        <v>0.12647368436892595</v>
      </c>
      <c r="L859">
        <v>16.350485818745675</v>
      </c>
      <c r="M859">
        <v>13.117860489090074</v>
      </c>
      <c r="N859">
        <v>0.38124579628315808</v>
      </c>
      <c r="O859">
        <v>0.15232064553868896</v>
      </c>
      <c r="P859">
        <v>16.348573069088097</v>
      </c>
      <c r="Q859">
        <v>13.05980316302411</v>
      </c>
      <c r="R859">
        <v>0.42352813454514149</v>
      </c>
      <c r="S859">
        <v>0.16935710180745178</v>
      </c>
      <c r="T859">
        <v>16.347311600623307</v>
      </c>
      <c r="U859">
        <v>1605.9900528235514</v>
      </c>
      <c r="V859">
        <v>10.238033685926073</v>
      </c>
      <c r="W859">
        <v>1323.986930318868</v>
      </c>
      <c r="X859">
        <v>7.2964185648685422</v>
      </c>
      <c r="Y859">
        <v>2926.6015900854054</v>
      </c>
      <c r="Z859">
        <v>10.280011659937829</v>
      </c>
      <c r="AA859">
        <v>2745.2875812123107</v>
      </c>
      <c r="AB859">
        <v>7.3208871463980891</v>
      </c>
      <c r="AC859">
        <v>2274.367090083314</v>
      </c>
      <c r="AD859">
        <v>10.263586184818486</v>
      </c>
      <c r="AE859">
        <v>2049.0585765535047</v>
      </c>
      <c r="AF859">
        <v>7.3113234284215078</v>
      </c>
      <c r="AG859">
        <v>2151.388192156161</v>
      </c>
      <c r="AH859">
        <v>10.252778709113525</v>
      </c>
      <c r="AI859">
        <v>1914.7733585393185</v>
      </c>
      <c r="AJ859">
        <v>7.3050234199338595</v>
      </c>
    </row>
    <row r="860" spans="4:36" x14ac:dyDescent="0.45">
      <c r="D860">
        <v>853</v>
      </c>
      <c r="E860">
        <v>12.349825460064764</v>
      </c>
      <c r="F860">
        <v>0.45607675987516932</v>
      </c>
      <c r="G860">
        <v>0.14929321607395188</v>
      </c>
      <c r="H860">
        <v>17.044804563986109</v>
      </c>
      <c r="I860">
        <v>12.574769608817581</v>
      </c>
      <c r="J860">
        <v>0.28779685288842843</v>
      </c>
      <c r="K860">
        <v>9.3910066665668632E-2</v>
      </c>
      <c r="L860">
        <v>17.043523471628308</v>
      </c>
      <c r="M860">
        <v>12.496605720653186</v>
      </c>
      <c r="N860">
        <v>0.34630290242924311</v>
      </c>
      <c r="O860">
        <v>0.11312487104882729</v>
      </c>
      <c r="P860">
        <v>17.043966505868756</v>
      </c>
      <c r="Q860">
        <v>12.460197278554324</v>
      </c>
      <c r="R860">
        <v>0.37354323691111868</v>
      </c>
      <c r="S860">
        <v>0.12208584776360398</v>
      </c>
      <c r="T860">
        <v>17.044173636770942</v>
      </c>
      <c r="U860">
        <v>1528.2218580573838</v>
      </c>
      <c r="V860">
        <v>9.8269099569951717</v>
      </c>
      <c r="W860">
        <v>1279.2367590751376</v>
      </c>
      <c r="X860">
        <v>7.0758746543023197</v>
      </c>
      <c r="Y860">
        <v>2903.9838614910204</v>
      </c>
      <c r="Z860">
        <v>9.8715475287502557</v>
      </c>
      <c r="AA860">
        <v>2737.3668919717279</v>
      </c>
      <c r="AB860">
        <v>7.1016985894199554</v>
      </c>
      <c r="AC860">
        <v>2195.1710645733829</v>
      </c>
      <c r="AD860">
        <v>9.8560382236319644</v>
      </c>
      <c r="AE860">
        <v>2002.0698642932396</v>
      </c>
      <c r="AF860">
        <v>7.0927364876069605</v>
      </c>
      <c r="AG860">
        <v>2111.3092030928415</v>
      </c>
      <c r="AH860">
        <v>9.8488135356947968</v>
      </c>
      <c r="AI860">
        <v>1897.6842843897764</v>
      </c>
      <c r="AJ860">
        <v>7.0885579118456858</v>
      </c>
    </row>
    <row r="861" spans="4:36" x14ac:dyDescent="0.45">
      <c r="D861">
        <v>854</v>
      </c>
      <c r="E861">
        <v>13.354184288952277</v>
      </c>
      <c r="F861">
        <v>0.46597828687600851</v>
      </c>
      <c r="G861">
        <v>0.17745623258612447</v>
      </c>
      <c r="H861">
        <v>16.00238119158557</v>
      </c>
      <c r="I861">
        <v>13.609385301377989</v>
      </c>
      <c r="J861">
        <v>0.29786655477523472</v>
      </c>
      <c r="K861">
        <v>0.11301989671707204</v>
      </c>
      <c r="L861">
        <v>15.979728247129717</v>
      </c>
      <c r="M861">
        <v>13.521942196654793</v>
      </c>
      <c r="N861">
        <v>0.35551748141849265</v>
      </c>
      <c r="O861">
        <v>0.13506315037265587</v>
      </c>
      <c r="P861">
        <v>15.987477171554051</v>
      </c>
      <c r="Q861">
        <v>13.505059601699106</v>
      </c>
      <c r="R861">
        <v>0.36664232923237888</v>
      </c>
      <c r="S861">
        <v>0.13932326728619476</v>
      </c>
      <c r="T861">
        <v>15.988974801782327</v>
      </c>
      <c r="U861">
        <v>1562.8658054138054</v>
      </c>
      <c r="V861">
        <v>10.534982435708049</v>
      </c>
      <c r="W861">
        <v>1296.146889253743</v>
      </c>
      <c r="X861">
        <v>7.4726038506732086</v>
      </c>
      <c r="Y861">
        <v>2905.089221541587</v>
      </c>
      <c r="Z861">
        <v>10.597020423480503</v>
      </c>
      <c r="AA861">
        <v>2732.558511521348</v>
      </c>
      <c r="AB861">
        <v>7.5073367272934135</v>
      </c>
      <c r="AC861">
        <v>2246.3104022417406</v>
      </c>
      <c r="AD861">
        <v>10.575770942014419</v>
      </c>
      <c r="AE861">
        <v>2032.2695606102789</v>
      </c>
      <c r="AF861">
        <v>7.4954528023605969</v>
      </c>
      <c r="AG861">
        <v>2135.6158085394854</v>
      </c>
      <c r="AH861">
        <v>10.571667423984579</v>
      </c>
      <c r="AI861">
        <v>1909.2247264889559</v>
      </c>
      <c r="AJ861">
        <v>7.4931563406609722</v>
      </c>
    </row>
    <row r="862" spans="4:36" x14ac:dyDescent="0.45">
      <c r="D862">
        <v>855</v>
      </c>
      <c r="E862">
        <v>12.354364417616798</v>
      </c>
      <c r="F862">
        <v>0.47254269762893325</v>
      </c>
      <c r="G862">
        <v>0.15872143215056109</v>
      </c>
      <c r="H862">
        <v>17.014371452603708</v>
      </c>
      <c r="I862">
        <v>12.549438791753195</v>
      </c>
      <c r="J862">
        <v>0.31384160286270008</v>
      </c>
      <c r="K862">
        <v>0.10512098204641472</v>
      </c>
      <c r="L862">
        <v>17.0315986233377</v>
      </c>
      <c r="M862">
        <v>12.473051586150344</v>
      </c>
      <c r="N862">
        <v>0.3760054910379606</v>
      </c>
      <c r="O862">
        <v>0.12608029813196225</v>
      </c>
      <c r="P862">
        <v>17.024862624679731</v>
      </c>
      <c r="Q862">
        <v>12.406186768587119</v>
      </c>
      <c r="R862">
        <v>0.4303992600658228</v>
      </c>
      <c r="S862">
        <v>0.14445798865213744</v>
      </c>
      <c r="T862">
        <v>17.018955982694902</v>
      </c>
      <c r="U862">
        <v>1504.1037790301984</v>
      </c>
      <c r="V862">
        <v>9.7310440536957508</v>
      </c>
      <c r="W862">
        <v>1260.8156004250236</v>
      </c>
      <c r="X862">
        <v>7.002230462577737</v>
      </c>
      <c r="Y862">
        <v>2883.8883237506743</v>
      </c>
      <c r="Z862">
        <v>9.7597414074173727</v>
      </c>
      <c r="AA862">
        <v>2721.1627843991323</v>
      </c>
      <c r="AB862">
        <v>7.0196396578427223</v>
      </c>
      <c r="AC862">
        <v>2194.1019245636112</v>
      </c>
      <c r="AD862">
        <v>9.7484984778400872</v>
      </c>
      <c r="AE862">
        <v>1999.3820274057666</v>
      </c>
      <c r="AF862">
        <v>7.0128271818017129</v>
      </c>
      <c r="AG862">
        <v>2101.3642871828447</v>
      </c>
      <c r="AH862">
        <v>9.7386630141587052</v>
      </c>
      <c r="AI862">
        <v>1886.6278143289805</v>
      </c>
      <c r="AJ862">
        <v>7.0068590822408447</v>
      </c>
    </row>
    <row r="863" spans="4:36" x14ac:dyDescent="0.45">
      <c r="D863">
        <v>856</v>
      </c>
      <c r="E863">
        <v>11.868993531487803</v>
      </c>
      <c r="F863">
        <v>0.44642904104801073</v>
      </c>
      <c r="G863">
        <v>0.14877409086154603</v>
      </c>
      <c r="H863">
        <v>17.53580333660264</v>
      </c>
      <c r="I863">
        <v>12.079495999241013</v>
      </c>
      <c r="J863">
        <v>0.28320883504902622</v>
      </c>
      <c r="K863">
        <v>9.4082179877990835E-2</v>
      </c>
      <c r="L863">
        <v>17.54321298583195</v>
      </c>
      <c r="M863">
        <v>11.987045932155704</v>
      </c>
      <c r="N863">
        <v>0.35492152607006655</v>
      </c>
      <c r="O863">
        <v>0.11806850960799442</v>
      </c>
      <c r="P863">
        <v>17.539964032166246</v>
      </c>
      <c r="Q863">
        <v>11.972164407542696</v>
      </c>
      <c r="R863">
        <v>0.36646085077536211</v>
      </c>
      <c r="S863">
        <v>0.12193445621887095</v>
      </c>
      <c r="T863">
        <v>17.539440285463055</v>
      </c>
      <c r="U863">
        <v>1491.4486753571066</v>
      </c>
      <c r="V863">
        <v>9.4393549924017517</v>
      </c>
      <c r="W863">
        <v>1257.4343230514917</v>
      </c>
      <c r="X863">
        <v>6.8470305914885072</v>
      </c>
      <c r="Y863">
        <v>2877.3410070682362</v>
      </c>
      <c r="Z863">
        <v>9.4745206914012634</v>
      </c>
      <c r="AA863">
        <v>2721.2280918380829</v>
      </c>
      <c r="AB863">
        <v>6.867998748299466</v>
      </c>
      <c r="AC863">
        <v>2172.8526332087195</v>
      </c>
      <c r="AD863">
        <v>9.4590732726389817</v>
      </c>
      <c r="AE863">
        <v>1988.5477656845335</v>
      </c>
      <c r="AF863">
        <v>6.8587981605575949</v>
      </c>
      <c r="AG863">
        <v>2050.6957345480396</v>
      </c>
      <c r="AH863">
        <v>9.4565871778264103</v>
      </c>
      <c r="AI863">
        <v>1857.7444315820574</v>
      </c>
      <c r="AJ863">
        <v>6.8573159400761243</v>
      </c>
    </row>
    <row r="864" spans="4:36" x14ac:dyDescent="0.45">
      <c r="D864">
        <v>857</v>
      </c>
      <c r="E864">
        <v>12.697211344445616</v>
      </c>
      <c r="F864">
        <v>0.43281601924710933</v>
      </c>
      <c r="G864">
        <v>0.16523568361383617</v>
      </c>
      <c r="H864">
        <v>16.70473695269343</v>
      </c>
      <c r="I864">
        <v>12.898096989961212</v>
      </c>
      <c r="J864">
        <v>0.2891190677902723</v>
      </c>
      <c r="K864">
        <v>0.11006208497965767</v>
      </c>
      <c r="L864">
        <v>16.702721857268855</v>
      </c>
      <c r="M864">
        <v>12.820522706506882</v>
      </c>
      <c r="N864">
        <v>0.3446380215502215</v>
      </c>
      <c r="O864">
        <v>0.13134118782107773</v>
      </c>
      <c r="P864">
        <v>16.703498084121822</v>
      </c>
      <c r="Q864">
        <v>12.744477139110804</v>
      </c>
      <c r="R864">
        <v>0.39902785701502735</v>
      </c>
      <c r="S864">
        <v>0.15223364329539787</v>
      </c>
      <c r="T864">
        <v>16.704261360578769</v>
      </c>
      <c r="U864">
        <v>1576.9284457085012</v>
      </c>
      <c r="V864">
        <v>10.099989903331437</v>
      </c>
      <c r="W864">
        <v>1309.3093087696725</v>
      </c>
      <c r="X864">
        <v>7.2347529812691063</v>
      </c>
      <c r="Y864">
        <v>2916.727236980661</v>
      </c>
      <c r="Z864">
        <v>10.139885813342403</v>
      </c>
      <c r="AA864">
        <v>2741.9627260158372</v>
      </c>
      <c r="AB864">
        <v>7.2577074153628933</v>
      </c>
      <c r="AC864">
        <v>2240.9559895773673</v>
      </c>
      <c r="AD864">
        <v>10.124480707893779</v>
      </c>
      <c r="AE864">
        <v>2029.8815408948622</v>
      </c>
      <c r="AF864">
        <v>7.2488522587860773</v>
      </c>
      <c r="AG864">
        <v>2169.5847979519267</v>
      </c>
      <c r="AH864">
        <v>10.109377774866667</v>
      </c>
      <c r="AI864">
        <v>1931.8348073083944</v>
      </c>
      <c r="AJ864">
        <v>7.2401606878697145</v>
      </c>
    </row>
    <row r="865" spans="4:36" x14ac:dyDescent="0.45">
      <c r="D865">
        <v>858</v>
      </c>
      <c r="E865">
        <v>11.817701457173127</v>
      </c>
      <c r="F865">
        <v>0.45626043789116044</v>
      </c>
      <c r="G865">
        <v>0.1802236419186562</v>
      </c>
      <c r="H865">
        <v>17.545814463017066</v>
      </c>
      <c r="I865">
        <v>12.019788447207196</v>
      </c>
      <c r="J865">
        <v>0.29621405080500313</v>
      </c>
      <c r="K865">
        <v>0.11666161378117618</v>
      </c>
      <c r="L865">
        <v>17.567335888206618</v>
      </c>
      <c r="M865">
        <v>11.932043975199001</v>
      </c>
      <c r="N865">
        <v>0.36572944500557114</v>
      </c>
      <c r="O865">
        <v>0.1442229669767173</v>
      </c>
      <c r="P865">
        <v>17.558003612818712</v>
      </c>
      <c r="Q865">
        <v>11.909154070804354</v>
      </c>
      <c r="R865">
        <v>0.38385774173297971</v>
      </c>
      <c r="S865">
        <v>0.1514221411639349</v>
      </c>
      <c r="T865">
        <v>17.555566046298743</v>
      </c>
      <c r="U865">
        <v>1501.3254436298491</v>
      </c>
      <c r="V865">
        <v>9.3231993962201312</v>
      </c>
      <c r="W865">
        <v>1261.1309981729023</v>
      </c>
      <c r="X865">
        <v>6.7646525299811229</v>
      </c>
      <c r="Y865">
        <v>2887.6263152522874</v>
      </c>
      <c r="Z865">
        <v>9.3507687598878011</v>
      </c>
      <c r="AA865">
        <v>2725.9774803414107</v>
      </c>
      <c r="AB865">
        <v>6.7816230180993209</v>
      </c>
      <c r="AC865">
        <v>2204.0015201041924</v>
      </c>
      <c r="AD865">
        <v>9.3387918758824195</v>
      </c>
      <c r="AE865">
        <v>2008.2530506494065</v>
      </c>
      <c r="AF865">
        <v>6.7742596313145782</v>
      </c>
      <c r="AG865">
        <v>2097.2958648709214</v>
      </c>
      <c r="AH865">
        <v>9.3356691001900778</v>
      </c>
      <c r="AI865">
        <v>1888.1481451099921</v>
      </c>
      <c r="AJ865">
        <v>6.7723374742303468</v>
      </c>
    </row>
    <row r="866" spans="4:36" x14ac:dyDescent="0.45">
      <c r="D866">
        <v>859</v>
      </c>
      <c r="E866">
        <v>11.37310552845368</v>
      </c>
      <c r="F866">
        <v>0.40901127824721967</v>
      </c>
      <c r="G866">
        <v>0.17433257153326223</v>
      </c>
      <c r="H866">
        <v>18.043550621765849</v>
      </c>
      <c r="I866">
        <v>11.569245517890504</v>
      </c>
      <c r="J866">
        <v>0.25853406270132973</v>
      </c>
      <c r="K866">
        <v>0.10984624874766741</v>
      </c>
      <c r="L866">
        <v>18.062374170660497</v>
      </c>
      <c r="M866">
        <v>11.488645835044112</v>
      </c>
      <c r="N866">
        <v>0.32039508035718889</v>
      </c>
      <c r="O866">
        <v>0.13630644103060766</v>
      </c>
      <c r="P866">
        <v>18.05465264356809</v>
      </c>
      <c r="Q866">
        <v>11.460215467722202</v>
      </c>
      <c r="R866">
        <v>0.34220719278085038</v>
      </c>
      <c r="S866">
        <v>0.14565286974884642</v>
      </c>
      <c r="T866">
        <v>18.051924469748101</v>
      </c>
      <c r="U866">
        <v>1501.6208133963387</v>
      </c>
      <c r="V866">
        <v>9.0450267111643878</v>
      </c>
      <c r="W866">
        <v>1263.9998246397001</v>
      </c>
      <c r="X866">
        <v>6.6142849738823601</v>
      </c>
      <c r="Y866">
        <v>2861.5044615863872</v>
      </c>
      <c r="Z866">
        <v>9.0732110074853249</v>
      </c>
      <c r="AA866">
        <v>2709.3113542304582</v>
      </c>
      <c r="AB866">
        <v>6.6319274025852257</v>
      </c>
      <c r="AC866">
        <v>2185.3711415835023</v>
      </c>
      <c r="AD866">
        <v>9.0616211192064604</v>
      </c>
      <c r="AE866">
        <v>1997.4527657629765</v>
      </c>
      <c r="AF866">
        <v>6.6246825490153025</v>
      </c>
      <c r="AG866">
        <v>2089.1648748131897</v>
      </c>
      <c r="AH866">
        <v>9.05753565157449</v>
      </c>
      <c r="AI866">
        <v>1884.7299190330082</v>
      </c>
      <c r="AJ866">
        <v>6.6221253960811923</v>
      </c>
    </row>
    <row r="867" spans="4:36" x14ac:dyDescent="0.45">
      <c r="D867">
        <v>860</v>
      </c>
      <c r="E867">
        <v>12.628775382701589</v>
      </c>
      <c r="F867">
        <v>0.42174243261397798</v>
      </c>
      <c r="G867">
        <v>0.15494195022288271</v>
      </c>
      <c r="H867">
        <v>16.794540234461536</v>
      </c>
      <c r="I867">
        <v>12.844580807202231</v>
      </c>
      <c r="J867">
        <v>0.27453733864081536</v>
      </c>
      <c r="K867">
        <v>0.10052844772819047</v>
      </c>
      <c r="L867">
        <v>16.78035340642877</v>
      </c>
      <c r="M867">
        <v>12.736234713005512</v>
      </c>
      <c r="N867">
        <v>0.34848029712486089</v>
      </c>
      <c r="O867">
        <v>0.12781542607210153</v>
      </c>
      <c r="P867">
        <v>16.787469563797526</v>
      </c>
      <c r="Q867">
        <v>12.70533198467499</v>
      </c>
      <c r="R867">
        <v>0.36955648560123083</v>
      </c>
      <c r="S867">
        <v>0.13560991748127554</v>
      </c>
      <c r="T867">
        <v>16.789501612242507</v>
      </c>
      <c r="U867">
        <v>1541.7234503357001</v>
      </c>
      <c r="V867">
        <v>9.9653869832785436</v>
      </c>
      <c r="W867">
        <v>1287.8547921440656</v>
      </c>
      <c r="X867">
        <v>7.1476834547245112</v>
      </c>
      <c r="Y867">
        <v>2893.5088928415248</v>
      </c>
      <c r="Z867">
        <v>10.01358115910682</v>
      </c>
      <c r="AA867">
        <v>2728.3893564144205</v>
      </c>
      <c r="AB867">
        <v>7.1751667422890604</v>
      </c>
      <c r="AC867">
        <v>2226.986959136977</v>
      </c>
      <c r="AD867">
        <v>9.9893886744179987</v>
      </c>
      <c r="AE867">
        <v>2021.9747013225349</v>
      </c>
      <c r="AF867">
        <v>7.1613816732869138</v>
      </c>
      <c r="AG867">
        <v>2096.5708414409164</v>
      </c>
      <c r="AH867">
        <v>9.9824871020564547</v>
      </c>
      <c r="AI867">
        <v>1884.2259635820642</v>
      </c>
      <c r="AJ867">
        <v>7.1574450603871469</v>
      </c>
    </row>
    <row r="868" spans="4:36" x14ac:dyDescent="0.45">
      <c r="D868">
        <v>861</v>
      </c>
      <c r="E868">
        <v>13.264059717543681</v>
      </c>
      <c r="F868">
        <v>0.48068826954002891</v>
      </c>
      <c r="G868">
        <v>0.17635636856673076</v>
      </c>
      <c r="H868">
        <v>16.078895644349561</v>
      </c>
      <c r="I868">
        <v>13.484199350539003</v>
      </c>
      <c r="J868">
        <v>0.3184517095845491</v>
      </c>
      <c r="K868">
        <v>0.11648945911176335</v>
      </c>
      <c r="L868">
        <v>16.08085948076468</v>
      </c>
      <c r="M868">
        <v>13.389437056300144</v>
      </c>
      <c r="N868">
        <v>0.38832151044839336</v>
      </c>
      <c r="O868">
        <v>0.14222805966094484</v>
      </c>
      <c r="P868">
        <v>16.0800133735905</v>
      </c>
      <c r="Q868">
        <v>13.33638948360298</v>
      </c>
      <c r="R868">
        <v>0.4274128189415608</v>
      </c>
      <c r="S868">
        <v>0.15665748217556918</v>
      </c>
      <c r="T868">
        <v>16.079540215279877</v>
      </c>
      <c r="U868">
        <v>1612.091668373936</v>
      </c>
      <c r="V868">
        <v>10.489254277320397</v>
      </c>
      <c r="W868">
        <v>1325.6823888673789</v>
      </c>
      <c r="X868">
        <v>7.4462753320424415</v>
      </c>
      <c r="Y868">
        <v>2936.8720323934413</v>
      </c>
      <c r="Z868">
        <v>10.529786555186245</v>
      </c>
      <c r="AA868">
        <v>2750.7982417610428</v>
      </c>
      <c r="AB868">
        <v>7.4695128948228895</v>
      </c>
      <c r="AC868">
        <v>2288.9832530721305</v>
      </c>
      <c r="AD868">
        <v>10.512339197538063</v>
      </c>
      <c r="AE868">
        <v>2056.7936916198209</v>
      </c>
      <c r="AF868">
        <v>7.4595192095187528</v>
      </c>
      <c r="AG868">
        <v>2166.5977002739114</v>
      </c>
      <c r="AH868">
        <v>10.502572004273771</v>
      </c>
      <c r="AI868">
        <v>1923.0886321810428</v>
      </c>
      <c r="AJ868">
        <v>7.4539186909287878</v>
      </c>
    </row>
    <row r="869" spans="4:36" x14ac:dyDescent="0.45">
      <c r="D869">
        <v>862</v>
      </c>
      <c r="E869">
        <v>12.566296617283513</v>
      </c>
      <c r="F869">
        <v>0.51247623146111276</v>
      </c>
      <c r="G869">
        <v>0.16011610509484372</v>
      </c>
      <c r="H869">
        <v>16.761111046160543</v>
      </c>
      <c r="I869">
        <v>12.824297028721844</v>
      </c>
      <c r="J869">
        <v>0.31053986035499076</v>
      </c>
      <c r="K869">
        <v>9.6674120855296988E-2</v>
      </c>
      <c r="L869">
        <v>16.76848899006788</v>
      </c>
      <c r="M869">
        <v>12.702588284209837</v>
      </c>
      <c r="N869">
        <v>0.40584164969994757</v>
      </c>
      <c r="O869">
        <v>0.12655697726037662</v>
      </c>
      <c r="P869">
        <v>16.765013088829853</v>
      </c>
      <c r="Q869">
        <v>12.677585109847223</v>
      </c>
      <c r="R869">
        <v>0.4254109797586198</v>
      </c>
      <c r="S869">
        <v>0.13270589605021166</v>
      </c>
      <c r="T869">
        <v>16.764298014343961</v>
      </c>
      <c r="U869">
        <v>1529.8221844749582</v>
      </c>
      <c r="V869">
        <v>9.9665257333771766</v>
      </c>
      <c r="W869">
        <v>1274.0774490421218</v>
      </c>
      <c r="X869">
        <v>7.1456121881333141</v>
      </c>
      <c r="Y869">
        <v>2902.1216804226597</v>
      </c>
      <c r="Z869">
        <v>10.010176424282777</v>
      </c>
      <c r="AA869">
        <v>2732.8916976802111</v>
      </c>
      <c r="AB869">
        <v>7.1711697737554552</v>
      </c>
      <c r="AC869">
        <v>2234.2818615673036</v>
      </c>
      <c r="AD869">
        <v>9.9895820474568566</v>
      </c>
      <c r="AE869">
        <v>2024.212962054406</v>
      </c>
      <c r="AF869">
        <v>7.1591253494956018</v>
      </c>
      <c r="AG869">
        <v>2152.0801844667908</v>
      </c>
      <c r="AH869">
        <v>9.9853518386169018</v>
      </c>
      <c r="AI869">
        <v>1921.4200174249277</v>
      </c>
      <c r="AJ869">
        <v>7.1566483531991647</v>
      </c>
    </row>
    <row r="870" spans="4:36" x14ac:dyDescent="0.45">
      <c r="D870">
        <v>863</v>
      </c>
      <c r="E870">
        <v>13.894026132429623</v>
      </c>
      <c r="F870">
        <v>0.50385442632098087</v>
      </c>
      <c r="G870">
        <v>0.16904772148560254</v>
      </c>
      <c r="H870">
        <v>15.433071719763809</v>
      </c>
      <c r="I870">
        <v>14.15767796272581</v>
      </c>
      <c r="J870">
        <v>0.31828961355042779</v>
      </c>
      <c r="K870">
        <v>0.10643381270521668</v>
      </c>
      <c r="L870">
        <v>15.417598611018528</v>
      </c>
      <c r="M870">
        <v>14.039565290134128</v>
      </c>
      <c r="N870">
        <v>0.40147044120959086</v>
      </c>
      <c r="O870">
        <v>0.13444856298018792</v>
      </c>
      <c r="P870">
        <v>15.424515705676086</v>
      </c>
      <c r="Q870">
        <v>13.994362747719329</v>
      </c>
      <c r="R870">
        <v>0.43328286046044417</v>
      </c>
      <c r="S870">
        <v>0.14518519363337853</v>
      </c>
      <c r="T870">
        <v>15.427169198186844</v>
      </c>
      <c r="U870">
        <v>1625.7113923342577</v>
      </c>
      <c r="V870">
        <v>11.021410598638461</v>
      </c>
      <c r="W870">
        <v>1332.5716451768365</v>
      </c>
      <c r="X870">
        <v>7.7559143431902564</v>
      </c>
      <c r="Y870">
        <v>2946.7878303154598</v>
      </c>
      <c r="Z870">
        <v>11.078945723077901</v>
      </c>
      <c r="AA870">
        <v>2757.1368095957846</v>
      </c>
      <c r="AB870">
        <v>7.787788221605612</v>
      </c>
      <c r="AC870">
        <v>2272.5466857558058</v>
      </c>
      <c r="AD870">
        <v>11.053180008080657</v>
      </c>
      <c r="AE870">
        <v>2043.2941040221522</v>
      </c>
      <c r="AF870">
        <v>7.7735265025772105</v>
      </c>
      <c r="AG870">
        <v>2179.7941560728318</v>
      </c>
      <c r="AH870">
        <v>11.043315314946771</v>
      </c>
      <c r="AI870">
        <v>1931.2502729798096</v>
      </c>
      <c r="AJ870">
        <v>7.7680610135504873</v>
      </c>
    </row>
    <row r="871" spans="4:36" x14ac:dyDescent="0.45">
      <c r="D871">
        <v>864</v>
      </c>
      <c r="E871">
        <v>13.971117487170361</v>
      </c>
      <c r="F871">
        <v>0.45993014517287856</v>
      </c>
      <c r="G871">
        <v>0.16499647739126347</v>
      </c>
      <c r="H871">
        <v>15.40395589026549</v>
      </c>
      <c r="I871">
        <v>14.208136777491877</v>
      </c>
      <c r="J871">
        <v>0.3052814653636069</v>
      </c>
      <c r="K871">
        <v>0.10917554456529155</v>
      </c>
      <c r="L871">
        <v>15.377406212579238</v>
      </c>
      <c r="M871">
        <v>14.11138843335708</v>
      </c>
      <c r="N871">
        <v>0.36845120122455821</v>
      </c>
      <c r="O871">
        <v>0.13193402831094295</v>
      </c>
      <c r="P871">
        <v>15.388226337107415</v>
      </c>
      <c r="Q871">
        <v>14.015425128493524</v>
      </c>
      <c r="R871">
        <v>0.43104841462754706</v>
      </c>
      <c r="S871">
        <v>0.15454449188427166</v>
      </c>
      <c r="T871">
        <v>15.398981964994661</v>
      </c>
      <c r="U871">
        <v>1617.8322237581528</v>
      </c>
      <c r="V871">
        <v>10.972109588274398</v>
      </c>
      <c r="W871">
        <v>1329.1771516901163</v>
      </c>
      <c r="X871">
        <v>7.7177784744798892</v>
      </c>
      <c r="Y871">
        <v>2939.1323718852423</v>
      </c>
      <c r="Z871">
        <v>11.030462250365856</v>
      </c>
      <c r="AA871">
        <v>2752.0452146417792</v>
      </c>
      <c r="AB871">
        <v>7.7498386230994267</v>
      </c>
      <c r="AC871">
        <v>2290.6912630723045</v>
      </c>
      <c r="AD871">
        <v>11.006653650783528</v>
      </c>
      <c r="AE871">
        <v>2057.7257245937599</v>
      </c>
      <c r="AF871">
        <v>7.7367680866073156</v>
      </c>
      <c r="AG871">
        <v>2208.3902003577787</v>
      </c>
      <c r="AH871">
        <v>10.983024313586949</v>
      </c>
      <c r="AI871">
        <v>1950.8431796756161</v>
      </c>
      <c r="AJ871">
        <v>7.7237818171206341</v>
      </c>
    </row>
    <row r="872" spans="4:36" x14ac:dyDescent="0.45">
      <c r="D872">
        <v>865</v>
      </c>
      <c r="E872">
        <v>13.478259825201111</v>
      </c>
      <c r="F872">
        <v>0.49331882230801483</v>
      </c>
      <c r="G872">
        <v>0.18088068849497968</v>
      </c>
      <c r="H872">
        <v>15.8475406639959</v>
      </c>
      <c r="I872">
        <v>13.707818415494161</v>
      </c>
      <c r="J872">
        <v>0.32889295544458336</v>
      </c>
      <c r="K872">
        <v>0.12021593656975763</v>
      </c>
      <c r="L872">
        <v>15.843072692491491</v>
      </c>
      <c r="M872">
        <v>13.595459516511248</v>
      </c>
      <c r="N872">
        <v>0.40941027922645734</v>
      </c>
      <c r="O872">
        <v>0.14987458752030045</v>
      </c>
      <c r="P872">
        <v>15.845255616741991</v>
      </c>
      <c r="Q872">
        <v>13.612656509130943</v>
      </c>
      <c r="R872">
        <v>0.39709147722565141</v>
      </c>
      <c r="S872">
        <v>0.14533099103703523</v>
      </c>
      <c r="T872">
        <v>15.844921022606373</v>
      </c>
      <c r="U872">
        <v>1563.5524410963285</v>
      </c>
      <c r="V872">
        <v>10.613843670130024</v>
      </c>
      <c r="W872">
        <v>1294.5793310897391</v>
      </c>
      <c r="X872">
        <v>7.5112334785028532</v>
      </c>
      <c r="Y872">
        <v>2936.3251634462799</v>
      </c>
      <c r="Z872">
        <v>10.659956464892533</v>
      </c>
      <c r="AA872">
        <v>2752.553260677088</v>
      </c>
      <c r="AB872">
        <v>7.5373861547171996</v>
      </c>
      <c r="AC872">
        <v>2231.3329690527235</v>
      </c>
      <c r="AD872">
        <v>10.637388454309383</v>
      </c>
      <c r="AE872">
        <v>2017.8190663730159</v>
      </c>
      <c r="AF872">
        <v>7.5245970212466036</v>
      </c>
      <c r="AG872">
        <v>2134.5664283335873</v>
      </c>
      <c r="AH872">
        <v>10.640842851742301</v>
      </c>
      <c r="AI872">
        <v>1906.2330475744873</v>
      </c>
      <c r="AJ872">
        <v>7.5265558665500913</v>
      </c>
    </row>
    <row r="873" spans="4:36" x14ac:dyDescent="0.45">
      <c r="D873">
        <v>866</v>
      </c>
      <c r="E873">
        <v>11.819542502003962</v>
      </c>
      <c r="F873">
        <v>0.44827268714591706</v>
      </c>
      <c r="G873">
        <v>0.14848944651136967</v>
      </c>
      <c r="H873">
        <v>17.583695364338759</v>
      </c>
      <c r="I873">
        <v>12.008073256175672</v>
      </c>
      <c r="J873">
        <v>0.29633564358156123</v>
      </c>
      <c r="K873">
        <v>9.7889965743031659E-2</v>
      </c>
      <c r="L873">
        <v>17.597701134499744</v>
      </c>
      <c r="M873">
        <v>11.921944803725212</v>
      </c>
      <c r="N873">
        <v>0.36576701877919293</v>
      </c>
      <c r="O873">
        <v>0.12097752644006021</v>
      </c>
      <c r="P873">
        <v>17.591310651055522</v>
      </c>
      <c r="Q873">
        <v>11.8860479089414</v>
      </c>
      <c r="R873">
        <v>0.39469474305067198</v>
      </c>
      <c r="S873">
        <v>0.13061406533016959</v>
      </c>
      <c r="T873">
        <v>17.588643282677744</v>
      </c>
      <c r="U873">
        <v>1489.5014653489886</v>
      </c>
      <c r="V873">
        <v>9.2778508674689455</v>
      </c>
      <c r="W873">
        <v>1256.1168292873786</v>
      </c>
      <c r="X873">
        <v>6.7338463200289276</v>
      </c>
      <c r="Y873">
        <v>2877.6432370377515</v>
      </c>
      <c r="Z873">
        <v>9.303719609945766</v>
      </c>
      <c r="AA873">
        <v>2720.6720166542086</v>
      </c>
      <c r="AB873">
        <v>6.7496371765697347</v>
      </c>
      <c r="AC873">
        <v>2181.1739188918659</v>
      </c>
      <c r="AD873">
        <v>9.2918969578539645</v>
      </c>
      <c r="AE873">
        <v>1994.0306143862233</v>
      </c>
      <c r="AF873">
        <v>6.742428056034627</v>
      </c>
      <c r="AG873">
        <v>2066.9668975608242</v>
      </c>
      <c r="AH873">
        <v>9.2869718362576243</v>
      </c>
      <c r="AI873">
        <v>1867.7691454238832</v>
      </c>
      <c r="AJ873">
        <v>6.7394210499524947</v>
      </c>
    </row>
    <row r="874" spans="4:36" x14ac:dyDescent="0.45">
      <c r="D874">
        <v>867</v>
      </c>
      <c r="E874">
        <v>12.63965970679306</v>
      </c>
      <c r="F874">
        <v>0.45910901198102266</v>
      </c>
      <c r="G874">
        <v>0.18101885814659313</v>
      </c>
      <c r="H874">
        <v>16.720212423079314</v>
      </c>
      <c r="I874">
        <v>12.878892062777949</v>
      </c>
      <c r="J874">
        <v>0.2859854078379076</v>
      </c>
      <c r="K874">
        <v>0.11236219468083154</v>
      </c>
      <c r="L874">
        <v>16.722760334703302</v>
      </c>
      <c r="M874">
        <v>12.762347475412623</v>
      </c>
      <c r="N874">
        <v>0.37036656107066301</v>
      </c>
      <c r="O874">
        <v>0.14576433736513245</v>
      </c>
      <c r="P874">
        <v>16.721521626151588</v>
      </c>
      <c r="Q874">
        <v>12.723392286569402</v>
      </c>
      <c r="R874">
        <v>0.39855327589667311</v>
      </c>
      <c r="S874">
        <v>0.15694792102577973</v>
      </c>
      <c r="T874">
        <v>16.72110651650814</v>
      </c>
      <c r="U874">
        <v>1566.7026293190311</v>
      </c>
      <c r="V874">
        <v>9.9747212769140567</v>
      </c>
      <c r="W874">
        <v>1300.6143554518305</v>
      </c>
      <c r="X874">
        <v>7.1460300625127839</v>
      </c>
      <c r="Y874">
        <v>2903.6899091412647</v>
      </c>
      <c r="Z874">
        <v>10.015528688795852</v>
      </c>
      <c r="AA874">
        <v>2733.344614146803</v>
      </c>
      <c r="AB874">
        <v>7.1697115179215434</v>
      </c>
      <c r="AC874">
        <v>2228.6615758307707</v>
      </c>
      <c r="AD874">
        <v>9.9956482786558247</v>
      </c>
      <c r="AE874">
        <v>2019.5620779031619</v>
      </c>
      <c r="AF874">
        <v>7.1581857739297385</v>
      </c>
      <c r="AG874">
        <v>2120.7745782914662</v>
      </c>
      <c r="AH874">
        <v>9.9890034964247132</v>
      </c>
      <c r="AI874">
        <v>1897.3697084915245</v>
      </c>
      <c r="AJ874">
        <v>7.1543286660938641</v>
      </c>
    </row>
    <row r="875" spans="4:36" x14ac:dyDescent="0.45">
      <c r="D875">
        <v>868</v>
      </c>
      <c r="E875">
        <v>11.863606596821</v>
      </c>
      <c r="F875">
        <v>0.42390361562462436</v>
      </c>
      <c r="G875">
        <v>0.16384323621546815</v>
      </c>
      <c r="H875">
        <v>17.548646551338908</v>
      </c>
      <c r="I875">
        <v>12.086257862078165</v>
      </c>
      <c r="J875">
        <v>0.26242603615572274</v>
      </c>
      <c r="K875">
        <v>0.10106997132185319</v>
      </c>
      <c r="L875">
        <v>17.550246130444265</v>
      </c>
      <c r="M875">
        <v>11.972175800608424</v>
      </c>
      <c r="N875">
        <v>0.34520163559623945</v>
      </c>
      <c r="O875">
        <v>0.13319176054414211</v>
      </c>
      <c r="P875">
        <v>17.549430803251191</v>
      </c>
      <c r="Q875">
        <v>11.96372042863927</v>
      </c>
      <c r="R875">
        <v>0.35133353666292355</v>
      </c>
      <c r="S875">
        <v>0.13557601564757082</v>
      </c>
      <c r="T875">
        <v>17.549370019050226</v>
      </c>
      <c r="U875">
        <v>1475.6003730562106</v>
      </c>
      <c r="V875">
        <v>9.3817850539780121</v>
      </c>
      <c r="W875">
        <v>1245.4132863916441</v>
      </c>
      <c r="X875">
        <v>6.8070115025947802</v>
      </c>
      <c r="Y875">
        <v>2859.758420473046</v>
      </c>
      <c r="Z875">
        <v>9.4220506711023226</v>
      </c>
      <c r="AA875">
        <v>2708.6546433802323</v>
      </c>
      <c r="AB875">
        <v>6.8307163888670646</v>
      </c>
      <c r="AC875">
        <v>2187.1449067315298</v>
      </c>
      <c r="AD875">
        <v>9.4014181225159028</v>
      </c>
      <c r="AE875">
        <v>1997.9820995562463</v>
      </c>
      <c r="AF875">
        <v>6.8185815562641849</v>
      </c>
      <c r="AG875">
        <v>2090.4791722749924</v>
      </c>
      <c r="AH875">
        <v>9.3998890125557804</v>
      </c>
      <c r="AI875">
        <v>1886.1484958047909</v>
      </c>
      <c r="AJ875">
        <v>6.8176812418256905</v>
      </c>
    </row>
    <row r="876" spans="4:36" x14ac:dyDescent="0.45">
      <c r="D876">
        <v>869</v>
      </c>
      <c r="E876">
        <v>12.975383996862451</v>
      </c>
      <c r="F876">
        <v>0.49960807362721654</v>
      </c>
      <c r="G876">
        <v>0.19465130685970583</v>
      </c>
      <c r="H876">
        <v>16.330356622650623</v>
      </c>
      <c r="I876">
        <v>13.234064607256663</v>
      </c>
      <c r="J876">
        <v>0.30975469279138163</v>
      </c>
      <c r="K876">
        <v>0.12024352605359352</v>
      </c>
      <c r="L876">
        <v>16.335937173898373</v>
      </c>
      <c r="M876">
        <v>13.139574299235916</v>
      </c>
      <c r="N876">
        <v>0.37914762665741208</v>
      </c>
      <c r="O876">
        <v>0.14737632980741908</v>
      </c>
      <c r="P876">
        <v>16.333901744299258</v>
      </c>
      <c r="Q876">
        <v>13.056998614171315</v>
      </c>
      <c r="R876">
        <v>0.43974949927589607</v>
      </c>
      <c r="S876">
        <v>0.17113175799924976</v>
      </c>
      <c r="T876">
        <v>16.332120128553544</v>
      </c>
      <c r="U876">
        <v>1589.6696469763963</v>
      </c>
      <c r="V876">
        <v>10.299245978483759</v>
      </c>
      <c r="W876">
        <v>1308.207535839739</v>
      </c>
      <c r="X876">
        <v>7.3371658253933916</v>
      </c>
      <c r="Y876">
        <v>2935.4586542328411</v>
      </c>
      <c r="Z876">
        <v>10.341333687793249</v>
      </c>
      <c r="AA876">
        <v>2750.6103702127252</v>
      </c>
      <c r="AB876">
        <v>7.3615417875783109</v>
      </c>
      <c r="AC876">
        <v>2278.89640784215</v>
      </c>
      <c r="AD876">
        <v>10.325958703682907</v>
      </c>
      <c r="AE876">
        <v>2050.5006114597759</v>
      </c>
      <c r="AF876">
        <v>7.3526483426648497</v>
      </c>
      <c r="AG876">
        <v>2188.151520896753</v>
      </c>
      <c r="AH876">
        <v>10.312523604555411</v>
      </c>
      <c r="AI876">
        <v>1937.5648213821348</v>
      </c>
      <c r="AJ876">
        <v>7.3448663937973349</v>
      </c>
    </row>
    <row r="877" spans="4:36" x14ac:dyDescent="0.45">
      <c r="D877">
        <v>870</v>
      </c>
      <c r="E877">
        <v>11.309640165824369</v>
      </c>
      <c r="F877">
        <v>0.41640587147415137</v>
      </c>
      <c r="G877">
        <v>0.14224255581594517</v>
      </c>
      <c r="H877">
        <v>18.131711406885529</v>
      </c>
      <c r="I877">
        <v>11.508069741912285</v>
      </c>
      <c r="J877">
        <v>0.26016949760786884</v>
      </c>
      <c r="K877">
        <v>8.8598326242296049E-2</v>
      </c>
      <c r="L877">
        <v>18.143162434237553</v>
      </c>
      <c r="M877">
        <v>11.444702875288039</v>
      </c>
      <c r="N877">
        <v>0.31008414821943059</v>
      </c>
      <c r="O877">
        <v>0.10570018784710491</v>
      </c>
      <c r="P877">
        <v>18.139512788645412</v>
      </c>
      <c r="Q877">
        <v>11.42235787364063</v>
      </c>
      <c r="R877">
        <v>0.32768064101856925</v>
      </c>
      <c r="S877">
        <v>0.11173725966983476</v>
      </c>
      <c r="T877">
        <v>18.138224225670953</v>
      </c>
      <c r="U877">
        <v>1452.8336185060361</v>
      </c>
      <c r="V877">
        <v>8.9350557879877286</v>
      </c>
      <c r="W877">
        <v>1235.1592221334806</v>
      </c>
      <c r="X877">
        <v>6.5431614150396022</v>
      </c>
      <c r="Y877">
        <v>2837.1880866402976</v>
      </c>
      <c r="Z877">
        <v>8.9656895970369828</v>
      </c>
      <c r="AA877">
        <v>2696.1435381311308</v>
      </c>
      <c r="AB877">
        <v>6.5618346663271057</v>
      </c>
      <c r="AC877">
        <v>2142.4317867716504</v>
      </c>
      <c r="AD877">
        <v>8.9559029776639925</v>
      </c>
      <c r="AE877">
        <v>1972.6383515875193</v>
      </c>
      <c r="AF877">
        <v>6.5558776667560119</v>
      </c>
      <c r="AG877">
        <v>2047.9042565456641</v>
      </c>
      <c r="AH877">
        <v>8.952452813292135</v>
      </c>
      <c r="AI877">
        <v>1861.874780804085</v>
      </c>
      <c r="AJ877">
        <v>6.553775687041818</v>
      </c>
    </row>
    <row r="878" spans="4:36" x14ac:dyDescent="0.45">
      <c r="D878">
        <v>871</v>
      </c>
      <c r="E878">
        <v>13.228236980978442</v>
      </c>
      <c r="F878">
        <v>0.4998770580259026</v>
      </c>
      <c r="G878">
        <v>0.16367803505295825</v>
      </c>
      <c r="H878">
        <v>16.108207925942683</v>
      </c>
      <c r="I878">
        <v>13.447874394429764</v>
      </c>
      <c r="J878">
        <v>0.34030344424833792</v>
      </c>
      <c r="K878">
        <v>0.11109424489624967</v>
      </c>
      <c r="L878">
        <v>16.100727916425651</v>
      </c>
      <c r="M878">
        <v>13.365514293590619</v>
      </c>
      <c r="N878">
        <v>0.40017286323076001</v>
      </c>
      <c r="O878">
        <v>0.13078530885776138</v>
      </c>
      <c r="P878">
        <v>16.103527534320861</v>
      </c>
      <c r="Q878">
        <v>13.34936504207705</v>
      </c>
      <c r="R878">
        <v>0.41190761211554383</v>
      </c>
      <c r="S878">
        <v>0.13465012408956398</v>
      </c>
      <c r="T878">
        <v>16.104077221717827</v>
      </c>
      <c r="U878">
        <v>1608.6126727884446</v>
      </c>
      <c r="V878">
        <v>10.422779492179307</v>
      </c>
      <c r="W878">
        <v>1326.0352491093613</v>
      </c>
      <c r="X878">
        <v>7.4038140940296238</v>
      </c>
      <c r="Y878">
        <v>2918.359225330476</v>
      </c>
      <c r="Z878">
        <v>10.470371089477933</v>
      </c>
      <c r="AA878">
        <v>2738.73164947752</v>
      </c>
      <c r="AB878">
        <v>7.4308936678977178</v>
      </c>
      <c r="AC878">
        <v>2256.194748347199</v>
      </c>
      <c r="AD878">
        <v>10.452527236478341</v>
      </c>
      <c r="AE878">
        <v>2035.8865980315966</v>
      </c>
      <c r="AF878">
        <v>7.4207502888011803</v>
      </c>
      <c r="AG878">
        <v>2148.2526880289615</v>
      </c>
      <c r="AH878">
        <v>10.449028095528496</v>
      </c>
      <c r="AI878">
        <v>1914.7903880165998</v>
      </c>
      <c r="AJ878">
        <v>7.4187598286072598</v>
      </c>
    </row>
    <row r="879" spans="4:36" x14ac:dyDescent="0.45">
      <c r="D879">
        <v>872</v>
      </c>
      <c r="E879">
        <v>13.024008382000568</v>
      </c>
      <c r="F879">
        <v>0.49836070728460852</v>
      </c>
      <c r="G879">
        <v>0.1700096828712287</v>
      </c>
      <c r="H879">
        <v>16.307621227843583</v>
      </c>
      <c r="I879">
        <v>13.258283208964745</v>
      </c>
      <c r="J879">
        <v>0.3223268520793347</v>
      </c>
      <c r="K879">
        <v>0.10961897724353284</v>
      </c>
      <c r="L879">
        <v>16.309770961712388</v>
      </c>
      <c r="M879">
        <v>13.171847575784748</v>
      </c>
      <c r="N879">
        <v>0.38730856844279515</v>
      </c>
      <c r="O879">
        <v>0.131867776305261</v>
      </c>
      <c r="P879">
        <v>16.3089760794672</v>
      </c>
      <c r="Q879">
        <v>13.120902081404211</v>
      </c>
      <c r="R879">
        <v>0.42559044389582745</v>
      </c>
      <c r="S879">
        <v>0.14499895543481531</v>
      </c>
      <c r="T879">
        <v>16.30850851926515</v>
      </c>
      <c r="U879">
        <v>1560.1639644898064</v>
      </c>
      <c r="V879">
        <v>10.30963512658589</v>
      </c>
      <c r="W879">
        <v>1296.4670314920334</v>
      </c>
      <c r="X879">
        <v>7.3438598080261484</v>
      </c>
      <c r="Y879">
        <v>2911.3775431224831</v>
      </c>
      <c r="Z879">
        <v>10.354342765158362</v>
      </c>
      <c r="AA879">
        <v>2738.2940747868201</v>
      </c>
      <c r="AB879">
        <v>7.3695629213065841</v>
      </c>
      <c r="AC879">
        <v>2227.1907245407278</v>
      </c>
      <c r="AD879">
        <v>10.337848550956627</v>
      </c>
      <c r="AE879">
        <v>2019.9867225037906</v>
      </c>
      <c r="AF879">
        <v>7.360090479778826</v>
      </c>
      <c r="AG879">
        <v>2120.2207828990495</v>
      </c>
      <c r="AH879">
        <v>10.328126440643009</v>
      </c>
      <c r="AI879">
        <v>1898.0108289821731</v>
      </c>
      <c r="AJ879">
        <v>7.3545015436629937</v>
      </c>
    </row>
    <row r="880" spans="4:36" x14ac:dyDescent="0.45">
      <c r="D880">
        <v>873</v>
      </c>
      <c r="E880">
        <v>11.988596045179245</v>
      </c>
      <c r="F880">
        <v>0.42818510253480052</v>
      </c>
      <c r="G880">
        <v>0.15303452256009945</v>
      </c>
      <c r="H880">
        <v>17.430184329725854</v>
      </c>
      <c r="I880">
        <v>12.17974518144146</v>
      </c>
      <c r="J880">
        <v>0.27953294491654324</v>
      </c>
      <c r="K880">
        <v>9.9613754439743032E-2</v>
      </c>
      <c r="L880">
        <v>17.441108119202251</v>
      </c>
      <c r="M880">
        <v>12.056874982638936</v>
      </c>
      <c r="N880">
        <v>0.37510774350373938</v>
      </c>
      <c r="O880">
        <v>0.13392380950544985</v>
      </c>
      <c r="P880">
        <v>17.434093464351882</v>
      </c>
      <c r="Q880">
        <v>12.058982333300328</v>
      </c>
      <c r="R880">
        <v>0.37346918921350192</v>
      </c>
      <c r="S880">
        <v>0.13333448890656671</v>
      </c>
      <c r="T880">
        <v>17.434213988579589</v>
      </c>
      <c r="U880">
        <v>1529.6152014200563</v>
      </c>
      <c r="V880">
        <v>9.428259786620762</v>
      </c>
      <c r="W880">
        <v>1281.6252564930164</v>
      </c>
      <c r="X880">
        <v>6.8267441314786943</v>
      </c>
      <c r="Y880">
        <v>2869.9267699949937</v>
      </c>
      <c r="Z880">
        <v>9.4575043635929177</v>
      </c>
      <c r="AA880">
        <v>2712.9041686118062</v>
      </c>
      <c r="AB880">
        <v>6.8443541636432634</v>
      </c>
      <c r="AC880">
        <v>2207.6529450886856</v>
      </c>
      <c r="AD880">
        <v>9.4387021982882633</v>
      </c>
      <c r="AE880">
        <v>2008.1800143057226</v>
      </c>
      <c r="AF880">
        <v>6.8330397760838801</v>
      </c>
      <c r="AG880">
        <v>2089.4221087985993</v>
      </c>
      <c r="AH880">
        <v>9.4390245592080948</v>
      </c>
      <c r="AI880">
        <v>1881.1889647446335</v>
      </c>
      <c r="AJ880">
        <v>6.8332339896555725</v>
      </c>
    </row>
    <row r="881" spans="4:36" x14ac:dyDescent="0.45">
      <c r="D881">
        <v>874</v>
      </c>
      <c r="E881">
        <v>11.96950254169437</v>
      </c>
      <c r="F881">
        <v>0.44106396662875452</v>
      </c>
      <c r="G881">
        <v>0.16539832493647091</v>
      </c>
      <c r="H881">
        <v>17.424035166740385</v>
      </c>
      <c r="I881">
        <v>12.201087457947922</v>
      </c>
      <c r="J881">
        <v>0.26988348593867506</v>
      </c>
      <c r="K881">
        <v>0.10084826963624763</v>
      </c>
      <c r="L881">
        <v>17.428180786477142</v>
      </c>
      <c r="M881">
        <v>12.108832177138787</v>
      </c>
      <c r="N881">
        <v>0.33811318364628679</v>
      </c>
      <c r="O881">
        <v>0.12652134976666327</v>
      </c>
      <c r="P881">
        <v>17.426533289448276</v>
      </c>
      <c r="Q881">
        <v>12.054723192336635</v>
      </c>
      <c r="R881">
        <v>0.37810785361494487</v>
      </c>
      <c r="S881">
        <v>0.14160438228663424</v>
      </c>
      <c r="T881">
        <v>17.425564571761775</v>
      </c>
      <c r="U881">
        <v>1503.6637529707468</v>
      </c>
      <c r="V881">
        <v>9.4556624432975749</v>
      </c>
      <c r="W881">
        <v>1264.6015928906038</v>
      </c>
      <c r="X881">
        <v>6.8479788670906139</v>
      </c>
      <c r="Y881">
        <v>2870.312814675443</v>
      </c>
      <c r="Z881">
        <v>9.4984571352132061</v>
      </c>
      <c r="AA881">
        <v>2715.7273919841778</v>
      </c>
      <c r="AB881">
        <v>6.873299273188449</v>
      </c>
      <c r="AC881">
        <v>2172.6283846298106</v>
      </c>
      <c r="AD881">
        <v>9.4814065836988153</v>
      </c>
      <c r="AE881">
        <v>1987.9513050983071</v>
      </c>
      <c r="AF881">
        <v>6.8632236263206545</v>
      </c>
      <c r="AG881">
        <v>2081.7653892256481</v>
      </c>
      <c r="AH881">
        <v>9.4714078300570854</v>
      </c>
      <c r="AI881">
        <v>1877.7240247141299</v>
      </c>
      <c r="AJ881">
        <v>6.8573073039063868</v>
      </c>
    </row>
    <row r="882" spans="4:36" x14ac:dyDescent="0.45">
      <c r="D882">
        <v>875</v>
      </c>
      <c r="E882">
        <v>11.07277626679212</v>
      </c>
      <c r="F882">
        <v>0.44594271313327938</v>
      </c>
      <c r="G882">
        <v>0.16217146577610841</v>
      </c>
      <c r="H882">
        <v>18.319109554298503</v>
      </c>
      <c r="I882">
        <v>11.268488829055542</v>
      </c>
      <c r="J882">
        <v>0.27872606705956121</v>
      </c>
      <c r="K882">
        <v>0.10105526037225548</v>
      </c>
      <c r="L882">
        <v>18.351729843512658</v>
      </c>
      <c r="M882">
        <v>11.193457307100243</v>
      </c>
      <c r="N882">
        <v>0.34284984376173699</v>
      </c>
      <c r="O882">
        <v>0.12444771725782319</v>
      </c>
      <c r="P882">
        <v>18.339245131880194</v>
      </c>
      <c r="Q882">
        <v>11.163367287569869</v>
      </c>
      <c r="R882">
        <v>0.3685596263377473</v>
      </c>
      <c r="S882">
        <v>0.13384207227982359</v>
      </c>
      <c r="T882">
        <v>18.334231013812563</v>
      </c>
      <c r="U882">
        <v>1454.8479236233516</v>
      </c>
      <c r="V882">
        <v>8.7800484142899364</v>
      </c>
      <c r="W882">
        <v>1233.6747210178778</v>
      </c>
      <c r="X882">
        <v>6.4482935634989653</v>
      </c>
      <c r="Y882">
        <v>2829.2122610761726</v>
      </c>
      <c r="Z882">
        <v>8.7970155041302185</v>
      </c>
      <c r="AA882">
        <v>2688.458560878737</v>
      </c>
      <c r="AB882">
        <v>6.459920614268448</v>
      </c>
      <c r="AC882">
        <v>2146.6358661231598</v>
      </c>
      <c r="AD882">
        <v>8.7904983468954896</v>
      </c>
      <c r="AE882">
        <v>1972.7371733710015</v>
      </c>
      <c r="AF882">
        <v>6.4554639387132271</v>
      </c>
      <c r="AG882">
        <v>2047.4380348969771</v>
      </c>
      <c r="AH882">
        <v>8.7878890686432207</v>
      </c>
      <c r="AI882">
        <v>1857.9173783408085</v>
      </c>
      <c r="AJ882">
        <v>6.4536763732518647</v>
      </c>
    </row>
    <row r="883" spans="4:36" x14ac:dyDescent="0.45">
      <c r="D883">
        <v>876</v>
      </c>
      <c r="E883">
        <v>12.241843113761416</v>
      </c>
      <c r="F883">
        <v>0.43264428177407183</v>
      </c>
      <c r="G883">
        <v>0.1666892983506684</v>
      </c>
      <c r="H883">
        <v>17.158823306113845</v>
      </c>
      <c r="I883">
        <v>12.42783312961782</v>
      </c>
      <c r="J883">
        <v>0.29832075495756244</v>
      </c>
      <c r="K883">
        <v>0.11462997323821403</v>
      </c>
      <c r="L883">
        <v>17.159216142186409</v>
      </c>
      <c r="M883">
        <v>12.35997468745493</v>
      </c>
      <c r="N883">
        <v>0.34735287801541997</v>
      </c>
      <c r="O883">
        <v>0.13360045901403428</v>
      </c>
      <c r="P883">
        <v>17.159071975515605</v>
      </c>
      <c r="Q883">
        <v>12.346821346000301</v>
      </c>
      <c r="R883">
        <v>0.35685381592001481</v>
      </c>
      <c r="S883">
        <v>0.13728069606934479</v>
      </c>
      <c r="T883">
        <v>17.159044142010355</v>
      </c>
      <c r="U883">
        <v>1534.7495289120559</v>
      </c>
      <c r="V883">
        <v>9.6669041366769068</v>
      </c>
      <c r="W883">
        <v>1282.4453360792011</v>
      </c>
      <c r="X883">
        <v>6.9714305481708303</v>
      </c>
      <c r="Y883">
        <v>2893.5808056593946</v>
      </c>
      <c r="Z883">
        <v>9.7004254459600947</v>
      </c>
      <c r="AA883">
        <v>2726.8209148164083</v>
      </c>
      <c r="AB883">
        <v>6.9909468166174777</v>
      </c>
      <c r="AC883">
        <v>2230.1274557262836</v>
      </c>
      <c r="AD883">
        <v>9.6881955312713579</v>
      </c>
      <c r="AE883">
        <v>2024.7271137497482</v>
      </c>
      <c r="AF883">
        <v>6.9838333881816759</v>
      </c>
      <c r="AG883">
        <v>2116.5060524785413</v>
      </c>
      <c r="AH883">
        <v>9.6858249018471749</v>
      </c>
      <c r="AI883">
        <v>1900.0507123171001</v>
      </c>
      <c r="AJ883">
        <v>6.9824536203176741</v>
      </c>
    </row>
    <row r="884" spans="4:36" x14ac:dyDescent="0.45">
      <c r="D884">
        <v>877</v>
      </c>
      <c r="E884">
        <v>13.993663200833756</v>
      </c>
      <c r="F884">
        <v>0.46861634682563802</v>
      </c>
      <c r="G884">
        <v>0.17287576777405456</v>
      </c>
      <c r="H884">
        <v>15.364844684566558</v>
      </c>
      <c r="I884">
        <v>14.21571398638736</v>
      </c>
      <c r="J884">
        <v>0.32186977175702924</v>
      </c>
      <c r="K884">
        <v>0.11838216329896464</v>
      </c>
      <c r="L884">
        <v>15.344034078556659</v>
      </c>
      <c r="M884">
        <v>14.122466326146931</v>
      </c>
      <c r="N884">
        <v>0.38353266619089466</v>
      </c>
      <c r="O884">
        <v>0.1412396571234516</v>
      </c>
      <c r="P884">
        <v>15.352761350538715</v>
      </c>
      <c r="Q884">
        <v>14.048091471272912</v>
      </c>
      <c r="R884">
        <v>0.43267558288821284</v>
      </c>
      <c r="S884">
        <v>0.15949834421604614</v>
      </c>
      <c r="T884">
        <v>15.35973460162281</v>
      </c>
      <c r="U884">
        <v>1639.2827195340033</v>
      </c>
      <c r="V884">
        <v>11.071032955696293</v>
      </c>
      <c r="W884">
        <v>1341.4562430997116</v>
      </c>
      <c r="X884">
        <v>7.7841577706672629</v>
      </c>
      <c r="Y884">
        <v>2969.2444968194495</v>
      </c>
      <c r="Z884">
        <v>11.126941517994799</v>
      </c>
      <c r="AA884">
        <v>2770.5503745276242</v>
      </c>
      <c r="AB884">
        <v>7.8151745282700906</v>
      </c>
      <c r="AC884">
        <v>2282.0007319748033</v>
      </c>
      <c r="AD884">
        <v>11.103469832743638</v>
      </c>
      <c r="AE884">
        <v>2048.6636267824342</v>
      </c>
      <c r="AF884">
        <v>7.8021629951514724</v>
      </c>
      <c r="AG884">
        <v>2217.3632872953931</v>
      </c>
      <c r="AH884">
        <v>11.084741983279478</v>
      </c>
      <c r="AI884">
        <v>1954.9773517362516</v>
      </c>
      <c r="AJ884">
        <v>7.7917708431570176</v>
      </c>
    </row>
    <row r="885" spans="4:36" x14ac:dyDescent="0.45">
      <c r="D885">
        <v>878</v>
      </c>
      <c r="E885">
        <v>12.364847425478784</v>
      </c>
      <c r="F885">
        <v>0.50400662886716907</v>
      </c>
      <c r="G885">
        <v>0.16225469310327623</v>
      </c>
      <c r="H885">
        <v>16.968891252550772</v>
      </c>
      <c r="I885">
        <v>12.609735555618581</v>
      </c>
      <c r="J885">
        <v>0.30708356626845101</v>
      </c>
      <c r="K885">
        <v>9.8488827758768813E-2</v>
      </c>
      <c r="L885">
        <v>16.984692050354187</v>
      </c>
      <c r="M885">
        <v>12.507192593864836</v>
      </c>
      <c r="N885">
        <v>0.38957501510327258</v>
      </c>
      <c r="O885">
        <v>0.12514140198140222</v>
      </c>
      <c r="P885">
        <v>16.9780909890505</v>
      </c>
      <c r="Q885">
        <v>12.489692572628725</v>
      </c>
      <c r="R885">
        <v>0.40364829773241612</v>
      </c>
      <c r="S885">
        <v>0.12969686604740291</v>
      </c>
      <c r="T885">
        <v>16.97696226359146</v>
      </c>
      <c r="U885">
        <v>1562.8903256308749</v>
      </c>
      <c r="V885">
        <v>9.7075561226325586</v>
      </c>
      <c r="W885">
        <v>1298.5945989856941</v>
      </c>
      <c r="X885">
        <v>6.9806114509339521</v>
      </c>
      <c r="Y885">
        <v>2901.6346967007544</v>
      </c>
      <c r="Z885">
        <v>9.7446122257618732</v>
      </c>
      <c r="AA885">
        <v>2732.8863436317515</v>
      </c>
      <c r="AB885">
        <v>7.0030132580050521</v>
      </c>
      <c r="AC885">
        <v>2235.4081197135233</v>
      </c>
      <c r="AD885">
        <v>9.7290864461908342</v>
      </c>
      <c r="AE885">
        <v>2026.2718449294866</v>
      </c>
      <c r="AF885">
        <v>6.9936405392019525</v>
      </c>
      <c r="AG885">
        <v>2126.7236288041322</v>
      </c>
      <c r="AH885">
        <v>9.7264381181869073</v>
      </c>
      <c r="AI885">
        <v>1904.8106630441905</v>
      </c>
      <c r="AJ885">
        <v>6.992039889152843</v>
      </c>
    </row>
    <row r="886" spans="4:36" x14ac:dyDescent="0.45">
      <c r="D886">
        <v>879</v>
      </c>
      <c r="E886">
        <v>12.934130087013287</v>
      </c>
      <c r="F886">
        <v>0.44404870989637912</v>
      </c>
      <c r="G886">
        <v>0.17230565535709991</v>
      </c>
      <c r="H886">
        <v>16.449515547733238</v>
      </c>
      <c r="I886">
        <v>13.137342658081337</v>
      </c>
      <c r="J886">
        <v>0.30144744282428299</v>
      </c>
      <c r="K886">
        <v>0.11661738823205427</v>
      </c>
      <c r="L886">
        <v>16.444592510862314</v>
      </c>
      <c r="M886">
        <v>13.062784436358315</v>
      </c>
      <c r="N886">
        <v>0.35379700276086984</v>
      </c>
      <c r="O886">
        <v>0.13702099688408059</v>
      </c>
      <c r="P886">
        <v>16.446397563996737</v>
      </c>
      <c r="Q886">
        <v>13.000599977178423</v>
      </c>
      <c r="R886">
        <v>0.39743249683461712</v>
      </c>
      <c r="S886">
        <v>0.15406341698676365</v>
      </c>
      <c r="T886">
        <v>16.447904109000191</v>
      </c>
      <c r="U886">
        <v>1563.6343490391835</v>
      </c>
      <c r="V886">
        <v>10.226275853716425</v>
      </c>
      <c r="W886">
        <v>1298.0582686411917</v>
      </c>
      <c r="X886">
        <v>7.2980845549843369</v>
      </c>
      <c r="Y886">
        <v>2905.8104087824522</v>
      </c>
      <c r="Z886">
        <v>10.268305404826195</v>
      </c>
      <c r="AA886">
        <v>2732.6562378008589</v>
      </c>
      <c r="AB886">
        <v>7.3222229699075969</v>
      </c>
      <c r="AC886">
        <v>2232.7275350619957</v>
      </c>
      <c r="AD886">
        <v>10.252885424610247</v>
      </c>
      <c r="AE886">
        <v>2022.6244484847182</v>
      </c>
      <c r="AF886">
        <v>7.313375530131788</v>
      </c>
      <c r="AG886">
        <v>2139.0672826740542</v>
      </c>
      <c r="AH886">
        <v>10.24002406072116</v>
      </c>
      <c r="AI886">
        <v>1909.3675709279917</v>
      </c>
      <c r="AJ886">
        <v>7.3059885647982874</v>
      </c>
    </row>
    <row r="887" spans="4:36" x14ac:dyDescent="0.45">
      <c r="D887">
        <v>880</v>
      </c>
      <c r="E887">
        <v>14.686072163048577</v>
      </c>
      <c r="F887">
        <v>0.51849627404548781</v>
      </c>
      <c r="G887">
        <v>0.18869183566466302</v>
      </c>
      <c r="H887">
        <v>14.606739727241285</v>
      </c>
      <c r="I887">
        <v>14.956538963232981</v>
      </c>
      <c r="J887">
        <v>0.34097619579315219</v>
      </c>
      <c r="K887">
        <v>0.12364769226140541</v>
      </c>
      <c r="L887">
        <v>14.578837148712445</v>
      </c>
      <c r="M887">
        <v>14.870051275154522</v>
      </c>
      <c r="N887">
        <v>0.39779167408302302</v>
      </c>
      <c r="O887">
        <v>0.1444139593828361</v>
      </c>
      <c r="P887">
        <v>14.587743091379629</v>
      </c>
      <c r="Q887">
        <v>14.758627211581386</v>
      </c>
      <c r="R887">
        <v>0.47091985253796986</v>
      </c>
      <c r="S887">
        <v>0.17121327806061848</v>
      </c>
      <c r="T887">
        <v>14.599239657820018</v>
      </c>
      <c r="U887">
        <v>1670.7817354414881</v>
      </c>
      <c r="V887">
        <v>11.655096760223479</v>
      </c>
      <c r="W887">
        <v>1356.4622485510847</v>
      </c>
      <c r="X887">
        <v>8.1158427112685576</v>
      </c>
      <c r="Y887">
        <v>2980.287661035944</v>
      </c>
      <c r="Z887">
        <v>11.726413679730317</v>
      </c>
      <c r="AA887">
        <v>2774.6084199991965</v>
      </c>
      <c r="AB887">
        <v>8.1550625941985864</v>
      </c>
      <c r="AC887">
        <v>2307.550407854565</v>
      </c>
      <c r="AD887">
        <v>11.703617110307574</v>
      </c>
      <c r="AE887">
        <v>2062.8421462267465</v>
      </c>
      <c r="AF887">
        <v>8.1425385793959588</v>
      </c>
      <c r="AG887">
        <v>2290.89068638247</v>
      </c>
      <c r="AH887">
        <v>11.67423590897212</v>
      </c>
      <c r="AI887">
        <v>2000.7621411651753</v>
      </c>
      <c r="AJ887">
        <v>8.1263795560402414</v>
      </c>
    </row>
    <row r="888" spans="4:36" x14ac:dyDescent="0.45">
      <c r="D888">
        <v>881</v>
      </c>
      <c r="E888">
        <v>13.88801435735061</v>
      </c>
      <c r="F888">
        <v>0.47644839298340042</v>
      </c>
      <c r="G888">
        <v>0.17149288326394857</v>
      </c>
      <c r="H888">
        <v>15.464044366402035</v>
      </c>
      <c r="I888">
        <v>14.113597458656777</v>
      </c>
      <c r="J888">
        <v>0.33039518894434716</v>
      </c>
      <c r="K888">
        <v>0.11856150438299799</v>
      </c>
      <c r="L888">
        <v>15.437445848015875</v>
      </c>
      <c r="M888">
        <v>14.003969796771475</v>
      </c>
      <c r="N888">
        <v>0.40141525387861438</v>
      </c>
      <c r="O888">
        <v>0.1442590938765563</v>
      </c>
      <c r="P888">
        <v>15.450355855473358</v>
      </c>
      <c r="Q888">
        <v>13.993944125827401</v>
      </c>
      <c r="R888">
        <v>0.40790624061723146</v>
      </c>
      <c r="S888">
        <v>0.14661160900214401</v>
      </c>
      <c r="T888">
        <v>15.451538024553209</v>
      </c>
      <c r="U888">
        <v>1630.9117123942503</v>
      </c>
      <c r="V888">
        <v>10.928139900173557</v>
      </c>
      <c r="W888">
        <v>1338.8862656972078</v>
      </c>
      <c r="X888">
        <v>7.6950106145458292</v>
      </c>
      <c r="Y888">
        <v>2933.201561399886</v>
      </c>
      <c r="Z888">
        <v>10.98767986539041</v>
      </c>
      <c r="AA888">
        <v>2747.0890956479197</v>
      </c>
      <c r="AB888">
        <v>7.7279066262650637</v>
      </c>
      <c r="AC888">
        <v>2283.6252327991474</v>
      </c>
      <c r="AD888">
        <v>10.95875386674118</v>
      </c>
      <c r="AE888">
        <v>2051.6857662050566</v>
      </c>
      <c r="AF888">
        <v>7.7119358076565083</v>
      </c>
      <c r="AG888">
        <v>2165.4295454925955</v>
      </c>
      <c r="AH888">
        <v>10.956107687780134</v>
      </c>
      <c r="AI888">
        <v>1923.4471270153138</v>
      </c>
      <c r="AJ888">
        <v>7.7104737588010268</v>
      </c>
    </row>
    <row r="889" spans="4:36" x14ac:dyDescent="0.45">
      <c r="D889">
        <v>882</v>
      </c>
      <c r="E889">
        <v>11.898399034363303</v>
      </c>
      <c r="F889">
        <v>0.49436287034913357</v>
      </c>
      <c r="G889">
        <v>0.19006217470322748</v>
      </c>
      <c r="H889">
        <v>17.417175920584349</v>
      </c>
      <c r="I889">
        <v>12.122121709076126</v>
      </c>
      <c r="J889">
        <v>0.30847302342112909</v>
      </c>
      <c r="K889">
        <v>0.11818677139535917</v>
      </c>
      <c r="L889">
        <v>17.451218496107387</v>
      </c>
      <c r="M889">
        <v>12.041289645275745</v>
      </c>
      <c r="N889">
        <v>0.37565953803153396</v>
      </c>
      <c r="O889">
        <v>0.14410688958579052</v>
      </c>
      <c r="P889">
        <v>17.438943927106926</v>
      </c>
      <c r="Q889">
        <v>12.016093523123201</v>
      </c>
      <c r="R889">
        <v>0.3965967718426251</v>
      </c>
      <c r="S889">
        <v>0.15219767224640915</v>
      </c>
      <c r="T889">
        <v>17.43511203278775</v>
      </c>
      <c r="U889">
        <v>1542.2707301231362</v>
      </c>
      <c r="V889">
        <v>9.5184286752985177</v>
      </c>
      <c r="W889">
        <v>1285.9766661406879</v>
      </c>
      <c r="X889">
        <v>6.8915872360142485</v>
      </c>
      <c r="Y889">
        <v>2876.6678373866916</v>
      </c>
      <c r="Z889">
        <v>9.5433071629718</v>
      </c>
      <c r="AA889">
        <v>2715.7504691043678</v>
      </c>
      <c r="AB889">
        <v>6.9077678512847438</v>
      </c>
      <c r="AC889">
        <v>2212.3152873805702</v>
      </c>
      <c r="AD889">
        <v>9.5343039179235429</v>
      </c>
      <c r="AE889">
        <v>2011.9558658679261</v>
      </c>
      <c r="AF889">
        <v>6.9019238349551353</v>
      </c>
      <c r="AG889">
        <v>2104.7855760770944</v>
      </c>
      <c r="AH889">
        <v>9.5315008651712656</v>
      </c>
      <c r="AI889">
        <v>1890.9203087547785</v>
      </c>
      <c r="AJ889">
        <v>6.9001017134724432</v>
      </c>
    </row>
    <row r="890" spans="4:36" x14ac:dyDescent="0.45">
      <c r="D890">
        <v>883</v>
      </c>
      <c r="E890">
        <v>13.863247514057477</v>
      </c>
      <c r="F890">
        <v>0.50336485623327298</v>
      </c>
      <c r="G890">
        <v>0.16140096463569106</v>
      </c>
      <c r="H890">
        <v>15.471986665073569</v>
      </c>
      <c r="I890">
        <v>14.113936579510289</v>
      </c>
      <c r="J890">
        <v>0.32626492318510714</v>
      </c>
      <c r="K890">
        <v>0.10426715982083407</v>
      </c>
      <c r="L890">
        <v>15.455531337483782</v>
      </c>
      <c r="M890">
        <v>14.006711634282228</v>
      </c>
      <c r="N890">
        <v>0.40205892764500362</v>
      </c>
      <c r="O890">
        <v>0.12867159194921463</v>
      </c>
      <c r="P890">
        <v>15.462557846123538</v>
      </c>
      <c r="Q890">
        <v>13.960767422918217</v>
      </c>
      <c r="R890">
        <v>0.4345151063835001</v>
      </c>
      <c r="S890">
        <v>0.1391435062646284</v>
      </c>
      <c r="T890">
        <v>15.465573964433641</v>
      </c>
      <c r="U890">
        <v>1655.1473916315617</v>
      </c>
      <c r="V890">
        <v>10.899253169565421</v>
      </c>
      <c r="W890">
        <v>1353.183564917276</v>
      </c>
      <c r="X890">
        <v>7.6741824748770906</v>
      </c>
      <c r="Y890">
        <v>2956.4659083934753</v>
      </c>
      <c r="Z890">
        <v>10.956443973613725</v>
      </c>
      <c r="AA890">
        <v>2763.2193185039323</v>
      </c>
      <c r="AB890">
        <v>7.7060591294678185</v>
      </c>
      <c r="AC890">
        <v>2276.7918630809127</v>
      </c>
      <c r="AD890">
        <v>10.931988915775298</v>
      </c>
      <c r="AE890">
        <v>2046.023253922868</v>
      </c>
      <c r="AF890">
        <v>7.6924405044989621</v>
      </c>
      <c r="AG890">
        <v>2200.8430441464247</v>
      </c>
      <c r="AH890">
        <v>10.921507278016398</v>
      </c>
      <c r="AI890">
        <v>1945.8126404906595</v>
      </c>
      <c r="AJ890">
        <v>7.6865979904015918</v>
      </c>
    </row>
    <row r="891" spans="4:36" x14ac:dyDescent="0.45">
      <c r="D891">
        <v>884</v>
      </c>
      <c r="E891">
        <v>12.376394585264201</v>
      </c>
      <c r="F891">
        <v>0.46804982415397384</v>
      </c>
      <c r="G891">
        <v>0.1568035367177994</v>
      </c>
      <c r="H891">
        <v>16.998752053864038</v>
      </c>
      <c r="I891">
        <v>12.578373050440463</v>
      </c>
      <c r="J891">
        <v>0.311068754903088</v>
      </c>
      <c r="K891">
        <v>0.10389549309428631</v>
      </c>
      <c r="L891">
        <v>17.006662701562178</v>
      </c>
      <c r="M891">
        <v>12.511630558399252</v>
      </c>
      <c r="N891">
        <v>0.36296490884295096</v>
      </c>
      <c r="O891">
        <v>0.12135014773626458</v>
      </c>
      <c r="P891">
        <v>17.004054385021547</v>
      </c>
      <c r="Q891">
        <v>12.446085681147743</v>
      </c>
      <c r="R891">
        <v>0.41390803670454618</v>
      </c>
      <c r="S891">
        <v>0.13851887614346489</v>
      </c>
      <c r="T891">
        <v>17.001487406004241</v>
      </c>
      <c r="U891">
        <v>1516.348930823204</v>
      </c>
      <c r="V891">
        <v>9.7853480509005273</v>
      </c>
      <c r="W891">
        <v>1268.9262136035059</v>
      </c>
      <c r="X891">
        <v>7.0401708038575048</v>
      </c>
      <c r="Y891">
        <v>2895.9133927972489</v>
      </c>
      <c r="Z891">
        <v>9.8204393476644523</v>
      </c>
      <c r="AA891">
        <v>2729.3051093353833</v>
      </c>
      <c r="AB891">
        <v>7.0609844640675306</v>
      </c>
      <c r="AC891">
        <v>2222.9785384625948</v>
      </c>
      <c r="AD891">
        <v>9.8088404123254946</v>
      </c>
      <c r="AE891">
        <v>2020.3460153239862</v>
      </c>
      <c r="AF891">
        <v>7.0541131661311507</v>
      </c>
      <c r="AG891">
        <v>2103.7199680658878</v>
      </c>
      <c r="AH891">
        <v>9.7974527101276827</v>
      </c>
      <c r="AI891">
        <v>1888.5529381902923</v>
      </c>
      <c r="AJ891">
        <v>7.047358996723684</v>
      </c>
    </row>
    <row r="892" spans="4:36" x14ac:dyDescent="0.45">
      <c r="D892">
        <v>885</v>
      </c>
      <c r="E892">
        <v>12.189023333963336</v>
      </c>
      <c r="F892">
        <v>0.48554757331755871</v>
      </c>
      <c r="G892">
        <v>0.14310150963922569</v>
      </c>
      <c r="H892">
        <v>17.182327583079882</v>
      </c>
      <c r="I892">
        <v>12.357024483761572</v>
      </c>
      <c r="J892">
        <v>0.34164574767109146</v>
      </c>
      <c r="K892">
        <v>0.10045359758535344</v>
      </c>
      <c r="L892">
        <v>17.200876170981985</v>
      </c>
      <c r="M892">
        <v>12.302982539729527</v>
      </c>
      <c r="N892">
        <v>0.38794626340104899</v>
      </c>
      <c r="O892">
        <v>0.11415340314468597</v>
      </c>
      <c r="P892">
        <v>17.194917793724734</v>
      </c>
      <c r="Q892">
        <v>12.242674468564887</v>
      </c>
      <c r="R892">
        <v>0.43960328364212725</v>
      </c>
      <c r="S892">
        <v>0.12946293035353929</v>
      </c>
      <c r="T892">
        <v>17.188259317439432</v>
      </c>
      <c r="U892">
        <v>1519.7178464103715</v>
      </c>
      <c r="V892">
        <v>9.6889082263309767</v>
      </c>
      <c r="W892">
        <v>1269.9424568218039</v>
      </c>
      <c r="X892">
        <v>6.9879750859184764</v>
      </c>
      <c r="Y892">
        <v>2906.0664547259271</v>
      </c>
      <c r="Z892">
        <v>9.7087376576181228</v>
      </c>
      <c r="AA892">
        <v>2734.2766038698601</v>
      </c>
      <c r="AB892">
        <v>7.0003398940038277</v>
      </c>
      <c r="AC892">
        <v>2214.4828085452855</v>
      </c>
      <c r="AD892">
        <v>9.7023540734035993</v>
      </c>
      <c r="AE892">
        <v>2012.300537822583</v>
      </c>
      <c r="AF892">
        <v>6.9963644659885595</v>
      </c>
      <c r="AG892">
        <v>2099.9050604494314</v>
      </c>
      <c r="AH892">
        <v>9.695235827527025</v>
      </c>
      <c r="AI892">
        <v>1883.7080907261436</v>
      </c>
      <c r="AJ892">
        <v>6.9919258182739883</v>
      </c>
    </row>
    <row r="893" spans="4:36" x14ac:dyDescent="0.45">
      <c r="D893">
        <v>886</v>
      </c>
      <c r="E893">
        <v>12.474422631934736</v>
      </c>
      <c r="F893">
        <v>0.44065993672831422</v>
      </c>
      <c r="G893">
        <v>0.16075587721566154</v>
      </c>
      <c r="H893">
        <v>16.924161554121287</v>
      </c>
      <c r="I893">
        <v>12.681559698062919</v>
      </c>
      <c r="J893">
        <v>0.29122728790147123</v>
      </c>
      <c r="K893">
        <v>0.10591971891716674</v>
      </c>
      <c r="L893">
        <v>16.921293295118453</v>
      </c>
      <c r="M893">
        <v>12.583026203246714</v>
      </c>
      <c r="N893">
        <v>0.36234324693461123</v>
      </c>
      <c r="O893">
        <v>0.13197446561967263</v>
      </c>
      <c r="P893">
        <v>16.922656084199012</v>
      </c>
      <c r="Q893">
        <v>12.574464040029071</v>
      </c>
      <c r="R893">
        <v>0.36852020408753927</v>
      </c>
      <c r="S893">
        <v>0.13424111254540089</v>
      </c>
      <c r="T893">
        <v>16.922774643338006</v>
      </c>
      <c r="U893">
        <v>1544.881419851062</v>
      </c>
      <c r="V893">
        <v>9.8264556462350185</v>
      </c>
      <c r="W893">
        <v>1288.7519315281893</v>
      </c>
      <c r="X893">
        <v>7.0624001486464021</v>
      </c>
      <c r="Y893">
        <v>2888.1940323583303</v>
      </c>
      <c r="Z893">
        <v>9.8682833945689445</v>
      </c>
      <c r="AA893">
        <v>2723.3113551179094</v>
      </c>
      <c r="AB893">
        <v>7.0865843460211222</v>
      </c>
      <c r="AC893">
        <v>2229.563102460253</v>
      </c>
      <c r="AD893">
        <v>9.8483871593914447</v>
      </c>
      <c r="AE893">
        <v>2022.8035247100468</v>
      </c>
      <c r="AF893">
        <v>7.0750904956205289</v>
      </c>
      <c r="AG893">
        <v>2127.4844968473799</v>
      </c>
      <c r="AH893">
        <v>9.8466581799684967</v>
      </c>
      <c r="AI893">
        <v>1906.6677281758568</v>
      </c>
      <c r="AJ893">
        <v>7.0740908406986485</v>
      </c>
    </row>
    <row r="894" spans="4:36" x14ac:dyDescent="0.45">
      <c r="D894">
        <v>887</v>
      </c>
      <c r="E894">
        <v>12.75481445343029</v>
      </c>
      <c r="F894">
        <v>0.43620166524625986</v>
      </c>
      <c r="G894">
        <v>0.14537157781322574</v>
      </c>
      <c r="H894">
        <v>16.663612303510241</v>
      </c>
      <c r="I894">
        <v>12.958219302070434</v>
      </c>
      <c r="J894">
        <v>0.29002156235928561</v>
      </c>
      <c r="K894">
        <v>9.6374949863715198E-2</v>
      </c>
      <c r="L894">
        <v>16.655384185706556</v>
      </c>
      <c r="M894">
        <v>12.868667504844709</v>
      </c>
      <c r="N894">
        <v>0.35440966120190265</v>
      </c>
      <c r="O894">
        <v>0.11792106250250133</v>
      </c>
      <c r="P894">
        <v>16.659001771450892</v>
      </c>
      <c r="Q894">
        <v>12.829312640230349</v>
      </c>
      <c r="R894">
        <v>0.38269093566865892</v>
      </c>
      <c r="S894">
        <v>0.12740239150681446</v>
      </c>
      <c r="T894">
        <v>16.660594032594165</v>
      </c>
      <c r="U894">
        <v>1550.246091451369</v>
      </c>
      <c r="V894">
        <v>9.9892727273387329</v>
      </c>
      <c r="W894">
        <v>1292.1586065997415</v>
      </c>
      <c r="X894">
        <v>7.1508911522232088</v>
      </c>
      <c r="Y894">
        <v>2884.5489712831004</v>
      </c>
      <c r="Z894">
        <v>10.031628784250497</v>
      </c>
      <c r="AA894">
        <v>2720.3318871269321</v>
      </c>
      <c r="AB894">
        <v>7.1750126628754298</v>
      </c>
      <c r="AC894">
        <v>2226.0251062500106</v>
      </c>
      <c r="AD894">
        <v>10.012984045359815</v>
      </c>
      <c r="AE894">
        <v>2020.2607292242531</v>
      </c>
      <c r="AF894">
        <v>7.1644033447229605</v>
      </c>
      <c r="AG894">
        <v>2132.077286531131</v>
      </c>
      <c r="AH894">
        <v>10.004788799929489</v>
      </c>
      <c r="AI894">
        <v>1908.2034017414639</v>
      </c>
      <c r="AJ894">
        <v>7.1597357106276416</v>
      </c>
    </row>
    <row r="895" spans="4:36" x14ac:dyDescent="0.45">
      <c r="D895">
        <v>888</v>
      </c>
      <c r="E895">
        <v>11.910785391925817</v>
      </c>
      <c r="F895">
        <v>0.38195250464894531</v>
      </c>
      <c r="G895">
        <v>0.14737001792214025</v>
      </c>
      <c r="H895">
        <v>17.559892085503108</v>
      </c>
      <c r="I895">
        <v>12.062797873220049</v>
      </c>
      <c r="J895">
        <v>0.272389043798895</v>
      </c>
      <c r="K895">
        <v>0.10485688405289162</v>
      </c>
      <c r="L895">
        <v>17.559956198928159</v>
      </c>
      <c r="M895">
        <v>11.983840727919643</v>
      </c>
      <c r="N895">
        <v>0.32931539615844707</v>
      </c>
      <c r="O895">
        <v>0.12692102946190348</v>
      </c>
      <c r="P895">
        <v>17.559922846460001</v>
      </c>
      <c r="Q895">
        <v>11.952747225983268</v>
      </c>
      <c r="R895">
        <v>0.35172260967832902</v>
      </c>
      <c r="S895">
        <v>0.13562042188392315</v>
      </c>
      <c r="T895">
        <v>17.559909742454483</v>
      </c>
      <c r="U895">
        <v>1458.783693312444</v>
      </c>
      <c r="V895">
        <v>9.3420809057642096</v>
      </c>
      <c r="W895">
        <v>1235.9849531835928</v>
      </c>
      <c r="X895">
        <v>6.7780965207809745</v>
      </c>
      <c r="Y895">
        <v>2885.3035769906164</v>
      </c>
      <c r="Z895">
        <v>9.3698170310069813</v>
      </c>
      <c r="AA895">
        <v>2726.2084228475292</v>
      </c>
      <c r="AB895">
        <v>6.794345413727739</v>
      </c>
      <c r="AC895">
        <v>2201.418256443631</v>
      </c>
      <c r="AD895">
        <v>9.3554106679558231</v>
      </c>
      <c r="AE895">
        <v>2009.3142887988297</v>
      </c>
      <c r="AF895">
        <v>6.7859109376352924</v>
      </c>
      <c r="AG895">
        <v>2072.4202639666564</v>
      </c>
      <c r="AH895">
        <v>9.3497373384931279</v>
      </c>
      <c r="AI895">
        <v>1872.6020912626641</v>
      </c>
      <c r="AJ895">
        <v>6.7825862263208521</v>
      </c>
    </row>
    <row r="896" spans="4:36" x14ac:dyDescent="0.45">
      <c r="D896">
        <v>889</v>
      </c>
      <c r="E896">
        <v>12.753720784084829</v>
      </c>
      <c r="F896">
        <v>0.46880045806964049</v>
      </c>
      <c r="G896">
        <v>0.14913786230223086</v>
      </c>
      <c r="H896">
        <v>16.628340895543296</v>
      </c>
      <c r="I896">
        <v>12.983605166205912</v>
      </c>
      <c r="J896">
        <v>0.30236177957906024</v>
      </c>
      <c r="K896">
        <v>9.5886784460083363E-2</v>
      </c>
      <c r="L896">
        <v>16.618146269754945</v>
      </c>
      <c r="M896">
        <v>12.899136649144953</v>
      </c>
      <c r="N896">
        <v>0.36355382891721971</v>
      </c>
      <c r="O896">
        <v>0.11542527590953824</v>
      </c>
      <c r="P896">
        <v>16.621884246028294</v>
      </c>
      <c r="Q896">
        <v>12.868222751631416</v>
      </c>
      <c r="R896">
        <v>0.38593857293775929</v>
      </c>
      <c r="S896">
        <v>0.12258410829940031</v>
      </c>
      <c r="T896">
        <v>16.623254567131433</v>
      </c>
      <c r="U896">
        <v>1524.3006926181836</v>
      </c>
      <c r="V896">
        <v>10.004880841714343</v>
      </c>
      <c r="W896">
        <v>1274.0506628266028</v>
      </c>
      <c r="X896">
        <v>7.1596819446130819</v>
      </c>
      <c r="Y896">
        <v>2924.3105807327647</v>
      </c>
      <c r="Z896">
        <v>10.05340052033756</v>
      </c>
      <c r="AA896">
        <v>2749.8561285076562</v>
      </c>
      <c r="AB896">
        <v>7.1871937379696682</v>
      </c>
      <c r="AC896">
        <v>2193.2726355011841</v>
      </c>
      <c r="AD896">
        <v>10.035577462836637</v>
      </c>
      <c r="AE896">
        <v>1998.3210721950506</v>
      </c>
      <c r="AF896">
        <v>7.1770979901811724</v>
      </c>
      <c r="AG896">
        <v>2120.1251528985608</v>
      </c>
      <c r="AH896">
        <v>10.029053120150753</v>
      </c>
      <c r="AI896">
        <v>1901.7919752277992</v>
      </c>
      <c r="AJ896">
        <v>7.1733993331641015</v>
      </c>
    </row>
    <row r="897" spans="4:36" x14ac:dyDescent="0.45">
      <c r="D897">
        <v>890</v>
      </c>
      <c r="E897">
        <v>12.783125787206806</v>
      </c>
      <c r="F897">
        <v>0.45807753920533817</v>
      </c>
      <c r="G897">
        <v>0.20352621865387649</v>
      </c>
      <c r="H897">
        <v>16.555270454933975</v>
      </c>
      <c r="I897">
        <v>13.019722706534845</v>
      </c>
      <c r="J897">
        <v>0.29239520909369449</v>
      </c>
      <c r="K897">
        <v>0.12945121071915566</v>
      </c>
      <c r="L897">
        <v>16.558430873652313</v>
      </c>
      <c r="M897">
        <v>12.935368519906367</v>
      </c>
      <c r="N897">
        <v>0.35150600712320412</v>
      </c>
      <c r="O897">
        <v>0.15581774000748777</v>
      </c>
      <c r="P897">
        <v>16.557307732962947</v>
      </c>
      <c r="Q897">
        <v>12.919565389940313</v>
      </c>
      <c r="R897">
        <v>0.36257508488983253</v>
      </c>
      <c r="S897">
        <v>0.1607626510791807</v>
      </c>
      <c r="T897">
        <v>16.557096874090679</v>
      </c>
      <c r="U897">
        <v>1573.4690893457437</v>
      </c>
      <c r="V897">
        <v>10.050784349468573</v>
      </c>
      <c r="W897">
        <v>1300.2304921731038</v>
      </c>
      <c r="X897">
        <v>7.1839834360123254</v>
      </c>
      <c r="Y897">
        <v>2942.0426210449159</v>
      </c>
      <c r="Z897">
        <v>10.09380735656128</v>
      </c>
      <c r="AA897">
        <v>2756.9532831663546</v>
      </c>
      <c r="AB897">
        <v>7.2091316222651489</v>
      </c>
      <c r="AC897">
        <v>2230.8262537067376</v>
      </c>
      <c r="AD897">
        <v>10.078465457381574</v>
      </c>
      <c r="AE897">
        <v>2018.5317376684391</v>
      </c>
      <c r="AF897">
        <v>7.2001750607308717</v>
      </c>
      <c r="AG897">
        <v>2148.0826722360575</v>
      </c>
      <c r="AH897">
        <v>10.075591616364681</v>
      </c>
      <c r="AI897">
        <v>1915.6033813169881</v>
      </c>
      <c r="AJ897">
        <v>7.1984959456247584</v>
      </c>
    </row>
    <row r="898" spans="4:36" x14ac:dyDescent="0.45">
      <c r="D898">
        <v>891</v>
      </c>
      <c r="E898">
        <v>12.930646111747684</v>
      </c>
      <c r="F898">
        <v>0.48281648591684206</v>
      </c>
      <c r="G898">
        <v>0.1692927640430012</v>
      </c>
      <c r="H898">
        <v>16.417244638292473</v>
      </c>
      <c r="I898">
        <v>13.158177739805584</v>
      </c>
      <c r="J898">
        <v>0.3127981015473118</v>
      </c>
      <c r="K898">
        <v>0.10932355809295026</v>
      </c>
      <c r="L898">
        <v>16.419700600554165</v>
      </c>
      <c r="M898">
        <v>13.068756956963927</v>
      </c>
      <c r="N898">
        <v>0.37964948280889133</v>
      </c>
      <c r="O898">
        <v>0.13285650558118342</v>
      </c>
      <c r="P898">
        <v>16.418737054645984</v>
      </c>
      <c r="Q898">
        <v>13.026298751175883</v>
      </c>
      <c r="R898">
        <v>0.41137628430041928</v>
      </c>
      <c r="S898">
        <v>0.14404616289185077</v>
      </c>
      <c r="T898">
        <v>16.418278801631857</v>
      </c>
      <c r="U898">
        <v>1573.4715107809836</v>
      </c>
      <c r="V898">
        <v>10.169649257383174</v>
      </c>
      <c r="W898">
        <v>1304.4318354296367</v>
      </c>
      <c r="X898">
        <v>7.2532697364026859</v>
      </c>
      <c r="Y898">
        <v>2921.5520470354627</v>
      </c>
      <c r="Z898">
        <v>10.207932975993765</v>
      </c>
      <c r="AA898">
        <v>2744.5475507766082</v>
      </c>
      <c r="AB898">
        <v>7.2753849814810483</v>
      </c>
      <c r="AC898">
        <v>2234.2915266128316</v>
      </c>
      <c r="AD898">
        <v>10.192886890655915</v>
      </c>
      <c r="AE898">
        <v>2023.5445456813243</v>
      </c>
      <c r="AF898">
        <v>7.2667025730142161</v>
      </c>
      <c r="AG898">
        <v>2127.337815828474</v>
      </c>
      <c r="AH898">
        <v>10.185743003275382</v>
      </c>
      <c r="AI898">
        <v>1901.8272455268966</v>
      </c>
      <c r="AJ898">
        <v>7.2625759999035129</v>
      </c>
    </row>
    <row r="899" spans="4:36" x14ac:dyDescent="0.45">
      <c r="D899">
        <v>892</v>
      </c>
      <c r="E899">
        <v>13.455892424506645</v>
      </c>
      <c r="F899">
        <v>0.49027753858302753</v>
      </c>
      <c r="G899">
        <v>0.15512053905840381</v>
      </c>
      <c r="H899">
        <v>15.898709497851922</v>
      </c>
      <c r="I899">
        <v>13.644942752038453</v>
      </c>
      <c r="J899">
        <v>0.34566712300957642</v>
      </c>
      <c r="K899">
        <v>0.10908860987082948</v>
      </c>
      <c r="L899">
        <v>15.900301515081148</v>
      </c>
      <c r="M899">
        <v>13.536220615816951</v>
      </c>
      <c r="N899">
        <v>0.42885387079758414</v>
      </c>
      <c r="O899">
        <v>0.13553925938675523</v>
      </c>
      <c r="P899">
        <v>15.899386253998706</v>
      </c>
      <c r="Q899">
        <v>13.525718970452733</v>
      </c>
      <c r="R899">
        <v>0.43688588893774161</v>
      </c>
      <c r="S899">
        <v>0.13809733641727515</v>
      </c>
      <c r="T899">
        <v>15.899297804192233</v>
      </c>
      <c r="U899">
        <v>1595.3852024274483</v>
      </c>
      <c r="V899">
        <v>10.683942521595517</v>
      </c>
      <c r="W899">
        <v>1315.9740178121315</v>
      </c>
      <c r="X899">
        <v>7.5651268177906026</v>
      </c>
      <c r="Y899">
        <v>2952.0402224290656</v>
      </c>
      <c r="Z899">
        <v>10.72005517667821</v>
      </c>
      <c r="AA899">
        <v>2761.578454888137</v>
      </c>
      <c r="AB899">
        <v>7.5858397018399089</v>
      </c>
      <c r="AC899">
        <v>2287.7964010113515</v>
      </c>
      <c r="AD899">
        <v>10.699286602369272</v>
      </c>
      <c r="AE899">
        <v>2055.4088019310684</v>
      </c>
      <c r="AF899">
        <v>7.5739345337224515</v>
      </c>
      <c r="AG899">
        <v>2164.8459690002801</v>
      </c>
      <c r="AH899">
        <v>10.697280578507533</v>
      </c>
      <c r="AI899">
        <v>1923.8173462807251</v>
      </c>
      <c r="AJ899">
        <v>7.5727836320271527</v>
      </c>
    </row>
    <row r="900" spans="4:36" x14ac:dyDescent="0.45">
      <c r="D900">
        <v>893</v>
      </c>
      <c r="E900">
        <v>12.989998363947887</v>
      </c>
      <c r="F900">
        <v>0.47246396772618271</v>
      </c>
      <c r="G900">
        <v>0.16466860028290897</v>
      </c>
      <c r="H900">
        <v>16.372869068043041</v>
      </c>
      <c r="I900">
        <v>13.217547866674922</v>
      </c>
      <c r="J900">
        <v>0.30783368645594816</v>
      </c>
      <c r="K900">
        <v>0.10695349075983064</v>
      </c>
      <c r="L900">
        <v>16.367664956109301</v>
      </c>
      <c r="M900">
        <v>13.114855320664855</v>
      </c>
      <c r="N900">
        <v>0.382168128860153</v>
      </c>
      <c r="O900">
        <v>0.13296768016410099</v>
      </c>
      <c r="P900">
        <v>16.370008870310883</v>
      </c>
      <c r="Q900">
        <v>13.106537150588794</v>
      </c>
      <c r="R900">
        <v>0.38818660481895556</v>
      </c>
      <c r="S900">
        <v>0.13507717945792441</v>
      </c>
      <c r="T900">
        <v>16.370199065134333</v>
      </c>
      <c r="U900">
        <v>1582.2809917846853</v>
      </c>
      <c r="V900">
        <v>10.27495153670912</v>
      </c>
      <c r="W900">
        <v>1309.3069461541875</v>
      </c>
      <c r="X900">
        <v>7.3252415668733386</v>
      </c>
      <c r="Y900">
        <v>2906.2355281698783</v>
      </c>
      <c r="Z900">
        <v>10.320872971517277</v>
      </c>
      <c r="AA900">
        <v>2732.5118900749794</v>
      </c>
      <c r="AB900">
        <v>7.351426025756318</v>
      </c>
      <c r="AC900">
        <v>2249.8119132327238</v>
      </c>
      <c r="AD900">
        <v>10.30015138943665</v>
      </c>
      <c r="AE900">
        <v>2032.7141832602681</v>
      </c>
      <c r="AF900">
        <v>7.3396211080104621</v>
      </c>
      <c r="AG900">
        <v>2131.8466383479399</v>
      </c>
      <c r="AH900">
        <v>10.298472736339345</v>
      </c>
      <c r="AI900">
        <v>1904.9298184381014</v>
      </c>
      <c r="AJ900">
        <v>7.3386640367849392</v>
      </c>
    </row>
    <row r="901" spans="4:36" x14ac:dyDescent="0.45">
      <c r="D901">
        <v>894</v>
      </c>
      <c r="E901">
        <v>12.72703242481885</v>
      </c>
      <c r="F901">
        <v>0.45640347423964167</v>
      </c>
      <c r="G901">
        <v>0.16841581321267202</v>
      </c>
      <c r="H901">
        <v>16.64814828772883</v>
      </c>
      <c r="I901">
        <v>12.968369212317308</v>
      </c>
      <c r="J901">
        <v>0.28941498241682145</v>
      </c>
      <c r="K901">
        <v>0.10640654775317149</v>
      </c>
      <c r="L901">
        <v>16.635809257512708</v>
      </c>
      <c r="M901">
        <v>12.877926114219386</v>
      </c>
      <c r="N901">
        <v>0.35203872801709363</v>
      </c>
      <c r="O901">
        <v>0.12960729341228852</v>
      </c>
      <c r="P901">
        <v>16.640427864351242</v>
      </c>
      <c r="Q901">
        <v>12.835838311785903</v>
      </c>
      <c r="R901">
        <v>0.38116312033863148</v>
      </c>
      <c r="S901">
        <v>0.14041916682295638</v>
      </c>
      <c r="T901">
        <v>16.642579401052501</v>
      </c>
      <c r="U901">
        <v>1552.9808969690234</v>
      </c>
      <c r="V901">
        <v>10.032667898979359</v>
      </c>
      <c r="W901">
        <v>1293.6776260469842</v>
      </c>
      <c r="X901">
        <v>7.1825499414512084</v>
      </c>
      <c r="Y901">
        <v>2904.1767254864885</v>
      </c>
      <c r="Z901">
        <v>10.087804054699038</v>
      </c>
      <c r="AA901">
        <v>2735.0860431887195</v>
      </c>
      <c r="AB901">
        <v>7.2140426067647088</v>
      </c>
      <c r="AC901">
        <v>2220.6905047146984</v>
      </c>
      <c r="AD901">
        <v>10.067144674658644</v>
      </c>
      <c r="AE901">
        <v>2017.3612446234001</v>
      </c>
      <c r="AF901">
        <v>7.202255552297304</v>
      </c>
      <c r="AG901">
        <v>2072.8317580539133</v>
      </c>
      <c r="AH901">
        <v>10.057529429883296</v>
      </c>
      <c r="AI901">
        <v>1866.5123229752674</v>
      </c>
      <c r="AJ901">
        <v>7.1967642908610809</v>
      </c>
    </row>
    <row r="902" spans="4:36" x14ac:dyDescent="0.45">
      <c r="D902">
        <v>895</v>
      </c>
      <c r="E902">
        <v>12.398594111267951</v>
      </c>
      <c r="F902">
        <v>0.46598188438956811</v>
      </c>
      <c r="G902">
        <v>0.18751002949309076</v>
      </c>
      <c r="H902">
        <v>16.947913974849392</v>
      </c>
      <c r="I902">
        <v>12.620802852055546</v>
      </c>
      <c r="J902">
        <v>0.29900186128015338</v>
      </c>
      <c r="K902">
        <v>0.11993059757808257</v>
      </c>
      <c r="L902">
        <v>16.960264689086209</v>
      </c>
      <c r="M902">
        <v>12.520624097326484</v>
      </c>
      <c r="N902">
        <v>0.37431538712839008</v>
      </c>
      <c r="O902">
        <v>0.15035647430874477</v>
      </c>
      <c r="P902">
        <v>16.954704041236383</v>
      </c>
      <c r="Q902">
        <v>12.510279461271024</v>
      </c>
      <c r="R902">
        <v>0.38208926310403024</v>
      </c>
      <c r="S902">
        <v>0.15350213032724674</v>
      </c>
      <c r="T902">
        <v>16.954129145297685</v>
      </c>
      <c r="U902">
        <v>1547.9198565790844</v>
      </c>
      <c r="V902">
        <v>9.8332954848003205</v>
      </c>
      <c r="W902">
        <v>1287.3408435388624</v>
      </c>
      <c r="X902">
        <v>7.0684362632129858</v>
      </c>
      <c r="Y902">
        <v>2921.8138405698605</v>
      </c>
      <c r="Z902">
        <v>9.8665949695114037</v>
      </c>
      <c r="AA902">
        <v>2745.9483883008697</v>
      </c>
      <c r="AB902">
        <v>7.0883232368520703</v>
      </c>
      <c r="AC902">
        <v>2234.0066407638637</v>
      </c>
      <c r="AD902">
        <v>9.8515776715064955</v>
      </c>
      <c r="AE902">
        <v>2023.7761133674001</v>
      </c>
      <c r="AF902">
        <v>7.0793647086745155</v>
      </c>
      <c r="AG902">
        <v>2108.590253691787</v>
      </c>
      <c r="AH902">
        <v>9.8500274088327622</v>
      </c>
      <c r="AI902">
        <v>1890.6330179867175</v>
      </c>
      <c r="AJ902">
        <v>7.0784389700401498</v>
      </c>
    </row>
    <row r="903" spans="4:36" x14ac:dyDescent="0.45">
      <c r="D903">
        <v>896</v>
      </c>
      <c r="E903">
        <v>13.242440175692535</v>
      </c>
      <c r="F903">
        <v>0.49292325243632346</v>
      </c>
      <c r="G903">
        <v>0.19392938300918225</v>
      </c>
      <c r="H903">
        <v>16.070707188861952</v>
      </c>
      <c r="I903">
        <v>13.493014506605981</v>
      </c>
      <c r="J903">
        <v>0.31237052421287381</v>
      </c>
      <c r="K903">
        <v>0.12246902966519391</v>
      </c>
      <c r="L903">
        <v>16.072145939515959</v>
      </c>
      <c r="M903">
        <v>13.41501454254313</v>
      </c>
      <c r="N903">
        <v>0.36861264437591268</v>
      </c>
      <c r="O903">
        <v>0.14467495241748241</v>
      </c>
      <c r="P903">
        <v>16.071697860663473</v>
      </c>
      <c r="Q903">
        <v>13.338971004393919</v>
      </c>
      <c r="R903">
        <v>0.42341041608038948</v>
      </c>
      <c r="S903">
        <v>0.16635737131920023</v>
      </c>
      <c r="T903">
        <v>16.071261208206504</v>
      </c>
      <c r="U903">
        <v>1588.9956987409716</v>
      </c>
      <c r="V903">
        <v>10.478121411801862</v>
      </c>
      <c r="W903">
        <v>1309.9875224433397</v>
      </c>
      <c r="X903">
        <v>7.4382225367276655</v>
      </c>
      <c r="Y903">
        <v>2933.4448121972068</v>
      </c>
      <c r="Z903">
        <v>10.524214726110007</v>
      </c>
      <c r="AA903">
        <v>2749.9500658681504</v>
      </c>
      <c r="AB903">
        <v>7.4646040317652949</v>
      </c>
      <c r="AC903">
        <v>2269.2396916271241</v>
      </c>
      <c r="AD903">
        <v>10.509867251009128</v>
      </c>
      <c r="AE903">
        <v>2045.5968524830248</v>
      </c>
      <c r="AF903">
        <v>7.4564024496480776</v>
      </c>
      <c r="AG903">
        <v>2177.3856491616725</v>
      </c>
      <c r="AH903">
        <v>10.495879064612403</v>
      </c>
      <c r="AI903">
        <v>1932.6333986371321</v>
      </c>
      <c r="AJ903">
        <v>7.4483974200823413</v>
      </c>
    </row>
    <row r="904" spans="4:36" x14ac:dyDescent="0.45">
      <c r="D904">
        <v>897</v>
      </c>
      <c r="E904">
        <v>13.721943639885469</v>
      </c>
      <c r="F904">
        <v>0.43459575726018745</v>
      </c>
      <c r="G904">
        <v>0.15514004590564681</v>
      </c>
      <c r="H904">
        <v>15.688320556948698</v>
      </c>
      <c r="I904">
        <v>13.929027651269646</v>
      </c>
      <c r="J904">
        <v>0.29840740307492608</v>
      </c>
      <c r="K904">
        <v>0.10621471243580817</v>
      </c>
      <c r="L904">
        <v>15.666350233219632</v>
      </c>
      <c r="M904">
        <v>13.802528565296042</v>
      </c>
      <c r="N904">
        <v>0.38163246763386066</v>
      </c>
      <c r="O904">
        <v>0.13607871471265695</v>
      </c>
      <c r="P904">
        <v>15.679760252357454</v>
      </c>
      <c r="Q904">
        <v>13.77266208790034</v>
      </c>
      <c r="R904">
        <v>0.40126674395925238</v>
      </c>
      <c r="S904">
        <v>0.1431398912352711</v>
      </c>
      <c r="T904">
        <v>15.682931276905125</v>
      </c>
      <c r="U904">
        <v>1575.2269514108955</v>
      </c>
      <c r="V904">
        <v>10.711313458416683</v>
      </c>
      <c r="W904">
        <v>1305.3784467623323</v>
      </c>
      <c r="X904">
        <v>7.5625140581842771</v>
      </c>
      <c r="Y904">
        <v>2915.1992972680555</v>
      </c>
      <c r="Z904">
        <v>10.761732055794111</v>
      </c>
      <c r="AA904">
        <v>2738.6798568342419</v>
      </c>
      <c r="AB904">
        <v>7.5904499294057519</v>
      </c>
      <c r="AC904">
        <v>2250.0614899694606</v>
      </c>
      <c r="AD904">
        <v>10.730939818421428</v>
      </c>
      <c r="AE904">
        <v>2031.8929586789513</v>
      </c>
      <c r="AF904">
        <v>7.5733969248249355</v>
      </c>
      <c r="AG904">
        <v>2160.9380490147228</v>
      </c>
      <c r="AH904">
        <v>10.723666831287368</v>
      </c>
      <c r="AI904">
        <v>1923.5022382004825</v>
      </c>
      <c r="AJ904">
        <v>7.5693652793033985</v>
      </c>
    </row>
    <row r="905" spans="4:36" x14ac:dyDescent="0.45">
      <c r="D905">
        <v>898</v>
      </c>
      <c r="E905">
        <v>12.065027465623233</v>
      </c>
      <c r="F905">
        <v>0.44580575192824046</v>
      </c>
      <c r="G905">
        <v>0.16619380286039884</v>
      </c>
      <c r="H905">
        <v>17.322972979588133</v>
      </c>
      <c r="I905">
        <v>12.288573826958551</v>
      </c>
      <c r="J905">
        <v>0.27660307412163893</v>
      </c>
      <c r="K905">
        <v>0.10277128263574342</v>
      </c>
      <c r="L905">
        <v>17.332051816284071</v>
      </c>
      <c r="M905">
        <v>12.205575110009981</v>
      </c>
      <c r="N905">
        <v>0.33945696775140854</v>
      </c>
      <c r="O905">
        <v>0.12628069098278347</v>
      </c>
      <c r="P905">
        <v>17.328687231255827</v>
      </c>
      <c r="Q905">
        <v>12.184429932835661</v>
      </c>
      <c r="R905">
        <v>0.35546393226226236</v>
      </c>
      <c r="S905">
        <v>0.13227725164708098</v>
      </c>
      <c r="T905">
        <v>17.327828883254995</v>
      </c>
      <c r="U905">
        <v>1524.3205096068882</v>
      </c>
      <c r="V905">
        <v>9.5525896477421739</v>
      </c>
      <c r="W905">
        <v>1275.4779247713816</v>
      </c>
      <c r="X905">
        <v>6.9066277361629416</v>
      </c>
      <c r="Y905">
        <v>2884.7576015439413</v>
      </c>
      <c r="Z905">
        <v>9.5900766294457735</v>
      </c>
      <c r="AA905">
        <v>2723.3574690188834</v>
      </c>
      <c r="AB905">
        <v>6.9289384113301562</v>
      </c>
      <c r="AC905">
        <v>2193.4541361984129</v>
      </c>
      <c r="AD905">
        <v>9.5761548059611137</v>
      </c>
      <c r="AE905">
        <v>2000.1110890882246</v>
      </c>
      <c r="AF905">
        <v>6.9206634465082129</v>
      </c>
      <c r="AG905">
        <v>2114.3877701520428</v>
      </c>
      <c r="AH905">
        <v>9.5726086847975473</v>
      </c>
      <c r="AI905">
        <v>1900.0896680565004</v>
      </c>
      <c r="AJ905">
        <v>6.918553663087331</v>
      </c>
    </row>
    <row r="906" spans="4:36" x14ac:dyDescent="0.45">
      <c r="D906">
        <v>899</v>
      </c>
      <c r="E906">
        <v>12.390665098996879</v>
      </c>
      <c r="F906">
        <v>0.46282498521126642</v>
      </c>
      <c r="G906">
        <v>0.15074409679196896</v>
      </c>
      <c r="H906">
        <v>16.995765818999871</v>
      </c>
      <c r="I906">
        <v>12.601923368332303</v>
      </c>
      <c r="J906">
        <v>0.30274812966808695</v>
      </c>
      <c r="K906">
        <v>9.8307134117271933E-2</v>
      </c>
      <c r="L906">
        <v>16.997021367882333</v>
      </c>
      <c r="M906">
        <v>12.51411293471852</v>
      </c>
      <c r="N906">
        <v>0.36931401750534804</v>
      </c>
      <c r="O906">
        <v>0.12007311558611516</v>
      </c>
      <c r="P906">
        <v>16.996499932190027</v>
      </c>
      <c r="Q906">
        <v>12.493698529426505</v>
      </c>
      <c r="R906">
        <v>0.38478349780734572</v>
      </c>
      <c r="S906">
        <v>0.12513935453133546</v>
      </c>
      <c r="T906">
        <v>16.996378618234814</v>
      </c>
      <c r="U906">
        <v>1521.76266368541</v>
      </c>
      <c r="V906">
        <v>9.7856531789058927</v>
      </c>
      <c r="W906">
        <v>1274.3413577084345</v>
      </c>
      <c r="X906">
        <v>7.0401179306712889</v>
      </c>
      <c r="Y906">
        <v>2882.6565867989234</v>
      </c>
      <c r="Z906">
        <v>9.8245308215847178</v>
      </c>
      <c r="AA906">
        <v>2721.0446014138956</v>
      </c>
      <c r="AB906">
        <v>7.0627525893033969</v>
      </c>
      <c r="AC906">
        <v>2231.727342442181</v>
      </c>
      <c r="AD906">
        <v>9.8083709482654182</v>
      </c>
      <c r="AE906">
        <v>2027.0640897854887</v>
      </c>
      <c r="AF906">
        <v>7.053353757715362</v>
      </c>
      <c r="AG906">
        <v>2094.7705240911764</v>
      </c>
      <c r="AH906">
        <v>9.8046141000896814</v>
      </c>
      <c r="AI906">
        <v>1885.1250243766181</v>
      </c>
      <c r="AJ906">
        <v>7.0511667928706849</v>
      </c>
    </row>
    <row r="907" spans="4:36" x14ac:dyDescent="0.45">
      <c r="D907">
        <v>900</v>
      </c>
      <c r="E907">
        <v>12.186867041083186</v>
      </c>
      <c r="F907">
        <v>0.42184715184946575</v>
      </c>
      <c r="G907">
        <v>0.16151338598803777</v>
      </c>
      <c r="H907">
        <v>17.229772421079286</v>
      </c>
      <c r="I907">
        <v>12.378245626353213</v>
      </c>
      <c r="J907">
        <v>0.27948410928002887</v>
      </c>
      <c r="K907">
        <v>0.10671020388732926</v>
      </c>
      <c r="L907">
        <v>17.235560060479429</v>
      </c>
      <c r="M907">
        <v>12.276954229014512</v>
      </c>
      <c r="N907">
        <v>0.35485889464473691</v>
      </c>
      <c r="O907">
        <v>0.13568760474757055</v>
      </c>
      <c r="P907">
        <v>17.232499271593188</v>
      </c>
      <c r="Q907">
        <v>12.268949652741677</v>
      </c>
      <c r="R907">
        <v>0.36081292318145125</v>
      </c>
      <c r="S907">
        <v>0.13798026618733669</v>
      </c>
      <c r="T907">
        <v>17.232257157889546</v>
      </c>
      <c r="U907">
        <v>1518.614988121644</v>
      </c>
      <c r="V907">
        <v>9.6703254456008061</v>
      </c>
      <c r="W907">
        <v>1274.6108187867546</v>
      </c>
      <c r="X907">
        <v>6.9813162940997762</v>
      </c>
      <c r="Y907">
        <v>2878.7777496912599</v>
      </c>
      <c r="Z907">
        <v>9.7038989540375429</v>
      </c>
      <c r="AA907">
        <v>2719.6650774091695</v>
      </c>
      <c r="AB907">
        <v>7.0011222520257759</v>
      </c>
      <c r="AC907">
        <v>2206.7659368057425</v>
      </c>
      <c r="AD907">
        <v>9.6861277966154855</v>
      </c>
      <c r="AE907">
        <v>2009.6764092928606</v>
      </c>
      <c r="AF907">
        <v>6.9906468111816009</v>
      </c>
      <c r="AG907">
        <v>2101.7272646898937</v>
      </c>
      <c r="AH907">
        <v>9.6847235823319782</v>
      </c>
      <c r="AI907">
        <v>1891.5879840184712</v>
      </c>
      <c r="AJ907">
        <v>6.9898182894391994</v>
      </c>
    </row>
    <row r="908" spans="4:36" x14ac:dyDescent="0.45">
      <c r="D908">
        <v>901</v>
      </c>
      <c r="E908">
        <v>13.193022560741776</v>
      </c>
      <c r="F908">
        <v>0.49681345494625734</v>
      </c>
      <c r="G908">
        <v>0.16909133605210908</v>
      </c>
      <c r="H908">
        <v>16.14107264825984</v>
      </c>
      <c r="I908">
        <v>13.450808161599941</v>
      </c>
      <c r="J908">
        <v>0.30458113861205621</v>
      </c>
      <c r="K908">
        <v>0.1033170693136688</v>
      </c>
      <c r="L908">
        <v>16.14129363047434</v>
      </c>
      <c r="M908">
        <v>13.311073377486698</v>
      </c>
      <c r="N908">
        <v>0.40882664126293944</v>
      </c>
      <c r="O908">
        <v>0.13893004533090336</v>
      </c>
      <c r="P908">
        <v>16.141169935919461</v>
      </c>
      <c r="Q908">
        <v>13.307128652596981</v>
      </c>
      <c r="R908">
        <v>0.41176798098314615</v>
      </c>
      <c r="S908">
        <v>0.13993678887094585</v>
      </c>
      <c r="T908">
        <v>16.141166577548937</v>
      </c>
      <c r="U908">
        <v>1599.3635188160779</v>
      </c>
      <c r="V908">
        <v>10.361865681078509</v>
      </c>
      <c r="W908">
        <v>1317.2928784689577</v>
      </c>
      <c r="X908">
        <v>7.3618484418265897</v>
      </c>
      <c r="Y908">
        <v>2942.2773022382225</v>
      </c>
      <c r="Z908">
        <v>10.406795735968824</v>
      </c>
      <c r="AA908">
        <v>2757.010165143025</v>
      </c>
      <c r="AB908">
        <v>7.3874572885488972</v>
      </c>
      <c r="AC908">
        <v>2271.4574940300236</v>
      </c>
      <c r="AD908">
        <v>10.38244348058603</v>
      </c>
      <c r="AE908">
        <v>2044.2535038364906</v>
      </c>
      <c r="AF908">
        <v>7.3735886843676237</v>
      </c>
      <c r="AG908">
        <v>2150.4979317330226</v>
      </c>
      <c r="AH908">
        <v>10.381755930748344</v>
      </c>
      <c r="AI908">
        <v>1914.4916107057836</v>
      </c>
      <c r="AJ908">
        <v>7.3731967322301362</v>
      </c>
    </row>
    <row r="909" spans="4:36" x14ac:dyDescent="0.45">
      <c r="D909">
        <v>902</v>
      </c>
      <c r="E909">
        <v>12.600591535477058</v>
      </c>
      <c r="F909">
        <v>0.44230234246343714</v>
      </c>
      <c r="G909">
        <v>0.18406139763337115</v>
      </c>
      <c r="H909">
        <v>16.773044724426132</v>
      </c>
      <c r="I909">
        <v>12.831951265562333</v>
      </c>
      <c r="J909">
        <v>0.27560163059227988</v>
      </c>
      <c r="K909">
        <v>0.11429998192226849</v>
      </c>
      <c r="L909">
        <v>16.778147121923105</v>
      </c>
      <c r="M909">
        <v>12.690313387858435</v>
      </c>
      <c r="N909">
        <v>0.37769327940554603</v>
      </c>
      <c r="O909">
        <v>0.15696632025422622</v>
      </c>
      <c r="P909">
        <v>16.775027012481779</v>
      </c>
      <c r="Q909">
        <v>12.656144001438953</v>
      </c>
      <c r="R909">
        <v>0.40230448282219511</v>
      </c>
      <c r="S909">
        <v>0.16727889525258091</v>
      </c>
      <c r="T909">
        <v>16.774272620486261</v>
      </c>
      <c r="U909">
        <v>1557.6387677404946</v>
      </c>
      <c r="V909">
        <v>9.9257667793812185</v>
      </c>
      <c r="W909">
        <v>1293.8902467405292</v>
      </c>
      <c r="X909">
        <v>7.1162206131453329</v>
      </c>
      <c r="Y909">
        <v>2912.9714626036507</v>
      </c>
      <c r="Z909">
        <v>9.964641554907681</v>
      </c>
      <c r="AA909">
        <v>2739.9440639129907</v>
      </c>
      <c r="AB909">
        <v>7.1389560140098691</v>
      </c>
      <c r="AC909">
        <v>2244.9340513757074</v>
      </c>
      <c r="AD909">
        <v>9.9408405170776497</v>
      </c>
      <c r="AE909">
        <v>2029.3885386974925</v>
      </c>
      <c r="AF909">
        <v>7.1250466485513284</v>
      </c>
      <c r="AG909">
        <v>2151.766816053118</v>
      </c>
      <c r="AH909">
        <v>9.9350995828441917</v>
      </c>
      <c r="AI909">
        <v>1918.028702925785</v>
      </c>
      <c r="AJ909">
        <v>7.1216867536692803</v>
      </c>
    </row>
    <row r="910" spans="4:36" x14ac:dyDescent="0.45">
      <c r="D910">
        <v>903</v>
      </c>
      <c r="E910">
        <v>12.951878972916537</v>
      </c>
      <c r="F910">
        <v>0.49772868022810041</v>
      </c>
      <c r="G910">
        <v>0.17380731832791926</v>
      </c>
      <c r="H910">
        <v>16.376585028527455</v>
      </c>
      <c r="I910">
        <v>13.190425133473363</v>
      </c>
      <c r="J910">
        <v>0.31577720881615595</v>
      </c>
      <c r="K910">
        <v>0.10989933307981016</v>
      </c>
      <c r="L910">
        <v>16.383898324630678</v>
      </c>
      <c r="M910">
        <v>13.081541646081666</v>
      </c>
      <c r="N910">
        <v>0.39886467890828603</v>
      </c>
      <c r="O910">
        <v>0.13902855052648491</v>
      </c>
      <c r="P910">
        <v>16.380565124483571</v>
      </c>
      <c r="Q910">
        <v>13.038339117578358</v>
      </c>
      <c r="R910">
        <v>0.43181503186974146</v>
      </c>
      <c r="S910">
        <v>0.15060555048435703</v>
      </c>
      <c r="T910">
        <v>16.379240300067544</v>
      </c>
      <c r="U910">
        <v>1556.9921957491333</v>
      </c>
      <c r="V910">
        <v>10.209578498100084</v>
      </c>
      <c r="W910">
        <v>1289.3411453908329</v>
      </c>
      <c r="X910">
        <v>7.2777173203715497</v>
      </c>
      <c r="Y910">
        <v>2901.618681907632</v>
      </c>
      <c r="Z910">
        <v>10.248272673889407</v>
      </c>
      <c r="AA910">
        <v>2728.7035040379769</v>
      </c>
      <c r="AB910">
        <v>7.3003118925525765</v>
      </c>
      <c r="AC910">
        <v>2245.0095339340755</v>
      </c>
      <c r="AD910">
        <v>10.230607917251064</v>
      </c>
      <c r="AE910">
        <v>2028.1051660624305</v>
      </c>
      <c r="AF910">
        <v>7.2900077650446189</v>
      </c>
      <c r="AG910">
        <v>2155.6715376715342</v>
      </c>
      <c r="AH910">
        <v>10.223600304870347</v>
      </c>
      <c r="AI910">
        <v>1918.800859443799</v>
      </c>
      <c r="AJ910">
        <v>7.2859151096112988</v>
      </c>
    </row>
    <row r="911" spans="4:36" x14ac:dyDescent="0.45">
      <c r="D911">
        <v>904</v>
      </c>
      <c r="E911">
        <v>12.07239724600254</v>
      </c>
      <c r="F911">
        <v>0.46689240290457928</v>
      </c>
      <c r="G911">
        <v>0.14808448002150912</v>
      </c>
      <c r="H911">
        <v>17.312625871071358</v>
      </c>
      <c r="I911">
        <v>12.279514381978656</v>
      </c>
      <c r="J911">
        <v>0.30144737049358056</v>
      </c>
      <c r="K911">
        <v>9.5322379558429843E-2</v>
      </c>
      <c r="L911">
        <v>17.323715867969344</v>
      </c>
      <c r="M911">
        <v>12.189076163626176</v>
      </c>
      <c r="N911">
        <v>0.37371420428502589</v>
      </c>
      <c r="O911">
        <v>0.11832935266840196</v>
      </c>
      <c r="P911">
        <v>17.318880279420416</v>
      </c>
      <c r="Q911">
        <v>12.136349276098413</v>
      </c>
      <c r="R911">
        <v>0.41582916244554874</v>
      </c>
      <c r="S911">
        <v>0.13176541952921353</v>
      </c>
      <c r="T911">
        <v>17.316056141926815</v>
      </c>
      <c r="U911">
        <v>1545.270814677292</v>
      </c>
      <c r="V911">
        <v>9.5891297999162397</v>
      </c>
      <c r="W911">
        <v>1288.0356778934538</v>
      </c>
      <c r="X911">
        <v>6.9318240400619091</v>
      </c>
      <c r="Y911">
        <v>2900.8100645230984</v>
      </c>
      <c r="Z911">
        <v>9.6221558431153724</v>
      </c>
      <c r="AA911">
        <v>2732.3530592595853</v>
      </c>
      <c r="AB911">
        <v>6.9515314746222172</v>
      </c>
      <c r="AC911">
        <v>2226.5482743606963</v>
      </c>
      <c r="AD911">
        <v>9.6077314538699827</v>
      </c>
      <c r="AE911">
        <v>2020.5906641900156</v>
      </c>
      <c r="AF911">
        <v>6.9429334400356719</v>
      </c>
      <c r="AG911">
        <v>2151.727022064003</v>
      </c>
      <c r="AH911">
        <v>9.5993242971126396</v>
      </c>
      <c r="AI911">
        <v>1921.4642079275552</v>
      </c>
      <c r="AJ911">
        <v>6.9379154707199184</v>
      </c>
    </row>
    <row r="912" spans="4:36" x14ac:dyDescent="0.45">
      <c r="D912">
        <v>905</v>
      </c>
      <c r="E912">
        <v>13.96395474583951</v>
      </c>
      <c r="F912">
        <v>0.5053948406490395</v>
      </c>
      <c r="G912">
        <v>0.17190402820927475</v>
      </c>
      <c r="H912">
        <v>15.358746385302178</v>
      </c>
      <c r="I912">
        <v>14.229772563418535</v>
      </c>
      <c r="J912">
        <v>0.3220638648534484</v>
      </c>
      <c r="K912">
        <v>0.10915091823914513</v>
      </c>
      <c r="L912">
        <v>15.339012653488878</v>
      </c>
      <c r="M912">
        <v>14.119036081433968</v>
      </c>
      <c r="N912">
        <v>0.39848896413168389</v>
      </c>
      <c r="O912">
        <v>0.13525476489336974</v>
      </c>
      <c r="P912">
        <v>15.347220189540977</v>
      </c>
      <c r="Q912">
        <v>14.053750441491781</v>
      </c>
      <c r="R912">
        <v>0.44351158587786954</v>
      </c>
      <c r="S912">
        <v>0.15067008939900439</v>
      </c>
      <c r="T912">
        <v>15.352067883231339</v>
      </c>
      <c r="U912">
        <v>1616.1777899584015</v>
      </c>
      <c r="V912">
        <v>11.087541596825121</v>
      </c>
      <c r="W912">
        <v>1327.1031493817147</v>
      </c>
      <c r="X912">
        <v>7.7941201034392744</v>
      </c>
      <c r="Y912">
        <v>2943.0170494432605</v>
      </c>
      <c r="Z912">
        <v>11.147374338040761</v>
      </c>
      <c r="AA912">
        <v>2755.0591256033485</v>
      </c>
      <c r="AB912">
        <v>7.8273958221311499</v>
      </c>
      <c r="AC912">
        <v>2272.3628375694966</v>
      </c>
      <c r="AD912">
        <v>11.12245615649703</v>
      </c>
      <c r="AE912">
        <v>2044.4564307817843</v>
      </c>
      <c r="AF912">
        <v>7.8135506804181025</v>
      </c>
      <c r="AG912">
        <v>2173.9694334803708</v>
      </c>
      <c r="AH912">
        <v>11.10776048405608</v>
      </c>
      <c r="AI912">
        <v>1927.6387249299949</v>
      </c>
      <c r="AJ912">
        <v>7.8053767454126364</v>
      </c>
    </row>
    <row r="913" spans="4:36" x14ac:dyDescent="0.45">
      <c r="D913">
        <v>906</v>
      </c>
      <c r="E913">
        <v>13.613538735462999</v>
      </c>
      <c r="F913">
        <v>0.51541221619779809</v>
      </c>
      <c r="G913">
        <v>0.15564925591914053</v>
      </c>
      <c r="H913">
        <v>15.715399792420053</v>
      </c>
      <c r="I913">
        <v>13.8622675313255</v>
      </c>
      <c r="J913">
        <v>0.33428112590218234</v>
      </c>
      <c r="K913">
        <v>0.10061660269100012</v>
      </c>
      <c r="L913">
        <v>15.702834740081311</v>
      </c>
      <c r="M913">
        <v>13.742051185490382</v>
      </c>
      <c r="N913">
        <v>0.42186885380929506</v>
      </c>
      <c r="O913">
        <v>0.12718205956625153</v>
      </c>
      <c r="P913">
        <v>15.708897901134053</v>
      </c>
      <c r="Q913">
        <v>13.67854385829078</v>
      </c>
      <c r="R913">
        <v>0.46810695564838134</v>
      </c>
      <c r="S913">
        <v>0.14124087007371888</v>
      </c>
      <c r="T913">
        <v>15.712108315987118</v>
      </c>
      <c r="U913">
        <v>1583.5650621593857</v>
      </c>
      <c r="V913">
        <v>10.771327115113976</v>
      </c>
      <c r="W913">
        <v>1306.4611391742721</v>
      </c>
      <c r="X913">
        <v>7.6106411618612322</v>
      </c>
      <c r="Y913">
        <v>2936.0889129136513</v>
      </c>
      <c r="Z913">
        <v>10.829593528311699</v>
      </c>
      <c r="AA913">
        <v>2751.4164229432135</v>
      </c>
      <c r="AB913">
        <v>7.6433981882446931</v>
      </c>
      <c r="AC913">
        <v>2272.8006636098776</v>
      </c>
      <c r="AD913">
        <v>10.801437252168283</v>
      </c>
      <c r="AE913">
        <v>2045.7467263745252</v>
      </c>
      <c r="AF913">
        <v>7.6275820764713753</v>
      </c>
      <c r="AG913">
        <v>2160.7689239363003</v>
      </c>
      <c r="AH913">
        <v>10.786559053240417</v>
      </c>
      <c r="AI913">
        <v>1919.3631098336546</v>
      </c>
      <c r="AJ913">
        <v>7.6192146805932275</v>
      </c>
    </row>
    <row r="914" spans="4:36" x14ac:dyDescent="0.45">
      <c r="D914">
        <v>907</v>
      </c>
      <c r="E914">
        <v>12.892410230882463</v>
      </c>
      <c r="F914">
        <v>0.44786374203232276</v>
      </c>
      <c r="G914">
        <v>0.17349894431013996</v>
      </c>
      <c r="H914">
        <v>16.486227082775063</v>
      </c>
      <c r="I914">
        <v>13.14491180711277</v>
      </c>
      <c r="J914">
        <v>0.27684118853961742</v>
      </c>
      <c r="K914">
        <v>0.10685390018388581</v>
      </c>
      <c r="L914">
        <v>16.471393104163713</v>
      </c>
      <c r="M914">
        <v>13.051315704438675</v>
      </c>
      <c r="N914">
        <v>0.34028336120256952</v>
      </c>
      <c r="O914">
        <v>0.13151861425231426</v>
      </c>
      <c r="P914">
        <v>16.476882320106448</v>
      </c>
      <c r="Q914">
        <v>13.012335838231213</v>
      </c>
      <c r="R914">
        <v>0.36668832966513365</v>
      </c>
      <c r="S914">
        <v>0.14180418122443239</v>
      </c>
      <c r="T914">
        <v>16.479171650879227</v>
      </c>
      <c r="U914">
        <v>1588.4459845012325</v>
      </c>
      <c r="V914">
        <v>10.27864877400367</v>
      </c>
      <c r="W914">
        <v>1315.4136963170429</v>
      </c>
      <c r="X914">
        <v>7.3401983245238105</v>
      </c>
      <c r="Y914">
        <v>2897.3298139169701</v>
      </c>
      <c r="Z914">
        <v>10.334499668083291</v>
      </c>
      <c r="AA914">
        <v>2728.376310271412</v>
      </c>
      <c r="AB914">
        <v>7.3717757229363281</v>
      </c>
      <c r="AC914">
        <v>2219.7219818962981</v>
      </c>
      <c r="AD914">
        <v>10.313803259487845</v>
      </c>
      <c r="AE914">
        <v>2014.1798439438392</v>
      </c>
      <c r="AF914">
        <v>7.3600871389463016</v>
      </c>
      <c r="AG914">
        <v>2113.5033634421716</v>
      </c>
      <c r="AH914">
        <v>10.305181724822338</v>
      </c>
      <c r="AI914">
        <v>1893.2312561177325</v>
      </c>
      <c r="AJ914">
        <v>7.3552135467261222</v>
      </c>
    </row>
    <row r="915" spans="4:36" x14ac:dyDescent="0.45">
      <c r="D915">
        <v>908</v>
      </c>
      <c r="E915">
        <v>12.281296644963232</v>
      </c>
      <c r="F915">
        <v>0.47007014424576266</v>
      </c>
      <c r="G915">
        <v>0.16383251026978163</v>
      </c>
      <c r="H915">
        <v>17.084800700521239</v>
      </c>
      <c r="I915">
        <v>12.483960618284121</v>
      </c>
      <c r="J915">
        <v>0.31303238096140618</v>
      </c>
      <c r="K915">
        <v>0.10876503380397161</v>
      </c>
      <c r="L915">
        <v>17.094241966950488</v>
      </c>
      <c r="M915">
        <v>12.417022641798088</v>
      </c>
      <c r="N915">
        <v>0.36492368038644957</v>
      </c>
      <c r="O915">
        <v>0.12692342884183697</v>
      </c>
      <c r="P915">
        <v>17.091130248973624</v>
      </c>
      <c r="Q915">
        <v>12.376776375389891</v>
      </c>
      <c r="R915">
        <v>0.39611218711918622</v>
      </c>
      <c r="S915">
        <v>0.13785524114823766</v>
      </c>
      <c r="T915">
        <v>17.089256196342674</v>
      </c>
      <c r="U915">
        <v>1523.1916321314302</v>
      </c>
      <c r="V915">
        <v>9.7696139455226305</v>
      </c>
      <c r="W915">
        <v>1273.5047851231056</v>
      </c>
      <c r="X915">
        <v>7.0380024320406349</v>
      </c>
      <c r="Y915">
        <v>2902.5677613126586</v>
      </c>
      <c r="Z915">
        <v>9.8038900728518517</v>
      </c>
      <c r="AA915">
        <v>2733.8110246963902</v>
      </c>
      <c r="AB915">
        <v>7.0584651949861286</v>
      </c>
      <c r="AC915">
        <v>2211.3969865602317</v>
      </c>
      <c r="AD915">
        <v>9.792565027674982</v>
      </c>
      <c r="AE915">
        <v>2011.6584736303346</v>
      </c>
      <c r="AF915">
        <v>7.0517127113350027</v>
      </c>
      <c r="AG915">
        <v>2121.1456851572175</v>
      </c>
      <c r="AH915">
        <v>9.7857577529591175</v>
      </c>
      <c r="AI915">
        <v>1902.3083053380519</v>
      </c>
      <c r="AJ915">
        <v>7.0476498830598997</v>
      </c>
    </row>
    <row r="916" spans="4:36" x14ac:dyDescent="0.45">
      <c r="D916">
        <v>909</v>
      </c>
      <c r="E916">
        <v>12.906586232679503</v>
      </c>
      <c r="F916">
        <v>0.45099057759093369</v>
      </c>
      <c r="G916">
        <v>0.18005376024757036</v>
      </c>
      <c r="H916">
        <v>16.462369429481988</v>
      </c>
      <c r="I916">
        <v>13.180429454169571</v>
      </c>
      <c r="J916">
        <v>0.2687673610593258</v>
      </c>
      <c r="K916">
        <v>0.10687307124876953</v>
      </c>
      <c r="L916">
        <v>16.443930113522338</v>
      </c>
      <c r="M916">
        <v>13.06375032138412</v>
      </c>
      <c r="N916">
        <v>0.34647005091751143</v>
      </c>
      <c r="O916">
        <v>0.13800548958658498</v>
      </c>
      <c r="P916">
        <v>16.45177413811178</v>
      </c>
      <c r="Q916">
        <v>13.004439873327694</v>
      </c>
      <c r="R916">
        <v>0.38593334518091338</v>
      </c>
      <c r="S916">
        <v>0.15385821395165108</v>
      </c>
      <c r="T916">
        <v>16.455768567539742</v>
      </c>
      <c r="U916">
        <v>1577.3534951103486</v>
      </c>
      <c r="V916">
        <v>10.220813187732597</v>
      </c>
      <c r="W916">
        <v>1309.5128601515942</v>
      </c>
      <c r="X916">
        <v>7.2966133966181932</v>
      </c>
      <c r="Y916">
        <v>2876.7804365780871</v>
      </c>
      <c r="Z916">
        <v>10.282787787607241</v>
      </c>
      <c r="AA916">
        <v>2715.6503822812228</v>
      </c>
      <c r="AB916">
        <v>7.3317284154143492</v>
      </c>
      <c r="AC916">
        <v>2214.8962318582417</v>
      </c>
      <c r="AD916">
        <v>10.256388355941231</v>
      </c>
      <c r="AE916">
        <v>2011.9856693362321</v>
      </c>
      <c r="AF916">
        <v>7.3167868977144224</v>
      </c>
      <c r="AG916">
        <v>2133.8195758975821</v>
      </c>
      <c r="AH916">
        <v>10.242965166115585</v>
      </c>
      <c r="AI916">
        <v>1908.2721626000712</v>
      </c>
      <c r="AJ916">
        <v>7.3091803116306346</v>
      </c>
    </row>
    <row r="917" spans="4:36" x14ac:dyDescent="0.45">
      <c r="D917">
        <v>910</v>
      </c>
      <c r="E917">
        <v>12.140867889718917</v>
      </c>
      <c r="F917">
        <v>0.42323818134574082</v>
      </c>
      <c r="G917">
        <v>0.1614448043117008</v>
      </c>
      <c r="H917">
        <v>17.274449124623654</v>
      </c>
      <c r="I917">
        <v>12.321278242372617</v>
      </c>
      <c r="J917">
        <v>0.29087996254952408</v>
      </c>
      <c r="K917">
        <v>0.11065674972978456</v>
      </c>
      <c r="L917">
        <v>17.277185045348073</v>
      </c>
      <c r="M917">
        <v>12.244714688344809</v>
      </c>
      <c r="N917">
        <v>0.3470742468214178</v>
      </c>
      <c r="O917">
        <v>0.13218539612329633</v>
      </c>
      <c r="P917">
        <v>17.276025668710474</v>
      </c>
      <c r="Q917">
        <v>12.222423044484497</v>
      </c>
      <c r="R917">
        <v>0.36342887794339618</v>
      </c>
      <c r="S917">
        <v>0.13846043587079945</v>
      </c>
      <c r="T917">
        <v>17.275687641701314</v>
      </c>
      <c r="U917">
        <v>1490.0648699486642</v>
      </c>
      <c r="V917">
        <v>9.599802732142642</v>
      </c>
      <c r="W917">
        <v>1253.8499871412482</v>
      </c>
      <c r="X917">
        <v>6.9346932308786284</v>
      </c>
      <c r="Y917">
        <v>2891.8568730649909</v>
      </c>
      <c r="Z917">
        <v>9.6311347555262756</v>
      </c>
      <c r="AA917">
        <v>2728.313180041685</v>
      </c>
      <c r="AB917">
        <v>6.9531198326449513</v>
      </c>
      <c r="AC917">
        <v>2217.0159469803457</v>
      </c>
      <c r="AD917">
        <v>9.6178369044536893</v>
      </c>
      <c r="AE917">
        <v>2017.7991287409761</v>
      </c>
      <c r="AF917">
        <v>6.94530632939657</v>
      </c>
      <c r="AG917">
        <v>2117.4285110358655</v>
      </c>
      <c r="AH917">
        <v>9.6139654804159047</v>
      </c>
      <c r="AI917">
        <v>1902.8886051441484</v>
      </c>
      <c r="AJ917">
        <v>6.9430296219230332</v>
      </c>
    </row>
    <row r="918" spans="4:36" x14ac:dyDescent="0.45">
      <c r="D918">
        <v>911</v>
      </c>
      <c r="E918">
        <v>12.619795948141832</v>
      </c>
      <c r="F918">
        <v>0.41623892661559875</v>
      </c>
      <c r="G918">
        <v>0.18935824650756955</v>
      </c>
      <c r="H918">
        <v>16.77460687873501</v>
      </c>
      <c r="I918">
        <v>12.820976655216624</v>
      </c>
      <c r="J918">
        <v>0.27508250698507064</v>
      </c>
      <c r="K918">
        <v>0.12475016636583731</v>
      </c>
      <c r="L918">
        <v>16.779190671432463</v>
      </c>
      <c r="M918">
        <v>12.718169824197044</v>
      </c>
      <c r="N918">
        <v>0.34724744876521935</v>
      </c>
      <c r="O918">
        <v>0.15772903917744616</v>
      </c>
      <c r="P918">
        <v>16.776853687860289</v>
      </c>
      <c r="Q918">
        <v>12.69508707784466</v>
      </c>
      <c r="R918">
        <v>0.36344126775801233</v>
      </c>
      <c r="S918">
        <v>0.16514422899388068</v>
      </c>
      <c r="T918">
        <v>16.776327425403434</v>
      </c>
      <c r="U918">
        <v>1570.9405887043006</v>
      </c>
      <c r="V918">
        <v>9.8688448283513495</v>
      </c>
      <c r="W918">
        <v>1302.0762189011566</v>
      </c>
      <c r="X918">
        <v>7.0745712473923499</v>
      </c>
      <c r="Y918">
        <v>2919.9514503334326</v>
      </c>
      <c r="Z918">
        <v>9.901586240245452</v>
      </c>
      <c r="AA918">
        <v>2742.6474204729925</v>
      </c>
      <c r="AB918">
        <v>7.0937919447018709</v>
      </c>
      <c r="AC918">
        <v>2257.8168544981049</v>
      </c>
      <c r="AD918">
        <v>9.8848523268503659</v>
      </c>
      <c r="AE918">
        <v>2038.2653793699662</v>
      </c>
      <c r="AF918">
        <v>7.0839766381997737</v>
      </c>
      <c r="AG918">
        <v>2160.8194324564124</v>
      </c>
      <c r="AH918">
        <v>9.8810958491498706</v>
      </c>
      <c r="AI918">
        <v>1924.6989571701986</v>
      </c>
      <c r="AJ918">
        <v>7.0817709044683896</v>
      </c>
    </row>
    <row r="919" spans="4:36" x14ac:dyDescent="0.45">
      <c r="D919">
        <v>912</v>
      </c>
      <c r="E919">
        <v>11.144066062936773</v>
      </c>
      <c r="F919">
        <v>0.43026079304243192</v>
      </c>
      <c r="G919">
        <v>0.1523737623880676</v>
      </c>
      <c r="H919">
        <v>18.273299381632729</v>
      </c>
      <c r="I919">
        <v>11.32849657367696</v>
      </c>
      <c r="J919">
        <v>0.27700584590051086</v>
      </c>
      <c r="K919">
        <v>9.7836833587203756E-2</v>
      </c>
      <c r="L919">
        <v>18.296660746835336</v>
      </c>
      <c r="M919">
        <v>11.260823003564063</v>
      </c>
      <c r="N919">
        <v>0.33325684730107868</v>
      </c>
      <c r="O919">
        <v>0.11781980468217346</v>
      </c>
      <c r="P919">
        <v>18.288100344452669</v>
      </c>
      <c r="Q919">
        <v>11.221919381092233</v>
      </c>
      <c r="R919">
        <v>0.36558518883048563</v>
      </c>
      <c r="S919">
        <v>0.12932231139616668</v>
      </c>
      <c r="T919">
        <v>18.283173118681116</v>
      </c>
      <c r="U919">
        <v>1491.9098661306364</v>
      </c>
      <c r="V919">
        <v>8.8209076051049724</v>
      </c>
      <c r="W919">
        <v>1263.7771168108791</v>
      </c>
      <c r="X919">
        <v>6.4746945836236147</v>
      </c>
      <c r="Y919">
        <v>2849.4807823777032</v>
      </c>
      <c r="Z919">
        <v>8.8429232690420925</v>
      </c>
      <c r="AA919">
        <v>2704.424825254137</v>
      </c>
      <c r="AB919">
        <v>6.4887280714529894</v>
      </c>
      <c r="AC919">
        <v>2156.4326144785991</v>
      </c>
      <c r="AD919">
        <v>8.8348382303303286</v>
      </c>
      <c r="AE919">
        <v>1981.8193322233885</v>
      </c>
      <c r="AF919">
        <v>6.4835820810732629</v>
      </c>
      <c r="AG919">
        <v>2053.6593883092369</v>
      </c>
      <c r="AH919">
        <v>8.830193914027948</v>
      </c>
      <c r="AI919">
        <v>1863.926343119593</v>
      </c>
      <c r="AJ919">
        <v>6.4806220448710699</v>
      </c>
    </row>
    <row r="920" spans="4:36" x14ac:dyDescent="0.45">
      <c r="D920">
        <v>913</v>
      </c>
      <c r="E920">
        <v>12.673013522784238</v>
      </c>
      <c r="F920">
        <v>0.46367759408196502</v>
      </c>
      <c r="G920">
        <v>0.16636249939603795</v>
      </c>
      <c r="H920">
        <v>16.696946383737767</v>
      </c>
      <c r="I920">
        <v>12.882572024253315</v>
      </c>
      <c r="J920">
        <v>0.30780700304318875</v>
      </c>
      <c r="K920">
        <v>0.11009221406971857</v>
      </c>
      <c r="L920">
        <v>16.699528758633765</v>
      </c>
      <c r="M920">
        <v>12.803148498867516</v>
      </c>
      <c r="N920">
        <v>0.36691130913952469</v>
      </c>
      <c r="O920">
        <v>0.13138715457190484</v>
      </c>
      <c r="P920">
        <v>16.69855303742106</v>
      </c>
      <c r="Q920">
        <v>12.779135403491257</v>
      </c>
      <c r="R920">
        <v>0.38477416927086805</v>
      </c>
      <c r="S920">
        <v>0.1378331113723659</v>
      </c>
      <c r="T920">
        <v>16.698257315865515</v>
      </c>
      <c r="U920">
        <v>1561.411978921022</v>
      </c>
      <c r="V920">
        <v>10.078089324667191</v>
      </c>
      <c r="W920">
        <v>1298.4320676182474</v>
      </c>
      <c r="X920">
        <v>7.2178124936219099</v>
      </c>
      <c r="Y920">
        <v>2878.6175306987684</v>
      </c>
      <c r="Z920">
        <v>10.115694841873518</v>
      </c>
      <c r="AA920">
        <v>2714.8821016631068</v>
      </c>
      <c r="AB920">
        <v>7.2397113811515164</v>
      </c>
      <c r="AC920">
        <v>2226.8433991379293</v>
      </c>
      <c r="AD920">
        <v>10.101440911979568</v>
      </c>
      <c r="AE920">
        <v>2020.1219328273494</v>
      </c>
      <c r="AF920">
        <v>7.2314196558598312</v>
      </c>
      <c r="AG920">
        <v>2145.0689009785219</v>
      </c>
      <c r="AH920">
        <v>10.097131652697376</v>
      </c>
      <c r="AI920">
        <v>1917.6332778274914</v>
      </c>
      <c r="AJ920">
        <v>7.2289107929115701</v>
      </c>
    </row>
    <row r="921" spans="4:36" x14ac:dyDescent="0.45">
      <c r="D921">
        <v>914</v>
      </c>
      <c r="E921">
        <v>11.619152094428687</v>
      </c>
      <c r="F921">
        <v>0.41109794004380429</v>
      </c>
      <c r="G921">
        <v>0.14732940036030698</v>
      </c>
      <c r="H921">
        <v>17.822420565167214</v>
      </c>
      <c r="I921">
        <v>11.814639307535469</v>
      </c>
      <c r="J921">
        <v>0.26329511638966846</v>
      </c>
      <c r="K921">
        <v>9.4073740516039395E-2</v>
      </c>
      <c r="L921">
        <v>17.827991835558819</v>
      </c>
      <c r="M921">
        <v>11.723731101961738</v>
      </c>
      <c r="N921">
        <v>0.3320551856833146</v>
      </c>
      <c r="O921">
        <v>0.11880831542375932</v>
      </c>
      <c r="P921">
        <v>17.825405396931171</v>
      </c>
      <c r="Q921">
        <v>11.711540645721561</v>
      </c>
      <c r="R921">
        <v>0.34127213727710692</v>
      </c>
      <c r="S921">
        <v>0.12212923022699929</v>
      </c>
      <c r="T921">
        <v>17.825057986774326</v>
      </c>
      <c r="U921">
        <v>1454.4510255081716</v>
      </c>
      <c r="V921">
        <v>9.161904264374833</v>
      </c>
      <c r="W921">
        <v>1231.3218834976874</v>
      </c>
      <c r="X921">
        <v>6.6750131778068518</v>
      </c>
      <c r="Y921">
        <v>2869.7371855973602</v>
      </c>
      <c r="Z921">
        <v>9.1933560424186123</v>
      </c>
      <c r="AA921">
        <v>2716.2327729146164</v>
      </c>
      <c r="AB921">
        <v>6.6938257589373107</v>
      </c>
      <c r="AC921">
        <v>2210.2498732769441</v>
      </c>
      <c r="AD921">
        <v>9.1787274338192528</v>
      </c>
      <c r="AE921">
        <v>2016.3364204557199</v>
      </c>
      <c r="AF921">
        <v>6.6850846417535861</v>
      </c>
      <c r="AG921">
        <v>2067.9389991227517</v>
      </c>
      <c r="AH921">
        <v>9.1767661152887143</v>
      </c>
      <c r="AI921">
        <v>1870.9443140921696</v>
      </c>
      <c r="AJ921">
        <v>6.683911519912022</v>
      </c>
    </row>
    <row r="922" spans="4:36" x14ac:dyDescent="0.45">
      <c r="D922">
        <v>915</v>
      </c>
      <c r="E922">
        <v>12.275111026379735</v>
      </c>
      <c r="F922">
        <v>0.42824811986449618</v>
      </c>
      <c r="G922">
        <v>0.15841123185637368</v>
      </c>
      <c r="H922">
        <v>17.138229621899409</v>
      </c>
      <c r="I922">
        <v>12.479456968553654</v>
      </c>
      <c r="J922">
        <v>0.27579673053711884</v>
      </c>
      <c r="K922">
        <v>0.10170173605934189</v>
      </c>
      <c r="L922">
        <v>17.143044564849898</v>
      </c>
      <c r="M922">
        <v>12.414039791275355</v>
      </c>
      <c r="N922">
        <v>0.32462645529793688</v>
      </c>
      <c r="O922">
        <v>0.11982673676286347</v>
      </c>
      <c r="P922">
        <v>17.14150701666383</v>
      </c>
      <c r="Q922">
        <v>12.318574385076866</v>
      </c>
      <c r="R922">
        <v>0.39584218285408362</v>
      </c>
      <c r="S922">
        <v>0.14632671563982999</v>
      </c>
      <c r="T922">
        <v>17.139256716429223</v>
      </c>
      <c r="U922">
        <v>1525.3224797909704</v>
      </c>
      <c r="V922">
        <v>9.6318314553179327</v>
      </c>
      <c r="W922">
        <v>1274.8904203740653</v>
      </c>
      <c r="X922">
        <v>6.9427782875397552</v>
      </c>
      <c r="Y922">
        <v>2886.6585919274003</v>
      </c>
      <c r="Z922">
        <v>9.6665656280836778</v>
      </c>
      <c r="AA922">
        <v>2723.0421256836385</v>
      </c>
      <c r="AB922">
        <v>6.9633847016028314</v>
      </c>
      <c r="AC922">
        <v>2220.56703551184</v>
      </c>
      <c r="AD922">
        <v>9.6554432411081752</v>
      </c>
      <c r="AE922">
        <v>2018.8783507000339</v>
      </c>
      <c r="AF922">
        <v>6.9567945048302313</v>
      </c>
      <c r="AG922">
        <v>2130.0180221320261</v>
      </c>
      <c r="AH922">
        <v>9.6392169599917974</v>
      </c>
      <c r="AI922">
        <v>1905.6968702454765</v>
      </c>
      <c r="AJ922">
        <v>6.9471662125191704</v>
      </c>
    </row>
    <row r="923" spans="4:36" x14ac:dyDescent="0.45">
      <c r="D923">
        <v>916</v>
      </c>
      <c r="E923">
        <v>13.321854115756979</v>
      </c>
      <c r="F923">
        <v>0.43520616621934877</v>
      </c>
      <c r="G923">
        <v>0.17501127885299642</v>
      </c>
      <c r="H923">
        <v>16.067928439170668</v>
      </c>
      <c r="I923">
        <v>13.544435432248944</v>
      </c>
      <c r="J923">
        <v>0.28874270612163344</v>
      </c>
      <c r="K923">
        <v>0.11575430712006995</v>
      </c>
      <c r="L923">
        <v>16.05106755450937</v>
      </c>
      <c r="M923">
        <v>13.431755939213346</v>
      </c>
      <c r="N923">
        <v>0.36292937827419108</v>
      </c>
      <c r="O923">
        <v>0.14572254412900496</v>
      </c>
      <c r="P923">
        <v>16.059592138383451</v>
      </c>
      <c r="Q923">
        <v>13.375911372651885</v>
      </c>
      <c r="R923">
        <v>0.39966554950393796</v>
      </c>
      <c r="S923">
        <v>0.16059771743271362</v>
      </c>
      <c r="T923">
        <v>16.063825360411446</v>
      </c>
      <c r="U923">
        <v>1552.5331214978926</v>
      </c>
      <c r="V923">
        <v>10.448439912976715</v>
      </c>
      <c r="W923">
        <v>1289.2675355273029</v>
      </c>
      <c r="X923">
        <v>7.4174205196352831</v>
      </c>
      <c r="Y923">
        <v>2927.9346304638352</v>
      </c>
      <c r="Z923">
        <v>10.50221108665739</v>
      </c>
      <c r="AA923">
        <v>2748.4247894914856</v>
      </c>
      <c r="AB923">
        <v>7.4476663158210226</v>
      </c>
      <c r="AC923">
        <v>2249.9791577791461</v>
      </c>
      <c r="AD923">
        <v>10.474995391888694</v>
      </c>
      <c r="AE923">
        <v>2033.0639892076761</v>
      </c>
      <c r="AF923">
        <v>7.4323688402299668</v>
      </c>
      <c r="AG923">
        <v>2154.3817456915567</v>
      </c>
      <c r="AH923">
        <v>10.461503045723731</v>
      </c>
      <c r="AI923">
        <v>1918.8991064656975</v>
      </c>
      <c r="AJ923">
        <v>7.4247766031410043</v>
      </c>
    </row>
    <row r="924" spans="4:36" x14ac:dyDescent="0.45">
      <c r="D924">
        <v>917</v>
      </c>
      <c r="E924">
        <v>12.955776381185759</v>
      </c>
      <c r="F924">
        <v>0.46804219947132558</v>
      </c>
      <c r="G924">
        <v>0.16230329081094991</v>
      </c>
      <c r="H924">
        <v>16.413878128531969</v>
      </c>
      <c r="I924">
        <v>13.151899867498713</v>
      </c>
      <c r="J924">
        <v>0.32138200372830389</v>
      </c>
      <c r="K924">
        <v>0.11114528327024141</v>
      </c>
      <c r="L924">
        <v>16.415572845502751</v>
      </c>
      <c r="M924">
        <v>13.012849255149112</v>
      </c>
      <c r="N924">
        <v>0.42538491733849226</v>
      </c>
      <c r="O924">
        <v>0.14739460415258956</v>
      </c>
      <c r="P924">
        <v>16.414371223359815</v>
      </c>
      <c r="Q924">
        <v>13.003208320431042</v>
      </c>
      <c r="R924">
        <v>0.4325919712369532</v>
      </c>
      <c r="S924">
        <v>0.14991178465801369</v>
      </c>
      <c r="T924">
        <v>16.414287923673978</v>
      </c>
      <c r="U924">
        <v>1536.1192875099</v>
      </c>
      <c r="V924">
        <v>10.236985267893537</v>
      </c>
      <c r="W924">
        <v>1277.993255539106</v>
      </c>
      <c r="X924">
        <v>7.3020290025754253</v>
      </c>
      <c r="Y924">
        <v>2909.7095720241355</v>
      </c>
      <c r="Z924">
        <v>10.273909188484861</v>
      </c>
      <c r="AA924">
        <v>2734.9829763443568</v>
      </c>
      <c r="AB924">
        <v>7.3233226892160372</v>
      </c>
      <c r="AC924">
        <v>2251.9654253356703</v>
      </c>
      <c r="AD924">
        <v>10.24773033303123</v>
      </c>
      <c r="AE924">
        <v>2032.2828567063689</v>
      </c>
      <c r="AF924">
        <v>7.308232122978227</v>
      </c>
      <c r="AG924">
        <v>2137.1801204572744</v>
      </c>
      <c r="AH924">
        <v>10.245915243476707</v>
      </c>
      <c r="AI924">
        <v>1906.740571040845</v>
      </c>
      <c r="AJ924">
        <v>7.3071846521121984</v>
      </c>
    </row>
    <row r="925" spans="4:36" x14ac:dyDescent="0.45">
      <c r="D925">
        <v>918</v>
      </c>
      <c r="E925">
        <v>14.785170440558433</v>
      </c>
      <c r="F925">
        <v>0.53346763952525511</v>
      </c>
      <c r="G925">
        <v>0.15441854464078397</v>
      </c>
      <c r="H925">
        <v>14.526943375275538</v>
      </c>
      <c r="I925">
        <v>15.037361874890545</v>
      </c>
      <c r="J925">
        <v>0.36127892935363209</v>
      </c>
      <c r="K925">
        <v>0.10425363208239719</v>
      </c>
      <c r="L925">
        <v>14.497105563673435</v>
      </c>
      <c r="M925">
        <v>14.949773349746931</v>
      </c>
      <c r="N925">
        <v>0.42112405864968322</v>
      </c>
      <c r="O925">
        <v>0.1216529828698576</v>
      </c>
      <c r="P925">
        <v>14.507449608733539</v>
      </c>
      <c r="Q925">
        <v>14.860091909599483</v>
      </c>
      <c r="R925">
        <v>0.48235262081161345</v>
      </c>
      <c r="S925">
        <v>0.1394938420943064</v>
      </c>
      <c r="T925">
        <v>14.518061627494591</v>
      </c>
      <c r="U925">
        <v>1650.3846515618218</v>
      </c>
      <c r="V925">
        <v>11.726903845291153</v>
      </c>
      <c r="W925">
        <v>1345.9709474401304</v>
      </c>
      <c r="X925">
        <v>8.1564707119431397</v>
      </c>
      <c r="Y925">
        <v>2965.0915515398074</v>
      </c>
      <c r="Z925">
        <v>11.792006487298599</v>
      </c>
      <c r="AA925">
        <v>2765.8538702093506</v>
      </c>
      <c r="AB925">
        <v>8.191874244260168</v>
      </c>
      <c r="AC925">
        <v>2345.6691290911999</v>
      </c>
      <c r="AD925">
        <v>11.769406776518133</v>
      </c>
      <c r="AE925">
        <v>2091.6456877916021</v>
      </c>
      <c r="AF925">
        <v>8.179594663290473</v>
      </c>
      <c r="AG925">
        <v>2258.9430345848064</v>
      </c>
      <c r="AH925">
        <v>11.746254877267834</v>
      </c>
      <c r="AI925">
        <v>1981.9675527018303</v>
      </c>
      <c r="AJ925">
        <v>8.1670036230883412</v>
      </c>
    </row>
    <row r="926" spans="4:36" x14ac:dyDescent="0.45">
      <c r="D926">
        <v>919</v>
      </c>
      <c r="E926">
        <v>13.822432714611137</v>
      </c>
      <c r="F926">
        <v>0.47230608177629496</v>
      </c>
      <c r="G926">
        <v>0.20677005387167396</v>
      </c>
      <c r="H926">
        <v>15.498491149740875</v>
      </c>
      <c r="I926">
        <v>14.07337006673492</v>
      </c>
      <c r="J926">
        <v>0.30750328033353086</v>
      </c>
      <c r="K926">
        <v>0.13412556647608176</v>
      </c>
      <c r="L926">
        <v>15.485001086455467</v>
      </c>
      <c r="M926">
        <v>13.973227850707739</v>
      </c>
      <c r="N926">
        <v>0.37332053855566782</v>
      </c>
      <c r="O926">
        <v>0.16307227102530411</v>
      </c>
      <c r="P926">
        <v>15.490379339711286</v>
      </c>
      <c r="Q926">
        <v>13.925771296018473</v>
      </c>
      <c r="R926">
        <v>0.40448814348579015</v>
      </c>
      <c r="S926">
        <v>0.17681007803898843</v>
      </c>
      <c r="T926">
        <v>15.492930482456746</v>
      </c>
      <c r="U926">
        <v>1622.9186335106467</v>
      </c>
      <c r="V926">
        <v>10.853719084008999</v>
      </c>
      <c r="W926">
        <v>1332.8119754729407</v>
      </c>
      <c r="X926">
        <v>7.6433517151820265</v>
      </c>
      <c r="Y926">
        <v>2958.2223015864693</v>
      </c>
      <c r="Z926">
        <v>10.906275088351515</v>
      </c>
      <c r="AA926">
        <v>2765.9480741732509</v>
      </c>
      <c r="AB926">
        <v>7.6729035010152407</v>
      </c>
      <c r="AC926">
        <v>2245.9247302745916</v>
      </c>
      <c r="AD926">
        <v>10.885304530926231</v>
      </c>
      <c r="AE926">
        <v>2026.4168190626008</v>
      </c>
      <c r="AF926">
        <v>7.6611235157265813</v>
      </c>
      <c r="AG926">
        <v>2174.6876621544989</v>
      </c>
      <c r="AH926">
        <v>10.875365324712787</v>
      </c>
      <c r="AI926">
        <v>1929.6453310393974</v>
      </c>
      <c r="AJ926">
        <v>7.6555349267070527</v>
      </c>
    </row>
    <row r="927" spans="4:36" x14ac:dyDescent="0.45">
      <c r="D927">
        <v>920</v>
      </c>
      <c r="E927">
        <v>12.293408458727949</v>
      </c>
      <c r="F927">
        <v>0.43014972613883162</v>
      </c>
      <c r="G927">
        <v>0.15045594049910546</v>
      </c>
      <c r="H927">
        <v>17.125985874634104</v>
      </c>
      <c r="I927">
        <v>12.498577167775105</v>
      </c>
      <c r="J927">
        <v>0.27829084859741104</v>
      </c>
      <c r="K927">
        <v>9.7039724844947689E-2</v>
      </c>
      <c r="L927">
        <v>17.126092258782535</v>
      </c>
      <c r="M927">
        <v>12.398986854665253</v>
      </c>
      <c r="N927">
        <v>0.35203427698017298</v>
      </c>
      <c r="O927">
        <v>0.1229371920366813</v>
      </c>
      <c r="P927">
        <v>17.1260416763179</v>
      </c>
      <c r="Q927">
        <v>12.371200186422477</v>
      </c>
      <c r="R927">
        <v>0.37259931691299264</v>
      </c>
      <c r="S927">
        <v>0.13017328771427136</v>
      </c>
      <c r="T927">
        <v>17.126027208950262</v>
      </c>
      <c r="U927">
        <v>1532.659962007968</v>
      </c>
      <c r="V927">
        <v>9.7229299184157654</v>
      </c>
      <c r="W927">
        <v>1281.7997365285257</v>
      </c>
      <c r="X927">
        <v>7.0071811544727147</v>
      </c>
      <c r="Y927">
        <v>2901.5928938287157</v>
      </c>
      <c r="Z927">
        <v>9.7594660714701931</v>
      </c>
      <c r="AA927">
        <v>2734.7403417576575</v>
      </c>
      <c r="AB927">
        <v>7.0285534301371211</v>
      </c>
      <c r="AC927">
        <v>2216.8053097406791</v>
      </c>
      <c r="AD927">
        <v>9.7417302362110405</v>
      </c>
      <c r="AE927">
        <v>2015.2513427291772</v>
      </c>
      <c r="AF927">
        <v>7.0181878872173158</v>
      </c>
      <c r="AG927">
        <v>2139.733793439857</v>
      </c>
      <c r="AH927">
        <v>9.7367820782900125</v>
      </c>
      <c r="AI927">
        <v>1916.1906014827109</v>
      </c>
      <c r="AJ927">
        <v>7.0152928793600591</v>
      </c>
    </row>
    <row r="928" spans="4:36" x14ac:dyDescent="0.45">
      <c r="D928">
        <v>921</v>
      </c>
      <c r="E928">
        <v>14.389328010337708</v>
      </c>
      <c r="F928">
        <v>0.47872535411093092</v>
      </c>
      <c r="G928">
        <v>0.19300516661989178</v>
      </c>
      <c r="H928">
        <v>14.938941468931461</v>
      </c>
      <c r="I928">
        <v>14.682882947712864</v>
      </c>
      <c r="J928">
        <v>0.2994091908919928</v>
      </c>
      <c r="K928">
        <v>0.12023577396546878</v>
      </c>
      <c r="L928">
        <v>14.897472087429669</v>
      </c>
      <c r="M928">
        <v>14.5584661658279</v>
      </c>
      <c r="N928">
        <v>0.37548013803399283</v>
      </c>
      <c r="O928">
        <v>0.15103524252846934</v>
      </c>
      <c r="P928">
        <v>14.915018453609656</v>
      </c>
      <c r="Q928">
        <v>14.521769871848756</v>
      </c>
      <c r="R928">
        <v>0.39789692459970416</v>
      </c>
      <c r="S928">
        <v>0.16013125495251057</v>
      </c>
      <c r="T928">
        <v>14.920201948599031</v>
      </c>
      <c r="U928">
        <v>1619.3475927129698</v>
      </c>
      <c r="V928">
        <v>11.445137745311397</v>
      </c>
      <c r="W928">
        <v>1327.5383331676537</v>
      </c>
      <c r="X928">
        <v>8.0039559553644253</v>
      </c>
      <c r="Y928">
        <v>2951.8229769978411</v>
      </c>
      <c r="Z928">
        <v>11.527783924310228</v>
      </c>
      <c r="AA928">
        <v>2760.3918208983969</v>
      </c>
      <c r="AB928">
        <v>8.0491609122775962</v>
      </c>
      <c r="AC928">
        <v>2270.2286892437774</v>
      </c>
      <c r="AD928">
        <v>11.492773045931814</v>
      </c>
      <c r="AE928">
        <v>2041.6572176695749</v>
      </c>
      <c r="AF928">
        <v>8.0300286389538229</v>
      </c>
      <c r="AG928">
        <v>2197.6872553282051</v>
      </c>
      <c r="AH928">
        <v>11.482441988381202</v>
      </c>
      <c r="AI928">
        <v>1944.279128730712</v>
      </c>
      <c r="AJ928">
        <v>8.02437813796762</v>
      </c>
    </row>
    <row r="929" spans="4:36" x14ac:dyDescent="0.45">
      <c r="D929">
        <v>922</v>
      </c>
      <c r="E929">
        <v>13.801345751201721</v>
      </c>
      <c r="F929">
        <v>0.48375422991312234</v>
      </c>
      <c r="G929">
        <v>0.19556404581543485</v>
      </c>
      <c r="H929">
        <v>15.519335973069724</v>
      </c>
      <c r="I929">
        <v>14.05054892627385</v>
      </c>
      <c r="J929">
        <v>0.31874040578936952</v>
      </c>
      <c r="K929">
        <v>0.12840303386217367</v>
      </c>
      <c r="L929">
        <v>15.502307634074615</v>
      </c>
      <c r="M929">
        <v>13.955415943925994</v>
      </c>
      <c r="N929">
        <v>0.38178132757013228</v>
      </c>
      <c r="O929">
        <v>0.15400422985083062</v>
      </c>
      <c r="P929">
        <v>15.508798498653052</v>
      </c>
      <c r="Q929">
        <v>13.896230105459395</v>
      </c>
      <c r="R929">
        <v>0.42097221254150585</v>
      </c>
      <c r="S929">
        <v>0.16995495662961085</v>
      </c>
      <c r="T929">
        <v>15.5128427253695</v>
      </c>
      <c r="U929">
        <v>1621.2613863679785</v>
      </c>
      <c r="V929">
        <v>10.885755215278568</v>
      </c>
      <c r="W929">
        <v>1330.5244111489096</v>
      </c>
      <c r="X929">
        <v>7.6690952817969258</v>
      </c>
      <c r="Y929">
        <v>2938.3627009350653</v>
      </c>
      <c r="Z929">
        <v>10.940826976637892</v>
      </c>
      <c r="AA929">
        <v>2750.8924330756245</v>
      </c>
      <c r="AB929">
        <v>7.6998166541920208</v>
      </c>
      <c r="AC929">
        <v>2271.4339533577859</v>
      </c>
      <c r="AD929">
        <v>10.919809324048783</v>
      </c>
      <c r="AE929">
        <v>2043.623004171523</v>
      </c>
      <c r="AF929">
        <v>7.6881033339956506</v>
      </c>
      <c r="AG929">
        <v>2186.9786876122876</v>
      </c>
      <c r="AH929">
        <v>10.906729767917907</v>
      </c>
      <c r="AI929">
        <v>1936.907600113163</v>
      </c>
      <c r="AJ929">
        <v>7.6808070188245106</v>
      </c>
    </row>
    <row r="930" spans="4:36" x14ac:dyDescent="0.45">
      <c r="D930">
        <v>923</v>
      </c>
      <c r="E930">
        <v>11.447354615313788</v>
      </c>
      <c r="F930">
        <v>0.40718610371002273</v>
      </c>
      <c r="G930">
        <v>0.14340421297726122</v>
      </c>
      <c r="H930">
        <v>18.002055067998921</v>
      </c>
      <c r="I930">
        <v>11.604772629645423</v>
      </c>
      <c r="J930">
        <v>0.28449742511497028</v>
      </c>
      <c r="K930">
        <v>9.9960547645140049E-2</v>
      </c>
      <c r="L930">
        <v>18.010769397594487</v>
      </c>
      <c r="M930">
        <v>11.55170390371811</v>
      </c>
      <c r="N930">
        <v>0.32587269942054209</v>
      </c>
      <c r="O930">
        <v>0.11458834986472596</v>
      </c>
      <c r="P930">
        <v>18.007835046996625</v>
      </c>
      <c r="Q930">
        <v>11.510384146185276</v>
      </c>
      <c r="R930">
        <v>0.35807765345722353</v>
      </c>
      <c r="S930">
        <v>0.12599026808451372</v>
      </c>
      <c r="T930">
        <v>18.005547932272972</v>
      </c>
      <c r="U930">
        <v>1504.8529726565755</v>
      </c>
      <c r="V930">
        <v>9.033414655037781</v>
      </c>
      <c r="W930">
        <v>1268.2369343858204</v>
      </c>
      <c r="X930">
        <v>6.6009613781649206</v>
      </c>
      <c r="Y930">
        <v>2868.2855964368941</v>
      </c>
      <c r="Z930">
        <v>9.0577732125488257</v>
      </c>
      <c r="AA930">
        <v>2713.0516739183345</v>
      </c>
      <c r="AB930">
        <v>6.6157032685543369</v>
      </c>
      <c r="AC930">
        <v>2196.2535945517247</v>
      </c>
      <c r="AD930">
        <v>9.0495594846923968</v>
      </c>
      <c r="AE930">
        <v>2006.2954877687853</v>
      </c>
      <c r="AF930">
        <v>6.6107375605078795</v>
      </c>
      <c r="AG930">
        <v>2080.4941534317909</v>
      </c>
      <c r="AH930">
        <v>9.0431655955908088</v>
      </c>
      <c r="AI930">
        <v>1878.3773826245988</v>
      </c>
      <c r="AJ930">
        <v>6.6068683581181364</v>
      </c>
    </row>
    <row r="931" spans="4:36" x14ac:dyDescent="0.45">
      <c r="D931">
        <v>924</v>
      </c>
      <c r="E931">
        <v>11.893248849013064</v>
      </c>
      <c r="F931">
        <v>0.40274568034588482</v>
      </c>
      <c r="G931">
        <v>0.16627416124908845</v>
      </c>
      <c r="H931">
        <v>17.537731309391969</v>
      </c>
      <c r="I931">
        <v>12.105751079701403</v>
      </c>
      <c r="J931">
        <v>0.25112491282807031</v>
      </c>
      <c r="K931">
        <v>0.10332671469631893</v>
      </c>
      <c r="L931">
        <v>17.53979729277421</v>
      </c>
      <c r="M931">
        <v>11.989402853123442</v>
      </c>
      <c r="N931">
        <v>0.33417467126725647</v>
      </c>
      <c r="O931">
        <v>0.13775238951583352</v>
      </c>
      <c r="P931">
        <v>17.538670086093472</v>
      </c>
      <c r="Q931">
        <v>11.973115583859057</v>
      </c>
      <c r="R931">
        <v>0.34579382801496106</v>
      </c>
      <c r="S931">
        <v>0.14257905645108185</v>
      </c>
      <c r="T931">
        <v>17.538511531674903</v>
      </c>
      <c r="U931">
        <v>1489.4707058479964</v>
      </c>
      <c r="V931">
        <v>9.322109748169769</v>
      </c>
      <c r="W931">
        <v>1256.3501419013357</v>
      </c>
      <c r="X931">
        <v>6.7619044031540039</v>
      </c>
      <c r="Y931">
        <v>2839.7696509143166</v>
      </c>
      <c r="Z931">
        <v>9.3609439523267017</v>
      </c>
      <c r="AA931">
        <v>2694.4781864516485</v>
      </c>
      <c r="AB931">
        <v>6.784964099377599</v>
      </c>
      <c r="AC931">
        <v>2179.3515235488667</v>
      </c>
      <c r="AD931">
        <v>9.3396786943647658</v>
      </c>
      <c r="AE931">
        <v>1992.4753716051905</v>
      </c>
      <c r="AF931">
        <v>6.7723480889028673</v>
      </c>
      <c r="AG931">
        <v>2064.5016664310479</v>
      </c>
      <c r="AH931">
        <v>9.3367023940544325</v>
      </c>
      <c r="AI931">
        <v>1866.917585625707</v>
      </c>
      <c r="AJ931">
        <v>6.7705801758416122</v>
      </c>
    </row>
    <row r="932" spans="4:36" x14ac:dyDescent="0.45">
      <c r="D932">
        <v>925</v>
      </c>
      <c r="E932">
        <v>13.640063346363164</v>
      </c>
      <c r="F932">
        <v>0.4938269205469713</v>
      </c>
      <c r="G932">
        <v>0.18138087801944996</v>
      </c>
      <c r="H932">
        <v>15.6847288550704</v>
      </c>
      <c r="I932">
        <v>13.917387169708942</v>
      </c>
      <c r="J932">
        <v>0.30263508166722536</v>
      </c>
      <c r="K932">
        <v>0.11072294853145793</v>
      </c>
      <c r="L932">
        <v>15.669254800092368</v>
      </c>
      <c r="M932">
        <v>13.793544640345035</v>
      </c>
      <c r="N932">
        <v>0.38807233654137629</v>
      </c>
      <c r="O932">
        <v>0.14222824627922293</v>
      </c>
      <c r="P932">
        <v>15.676154776834387</v>
      </c>
      <c r="Q932">
        <v>13.740356365806432</v>
      </c>
      <c r="R932">
        <v>0.42473752385537628</v>
      </c>
      <c r="S932">
        <v>0.15578289292310427</v>
      </c>
      <c r="T932">
        <v>15.679123217415093</v>
      </c>
      <c r="U932">
        <v>1597.7632930870309</v>
      </c>
      <c r="V932">
        <v>10.696661012015641</v>
      </c>
      <c r="W932">
        <v>1314.6803974916118</v>
      </c>
      <c r="X932">
        <v>7.5518354860827728</v>
      </c>
      <c r="Y932">
        <v>2942.564238915827</v>
      </c>
      <c r="Z932">
        <v>10.752967636263961</v>
      </c>
      <c r="AA932">
        <v>2756.0880578419296</v>
      </c>
      <c r="AB932">
        <v>7.5833451710706763</v>
      </c>
      <c r="AC932">
        <v>2258.4713458471056</v>
      </c>
      <c r="AD932">
        <v>10.72782985805399</v>
      </c>
      <c r="AE932">
        <v>2035.2194960384281</v>
      </c>
      <c r="AF932">
        <v>7.5692915890271548</v>
      </c>
      <c r="AG932">
        <v>2167.4942671468521</v>
      </c>
      <c r="AH932">
        <v>10.717030313425411</v>
      </c>
      <c r="AI932">
        <v>1924.1684030393678</v>
      </c>
      <c r="AJ932">
        <v>7.5632471931437912</v>
      </c>
    </row>
    <row r="933" spans="4:36" x14ac:dyDescent="0.45">
      <c r="D933">
        <v>926</v>
      </c>
      <c r="E933">
        <v>11.936319440872582</v>
      </c>
      <c r="F933">
        <v>0.42783617551923386</v>
      </c>
      <c r="G933">
        <v>0.14967530724437178</v>
      </c>
      <c r="H933">
        <v>17.486169076363812</v>
      </c>
      <c r="I933">
        <v>12.130170677928829</v>
      </c>
      <c r="J933">
        <v>0.27797622446073816</v>
      </c>
      <c r="K933">
        <v>9.6955577933280496E-2</v>
      </c>
      <c r="L933">
        <v>17.494897519677163</v>
      </c>
      <c r="M933">
        <v>12.058103806795568</v>
      </c>
      <c r="N933">
        <v>0.33371166863737495</v>
      </c>
      <c r="O933">
        <v>0.11652540197959552</v>
      </c>
      <c r="P933">
        <v>17.49165912258746</v>
      </c>
      <c r="Q933">
        <v>12.032963304173657</v>
      </c>
      <c r="R933">
        <v>0.35314859419123956</v>
      </c>
      <c r="S933">
        <v>0.12336050120963327</v>
      </c>
      <c r="T933">
        <v>17.49052760042547</v>
      </c>
      <c r="U933">
        <v>1513.3896781190706</v>
      </c>
      <c r="V933">
        <v>9.3581238253110008</v>
      </c>
      <c r="W933">
        <v>1272.1325333558575</v>
      </c>
      <c r="X933">
        <v>6.7818297507559544</v>
      </c>
      <c r="Y933">
        <v>2855.4844084926567</v>
      </c>
      <c r="Z933">
        <v>9.3880480987106782</v>
      </c>
      <c r="AA933">
        <v>2704.0018248798469</v>
      </c>
      <c r="AB933">
        <v>6.7997246092682708</v>
      </c>
      <c r="AC933">
        <v>2168.2716409470745</v>
      </c>
      <c r="AD933">
        <v>9.3769203366048668</v>
      </c>
      <c r="AE933">
        <v>1984.7098742288049</v>
      </c>
      <c r="AF933">
        <v>6.7930778946760499</v>
      </c>
      <c r="AG933">
        <v>2052.6779272111016</v>
      </c>
      <c r="AH933">
        <v>9.3730392526719601</v>
      </c>
      <c r="AI933">
        <v>1857.9864784857734</v>
      </c>
      <c r="AJ933">
        <v>6.7907575428900495</v>
      </c>
    </row>
    <row r="934" spans="4:36" x14ac:dyDescent="0.45">
      <c r="D934">
        <v>927</v>
      </c>
      <c r="E934">
        <v>13.639183551185402</v>
      </c>
      <c r="F934">
        <v>0.48305877764629307</v>
      </c>
      <c r="G934">
        <v>0.1940175143958944</v>
      </c>
      <c r="H934">
        <v>15.683740156772421</v>
      </c>
      <c r="I934">
        <v>13.849237893774571</v>
      </c>
      <c r="J934">
        <v>0.3324436330206571</v>
      </c>
      <c r="K934">
        <v>0.1331248395697554</v>
      </c>
      <c r="L934">
        <v>15.685193633635027</v>
      </c>
      <c r="M934">
        <v>13.737535027108146</v>
      </c>
      <c r="N934">
        <v>0.41256931459726964</v>
      </c>
      <c r="O934">
        <v>0.16547299067030344</v>
      </c>
      <c r="P934">
        <v>15.68442266762427</v>
      </c>
      <c r="Q934">
        <v>13.699663634476153</v>
      </c>
      <c r="R934">
        <v>0.43971869986614665</v>
      </c>
      <c r="S934">
        <v>0.17645739448523343</v>
      </c>
      <c r="T934">
        <v>15.684160271172457</v>
      </c>
      <c r="U934">
        <v>1623.2041375685997</v>
      </c>
      <c r="V934">
        <v>10.768740475882995</v>
      </c>
      <c r="W934">
        <v>1329.2562129639552</v>
      </c>
      <c r="X934">
        <v>7.6027639155122486</v>
      </c>
      <c r="Y934">
        <v>2973.9585312757144</v>
      </c>
      <c r="Z934">
        <v>10.808851949922962</v>
      </c>
      <c r="AA934">
        <v>2773.2714074392088</v>
      </c>
      <c r="AB934">
        <v>7.625834206529591</v>
      </c>
      <c r="AC934">
        <v>2321.9954211669938</v>
      </c>
      <c r="AD934">
        <v>10.787519733124658</v>
      </c>
      <c r="AE934">
        <v>2074.9168096607705</v>
      </c>
      <c r="AF934">
        <v>7.6135737248236746</v>
      </c>
      <c r="AG934">
        <v>2193.3303443456639</v>
      </c>
      <c r="AH934">
        <v>10.780288201607965</v>
      </c>
      <c r="AI934">
        <v>1937.562952131731</v>
      </c>
      <c r="AJ934">
        <v>7.6094129290969752</v>
      </c>
    </row>
    <row r="935" spans="4:36" x14ac:dyDescent="0.45">
      <c r="D935">
        <v>928</v>
      </c>
      <c r="E935">
        <v>12.736440054629139</v>
      </c>
      <c r="F935">
        <v>0.47116639281308198</v>
      </c>
      <c r="G935">
        <v>0.17557729555045198</v>
      </c>
      <c r="H935">
        <v>16.616816257007329</v>
      </c>
      <c r="I935">
        <v>12.96578938427513</v>
      </c>
      <c r="J935">
        <v>0.29598472068961029</v>
      </c>
      <c r="K935">
        <v>0.10993507662440738</v>
      </c>
      <c r="L935">
        <v>16.62829081841085</v>
      </c>
      <c r="M935">
        <v>12.854458374593717</v>
      </c>
      <c r="N935">
        <v>0.3810557228031663</v>
      </c>
      <c r="O935">
        <v>0.14175733670068374</v>
      </c>
      <c r="P935">
        <v>16.622728565902442</v>
      </c>
      <c r="Q935">
        <v>12.811897904206022</v>
      </c>
      <c r="R935">
        <v>0.41356035589162771</v>
      </c>
      <c r="S935">
        <v>0.15394340284716246</v>
      </c>
      <c r="T935">
        <v>16.620598337055188</v>
      </c>
      <c r="U935">
        <v>1577.656326770956</v>
      </c>
      <c r="V935">
        <v>9.9765720848646371</v>
      </c>
      <c r="W935">
        <v>1307.6987281365862</v>
      </c>
      <c r="X935">
        <v>7.1361951617443138</v>
      </c>
      <c r="Y935">
        <v>2900.3922071997913</v>
      </c>
      <c r="Z935">
        <v>10.012297723096536</v>
      </c>
      <c r="AA935">
        <v>2730.2947298382437</v>
      </c>
      <c r="AB935">
        <v>7.1573371966912402</v>
      </c>
      <c r="AC935">
        <v>2233.4920119225908</v>
      </c>
      <c r="AD935">
        <v>9.9949510491308864</v>
      </c>
      <c r="AE935">
        <v>2022.3532935492015</v>
      </c>
      <c r="AF935">
        <v>7.147082161166348</v>
      </c>
      <c r="AG935">
        <v>2132.2333747076414</v>
      </c>
      <c r="AH935">
        <v>9.9883219633820683</v>
      </c>
      <c r="AI935">
        <v>1904.6071792427283</v>
      </c>
      <c r="AJ935">
        <v>7.1431579358386337</v>
      </c>
    </row>
    <row r="936" spans="4:36" x14ac:dyDescent="0.45">
      <c r="D936">
        <v>929</v>
      </c>
      <c r="E936">
        <v>13.581939794897584</v>
      </c>
      <c r="F936">
        <v>0.46649032647839095</v>
      </c>
      <c r="G936">
        <v>0.18005586294539763</v>
      </c>
      <c r="H936">
        <v>15.771514015678628</v>
      </c>
      <c r="I936">
        <v>13.844931591476064</v>
      </c>
      <c r="J936">
        <v>0.29320519644370335</v>
      </c>
      <c r="K936">
        <v>0.11276131955064972</v>
      </c>
      <c r="L936">
        <v>15.749101892529563</v>
      </c>
      <c r="M936">
        <v>13.709612507887142</v>
      </c>
      <c r="N936">
        <v>0.38242332692651698</v>
      </c>
      <c r="O936">
        <v>0.14734677612476718</v>
      </c>
      <c r="P936">
        <v>15.760617389061586</v>
      </c>
      <c r="Q936">
        <v>13.72281796284876</v>
      </c>
      <c r="R936">
        <v>0.37372199598232148</v>
      </c>
      <c r="S936">
        <v>0.14396794179835515</v>
      </c>
      <c r="T936">
        <v>15.759492099370553</v>
      </c>
      <c r="U936">
        <v>1606.102288917572</v>
      </c>
      <c r="V936">
        <v>10.68398869326778</v>
      </c>
      <c r="W936">
        <v>1322.9578277526953</v>
      </c>
      <c r="X936">
        <v>7.553985248102677</v>
      </c>
      <c r="Y936">
        <v>2938.7182356455455</v>
      </c>
      <c r="Z936">
        <v>10.747827452884996</v>
      </c>
      <c r="AA936">
        <v>2754.2747923569405</v>
      </c>
      <c r="AB936">
        <v>7.589612228032534</v>
      </c>
      <c r="AC936">
        <v>2244.3644007318076</v>
      </c>
      <c r="AD936">
        <v>10.714988953124823</v>
      </c>
      <c r="AE936">
        <v>2025.876500255406</v>
      </c>
      <c r="AF936">
        <v>7.5713004685221357</v>
      </c>
      <c r="AG936">
        <v>2145.9221036578588</v>
      </c>
      <c r="AH936">
        <v>10.718194409718706</v>
      </c>
      <c r="AI936">
        <v>1912.8450916602235</v>
      </c>
      <c r="AJ936">
        <v>7.5730892910126713</v>
      </c>
    </row>
    <row r="937" spans="4:36" x14ac:dyDescent="0.45">
      <c r="D937">
        <v>930</v>
      </c>
      <c r="E937">
        <v>12.431728098328909</v>
      </c>
      <c r="F937">
        <v>0.44675572483111048</v>
      </c>
      <c r="G937">
        <v>0.17456510224519967</v>
      </c>
      <c r="H937">
        <v>16.946951074594789</v>
      </c>
      <c r="I937">
        <v>12.680139948854103</v>
      </c>
      <c r="J937">
        <v>0.26917560997636925</v>
      </c>
      <c r="K937">
        <v>0.10480174143952013</v>
      </c>
      <c r="L937">
        <v>16.945882699730014</v>
      </c>
      <c r="M937">
        <v>12.577512772803827</v>
      </c>
      <c r="N937">
        <v>0.34258537947165479</v>
      </c>
      <c r="O937">
        <v>0.1335798000452473</v>
      </c>
      <c r="P937">
        <v>16.946322047679256</v>
      </c>
      <c r="Q937">
        <v>12.514766173136232</v>
      </c>
      <c r="R937">
        <v>0.38743687361804208</v>
      </c>
      <c r="S937">
        <v>0.15120488222026024</v>
      </c>
      <c r="T937">
        <v>16.94659207102546</v>
      </c>
      <c r="U937">
        <v>1573.7040314372744</v>
      </c>
      <c r="V937">
        <v>9.7960989219500494</v>
      </c>
      <c r="W937">
        <v>1309.5092497827993</v>
      </c>
      <c r="X937">
        <v>7.0427877314652187</v>
      </c>
      <c r="Y937">
        <v>2893.2743910338309</v>
      </c>
      <c r="Z937">
        <v>9.8424468306843487</v>
      </c>
      <c r="AA937">
        <v>2728.936565419488</v>
      </c>
      <c r="AB937">
        <v>7.0695599306531296</v>
      </c>
      <c r="AC937">
        <v>2206.9858305008106</v>
      </c>
      <c r="AD937">
        <v>9.8233006541683743</v>
      </c>
      <c r="AE937">
        <v>2008.307296339206</v>
      </c>
      <c r="AF937">
        <v>7.0585130413381449</v>
      </c>
      <c r="AG937">
        <v>2110.1696364616955</v>
      </c>
      <c r="AH937">
        <v>9.8115934552608426</v>
      </c>
      <c r="AI937">
        <v>1892.9689137991634</v>
      </c>
      <c r="AJ937">
        <v>7.0517495446552099</v>
      </c>
    </row>
    <row r="938" spans="4:36" x14ac:dyDescent="0.45">
      <c r="D938">
        <v>931</v>
      </c>
      <c r="E938">
        <v>13.233152591427757</v>
      </c>
      <c r="F938">
        <v>0.46869073947247558</v>
      </c>
      <c r="G938">
        <v>0.18611917813280393</v>
      </c>
      <c r="H938">
        <v>16.112037490966976</v>
      </c>
      <c r="I938">
        <v>13.475630491970499</v>
      </c>
      <c r="J938">
        <v>0.30107853389987516</v>
      </c>
      <c r="K938">
        <v>0.11914151062426975</v>
      </c>
      <c r="L938">
        <v>16.10414946350534</v>
      </c>
      <c r="M938">
        <v>13.38607407412505</v>
      </c>
      <c r="N938">
        <v>0.36302667226729463</v>
      </c>
      <c r="O938">
        <v>0.14384045267722886</v>
      </c>
      <c r="P938">
        <v>16.107058800930417</v>
      </c>
      <c r="Q938">
        <v>13.340529857865269</v>
      </c>
      <c r="R938">
        <v>0.39451158083043503</v>
      </c>
      <c r="S938">
        <v>0.15641840971351578</v>
      </c>
      <c r="T938">
        <v>16.108540151590791</v>
      </c>
      <c r="U938">
        <v>1571.1490049903459</v>
      </c>
      <c r="V938">
        <v>10.546458392618472</v>
      </c>
      <c r="W938">
        <v>1299.5894363012078</v>
      </c>
      <c r="X938">
        <v>7.4903493001028387</v>
      </c>
      <c r="Y938">
        <v>2927.7433461462106</v>
      </c>
      <c r="Z938">
        <v>10.595573074284935</v>
      </c>
      <c r="AA938">
        <v>2747.0698099019564</v>
      </c>
      <c r="AB938">
        <v>7.5182767910943546</v>
      </c>
      <c r="AC938">
        <v>2247.7262267940941</v>
      </c>
      <c r="AD938">
        <v>10.577435415738277</v>
      </c>
      <c r="AE938">
        <v>2031.0645859559061</v>
      </c>
      <c r="AF938">
        <v>7.5079744716181249</v>
      </c>
      <c r="AG938">
        <v>2135.2385004865046</v>
      </c>
      <c r="AH938">
        <v>10.56821042658961</v>
      </c>
      <c r="AI938">
        <v>1905.1714246998902</v>
      </c>
      <c r="AJ938">
        <v>7.502729657636924</v>
      </c>
    </row>
    <row r="939" spans="4:36" x14ac:dyDescent="0.45">
      <c r="D939">
        <v>932</v>
      </c>
      <c r="E939">
        <v>13.198384256665998</v>
      </c>
      <c r="F939">
        <v>0.47441950668026933</v>
      </c>
      <c r="G939">
        <v>0.17830579417286016</v>
      </c>
      <c r="H939">
        <v>16.148890442480877</v>
      </c>
      <c r="I939">
        <v>13.45529148212152</v>
      </c>
      <c r="J939">
        <v>0.29540089251971441</v>
      </c>
      <c r="K939">
        <v>0.11060588870665682</v>
      </c>
      <c r="L939">
        <v>16.138701736652102</v>
      </c>
      <c r="M939">
        <v>13.327152399201555</v>
      </c>
      <c r="N939">
        <v>0.38474169592722912</v>
      </c>
      <c r="O939">
        <v>0.14432732776446974</v>
      </c>
      <c r="P939">
        <v>16.143778577106751</v>
      </c>
      <c r="Q939">
        <v>13.312348640598142</v>
      </c>
      <c r="R939">
        <v>0.3950566624133991</v>
      </c>
      <c r="S939">
        <v>0.14822895444649317</v>
      </c>
      <c r="T939">
        <v>16.144365742541964</v>
      </c>
      <c r="U939">
        <v>1589.3892515957671</v>
      </c>
      <c r="V939">
        <v>10.479898608934638</v>
      </c>
      <c r="W939">
        <v>1316.1282372282574</v>
      </c>
      <c r="X939">
        <v>7.447212676081481</v>
      </c>
      <c r="Y939">
        <v>2895.5701547197514</v>
      </c>
      <c r="Z939">
        <v>10.532466860378131</v>
      </c>
      <c r="AA939">
        <v>2726.9885732599828</v>
      </c>
      <c r="AB939">
        <v>7.4769701593705289</v>
      </c>
      <c r="AC939">
        <v>2238.2482485353016</v>
      </c>
      <c r="AD939">
        <v>10.506251281445488</v>
      </c>
      <c r="AE939">
        <v>2025.7937615861456</v>
      </c>
      <c r="AF939">
        <v>7.4621434419479202</v>
      </c>
      <c r="AG939">
        <v>2151.0227444232501</v>
      </c>
      <c r="AH939">
        <v>10.503222091067844</v>
      </c>
      <c r="AI939">
        <v>1919.6544962675182</v>
      </c>
      <c r="AJ939">
        <v>7.4604285388428586</v>
      </c>
    </row>
    <row r="940" spans="4:36" x14ac:dyDescent="0.45">
      <c r="D940">
        <v>933</v>
      </c>
      <c r="E940">
        <v>12.970456045865134</v>
      </c>
      <c r="F940">
        <v>0.42473361815080535</v>
      </c>
      <c r="G940">
        <v>0.15696580195665821</v>
      </c>
      <c r="H940">
        <v>16.447844534027407</v>
      </c>
      <c r="I940">
        <v>13.177502358776129</v>
      </c>
      <c r="J940">
        <v>0.28451622207201888</v>
      </c>
      <c r="K940">
        <v>0.10483542689052554</v>
      </c>
      <c r="L940">
        <v>16.433145992261327</v>
      </c>
      <c r="M940">
        <v>13.097514708531619</v>
      </c>
      <c r="N940">
        <v>0.33871897387860528</v>
      </c>
      <c r="O940">
        <v>0.12494989389675518</v>
      </c>
      <c r="P940">
        <v>16.438816423693016</v>
      </c>
      <c r="Q940">
        <v>13.042241871067356</v>
      </c>
      <c r="R940">
        <v>0.37614983451952211</v>
      </c>
      <c r="S940">
        <v>0.13886762330534666</v>
      </c>
      <c r="T940">
        <v>16.442740671107774</v>
      </c>
      <c r="U940">
        <v>1534.0930376722592</v>
      </c>
      <c r="V940">
        <v>10.186362383031156</v>
      </c>
      <c r="W940">
        <v>1281.9646636228017</v>
      </c>
      <c r="X940">
        <v>7.2691064084788257</v>
      </c>
      <c r="Y940">
        <v>2887.9539141355053</v>
      </c>
      <c r="Z940">
        <v>10.232810006303048</v>
      </c>
      <c r="AA940">
        <v>2723.599234038717</v>
      </c>
      <c r="AB940">
        <v>7.2953276509766241</v>
      </c>
      <c r="AC940">
        <v>2220.2510913464394</v>
      </c>
      <c r="AD940">
        <v>10.214870459072973</v>
      </c>
      <c r="AE940">
        <v>2017.7233582803799</v>
      </c>
      <c r="AF940">
        <v>7.2852090036343755</v>
      </c>
      <c r="AG940">
        <v>2115.5348335782887</v>
      </c>
      <c r="AH940">
        <v>10.202470667342165</v>
      </c>
      <c r="AI940">
        <v>1897.3418203308399</v>
      </c>
      <c r="AJ940">
        <v>7.2782085329094164</v>
      </c>
    </row>
    <row r="941" spans="4:36" x14ac:dyDescent="0.45">
      <c r="D941">
        <v>934</v>
      </c>
      <c r="E941">
        <v>13.692019763462723</v>
      </c>
      <c r="F941">
        <v>0.47441400084996926</v>
      </c>
      <c r="G941">
        <v>0.14159249075632338</v>
      </c>
      <c r="H941">
        <v>15.691973744930987</v>
      </c>
      <c r="I941">
        <v>13.928848234338409</v>
      </c>
      <c r="J941">
        <v>0.3180233092380319</v>
      </c>
      <c r="K941">
        <v>9.4609314023405902E-2</v>
      </c>
      <c r="L941">
        <v>15.658519142400158</v>
      </c>
      <c r="M941">
        <v>13.846993297106902</v>
      </c>
      <c r="N941">
        <v>0.37211769960380825</v>
      </c>
      <c r="O941">
        <v>0.11082545424317806</v>
      </c>
      <c r="P941">
        <v>15.670063549046118</v>
      </c>
      <c r="Q941">
        <v>13.80431105402908</v>
      </c>
      <c r="R941">
        <v>0.40030737834907715</v>
      </c>
      <c r="S941">
        <v>0.11929061084514574</v>
      </c>
      <c r="T941">
        <v>15.676090956776692</v>
      </c>
      <c r="U941">
        <v>1590.292807627804</v>
      </c>
      <c r="V941">
        <v>10.806554283704189</v>
      </c>
      <c r="W941">
        <v>1313.7895119111438</v>
      </c>
      <c r="X941">
        <v>7.6320517680616033</v>
      </c>
      <c r="Y941">
        <v>2928.8799386894602</v>
      </c>
      <c r="Z941">
        <v>10.87011521485501</v>
      </c>
      <c r="AA941">
        <v>2747.2377983216247</v>
      </c>
      <c r="AB941">
        <v>7.667069981239087</v>
      </c>
      <c r="AC941">
        <v>2284.3410351255225</v>
      </c>
      <c r="AD941">
        <v>10.848157331728324</v>
      </c>
      <c r="AE941">
        <v>2057.0506800573285</v>
      </c>
      <c r="AF941">
        <v>7.6549835080438626</v>
      </c>
      <c r="AG941">
        <v>2172.6400259146235</v>
      </c>
      <c r="AH941">
        <v>10.836703216901723</v>
      </c>
      <c r="AI941">
        <v>1932.0995334289084</v>
      </c>
      <c r="AJ941">
        <v>7.6486741349070897</v>
      </c>
    </row>
    <row r="942" spans="4:36" x14ac:dyDescent="0.45">
      <c r="D942">
        <v>935</v>
      </c>
      <c r="E942">
        <v>11.23098607486761</v>
      </c>
      <c r="F942">
        <v>0.37628288692279649</v>
      </c>
      <c r="G942">
        <v>0.12813080274183572</v>
      </c>
      <c r="H942">
        <v>18.264600235467753</v>
      </c>
      <c r="I942">
        <v>11.385876241890019</v>
      </c>
      <c r="J942">
        <v>0.26024033271076152</v>
      </c>
      <c r="K942">
        <v>8.8398210406780114E-2</v>
      </c>
      <c r="L942">
        <v>18.265485214992431</v>
      </c>
      <c r="M942">
        <v>11.319797422595251</v>
      </c>
      <c r="N942">
        <v>0.30976324948898182</v>
      </c>
      <c r="O942">
        <v>0.10533044715663145</v>
      </c>
      <c r="P942">
        <v>18.265108880759136</v>
      </c>
      <c r="Q942">
        <v>11.288629144628729</v>
      </c>
      <c r="R942">
        <v>0.33311354078199723</v>
      </c>
      <c r="S942">
        <v>0.11332656919119549</v>
      </c>
      <c r="T942">
        <v>18.264930745398054</v>
      </c>
      <c r="U942">
        <v>1446.8632827006884</v>
      </c>
      <c r="V942">
        <v>8.8274775452887617</v>
      </c>
      <c r="W942">
        <v>1234.1369099005731</v>
      </c>
      <c r="X942">
        <v>6.476960859893933</v>
      </c>
      <c r="Y942">
        <v>2848.3928110293759</v>
      </c>
      <c r="Z942">
        <v>8.8527885622720657</v>
      </c>
      <c r="AA942">
        <v>2704.5706648048763</v>
      </c>
      <c r="AB942">
        <v>6.4920774707540927</v>
      </c>
      <c r="AC942">
        <v>2130.8874497410384</v>
      </c>
      <c r="AD942">
        <v>8.8419897564730743</v>
      </c>
      <c r="AE942">
        <v>1964.3923623078954</v>
      </c>
      <c r="AF942">
        <v>6.4856336740498817</v>
      </c>
      <c r="AG942">
        <v>2053.3772429959963</v>
      </c>
      <c r="AH942">
        <v>8.8368964944897233</v>
      </c>
      <c r="AI942">
        <v>1865.8013334216794</v>
      </c>
      <c r="AJ942">
        <v>6.4825915594065782</v>
      </c>
    </row>
    <row r="943" spans="4:36" x14ac:dyDescent="0.45">
      <c r="D943">
        <v>936</v>
      </c>
      <c r="E943">
        <v>12.492624239241872</v>
      </c>
      <c r="F943">
        <v>0.4726967053032991</v>
      </c>
      <c r="G943">
        <v>0.1941920944841812</v>
      </c>
      <c r="H943">
        <v>16.840486960970637</v>
      </c>
      <c r="I943">
        <v>12.694303114934579</v>
      </c>
      <c r="J943">
        <v>0.31586860320433852</v>
      </c>
      <c r="K943">
        <v>0.12938119513354984</v>
      </c>
      <c r="L943">
        <v>16.860447086727561</v>
      </c>
      <c r="M943">
        <v>12.614070128954927</v>
      </c>
      <c r="N943">
        <v>0.37828322213069066</v>
      </c>
      <c r="O943">
        <v>0.15512816165460211</v>
      </c>
      <c r="P943">
        <v>16.852518487259776</v>
      </c>
      <c r="Q943">
        <v>12.595874691405745</v>
      </c>
      <c r="R943">
        <v>0.39243329601541688</v>
      </c>
      <c r="S943">
        <v>0.16097379825371813</v>
      </c>
      <c r="T943">
        <v>16.850718214325124</v>
      </c>
      <c r="U943">
        <v>1533.3837382185786</v>
      </c>
      <c r="V943">
        <v>9.8988540913749983</v>
      </c>
      <c r="W943">
        <v>1274.8710998385943</v>
      </c>
      <c r="X943">
        <v>7.1030623630466305</v>
      </c>
      <c r="Y943">
        <v>2912.6214746131091</v>
      </c>
      <c r="Z943">
        <v>9.9231223482121766</v>
      </c>
      <c r="AA943">
        <v>2737.0045721850402</v>
      </c>
      <c r="AB943">
        <v>7.1179634592868686</v>
      </c>
      <c r="AC943">
        <v>2260.0419619285385</v>
      </c>
      <c r="AD943">
        <v>9.9134611044509757</v>
      </c>
      <c r="AE943">
        <v>2041.1547583477493</v>
      </c>
      <c r="AF943">
        <v>7.1120388224146991</v>
      </c>
      <c r="AG943">
        <v>2123.5484491672732</v>
      </c>
      <c r="AH943">
        <v>9.9112713325041533</v>
      </c>
      <c r="AI943">
        <v>1899.4392360686484</v>
      </c>
      <c r="AJ943">
        <v>7.1106945971190507</v>
      </c>
    </row>
    <row r="944" spans="4:36" x14ac:dyDescent="0.45">
      <c r="D944">
        <v>937</v>
      </c>
      <c r="E944">
        <v>11.989574527709891</v>
      </c>
      <c r="F944">
        <v>0.44727618126480673</v>
      </c>
      <c r="G944">
        <v>0.15597438421055315</v>
      </c>
      <c r="H944">
        <v>17.407174906814731</v>
      </c>
      <c r="I944">
        <v>12.193172824610928</v>
      </c>
      <c r="J944">
        <v>0.29225788756245352</v>
      </c>
      <c r="K944">
        <v>0.10159708657232144</v>
      </c>
      <c r="L944">
        <v>17.412972201254306</v>
      </c>
      <c r="M944">
        <v>12.116248415830075</v>
      </c>
      <c r="N944">
        <v>0.35085405256683888</v>
      </c>
      <c r="O944">
        <v>0.12211080315561541</v>
      </c>
      <c r="P944">
        <v>17.410786728447484</v>
      </c>
      <c r="Q944">
        <v>12.077242001799013</v>
      </c>
      <c r="R944">
        <v>0.38055443698722785</v>
      </c>
      <c r="S944">
        <v>0.13252728950648515</v>
      </c>
      <c r="T944">
        <v>17.409676271707269</v>
      </c>
      <c r="U944">
        <v>1522.0848934886535</v>
      </c>
      <c r="V944">
        <v>9.5358364085515124</v>
      </c>
      <c r="W944">
        <v>1277.5284433514728</v>
      </c>
      <c r="X944">
        <v>6.9038112323949177</v>
      </c>
      <c r="Y944">
        <v>2869.6313631268999</v>
      </c>
      <c r="Z944">
        <v>9.5723102151836237</v>
      </c>
      <c r="AA944">
        <v>2713.5141550325143</v>
      </c>
      <c r="AB944">
        <v>6.9254880098283884</v>
      </c>
      <c r="AC944">
        <v>2198.1734927614598</v>
      </c>
      <c r="AD944">
        <v>9.5585266764286096</v>
      </c>
      <c r="AE944">
        <v>2005.5637932995207</v>
      </c>
      <c r="AF944">
        <v>6.9173058846417161</v>
      </c>
      <c r="AG944">
        <v>2093.5313086732967</v>
      </c>
      <c r="AH944">
        <v>9.5515387086607575</v>
      </c>
      <c r="AI944">
        <v>1886.0842525143398</v>
      </c>
      <c r="AJ944">
        <v>6.9131532906708859</v>
      </c>
    </row>
    <row r="945" spans="4:36" x14ac:dyDescent="0.45">
      <c r="D945">
        <v>938</v>
      </c>
      <c r="E945">
        <v>12.964674447129495</v>
      </c>
      <c r="F945">
        <v>0.4602374356871819</v>
      </c>
      <c r="G945">
        <v>0.16048330970154343</v>
      </c>
      <c r="H945">
        <v>16.414604807481773</v>
      </c>
      <c r="I945">
        <v>13.139446955575025</v>
      </c>
      <c r="J945">
        <v>0.32746316477126791</v>
      </c>
      <c r="K945">
        <v>0.11391064418261364</v>
      </c>
      <c r="L945">
        <v>16.419179235471113</v>
      </c>
      <c r="M945">
        <v>13.059287841467867</v>
      </c>
      <c r="N945">
        <v>0.38837963051217816</v>
      </c>
      <c r="O945">
        <v>0.13524979904705123</v>
      </c>
      <c r="P945">
        <v>16.4170827289729</v>
      </c>
      <c r="Q945">
        <v>13.006874965403462</v>
      </c>
      <c r="R945">
        <v>0.42819241219251486</v>
      </c>
      <c r="S945">
        <v>0.14922213183843108</v>
      </c>
      <c r="T945">
        <v>16.41571049056558</v>
      </c>
      <c r="U945">
        <v>1599.0064576982738</v>
      </c>
      <c r="V945">
        <v>10.209463085728318</v>
      </c>
      <c r="W945">
        <v>1319.0813479945837</v>
      </c>
      <c r="X945">
        <v>7.2809901959431595</v>
      </c>
      <c r="Y945">
        <v>2939.776746817417</v>
      </c>
      <c r="Z945">
        <v>10.238593493962238</v>
      </c>
      <c r="AA945">
        <v>2752.791619323953</v>
      </c>
      <c r="AB945">
        <v>7.2978867433142645</v>
      </c>
      <c r="AC945">
        <v>2232.1240270653275</v>
      </c>
      <c r="AD945">
        <v>10.22523219812812</v>
      </c>
      <c r="AE945">
        <v>2016.9077682484251</v>
      </c>
      <c r="AF945">
        <v>7.2901424854808576</v>
      </c>
      <c r="AG945">
        <v>2171.0804544053813</v>
      </c>
      <c r="AH945">
        <v>10.216496400500219</v>
      </c>
      <c r="AI945">
        <v>1927.0842437713552</v>
      </c>
      <c r="AJ945">
        <v>7.2850739614396094</v>
      </c>
    </row>
    <row r="946" spans="4:36" x14ac:dyDescent="0.45">
      <c r="D946">
        <v>939</v>
      </c>
      <c r="E946">
        <v>12.20876289849323</v>
      </c>
      <c r="F946">
        <v>0.45270270985077765</v>
      </c>
      <c r="G946">
        <v>0.16425182728034782</v>
      </c>
      <c r="H946">
        <v>17.174282564375652</v>
      </c>
      <c r="I946">
        <v>12.439831526714727</v>
      </c>
      <c r="J946">
        <v>0.27795329645667277</v>
      </c>
      <c r="K946">
        <v>0.10051800340277438</v>
      </c>
      <c r="L946">
        <v>17.181697173425825</v>
      </c>
      <c r="M946">
        <v>12.341727135983666</v>
      </c>
      <c r="N946">
        <v>0.35218196121188367</v>
      </c>
      <c r="O946">
        <v>0.12753856957185944</v>
      </c>
      <c r="P946">
        <v>17.178552333232613</v>
      </c>
      <c r="Q946">
        <v>12.291182246176914</v>
      </c>
      <c r="R946">
        <v>0.39040525495393941</v>
      </c>
      <c r="S946">
        <v>0.14148225549886229</v>
      </c>
      <c r="T946">
        <v>17.176930243370286</v>
      </c>
      <c r="U946">
        <v>1528.5688033952567</v>
      </c>
      <c r="V946">
        <v>9.6575422185940969</v>
      </c>
      <c r="W946">
        <v>1280.2161303407399</v>
      </c>
      <c r="X946">
        <v>6.9654043167996198</v>
      </c>
      <c r="Y946">
        <v>2853.8324340329032</v>
      </c>
      <c r="Z946">
        <v>9.6928077353223685</v>
      </c>
      <c r="AA946">
        <v>2702.1500206137571</v>
      </c>
      <c r="AB946">
        <v>6.9861515914161947</v>
      </c>
      <c r="AC946">
        <v>2197.3643749941284</v>
      </c>
      <c r="AD946">
        <v>9.6778335952661276</v>
      </c>
      <c r="AE946">
        <v>2003.6099647977935</v>
      </c>
      <c r="AF946">
        <v>6.9773521218601786</v>
      </c>
      <c r="AG946">
        <v>2089.9158527576596</v>
      </c>
      <c r="AH946">
        <v>9.6701195636056436</v>
      </c>
      <c r="AI946">
        <v>1881.3627816562332</v>
      </c>
      <c r="AJ946">
        <v>6.9728132432156267</v>
      </c>
    </row>
    <row r="947" spans="4:36" x14ac:dyDescent="0.45">
      <c r="D947">
        <v>940</v>
      </c>
      <c r="E947">
        <v>12.052492373619113</v>
      </c>
      <c r="F947">
        <v>0.48194930166339156</v>
      </c>
      <c r="G947">
        <v>0.1720840419918033</v>
      </c>
      <c r="H947">
        <v>17.293474282725683</v>
      </c>
      <c r="I947">
        <v>12.253575656973942</v>
      </c>
      <c r="J947">
        <v>0.31468629040978874</v>
      </c>
      <c r="K947">
        <v>0.1120284848257827</v>
      </c>
      <c r="L947">
        <v>17.3197095677905</v>
      </c>
      <c r="M947">
        <v>12.164681205290419</v>
      </c>
      <c r="N947">
        <v>0.38864972039440426</v>
      </c>
      <c r="O947">
        <v>0.13854042225197374</v>
      </c>
      <c r="P947">
        <v>17.308128652063196</v>
      </c>
      <c r="Q947">
        <v>12.131515725666308</v>
      </c>
      <c r="R947">
        <v>0.41623644834781903</v>
      </c>
      <c r="S947">
        <v>0.1484468058098736</v>
      </c>
      <c r="T947">
        <v>17.303801020176</v>
      </c>
      <c r="U947">
        <v>1580.6152077463903</v>
      </c>
      <c r="V947">
        <v>9.5538665409553456</v>
      </c>
      <c r="W947">
        <v>1314.4139424593106</v>
      </c>
      <c r="X947">
        <v>6.9024398767113508</v>
      </c>
      <c r="Y947">
        <v>2879.6439092927417</v>
      </c>
      <c r="Z947">
        <v>9.5751769831769113</v>
      </c>
      <c r="AA947">
        <v>2717.1057665540848</v>
      </c>
      <c r="AB947">
        <v>6.9160787763634408</v>
      </c>
      <c r="AC947">
        <v>2219.0389445649489</v>
      </c>
      <c r="AD947">
        <v>9.5657460106859222</v>
      </c>
      <c r="AE947">
        <v>2015.4013540806689</v>
      </c>
      <c r="AF947">
        <v>6.9100514971321578</v>
      </c>
      <c r="AG947">
        <v>2115.0579754817732</v>
      </c>
      <c r="AH947">
        <v>9.5622315118567105</v>
      </c>
      <c r="AI947">
        <v>1896.3821906186188</v>
      </c>
      <c r="AJ947">
        <v>6.9078019108978497</v>
      </c>
    </row>
    <row r="948" spans="4:36" x14ac:dyDescent="0.45">
      <c r="D948">
        <v>941</v>
      </c>
      <c r="E948">
        <v>12.40745870001636</v>
      </c>
      <c r="F948">
        <v>0.49448935154452422</v>
      </c>
      <c r="G948">
        <v>0.17911136937386749</v>
      </c>
      <c r="H948">
        <v>16.918940579065239</v>
      </c>
      <c r="I948">
        <v>12.651791674008184</v>
      </c>
      <c r="J948">
        <v>0.30114448784895764</v>
      </c>
      <c r="K948">
        <v>0.10870848889172223</v>
      </c>
      <c r="L948">
        <v>16.938355349251133</v>
      </c>
      <c r="M948">
        <v>12.541768354963729</v>
      </c>
      <c r="N948">
        <v>0.38824307678489245</v>
      </c>
      <c r="O948">
        <v>0.14036367800285485</v>
      </c>
      <c r="P948">
        <v>16.929624890248515</v>
      </c>
      <c r="Q948">
        <v>12.496066716502899</v>
      </c>
      <c r="R948">
        <v>0.42440528646215203</v>
      </c>
      <c r="S948">
        <v>0.15353535090285231</v>
      </c>
      <c r="T948">
        <v>16.925992646132094</v>
      </c>
      <c r="U948">
        <v>1563.7490023445944</v>
      </c>
      <c r="V948">
        <v>9.8209469899217634</v>
      </c>
      <c r="W948">
        <v>1296.7959200149603</v>
      </c>
      <c r="X948">
        <v>7.0572838785941894</v>
      </c>
      <c r="Y948">
        <v>2888.1266080691385</v>
      </c>
      <c r="Z948">
        <v>9.8552670154893143</v>
      </c>
      <c r="AA948">
        <v>2721.6860531039842</v>
      </c>
      <c r="AB948">
        <v>7.0778483258074347</v>
      </c>
      <c r="AC948">
        <v>2239.9968314339708</v>
      </c>
      <c r="AD948">
        <v>9.8398065812545195</v>
      </c>
      <c r="AE948">
        <v>2027.2326786968229</v>
      </c>
      <c r="AF948">
        <v>7.0685960108349946</v>
      </c>
      <c r="AG948">
        <v>2142.8246453988259</v>
      </c>
      <c r="AH948">
        <v>9.8333875340492991</v>
      </c>
      <c r="AI948">
        <v>1912.1951606216785</v>
      </c>
      <c r="AJ948">
        <v>7.0647489975151379</v>
      </c>
    </row>
    <row r="949" spans="4:36" x14ac:dyDescent="0.45">
      <c r="D949">
        <v>942</v>
      </c>
      <c r="E949">
        <v>12.647997725546791</v>
      </c>
      <c r="F949">
        <v>0.4277191503653523</v>
      </c>
      <c r="G949">
        <v>0.16762708574321944</v>
      </c>
      <c r="H949">
        <v>16.756656038344627</v>
      </c>
      <c r="I949">
        <v>12.902465040624133</v>
      </c>
      <c r="J949">
        <v>0.25644638140534909</v>
      </c>
      <c r="K949">
        <v>0.10011607394628172</v>
      </c>
      <c r="L949">
        <v>16.740972504024228</v>
      </c>
      <c r="M949">
        <v>12.804747433768236</v>
      </c>
      <c r="N949">
        <v>0.32226733364908644</v>
      </c>
      <c r="O949">
        <v>0.12599830143251003</v>
      </c>
      <c r="P949">
        <v>16.746986931150172</v>
      </c>
      <c r="Q949">
        <v>12.765671213390599</v>
      </c>
      <c r="R949">
        <v>0.3485707850747044</v>
      </c>
      <c r="S949">
        <v>0.13636312074833565</v>
      </c>
      <c r="T949">
        <v>16.749394880786344</v>
      </c>
      <c r="U949">
        <v>1576.5147233596203</v>
      </c>
      <c r="V949">
        <v>10.027989514049116</v>
      </c>
      <c r="W949">
        <v>1309.3849084501653</v>
      </c>
      <c r="X949">
        <v>7.1880639636417012</v>
      </c>
      <c r="Y949">
        <v>2892.1490597258762</v>
      </c>
      <c r="Z949">
        <v>10.081723503626806</v>
      </c>
      <c r="AA949">
        <v>2726.9112064482442</v>
      </c>
      <c r="AB949">
        <v>7.2186637390995685</v>
      </c>
      <c r="AC949">
        <v>2214.5138396286929</v>
      </c>
      <c r="AD949">
        <v>10.061093971936421</v>
      </c>
      <c r="AE949">
        <v>2012.5974492750263</v>
      </c>
      <c r="AF949">
        <v>7.2069293713956721</v>
      </c>
      <c r="AG949">
        <v>2107.0944339704124</v>
      </c>
      <c r="AH949">
        <v>10.052842783605259</v>
      </c>
      <c r="AI949">
        <v>1890.8305897391317</v>
      </c>
      <c r="AJ949">
        <v>7.2022312985219132</v>
      </c>
    </row>
    <row r="950" spans="4:36" x14ac:dyDescent="0.45">
      <c r="D950">
        <v>943</v>
      </c>
      <c r="E950">
        <v>13.379496224476101</v>
      </c>
      <c r="F950">
        <v>0.47413825300400314</v>
      </c>
      <c r="G950">
        <v>0.16712510248179288</v>
      </c>
      <c r="H950">
        <v>15.979240420038098</v>
      </c>
      <c r="I950">
        <v>13.626426645048076</v>
      </c>
      <c r="J950">
        <v>0.3030475931547843</v>
      </c>
      <c r="K950">
        <v>0.1064363723881349</v>
      </c>
      <c r="L950">
        <v>15.964089389409006</v>
      </c>
      <c r="M950">
        <v>13.500644579593962</v>
      </c>
      <c r="N950">
        <v>0.39024503293547513</v>
      </c>
      <c r="O950">
        <v>0.13731149818668617</v>
      </c>
      <c r="P950">
        <v>15.971798889283887</v>
      </c>
      <c r="Q950">
        <v>13.492818512507123</v>
      </c>
      <c r="R950">
        <v>0.39566719224941305</v>
      </c>
      <c r="S950">
        <v>0.1392351678813743</v>
      </c>
      <c r="T950">
        <v>15.9722791273621</v>
      </c>
      <c r="U950">
        <v>1589.4247555105394</v>
      </c>
      <c r="V950">
        <v>10.614946379543483</v>
      </c>
      <c r="W950">
        <v>1310.2745027566191</v>
      </c>
      <c r="X950">
        <v>7.5261438400641456</v>
      </c>
      <c r="Y950">
        <v>2915.5607443042913</v>
      </c>
      <c r="Z950">
        <v>10.672101116289603</v>
      </c>
      <c r="AA950">
        <v>2736.9924577775819</v>
      </c>
      <c r="AB950">
        <v>7.5584066022469907</v>
      </c>
      <c r="AC950">
        <v>2293.5580892465468</v>
      </c>
      <c r="AD950">
        <v>10.642991978629039</v>
      </c>
      <c r="AE950">
        <v>2060.0862593732968</v>
      </c>
      <c r="AF950">
        <v>7.5419884964653647</v>
      </c>
      <c r="AG950">
        <v>2169.9554738697379</v>
      </c>
      <c r="AH950">
        <v>10.641180522491423</v>
      </c>
      <c r="AI950">
        <v>1928.1922053804665</v>
      </c>
      <c r="AJ950">
        <v>7.5409658825634978</v>
      </c>
    </row>
    <row r="951" spans="4:36" x14ac:dyDescent="0.45">
      <c r="D951">
        <v>944</v>
      </c>
      <c r="E951">
        <v>13.014900337230744</v>
      </c>
      <c r="F951">
        <v>0.45204578017594166</v>
      </c>
      <c r="G951">
        <v>0.16079831385721538</v>
      </c>
      <c r="H951">
        <v>16.372255568736097</v>
      </c>
      <c r="I951">
        <v>13.239087962137347</v>
      </c>
      <c r="J951">
        <v>0.29470726825852028</v>
      </c>
      <c r="K951">
        <v>0.10448920739093996</v>
      </c>
      <c r="L951">
        <v>16.361715562213188</v>
      </c>
      <c r="M951">
        <v>13.125866255263281</v>
      </c>
      <c r="N951">
        <v>0.37420657543541375</v>
      </c>
      <c r="O951">
        <v>0.13289413806957401</v>
      </c>
      <c r="P951">
        <v>16.367033031231724</v>
      </c>
      <c r="Q951">
        <v>13.094177214870367</v>
      </c>
      <c r="R951">
        <v>0.39644320292555502</v>
      </c>
      <c r="S951">
        <v>0.14085624469843783</v>
      </c>
      <c r="T951">
        <v>16.368523337505636</v>
      </c>
      <c r="U951">
        <v>1582.3708786455534</v>
      </c>
      <c r="V951">
        <v>10.322448191584995</v>
      </c>
      <c r="W951">
        <v>1311.298579067982</v>
      </c>
      <c r="X951">
        <v>7.3595866694495884</v>
      </c>
      <c r="Y951">
        <v>2927.9966494892715</v>
      </c>
      <c r="Z951">
        <v>10.373284873195328</v>
      </c>
      <c r="AA951">
        <v>2749.3276928939003</v>
      </c>
      <c r="AB951">
        <v>7.3884853691370171</v>
      </c>
      <c r="AC951">
        <v>2244.344758014458</v>
      </c>
      <c r="AD951">
        <v>10.347614107463045</v>
      </c>
      <c r="AE951">
        <v>2029.7179304332155</v>
      </c>
      <c r="AF951">
        <v>7.3739040377208021</v>
      </c>
      <c r="AG951">
        <v>2132.2105020670365</v>
      </c>
      <c r="AH951">
        <v>10.340428033042777</v>
      </c>
      <c r="AI951">
        <v>1904.898039370061</v>
      </c>
      <c r="AJ951">
        <v>7.3698180603321291</v>
      </c>
    </row>
    <row r="952" spans="4:36" x14ac:dyDescent="0.45">
      <c r="D952">
        <v>945</v>
      </c>
      <c r="E952">
        <v>13.891627463109311</v>
      </c>
      <c r="F952">
        <v>0.5276204323254533</v>
      </c>
      <c r="G952">
        <v>0.20891334751061844</v>
      </c>
      <c r="H952">
        <v>15.37183875705461</v>
      </c>
      <c r="I952">
        <v>14.187796554047068</v>
      </c>
      <c r="J952">
        <v>0.32564951919922525</v>
      </c>
      <c r="K952">
        <v>0.12843529364862119</v>
      </c>
      <c r="L952">
        <v>15.358118633105081</v>
      </c>
      <c r="M952">
        <v>14.107536926123437</v>
      </c>
      <c r="N952">
        <v>0.38043527416934303</v>
      </c>
      <c r="O952">
        <v>0.15020183906511062</v>
      </c>
      <c r="P952">
        <v>15.361825960642125</v>
      </c>
      <c r="Q952">
        <v>14.043553487850183</v>
      </c>
      <c r="R952">
        <v>0.42408263881626196</v>
      </c>
      <c r="S952">
        <v>0.16757673066427375</v>
      </c>
      <c r="T952">
        <v>15.364787142669277</v>
      </c>
      <c r="U952">
        <v>1653.1035283137326</v>
      </c>
      <c r="V952">
        <v>11.125335006437355</v>
      </c>
      <c r="W952">
        <v>1348.1970246844139</v>
      </c>
      <c r="X952">
        <v>7.8230338844109664</v>
      </c>
      <c r="Y952">
        <v>2963.3656106860317</v>
      </c>
      <c r="Z952">
        <v>11.186951003247614</v>
      </c>
      <c r="AA952">
        <v>2766.9666791027912</v>
      </c>
      <c r="AB952">
        <v>7.857430490911705</v>
      </c>
      <c r="AC952">
        <v>2292.0640145935054</v>
      </c>
      <c r="AD952">
        <v>11.170259722281088</v>
      </c>
      <c r="AE952">
        <v>2056.997846032561</v>
      </c>
      <c r="AF952">
        <v>7.8481250491341141</v>
      </c>
      <c r="AG952">
        <v>2183.8873920578058</v>
      </c>
      <c r="AH952">
        <v>11.156950055024263</v>
      </c>
      <c r="AI952">
        <v>1933.0501578924786</v>
      </c>
      <c r="AJ952">
        <v>7.8406983445588985</v>
      </c>
    </row>
    <row r="953" spans="4:36" x14ac:dyDescent="0.45">
      <c r="D953">
        <v>946</v>
      </c>
      <c r="E953">
        <v>12.036529544072234</v>
      </c>
      <c r="F953">
        <v>0.44149990023685454</v>
      </c>
      <c r="G953">
        <v>0.18009803679430256</v>
      </c>
      <c r="H953">
        <v>17.341872518896604</v>
      </c>
      <c r="I953">
        <v>12.254879221962566</v>
      </c>
      <c r="J953">
        <v>0.2838136545147999</v>
      </c>
      <c r="K953">
        <v>0.11537797740912101</v>
      </c>
      <c r="L953">
        <v>17.345929146113505</v>
      </c>
      <c r="M953">
        <v>12.200391736038805</v>
      </c>
      <c r="N953">
        <v>0.32319021212213772</v>
      </c>
      <c r="O953">
        <v>0.13149743569104724</v>
      </c>
      <c r="P953">
        <v>17.344920616147995</v>
      </c>
      <c r="Q953">
        <v>12.181697947084821</v>
      </c>
      <c r="R953">
        <v>0.33669554194065199</v>
      </c>
      <c r="S953">
        <v>0.13703247919272676</v>
      </c>
      <c r="T953">
        <v>17.344574031781796</v>
      </c>
      <c r="U953">
        <v>1569.913692357414</v>
      </c>
      <c r="V953">
        <v>9.4781018333609524</v>
      </c>
      <c r="W953">
        <v>1308.5332013528985</v>
      </c>
      <c r="X953">
        <v>6.8552082072694525</v>
      </c>
      <c r="Y953">
        <v>2880.6893999251797</v>
      </c>
      <c r="Z953">
        <v>9.5173005727560973</v>
      </c>
      <c r="AA953">
        <v>2719.4284668941127</v>
      </c>
      <c r="AB953">
        <v>6.8784532587096479</v>
      </c>
      <c r="AC953">
        <v>2206.3722460020667</v>
      </c>
      <c r="AD953">
        <v>9.5075163878203295</v>
      </c>
      <c r="AE953">
        <v>2010.4341643564437</v>
      </c>
      <c r="AF953">
        <v>6.8726598588692109</v>
      </c>
      <c r="AG953">
        <v>2094.4955960455013</v>
      </c>
      <c r="AH953">
        <v>9.5041599612077174</v>
      </c>
      <c r="AI953">
        <v>1886.7506797305059</v>
      </c>
      <c r="AJ953">
        <v>6.8706711364864539</v>
      </c>
    </row>
    <row r="954" spans="4:36" x14ac:dyDescent="0.45">
      <c r="D954">
        <v>947</v>
      </c>
      <c r="E954">
        <v>14.170044766624212</v>
      </c>
      <c r="F954">
        <v>0.49363830684813176</v>
      </c>
      <c r="G954">
        <v>0.16500737707497035</v>
      </c>
      <c r="H954">
        <v>15.171309549452683</v>
      </c>
      <c r="I954">
        <v>14.468742858695348</v>
      </c>
      <c r="J954">
        <v>0.30707575521798441</v>
      </c>
      <c r="K954">
        <v>0.10224416455539879</v>
      </c>
      <c r="L954">
        <v>15.121937221531271</v>
      </c>
      <c r="M954">
        <v>14.369949881247976</v>
      </c>
      <c r="N954">
        <v>0.36884701944274378</v>
      </c>
      <c r="O954">
        <v>0.12296986360639327</v>
      </c>
      <c r="P954">
        <v>15.138233235702893</v>
      </c>
      <c r="Q954">
        <v>14.314258960548324</v>
      </c>
      <c r="R954">
        <v>0.40363943494011356</v>
      </c>
      <c r="S954">
        <v>0.13466750166401542</v>
      </c>
      <c r="T954">
        <v>15.147434102847555</v>
      </c>
      <c r="U954">
        <v>1628.1666199101205</v>
      </c>
      <c r="V954">
        <v>11.151360173069204</v>
      </c>
      <c r="W954">
        <v>1335.4777506681305</v>
      </c>
      <c r="X954">
        <v>7.8225879586811358</v>
      </c>
      <c r="Y954">
        <v>2929.1859986132567</v>
      </c>
      <c r="Z954">
        <v>11.237197776533435</v>
      </c>
      <c r="AA954">
        <v>2745.6715063527113</v>
      </c>
      <c r="AB954">
        <v>7.8694084047754025</v>
      </c>
      <c r="AC954">
        <v>2273.8349980398284</v>
      </c>
      <c r="AD954">
        <v>11.208826555189841</v>
      </c>
      <c r="AE954">
        <v>2046.6788220996825</v>
      </c>
      <c r="AF954">
        <v>7.8539499474886174</v>
      </c>
      <c r="AG954">
        <v>2195.7096787839118</v>
      </c>
      <c r="AH954">
        <v>11.192825013752239</v>
      </c>
      <c r="AI954">
        <v>1944.778203611399</v>
      </c>
      <c r="AJ954">
        <v>7.8452240353474147</v>
      </c>
    </row>
    <row r="955" spans="4:36" x14ac:dyDescent="0.45">
      <c r="D955">
        <v>948</v>
      </c>
      <c r="E955">
        <v>12.52174624444533</v>
      </c>
      <c r="F955">
        <v>0.46504408754643067</v>
      </c>
      <c r="G955">
        <v>0.1297846826687466</v>
      </c>
      <c r="H955">
        <v>16.883424985339495</v>
      </c>
      <c r="I955">
        <v>12.746058879128483</v>
      </c>
      <c r="J955">
        <v>0.29671884084841693</v>
      </c>
      <c r="K955">
        <v>8.2561377300546662E-2</v>
      </c>
      <c r="L955">
        <v>16.874660902722539</v>
      </c>
      <c r="M955">
        <v>12.649910601457595</v>
      </c>
      <c r="N955">
        <v>0.36890274781844173</v>
      </c>
      <c r="O955">
        <v>0.10277738848020003</v>
      </c>
      <c r="P955">
        <v>16.878409262243764</v>
      </c>
      <c r="Q955">
        <v>12.615165037050831</v>
      </c>
      <c r="R955">
        <v>0.39497576375285748</v>
      </c>
      <c r="S955">
        <v>0.11009234727285154</v>
      </c>
      <c r="T955">
        <v>16.879766851923463</v>
      </c>
      <c r="U955">
        <v>1511.1579814397037</v>
      </c>
      <c r="V955">
        <v>9.8547969059483904</v>
      </c>
      <c r="W955">
        <v>1266.09685604176</v>
      </c>
      <c r="X955">
        <v>7.0780761222319821</v>
      </c>
      <c r="Y955">
        <v>2880.4553273742581</v>
      </c>
      <c r="Z955">
        <v>9.9004538241413211</v>
      </c>
      <c r="AA955">
        <v>2719.6102975362528</v>
      </c>
      <c r="AB955">
        <v>7.1040996342884943</v>
      </c>
      <c r="AC955">
        <v>2226.2753527599421</v>
      </c>
      <c r="AD955">
        <v>9.8808882940605756</v>
      </c>
      <c r="AE955">
        <v>2022.7806561688394</v>
      </c>
      <c r="AF955">
        <v>7.0929580840200011</v>
      </c>
      <c r="AG955">
        <v>2101.6790577386359</v>
      </c>
      <c r="AH955">
        <v>9.8738161027698084</v>
      </c>
      <c r="AI955">
        <v>1889.0337559498496</v>
      </c>
      <c r="AJ955">
        <v>7.0889270162851794</v>
      </c>
    </row>
    <row r="956" spans="4:36" x14ac:dyDescent="0.45">
      <c r="D956">
        <v>949</v>
      </c>
      <c r="E956">
        <v>12.659650690428117</v>
      </c>
      <c r="F956">
        <v>0.46978699646053451</v>
      </c>
      <c r="G956">
        <v>0.16566937079859054</v>
      </c>
      <c r="H956">
        <v>16.70489294231275</v>
      </c>
      <c r="I956">
        <v>12.888564991439623</v>
      </c>
      <c r="J956">
        <v>0.30036998883473848</v>
      </c>
      <c r="K956">
        <v>0.1055867524651375</v>
      </c>
      <c r="L956">
        <v>16.705478267260499</v>
      </c>
      <c r="M956">
        <v>12.809031395613829</v>
      </c>
      <c r="N956">
        <v>0.35926532216095003</v>
      </c>
      <c r="O956">
        <v>0.12642944600864561</v>
      </c>
      <c r="P956">
        <v>16.705273836216563</v>
      </c>
      <c r="Q956">
        <v>12.739995710718745</v>
      </c>
      <c r="R956">
        <v>0.410358129761831</v>
      </c>
      <c r="S956">
        <v>0.14454885416858468</v>
      </c>
      <c r="T956">
        <v>16.705097305350861</v>
      </c>
      <c r="U956">
        <v>1568.4567389100159</v>
      </c>
      <c r="V956">
        <v>10.070988030742569</v>
      </c>
      <c r="W956">
        <v>1302.5084668270342</v>
      </c>
      <c r="X956">
        <v>7.2139621822783075</v>
      </c>
      <c r="Y956">
        <v>2908.7505245104971</v>
      </c>
      <c r="Z956">
        <v>10.112432361440767</v>
      </c>
      <c r="AA956">
        <v>2736.7612446597732</v>
      </c>
      <c r="AB956">
        <v>7.2378704612728733</v>
      </c>
      <c r="AC956">
        <v>2218.8681235165936</v>
      </c>
      <c r="AD956">
        <v>10.098033909639902</v>
      </c>
      <c r="AE956">
        <v>2014.5295108923633</v>
      </c>
      <c r="AF956">
        <v>7.2295738482144998</v>
      </c>
      <c r="AG956">
        <v>2117.9632255591046</v>
      </c>
      <c r="AH956">
        <v>10.085535188291042</v>
      </c>
      <c r="AI956">
        <v>1895.6964060713924</v>
      </c>
      <c r="AJ956">
        <v>7.2223636995198497</v>
      </c>
    </row>
    <row r="957" spans="4:36" x14ac:dyDescent="0.45">
      <c r="D957">
        <v>950</v>
      </c>
      <c r="E957">
        <v>13.531992960488727</v>
      </c>
      <c r="F957">
        <v>0.46848089120899056</v>
      </c>
      <c r="G957">
        <v>0.16493745337779947</v>
      </c>
      <c r="H957">
        <v>15.834588694924493</v>
      </c>
      <c r="I957">
        <v>13.744488532799659</v>
      </c>
      <c r="J957">
        <v>0.32144674104261661</v>
      </c>
      <c r="K957">
        <v>0.11284823905453226</v>
      </c>
      <c r="L957">
        <v>15.82121648710319</v>
      </c>
      <c r="M957">
        <v>13.658773981899502</v>
      </c>
      <c r="N957">
        <v>0.38078928179503047</v>
      </c>
      <c r="O957">
        <v>0.13383489250491809</v>
      </c>
      <c r="P957">
        <v>15.826601843800535</v>
      </c>
      <c r="Q957">
        <v>13.590747063970731</v>
      </c>
      <c r="R957">
        <v>0.42785427210363197</v>
      </c>
      <c r="S957">
        <v>0.15051449662916155</v>
      </c>
      <c r="T957">
        <v>15.830884167296485</v>
      </c>
      <c r="U957">
        <v>1575.4852426026891</v>
      </c>
      <c r="V957">
        <v>10.668725416970068</v>
      </c>
      <c r="W957">
        <v>1304.1820097144323</v>
      </c>
      <c r="X957">
        <v>7.5483769494978112</v>
      </c>
      <c r="Y957">
        <v>2928.6370777074685</v>
      </c>
      <c r="Z957">
        <v>10.716095898497345</v>
      </c>
      <c r="AA957">
        <v>2747.206035217564</v>
      </c>
      <c r="AB957">
        <v>7.5748954333518235</v>
      </c>
      <c r="AC957">
        <v>2239.1166476609542</v>
      </c>
      <c r="AD957">
        <v>10.696992825921823</v>
      </c>
      <c r="AE957">
        <v>2024.8358563484858</v>
      </c>
      <c r="AF957">
        <v>7.5642099604213886</v>
      </c>
      <c r="AG957">
        <v>2156.8831630801596</v>
      </c>
      <c r="AH957">
        <v>10.681827154441828</v>
      </c>
      <c r="AI957">
        <v>1919.5708629642204</v>
      </c>
      <c r="AJ957">
        <v>7.5557186275082984</v>
      </c>
    </row>
    <row r="958" spans="4:36" x14ac:dyDescent="0.45">
      <c r="D958">
        <v>951</v>
      </c>
      <c r="E958">
        <v>11.898529167453058</v>
      </c>
      <c r="F958">
        <v>0.44548713646287375</v>
      </c>
      <c r="G958">
        <v>0.1797924552683417</v>
      </c>
      <c r="H958">
        <v>17.476191240815734</v>
      </c>
      <c r="I958">
        <v>12.095693000919127</v>
      </c>
      <c r="J958">
        <v>0.28864433011328555</v>
      </c>
      <c r="K958">
        <v>0.11612981827631152</v>
      </c>
      <c r="L958">
        <v>17.499532850691274</v>
      </c>
      <c r="M958">
        <v>12.000515596838522</v>
      </c>
      <c r="N958">
        <v>0.36438082764067936</v>
      </c>
      <c r="O958">
        <v>0.14682104795094728</v>
      </c>
      <c r="P958">
        <v>17.48828252756984</v>
      </c>
      <c r="Q958">
        <v>11.977294564398838</v>
      </c>
      <c r="R958">
        <v>0.38285214084337521</v>
      </c>
      <c r="S958">
        <v>0.15432050059791952</v>
      </c>
      <c r="T958">
        <v>17.485532794159869</v>
      </c>
      <c r="U958">
        <v>1509.9581612741051</v>
      </c>
      <c r="V958">
        <v>9.440917635062597</v>
      </c>
      <c r="W958">
        <v>1263.5789905859222</v>
      </c>
      <c r="X958">
        <v>6.8406471894574405</v>
      </c>
      <c r="Y958">
        <v>2875.8290947316523</v>
      </c>
      <c r="Z958">
        <v>9.4653115263513516</v>
      </c>
      <c r="AA958">
        <v>2714.9814479473912</v>
      </c>
      <c r="AB958">
        <v>6.8561052441278596</v>
      </c>
      <c r="AC958">
        <v>2227.1108583917262</v>
      </c>
      <c r="AD958">
        <v>9.4535256503480074</v>
      </c>
      <c r="AE958">
        <v>2021.3946487283313</v>
      </c>
      <c r="AF958">
        <v>6.8486461833964274</v>
      </c>
      <c r="AG958">
        <v>2078.4662507853905</v>
      </c>
      <c r="AH958">
        <v>9.450653041084589</v>
      </c>
      <c r="AI958">
        <v>1870.4622622152172</v>
      </c>
      <c r="AJ958">
        <v>6.8468254902404615</v>
      </c>
    </row>
    <row r="959" spans="4:36" x14ac:dyDescent="0.45">
      <c r="D959">
        <v>952</v>
      </c>
      <c r="E959">
        <v>12.115077160465303</v>
      </c>
      <c r="F959">
        <v>0.47271962751305524</v>
      </c>
      <c r="G959">
        <v>0.17711967227776304</v>
      </c>
      <c r="H959">
        <v>17.235083539743886</v>
      </c>
      <c r="I959">
        <v>12.355103478588111</v>
      </c>
      <c r="J959">
        <v>0.28382588555505134</v>
      </c>
      <c r="K959">
        <v>0.10595726487374456</v>
      </c>
      <c r="L959">
        <v>17.255113370983086</v>
      </c>
      <c r="M959">
        <v>12.265001905913575</v>
      </c>
      <c r="N959">
        <v>0.3547664339204567</v>
      </c>
      <c r="O959">
        <v>0.13262122036725135</v>
      </c>
      <c r="P959">
        <v>17.247610439798709</v>
      </c>
      <c r="Q959">
        <v>12.218474865061806</v>
      </c>
      <c r="R959">
        <v>0.39138344627185567</v>
      </c>
      <c r="S959">
        <v>0.14641309952867229</v>
      </c>
      <c r="T959">
        <v>17.243728589137675</v>
      </c>
      <c r="U959">
        <v>1543.593416216042</v>
      </c>
      <c r="V959">
        <v>9.599115443170751</v>
      </c>
      <c r="W959">
        <v>1287.5402905683275</v>
      </c>
      <c r="X959">
        <v>6.9300606460574103</v>
      </c>
      <c r="Y959">
        <v>2894.3568406028348</v>
      </c>
      <c r="Z959">
        <v>9.6321217484012642</v>
      </c>
      <c r="AA959">
        <v>2729.8576977819639</v>
      </c>
      <c r="AB959">
        <v>6.9502722909968302</v>
      </c>
      <c r="AC959">
        <v>2207.9018715843195</v>
      </c>
      <c r="AD959">
        <v>9.6197225199076204</v>
      </c>
      <c r="AE959">
        <v>2009.5177886875858</v>
      </c>
      <c r="AF959">
        <v>6.9426914996375189</v>
      </c>
      <c r="AG959">
        <v>2106.706951275225</v>
      </c>
      <c r="AH959">
        <v>9.6133240888688061</v>
      </c>
      <c r="AI959">
        <v>1891.7494876618509</v>
      </c>
      <c r="AJ959">
        <v>6.9387739497450127</v>
      </c>
    </row>
    <row r="960" spans="4:36" x14ac:dyDescent="0.45">
      <c r="D960">
        <v>953</v>
      </c>
      <c r="E960">
        <v>13.07134426074593</v>
      </c>
      <c r="F960">
        <v>0.44139438978967821</v>
      </c>
      <c r="G960">
        <v>0.13172466404159403</v>
      </c>
      <c r="H960">
        <v>16.355536685422795</v>
      </c>
      <c r="I960">
        <v>13.296431033627</v>
      </c>
      <c r="J960">
        <v>0.2868345742614648</v>
      </c>
      <c r="K960">
        <v>8.533031381528032E-2</v>
      </c>
      <c r="L960">
        <v>16.331404078296266</v>
      </c>
      <c r="M960">
        <v>13.18319764008969</v>
      </c>
      <c r="N960">
        <v>0.36462833939859185</v>
      </c>
      <c r="O960">
        <v>0.10864462461718571</v>
      </c>
      <c r="P960">
        <v>16.343529395894532</v>
      </c>
      <c r="Q960">
        <v>13.129832475646976</v>
      </c>
      <c r="R960">
        <v>0.40126329268094885</v>
      </c>
      <c r="S960">
        <v>0.11964987695576509</v>
      </c>
      <c r="T960">
        <v>16.349254354716297</v>
      </c>
      <c r="U960">
        <v>1573.5101641328679</v>
      </c>
      <c r="V960">
        <v>10.303708483888524</v>
      </c>
      <c r="W960">
        <v>1308.1011787185064</v>
      </c>
      <c r="X960">
        <v>7.3435957202026376</v>
      </c>
      <c r="Y960">
        <v>2892.841138431269</v>
      </c>
      <c r="Z960">
        <v>10.358975097199094</v>
      </c>
      <c r="AA960">
        <v>2726.2992272311226</v>
      </c>
      <c r="AB960">
        <v>7.3744644306774285</v>
      </c>
      <c r="AC960">
        <v>2250.7207685648818</v>
      </c>
      <c r="AD960">
        <v>10.331181015457069</v>
      </c>
      <c r="AE960">
        <v>2036.9548268333724</v>
      </c>
      <c r="AF960">
        <v>7.3589515410543402</v>
      </c>
      <c r="AG960">
        <v>2128.1653127376176</v>
      </c>
      <c r="AH960">
        <v>10.318076034429973</v>
      </c>
      <c r="AI960">
        <v>1903.8095813390808</v>
      </c>
      <c r="AJ960">
        <v>7.3516292854180652</v>
      </c>
    </row>
    <row r="961" spans="4:36" x14ac:dyDescent="0.45">
      <c r="D961">
        <v>954</v>
      </c>
      <c r="E961">
        <v>11.94075222891553</v>
      </c>
      <c r="F961">
        <v>0.42566164850538529</v>
      </c>
      <c r="G961">
        <v>0.16944148040591769</v>
      </c>
      <c r="H961">
        <v>17.464144642173178</v>
      </c>
      <c r="I961">
        <v>12.128199617529216</v>
      </c>
      <c r="J961">
        <v>0.28590212225875661</v>
      </c>
      <c r="K961">
        <v>0.11346478203837994</v>
      </c>
      <c r="L961">
        <v>17.472433478173635</v>
      </c>
      <c r="M961">
        <v>12.069115304256975</v>
      </c>
      <c r="N961">
        <v>0.32997669500014226</v>
      </c>
      <c r="O961">
        <v>0.131080638948471</v>
      </c>
      <c r="P961">
        <v>17.469827361794398</v>
      </c>
      <c r="Q961">
        <v>12.025741706785794</v>
      </c>
      <c r="R961">
        <v>0.36231901611280959</v>
      </c>
      <c r="S961">
        <v>0.14402888818083448</v>
      </c>
      <c r="T961">
        <v>17.467910388920565</v>
      </c>
      <c r="U961">
        <v>1515.749414758476</v>
      </c>
      <c r="V961">
        <v>9.3961889470129929</v>
      </c>
      <c r="W961">
        <v>1272.8423018837411</v>
      </c>
      <c r="X961">
        <v>6.8075847241055492</v>
      </c>
      <c r="Y961">
        <v>2872.8130356323177</v>
      </c>
      <c r="Z961">
        <v>9.4267050350442485</v>
      </c>
      <c r="AA961">
        <v>2715.1728213800193</v>
      </c>
      <c r="AB961">
        <v>6.8259725511174176</v>
      </c>
      <c r="AC961">
        <v>2192.9255709521372</v>
      </c>
      <c r="AD961">
        <v>9.4170824011323493</v>
      </c>
      <c r="AE961">
        <v>2002.0318489959238</v>
      </c>
      <c r="AF961">
        <v>6.8201817125502133</v>
      </c>
      <c r="AG961">
        <v>2067.6444569468772</v>
      </c>
      <c r="AH961">
        <v>9.4100206856179813</v>
      </c>
      <c r="AI961">
        <v>1867.1644885983162</v>
      </c>
      <c r="AJ961">
        <v>6.8159277058369545</v>
      </c>
    </row>
    <row r="962" spans="4:36" x14ac:dyDescent="0.45">
      <c r="D962">
        <v>955</v>
      </c>
      <c r="E962">
        <v>11.703196249763197</v>
      </c>
      <c r="F962">
        <v>0.44846901990910021</v>
      </c>
      <c r="G962">
        <v>0.17003133532604561</v>
      </c>
      <c r="H962">
        <v>17.678303395001659</v>
      </c>
      <c r="I962">
        <v>11.909326827719871</v>
      </c>
      <c r="J962">
        <v>0.29160972956720205</v>
      </c>
      <c r="K962">
        <v>0.11019263091480469</v>
      </c>
      <c r="L962">
        <v>17.688870811798118</v>
      </c>
      <c r="M962">
        <v>11.842006428755937</v>
      </c>
      <c r="N962">
        <v>0.34286433387036375</v>
      </c>
      <c r="O962">
        <v>0.12970085260492065</v>
      </c>
      <c r="P962">
        <v>17.685428384768784</v>
      </c>
      <c r="Q962">
        <v>11.818469439889398</v>
      </c>
      <c r="R962">
        <v>0.36077842590095133</v>
      </c>
      <c r="S962">
        <v>0.13652931542307437</v>
      </c>
      <c r="T962">
        <v>17.684222818786576</v>
      </c>
      <c r="U962">
        <v>1516.7249073506816</v>
      </c>
      <c r="V962">
        <v>9.2922271674573391</v>
      </c>
      <c r="W962">
        <v>1273.3320792319666</v>
      </c>
      <c r="X962">
        <v>6.755620425933559</v>
      </c>
      <c r="Y962">
        <v>2863.8641543611066</v>
      </c>
      <c r="Z962">
        <v>9.324850541304837</v>
      </c>
      <c r="AA962">
        <v>2709.1797786927759</v>
      </c>
      <c r="AB962">
        <v>6.7754173706944352</v>
      </c>
      <c r="AC962">
        <v>2190.0383408324383</v>
      </c>
      <c r="AD962">
        <v>9.3141909717125362</v>
      </c>
      <c r="AE962">
        <v>2000.127611129308</v>
      </c>
      <c r="AF962">
        <v>6.7689580792739887</v>
      </c>
      <c r="AG962">
        <v>2080.1675092612672</v>
      </c>
      <c r="AH962">
        <v>9.310465258550348</v>
      </c>
      <c r="AI962">
        <v>1877.7468528348118</v>
      </c>
      <c r="AJ962">
        <v>6.7666983268231071</v>
      </c>
    </row>
    <row r="963" spans="4:36" x14ac:dyDescent="0.45">
      <c r="D963">
        <v>956</v>
      </c>
      <c r="E963">
        <v>13.215462055927564</v>
      </c>
      <c r="F963">
        <v>0.5186426753612956</v>
      </c>
      <c r="G963">
        <v>0.17407274063739817</v>
      </c>
      <c r="H963">
        <v>16.091822528073756</v>
      </c>
      <c r="I963">
        <v>13.48493657388954</v>
      </c>
      <c r="J963">
        <v>0.31827277772176488</v>
      </c>
      <c r="K963">
        <v>0.1064420846850202</v>
      </c>
      <c r="L963">
        <v>16.090348563703678</v>
      </c>
      <c r="M963">
        <v>13.380894963286091</v>
      </c>
      <c r="N963">
        <v>0.39568028784421594</v>
      </c>
      <c r="O963">
        <v>0.13251136200403377</v>
      </c>
      <c r="P963">
        <v>16.090913386865648</v>
      </c>
      <c r="Q963">
        <v>13.375339358428882</v>
      </c>
      <c r="R963">
        <v>0.39981204980404167</v>
      </c>
      <c r="S963">
        <v>0.13390489492584504</v>
      </c>
      <c r="T963">
        <v>16.090943696841222</v>
      </c>
      <c r="U963">
        <v>1587.2521315948177</v>
      </c>
      <c r="V963">
        <v>10.440887525914251</v>
      </c>
      <c r="W963">
        <v>1308.7343079099064</v>
      </c>
      <c r="X963">
        <v>7.4135888629739872</v>
      </c>
      <c r="Y963">
        <v>2920.7905592058914</v>
      </c>
      <c r="Z963">
        <v>10.489266522899612</v>
      </c>
      <c r="AA963">
        <v>2741.6776174090496</v>
      </c>
      <c r="AB963">
        <v>7.4411185797162975</v>
      </c>
      <c r="AC963">
        <v>2242.2055272298885</v>
      </c>
      <c r="AD963">
        <v>10.470590683179299</v>
      </c>
      <c r="AE963">
        <v>2025.7150809608343</v>
      </c>
      <c r="AF963">
        <v>7.4305034596337158</v>
      </c>
      <c r="AG963">
        <v>2156.3070881520498</v>
      </c>
      <c r="AH963">
        <v>10.469593332507126</v>
      </c>
      <c r="AI963">
        <v>1920.8848614107919</v>
      </c>
      <c r="AJ963">
        <v>7.4299361479855541</v>
      </c>
    </row>
    <row r="964" spans="4:36" x14ac:dyDescent="0.45">
      <c r="D964">
        <v>957</v>
      </c>
      <c r="E964">
        <v>12.842243488235765</v>
      </c>
      <c r="F964">
        <v>0.46751726419938117</v>
      </c>
      <c r="G964">
        <v>0.15545479484464736</v>
      </c>
      <c r="H964">
        <v>16.534784452720224</v>
      </c>
      <c r="I964">
        <v>13.061281415703546</v>
      </c>
      <c r="J964">
        <v>0.30635832562447696</v>
      </c>
      <c r="K964">
        <v>0.10156008084876153</v>
      </c>
      <c r="L964">
        <v>16.53080017782321</v>
      </c>
      <c r="M964">
        <v>12.945988267488426</v>
      </c>
      <c r="N964">
        <v>0.39121998103613331</v>
      </c>
      <c r="O964">
        <v>0.1298982382353914</v>
      </c>
      <c r="P964">
        <v>16.532893513240062</v>
      </c>
      <c r="Q964">
        <v>12.92276787099822</v>
      </c>
      <c r="R964">
        <v>0.40830232276392392</v>
      </c>
      <c r="S964">
        <v>0.13561366136836756</v>
      </c>
      <c r="T964">
        <v>16.533316144869481</v>
      </c>
      <c r="U964">
        <v>1525.7587591919105</v>
      </c>
      <c r="V964">
        <v>10.112354016234965</v>
      </c>
      <c r="W964">
        <v>1273.612337583621</v>
      </c>
      <c r="X964">
        <v>7.2262649850024419</v>
      </c>
      <c r="Y964">
        <v>2887.1863748700298</v>
      </c>
      <c r="Z964">
        <v>10.156717665142423</v>
      </c>
      <c r="AA964">
        <v>2721.9267852485418</v>
      </c>
      <c r="AB964">
        <v>7.2516915345069135</v>
      </c>
      <c r="AC964">
        <v>2244.5296670107778</v>
      </c>
      <c r="AD964">
        <v>10.133368198583041</v>
      </c>
      <c r="AE964">
        <v>2032.0036461145044</v>
      </c>
      <c r="AF964">
        <v>7.2383193017316865</v>
      </c>
      <c r="AG964">
        <v>2138.108342335162</v>
      </c>
      <c r="AH964">
        <v>10.128665047166747</v>
      </c>
      <c r="AI964">
        <v>1911.8504819080183</v>
      </c>
      <c r="AJ964">
        <v>7.2356230584116616</v>
      </c>
    </row>
    <row r="965" spans="4:36" x14ac:dyDescent="0.45">
      <c r="D965">
        <v>958</v>
      </c>
      <c r="E965">
        <v>12.461914404526796</v>
      </c>
      <c r="F965">
        <v>0.42910433735124498</v>
      </c>
      <c r="G965">
        <v>0.15400418495900056</v>
      </c>
      <c r="H965">
        <v>16.954977073162972</v>
      </c>
      <c r="I965">
        <v>12.638459547927663</v>
      </c>
      <c r="J965">
        <v>0.29962990201640766</v>
      </c>
      <c r="K965">
        <v>0.10725385928350353</v>
      </c>
      <c r="L965">
        <v>16.954656690772442</v>
      </c>
      <c r="M965">
        <v>12.542155664872524</v>
      </c>
      <c r="N965">
        <v>0.37027950932805104</v>
      </c>
      <c r="O965">
        <v>0.13273292672694537</v>
      </c>
      <c r="P965">
        <v>16.954831899072488</v>
      </c>
      <c r="Q965">
        <v>12.541657409236887</v>
      </c>
      <c r="R965">
        <v>0.37064489585220539</v>
      </c>
      <c r="S965">
        <v>0.13286489209643762</v>
      </c>
      <c r="T965">
        <v>16.954832802814476</v>
      </c>
      <c r="U965">
        <v>1518.382193328513</v>
      </c>
      <c r="V965">
        <v>9.7609171397609629</v>
      </c>
      <c r="W965">
        <v>1272.8611782072489</v>
      </c>
      <c r="X965">
        <v>7.0158470914460764</v>
      </c>
      <c r="Y965">
        <v>2911.2885730502894</v>
      </c>
      <c r="Z965">
        <v>9.7907773688212902</v>
      </c>
      <c r="AA965">
        <v>2740.969921580021</v>
      </c>
      <c r="AB965">
        <v>7.0331752064680604</v>
      </c>
      <c r="AC965">
        <v>2185.1032341451073</v>
      </c>
      <c r="AD965">
        <v>9.7744889253152785</v>
      </c>
      <c r="AE965">
        <v>1992.0945412342985</v>
      </c>
      <c r="AF965">
        <v>7.0237290302736746</v>
      </c>
      <c r="AG965">
        <v>2093.5621139419022</v>
      </c>
      <c r="AH965">
        <v>9.7744046520320556</v>
      </c>
      <c r="AI965">
        <v>1884.0525984351418</v>
      </c>
      <c r="AJ965">
        <v>7.0236801194540108</v>
      </c>
    </row>
    <row r="966" spans="4:36" x14ac:dyDescent="0.45">
      <c r="D966">
        <v>959</v>
      </c>
      <c r="E966">
        <v>14.704738172666266</v>
      </c>
      <c r="F966">
        <v>0.54350780223799811</v>
      </c>
      <c r="G966">
        <v>0.1802634058715053</v>
      </c>
      <c r="H966">
        <v>14.571490619224219</v>
      </c>
      <c r="I966">
        <v>14.954747861735111</v>
      </c>
      <c r="J966">
        <v>0.37109669511231841</v>
      </c>
      <c r="K966">
        <v>0.12269775261658408</v>
      </c>
      <c r="L966">
        <v>14.551457690536004</v>
      </c>
      <c r="M966">
        <v>14.856253126904505</v>
      </c>
      <c r="N966">
        <v>0.4390637490805171</v>
      </c>
      <c r="O966">
        <v>0.14534747458897279</v>
      </c>
      <c r="P966">
        <v>14.559335649425998</v>
      </c>
      <c r="Q966">
        <v>14.793657067316966</v>
      </c>
      <c r="R966">
        <v>0.48222944345867613</v>
      </c>
      <c r="S966">
        <v>0.15976156103915012</v>
      </c>
      <c r="T966">
        <v>14.564351928185211</v>
      </c>
      <c r="U966">
        <v>1654.8192004013029</v>
      </c>
      <c r="V966">
        <v>11.581566063937967</v>
      </c>
      <c r="W966">
        <v>1346.9785868785648</v>
      </c>
      <c r="X966">
        <v>8.0596564570631468</v>
      </c>
      <c r="Y966">
        <v>2958.335260055208</v>
      </c>
      <c r="Z966">
        <v>11.639686060652448</v>
      </c>
      <c r="AA966">
        <v>2759.5067566456128</v>
      </c>
      <c r="AB966">
        <v>8.091554526186707</v>
      </c>
      <c r="AC966">
        <v>2312.9991923538314</v>
      </c>
      <c r="AD966">
        <v>11.616796803448745</v>
      </c>
      <c r="AE966">
        <v>2066.548294711808</v>
      </c>
      <c r="AF966">
        <v>8.0790024743429214</v>
      </c>
      <c r="AG966">
        <v>2217.2821295869421</v>
      </c>
      <c r="AH966">
        <v>11.602244735434903</v>
      </c>
      <c r="AI966">
        <v>1951.4931551852685</v>
      </c>
      <c r="AJ966">
        <v>8.0710154573020709</v>
      </c>
    </row>
    <row r="967" spans="4:36" x14ac:dyDescent="0.45">
      <c r="D967">
        <v>960</v>
      </c>
      <c r="E967">
        <v>12.561685787995144</v>
      </c>
      <c r="F967">
        <v>0.47027105852972878</v>
      </c>
      <c r="G967">
        <v>0.14425233248778638</v>
      </c>
      <c r="H967">
        <v>16.823790820987352</v>
      </c>
      <c r="I967">
        <v>12.782044140052967</v>
      </c>
      <c r="J967">
        <v>0.30539850463022578</v>
      </c>
      <c r="K967">
        <v>9.3387930100702579E-2</v>
      </c>
      <c r="L967">
        <v>16.81916942521611</v>
      </c>
      <c r="M967">
        <v>12.669615342381178</v>
      </c>
      <c r="N967">
        <v>0.38955142934220999</v>
      </c>
      <c r="O967">
        <v>0.11930960135331828</v>
      </c>
      <c r="P967">
        <v>16.821523626923284</v>
      </c>
      <c r="Q967">
        <v>12.628861916095182</v>
      </c>
      <c r="R967">
        <v>0.42003817768403051</v>
      </c>
      <c r="S967">
        <v>0.12872103748185698</v>
      </c>
      <c r="T967">
        <v>16.822378868738927</v>
      </c>
      <c r="U967">
        <v>1575.6049717050148</v>
      </c>
      <c r="V967">
        <v>9.9394786329775933</v>
      </c>
      <c r="W967">
        <v>1308.3840126718455</v>
      </c>
      <c r="X967">
        <v>7.1334565156629504</v>
      </c>
      <c r="Y967">
        <v>2909.5046627666934</v>
      </c>
      <c r="Z967">
        <v>9.9858972691746342</v>
      </c>
      <c r="AA967">
        <v>2737.3919620252059</v>
      </c>
      <c r="AB967">
        <v>7.1602650255510323</v>
      </c>
      <c r="AC967">
        <v>2228.2494452500582</v>
      </c>
      <c r="AD967">
        <v>9.9622151558357466</v>
      </c>
      <c r="AE967">
        <v>2019.5286791031806</v>
      </c>
      <c r="AF967">
        <v>7.1465992153789752</v>
      </c>
      <c r="AG967">
        <v>2123.0301084833359</v>
      </c>
      <c r="AH967">
        <v>9.9536302551258853</v>
      </c>
      <c r="AI967">
        <v>1899.2196214899516</v>
      </c>
      <c r="AJ967">
        <v>7.1416393826170861</v>
      </c>
    </row>
    <row r="968" spans="4:36" x14ac:dyDescent="0.45">
      <c r="D968">
        <v>961</v>
      </c>
      <c r="E968">
        <v>13.044309441590238</v>
      </c>
      <c r="F968">
        <v>0.4499821640408459</v>
      </c>
      <c r="G968">
        <v>0.15344807542914238</v>
      </c>
      <c r="H968">
        <v>16.352260318939784</v>
      </c>
      <c r="I968">
        <v>13.242383304292817</v>
      </c>
      <c r="J968">
        <v>0.31115713050024457</v>
      </c>
      <c r="K968">
        <v>0.10581019837644126</v>
      </c>
      <c r="L968">
        <v>16.340649366830487</v>
      </c>
      <c r="M968">
        <v>13.14194369900064</v>
      </c>
      <c r="N968">
        <v>0.38158283546978444</v>
      </c>
      <c r="O968">
        <v>0.12994288187516617</v>
      </c>
      <c r="P968">
        <v>16.346530583654399</v>
      </c>
      <c r="Q968">
        <v>13.131439604810041</v>
      </c>
      <c r="R968">
        <v>0.38894447524518727</v>
      </c>
      <c r="S968">
        <v>0.13246950362016349</v>
      </c>
      <c r="T968">
        <v>16.347146416324605</v>
      </c>
      <c r="U968">
        <v>1550.6682690737393</v>
      </c>
      <c r="V968">
        <v>10.299384944830207</v>
      </c>
      <c r="W968">
        <v>1291.7746464011673</v>
      </c>
      <c r="X968">
        <v>7.339674178808651</v>
      </c>
      <c r="Y968">
        <v>2912.9497127181394</v>
      </c>
      <c r="Z968">
        <v>10.34209822792219</v>
      </c>
      <c r="AA968">
        <v>2739.4158614293337</v>
      </c>
      <c r="AB968">
        <v>7.3638038766141705</v>
      </c>
      <c r="AC968">
        <v>2226.7446481613279</v>
      </c>
      <c r="AD968">
        <v>10.320442885046207</v>
      </c>
      <c r="AE968">
        <v>2019.1553181474903</v>
      </c>
      <c r="AF968">
        <v>7.3515784834458273</v>
      </c>
      <c r="AG968">
        <v>2089.5699604691763</v>
      </c>
      <c r="AH968">
        <v>10.318177696081056</v>
      </c>
      <c r="AI968">
        <v>1877.5573744900155</v>
      </c>
      <c r="AJ968">
        <v>7.350298714110969</v>
      </c>
    </row>
    <row r="969" spans="4:36" x14ac:dyDescent="0.45">
      <c r="D969">
        <v>962</v>
      </c>
      <c r="E969">
        <v>13.235751557511207</v>
      </c>
      <c r="F969">
        <v>0.44838393010879346</v>
      </c>
      <c r="G969">
        <v>0.16711589268384222</v>
      </c>
      <c r="H969">
        <v>16.148748619696143</v>
      </c>
      <c r="I969">
        <v>13.451873084189565</v>
      </c>
      <c r="J969">
        <v>0.29704750851937645</v>
      </c>
      <c r="K969">
        <v>0.1103744149542896</v>
      </c>
      <c r="L969">
        <v>16.140704992336751</v>
      </c>
      <c r="M969">
        <v>13.333985915592223</v>
      </c>
      <c r="N969">
        <v>0.3796317662387263</v>
      </c>
      <c r="O969">
        <v>0.14129463013406732</v>
      </c>
      <c r="P969">
        <v>16.145087688034987</v>
      </c>
      <c r="Q969">
        <v>13.303140882933821</v>
      </c>
      <c r="R969">
        <v>0.40122591267209295</v>
      </c>
      <c r="S969">
        <v>0.14939687758398937</v>
      </c>
      <c r="T969">
        <v>16.146236326810079</v>
      </c>
      <c r="U969">
        <v>1621.7360505572035</v>
      </c>
      <c r="V969">
        <v>10.460626366347732</v>
      </c>
      <c r="W969">
        <v>1336.5052862366026</v>
      </c>
      <c r="X969">
        <v>7.431444413963626</v>
      </c>
      <c r="Y969">
        <v>2907.885680720176</v>
      </c>
      <c r="Z969">
        <v>10.501571121225735</v>
      </c>
      <c r="AA969">
        <v>2732.7145457599954</v>
      </c>
      <c r="AB969">
        <v>7.4545670834876843</v>
      </c>
      <c r="AC969">
        <v>2253.2613734201127</v>
      </c>
      <c r="AD969">
        <v>10.479240452187245</v>
      </c>
      <c r="AE969">
        <v>2033.0858304587318</v>
      </c>
      <c r="AF969">
        <v>7.4419647260288198</v>
      </c>
      <c r="AG969">
        <v>2172.0793159589684</v>
      </c>
      <c r="AH969">
        <v>10.473396338180255</v>
      </c>
      <c r="AI969">
        <v>1930.2809656125967</v>
      </c>
      <c r="AJ969">
        <v>7.4386632677545022</v>
      </c>
    </row>
    <row r="970" spans="4:36" x14ac:dyDescent="0.45">
      <c r="D970">
        <v>963</v>
      </c>
      <c r="E970">
        <v>11.917379015003259</v>
      </c>
      <c r="F970">
        <v>0.42667518579040736</v>
      </c>
      <c r="G970">
        <v>0.14940617870679296</v>
      </c>
      <c r="H970">
        <v>17.506539620499531</v>
      </c>
      <c r="I970">
        <v>12.120672242479213</v>
      </c>
      <c r="J970">
        <v>0.27802578461823918</v>
      </c>
      <c r="K970">
        <v>9.7052058969884392E-2</v>
      </c>
      <c r="L970">
        <v>17.504249913932643</v>
      </c>
      <c r="M970">
        <v>12.047823416513845</v>
      </c>
      <c r="N970">
        <v>0.33132172979954688</v>
      </c>
      <c r="O970">
        <v>0.11578485939445562</v>
      </c>
      <c r="P970">
        <v>17.505069994292171</v>
      </c>
      <c r="Q970">
        <v>12.02614396352857</v>
      </c>
      <c r="R970">
        <v>0.34717624481323622</v>
      </c>
      <c r="S970">
        <v>0.1213656546435086</v>
      </c>
      <c r="T970">
        <v>17.505314137014686</v>
      </c>
      <c r="U970">
        <v>1509.9966674110681</v>
      </c>
      <c r="V970">
        <v>9.3984357644767709</v>
      </c>
      <c r="W970">
        <v>1273.3607798224984</v>
      </c>
      <c r="X970">
        <v>6.8157745326065973</v>
      </c>
      <c r="Y970">
        <v>2848.7697989621406</v>
      </c>
      <c r="Z970">
        <v>9.4404332172495717</v>
      </c>
      <c r="AA970">
        <v>2701.3898602294066</v>
      </c>
      <c r="AB970">
        <v>6.8403600777751503</v>
      </c>
      <c r="AC970">
        <v>2154.813336249877</v>
      </c>
      <c r="AD970">
        <v>9.4253838319838259</v>
      </c>
      <c r="AE970">
        <v>1977.83902501687</v>
      </c>
      <c r="AF970">
        <v>6.8315599910586116</v>
      </c>
      <c r="AG970">
        <v>2039.2957313391257</v>
      </c>
      <c r="AH970">
        <v>9.4209051800629773</v>
      </c>
      <c r="AI970">
        <v>1851.5895025578764</v>
      </c>
      <c r="AJ970">
        <v>6.8289389863280174</v>
      </c>
    </row>
    <row r="971" spans="4:36" x14ac:dyDescent="0.45">
      <c r="D971">
        <v>964</v>
      </c>
      <c r="E971">
        <v>12.823371799222189</v>
      </c>
      <c r="F971">
        <v>0.47462702384143418</v>
      </c>
      <c r="G971">
        <v>0.17334486528136711</v>
      </c>
      <c r="H971">
        <v>16.528656311655013</v>
      </c>
      <c r="I971">
        <v>13.086962013414032</v>
      </c>
      <c r="J971">
        <v>0.29064561052130805</v>
      </c>
      <c r="K971">
        <v>0.10575233168536313</v>
      </c>
      <c r="L971">
        <v>16.516640044379304</v>
      </c>
      <c r="M971">
        <v>13.004435164711417</v>
      </c>
      <c r="N971">
        <v>0.34829444897590717</v>
      </c>
      <c r="O971">
        <v>0.12687639701577283</v>
      </c>
      <c r="P971">
        <v>16.520393989296903</v>
      </c>
      <c r="Q971">
        <v>12.965959961756992</v>
      </c>
      <c r="R971">
        <v>0.37515674349477296</v>
      </c>
      <c r="S971">
        <v>0.13673662115717811</v>
      </c>
      <c r="T971">
        <v>16.522146673591056</v>
      </c>
      <c r="U971">
        <v>1581.849409817248</v>
      </c>
      <c r="V971">
        <v>10.13591997173133</v>
      </c>
      <c r="W971">
        <v>1312.9593107684411</v>
      </c>
      <c r="X971">
        <v>7.2426098511385408</v>
      </c>
      <c r="Y971">
        <v>2909.882586766726</v>
      </c>
      <c r="Z971">
        <v>10.190828941135358</v>
      </c>
      <c r="AA971">
        <v>2738.9333441324197</v>
      </c>
      <c r="AB971">
        <v>7.273905121614618</v>
      </c>
      <c r="AC971">
        <v>2199.7529909625187</v>
      </c>
      <c r="AD971">
        <v>10.173641503044292</v>
      </c>
      <c r="AE971">
        <v>2002.4095457187086</v>
      </c>
      <c r="AF971">
        <v>7.2641219485746289</v>
      </c>
      <c r="AG971">
        <v>2074.3755514194418</v>
      </c>
      <c r="AH971">
        <v>10.165627268940066</v>
      </c>
      <c r="AI971">
        <v>1867.9054795044831</v>
      </c>
      <c r="AJ971">
        <v>7.2595562522613104</v>
      </c>
    </row>
    <row r="972" spans="4:36" x14ac:dyDescent="0.45">
      <c r="D972">
        <v>965</v>
      </c>
      <c r="E972">
        <v>12.399506025618097</v>
      </c>
      <c r="F972">
        <v>0.48719445986965043</v>
      </c>
      <c r="G972">
        <v>0.18746792977257073</v>
      </c>
      <c r="H972">
        <v>16.925831584739697</v>
      </c>
      <c r="I972">
        <v>12.619527838940426</v>
      </c>
      <c r="J972">
        <v>0.31152485687361137</v>
      </c>
      <c r="K972">
        <v>0.1194761472216529</v>
      </c>
      <c r="L972">
        <v>16.9494711569643</v>
      </c>
      <c r="M972">
        <v>12.517019184463271</v>
      </c>
      <c r="N972">
        <v>0.39339766807196397</v>
      </c>
      <c r="O972">
        <v>0.15110775605837318</v>
      </c>
      <c r="P972">
        <v>16.938475391406399</v>
      </c>
      <c r="Q972">
        <v>12.487134274786019</v>
      </c>
      <c r="R972">
        <v>0.41725734686433658</v>
      </c>
      <c r="S972">
        <v>0.16034452217808226</v>
      </c>
      <c r="T972">
        <v>16.935263856171566</v>
      </c>
      <c r="U972">
        <v>1575.0457846752647</v>
      </c>
      <c r="V972">
        <v>9.7890394855405205</v>
      </c>
      <c r="W972">
        <v>1302.5361925156726</v>
      </c>
      <c r="X972">
        <v>7.0329390647630756</v>
      </c>
      <c r="Y972">
        <v>2909.8347543028108</v>
      </c>
      <c r="Z972">
        <v>9.8140786859673703</v>
      </c>
      <c r="AA972">
        <v>2734.5827071103608</v>
      </c>
      <c r="AB972">
        <v>7.0485605281760009</v>
      </c>
      <c r="AC972">
        <v>2258.0710364990573</v>
      </c>
      <c r="AD972">
        <v>9.8024026549363494</v>
      </c>
      <c r="AE972">
        <v>2037.4486244759721</v>
      </c>
      <c r="AF972">
        <v>7.0412858000527745</v>
      </c>
      <c r="AG972">
        <v>2138.1976390071086</v>
      </c>
      <c r="AH972">
        <v>9.7990020197959353</v>
      </c>
      <c r="AI972">
        <v>1906.8499361415161</v>
      </c>
      <c r="AJ972">
        <v>7.0391638645144763</v>
      </c>
    </row>
    <row r="973" spans="4:36" x14ac:dyDescent="0.45">
      <c r="D973">
        <v>966</v>
      </c>
      <c r="E973">
        <v>12.422692522052348</v>
      </c>
      <c r="F973">
        <v>0.47574922007880255</v>
      </c>
      <c r="G973">
        <v>0.19143861585411936</v>
      </c>
      <c r="H973">
        <v>16.910119642014738</v>
      </c>
      <c r="I973">
        <v>12.672282160100337</v>
      </c>
      <c r="J973">
        <v>0.28259780794241535</v>
      </c>
      <c r="K973">
        <v>0.1132804850327651</v>
      </c>
      <c r="L973">
        <v>16.931839546924476</v>
      </c>
      <c r="M973">
        <v>12.556085780481391</v>
      </c>
      <c r="N973">
        <v>0.37255883260658806</v>
      </c>
      <c r="O973">
        <v>0.14960734690581939</v>
      </c>
      <c r="P973">
        <v>16.921748040006211</v>
      </c>
      <c r="Q973">
        <v>12.511713086420103</v>
      </c>
      <c r="R973">
        <v>0.40689478322837486</v>
      </c>
      <c r="S973">
        <v>0.16350704788550238</v>
      </c>
      <c r="T973">
        <v>16.917885082466032</v>
      </c>
      <c r="U973">
        <v>1581.3026711679208</v>
      </c>
      <c r="V973">
        <v>9.8063811308898501</v>
      </c>
      <c r="W973">
        <v>1308.1987845697256</v>
      </c>
      <c r="X973">
        <v>7.0435957350575187</v>
      </c>
      <c r="Y973">
        <v>2916.1304726005405</v>
      </c>
      <c r="Z973">
        <v>9.8368202421887343</v>
      </c>
      <c r="AA973">
        <v>2741.7541554988993</v>
      </c>
      <c r="AB973">
        <v>7.062314528253518</v>
      </c>
      <c r="AC973">
        <v>2271.8612853305676</v>
      </c>
      <c r="AD973">
        <v>9.8226378981948841</v>
      </c>
      <c r="AE973">
        <v>2049.338490034881</v>
      </c>
      <c r="AF973">
        <v>7.0536053887423602</v>
      </c>
      <c r="AG973">
        <v>2141.39365504846</v>
      </c>
      <c r="AH973">
        <v>9.8172272233953759</v>
      </c>
      <c r="AI973">
        <v>1910.1739740360799</v>
      </c>
      <c r="AJ973">
        <v>7.0502771047365931</v>
      </c>
    </row>
    <row r="974" spans="4:36" x14ac:dyDescent="0.45">
      <c r="D974">
        <v>967</v>
      </c>
      <c r="E974">
        <v>12.976977559737088</v>
      </c>
      <c r="F974">
        <v>0.48524317918264398</v>
      </c>
      <c r="G974">
        <v>0.15951134532615222</v>
      </c>
      <c r="H974">
        <v>16.37826791575413</v>
      </c>
      <c r="I974">
        <v>13.225579531465934</v>
      </c>
      <c r="J974">
        <v>0.29802568822316883</v>
      </c>
      <c r="K974">
        <v>9.762380946951725E-2</v>
      </c>
      <c r="L974">
        <v>16.378770970841391</v>
      </c>
      <c r="M974">
        <v>13.115673627561801</v>
      </c>
      <c r="N974">
        <v>0.38083426215525462</v>
      </c>
      <c r="O974">
        <v>0.12494287506069672</v>
      </c>
      <c r="P974">
        <v>16.378549235222241</v>
      </c>
      <c r="Q974">
        <v>13.051208709381955</v>
      </c>
      <c r="R974">
        <v>0.42937555523146897</v>
      </c>
      <c r="S974">
        <v>0.1409970456829488</v>
      </c>
      <c r="T974">
        <v>16.378418689703619</v>
      </c>
      <c r="U974">
        <v>1584.400404054973</v>
      </c>
      <c r="V974">
        <v>10.305980192706848</v>
      </c>
      <c r="W974">
        <v>1309.4757267911164</v>
      </c>
      <c r="X974">
        <v>7.3470611649977631</v>
      </c>
      <c r="Y974">
        <v>2923.2494817869683</v>
      </c>
      <c r="Z974">
        <v>10.352031402576024</v>
      </c>
      <c r="AA974">
        <v>2745.2506592832892</v>
      </c>
      <c r="AB974">
        <v>7.3736237273010428</v>
      </c>
      <c r="AC974">
        <v>2244.3615745670204</v>
      </c>
      <c r="AD974">
        <v>10.331671921455214</v>
      </c>
      <c r="AE974">
        <v>2028.6339534825386</v>
      </c>
      <c r="AF974">
        <v>7.3618926746909183</v>
      </c>
      <c r="AG974">
        <v>2153.7173604823561</v>
      </c>
      <c r="AH974">
        <v>10.319730457274668</v>
      </c>
      <c r="AI974">
        <v>1917.1460127878954</v>
      </c>
      <c r="AJ974">
        <v>7.3550029405942468</v>
      </c>
    </row>
    <row r="975" spans="4:36" x14ac:dyDescent="0.45">
      <c r="D975">
        <v>968</v>
      </c>
      <c r="E975">
        <v>13.260267042365529</v>
      </c>
      <c r="F975">
        <v>0.49026556730385379</v>
      </c>
      <c r="G975">
        <v>0.18100996427846749</v>
      </c>
      <c r="H975">
        <v>16.068457426052142</v>
      </c>
      <c r="I975">
        <v>13.497145750688961</v>
      </c>
      <c r="J975">
        <v>0.32240032654580264</v>
      </c>
      <c r="K975">
        <v>0.11864428355574189</v>
      </c>
      <c r="L975">
        <v>16.061809639209482</v>
      </c>
      <c r="M975">
        <v>13.416273213991017</v>
      </c>
      <c r="N975">
        <v>0.37974857034473786</v>
      </c>
      <c r="O975">
        <v>0.13990390271217254</v>
      </c>
      <c r="P975">
        <v>16.064074312952087</v>
      </c>
      <c r="Q975">
        <v>13.356885424806267</v>
      </c>
      <c r="R975">
        <v>0.42183687903053185</v>
      </c>
      <c r="S975">
        <v>0.15553709709545505</v>
      </c>
      <c r="T975">
        <v>16.065740599067738</v>
      </c>
      <c r="U975">
        <v>1619.1204256811982</v>
      </c>
      <c r="V975">
        <v>10.445510504658291</v>
      </c>
      <c r="W975">
        <v>1335.1648488858029</v>
      </c>
      <c r="X975">
        <v>7.4155327214916831</v>
      </c>
      <c r="Y975">
        <v>2913.8028622263437</v>
      </c>
      <c r="Z975">
        <v>10.49470638768503</v>
      </c>
      <c r="AA975">
        <v>2737.3894758630981</v>
      </c>
      <c r="AB975">
        <v>7.4434663703991992</v>
      </c>
      <c r="AC975">
        <v>2232.4581509949408</v>
      </c>
      <c r="AD975">
        <v>10.477913113426256</v>
      </c>
      <c r="AE975">
        <v>2021.1257774844792</v>
      </c>
      <c r="AF975">
        <v>7.4339413582817553</v>
      </c>
      <c r="AG975">
        <v>2156.2443469593031</v>
      </c>
      <c r="AH975">
        <v>10.465579431236218</v>
      </c>
      <c r="AI975">
        <v>1920.5875426663208</v>
      </c>
      <c r="AJ975">
        <v>7.4269390285473609</v>
      </c>
    </row>
    <row r="976" spans="4:36" x14ac:dyDescent="0.45">
      <c r="D976">
        <v>969</v>
      </c>
      <c r="E976">
        <v>11.473151292521418</v>
      </c>
      <c r="F976">
        <v>0.43581501167292164</v>
      </c>
      <c r="G976">
        <v>0.16879710639573547</v>
      </c>
      <c r="H976">
        <v>17.922236589409913</v>
      </c>
      <c r="I976">
        <v>11.69939329342831</v>
      </c>
      <c r="J976">
        <v>0.26427849229152217</v>
      </c>
      <c r="K976">
        <v>0.10199492421785708</v>
      </c>
      <c r="L976">
        <v>17.93433329006232</v>
      </c>
      <c r="M976">
        <v>11.620418011407191</v>
      </c>
      <c r="N976">
        <v>0.3241901605798973</v>
      </c>
      <c r="O976">
        <v>0.12527186166456261</v>
      </c>
      <c r="P976">
        <v>17.930119966348336</v>
      </c>
      <c r="Q976">
        <v>11.580449536752639</v>
      </c>
      <c r="R976">
        <v>0.35449746276370731</v>
      </c>
      <c r="S976">
        <v>0.13706914244134619</v>
      </c>
      <c r="T976">
        <v>17.927983858042307</v>
      </c>
      <c r="U976">
        <v>1503.6706647798126</v>
      </c>
      <c r="V976">
        <v>9.0460926655673592</v>
      </c>
      <c r="W976">
        <v>1263.8856158879546</v>
      </c>
      <c r="X976">
        <v>6.602111717044993</v>
      </c>
      <c r="Y976">
        <v>2852.8310574062589</v>
      </c>
      <c r="Z976">
        <v>9.0803986201645195</v>
      </c>
      <c r="AA976">
        <v>2702.8726869298816</v>
      </c>
      <c r="AB976">
        <v>6.6230391172354439</v>
      </c>
      <c r="AC976">
        <v>2188.4770799384664</v>
      </c>
      <c r="AD976">
        <v>9.0684172473103093</v>
      </c>
      <c r="AE976">
        <v>1999.9398952178929</v>
      </c>
      <c r="AF976">
        <v>6.6157416139428413</v>
      </c>
      <c r="AG976">
        <v>2072.7528289339857</v>
      </c>
      <c r="AH976">
        <v>9.0623560726497381</v>
      </c>
      <c r="AI976">
        <v>1872.1552118767218</v>
      </c>
      <c r="AJ976">
        <v>6.6120452960468796</v>
      </c>
    </row>
    <row r="977" spans="4:36" x14ac:dyDescent="0.45">
      <c r="D977">
        <v>970</v>
      </c>
      <c r="E977">
        <v>14.760537558311022</v>
      </c>
      <c r="F977">
        <v>0.53386067320119202</v>
      </c>
      <c r="G977">
        <v>0.18641076437027007</v>
      </c>
      <c r="H977">
        <v>14.519191004117516</v>
      </c>
      <c r="I977">
        <v>15.040491854437631</v>
      </c>
      <c r="J977">
        <v>0.35167026099679771</v>
      </c>
      <c r="K977">
        <v>0.12235981412695152</v>
      </c>
      <c r="L977">
        <v>14.485478070438637</v>
      </c>
      <c r="M977">
        <v>14.94034461306812</v>
      </c>
      <c r="N977">
        <v>0.41690121437717975</v>
      </c>
      <c r="O977">
        <v>0.14523935161282564</v>
      </c>
      <c r="P977">
        <v>14.49751482094188</v>
      </c>
      <c r="Q977">
        <v>14.915177565315657</v>
      </c>
      <c r="R977">
        <v>0.43328393554072986</v>
      </c>
      <c r="S977">
        <v>0.15099478145145939</v>
      </c>
      <c r="T977">
        <v>14.500543717692171</v>
      </c>
      <c r="U977">
        <v>1677.4488672492441</v>
      </c>
      <c r="V977">
        <v>11.706482975386091</v>
      </c>
      <c r="W977">
        <v>1360.3560109183907</v>
      </c>
      <c r="X977">
        <v>8.1413920586521886</v>
      </c>
      <c r="Y977">
        <v>2991.9825749742613</v>
      </c>
      <c r="Z977">
        <v>11.775898381072876</v>
      </c>
      <c r="AA977">
        <v>2782.1884932507478</v>
      </c>
      <c r="AB977">
        <v>8.179044849861306</v>
      </c>
      <c r="AC977">
        <v>2335.0400950104126</v>
      </c>
      <c r="AD977">
        <v>11.751080862695458</v>
      </c>
      <c r="AE977">
        <v>2080.9182948573839</v>
      </c>
      <c r="AF977">
        <v>8.1655954530880344</v>
      </c>
      <c r="AG977">
        <v>2225.7259977191916</v>
      </c>
      <c r="AH977">
        <v>11.744841725525013</v>
      </c>
      <c r="AI977">
        <v>1957.9364188288885</v>
      </c>
      <c r="AJ977">
        <v>8.1622121269001138</v>
      </c>
    </row>
    <row r="978" spans="4:36" x14ac:dyDescent="0.45">
      <c r="D978">
        <v>971</v>
      </c>
      <c r="E978">
        <v>12.011973079521786</v>
      </c>
      <c r="F978">
        <v>0.45251220685881993</v>
      </c>
      <c r="G978">
        <v>0.17777172811169623</v>
      </c>
      <c r="H978">
        <v>17.357742985507695</v>
      </c>
      <c r="I978">
        <v>12.225527260408441</v>
      </c>
      <c r="J978">
        <v>0.29067071375086423</v>
      </c>
      <c r="K978">
        <v>0.11383421550069059</v>
      </c>
      <c r="L978">
        <v>17.369967810340011</v>
      </c>
      <c r="M978">
        <v>12.16322115361746</v>
      </c>
      <c r="N978">
        <v>0.33791508627652889</v>
      </c>
      <c r="O978">
        <v>0.13245677154834706</v>
      </c>
      <c r="P978">
        <v>17.36640698855765</v>
      </c>
      <c r="Q978">
        <v>12.11673024852646</v>
      </c>
      <c r="R978">
        <v>0.37315356798127425</v>
      </c>
      <c r="S978">
        <v>0.14636930774646917</v>
      </c>
      <c r="T978">
        <v>17.363746875745804</v>
      </c>
      <c r="U978">
        <v>1507.2992197853175</v>
      </c>
      <c r="V978">
        <v>9.5389243529930212</v>
      </c>
      <c r="W978">
        <v>1263.9658419110167</v>
      </c>
      <c r="X978">
        <v>6.90055973646633</v>
      </c>
      <c r="Y978">
        <v>2888.2012369838199</v>
      </c>
      <c r="Z978">
        <v>9.5718556864908066</v>
      </c>
      <c r="AA978">
        <v>2725.6066777255692</v>
      </c>
      <c r="AB978">
        <v>6.9202384890874988</v>
      </c>
      <c r="AC978">
        <v>2188.8347925007383</v>
      </c>
      <c r="AD978">
        <v>9.5622447241257511</v>
      </c>
      <c r="AE978">
        <v>1997.9585408814614</v>
      </c>
      <c r="AF978">
        <v>6.9145033858349629</v>
      </c>
      <c r="AG978">
        <v>2071.7274104638732</v>
      </c>
      <c r="AH978">
        <v>9.555074916354064</v>
      </c>
      <c r="AI978">
        <v>1868.7966537858647</v>
      </c>
      <c r="AJ978">
        <v>6.9102206496139713</v>
      </c>
    </row>
    <row r="979" spans="4:36" x14ac:dyDescent="0.45">
      <c r="D979">
        <v>972</v>
      </c>
      <c r="E979">
        <v>13.349176775125153</v>
      </c>
      <c r="F979">
        <v>0.48471954310082499</v>
      </c>
      <c r="G979">
        <v>0.19464203626807289</v>
      </c>
      <c r="H979">
        <v>15.971461645505951</v>
      </c>
      <c r="I979">
        <v>13.570669985627161</v>
      </c>
      <c r="J979">
        <v>0.32272152539140009</v>
      </c>
      <c r="K979">
        <v>0.12919287520259312</v>
      </c>
      <c r="L979">
        <v>15.977415613778849</v>
      </c>
      <c r="M979">
        <v>13.462997131857996</v>
      </c>
      <c r="N979">
        <v>0.40150660104038188</v>
      </c>
      <c r="O979">
        <v>0.16097194660478387</v>
      </c>
      <c r="P979">
        <v>15.974524320496858</v>
      </c>
      <c r="Q979">
        <v>13.397900670531612</v>
      </c>
      <c r="R979">
        <v>0.44910688228309503</v>
      </c>
      <c r="S979">
        <v>0.18021894260816396</v>
      </c>
      <c r="T979">
        <v>15.972773504577129</v>
      </c>
      <c r="U979">
        <v>1592.6230783024498</v>
      </c>
      <c r="V979">
        <v>10.493157602423135</v>
      </c>
      <c r="W979">
        <v>1312.9902795617913</v>
      </c>
      <c r="X979">
        <v>7.4379995436148469</v>
      </c>
      <c r="Y979">
        <v>2924.9941933225346</v>
      </c>
      <c r="Z979">
        <v>10.532670259699403</v>
      </c>
      <c r="AA979">
        <v>2743.0211329403069</v>
      </c>
      <c r="AB979">
        <v>7.4608936422353498</v>
      </c>
      <c r="AC979">
        <v>2277.8201753275998</v>
      </c>
      <c r="AD979">
        <v>10.513459983485561</v>
      </c>
      <c r="AE979">
        <v>2049.0527689039163</v>
      </c>
      <c r="AF979">
        <v>7.4497726437263427</v>
      </c>
      <c r="AG979">
        <v>2203.6168512945178</v>
      </c>
      <c r="AH979">
        <v>10.501847994392559</v>
      </c>
      <c r="AI979">
        <v>1949.2464358237291</v>
      </c>
      <c r="AJ979">
        <v>7.4430415141330215</v>
      </c>
    </row>
    <row r="980" spans="4:36" x14ac:dyDescent="0.45">
      <c r="D980">
        <v>973</v>
      </c>
      <c r="E980">
        <v>11.891779080582531</v>
      </c>
      <c r="F980">
        <v>0.41718330431719558</v>
      </c>
      <c r="G980">
        <v>0.16802189596159101</v>
      </c>
      <c r="H980">
        <v>17.523015719138694</v>
      </c>
      <c r="I980">
        <v>12.076388187227519</v>
      </c>
      <c r="J980">
        <v>0.28200490304385922</v>
      </c>
      <c r="K980">
        <v>0.11324607575415037</v>
      </c>
      <c r="L980">
        <v>17.52836083397446</v>
      </c>
      <c r="M980">
        <v>12.001571499927241</v>
      </c>
      <c r="N980">
        <v>0.33681327833978492</v>
      </c>
      <c r="O980">
        <v>0.13541584015003669</v>
      </c>
      <c r="P980">
        <v>17.526199381582952</v>
      </c>
      <c r="Q980">
        <v>11.940128734494332</v>
      </c>
      <c r="R980">
        <v>0.38179939739545871</v>
      </c>
      <c r="S980">
        <v>0.15365241426110521</v>
      </c>
      <c r="T980">
        <v>17.524419453849106</v>
      </c>
      <c r="U980">
        <v>1486.0087757854062</v>
      </c>
      <c r="V980">
        <v>9.3300567866044197</v>
      </c>
      <c r="W980">
        <v>1253.4953966740461</v>
      </c>
      <c r="X980">
        <v>6.7646710119003846</v>
      </c>
      <c r="Y980">
        <v>2863.7504619493602</v>
      </c>
      <c r="Z980">
        <v>9.3579697879047643</v>
      </c>
      <c r="AA980">
        <v>2709.998260796408</v>
      </c>
      <c r="AB980">
        <v>6.7813636262510055</v>
      </c>
      <c r="AC980">
        <v>2168.1052158970251</v>
      </c>
      <c r="AD980">
        <v>9.346654767128701</v>
      </c>
      <c r="AE980">
        <v>1984.726957274609</v>
      </c>
      <c r="AF980">
        <v>6.7746041155589962</v>
      </c>
      <c r="AG980">
        <v>2093.4440891330241</v>
      </c>
      <c r="AH980">
        <v>9.337365113752643</v>
      </c>
      <c r="AI980">
        <v>1885.9248179829328</v>
      </c>
      <c r="AJ980">
        <v>6.7690472953213972</v>
      </c>
    </row>
    <row r="981" spans="4:36" x14ac:dyDescent="0.45">
      <c r="D981">
        <v>974</v>
      </c>
      <c r="E981">
        <v>13.239542610817502</v>
      </c>
      <c r="F981">
        <v>0.49223199543078089</v>
      </c>
      <c r="G981">
        <v>0.16979049259587753</v>
      </c>
      <c r="H981">
        <v>16.098434901155834</v>
      </c>
      <c r="I981">
        <v>13.548884262448157</v>
      </c>
      <c r="J981">
        <v>0.28414097138955657</v>
      </c>
      <c r="K981">
        <v>9.758877491965974E-2</v>
      </c>
      <c r="L981">
        <v>16.069385991242637</v>
      </c>
      <c r="M981">
        <v>13.438239722379151</v>
      </c>
      <c r="N981">
        <v>0.35864135721276325</v>
      </c>
      <c r="O981">
        <v>0.1233655042103721</v>
      </c>
      <c r="P981">
        <v>16.079753416197718</v>
      </c>
      <c r="Q981">
        <v>13.387923323978319</v>
      </c>
      <c r="R981">
        <v>0.39249495102000403</v>
      </c>
      <c r="S981">
        <v>0.13510532431877117</v>
      </c>
      <c r="T981">
        <v>16.084476400682902</v>
      </c>
      <c r="U981">
        <v>1578.1675062461441</v>
      </c>
      <c r="V981">
        <v>10.474087991499797</v>
      </c>
      <c r="W981">
        <v>1305.9464161142391</v>
      </c>
      <c r="X981">
        <v>7.4401819093355899</v>
      </c>
      <c r="Y981">
        <v>2913.160519603633</v>
      </c>
      <c r="Z981">
        <v>10.549614466659934</v>
      </c>
      <c r="AA981">
        <v>2739.6801913071677</v>
      </c>
      <c r="AB981">
        <v>7.4824105779317236</v>
      </c>
      <c r="AC981">
        <v>2246.5980587398167</v>
      </c>
      <c r="AD981">
        <v>10.522613134837858</v>
      </c>
      <c r="AE981">
        <v>2032.7735455270299</v>
      </c>
      <c r="AF981">
        <v>7.4673327728597663</v>
      </c>
      <c r="AG981">
        <v>2141.8258897899595</v>
      </c>
      <c r="AH981">
        <v>10.510329400054074</v>
      </c>
      <c r="AI981">
        <v>1912.4369514045115</v>
      </c>
      <c r="AJ981">
        <v>7.4604663556437139</v>
      </c>
    </row>
    <row r="982" spans="4:36" x14ac:dyDescent="0.45">
      <c r="D982">
        <v>975</v>
      </c>
      <c r="E982">
        <v>13.341469825522893</v>
      </c>
      <c r="F982">
        <v>0.53502003335561321</v>
      </c>
      <c r="G982">
        <v>0.19999008139248592</v>
      </c>
      <c r="H982">
        <v>15.923520059729015</v>
      </c>
      <c r="I982">
        <v>13.604307605749032</v>
      </c>
      <c r="J982">
        <v>0.33504917821606606</v>
      </c>
      <c r="K982">
        <v>0.12478517277026112</v>
      </c>
      <c r="L982">
        <v>15.935858043264643</v>
      </c>
      <c r="M982">
        <v>13.49197747432</v>
      </c>
      <c r="N982">
        <v>0.42055463084702799</v>
      </c>
      <c r="O982">
        <v>0.15687385929788067</v>
      </c>
      <c r="P982">
        <v>15.930594035535098</v>
      </c>
      <c r="Q982">
        <v>13.4797370561203</v>
      </c>
      <c r="R982">
        <v>0.42986814838593163</v>
      </c>
      <c r="S982">
        <v>0.16037517107740082</v>
      </c>
      <c r="T982">
        <v>15.930019624416355</v>
      </c>
      <c r="U982">
        <v>1588.8126768256172</v>
      </c>
      <c r="V982">
        <v>10.52951764740372</v>
      </c>
      <c r="W982">
        <v>1307.6087944058022</v>
      </c>
      <c r="X982">
        <v>7.4594332045898355</v>
      </c>
      <c r="Y982">
        <v>2926.9502141453017</v>
      </c>
      <c r="Z982">
        <v>10.573067621095539</v>
      </c>
      <c r="AA982">
        <v>2744.1699978931902</v>
      </c>
      <c r="AB982">
        <v>7.4849002640171411</v>
      </c>
      <c r="AC982">
        <v>2283.840251350427</v>
      </c>
      <c r="AD982">
        <v>10.554449900447388</v>
      </c>
      <c r="AE982">
        <v>2052.7651319153952</v>
      </c>
      <c r="AF982">
        <v>7.4740261256791189</v>
      </c>
      <c r="AG982">
        <v>2162.4792836065299</v>
      </c>
      <c r="AH982">
        <v>10.552421660516476</v>
      </c>
      <c r="AI982">
        <v>1922.2111410253217</v>
      </c>
      <c r="AJ982">
        <v>7.4728403087637032</v>
      </c>
    </row>
    <row r="983" spans="4:36" x14ac:dyDescent="0.45">
      <c r="D983">
        <v>976</v>
      </c>
      <c r="E983">
        <v>12.382601131874949</v>
      </c>
      <c r="F983">
        <v>0.44678868760414997</v>
      </c>
      <c r="G983">
        <v>0.14867409812683366</v>
      </c>
      <c r="H983">
        <v>17.021936082394074</v>
      </c>
      <c r="I983">
        <v>12.615621524889278</v>
      </c>
      <c r="J983">
        <v>0.27390122112066201</v>
      </c>
      <c r="K983">
        <v>9.0824784131681935E-2</v>
      </c>
      <c r="L983">
        <v>17.019652469858372</v>
      </c>
      <c r="M983">
        <v>12.487630601667993</v>
      </c>
      <c r="N983">
        <v>0.36890106818160229</v>
      </c>
      <c r="O983">
        <v>0.12256142295208199</v>
      </c>
      <c r="P983">
        <v>17.020906907198327</v>
      </c>
      <c r="Q983">
        <v>12.484439256126159</v>
      </c>
      <c r="R983">
        <v>0.37126862735956706</v>
      </c>
      <c r="S983">
        <v>0.12335393459485422</v>
      </c>
      <c r="T983">
        <v>17.020938181919416</v>
      </c>
      <c r="U983">
        <v>1509.7269867282159</v>
      </c>
      <c r="V983">
        <v>9.8171825519180071</v>
      </c>
      <c r="W983">
        <v>1266.3039270924635</v>
      </c>
      <c r="X983">
        <v>7.0667000674661793</v>
      </c>
      <c r="Y983">
        <v>2869.8069653743196</v>
      </c>
      <c r="Z983">
        <v>9.8664752357955745</v>
      </c>
      <c r="AA983">
        <v>2713.5755897497111</v>
      </c>
      <c r="AB983">
        <v>7.095355120418577</v>
      </c>
      <c r="AC983">
        <v>2222.1786828373961</v>
      </c>
      <c r="AD983">
        <v>9.839400126731972</v>
      </c>
      <c r="AE983">
        <v>2019.8170240601773</v>
      </c>
      <c r="AF983">
        <v>7.0796292070208784</v>
      </c>
      <c r="AG983">
        <v>2105.3211005768089</v>
      </c>
      <c r="AH983">
        <v>9.8387250365631402</v>
      </c>
      <c r="AI983">
        <v>1893.3503791286544</v>
      </c>
      <c r="AJ983">
        <v>7.079236678579548</v>
      </c>
    </row>
    <row r="984" spans="4:36" x14ac:dyDescent="0.45">
      <c r="D984">
        <v>977</v>
      </c>
      <c r="E984">
        <v>12.703052076215466</v>
      </c>
      <c r="F984">
        <v>0.44041902614264811</v>
      </c>
      <c r="G984">
        <v>0.16968129077941638</v>
      </c>
      <c r="H984">
        <v>16.686847606862468</v>
      </c>
      <c r="I984">
        <v>12.922729256691081</v>
      </c>
      <c r="J984">
        <v>0.28388664718134293</v>
      </c>
      <c r="K984">
        <v>0.10903103599998504</v>
      </c>
      <c r="L984">
        <v>16.684353060127588</v>
      </c>
      <c r="M984">
        <v>12.830721447032676</v>
      </c>
      <c r="N984">
        <v>0.34948292344553039</v>
      </c>
      <c r="O984">
        <v>0.13440008096414263</v>
      </c>
      <c r="P984">
        <v>16.685395548557661</v>
      </c>
      <c r="Q984">
        <v>12.797276176009834</v>
      </c>
      <c r="R984">
        <v>0.37331483190584247</v>
      </c>
      <c r="S984">
        <v>0.14363367321005652</v>
      </c>
      <c r="T984">
        <v>16.685775318874285</v>
      </c>
      <c r="U984">
        <v>1527.0639388405309</v>
      </c>
      <c r="V984">
        <v>10.023836134004865</v>
      </c>
      <c r="W984">
        <v>1275.5551551539349</v>
      </c>
      <c r="X984">
        <v>7.1785125627995372</v>
      </c>
      <c r="Y984">
        <v>2902.5054403345971</v>
      </c>
      <c r="Z984">
        <v>10.066697364505142</v>
      </c>
      <c r="AA984">
        <v>2733.9594095792322</v>
      </c>
      <c r="AB984">
        <v>7.2031221110541743</v>
      </c>
      <c r="AC984">
        <v>2221.4678655532989</v>
      </c>
      <c r="AD984">
        <v>10.048747476606955</v>
      </c>
      <c r="AE984">
        <v>2017.6762126613978</v>
      </c>
      <c r="AF984">
        <v>7.1928257546743124</v>
      </c>
      <c r="AG984">
        <v>2133.792054121348</v>
      </c>
      <c r="AH984">
        <v>10.042221980895494</v>
      </c>
      <c r="AI984">
        <v>1910.4919517049539</v>
      </c>
      <c r="AJ984">
        <v>7.1890791016221192</v>
      </c>
    </row>
    <row r="985" spans="4:36" x14ac:dyDescent="0.45">
      <c r="D985">
        <v>978</v>
      </c>
      <c r="E985">
        <v>12.30866855373759</v>
      </c>
      <c r="F985">
        <v>0.47741893617508757</v>
      </c>
      <c r="G985">
        <v>0.17285290358720465</v>
      </c>
      <c r="H985">
        <v>17.041059606500117</v>
      </c>
      <c r="I985">
        <v>12.520331030550583</v>
      </c>
      <c r="J985">
        <v>0.31000957301421417</v>
      </c>
      <c r="K985">
        <v>0.11187985420380163</v>
      </c>
      <c r="L985">
        <v>17.057779542231401</v>
      </c>
      <c r="M985">
        <v>12.429723585486258</v>
      </c>
      <c r="N985">
        <v>0.38169971574988742</v>
      </c>
      <c r="O985">
        <v>0.13794170742940573</v>
      </c>
      <c r="P985">
        <v>17.050634991334459</v>
      </c>
      <c r="Q985">
        <v>12.376566106995169</v>
      </c>
      <c r="R985">
        <v>0.42374049521512525</v>
      </c>
      <c r="S985">
        <v>0.15325888348488673</v>
      </c>
      <c r="T985">
        <v>17.046434514304806</v>
      </c>
      <c r="U985">
        <v>1490.9268506687158</v>
      </c>
      <c r="V985">
        <v>9.8140151631726038</v>
      </c>
      <c r="W985">
        <v>1249.7850353107895</v>
      </c>
      <c r="X985">
        <v>7.0647840286804948</v>
      </c>
      <c r="Y985">
        <v>2887.6059140891757</v>
      </c>
      <c r="Z985">
        <v>9.8459486645592111</v>
      </c>
      <c r="AA985">
        <v>2723.3940727314321</v>
      </c>
      <c r="AB985">
        <v>7.0842309970178547</v>
      </c>
      <c r="AC985">
        <v>2229.7339107449111</v>
      </c>
      <c r="AD985">
        <v>9.8322708989126752</v>
      </c>
      <c r="AE985">
        <v>2023.865822576618</v>
      </c>
      <c r="AF985">
        <v>7.0759117635112689</v>
      </c>
      <c r="AG985">
        <v>2117.4077192730938</v>
      </c>
      <c r="AH985">
        <v>9.8242518805093102</v>
      </c>
      <c r="AI985">
        <v>1897.7321215481666</v>
      </c>
      <c r="AJ985">
        <v>7.0710272043621201</v>
      </c>
    </row>
    <row r="986" spans="4:36" x14ac:dyDescent="0.45">
      <c r="D986">
        <v>979</v>
      </c>
      <c r="E986">
        <v>14.410786860207203</v>
      </c>
      <c r="F986">
        <v>0.54534793960913308</v>
      </c>
      <c r="G986">
        <v>0.18436235110714178</v>
      </c>
      <c r="H986">
        <v>14.859502849076513</v>
      </c>
      <c r="I986">
        <v>14.710443894565023</v>
      </c>
      <c r="J986">
        <v>0.33280302358545422</v>
      </c>
      <c r="K986">
        <v>0.11207867378523206</v>
      </c>
      <c r="L986">
        <v>14.844674408064298</v>
      </c>
      <c r="M986">
        <v>14.575271077797659</v>
      </c>
      <c r="N986">
        <v>0.42874262169388344</v>
      </c>
      <c r="O986">
        <v>0.1446368007831963</v>
      </c>
      <c r="P986">
        <v>14.85134949972524</v>
      </c>
      <c r="Q986">
        <v>14.52138312428859</v>
      </c>
      <c r="R986">
        <v>0.46696141124005019</v>
      </c>
      <c r="S986">
        <v>0.15763853290575433</v>
      </c>
      <c r="T986">
        <v>14.854016931565601</v>
      </c>
      <c r="U986">
        <v>1696.1963095848112</v>
      </c>
      <c r="V986">
        <v>11.428004426087513</v>
      </c>
      <c r="W986">
        <v>1372.5133721874463</v>
      </c>
      <c r="X986">
        <v>7.9807843315326767</v>
      </c>
      <c r="Y986">
        <v>2954.1305868760155</v>
      </c>
      <c r="Z986">
        <v>11.489033894068262</v>
      </c>
      <c r="AA986">
        <v>2757.0380769514918</v>
      </c>
      <c r="AB986">
        <v>8.0145126226757277</v>
      </c>
      <c r="AC986">
        <v>2351.0616240891063</v>
      </c>
      <c r="AD986">
        <v>11.461512935971257</v>
      </c>
      <c r="AE986">
        <v>2091.2600722895427</v>
      </c>
      <c r="AF986">
        <v>7.9993172353724127</v>
      </c>
      <c r="AG986">
        <v>2223.6511373246308</v>
      </c>
      <c r="AH986">
        <v>11.450537362892703</v>
      </c>
      <c r="AI986">
        <v>1953.9965692939013</v>
      </c>
      <c r="AJ986">
        <v>7.9932507034659199</v>
      </c>
    </row>
    <row r="987" spans="4:36" x14ac:dyDescent="0.45">
      <c r="D987">
        <v>980</v>
      </c>
      <c r="E987">
        <v>13.060631982523276</v>
      </c>
      <c r="F987">
        <v>0.48154901838468223</v>
      </c>
      <c r="G987">
        <v>0.161606197991361</v>
      </c>
      <c r="H987">
        <v>16.29621280110068</v>
      </c>
      <c r="I987">
        <v>13.258043022345085</v>
      </c>
      <c r="J987">
        <v>0.3313231054319945</v>
      </c>
      <c r="K987">
        <v>0.11089205711036353</v>
      </c>
      <c r="L987">
        <v>16.299741815112554</v>
      </c>
      <c r="M987">
        <v>13.187352499690501</v>
      </c>
      <c r="N987">
        <v>0.38514032321336134</v>
      </c>
      <c r="O987">
        <v>0.12902817505621395</v>
      </c>
      <c r="P987">
        <v>16.298479002039926</v>
      </c>
      <c r="Q987">
        <v>13.13994766092155</v>
      </c>
      <c r="R987">
        <v>0.421215568240009</v>
      </c>
      <c r="S987">
        <v>0.14120515905184031</v>
      </c>
      <c r="T987">
        <v>16.297631611786606</v>
      </c>
      <c r="U987">
        <v>1557.850007902254</v>
      </c>
      <c r="V987">
        <v>10.285941279270865</v>
      </c>
      <c r="W987">
        <v>1293.7496912157269</v>
      </c>
      <c r="X987">
        <v>7.3255163480373708</v>
      </c>
      <c r="Y987">
        <v>2927.8055222295461</v>
      </c>
      <c r="Z987">
        <v>10.32394781767106</v>
      </c>
      <c r="AA987">
        <v>2747.9994876876553</v>
      </c>
      <c r="AB987">
        <v>7.3474304277885514</v>
      </c>
      <c r="AC987">
        <v>2238.2082634120102</v>
      </c>
      <c r="AD987">
        <v>10.310337915138479</v>
      </c>
      <c r="AE987">
        <v>2026.3278114737277</v>
      </c>
      <c r="AF987">
        <v>7.3395906182926822</v>
      </c>
      <c r="AG987">
        <v>2134.7916590440855</v>
      </c>
      <c r="AH987">
        <v>10.301211293893669</v>
      </c>
      <c r="AI987">
        <v>1906.8830879605046</v>
      </c>
      <c r="AJ987">
        <v>7.3343286844509334</v>
      </c>
    </row>
    <row r="988" spans="4:36" x14ac:dyDescent="0.45">
      <c r="D988">
        <v>981</v>
      </c>
      <c r="E988">
        <v>13.279979195114777</v>
      </c>
      <c r="F988">
        <v>0.47183439189029047</v>
      </c>
      <c r="G988">
        <v>0.15772369019682225</v>
      </c>
      <c r="H988">
        <v>16.09046272279809</v>
      </c>
      <c r="I988">
        <v>13.524547353498123</v>
      </c>
      <c r="J988">
        <v>0.30184627974249506</v>
      </c>
      <c r="K988">
        <v>0.10055239243446802</v>
      </c>
      <c r="L988">
        <v>16.073053974324925</v>
      </c>
      <c r="M988">
        <v>13.408482499729777</v>
      </c>
      <c r="N988">
        <v>0.38256345123886615</v>
      </c>
      <c r="O988">
        <v>0.12764957716045275</v>
      </c>
      <c r="P988">
        <v>16.081304471870897</v>
      </c>
      <c r="Q988">
        <v>13.367394436110033</v>
      </c>
      <c r="R988">
        <v>0.41111832432382123</v>
      </c>
      <c r="S988">
        <v>0.13725718669065512</v>
      </c>
      <c r="T988">
        <v>16.08423005287548</v>
      </c>
      <c r="U988">
        <v>1592.9485241822913</v>
      </c>
      <c r="V988">
        <v>10.449707424123915</v>
      </c>
      <c r="W988">
        <v>1313.6146074557848</v>
      </c>
      <c r="X988">
        <v>7.4197246530816487</v>
      </c>
      <c r="Y988">
        <v>2944.9991260468928</v>
      </c>
      <c r="Z988">
        <v>10.504020846913386</v>
      </c>
      <c r="AA988">
        <v>2758.4585166683446</v>
      </c>
      <c r="AB988">
        <v>7.4502147366007314</v>
      </c>
      <c r="AC988">
        <v>2283.7942074282814</v>
      </c>
      <c r="AD988">
        <v>10.478251852286323</v>
      </c>
      <c r="AE988">
        <v>2054.2532565614588</v>
      </c>
      <c r="AF988">
        <v>7.4357609489109189</v>
      </c>
      <c r="AG988">
        <v>2191.4137310477686</v>
      </c>
      <c r="AH988">
        <v>10.469126552280164</v>
      </c>
      <c r="AI988">
        <v>1942.8816579180093</v>
      </c>
      <c r="AJ988">
        <v>7.4306373088993993</v>
      </c>
    </row>
    <row r="989" spans="4:36" x14ac:dyDescent="0.45">
      <c r="D989">
        <v>982</v>
      </c>
      <c r="E989">
        <v>12.018944492734265</v>
      </c>
      <c r="F989">
        <v>0.40848997094731393</v>
      </c>
      <c r="G989">
        <v>0.1404467810920785</v>
      </c>
      <c r="H989">
        <v>17.432118755226341</v>
      </c>
      <c r="I989">
        <v>12.202145568167111</v>
      </c>
      <c r="J989">
        <v>0.27131850046409561</v>
      </c>
      <c r="K989">
        <v>9.3029308307527328E-2</v>
      </c>
      <c r="L989">
        <v>17.433506623061252</v>
      </c>
      <c r="M989">
        <v>12.116194739951407</v>
      </c>
      <c r="N989">
        <v>0.33569762766399752</v>
      </c>
      <c r="O989">
        <v>0.11525111745442297</v>
      </c>
      <c r="P989">
        <v>17.43285651493018</v>
      </c>
      <c r="Q989">
        <v>12.048848898991711</v>
      </c>
      <c r="R989">
        <v>0.38611207787155388</v>
      </c>
      <c r="S989">
        <v>0.13269315842413196</v>
      </c>
      <c r="T989">
        <v>17.432345864712588</v>
      </c>
      <c r="U989">
        <v>1501.7014903018901</v>
      </c>
      <c r="V989">
        <v>9.4669404719222623</v>
      </c>
      <c r="W989">
        <v>1266.1165312311418</v>
      </c>
      <c r="X989">
        <v>6.8561929108652384</v>
      </c>
      <c r="Y989">
        <v>2859.1784825338841</v>
      </c>
      <c r="Z989">
        <v>9.5027450059712351</v>
      </c>
      <c r="AA989">
        <v>2707.8871126973872</v>
      </c>
      <c r="AB989">
        <v>6.8772474951230613</v>
      </c>
      <c r="AC989">
        <v>2161.7956164077623</v>
      </c>
      <c r="AD989">
        <v>9.4859460946318741</v>
      </c>
      <c r="AE989">
        <v>1980.6957219613203</v>
      </c>
      <c r="AF989">
        <v>6.8673774244525241</v>
      </c>
      <c r="AG989">
        <v>2084.0029776543847</v>
      </c>
      <c r="AH989">
        <v>9.472784494604749</v>
      </c>
      <c r="AI989">
        <v>1879.2625775702995</v>
      </c>
      <c r="AJ989">
        <v>6.8596340668044933</v>
      </c>
    </row>
    <row r="990" spans="4:36" x14ac:dyDescent="0.45">
      <c r="D990">
        <v>983</v>
      </c>
      <c r="E990">
        <v>10.650963609558303</v>
      </c>
      <c r="F990">
        <v>0.36892679331309114</v>
      </c>
      <c r="G990">
        <v>0.13193803231864881</v>
      </c>
      <c r="H990">
        <v>18.848171564809959</v>
      </c>
      <c r="I990">
        <v>10.822646399658709</v>
      </c>
      <c r="J990">
        <v>0.23661136445572203</v>
      </c>
      <c r="K990">
        <v>8.438030061753389E-2</v>
      </c>
      <c r="L990">
        <v>18.856361935268033</v>
      </c>
      <c r="M990">
        <v>10.747223129404421</v>
      </c>
      <c r="N990">
        <v>0.29476013031200587</v>
      </c>
      <c r="O990">
        <v>0.10524712843965435</v>
      </c>
      <c r="P990">
        <v>18.852769611843915</v>
      </c>
      <c r="Q990">
        <v>10.710387788919737</v>
      </c>
      <c r="R990">
        <v>0.32314740178567208</v>
      </c>
      <c r="S990">
        <v>0.11545294544293278</v>
      </c>
      <c r="T990">
        <v>18.851011863851642</v>
      </c>
      <c r="U990">
        <v>1430.6699179146226</v>
      </c>
      <c r="V990">
        <v>8.4825216438439668</v>
      </c>
      <c r="W990">
        <v>1226.6181014334486</v>
      </c>
      <c r="X990">
        <v>6.2880364897886025</v>
      </c>
      <c r="Y990">
        <v>2806.8578919871989</v>
      </c>
      <c r="Z990">
        <v>8.5127890584399726</v>
      </c>
      <c r="AA990">
        <v>2678.2196495871731</v>
      </c>
      <c r="AB990">
        <v>6.3067088555200401</v>
      </c>
      <c r="AC990">
        <v>2140.7209918418321</v>
      </c>
      <c r="AD990">
        <v>8.499488242626839</v>
      </c>
      <c r="AE990">
        <v>1975.9359174530064</v>
      </c>
      <c r="AF990">
        <v>6.2985125590093594</v>
      </c>
      <c r="AG990">
        <v>2008.4351081912766</v>
      </c>
      <c r="AH990">
        <v>8.4929945315360715</v>
      </c>
      <c r="AI990">
        <v>1836.5781803349698</v>
      </c>
      <c r="AJ990">
        <v>6.2945057767958961</v>
      </c>
    </row>
    <row r="991" spans="4:36" x14ac:dyDescent="0.45">
      <c r="D991">
        <v>984</v>
      </c>
      <c r="E991">
        <v>12.722087437060173</v>
      </c>
      <c r="F991">
        <v>0.47529483180393389</v>
      </c>
      <c r="G991">
        <v>0.18010682354641422</v>
      </c>
      <c r="H991">
        <v>16.622510907589486</v>
      </c>
      <c r="I991">
        <v>12.951684698371642</v>
      </c>
      <c r="J991">
        <v>0.30548657265594947</v>
      </c>
      <c r="K991">
        <v>0.11538592059765096</v>
      </c>
      <c r="L991">
        <v>16.627442808374763</v>
      </c>
      <c r="M991">
        <v>12.898021730493051</v>
      </c>
      <c r="N991">
        <v>0.34520172605419269</v>
      </c>
      <c r="O991">
        <v>0.13048497241346024</v>
      </c>
      <c r="P991">
        <v>16.626291571039303</v>
      </c>
      <c r="Q991">
        <v>12.82904358269645</v>
      </c>
      <c r="R991">
        <v>0.39622779497761762</v>
      </c>
      <c r="S991">
        <v>0.14991816772656602</v>
      </c>
      <c r="T991">
        <v>16.624810454599373</v>
      </c>
      <c r="U991">
        <v>1538.9685699523393</v>
      </c>
      <c r="V991">
        <v>10.116530662955087</v>
      </c>
      <c r="W991">
        <v>1281.619735597639</v>
      </c>
      <c r="X991">
        <v>7.2387238808351819</v>
      </c>
      <c r="Y991">
        <v>2913.9098309265878</v>
      </c>
      <c r="Z991">
        <v>10.158952434030198</v>
      </c>
      <c r="AA991">
        <v>2740.5723578796196</v>
      </c>
      <c r="AB991">
        <v>7.263471986030213</v>
      </c>
      <c r="AC991">
        <v>2215.8879963686977</v>
      </c>
      <c r="AD991">
        <v>10.149035973584851</v>
      </c>
      <c r="AE991">
        <v>2014.0096453805079</v>
      </c>
      <c r="AF991">
        <v>7.2576951114690464</v>
      </c>
      <c r="AG991">
        <v>2119.6800940111507</v>
      </c>
      <c r="AH991">
        <v>10.136290619471387</v>
      </c>
      <c r="AI991">
        <v>1898.6698512761188</v>
      </c>
      <c r="AJ991">
        <v>7.2502629321115197</v>
      </c>
    </row>
    <row r="992" spans="4:36" x14ac:dyDescent="0.45">
      <c r="D992">
        <v>985</v>
      </c>
      <c r="E992">
        <v>11.622867968709192</v>
      </c>
      <c r="F992">
        <v>0.41951497607367555</v>
      </c>
      <c r="G992">
        <v>0.15391037097873631</v>
      </c>
      <c r="H992">
        <v>17.803706684238399</v>
      </c>
      <c r="I992">
        <v>11.809293848610169</v>
      </c>
      <c r="J992">
        <v>0.2721497539585867</v>
      </c>
      <c r="K992">
        <v>9.9574520468451139E-2</v>
      </c>
      <c r="L992">
        <v>17.818981876962788</v>
      </c>
      <c r="M992">
        <v>11.741248301970733</v>
      </c>
      <c r="N992">
        <v>0.32595816350658702</v>
      </c>
      <c r="O992">
        <v>0.1193798904025395</v>
      </c>
      <c r="P992">
        <v>17.813413644120125</v>
      </c>
      <c r="Q992">
        <v>11.671414826079243</v>
      </c>
      <c r="R992">
        <v>0.38115652419243234</v>
      </c>
      <c r="S992">
        <v>0.13973816209555187</v>
      </c>
      <c r="T992">
        <v>17.807690487632762</v>
      </c>
      <c r="U992">
        <v>1450.4163472978762</v>
      </c>
      <c r="V992">
        <v>9.0976114177120895</v>
      </c>
      <c r="W992">
        <v>1228.7613687019048</v>
      </c>
      <c r="X992">
        <v>6.6263517594810075</v>
      </c>
      <c r="Y992">
        <v>2831.3397815158824</v>
      </c>
      <c r="Z992">
        <v>9.1227782460085827</v>
      </c>
      <c r="AA992">
        <v>2688.1372757818481</v>
      </c>
      <c r="AB992">
        <v>6.6416971294520168</v>
      </c>
      <c r="AC992">
        <v>2166.0488175893302</v>
      </c>
      <c r="AD992">
        <v>9.1135886649377262</v>
      </c>
      <c r="AE992">
        <v>1985.3275394809743</v>
      </c>
      <c r="AF992">
        <v>6.6361007040787383</v>
      </c>
      <c r="AG992">
        <v>2094.6161695242045</v>
      </c>
      <c r="AH992">
        <v>9.1041620084319472</v>
      </c>
      <c r="AI992">
        <v>1888.2172449353195</v>
      </c>
      <c r="AJ992">
        <v>6.6303516945610257</v>
      </c>
    </row>
    <row r="993" spans="4:36" x14ac:dyDescent="0.45">
      <c r="D993">
        <v>986</v>
      </c>
      <c r="E993">
        <v>13.55902541782088</v>
      </c>
      <c r="F993">
        <v>0.44238291246276662</v>
      </c>
      <c r="G993">
        <v>0.15960308593380076</v>
      </c>
      <c r="H993">
        <v>15.83898858378255</v>
      </c>
      <c r="I993">
        <v>13.782768994968118</v>
      </c>
      <c r="J993">
        <v>0.29799203378231687</v>
      </c>
      <c r="K993">
        <v>0.10717944937174284</v>
      </c>
      <c r="L993">
        <v>15.812059521877808</v>
      </c>
      <c r="M993">
        <v>13.691404958487723</v>
      </c>
      <c r="N993">
        <v>0.35699355975381264</v>
      </c>
      <c r="O993">
        <v>0.12856140039045721</v>
      </c>
      <c r="P993">
        <v>15.823040081368026</v>
      </c>
      <c r="Q993">
        <v>13.621761658708419</v>
      </c>
      <c r="R993">
        <v>0.40193061900883892</v>
      </c>
      <c r="S993">
        <v>0.14488303639846203</v>
      </c>
      <c r="T993">
        <v>15.831424685884283</v>
      </c>
      <c r="U993">
        <v>1527.9375347778989</v>
      </c>
      <c r="V993">
        <v>10.626765329950974</v>
      </c>
      <c r="W993">
        <v>1273.206121333762</v>
      </c>
      <c r="X993">
        <v>7.5191108332666703</v>
      </c>
      <c r="Y993">
        <v>2900.4609023358089</v>
      </c>
      <c r="Z993">
        <v>10.683020758698643</v>
      </c>
      <c r="AA993">
        <v>2729.5251707380889</v>
      </c>
      <c r="AB993">
        <v>7.5503002948461386</v>
      </c>
      <c r="AC993">
        <v>2232.0125535322895</v>
      </c>
      <c r="AD993">
        <v>10.660057720064662</v>
      </c>
      <c r="AE993">
        <v>2022.2789890235961</v>
      </c>
      <c r="AF993">
        <v>7.5375792394508077</v>
      </c>
      <c r="AG993">
        <v>2115.6979607208568</v>
      </c>
      <c r="AH993">
        <v>10.642546060188188</v>
      </c>
      <c r="AI993">
        <v>1893.035723955848</v>
      </c>
      <c r="AJ993">
        <v>7.527868661352664</v>
      </c>
    </row>
    <row r="994" spans="4:36" x14ac:dyDescent="0.45">
      <c r="D994">
        <v>987</v>
      </c>
      <c r="E994">
        <v>11.273149569376692</v>
      </c>
      <c r="F994">
        <v>0.37585717850967681</v>
      </c>
      <c r="G994">
        <v>0.16847395774138182</v>
      </c>
      <c r="H994">
        <v>18.182519294372259</v>
      </c>
      <c r="I994">
        <v>11.447068897730253</v>
      </c>
      <c r="J994">
        <v>0.24850591876027572</v>
      </c>
      <c r="K994">
        <v>0.11105366762104427</v>
      </c>
      <c r="L994">
        <v>18.193371515888433</v>
      </c>
      <c r="M994">
        <v>11.381970259891645</v>
      </c>
      <c r="N994">
        <v>0.29619566230192312</v>
      </c>
      <c r="O994">
        <v>0.13251489889405788</v>
      </c>
      <c r="P994">
        <v>18.18931917891237</v>
      </c>
      <c r="Q994">
        <v>11.328085408707187</v>
      </c>
      <c r="R994">
        <v>0.33565084558258984</v>
      </c>
      <c r="S994">
        <v>0.15030760054421791</v>
      </c>
      <c r="T994">
        <v>18.185956145166013</v>
      </c>
      <c r="U994">
        <v>1427.5357425830987</v>
      </c>
      <c r="V994">
        <v>8.9538980032513535</v>
      </c>
      <c r="W994">
        <v>1215.7894074009955</v>
      </c>
      <c r="X994">
        <v>6.562290415485279</v>
      </c>
      <c r="Y994">
        <v>2842.6517381177941</v>
      </c>
      <c r="Z994">
        <v>8.9824205027781634</v>
      </c>
      <c r="AA994">
        <v>2698.5631611363956</v>
      </c>
      <c r="AB994">
        <v>6.5799168447600946</v>
      </c>
      <c r="AC994">
        <v>2133.9692866519908</v>
      </c>
      <c r="AD994">
        <v>8.9717388974549674</v>
      </c>
      <c r="AE994">
        <v>1964.499198643718</v>
      </c>
      <c r="AF994">
        <v>6.5733240838032669</v>
      </c>
      <c r="AG994">
        <v>2041.6279865522715</v>
      </c>
      <c r="AH994">
        <v>8.9629022798621367</v>
      </c>
      <c r="AI994">
        <v>1853.2807123673115</v>
      </c>
      <c r="AJ994">
        <v>6.5678625810938653</v>
      </c>
    </row>
    <row r="995" spans="4:36" x14ac:dyDescent="0.45">
      <c r="D995">
        <v>988</v>
      </c>
      <c r="E995">
        <v>12.473148028095363</v>
      </c>
      <c r="F995">
        <v>0.44342136771305141</v>
      </c>
      <c r="G995">
        <v>0.18273900257303508</v>
      </c>
      <c r="H995">
        <v>16.900691601618544</v>
      </c>
      <c r="I995">
        <v>12.699062763424756</v>
      </c>
      <c r="J995">
        <v>0.2857320844077193</v>
      </c>
      <c r="K995">
        <v>0.11735230126157023</v>
      </c>
      <c r="L995">
        <v>16.897852850905945</v>
      </c>
      <c r="M995">
        <v>12.605522800313864</v>
      </c>
      <c r="N995">
        <v>0.35106256185534257</v>
      </c>
      <c r="O995">
        <v>0.14438699597095583</v>
      </c>
      <c r="P995">
        <v>16.899027641859828</v>
      </c>
      <c r="Q995">
        <v>12.559430912814339</v>
      </c>
      <c r="R995">
        <v>0.38323386485186633</v>
      </c>
      <c r="S995">
        <v>0.15772839306199815</v>
      </c>
      <c r="T995">
        <v>16.899606829271793</v>
      </c>
      <c r="U995">
        <v>1525.5640050053619</v>
      </c>
      <c r="V995">
        <v>9.9171218130106986</v>
      </c>
      <c r="W995">
        <v>1275.5370314060617</v>
      </c>
      <c r="X995">
        <v>7.1248711087510594</v>
      </c>
      <c r="Y995">
        <v>2884.4877958226293</v>
      </c>
      <c r="Z995">
        <v>9.9606103881951675</v>
      </c>
      <c r="AA995">
        <v>2721.6713219174189</v>
      </c>
      <c r="AB995">
        <v>7.1499791988516064</v>
      </c>
      <c r="AC995">
        <v>2222.5933963018488</v>
      </c>
      <c r="AD995">
        <v>9.9426050926633476</v>
      </c>
      <c r="AE995">
        <v>2019.4018703423931</v>
      </c>
      <c r="AF995">
        <v>7.1395946898604983</v>
      </c>
      <c r="AG995">
        <v>2100.7728509129497</v>
      </c>
      <c r="AH995">
        <v>9.9337323771394086</v>
      </c>
      <c r="AI995">
        <v>1887.043306327233</v>
      </c>
      <c r="AJ995">
        <v>7.134471765968506</v>
      </c>
    </row>
    <row r="996" spans="4:36" x14ac:dyDescent="0.45">
      <c r="D996">
        <v>989</v>
      </c>
      <c r="E996">
        <v>12.772982296639265</v>
      </c>
      <c r="F996">
        <v>0.49542550655326267</v>
      </c>
      <c r="G996">
        <v>0.16128827650063204</v>
      </c>
      <c r="H996">
        <v>16.570303920306827</v>
      </c>
      <c r="I996">
        <v>12.988718363867338</v>
      </c>
      <c r="J996">
        <v>0.32995855894495507</v>
      </c>
      <c r="K996">
        <v>0.1070815993591161</v>
      </c>
      <c r="L996">
        <v>16.574241477828608</v>
      </c>
      <c r="M996">
        <v>12.905953001459185</v>
      </c>
      <c r="N996">
        <v>0.39346683202425631</v>
      </c>
      <c r="O996">
        <v>0.12784581009824753</v>
      </c>
      <c r="P996">
        <v>16.572734356418305</v>
      </c>
      <c r="Q996">
        <v>12.857403947424199</v>
      </c>
      <c r="R996">
        <v>0.43070362433285669</v>
      </c>
      <c r="S996">
        <v>0.14004414353819644</v>
      </c>
      <c r="T996">
        <v>16.571848284704767</v>
      </c>
      <c r="U996">
        <v>1599.9789466625562</v>
      </c>
      <c r="V996">
        <v>10.043432410719985</v>
      </c>
      <c r="W996">
        <v>1322.2110015454787</v>
      </c>
      <c r="X996">
        <v>7.1802704872656662</v>
      </c>
      <c r="Y996">
        <v>2933.5587096605036</v>
      </c>
      <c r="Z996">
        <v>10.081437729677329</v>
      </c>
      <c r="AA996">
        <v>2751.6308447686743</v>
      </c>
      <c r="AB996">
        <v>7.2023910759409828</v>
      </c>
      <c r="AC996">
        <v>2247.9446850969771</v>
      </c>
      <c r="AD996">
        <v>10.066855811736131</v>
      </c>
      <c r="AE996">
        <v>2032.0177254350806</v>
      </c>
      <c r="AF996">
        <v>7.1939129257093386</v>
      </c>
      <c r="AG996">
        <v>2162.3872541663291</v>
      </c>
      <c r="AH996">
        <v>10.058303114194326</v>
      </c>
      <c r="AI996">
        <v>1925.2402690478971</v>
      </c>
      <c r="AJ996">
        <v>7.1889350065997544</v>
      </c>
    </row>
    <row r="997" spans="4:36" x14ac:dyDescent="0.45">
      <c r="D997">
        <v>990</v>
      </c>
      <c r="E997">
        <v>12.900133651652384</v>
      </c>
      <c r="F997">
        <v>0.48815363784448312</v>
      </c>
      <c r="G997">
        <v>0.17746105508265897</v>
      </c>
      <c r="H997">
        <v>16.434251655420457</v>
      </c>
      <c r="I997">
        <v>13.152557390421652</v>
      </c>
      <c r="J997">
        <v>0.30409869386946148</v>
      </c>
      <c r="K997">
        <v>0.11016488951167898</v>
      </c>
      <c r="L997">
        <v>16.433179026197216</v>
      </c>
      <c r="M997">
        <v>13.05141501645668</v>
      </c>
      <c r="N997">
        <v>0.37789057819648147</v>
      </c>
      <c r="O997">
        <v>0.13708816769775453</v>
      </c>
      <c r="P997">
        <v>16.433606237649087</v>
      </c>
      <c r="Q997">
        <v>12.994294602037719</v>
      </c>
      <c r="R997">
        <v>0.41953891199135396</v>
      </c>
      <c r="S997">
        <v>0.15231746509894883</v>
      </c>
      <c r="T997">
        <v>16.433849020871968</v>
      </c>
      <c r="U997">
        <v>1564.7759184609581</v>
      </c>
      <c r="V997">
        <v>10.231683636772013</v>
      </c>
      <c r="W997">
        <v>1296.8956880544031</v>
      </c>
      <c r="X997">
        <v>7.3025501066035527</v>
      </c>
      <c r="Y997">
        <v>2925.4174824724873</v>
      </c>
      <c r="Z997">
        <v>10.283320046843475</v>
      </c>
      <c r="AA997">
        <v>2747.3824745912225</v>
      </c>
      <c r="AB997">
        <v>7.3321764938413798</v>
      </c>
      <c r="AC997">
        <v>2228.8039327717975</v>
      </c>
      <c r="AD997">
        <v>10.262631835725477</v>
      </c>
      <c r="AE997">
        <v>2019.0249023126178</v>
      </c>
      <c r="AF997">
        <v>7.3203199114140514</v>
      </c>
      <c r="AG997">
        <v>2153.3216658051115</v>
      </c>
      <c r="AH997">
        <v>10.250947105291679</v>
      </c>
      <c r="AI997">
        <v>1919.0968964161564</v>
      </c>
      <c r="AJ997">
        <v>7.3136154856820239</v>
      </c>
    </row>
    <row r="998" spans="4:36" x14ac:dyDescent="0.45">
      <c r="D998">
        <v>991</v>
      </c>
      <c r="E998">
        <v>12.890967320285736</v>
      </c>
      <c r="F998">
        <v>0.49719229811965632</v>
      </c>
      <c r="G998">
        <v>0.18046759468288745</v>
      </c>
      <c r="H998">
        <v>16.431372786911712</v>
      </c>
      <c r="I998">
        <v>13.172872674422651</v>
      </c>
      <c r="J998">
        <v>0.29392346834756411</v>
      </c>
      <c r="K998">
        <v>0.10623863577712031</v>
      </c>
      <c r="L998">
        <v>16.426965221452662</v>
      </c>
      <c r="M998">
        <v>13.083675048194928</v>
      </c>
      <c r="N998">
        <v>0.35829003969857315</v>
      </c>
      <c r="O998">
        <v>0.12967531118782605</v>
      </c>
      <c r="P998">
        <v>16.428359600918682</v>
      </c>
      <c r="Q998">
        <v>13.01252394714966</v>
      </c>
      <c r="R998">
        <v>0.40960067049775051</v>
      </c>
      <c r="S998">
        <v>0.14840336645045804</v>
      </c>
      <c r="T998">
        <v>16.429472015902125</v>
      </c>
      <c r="U998">
        <v>1581.6504959898098</v>
      </c>
      <c r="V998">
        <v>10.186109192820648</v>
      </c>
      <c r="W998">
        <v>1308.839405823262</v>
      </c>
      <c r="X998">
        <v>7.2680537349096488</v>
      </c>
      <c r="Y998">
        <v>2907.922141415092</v>
      </c>
      <c r="Z998">
        <v>10.239820015153787</v>
      </c>
      <c r="AA998">
        <v>2735.8928244430449</v>
      </c>
      <c r="AB998">
        <v>7.2989218864012813</v>
      </c>
      <c r="AC998">
        <v>2238.2721357039745</v>
      </c>
      <c r="AD998">
        <v>10.222826047616032</v>
      </c>
      <c r="AE998">
        <v>2027.6172939433125</v>
      </c>
      <c r="AF998">
        <v>7.2891694868752088</v>
      </c>
      <c r="AG998">
        <v>2136.347725767318</v>
      </c>
      <c r="AH998">
        <v>10.209269869917479</v>
      </c>
      <c r="AI998">
        <v>1908.0385436912936</v>
      </c>
      <c r="AJ998">
        <v>7.281380570167892</v>
      </c>
    </row>
    <row r="999" spans="4:36" x14ac:dyDescent="0.45">
      <c r="D999">
        <v>992</v>
      </c>
      <c r="E999">
        <v>12.783442324132478</v>
      </c>
      <c r="F999">
        <v>0.47383416748415397</v>
      </c>
      <c r="G999">
        <v>0.17979395064779238</v>
      </c>
      <c r="H999">
        <v>16.56292955773559</v>
      </c>
      <c r="I999">
        <v>13.008618726500561</v>
      </c>
      <c r="J999">
        <v>0.30949946688242103</v>
      </c>
      <c r="K999">
        <v>0.11706102730582239</v>
      </c>
      <c r="L999">
        <v>16.564820779311205</v>
      </c>
      <c r="M999">
        <v>12.941034675783648</v>
      </c>
      <c r="N999">
        <v>0.35885323592518326</v>
      </c>
      <c r="O999">
        <v>0.13585831964260153</v>
      </c>
      <c r="P999">
        <v>16.56425376864857</v>
      </c>
      <c r="Q999">
        <v>12.889917132892446</v>
      </c>
      <c r="R999">
        <v>0.39616482277521015</v>
      </c>
      <c r="S999">
        <v>0.15009348775618142</v>
      </c>
      <c r="T999">
        <v>16.563824556576161</v>
      </c>
      <c r="U999">
        <v>1606.6890994826304</v>
      </c>
      <c r="V999">
        <v>10.15233824741153</v>
      </c>
      <c r="W999">
        <v>1326.4410288262584</v>
      </c>
      <c r="X999">
        <v>7.2574169318668789</v>
      </c>
      <c r="Y999">
        <v>2912.9519877744151</v>
      </c>
      <c r="Z999">
        <v>10.193038433635413</v>
      </c>
      <c r="AA999">
        <v>2736.9426611525801</v>
      </c>
      <c r="AB999">
        <v>7.2809459423938376</v>
      </c>
      <c r="AC999">
        <v>2236.6763618980294</v>
      </c>
      <c r="AD999">
        <v>10.180822692110159</v>
      </c>
      <c r="AE999">
        <v>2024.863371286137</v>
      </c>
      <c r="AF999">
        <v>7.2738925613652885</v>
      </c>
      <c r="AG999">
        <v>2133.8689231673561</v>
      </c>
      <c r="AH999">
        <v>10.171583287105495</v>
      </c>
      <c r="AI999">
        <v>1905.4826907289691</v>
      </c>
      <c r="AJ999">
        <v>7.2685528392917753</v>
      </c>
    </row>
    <row r="1000" spans="4:36" x14ac:dyDescent="0.45">
      <c r="D1000">
        <v>993</v>
      </c>
      <c r="E1000">
        <v>12.797537850167549</v>
      </c>
      <c r="F1000">
        <v>0.44531620337531724</v>
      </c>
      <c r="G1000">
        <v>0.17128039315638866</v>
      </c>
      <c r="H1000">
        <v>16.585865553300749</v>
      </c>
      <c r="I1000">
        <v>13.000292502587918</v>
      </c>
      <c r="J1000">
        <v>0.29981415320996335</v>
      </c>
      <c r="K1000">
        <v>0.11498470197800344</v>
      </c>
      <c r="L1000">
        <v>16.5849086422241</v>
      </c>
      <c r="M1000">
        <v>12.912962619211527</v>
      </c>
      <c r="N1000">
        <v>0.36251434234427443</v>
      </c>
      <c r="O1000">
        <v>0.13920346549934506</v>
      </c>
      <c r="P1000">
        <v>16.585319572944851</v>
      </c>
      <c r="Q1000">
        <v>12.897334464759524</v>
      </c>
      <c r="R1000">
        <v>0.37373011181463478</v>
      </c>
      <c r="S1000">
        <v>0.14354211720450433</v>
      </c>
      <c r="T1000">
        <v>16.585393306221338</v>
      </c>
      <c r="U1000">
        <v>1521.4438596281777</v>
      </c>
      <c r="V1000">
        <v>10.039601039297002</v>
      </c>
      <c r="W1000">
        <v>1270.3051160161954</v>
      </c>
      <c r="X1000">
        <v>7.1790110124226034</v>
      </c>
      <c r="Y1000">
        <v>2895.9044265715843</v>
      </c>
      <c r="Z1000">
        <v>10.077870545098831</v>
      </c>
      <c r="AA1000">
        <v>2727.4673470713983</v>
      </c>
      <c r="AB1000">
        <v>7.2009691931360322</v>
      </c>
      <c r="AC1000">
        <v>2220.3799795185682</v>
      </c>
      <c r="AD1000">
        <v>10.061388554828408</v>
      </c>
      <c r="AE1000">
        <v>2015.2492466950587</v>
      </c>
      <c r="AF1000">
        <v>7.1915203469700133</v>
      </c>
      <c r="AG1000">
        <v>2112.3550334093284</v>
      </c>
      <c r="AH1000">
        <v>10.05843880091839</v>
      </c>
      <c r="AI1000">
        <v>1894.3063820533312</v>
      </c>
      <c r="AJ1000">
        <v>7.1898280080988384</v>
      </c>
    </row>
    <row r="1001" spans="4:36" x14ac:dyDescent="0.45">
      <c r="D1001">
        <v>994</v>
      </c>
      <c r="E1001">
        <v>11.91987315341906</v>
      </c>
      <c r="F1001">
        <v>0.42375327754109654</v>
      </c>
      <c r="G1001">
        <v>0.17274214409006572</v>
      </c>
      <c r="H1001">
        <v>17.483631424949788</v>
      </c>
      <c r="I1001">
        <v>12.106936586310603</v>
      </c>
      <c r="J1001">
        <v>0.28624174376415301</v>
      </c>
      <c r="K1001">
        <v>0.1163527682154983</v>
      </c>
      <c r="L1001">
        <v>17.490468901709743</v>
      </c>
      <c r="M1001">
        <v>12.034220350721798</v>
      </c>
      <c r="N1001">
        <v>0.33972049679138699</v>
      </c>
      <c r="O1001">
        <v>0.13824398382127179</v>
      </c>
      <c r="P1001">
        <v>17.487815168665541</v>
      </c>
      <c r="Q1001">
        <v>12.01976391155941</v>
      </c>
      <c r="R1001">
        <v>0.3503486933950562</v>
      </c>
      <c r="S1001">
        <v>0.14260043370931832</v>
      </c>
      <c r="T1001">
        <v>17.48728696133621</v>
      </c>
      <c r="U1001">
        <v>1531.1927588094934</v>
      </c>
      <c r="V1001">
        <v>9.4426813770164362</v>
      </c>
      <c r="W1001">
        <v>1282.6521846775586</v>
      </c>
      <c r="X1001">
        <v>6.8434709316264257</v>
      </c>
      <c r="Y1001">
        <v>2888.6058593947982</v>
      </c>
      <c r="Z1001">
        <v>9.4727764849473157</v>
      </c>
      <c r="AA1001">
        <v>2725.5374278195991</v>
      </c>
      <c r="AB1001">
        <v>6.8613985105554498</v>
      </c>
      <c r="AC1001">
        <v>2181.7234579757865</v>
      </c>
      <c r="AD1001">
        <v>9.4610755354902096</v>
      </c>
      <c r="AE1001">
        <v>1991.7772447360301</v>
      </c>
      <c r="AF1001">
        <v>6.8544357180748348</v>
      </c>
      <c r="AG1001">
        <v>2089.0246535103233</v>
      </c>
      <c r="AH1001">
        <v>9.4587496504113719</v>
      </c>
      <c r="AI1001">
        <v>1882.3721925597306</v>
      </c>
      <c r="AJ1001">
        <v>6.8530505508834496</v>
      </c>
    </row>
    <row r="1002" spans="4:36" x14ac:dyDescent="0.45">
      <c r="D1002">
        <v>995</v>
      </c>
      <c r="E1002">
        <v>13.382110267819899</v>
      </c>
      <c r="F1002">
        <v>0.46916639724515297</v>
      </c>
      <c r="G1002">
        <v>0.20592503458746589</v>
      </c>
      <c r="H1002">
        <v>15.94279830034748</v>
      </c>
      <c r="I1002">
        <v>13.621047255114552</v>
      </c>
      <c r="J1002">
        <v>0.30289901587671331</v>
      </c>
      <c r="K1002">
        <v>0.13248883005338385</v>
      </c>
      <c r="L1002">
        <v>15.943564898955358</v>
      </c>
      <c r="M1002">
        <v>13.521119340177956</v>
      </c>
      <c r="N1002">
        <v>0.37247749818206227</v>
      </c>
      <c r="O1002">
        <v>0.16315724432236045</v>
      </c>
      <c r="P1002">
        <v>15.943245917317627</v>
      </c>
      <c r="Q1002">
        <v>13.471033833126869</v>
      </c>
      <c r="R1002">
        <v>0.40732853334704522</v>
      </c>
      <c r="S1002">
        <v>0.17855246996889049</v>
      </c>
      <c r="T1002">
        <v>15.943085163557205</v>
      </c>
      <c r="U1002">
        <v>1638.0872827386745</v>
      </c>
      <c r="V1002">
        <v>10.539006561634944</v>
      </c>
      <c r="W1002">
        <v>1343.7090835614295</v>
      </c>
      <c r="X1002">
        <v>7.4664968140819177</v>
      </c>
      <c r="Y1002">
        <v>2935.3849044375725</v>
      </c>
      <c r="Z1002">
        <v>10.581429536090917</v>
      </c>
      <c r="AA1002">
        <v>2750.0438545668367</v>
      </c>
      <c r="AB1002">
        <v>7.4908788924141287</v>
      </c>
      <c r="AC1002">
        <v>2284.6777171650647</v>
      </c>
      <c r="AD1002">
        <v>10.563686437597919</v>
      </c>
      <c r="AE1002">
        <v>2053.8149374380728</v>
      </c>
      <c r="AF1002">
        <v>7.4806917054411235</v>
      </c>
      <c r="AG1002">
        <v>2179.659332386469</v>
      </c>
      <c r="AH1002">
        <v>10.554793854275827</v>
      </c>
      <c r="AI1002">
        <v>1932.7682377524</v>
      </c>
      <c r="AJ1002">
        <v>7.4755804113369848</v>
      </c>
    </row>
    <row r="1003" spans="4:36" x14ac:dyDescent="0.45">
      <c r="D1003">
        <v>996</v>
      </c>
      <c r="E1003">
        <v>13.093793565255172</v>
      </c>
      <c r="F1003">
        <v>0.49045169279387946</v>
      </c>
      <c r="G1003">
        <v>0.1569100080495261</v>
      </c>
      <c r="H1003">
        <v>16.258844733901409</v>
      </c>
      <c r="I1003">
        <v>13.318482687409006</v>
      </c>
      <c r="J1003">
        <v>0.32671297754552292</v>
      </c>
      <c r="K1003">
        <v>0.10419142492627896</v>
      </c>
      <c r="L1003">
        <v>16.250612910119212</v>
      </c>
      <c r="M1003">
        <v>13.216385302173972</v>
      </c>
      <c r="N1003">
        <v>0.40115049483230647</v>
      </c>
      <c r="O1003">
        <v>0.1281154538110495</v>
      </c>
      <c r="P1003">
        <v>16.254348749182672</v>
      </c>
      <c r="Q1003">
        <v>13.216138616380995</v>
      </c>
      <c r="R1003">
        <v>0.40133027780978392</v>
      </c>
      <c r="S1003">
        <v>0.12817332081807487</v>
      </c>
      <c r="T1003">
        <v>16.254357784991143</v>
      </c>
      <c r="U1003">
        <v>1568.9444674320921</v>
      </c>
      <c r="V1003">
        <v>10.406818729145261</v>
      </c>
      <c r="W1003">
        <v>1298.5420752132925</v>
      </c>
      <c r="X1003">
        <v>7.4076549008215249</v>
      </c>
      <c r="Y1003">
        <v>2943.1735308428083</v>
      </c>
      <c r="Z1003">
        <v>10.454943981795271</v>
      </c>
      <c r="AA1003">
        <v>2757.582332013304</v>
      </c>
      <c r="AB1003">
        <v>7.4350406473626087</v>
      </c>
      <c r="AC1003">
        <v>2263.8140824265497</v>
      </c>
      <c r="AD1003">
        <v>10.433078787022298</v>
      </c>
      <c r="AE1003">
        <v>2041.436119358613</v>
      </c>
      <c r="AF1003">
        <v>7.4226090538011702</v>
      </c>
      <c r="AG1003">
        <v>2146.0920314468494</v>
      </c>
      <c r="AH1003">
        <v>10.433025951464147</v>
      </c>
      <c r="AI1003">
        <v>1914.2345372990351</v>
      </c>
      <c r="AJ1003">
        <v>7.4225789920910845</v>
      </c>
    </row>
    <row r="1004" spans="4:36" x14ac:dyDescent="0.45">
      <c r="D1004">
        <v>997</v>
      </c>
      <c r="E1004">
        <v>13.050648605932855</v>
      </c>
      <c r="F1004">
        <v>0.46125816287649324</v>
      </c>
      <c r="G1004">
        <v>0.17542787857587711</v>
      </c>
      <c r="H1004">
        <v>16.312665352614793</v>
      </c>
      <c r="I1004">
        <v>13.295560667613335</v>
      </c>
      <c r="J1004">
        <v>0.29328367703699865</v>
      </c>
      <c r="K1004">
        <v>0.11115984333026506</v>
      </c>
      <c r="L1004">
        <v>16.2999958120194</v>
      </c>
      <c r="M1004">
        <v>13.202760114205423</v>
      </c>
      <c r="N1004">
        <v>0.35697625490959228</v>
      </c>
      <c r="O1004">
        <v>0.1354761748548089</v>
      </c>
      <c r="P1004">
        <v>16.304787456030173</v>
      </c>
      <c r="Q1004">
        <v>13.170040960496443</v>
      </c>
      <c r="R1004">
        <v>0.37941970450453066</v>
      </c>
      <c r="S1004">
        <v>0.14405985288316478</v>
      </c>
      <c r="T1004">
        <v>16.306479482115872</v>
      </c>
      <c r="U1004">
        <v>1579.6180849493953</v>
      </c>
      <c r="V1004">
        <v>10.250378205504916</v>
      </c>
      <c r="W1004">
        <v>1307.8089339995536</v>
      </c>
      <c r="X1004">
        <v>7.3012152208441456</v>
      </c>
      <c r="Y1004">
        <v>2901.6983997554717</v>
      </c>
      <c r="Z1004">
        <v>10.300623966996358</v>
      </c>
      <c r="AA1004">
        <v>2730.0844360665906</v>
      </c>
      <c r="AB1004">
        <v>7.3294744132402156</v>
      </c>
      <c r="AC1004">
        <v>2246.9961916788357</v>
      </c>
      <c r="AD1004">
        <v>10.281591468229553</v>
      </c>
      <c r="AE1004">
        <v>2032.2507041100671</v>
      </c>
      <c r="AF1004">
        <v>7.3187810514093661</v>
      </c>
      <c r="AG1004">
        <v>2129.0931859708444</v>
      </c>
      <c r="AH1004">
        <v>10.27487925692067</v>
      </c>
      <c r="AI1004">
        <v>1903.241394761546</v>
      </c>
      <c r="AJ1004">
        <v>7.3150066618364153</v>
      </c>
    </row>
    <row r="1005" spans="4:36" x14ac:dyDescent="0.45">
      <c r="D1005">
        <v>998</v>
      </c>
      <c r="E1005">
        <v>12.159328655640856</v>
      </c>
      <c r="F1005">
        <v>0.48920639124437354</v>
      </c>
      <c r="G1005">
        <v>0.15954529859281957</v>
      </c>
      <c r="H1005">
        <v>17.191919654521957</v>
      </c>
      <c r="I1005">
        <v>12.403471651860871</v>
      </c>
      <c r="J1005">
        <v>0.2987222527106248</v>
      </c>
      <c r="K1005">
        <v>9.709299973719468E-2</v>
      </c>
      <c r="L1005">
        <v>17.200713095691324</v>
      </c>
      <c r="M1005">
        <v>12.342596610353855</v>
      </c>
      <c r="N1005">
        <v>0.34624598407433355</v>
      </c>
      <c r="O1005">
        <v>0.11263407817075929</v>
      </c>
      <c r="P1005">
        <v>17.198523327401034</v>
      </c>
      <c r="Q1005">
        <v>12.284729179824632</v>
      </c>
      <c r="R1005">
        <v>0.39140452777484652</v>
      </c>
      <c r="S1005">
        <v>0.12742626604421808</v>
      </c>
      <c r="T1005">
        <v>17.196440026356296</v>
      </c>
      <c r="U1005">
        <v>1536.3860691933228</v>
      </c>
      <c r="V1005">
        <v>9.6693104470570024</v>
      </c>
      <c r="W1005">
        <v>1281.1930063500836</v>
      </c>
      <c r="X1005">
        <v>6.9774247111737457</v>
      </c>
      <c r="Y1005">
        <v>2914.4713109053641</v>
      </c>
      <c r="Z1005">
        <v>9.7093020877369298</v>
      </c>
      <c r="AA1005">
        <v>2743.3041621116013</v>
      </c>
      <c r="AB1005">
        <v>7.0010495116933908</v>
      </c>
      <c r="AC1005">
        <v>2230.9160249897764</v>
      </c>
      <c r="AD1005">
        <v>9.6993285368302828</v>
      </c>
      <c r="AE1005">
        <v>2026.9825963839755</v>
      </c>
      <c r="AF1005">
        <v>6.9951671334879304</v>
      </c>
      <c r="AG1005">
        <v>2096.8677676252109</v>
      </c>
      <c r="AH1005">
        <v>9.6898489484165822</v>
      </c>
      <c r="AI1005">
        <v>1884.7335036172419</v>
      </c>
      <c r="AJ1005">
        <v>6.9895703194201104</v>
      </c>
    </row>
    <row r="1006" spans="4:36" x14ac:dyDescent="0.45">
      <c r="D1006">
        <v>999</v>
      </c>
      <c r="E1006">
        <v>11.595916579988783</v>
      </c>
      <c r="F1006">
        <v>0.440430225407621</v>
      </c>
      <c r="G1006">
        <v>0.16293781326390591</v>
      </c>
      <c r="H1006">
        <v>17.800715381339696</v>
      </c>
      <c r="I1006">
        <v>11.789872457033182</v>
      </c>
      <c r="J1006">
        <v>0.28160349224661618</v>
      </c>
      <c r="K1006">
        <v>0.10387308019983735</v>
      </c>
      <c r="L1006">
        <v>17.824650970520374</v>
      </c>
      <c r="M1006">
        <v>11.712529764371988</v>
      </c>
      <c r="N1006">
        <v>0.34495780324813313</v>
      </c>
      <c r="O1006">
        <v>0.127391145426973</v>
      </c>
      <c r="P1006">
        <v>17.815121286952891</v>
      </c>
      <c r="Q1006">
        <v>11.675840737856813</v>
      </c>
      <c r="R1006">
        <v>0.37500197779734828</v>
      </c>
      <c r="S1006">
        <v>0.13856351471937634</v>
      </c>
      <c r="T1006">
        <v>17.810593769626458</v>
      </c>
      <c r="U1006">
        <v>1515.121133147052</v>
      </c>
      <c r="V1006">
        <v>9.2546305290080184</v>
      </c>
      <c r="W1006">
        <v>1271.269322822465</v>
      </c>
      <c r="X1006">
        <v>6.7396177152952452</v>
      </c>
      <c r="Y1006">
        <v>2884.4612761261697</v>
      </c>
      <c r="Z1006">
        <v>9.2758032421340424</v>
      </c>
      <c r="AA1006">
        <v>2724.1526955941686</v>
      </c>
      <c r="AB1006">
        <v>6.7531074499591695</v>
      </c>
      <c r="AC1006">
        <v>2213.2326477659171</v>
      </c>
      <c r="AD1006">
        <v>9.2673521557341303</v>
      </c>
      <c r="AE1006">
        <v>2015.7972364057075</v>
      </c>
      <c r="AF1006">
        <v>6.7477310041880241</v>
      </c>
      <c r="AG1006">
        <v>2084.8053108823337</v>
      </c>
      <c r="AH1006">
        <v>9.2633469909655375</v>
      </c>
      <c r="AI1006">
        <v>1878.7055904392435</v>
      </c>
      <c r="AJ1006">
        <v>6.7451792979304406</v>
      </c>
    </row>
    <row r="1007" spans="4:36" x14ac:dyDescent="0.45">
      <c r="D1007">
        <v>1000</v>
      </c>
      <c r="E1007">
        <v>13.250622817909672</v>
      </c>
      <c r="F1007">
        <v>0.51179420083881022</v>
      </c>
      <c r="G1007">
        <v>0.16383819293418508</v>
      </c>
      <c r="H1007">
        <v>16.073744788317338</v>
      </c>
      <c r="I1007">
        <v>13.479403548066569</v>
      </c>
      <c r="J1007">
        <v>0.33318318116152579</v>
      </c>
      <c r="K1007">
        <v>0.10633771313681044</v>
      </c>
      <c r="L1007">
        <v>16.081075557635103</v>
      </c>
      <c r="M1007">
        <v>13.389647170652946</v>
      </c>
      <c r="N1007">
        <v>0.40328645625285975</v>
      </c>
      <c r="O1007">
        <v>0.12886404266737486</v>
      </c>
      <c r="P1007">
        <v>16.078202330426819</v>
      </c>
      <c r="Q1007">
        <v>13.292041352482803</v>
      </c>
      <c r="R1007">
        <v>0.4794769564543967</v>
      </c>
      <c r="S1007">
        <v>0.15340798192668142</v>
      </c>
      <c r="T1007">
        <v>16.07507370913611</v>
      </c>
      <c r="U1007">
        <v>1590.0777002399118</v>
      </c>
      <c r="V1007">
        <v>10.488287260767757</v>
      </c>
      <c r="W1007">
        <v>1311.5316233615554</v>
      </c>
      <c r="X1007">
        <v>7.4453070649787714</v>
      </c>
      <c r="Y1007">
        <v>2940.7949516572962</v>
      </c>
      <c r="Z1007">
        <v>10.528838113913865</v>
      </c>
      <c r="AA1007">
        <v>2755.0599573819641</v>
      </c>
      <c r="AB1007">
        <v>7.4688454836307692</v>
      </c>
      <c r="AC1007">
        <v>2257.9991369770601</v>
      </c>
      <c r="AD1007">
        <v>10.512926725620471</v>
      </c>
      <c r="AE1007">
        <v>2036.6880210087863</v>
      </c>
      <c r="AF1007">
        <v>7.4596193203114813</v>
      </c>
      <c r="AG1007">
        <v>2171.3522188917946</v>
      </c>
      <c r="AH1007">
        <v>10.495627178510215</v>
      </c>
      <c r="AI1007">
        <v>1926.1211598359635</v>
      </c>
      <c r="AJ1007">
        <v>7.4495738050989928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638175</xdr:colOff>
                    <xdr:row>3</xdr:row>
                    <xdr:rowOff>4763</xdr:rowOff>
                  </from>
                  <to>
                    <xdr:col>3</xdr:col>
                    <xdr:colOff>1304925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opLeftCell="E1" workbookViewId="0">
      <selection activeCell="G13" sqref="G13:G15"/>
    </sheetView>
  </sheetViews>
  <sheetFormatPr defaultRowHeight="14.25" x14ac:dyDescent="0.45"/>
  <cols>
    <col min="5" max="5" width="24.796875" customWidth="1"/>
  </cols>
  <sheetData>
    <row r="8" spans="5:78" x14ac:dyDescent="0.45">
      <c r="E8" s="7" t="s">
        <v>64</v>
      </c>
      <c r="F8" s="7" t="str">
        <f>IF(Results!F8="","",Results!F8)</f>
        <v>cemented</v>
      </c>
      <c r="G8" s="7" t="str">
        <f>IF(Results!G8="","",Results!G8)</f>
        <v>uncemented</v>
      </c>
      <c r="H8" s="7" t="str">
        <f>IF(Results!H8="","",Results!H8)</f>
        <v>hybrid</v>
      </c>
      <c r="I8" s="7" t="str">
        <f>IF(Results!I8="","",Results!I8)</f>
        <v>reverse_hybrid</v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45">
      <c r="E9" t="s">
        <v>65</v>
      </c>
      <c r="F9">
        <v>1289.5535592623999</v>
      </c>
      <c r="G9">
        <v>2730.9615700868235</v>
      </c>
      <c r="H9">
        <v>2020.4581684098005</v>
      </c>
      <c r="I9">
        <v>1901.9677853121414</v>
      </c>
    </row>
    <row r="10" spans="5:78" x14ac:dyDescent="0.45">
      <c r="E10" t="s">
        <v>66</v>
      </c>
      <c r="F10">
        <v>7.1573449556698572</v>
      </c>
      <c r="G10">
        <v>7.181404392966348</v>
      </c>
      <c r="H10">
        <v>7.1714084716612074</v>
      </c>
      <c r="I10">
        <v>7.1672052257129897</v>
      </c>
    </row>
    <row r="11" spans="5:78" x14ac:dyDescent="0.45">
      <c r="E11" t="s">
        <v>67</v>
      </c>
      <c r="F11">
        <v>1548.7602448146192</v>
      </c>
      <c r="G11">
        <v>2899.9753879354244</v>
      </c>
      <c r="H11">
        <v>2227.2019328686974</v>
      </c>
      <c r="I11">
        <v>2124.3040620434008</v>
      </c>
    </row>
    <row r="12" spans="5:78" x14ac:dyDescent="0.45">
      <c r="E12" t="s">
        <v>68</v>
      </c>
      <c r="F12">
        <v>9.9911489058234402</v>
      </c>
      <c r="G12">
        <v>10.032791011345774</v>
      </c>
      <c r="H12">
        <v>10.015473461819148</v>
      </c>
      <c r="I12">
        <v>10.008197078665326</v>
      </c>
    </row>
    <row r="13" spans="5:78" x14ac:dyDescent="0.45">
      <c r="E13" t="s">
        <v>69</v>
      </c>
      <c r="G13">
        <f>IF(G9&lt;&gt;"",G9-$F$9,"")</f>
        <v>1441.4080108244236</v>
      </c>
      <c r="H13">
        <f t="shared" ref="H13:BS13" si="0">IF(H9&lt;&gt;"",H9-$F$9,"")</f>
        <v>730.90460914740061</v>
      </c>
      <c r="I13">
        <f t="shared" si="0"/>
        <v>612.4142260497415</v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45">
      <c r="E14" t="s">
        <v>70</v>
      </c>
      <c r="G14">
        <f>IF(G10&lt;&gt;"", G10-$F$10, "")</f>
        <v>2.4059437296490849E-2</v>
      </c>
      <c r="H14">
        <f t="shared" ref="H14:BS14" si="2">IF(H10&lt;&gt;"", H10-$F$10, "")</f>
        <v>1.4063515991350251E-2</v>
      </c>
      <c r="I14">
        <f t="shared" si="2"/>
        <v>9.8602700431325019E-3</v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45">
      <c r="E15" t="s">
        <v>71</v>
      </c>
      <c r="G15">
        <f>IF(G13&lt;&gt;"", G13/G14, "")</f>
        <v>59910.296033176885</v>
      </c>
      <c r="H15">
        <f t="shared" ref="H15:BS15" si="4">IF(H13&lt;&gt;"", H13/H14, "")</f>
        <v>51971.684008248194</v>
      </c>
      <c r="I15">
        <f t="shared" si="4"/>
        <v>62109.275240009963</v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2026-01-02T16:14:43Z</dcterms:modified>
</cp:coreProperties>
</file>